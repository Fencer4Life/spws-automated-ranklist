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5 - 2026/Szpada 2024-2025/Ranking Mezczyzn - szpada/"/>
    </mc:Choice>
  </mc:AlternateContent>
  <xr:revisionPtr revIDLastSave="0" documentId="8_{31ACCF89-A4EA-4E7E-8AC6-89FA1651326E}" xr6:coauthVersionLast="47" xr6:coauthVersionMax="47" xr10:uidLastSave="{00000000-0000-0000-0000-000000000000}"/>
  <bookViews>
    <workbookView xWindow="28680" yWindow="-120" windowWidth="29040" windowHeight="15720" tabRatio="956" xr2:uid="{00000000-000D-0000-FFFF-FFFF00000000}"/>
  </bookViews>
  <sheets>
    <sheet name="Ranking" sheetId="1" r:id="rId1"/>
    <sheet name="PP1" sheetId="18" r:id="rId2"/>
    <sheet name="PP2" sheetId="53" r:id="rId3"/>
    <sheet name="PP3" sheetId="55" r:id="rId4"/>
    <sheet name="PP4" sheetId="41" r:id="rId5"/>
    <sheet name="PP5" sheetId="42" r:id="rId6"/>
    <sheet name="MPW" sheetId="20" r:id="rId7"/>
    <sheet name="Kadra" sheetId="31" r:id="rId8"/>
    <sheet name="PEW1" sheetId="51" r:id="rId9"/>
    <sheet name="PEW2" sheetId="54" r:id="rId10"/>
    <sheet name="PEW3" sheetId="43" r:id="rId11"/>
    <sheet name="PEW4" sheetId="38" r:id="rId12"/>
    <sheet name="PEW5" sheetId="44" r:id="rId13"/>
    <sheet name="PEW6" sheetId="45" r:id="rId14"/>
    <sheet name="PEW7" sheetId="46" r:id="rId15"/>
    <sheet name="PS" sheetId="50" r:id="rId16"/>
    <sheet name="IMEW" sheetId="39" r:id="rId17"/>
    <sheet name="IMSW" sheetId="52" r:id="rId18"/>
  </sheets>
  <externalReferences>
    <externalReference r:id="rId19"/>
    <externalReference r:id="rId20"/>
  </externalReferences>
  <definedNames>
    <definedName name="_xlnm._FilterDatabase" localSheetId="7" hidden="1">Kadra!$A$5:$BG$5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31" l="1"/>
  <c r="G6" i="31"/>
  <c r="I6" i="31"/>
  <c r="K6" i="31"/>
  <c r="M6" i="31"/>
  <c r="O6" i="31"/>
  <c r="R6" i="31"/>
  <c r="T6" i="31"/>
  <c r="V6" i="31"/>
  <c r="X6" i="31"/>
  <c r="Z6" i="31"/>
  <c r="AB6" i="31"/>
  <c r="AD6" i="31"/>
  <c r="AF6" i="31"/>
  <c r="AH6" i="31"/>
  <c r="E7" i="31"/>
  <c r="G7" i="31"/>
  <c r="I7" i="31"/>
  <c r="K7" i="31"/>
  <c r="M7" i="31"/>
  <c r="O7" i="31"/>
  <c r="R7" i="31"/>
  <c r="T7" i="31"/>
  <c r="V7" i="31"/>
  <c r="X7" i="31"/>
  <c r="Z7" i="31"/>
  <c r="AB7" i="31"/>
  <c r="AD7" i="31"/>
  <c r="AF7" i="31"/>
  <c r="AH7" i="31"/>
  <c r="E8" i="31"/>
  <c r="G8" i="31"/>
  <c r="I8" i="31"/>
  <c r="K8" i="31"/>
  <c r="M8" i="31"/>
  <c r="O8" i="31"/>
  <c r="R8" i="31"/>
  <c r="T8" i="31"/>
  <c r="V8" i="31"/>
  <c r="X8" i="31"/>
  <c r="Z8" i="31"/>
  <c r="AB8" i="31"/>
  <c r="AD8" i="31"/>
  <c r="AF8" i="31"/>
  <c r="AH8" i="31"/>
  <c r="E9" i="31"/>
  <c r="G9" i="31"/>
  <c r="I9" i="31"/>
  <c r="J9" i="31" s="1"/>
  <c r="K9" i="31"/>
  <c r="M9" i="31"/>
  <c r="O9" i="31"/>
  <c r="R9" i="31"/>
  <c r="T9" i="31"/>
  <c r="V9" i="31"/>
  <c r="X9" i="31"/>
  <c r="Z9" i="31"/>
  <c r="AB9" i="31"/>
  <c r="AD9" i="31"/>
  <c r="AF9" i="31"/>
  <c r="AH9" i="31"/>
  <c r="E10" i="31"/>
  <c r="G10" i="31"/>
  <c r="I10" i="31"/>
  <c r="J10" i="31" s="1"/>
  <c r="K10" i="31"/>
  <c r="M10" i="31"/>
  <c r="O10" i="31"/>
  <c r="R10" i="31"/>
  <c r="T10" i="31"/>
  <c r="V10" i="31"/>
  <c r="X10" i="31"/>
  <c r="Z10" i="31"/>
  <c r="AB10" i="31"/>
  <c r="AD10" i="31"/>
  <c r="AF10" i="31"/>
  <c r="AH10" i="31"/>
  <c r="E11" i="31"/>
  <c r="G11" i="31"/>
  <c r="I11" i="31"/>
  <c r="J11" i="31" s="1"/>
  <c r="K11" i="31"/>
  <c r="M11" i="31"/>
  <c r="O11" i="31"/>
  <c r="R11" i="31"/>
  <c r="T11" i="31"/>
  <c r="V11" i="31"/>
  <c r="X11" i="31"/>
  <c r="Z11" i="31"/>
  <c r="AB11" i="31"/>
  <c r="AD11" i="31"/>
  <c r="AF11" i="31"/>
  <c r="AH11" i="31"/>
  <c r="E12" i="31"/>
  <c r="G12" i="31"/>
  <c r="I12" i="31"/>
  <c r="J12" i="31" s="1"/>
  <c r="K12" i="31"/>
  <c r="M12" i="31"/>
  <c r="O12" i="31"/>
  <c r="R12" i="31"/>
  <c r="T12" i="31"/>
  <c r="V12" i="31"/>
  <c r="X12" i="31"/>
  <c r="Z12" i="31"/>
  <c r="AB12" i="31"/>
  <c r="AD12" i="31"/>
  <c r="AF12" i="31"/>
  <c r="AH12" i="31"/>
  <c r="E13" i="31"/>
  <c r="G13" i="31"/>
  <c r="I13" i="31"/>
  <c r="K13" i="31"/>
  <c r="M13" i="31"/>
  <c r="O13" i="31"/>
  <c r="R13" i="31"/>
  <c r="T13" i="31"/>
  <c r="V13" i="31"/>
  <c r="X13" i="31"/>
  <c r="Z13" i="31"/>
  <c r="AB13" i="31"/>
  <c r="AD13" i="31"/>
  <c r="AF13" i="31"/>
  <c r="AH13" i="31"/>
  <c r="E14" i="31"/>
  <c r="G14" i="31"/>
  <c r="I14" i="31"/>
  <c r="K14" i="31"/>
  <c r="M14" i="31"/>
  <c r="O14" i="31"/>
  <c r="R14" i="31"/>
  <c r="T14" i="31"/>
  <c r="V14" i="31"/>
  <c r="X14" i="31"/>
  <c r="Z14" i="31"/>
  <c r="AB14" i="31"/>
  <c r="AD14" i="31"/>
  <c r="AF14" i="31"/>
  <c r="AH14" i="31"/>
  <c r="E15" i="31"/>
  <c r="G15" i="31"/>
  <c r="I15" i="31"/>
  <c r="K15" i="31"/>
  <c r="M15" i="31"/>
  <c r="O15" i="31"/>
  <c r="R15" i="31"/>
  <c r="T15" i="31"/>
  <c r="V15" i="31"/>
  <c r="X15" i="31"/>
  <c r="Z15" i="31"/>
  <c r="AB15" i="31"/>
  <c r="AD15" i="31"/>
  <c r="AF15" i="31"/>
  <c r="AH15" i="31"/>
  <c r="E16" i="31"/>
  <c r="G16" i="31"/>
  <c r="I16" i="31"/>
  <c r="K16" i="31"/>
  <c r="M16" i="31"/>
  <c r="O16" i="31"/>
  <c r="R16" i="31"/>
  <c r="T16" i="31"/>
  <c r="V16" i="31"/>
  <c r="X16" i="31"/>
  <c r="Z16" i="31"/>
  <c r="AB16" i="31"/>
  <c r="AD16" i="31"/>
  <c r="AF16" i="31"/>
  <c r="AH16" i="31"/>
  <c r="E17" i="31"/>
  <c r="G17" i="31"/>
  <c r="I17" i="31"/>
  <c r="J17" i="31" s="1"/>
  <c r="K17" i="31"/>
  <c r="M17" i="31"/>
  <c r="O17" i="31"/>
  <c r="R17" i="31"/>
  <c r="T17" i="31"/>
  <c r="V17" i="31"/>
  <c r="X17" i="31"/>
  <c r="Z17" i="31"/>
  <c r="AB17" i="31"/>
  <c r="AD17" i="31"/>
  <c r="AF17" i="31"/>
  <c r="AH17" i="31"/>
  <c r="E18" i="31"/>
  <c r="F18" i="31" s="1"/>
  <c r="G18" i="31"/>
  <c r="H18" i="31" s="1"/>
  <c r="I18" i="31"/>
  <c r="J18" i="31" s="1"/>
  <c r="K18" i="31"/>
  <c r="L18" i="31" s="1"/>
  <c r="M18" i="31"/>
  <c r="O18" i="31"/>
  <c r="R18" i="31"/>
  <c r="T18" i="31"/>
  <c r="V18" i="31"/>
  <c r="X18" i="31"/>
  <c r="Y18" i="31" s="1"/>
  <c r="Z18" i="31"/>
  <c r="AA18" i="31" s="1"/>
  <c r="AB18" i="31"/>
  <c r="AC18" i="31" s="1"/>
  <c r="AD18" i="31"/>
  <c r="AF18" i="31"/>
  <c r="AH18" i="31"/>
  <c r="E19" i="31"/>
  <c r="G19" i="31"/>
  <c r="I19" i="31"/>
  <c r="J19" i="31" s="1"/>
  <c r="K19" i="31"/>
  <c r="M19" i="31"/>
  <c r="O19" i="31"/>
  <c r="R19" i="31"/>
  <c r="T19" i="31"/>
  <c r="V19" i="31"/>
  <c r="X19" i="31"/>
  <c r="Z19" i="31"/>
  <c r="AB19" i="31"/>
  <c r="AD19" i="31"/>
  <c r="AF19" i="31"/>
  <c r="AH19" i="31"/>
  <c r="E20" i="31"/>
  <c r="G20" i="31"/>
  <c r="I20" i="31"/>
  <c r="K20" i="31"/>
  <c r="M20" i="31"/>
  <c r="O20" i="31"/>
  <c r="R20" i="31"/>
  <c r="T20" i="31"/>
  <c r="V20" i="31"/>
  <c r="X20" i="31"/>
  <c r="Z20" i="31"/>
  <c r="AB20" i="31"/>
  <c r="AD20" i="31"/>
  <c r="AF20" i="31"/>
  <c r="AH20" i="31"/>
  <c r="E21" i="31"/>
  <c r="G21" i="31"/>
  <c r="I21" i="31"/>
  <c r="K21" i="31"/>
  <c r="M21" i="31"/>
  <c r="O21" i="31"/>
  <c r="R21" i="31"/>
  <c r="T21" i="31"/>
  <c r="V21" i="31"/>
  <c r="X21" i="31"/>
  <c r="Z21" i="31"/>
  <c r="AB21" i="31"/>
  <c r="AD21" i="31"/>
  <c r="AF21" i="31"/>
  <c r="AH21" i="31"/>
  <c r="E26" i="31"/>
  <c r="G26" i="31"/>
  <c r="I26" i="31"/>
  <c r="K26" i="31"/>
  <c r="M26" i="31"/>
  <c r="O26" i="31"/>
  <c r="R26" i="31"/>
  <c r="T26" i="31"/>
  <c r="V26" i="31"/>
  <c r="X26" i="31"/>
  <c r="Z26" i="31"/>
  <c r="AB26" i="31"/>
  <c r="AD26" i="31"/>
  <c r="AF26" i="31"/>
  <c r="AH26" i="31"/>
  <c r="E22" i="31"/>
  <c r="G22" i="31"/>
  <c r="I22" i="31"/>
  <c r="K22" i="31"/>
  <c r="M22" i="31"/>
  <c r="O22" i="31"/>
  <c r="R22" i="31"/>
  <c r="T22" i="31"/>
  <c r="V22" i="31"/>
  <c r="X22" i="31"/>
  <c r="Z22" i="31"/>
  <c r="AB22" i="31"/>
  <c r="AD22" i="31"/>
  <c r="AF22" i="31"/>
  <c r="AH22" i="31"/>
  <c r="E23" i="31"/>
  <c r="G23" i="31"/>
  <c r="I23" i="31"/>
  <c r="K23" i="31"/>
  <c r="M23" i="31"/>
  <c r="O23" i="31"/>
  <c r="R23" i="31"/>
  <c r="T23" i="31"/>
  <c r="V23" i="31"/>
  <c r="X23" i="31"/>
  <c r="Z23" i="31"/>
  <c r="AB23" i="31"/>
  <c r="AD23" i="31"/>
  <c r="AF23" i="31"/>
  <c r="AH23" i="31"/>
  <c r="E24" i="31"/>
  <c r="G24" i="31"/>
  <c r="I24" i="31"/>
  <c r="J24" i="31" s="1"/>
  <c r="K24" i="31"/>
  <c r="M24" i="31"/>
  <c r="O24" i="31"/>
  <c r="R24" i="31"/>
  <c r="T24" i="31"/>
  <c r="V24" i="31"/>
  <c r="X24" i="31"/>
  <c r="Z24" i="31"/>
  <c r="AB24" i="31"/>
  <c r="AD24" i="31"/>
  <c r="AF24" i="31"/>
  <c r="AH24" i="31"/>
  <c r="E25" i="31"/>
  <c r="G25" i="31"/>
  <c r="I25" i="31"/>
  <c r="J25" i="31" s="1"/>
  <c r="K25" i="31"/>
  <c r="L25" i="31" s="1"/>
  <c r="M25" i="31"/>
  <c r="O25" i="31"/>
  <c r="R25" i="31"/>
  <c r="T25" i="31"/>
  <c r="U25" i="31" s="1"/>
  <c r="V25" i="31"/>
  <c r="X25" i="31"/>
  <c r="Z25" i="31"/>
  <c r="AA25" i="31" s="1"/>
  <c r="AB25" i="31"/>
  <c r="AC25" i="31" s="1"/>
  <c r="AD25" i="31"/>
  <c r="AF25" i="31"/>
  <c r="AH25" i="31"/>
  <c r="E27" i="31"/>
  <c r="G27" i="31"/>
  <c r="I27" i="31"/>
  <c r="J27" i="31" s="1"/>
  <c r="K27" i="31"/>
  <c r="M27" i="31"/>
  <c r="O27" i="31"/>
  <c r="R27" i="31"/>
  <c r="T27" i="31"/>
  <c r="V27" i="31"/>
  <c r="X27" i="31"/>
  <c r="Z27" i="31"/>
  <c r="AB27" i="31"/>
  <c r="AD27" i="31"/>
  <c r="AF27" i="31"/>
  <c r="AH27" i="31"/>
  <c r="E28" i="31"/>
  <c r="G28" i="31"/>
  <c r="I28" i="31"/>
  <c r="J28" i="31" s="1"/>
  <c r="K28" i="31"/>
  <c r="M28" i="31"/>
  <c r="O28" i="31"/>
  <c r="R28" i="31"/>
  <c r="T28" i="31"/>
  <c r="V28" i="31"/>
  <c r="X28" i="31"/>
  <c r="Z28" i="31"/>
  <c r="AB28" i="31"/>
  <c r="AD28" i="31"/>
  <c r="AF28" i="31"/>
  <c r="AH28" i="31"/>
  <c r="E29" i="31"/>
  <c r="G29" i="31"/>
  <c r="I29" i="31"/>
  <c r="J29" i="31" s="1"/>
  <c r="K29" i="31"/>
  <c r="M29" i="31"/>
  <c r="O29" i="31"/>
  <c r="R29" i="31"/>
  <c r="T29" i="31"/>
  <c r="V29" i="31"/>
  <c r="X29" i="31"/>
  <c r="Z29" i="31"/>
  <c r="AB29" i="31"/>
  <c r="AD29" i="31"/>
  <c r="AF29" i="31"/>
  <c r="AH29" i="31"/>
  <c r="E30" i="31"/>
  <c r="G30" i="31"/>
  <c r="I30" i="31"/>
  <c r="K30" i="31"/>
  <c r="M30" i="31"/>
  <c r="O30" i="31"/>
  <c r="R30" i="31"/>
  <c r="T30" i="31"/>
  <c r="V30" i="31"/>
  <c r="X30" i="31"/>
  <c r="Z30" i="31"/>
  <c r="AB30" i="31"/>
  <c r="AD30" i="31"/>
  <c r="AF30" i="31"/>
  <c r="AH30" i="31"/>
  <c r="E6" i="1"/>
  <c r="F6" i="1" s="1"/>
  <c r="G6" i="1"/>
  <c r="H6" i="1" s="1"/>
  <c r="I6" i="1"/>
  <c r="J6" i="1" s="1"/>
  <c r="K6" i="1"/>
  <c r="L6" i="1" s="1"/>
  <c r="M6" i="1"/>
  <c r="N6" i="1" s="1"/>
  <c r="O6" i="1"/>
  <c r="P6" i="1" s="1"/>
  <c r="E7" i="1"/>
  <c r="F7" i="1" s="1"/>
  <c r="G7" i="1"/>
  <c r="H7" i="1" s="1"/>
  <c r="I7" i="1"/>
  <c r="J7" i="1" s="1"/>
  <c r="K7" i="1"/>
  <c r="L7" i="1" s="1"/>
  <c r="M7" i="1"/>
  <c r="N7" i="1" s="1"/>
  <c r="O7" i="1"/>
  <c r="P7" i="1" s="1"/>
  <c r="E8" i="1"/>
  <c r="F8" i="1" s="1"/>
  <c r="G8" i="1"/>
  <c r="H8" i="1" s="1"/>
  <c r="I8" i="1"/>
  <c r="J8" i="1" s="1"/>
  <c r="K8" i="1"/>
  <c r="L8" i="1" s="1"/>
  <c r="M8" i="1"/>
  <c r="N8" i="1" s="1"/>
  <c r="O8" i="1"/>
  <c r="P8" i="1" s="1"/>
  <c r="E9" i="1"/>
  <c r="F9" i="1" s="1"/>
  <c r="G9" i="1"/>
  <c r="H9" i="1" s="1"/>
  <c r="I9" i="1"/>
  <c r="J9" i="1" s="1"/>
  <c r="K9" i="1"/>
  <c r="L9" i="1" s="1"/>
  <c r="M9" i="1"/>
  <c r="N9" i="1" s="1"/>
  <c r="O9" i="1"/>
  <c r="P9" i="1" s="1"/>
  <c r="E10" i="1"/>
  <c r="F10" i="1" s="1"/>
  <c r="G10" i="1"/>
  <c r="H10" i="1" s="1"/>
  <c r="I10" i="1"/>
  <c r="J10" i="1" s="1"/>
  <c r="K10" i="1"/>
  <c r="L10" i="1" s="1"/>
  <c r="M10" i="1"/>
  <c r="N10" i="1" s="1"/>
  <c r="O10" i="1"/>
  <c r="P10" i="1" s="1"/>
  <c r="E12" i="1"/>
  <c r="F12" i="1" s="1"/>
  <c r="G12" i="1"/>
  <c r="H12" i="1" s="1"/>
  <c r="I12" i="1"/>
  <c r="J12" i="1" s="1"/>
  <c r="K12" i="1"/>
  <c r="L12" i="1" s="1"/>
  <c r="M12" i="1"/>
  <c r="N12" i="1" s="1"/>
  <c r="O12" i="1"/>
  <c r="P12" i="1" s="1"/>
  <c r="E11" i="1"/>
  <c r="F11" i="1" s="1"/>
  <c r="G11" i="1"/>
  <c r="H11" i="1" s="1"/>
  <c r="I11" i="1"/>
  <c r="J11" i="1" s="1"/>
  <c r="K11" i="1"/>
  <c r="L11" i="1" s="1"/>
  <c r="M11" i="1"/>
  <c r="N11" i="1" s="1"/>
  <c r="O11" i="1"/>
  <c r="P11" i="1" s="1"/>
  <c r="E13" i="1"/>
  <c r="F13" i="1" s="1"/>
  <c r="G13" i="1"/>
  <c r="H13" i="1" s="1"/>
  <c r="I13" i="1"/>
  <c r="J13" i="1" s="1"/>
  <c r="K13" i="1"/>
  <c r="L13" i="1" s="1"/>
  <c r="M13" i="1"/>
  <c r="N13" i="1" s="1"/>
  <c r="O13" i="1"/>
  <c r="P13" i="1" s="1"/>
  <c r="E14" i="1"/>
  <c r="F14" i="1" s="1"/>
  <c r="G14" i="1"/>
  <c r="H14" i="1" s="1"/>
  <c r="I14" i="1"/>
  <c r="J14" i="1" s="1"/>
  <c r="K14" i="1"/>
  <c r="L14" i="1" s="1"/>
  <c r="M14" i="1"/>
  <c r="N14" i="1" s="1"/>
  <c r="O14" i="1"/>
  <c r="P14" i="1" s="1"/>
  <c r="E15" i="1"/>
  <c r="F15" i="1" s="1"/>
  <c r="G15" i="1"/>
  <c r="H15" i="1" s="1"/>
  <c r="I15" i="1"/>
  <c r="J15" i="1" s="1"/>
  <c r="K15" i="1"/>
  <c r="L15" i="1" s="1"/>
  <c r="M15" i="1"/>
  <c r="N15" i="1" s="1"/>
  <c r="O15" i="1"/>
  <c r="P15" i="1" s="1"/>
  <c r="E16" i="1"/>
  <c r="F16" i="1" s="1"/>
  <c r="G16" i="1"/>
  <c r="H16" i="1" s="1"/>
  <c r="I16" i="1"/>
  <c r="J16" i="1" s="1"/>
  <c r="K16" i="1"/>
  <c r="L16" i="1" s="1"/>
  <c r="M16" i="1"/>
  <c r="N16" i="1" s="1"/>
  <c r="O16" i="1"/>
  <c r="P16" i="1" s="1"/>
  <c r="E17" i="1"/>
  <c r="F17" i="1" s="1"/>
  <c r="G17" i="1"/>
  <c r="H17" i="1" s="1"/>
  <c r="I17" i="1"/>
  <c r="J17" i="1" s="1"/>
  <c r="K17" i="1"/>
  <c r="L17" i="1" s="1"/>
  <c r="M17" i="1"/>
  <c r="N17" i="1" s="1"/>
  <c r="O17" i="1"/>
  <c r="P17" i="1" s="1"/>
  <c r="E18" i="1"/>
  <c r="F18" i="1" s="1"/>
  <c r="G18" i="1"/>
  <c r="H18" i="1" s="1"/>
  <c r="I18" i="1"/>
  <c r="J18" i="1" s="1"/>
  <c r="K18" i="1"/>
  <c r="L18" i="1" s="1"/>
  <c r="M18" i="1"/>
  <c r="N18" i="1" s="1"/>
  <c r="O18" i="1"/>
  <c r="P18" i="1" s="1"/>
  <c r="E19" i="1"/>
  <c r="F19" i="1" s="1"/>
  <c r="G19" i="1"/>
  <c r="H19" i="1" s="1"/>
  <c r="I19" i="1"/>
  <c r="J19" i="1" s="1"/>
  <c r="K19" i="1"/>
  <c r="L19" i="1" s="1"/>
  <c r="M19" i="1"/>
  <c r="N19" i="1" s="1"/>
  <c r="O19" i="1"/>
  <c r="P19" i="1" s="1"/>
  <c r="E20" i="1"/>
  <c r="F20" i="1" s="1"/>
  <c r="G20" i="1"/>
  <c r="H20" i="1" s="1"/>
  <c r="I20" i="1"/>
  <c r="J20" i="1" s="1"/>
  <c r="K20" i="1"/>
  <c r="L20" i="1" s="1"/>
  <c r="M20" i="1"/>
  <c r="N20" i="1" s="1"/>
  <c r="O20" i="1"/>
  <c r="P20" i="1" s="1"/>
  <c r="E21" i="1"/>
  <c r="F21" i="1" s="1"/>
  <c r="G21" i="1"/>
  <c r="H21" i="1" s="1"/>
  <c r="I21" i="1"/>
  <c r="J21" i="1" s="1"/>
  <c r="K21" i="1"/>
  <c r="L21" i="1" s="1"/>
  <c r="M21" i="1"/>
  <c r="N21" i="1" s="1"/>
  <c r="O21" i="1"/>
  <c r="P21" i="1" s="1"/>
  <c r="E22" i="1"/>
  <c r="F22" i="1" s="1"/>
  <c r="G22" i="1"/>
  <c r="H22" i="1" s="1"/>
  <c r="I22" i="1"/>
  <c r="J22" i="1" s="1"/>
  <c r="K22" i="1"/>
  <c r="L22" i="1" s="1"/>
  <c r="M22" i="1"/>
  <c r="N22" i="1" s="1"/>
  <c r="O22" i="1"/>
  <c r="P22" i="1" s="1"/>
  <c r="E23" i="1"/>
  <c r="F23" i="1" s="1"/>
  <c r="G23" i="1"/>
  <c r="H23" i="1" s="1"/>
  <c r="I23" i="1"/>
  <c r="J23" i="1" s="1"/>
  <c r="K23" i="1"/>
  <c r="L23" i="1" s="1"/>
  <c r="M23" i="1"/>
  <c r="N23" i="1" s="1"/>
  <c r="O23" i="1"/>
  <c r="P23" i="1" s="1"/>
  <c r="E24" i="1"/>
  <c r="F24" i="1" s="1"/>
  <c r="G24" i="1"/>
  <c r="H24" i="1" s="1"/>
  <c r="I24" i="1"/>
  <c r="J24" i="1" s="1"/>
  <c r="K24" i="1"/>
  <c r="L24" i="1" s="1"/>
  <c r="M24" i="1"/>
  <c r="N24" i="1" s="1"/>
  <c r="O24" i="1"/>
  <c r="P24" i="1" s="1"/>
  <c r="E25" i="1"/>
  <c r="F25" i="1" s="1"/>
  <c r="G25" i="1"/>
  <c r="H25" i="1" s="1"/>
  <c r="I25" i="1"/>
  <c r="J25" i="1" s="1"/>
  <c r="K25" i="1"/>
  <c r="L25" i="1" s="1"/>
  <c r="M25" i="1"/>
  <c r="N25" i="1" s="1"/>
  <c r="O25" i="1"/>
  <c r="P25" i="1" s="1"/>
  <c r="E26" i="1"/>
  <c r="F26" i="1" s="1"/>
  <c r="G26" i="1"/>
  <c r="H26" i="1" s="1"/>
  <c r="I26" i="1"/>
  <c r="J26" i="1" s="1"/>
  <c r="K26" i="1"/>
  <c r="L26" i="1" s="1"/>
  <c r="M26" i="1"/>
  <c r="N26" i="1" s="1"/>
  <c r="O26" i="1"/>
  <c r="P26" i="1" s="1"/>
  <c r="E27" i="1"/>
  <c r="F27" i="1" s="1"/>
  <c r="G27" i="1"/>
  <c r="H27" i="1" s="1"/>
  <c r="I27" i="1"/>
  <c r="J27" i="1" s="1"/>
  <c r="K27" i="1"/>
  <c r="L27" i="1" s="1"/>
  <c r="M27" i="1"/>
  <c r="N27" i="1" s="1"/>
  <c r="O27" i="1"/>
  <c r="P27" i="1" s="1"/>
  <c r="E28" i="1"/>
  <c r="F28" i="1" s="1"/>
  <c r="G28" i="1"/>
  <c r="H28" i="1" s="1"/>
  <c r="I28" i="1"/>
  <c r="J28" i="1" s="1"/>
  <c r="K28" i="1"/>
  <c r="L28" i="1" s="1"/>
  <c r="M28" i="1"/>
  <c r="N28" i="1" s="1"/>
  <c r="O28" i="1"/>
  <c r="P28" i="1" s="1"/>
  <c r="E29" i="1"/>
  <c r="F29" i="1" s="1"/>
  <c r="G29" i="1"/>
  <c r="H29" i="1" s="1"/>
  <c r="I29" i="1"/>
  <c r="J29" i="1" s="1"/>
  <c r="K29" i="1"/>
  <c r="L29" i="1" s="1"/>
  <c r="M29" i="1"/>
  <c r="N29" i="1" s="1"/>
  <c r="O29" i="1"/>
  <c r="P29" i="1" s="1"/>
  <c r="E30" i="1"/>
  <c r="F30" i="1" s="1"/>
  <c r="G30" i="1"/>
  <c r="H30" i="1" s="1"/>
  <c r="I30" i="1"/>
  <c r="J30" i="1" s="1"/>
  <c r="K30" i="1"/>
  <c r="L30" i="1" s="1"/>
  <c r="M30" i="1"/>
  <c r="N30" i="1" s="1"/>
  <c r="O30" i="1"/>
  <c r="P30" i="1" s="1"/>
  <c r="E31" i="1"/>
  <c r="F31" i="1" s="1"/>
  <c r="G31" i="1"/>
  <c r="H31" i="1" s="1"/>
  <c r="I31" i="1"/>
  <c r="J31" i="1" s="1"/>
  <c r="K31" i="1"/>
  <c r="L31" i="1" s="1"/>
  <c r="M31" i="1"/>
  <c r="N31" i="1" s="1"/>
  <c r="O31" i="1"/>
  <c r="P31" i="1" s="1"/>
  <c r="E32" i="1"/>
  <c r="F32" i="1" s="1"/>
  <c r="G32" i="1"/>
  <c r="H32" i="1" s="1"/>
  <c r="I32" i="1"/>
  <c r="J32" i="1" s="1"/>
  <c r="K32" i="1"/>
  <c r="L32" i="1" s="1"/>
  <c r="M32" i="1"/>
  <c r="N32" i="1" s="1"/>
  <c r="O32" i="1"/>
  <c r="P32" i="1" s="1"/>
  <c r="AJ25" i="31" a="1"/>
  <c r="AJ25" i="31" s="1"/>
  <c r="AK25" i="31" s="1"/>
  <c r="AI25" i="31"/>
  <c r="AG25" i="31"/>
  <c r="AE25" i="31"/>
  <c r="Y25" i="31"/>
  <c r="W25" i="31"/>
  <c r="S25" i="31"/>
  <c r="P25" i="31"/>
  <c r="N25" i="31"/>
  <c r="H25" i="31"/>
  <c r="F25" i="31"/>
  <c r="A25" i="31"/>
  <c r="AJ18" i="31" a="1"/>
  <c r="AJ18" i="31" s="1"/>
  <c r="AK18" i="31" s="1"/>
  <c r="AI18" i="31"/>
  <c r="AG18" i="31"/>
  <c r="AE18" i="31"/>
  <c r="W18" i="31"/>
  <c r="U18" i="31"/>
  <c r="S18" i="31"/>
  <c r="P18" i="31"/>
  <c r="N18" i="31"/>
  <c r="A18" i="31"/>
  <c r="A29" i="1"/>
  <c r="A28" i="1"/>
  <c r="A25" i="1"/>
  <c r="J30" i="31"/>
  <c r="J23" i="31"/>
  <c r="J20" i="31"/>
  <c r="J22" i="31"/>
  <c r="J26" i="31"/>
  <c r="J21" i="31"/>
  <c r="J16" i="31"/>
  <c r="J15" i="31"/>
  <c r="J14" i="31"/>
  <c r="J13" i="31"/>
  <c r="J8" i="31"/>
  <c r="J7" i="31"/>
  <c r="J6" i="31"/>
  <c r="BC18" i="31" l="1"/>
  <c r="BB18" i="31"/>
  <c r="BA18" i="31"/>
  <c r="AZ18" i="31"/>
  <c r="BG18" i="31"/>
  <c r="AY18" i="31"/>
  <c r="BF18" i="31"/>
  <c r="BE18" i="31"/>
  <c r="BD18" i="31"/>
  <c r="AT18" i="31"/>
  <c r="AS18" i="31"/>
  <c r="AR18" i="31"/>
  <c r="AW18" i="31"/>
  <c r="AV18" i="31"/>
  <c r="AU18" i="31"/>
  <c r="BC25" i="31"/>
  <c r="BB25" i="31"/>
  <c r="BA25" i="31"/>
  <c r="AZ25" i="31"/>
  <c r="BG25" i="31"/>
  <c r="AY25" i="31"/>
  <c r="BF25" i="31"/>
  <c r="BE25" i="31"/>
  <c r="BD25" i="31"/>
  <c r="AT25" i="31"/>
  <c r="AS25" i="31"/>
  <c r="AR25" i="31"/>
  <c r="AW25" i="31"/>
  <c r="AV25" i="31"/>
  <c r="AU25" i="31"/>
  <c r="C18" i="31" a="1"/>
  <c r="C18" i="31" s="1"/>
  <c r="C25" i="31" a="1"/>
  <c r="C25" i="31" s="1"/>
  <c r="D29" i="1"/>
  <c r="D28" i="1"/>
  <c r="D25" i="1"/>
  <c r="AN25" i="31" l="1" a="1"/>
  <c r="AN25" i="31" s="1"/>
  <c r="AM25" i="31" a="1"/>
  <c r="AM25" i="31" s="1"/>
  <c r="AP18" i="31" a="1"/>
  <c r="AP18" i="31" s="1"/>
  <c r="D18" i="31" s="1"/>
  <c r="AO18" i="31" a="1"/>
  <c r="AO18" i="31" s="1"/>
  <c r="AN18" i="31" a="1"/>
  <c r="AN18" i="31" s="1"/>
  <c r="AM18" i="31" a="1"/>
  <c r="AM18" i="31" s="1"/>
  <c r="AP25" i="31" a="1"/>
  <c r="AP25" i="31" s="1"/>
  <c r="D25" i="31" s="1"/>
  <c r="AO25" i="31" a="1"/>
  <c r="AO25" i="31" s="1"/>
  <c r="J373" i="55" l="1"/>
  <c r="J372" i="55"/>
  <c r="J371" i="55"/>
  <c r="J370" i="55"/>
  <c r="J369" i="55"/>
  <c r="J368" i="55"/>
  <c r="J367" i="55"/>
  <c r="J366" i="55"/>
  <c r="J365" i="55"/>
  <c r="J364" i="55"/>
  <c r="J363" i="55"/>
  <c r="J362" i="55"/>
  <c r="J361" i="55"/>
  <c r="J360" i="55"/>
  <c r="J359" i="55"/>
  <c r="J358" i="55"/>
  <c r="J357" i="55"/>
  <c r="J356" i="55"/>
  <c r="J355" i="55"/>
  <c r="J354" i="55"/>
  <c r="J353" i="55"/>
  <c r="J352" i="55"/>
  <c r="J351" i="55"/>
  <c r="J350" i="55"/>
  <c r="J349" i="55"/>
  <c r="J348" i="55"/>
  <c r="J347" i="55"/>
  <c r="J346" i="55"/>
  <c r="J345" i="55"/>
  <c r="J344" i="55"/>
  <c r="J343" i="55"/>
  <c r="J342" i="55"/>
  <c r="J341" i="55"/>
  <c r="J340" i="55"/>
  <c r="J339" i="55"/>
  <c r="J338" i="55"/>
  <c r="J337" i="55"/>
  <c r="J336" i="55"/>
  <c r="J335" i="55"/>
  <c r="J334" i="55"/>
  <c r="J333" i="55"/>
  <c r="J332" i="55"/>
  <c r="J331" i="55"/>
  <c r="J330" i="55"/>
  <c r="J329" i="55"/>
  <c r="J328" i="55"/>
  <c r="J327" i="55"/>
  <c r="J326" i="55"/>
  <c r="J325" i="55"/>
  <c r="J324" i="55"/>
  <c r="J323" i="55"/>
  <c r="J322" i="55"/>
  <c r="J321" i="55"/>
  <c r="J320" i="55"/>
  <c r="J319" i="55"/>
  <c r="J318" i="55"/>
  <c r="J317" i="55"/>
  <c r="J316" i="55"/>
  <c r="J315" i="55"/>
  <c r="J314" i="55"/>
  <c r="J313" i="55"/>
  <c r="J312" i="55"/>
  <c r="J311" i="55"/>
  <c r="J310" i="55"/>
  <c r="J309" i="55"/>
  <c r="J308" i="55"/>
  <c r="J307" i="55"/>
  <c r="J306" i="55"/>
  <c r="J305" i="55"/>
  <c r="K305" i="55" s="1"/>
  <c r="I305" i="55"/>
  <c r="M305" i="55" s="1"/>
  <c r="J304" i="55"/>
  <c r="K304" i="55" s="1"/>
  <c r="I304" i="55"/>
  <c r="M304" i="55" s="1"/>
  <c r="J303" i="55"/>
  <c r="K303" i="55" s="1"/>
  <c r="I303" i="55"/>
  <c r="M303" i="55" s="1"/>
  <c r="J302" i="55"/>
  <c r="K302" i="55" s="1"/>
  <c r="I302" i="55"/>
  <c r="M302" i="55" s="1"/>
  <c r="J301" i="55"/>
  <c r="K301" i="55" s="1"/>
  <c r="I301" i="55"/>
  <c r="M301" i="55" s="1"/>
  <c r="J300" i="55"/>
  <c r="K300" i="55" s="1"/>
  <c r="I300" i="55"/>
  <c r="M300" i="55" s="1"/>
  <c r="J299" i="55"/>
  <c r="K299" i="55" s="1"/>
  <c r="I299" i="55"/>
  <c r="M299" i="55" s="1"/>
  <c r="K298" i="55"/>
  <c r="J298" i="55"/>
  <c r="I298" i="55"/>
  <c r="M298" i="55" s="1"/>
  <c r="J297" i="55"/>
  <c r="K297" i="55" s="1"/>
  <c r="I297" i="55"/>
  <c r="M297" i="55" s="1"/>
  <c r="J296" i="55"/>
  <c r="K296" i="55" s="1"/>
  <c r="I296" i="55"/>
  <c r="M296" i="55" s="1"/>
  <c r="J295" i="55"/>
  <c r="K295" i="55" s="1"/>
  <c r="I295" i="55"/>
  <c r="M295" i="55" s="1"/>
  <c r="M294" i="55"/>
  <c r="J294" i="55"/>
  <c r="K294" i="55" s="1"/>
  <c r="I294" i="55"/>
  <c r="J293" i="55"/>
  <c r="K293" i="55" s="1"/>
  <c r="I293" i="55"/>
  <c r="M293" i="55" s="1"/>
  <c r="J292" i="55"/>
  <c r="K292" i="55" s="1"/>
  <c r="I292" i="55"/>
  <c r="M292" i="55" s="1"/>
  <c r="J291" i="55"/>
  <c r="K291" i="55" s="1"/>
  <c r="I291" i="55"/>
  <c r="M291" i="55" s="1"/>
  <c r="J290" i="55"/>
  <c r="K290" i="55" s="1"/>
  <c r="I290" i="55"/>
  <c r="M290" i="55" s="1"/>
  <c r="J289" i="55"/>
  <c r="K289" i="55" s="1"/>
  <c r="I289" i="55"/>
  <c r="M289" i="55" s="1"/>
  <c r="J288" i="55"/>
  <c r="K288" i="55" s="1"/>
  <c r="I288" i="55"/>
  <c r="M288" i="55" s="1"/>
  <c r="J287" i="55"/>
  <c r="K287" i="55" s="1"/>
  <c r="I287" i="55"/>
  <c r="M287" i="55" s="1"/>
  <c r="J286" i="55"/>
  <c r="K286" i="55" s="1"/>
  <c r="I286" i="55"/>
  <c r="M286" i="55" s="1"/>
  <c r="J285" i="55"/>
  <c r="K285" i="55" s="1"/>
  <c r="I285" i="55"/>
  <c r="M285" i="55" s="1"/>
  <c r="M284" i="55"/>
  <c r="J284" i="55"/>
  <c r="K284" i="55" s="1"/>
  <c r="I284" i="55"/>
  <c r="J283" i="55"/>
  <c r="K283" i="55" s="1"/>
  <c r="I283" i="55"/>
  <c r="M283" i="55" s="1"/>
  <c r="J282" i="55"/>
  <c r="K282" i="55" s="1"/>
  <c r="I282" i="55"/>
  <c r="M282" i="55" s="1"/>
  <c r="J281" i="55"/>
  <c r="K281" i="55" s="1"/>
  <c r="I281" i="55"/>
  <c r="M281" i="55" s="1"/>
  <c r="J280" i="55"/>
  <c r="K280" i="55" s="1"/>
  <c r="I280" i="55"/>
  <c r="M280" i="55" s="1"/>
  <c r="J279" i="55"/>
  <c r="K279" i="55" s="1"/>
  <c r="I279" i="55"/>
  <c r="M279" i="55" s="1"/>
  <c r="J278" i="55"/>
  <c r="K278" i="55" s="1"/>
  <c r="I278" i="55"/>
  <c r="M278" i="55" s="1"/>
  <c r="J277" i="55"/>
  <c r="K277" i="55" s="1"/>
  <c r="I277" i="55"/>
  <c r="M277" i="55" s="1"/>
  <c r="J276" i="55"/>
  <c r="K276" i="55" s="1"/>
  <c r="I276" i="55"/>
  <c r="M276" i="55" s="1"/>
  <c r="J275" i="55"/>
  <c r="K275" i="55" s="1"/>
  <c r="I275" i="55"/>
  <c r="M275" i="55" s="1"/>
  <c r="J274" i="55"/>
  <c r="K274" i="55" s="1"/>
  <c r="I274" i="55"/>
  <c r="M274" i="55" s="1"/>
  <c r="J273" i="55"/>
  <c r="K273" i="55" s="1"/>
  <c r="I273" i="55"/>
  <c r="M273" i="55" s="1"/>
  <c r="J272" i="55"/>
  <c r="K272" i="55" s="1"/>
  <c r="I272" i="55"/>
  <c r="M272" i="55" s="1"/>
  <c r="J271" i="55"/>
  <c r="K271" i="55" s="1"/>
  <c r="I271" i="55"/>
  <c r="M271" i="55" s="1"/>
  <c r="J270" i="55"/>
  <c r="K270" i="55" s="1"/>
  <c r="I270" i="55"/>
  <c r="M270" i="55" s="1"/>
  <c r="J269" i="55"/>
  <c r="K269" i="55" s="1"/>
  <c r="I269" i="55"/>
  <c r="M269" i="55" s="1"/>
  <c r="A269" i="55" s="1"/>
  <c r="B269" i="55"/>
  <c r="J268" i="55"/>
  <c r="K268" i="55" s="1"/>
  <c r="I268" i="55"/>
  <c r="M268" i="55" s="1"/>
  <c r="A268" i="55" s="1"/>
  <c r="B268" i="55"/>
  <c r="J267" i="55"/>
  <c r="K267" i="55" s="1"/>
  <c r="I267" i="55"/>
  <c r="M267" i="55" s="1"/>
  <c r="A267" i="55" s="1"/>
  <c r="B267" i="55"/>
  <c r="J266" i="55"/>
  <c r="K266" i="55" s="1"/>
  <c r="I266" i="55"/>
  <c r="M266" i="55" s="1"/>
  <c r="A266" i="55" s="1"/>
  <c r="B266" i="55"/>
  <c r="J265" i="55"/>
  <c r="K265" i="55" s="1"/>
  <c r="I265" i="55"/>
  <c r="M265" i="55" s="1"/>
  <c r="A265" i="55" s="1"/>
  <c r="B265" i="55"/>
  <c r="J264" i="55"/>
  <c r="K264" i="55" s="1"/>
  <c r="I264" i="55"/>
  <c r="M264" i="55" s="1"/>
  <c r="A264" i="55" s="1"/>
  <c r="B264" i="55"/>
  <c r="M263" i="55"/>
  <c r="J263" i="55"/>
  <c r="K263" i="55" s="1"/>
  <c r="I263" i="55"/>
  <c r="B263" i="55"/>
  <c r="A263" i="55"/>
  <c r="J262" i="55"/>
  <c r="K262" i="55" s="1"/>
  <c r="I262" i="55"/>
  <c r="M262" i="55" s="1"/>
  <c r="A262" i="55" s="1"/>
  <c r="B262" i="55"/>
  <c r="J261" i="55"/>
  <c r="K261" i="55" s="1"/>
  <c r="I261" i="55"/>
  <c r="M261" i="55" s="1"/>
  <c r="A261" i="55" s="1"/>
  <c r="B261" i="55"/>
  <c r="J260" i="55"/>
  <c r="K260" i="55" s="1"/>
  <c r="I260" i="55"/>
  <c r="M260" i="55" s="1"/>
  <c r="A260" i="55" s="1"/>
  <c r="B260" i="55"/>
  <c r="J259" i="55"/>
  <c r="K259" i="55" s="1"/>
  <c r="I259" i="55"/>
  <c r="M259" i="55" s="1"/>
  <c r="A259" i="55" s="1"/>
  <c r="B259" i="55"/>
  <c r="K258" i="55"/>
  <c r="J258" i="55"/>
  <c r="I258" i="55"/>
  <c r="M258" i="55" s="1"/>
  <c r="A258" i="55" s="1"/>
  <c r="B258" i="55"/>
  <c r="J257" i="55"/>
  <c r="K257" i="55" s="1"/>
  <c r="I257" i="55"/>
  <c r="M257" i="55" s="1"/>
  <c r="A257" i="55" s="1"/>
  <c r="B257" i="55"/>
  <c r="J256" i="55"/>
  <c r="K256" i="55" s="1"/>
  <c r="I256" i="55"/>
  <c r="M256" i="55" s="1"/>
  <c r="A256" i="55" s="1"/>
  <c r="B256" i="55"/>
  <c r="J255" i="55"/>
  <c r="K255" i="55" s="1"/>
  <c r="I255" i="55"/>
  <c r="M255" i="55" s="1"/>
  <c r="A255" i="55" s="1"/>
  <c r="B255" i="55"/>
  <c r="M254" i="55"/>
  <c r="A254" i="55" s="1"/>
  <c r="J254" i="55"/>
  <c r="K254" i="55" s="1"/>
  <c r="I254" i="55"/>
  <c r="B254" i="55"/>
  <c r="K253" i="55"/>
  <c r="J253" i="55"/>
  <c r="I253" i="55"/>
  <c r="M253" i="55" s="1"/>
  <c r="A253" i="55" s="1"/>
  <c r="B253" i="55"/>
  <c r="J252" i="55"/>
  <c r="K252" i="55" s="1"/>
  <c r="I252" i="55"/>
  <c r="M252" i="55" s="1"/>
  <c r="A252" i="55" s="1"/>
  <c r="B252" i="55"/>
  <c r="M251" i="55"/>
  <c r="A251" i="55" s="1"/>
  <c r="J251" i="55"/>
  <c r="K251" i="55" s="1"/>
  <c r="I251" i="55"/>
  <c r="B251" i="55"/>
  <c r="J250" i="55"/>
  <c r="K250" i="55" s="1"/>
  <c r="I250" i="55"/>
  <c r="M250" i="55" s="1"/>
  <c r="A250" i="55" s="1"/>
  <c r="B250" i="55"/>
  <c r="J249" i="55"/>
  <c r="K249" i="55" s="1"/>
  <c r="I249" i="55"/>
  <c r="M249" i="55" s="1"/>
  <c r="A249" i="55" s="1"/>
  <c r="B249" i="55"/>
  <c r="J248" i="55"/>
  <c r="K248" i="55" s="1"/>
  <c r="I248" i="55"/>
  <c r="M248" i="55" s="1"/>
  <c r="A248" i="55" s="1"/>
  <c r="B248" i="55"/>
  <c r="J247" i="55"/>
  <c r="K247" i="55" s="1"/>
  <c r="I247" i="55"/>
  <c r="M247" i="55" s="1"/>
  <c r="A247" i="55" s="1"/>
  <c r="B247" i="55"/>
  <c r="M246" i="55"/>
  <c r="A246" i="55" s="1"/>
  <c r="J246" i="55"/>
  <c r="K246" i="55" s="1"/>
  <c r="I246" i="55"/>
  <c r="B246" i="55"/>
  <c r="J245" i="55"/>
  <c r="K245" i="55" s="1"/>
  <c r="I245" i="55"/>
  <c r="M245" i="55" s="1"/>
  <c r="A245" i="55" s="1"/>
  <c r="B245" i="55"/>
  <c r="J244" i="55"/>
  <c r="K244" i="55" s="1"/>
  <c r="I244" i="55"/>
  <c r="M244" i="55" s="1"/>
  <c r="A244" i="55" s="1"/>
  <c r="B244" i="55"/>
  <c r="J243" i="55"/>
  <c r="K243" i="55" s="1"/>
  <c r="I243" i="55"/>
  <c r="M243" i="55" s="1"/>
  <c r="A243" i="55" s="1"/>
  <c r="B243" i="55"/>
  <c r="M242" i="55"/>
  <c r="A242" i="55" s="1"/>
  <c r="J242" i="55"/>
  <c r="K242" i="55" s="1"/>
  <c r="I242" i="55"/>
  <c r="B242" i="55"/>
  <c r="J241" i="55"/>
  <c r="K241" i="55" s="1"/>
  <c r="I241" i="55"/>
  <c r="M241" i="55" s="1"/>
  <c r="A241" i="55" s="1"/>
  <c r="B241" i="55"/>
  <c r="J240" i="55"/>
  <c r="K240" i="55" s="1"/>
  <c r="I240" i="55"/>
  <c r="M240" i="55" s="1"/>
  <c r="A240" i="55" s="1"/>
  <c r="B240" i="55"/>
  <c r="J239" i="55"/>
  <c r="K239" i="55" s="1"/>
  <c r="I239" i="55"/>
  <c r="M239" i="55" s="1"/>
  <c r="A239" i="55" s="1"/>
  <c r="B239" i="55"/>
  <c r="M238" i="55"/>
  <c r="A238" i="55" s="1"/>
  <c r="J238" i="55"/>
  <c r="K238" i="55" s="1"/>
  <c r="I238" i="55"/>
  <c r="B238" i="55"/>
  <c r="J237" i="55"/>
  <c r="K237" i="55" s="1"/>
  <c r="I237" i="55"/>
  <c r="M237" i="55" s="1"/>
  <c r="A237" i="55" s="1"/>
  <c r="B237" i="55"/>
  <c r="J236" i="55"/>
  <c r="K236" i="55" s="1"/>
  <c r="I236" i="55"/>
  <c r="M236" i="55" s="1"/>
  <c r="B236" i="55"/>
  <c r="A236" i="55"/>
  <c r="M235" i="55"/>
  <c r="A235" i="55" s="1"/>
  <c r="J235" i="55"/>
  <c r="K235" i="55" s="1"/>
  <c r="I235" i="55"/>
  <c r="B235" i="55"/>
  <c r="M234" i="55"/>
  <c r="A234" i="55" s="1"/>
  <c r="J234" i="55"/>
  <c r="K234" i="55" s="1"/>
  <c r="I234" i="55"/>
  <c r="B234" i="55"/>
  <c r="J233" i="55"/>
  <c r="K233" i="55" s="1"/>
  <c r="I233" i="55"/>
  <c r="M233" i="55" s="1"/>
  <c r="A233" i="55" s="1"/>
  <c r="B233" i="55"/>
  <c r="J232" i="55"/>
  <c r="K232" i="55" s="1"/>
  <c r="I232" i="55"/>
  <c r="M232" i="55" s="1"/>
  <c r="A232" i="55" s="1"/>
  <c r="B232" i="55"/>
  <c r="J231" i="55"/>
  <c r="K231" i="55" s="1"/>
  <c r="I231" i="55"/>
  <c r="M231" i="55" s="1"/>
  <c r="A231" i="55" s="1"/>
  <c r="B231" i="55"/>
  <c r="M230" i="55"/>
  <c r="A230" i="55" s="1"/>
  <c r="J230" i="55"/>
  <c r="K230" i="55" s="1"/>
  <c r="I230" i="55"/>
  <c r="B230" i="55"/>
  <c r="J229" i="55"/>
  <c r="K229" i="55" s="1"/>
  <c r="I229" i="55"/>
  <c r="M229" i="55" s="1"/>
  <c r="A229" i="55" s="1"/>
  <c r="B229" i="55"/>
  <c r="J228" i="55"/>
  <c r="K228" i="55" s="1"/>
  <c r="I228" i="55"/>
  <c r="M228" i="55" s="1"/>
  <c r="A228" i="55" s="1"/>
  <c r="B228" i="55"/>
  <c r="M227" i="55"/>
  <c r="J227" i="55"/>
  <c r="K227" i="55" s="1"/>
  <c r="I227" i="55"/>
  <c r="B227" i="55"/>
  <c r="A227" i="55"/>
  <c r="K226" i="55"/>
  <c r="J226" i="55"/>
  <c r="I226" i="55"/>
  <c r="M226" i="55" s="1"/>
  <c r="A226" i="55" s="1"/>
  <c r="B226" i="55"/>
  <c r="J225" i="55"/>
  <c r="K225" i="55" s="1"/>
  <c r="I225" i="55"/>
  <c r="M225" i="55" s="1"/>
  <c r="A225" i="55" s="1"/>
  <c r="B225" i="55"/>
  <c r="J224" i="55"/>
  <c r="K224" i="55" s="1"/>
  <c r="I224" i="55"/>
  <c r="M224" i="55" s="1"/>
  <c r="A224" i="55" s="1"/>
  <c r="B224" i="55"/>
  <c r="J223" i="55"/>
  <c r="K223" i="55" s="1"/>
  <c r="I223" i="55"/>
  <c r="M223" i="55" s="1"/>
  <c r="A223" i="55" s="1"/>
  <c r="B223" i="55"/>
  <c r="K222" i="55"/>
  <c r="J222" i="55"/>
  <c r="I222" i="55"/>
  <c r="M222" i="55" s="1"/>
  <c r="A222" i="55" s="1"/>
  <c r="B222" i="55"/>
  <c r="J221" i="55"/>
  <c r="K221" i="55" s="1"/>
  <c r="I221" i="55"/>
  <c r="M221" i="55" s="1"/>
  <c r="A221" i="55" s="1"/>
  <c r="B221" i="55"/>
  <c r="J220" i="55"/>
  <c r="K220" i="55" s="1"/>
  <c r="I220" i="55"/>
  <c r="M220" i="55" s="1"/>
  <c r="A220" i="55" s="1"/>
  <c r="B220" i="55"/>
  <c r="J219" i="55"/>
  <c r="K219" i="55" s="1"/>
  <c r="I219" i="55"/>
  <c r="M219" i="55" s="1"/>
  <c r="A219" i="55" s="1"/>
  <c r="B219" i="55"/>
  <c r="M218" i="55"/>
  <c r="A218" i="55" s="1"/>
  <c r="J218" i="55"/>
  <c r="K218" i="55" s="1"/>
  <c r="I218" i="55"/>
  <c r="B218" i="55"/>
  <c r="J217" i="55"/>
  <c r="K217" i="55" s="1"/>
  <c r="I217" i="55"/>
  <c r="M217" i="55" s="1"/>
  <c r="A217" i="55" s="1"/>
  <c r="B217" i="55"/>
  <c r="J216" i="55"/>
  <c r="K216" i="55" s="1"/>
  <c r="I216" i="55"/>
  <c r="M216" i="55" s="1"/>
  <c r="A216" i="55" s="1"/>
  <c r="B216" i="55"/>
  <c r="J215" i="55"/>
  <c r="K215" i="55" s="1"/>
  <c r="I215" i="55"/>
  <c r="M215" i="55" s="1"/>
  <c r="A215" i="55" s="1"/>
  <c r="B215" i="55"/>
  <c r="K214" i="55"/>
  <c r="J214" i="55"/>
  <c r="I214" i="55"/>
  <c r="M214" i="55" s="1"/>
  <c r="A214" i="55" s="1"/>
  <c r="B214" i="55"/>
  <c r="K213" i="55"/>
  <c r="J213" i="55"/>
  <c r="I213" i="55"/>
  <c r="M213" i="55" s="1"/>
  <c r="A213" i="55" s="1"/>
  <c r="B213" i="55"/>
  <c r="K212" i="55"/>
  <c r="J212" i="55"/>
  <c r="I212" i="55"/>
  <c r="M212" i="55" s="1"/>
  <c r="B212" i="55"/>
  <c r="A212" i="55"/>
  <c r="M211" i="55"/>
  <c r="J211" i="55"/>
  <c r="K211" i="55" s="1"/>
  <c r="I211" i="55"/>
  <c r="B211" i="55"/>
  <c r="A211" i="55"/>
  <c r="J210" i="55"/>
  <c r="K210" i="55" s="1"/>
  <c r="I210" i="55"/>
  <c r="M210" i="55" s="1"/>
  <c r="A210" i="55" s="1"/>
  <c r="B210" i="55"/>
  <c r="J209" i="55"/>
  <c r="K209" i="55" s="1"/>
  <c r="I209" i="55"/>
  <c r="M209" i="55" s="1"/>
  <c r="A209" i="55" s="1"/>
  <c r="B209" i="55"/>
  <c r="J208" i="55"/>
  <c r="K208" i="55" s="1"/>
  <c r="I208" i="55"/>
  <c r="M208" i="55" s="1"/>
  <c r="A208" i="55" s="1"/>
  <c r="B208" i="55"/>
  <c r="M207" i="55"/>
  <c r="A207" i="55" s="1"/>
  <c r="J207" i="55"/>
  <c r="K207" i="55" s="1"/>
  <c r="I207" i="55"/>
  <c r="B207" i="55"/>
  <c r="M206" i="55"/>
  <c r="A206" i="55" s="1"/>
  <c r="J206" i="55"/>
  <c r="K206" i="55" s="1"/>
  <c r="I206" i="55"/>
  <c r="B206" i="55"/>
  <c r="J205" i="55"/>
  <c r="K205" i="55" s="1"/>
  <c r="I205" i="55"/>
  <c r="M205" i="55" s="1"/>
  <c r="A205" i="55" s="1"/>
  <c r="B205" i="55"/>
  <c r="J204" i="55"/>
  <c r="K204" i="55" s="1"/>
  <c r="I204" i="55"/>
  <c r="M204" i="55" s="1"/>
  <c r="A204" i="55" s="1"/>
  <c r="B204" i="55"/>
  <c r="M203" i="55"/>
  <c r="A203" i="55" s="1"/>
  <c r="J203" i="55"/>
  <c r="K203" i="55" s="1"/>
  <c r="I203" i="55"/>
  <c r="B203" i="55"/>
  <c r="M202" i="55"/>
  <c r="A202" i="55" s="1"/>
  <c r="J202" i="55"/>
  <c r="K202" i="55" s="1"/>
  <c r="I202" i="55"/>
  <c r="B202" i="55"/>
  <c r="J201" i="55"/>
  <c r="K201" i="55" s="1"/>
  <c r="I201" i="55"/>
  <c r="M201" i="55" s="1"/>
  <c r="A201" i="55" s="1"/>
  <c r="B201" i="55"/>
  <c r="J200" i="55"/>
  <c r="K200" i="55" s="1"/>
  <c r="I200" i="55"/>
  <c r="M200" i="55" s="1"/>
  <c r="A200" i="55" s="1"/>
  <c r="B200" i="55"/>
  <c r="J199" i="55"/>
  <c r="K199" i="55" s="1"/>
  <c r="I199" i="55"/>
  <c r="M199" i="55" s="1"/>
  <c r="A199" i="55" s="1"/>
  <c r="B199" i="55"/>
  <c r="J198" i="55"/>
  <c r="K198" i="55" s="1"/>
  <c r="I198" i="55"/>
  <c r="M198" i="55" s="1"/>
  <c r="A198" i="55" s="1"/>
  <c r="B198" i="55"/>
  <c r="J197" i="55"/>
  <c r="K197" i="55" s="1"/>
  <c r="I197" i="55"/>
  <c r="M197" i="55" s="1"/>
  <c r="A197" i="55" s="1"/>
  <c r="B197" i="55"/>
  <c r="J196" i="55"/>
  <c r="K196" i="55" s="1"/>
  <c r="I196" i="55"/>
  <c r="M196" i="55" s="1"/>
  <c r="B196" i="55"/>
  <c r="A196" i="55"/>
  <c r="M195" i="55"/>
  <c r="J195" i="55"/>
  <c r="K195" i="55" s="1"/>
  <c r="I195" i="55"/>
  <c r="B195" i="55"/>
  <c r="A195" i="55"/>
  <c r="J194" i="55"/>
  <c r="K194" i="55" s="1"/>
  <c r="I194" i="55"/>
  <c r="M194" i="55" s="1"/>
  <c r="A194" i="55" s="1"/>
  <c r="B194" i="55"/>
  <c r="J193" i="55"/>
  <c r="K193" i="55" s="1"/>
  <c r="I193" i="55"/>
  <c r="M193" i="55" s="1"/>
  <c r="A193" i="55" s="1"/>
  <c r="B193" i="55"/>
  <c r="M192" i="55"/>
  <c r="A192" i="55" s="1"/>
  <c r="J192" i="55"/>
  <c r="K192" i="55" s="1"/>
  <c r="I192" i="55"/>
  <c r="B192" i="55"/>
  <c r="M191" i="55"/>
  <c r="J191" i="55"/>
  <c r="K191" i="55" s="1"/>
  <c r="I191" i="55"/>
  <c r="B191" i="55"/>
  <c r="A191" i="55"/>
  <c r="M190" i="55"/>
  <c r="A190" i="55" s="1"/>
  <c r="J190" i="55"/>
  <c r="K190" i="55" s="1"/>
  <c r="I190" i="55"/>
  <c r="B190" i="55"/>
  <c r="J189" i="55"/>
  <c r="K189" i="55" s="1"/>
  <c r="I189" i="55"/>
  <c r="M189" i="55" s="1"/>
  <c r="A189" i="55" s="1"/>
  <c r="B189" i="55"/>
  <c r="J188" i="55"/>
  <c r="K188" i="55" s="1"/>
  <c r="I188" i="55"/>
  <c r="M188" i="55" s="1"/>
  <c r="A188" i="55" s="1"/>
  <c r="B188" i="55"/>
  <c r="J187" i="55"/>
  <c r="K187" i="55" s="1"/>
  <c r="I187" i="55"/>
  <c r="M187" i="55" s="1"/>
  <c r="A187" i="55" s="1"/>
  <c r="B187" i="55"/>
  <c r="M186" i="55"/>
  <c r="A186" i="55" s="1"/>
  <c r="J186" i="55"/>
  <c r="K186" i="55" s="1"/>
  <c r="I186" i="55"/>
  <c r="B186" i="55"/>
  <c r="J185" i="55"/>
  <c r="K185" i="55" s="1"/>
  <c r="I185" i="55"/>
  <c r="M185" i="55" s="1"/>
  <c r="A185" i="55" s="1"/>
  <c r="B185" i="55"/>
  <c r="J184" i="55"/>
  <c r="K184" i="55" s="1"/>
  <c r="I184" i="55"/>
  <c r="M184" i="55" s="1"/>
  <c r="A184" i="55" s="1"/>
  <c r="B184" i="55"/>
  <c r="J183" i="55"/>
  <c r="K183" i="55" s="1"/>
  <c r="I183" i="55"/>
  <c r="M183" i="55" s="1"/>
  <c r="A183" i="55" s="1"/>
  <c r="B183" i="55"/>
  <c r="J182" i="55"/>
  <c r="K182" i="55" s="1"/>
  <c r="I182" i="55"/>
  <c r="M182" i="55" s="1"/>
  <c r="A182" i="55" s="1"/>
  <c r="B182" i="55"/>
  <c r="J181" i="55"/>
  <c r="K181" i="55" s="1"/>
  <c r="I181" i="55"/>
  <c r="M181" i="55" s="1"/>
  <c r="A181" i="55" s="1"/>
  <c r="B181" i="55"/>
  <c r="M180" i="55"/>
  <c r="A180" i="55" s="1"/>
  <c r="J180" i="55"/>
  <c r="K180" i="55" s="1"/>
  <c r="I180" i="55"/>
  <c r="B180" i="55"/>
  <c r="J179" i="55"/>
  <c r="K179" i="55" s="1"/>
  <c r="I179" i="55"/>
  <c r="M179" i="55" s="1"/>
  <c r="A179" i="55" s="1"/>
  <c r="B179" i="55"/>
  <c r="M178" i="55"/>
  <c r="A178" i="55" s="1"/>
  <c r="J178" i="55"/>
  <c r="K178" i="55" s="1"/>
  <c r="I178" i="55"/>
  <c r="B178" i="55"/>
  <c r="J177" i="55"/>
  <c r="K177" i="55" s="1"/>
  <c r="I177" i="55"/>
  <c r="M177" i="55" s="1"/>
  <c r="A177" i="55" s="1"/>
  <c r="B177" i="55"/>
  <c r="J176" i="55"/>
  <c r="K176" i="55" s="1"/>
  <c r="I176" i="55"/>
  <c r="M176" i="55" s="1"/>
  <c r="A176" i="55" s="1"/>
  <c r="B176" i="55"/>
  <c r="J175" i="55"/>
  <c r="K175" i="55" s="1"/>
  <c r="I175" i="55"/>
  <c r="M175" i="55" s="1"/>
  <c r="A175" i="55" s="1"/>
  <c r="B175" i="55"/>
  <c r="M174" i="55"/>
  <c r="A174" i="55" s="1"/>
  <c r="J174" i="55"/>
  <c r="K174" i="55" s="1"/>
  <c r="I174" i="55"/>
  <c r="B174" i="55"/>
  <c r="J173" i="55"/>
  <c r="K173" i="55" s="1"/>
  <c r="I173" i="55"/>
  <c r="M173" i="55" s="1"/>
  <c r="A173" i="55" s="1"/>
  <c r="B173" i="55"/>
  <c r="J172" i="55"/>
  <c r="K172" i="55" s="1"/>
  <c r="I172" i="55"/>
  <c r="M172" i="55" s="1"/>
  <c r="A172" i="55" s="1"/>
  <c r="B172" i="55"/>
  <c r="J171" i="55"/>
  <c r="K171" i="55" s="1"/>
  <c r="I171" i="55"/>
  <c r="M171" i="55" s="1"/>
  <c r="A171" i="55" s="1"/>
  <c r="B171" i="55"/>
  <c r="M170" i="55"/>
  <c r="A170" i="55" s="1"/>
  <c r="J170" i="55"/>
  <c r="K170" i="55" s="1"/>
  <c r="I170" i="55"/>
  <c r="B170" i="55"/>
  <c r="M169" i="55"/>
  <c r="A169" i="55" s="1"/>
  <c r="J169" i="55"/>
  <c r="K169" i="55" s="1"/>
  <c r="I169" i="55"/>
  <c r="B169" i="55"/>
  <c r="J168" i="55"/>
  <c r="K168" i="55" s="1"/>
  <c r="I168" i="55"/>
  <c r="M168" i="55" s="1"/>
  <c r="A168" i="55" s="1"/>
  <c r="B168" i="55"/>
  <c r="J167" i="55"/>
  <c r="K167" i="55" s="1"/>
  <c r="I167" i="55"/>
  <c r="M167" i="55" s="1"/>
  <c r="A167" i="55" s="1"/>
  <c r="B167" i="55"/>
  <c r="J166" i="55"/>
  <c r="K166" i="55" s="1"/>
  <c r="I166" i="55"/>
  <c r="M166" i="55" s="1"/>
  <c r="A166" i="55" s="1"/>
  <c r="B166" i="55"/>
  <c r="J165" i="55"/>
  <c r="K165" i="55" s="1"/>
  <c r="I165" i="55"/>
  <c r="M165" i="55" s="1"/>
  <c r="A165" i="55" s="1"/>
  <c r="B165" i="55"/>
  <c r="J164" i="55"/>
  <c r="K164" i="55" s="1"/>
  <c r="I164" i="55"/>
  <c r="M164" i="55" s="1"/>
  <c r="A164" i="55" s="1"/>
  <c r="B164" i="55"/>
  <c r="J163" i="55"/>
  <c r="K163" i="55" s="1"/>
  <c r="I163" i="55"/>
  <c r="M163" i="55" s="1"/>
  <c r="A163" i="55" s="1"/>
  <c r="B163" i="55"/>
  <c r="J162" i="55"/>
  <c r="K162" i="55" s="1"/>
  <c r="I162" i="55"/>
  <c r="M162" i="55" s="1"/>
  <c r="A162" i="55" s="1"/>
  <c r="B162" i="55"/>
  <c r="J161" i="55"/>
  <c r="K161" i="55" s="1"/>
  <c r="I161" i="55"/>
  <c r="M161" i="55" s="1"/>
  <c r="A161" i="55" s="1"/>
  <c r="B161" i="55"/>
  <c r="J160" i="55"/>
  <c r="K160" i="55" s="1"/>
  <c r="I160" i="55"/>
  <c r="M160" i="55" s="1"/>
  <c r="A160" i="55" s="1"/>
  <c r="B160" i="55"/>
  <c r="J159" i="55"/>
  <c r="K159" i="55" s="1"/>
  <c r="I159" i="55"/>
  <c r="M159" i="55" s="1"/>
  <c r="A159" i="55" s="1"/>
  <c r="B159" i="55"/>
  <c r="J158" i="55"/>
  <c r="K158" i="55" s="1"/>
  <c r="I158" i="55"/>
  <c r="M158" i="55" s="1"/>
  <c r="A158" i="55" s="1"/>
  <c r="B158" i="55"/>
  <c r="J157" i="55"/>
  <c r="K157" i="55" s="1"/>
  <c r="I157" i="55"/>
  <c r="M157" i="55" s="1"/>
  <c r="A157" i="55" s="1"/>
  <c r="B157" i="55"/>
  <c r="M156" i="55"/>
  <c r="A156" i="55" s="1"/>
  <c r="J156" i="55"/>
  <c r="K156" i="55" s="1"/>
  <c r="I156" i="55"/>
  <c r="B156" i="55"/>
  <c r="M155" i="55"/>
  <c r="A155" i="55" s="1"/>
  <c r="J155" i="55"/>
  <c r="K155" i="55" s="1"/>
  <c r="I155" i="55"/>
  <c r="B155" i="55"/>
  <c r="J154" i="55"/>
  <c r="K154" i="55" s="1"/>
  <c r="I154" i="55"/>
  <c r="M154" i="55" s="1"/>
  <c r="A154" i="55" s="1"/>
  <c r="B154" i="55"/>
  <c r="J153" i="55"/>
  <c r="K153" i="55" s="1"/>
  <c r="I153" i="55"/>
  <c r="M153" i="55" s="1"/>
  <c r="A153" i="55" s="1"/>
  <c r="B153" i="55"/>
  <c r="J152" i="55"/>
  <c r="K152" i="55" s="1"/>
  <c r="I152" i="55"/>
  <c r="M152" i="55" s="1"/>
  <c r="A152" i="55" s="1"/>
  <c r="B152" i="55"/>
  <c r="M151" i="55"/>
  <c r="A151" i="55" s="1"/>
  <c r="J151" i="55"/>
  <c r="K151" i="55" s="1"/>
  <c r="I151" i="55"/>
  <c r="B151" i="55"/>
  <c r="M150" i="55"/>
  <c r="A150" i="55" s="1"/>
  <c r="J150" i="55"/>
  <c r="K150" i="55" s="1"/>
  <c r="I150" i="55"/>
  <c r="B150" i="55"/>
  <c r="J149" i="55"/>
  <c r="K149" i="55" s="1"/>
  <c r="I149" i="55"/>
  <c r="M149" i="55" s="1"/>
  <c r="A149" i="55" s="1"/>
  <c r="B149" i="55"/>
  <c r="M148" i="55"/>
  <c r="A148" i="55" s="1"/>
  <c r="J148" i="55"/>
  <c r="K148" i="55" s="1"/>
  <c r="I148" i="55"/>
  <c r="B148" i="55"/>
  <c r="M147" i="55"/>
  <c r="A147" i="55" s="1"/>
  <c r="J147" i="55"/>
  <c r="K147" i="55" s="1"/>
  <c r="I147" i="55"/>
  <c r="B147" i="55"/>
  <c r="M146" i="55"/>
  <c r="A146" i="55" s="1"/>
  <c r="J146" i="55"/>
  <c r="K146" i="55" s="1"/>
  <c r="I146" i="55"/>
  <c r="B146" i="55"/>
  <c r="M145" i="55"/>
  <c r="A145" i="55" s="1"/>
  <c r="J145" i="55"/>
  <c r="K145" i="55" s="1"/>
  <c r="I145" i="55"/>
  <c r="B145" i="55"/>
  <c r="J144" i="55"/>
  <c r="K144" i="55" s="1"/>
  <c r="I144" i="55"/>
  <c r="M144" i="55" s="1"/>
  <c r="A144" i="55" s="1"/>
  <c r="B144" i="55"/>
  <c r="M143" i="55"/>
  <c r="A143" i="55" s="1"/>
  <c r="J143" i="55"/>
  <c r="K143" i="55" s="1"/>
  <c r="I143" i="55"/>
  <c r="B143" i="55"/>
  <c r="M142" i="55"/>
  <c r="A142" i="55" s="1"/>
  <c r="J142" i="55"/>
  <c r="K142" i="55" s="1"/>
  <c r="I142" i="55"/>
  <c r="B142" i="55"/>
  <c r="J141" i="55"/>
  <c r="K141" i="55" s="1"/>
  <c r="I141" i="55"/>
  <c r="M141" i="55" s="1"/>
  <c r="A141" i="55" s="1"/>
  <c r="B141" i="55"/>
  <c r="J140" i="55"/>
  <c r="K140" i="55" s="1"/>
  <c r="I140" i="55"/>
  <c r="M140" i="55" s="1"/>
  <c r="A140" i="55" s="1"/>
  <c r="B140" i="55"/>
  <c r="J139" i="55"/>
  <c r="K139" i="55" s="1"/>
  <c r="I139" i="55"/>
  <c r="M139" i="55" s="1"/>
  <c r="A139" i="55" s="1"/>
  <c r="B139" i="55"/>
  <c r="M138" i="55"/>
  <c r="A138" i="55" s="1"/>
  <c r="J138" i="55"/>
  <c r="K138" i="55" s="1"/>
  <c r="I138" i="55"/>
  <c r="B138" i="55"/>
  <c r="M137" i="55"/>
  <c r="A137" i="55" s="1"/>
  <c r="J137" i="55"/>
  <c r="K137" i="55" s="1"/>
  <c r="I137" i="55"/>
  <c r="B137" i="55"/>
  <c r="J136" i="55"/>
  <c r="K136" i="55" s="1"/>
  <c r="I136" i="55"/>
  <c r="M136" i="55" s="1"/>
  <c r="A136" i="55" s="1"/>
  <c r="B136" i="55"/>
  <c r="J135" i="55"/>
  <c r="K135" i="55" s="1"/>
  <c r="I135" i="55"/>
  <c r="M135" i="55" s="1"/>
  <c r="A135" i="55" s="1"/>
  <c r="B135" i="55"/>
  <c r="J134" i="55"/>
  <c r="K134" i="55" s="1"/>
  <c r="I134" i="55"/>
  <c r="M134" i="55" s="1"/>
  <c r="A134" i="55" s="1"/>
  <c r="B134" i="55"/>
  <c r="J133" i="55"/>
  <c r="K133" i="55" s="1"/>
  <c r="I133" i="55"/>
  <c r="M133" i="55" s="1"/>
  <c r="A133" i="55" s="1"/>
  <c r="B133" i="55"/>
  <c r="J132" i="55"/>
  <c r="K132" i="55" s="1"/>
  <c r="I132" i="55"/>
  <c r="M132" i="55" s="1"/>
  <c r="A132" i="55" s="1"/>
  <c r="B132" i="55"/>
  <c r="J131" i="55"/>
  <c r="K131" i="55" s="1"/>
  <c r="I131" i="55"/>
  <c r="M131" i="55" s="1"/>
  <c r="A131" i="55" s="1"/>
  <c r="B131" i="55"/>
  <c r="J130" i="55"/>
  <c r="K130" i="55" s="1"/>
  <c r="I130" i="55"/>
  <c r="M130" i="55" s="1"/>
  <c r="A130" i="55" s="1"/>
  <c r="B130" i="55"/>
  <c r="J129" i="55"/>
  <c r="K129" i="55" s="1"/>
  <c r="I129" i="55"/>
  <c r="M129" i="55" s="1"/>
  <c r="A129" i="55" s="1"/>
  <c r="B129" i="55"/>
  <c r="J128" i="55"/>
  <c r="K128" i="55" s="1"/>
  <c r="I128" i="55"/>
  <c r="M128" i="55" s="1"/>
  <c r="A128" i="55" s="1"/>
  <c r="B128" i="55"/>
  <c r="J127" i="55"/>
  <c r="K127" i="55" s="1"/>
  <c r="I127" i="55"/>
  <c r="M127" i="55" s="1"/>
  <c r="A127" i="55" s="1"/>
  <c r="B127" i="55"/>
  <c r="J126" i="55"/>
  <c r="K126" i="55" s="1"/>
  <c r="I126" i="55"/>
  <c r="M126" i="55" s="1"/>
  <c r="A126" i="55" s="1"/>
  <c r="B126" i="55"/>
  <c r="J125" i="55"/>
  <c r="K125" i="55" s="1"/>
  <c r="I125" i="55"/>
  <c r="M125" i="55" s="1"/>
  <c r="A125" i="55" s="1"/>
  <c r="B125" i="55"/>
  <c r="J124" i="55"/>
  <c r="K124" i="55" s="1"/>
  <c r="I124" i="55"/>
  <c r="M124" i="55" s="1"/>
  <c r="A124" i="55" s="1"/>
  <c r="B124" i="55"/>
  <c r="J123" i="55"/>
  <c r="K123" i="55" s="1"/>
  <c r="I123" i="55"/>
  <c r="M123" i="55" s="1"/>
  <c r="A123" i="55" s="1"/>
  <c r="B123" i="55"/>
  <c r="J122" i="55"/>
  <c r="K122" i="55" s="1"/>
  <c r="I122" i="55"/>
  <c r="M122" i="55" s="1"/>
  <c r="A122" i="55" s="1"/>
  <c r="B122" i="55"/>
  <c r="K121" i="55"/>
  <c r="J121" i="55"/>
  <c r="I121" i="55"/>
  <c r="M121" i="55" s="1"/>
  <c r="A121" i="55" s="1"/>
  <c r="B121" i="55"/>
  <c r="J120" i="55"/>
  <c r="K120" i="55" s="1"/>
  <c r="I120" i="55"/>
  <c r="M120" i="55" s="1"/>
  <c r="A120" i="55" s="1"/>
  <c r="B120" i="55"/>
  <c r="J119" i="55"/>
  <c r="K119" i="55" s="1"/>
  <c r="I119" i="55"/>
  <c r="M119" i="55" s="1"/>
  <c r="A119" i="55" s="1"/>
  <c r="B119" i="55"/>
  <c r="J118" i="55"/>
  <c r="K118" i="55" s="1"/>
  <c r="I118" i="55"/>
  <c r="M118" i="55" s="1"/>
  <c r="A118" i="55" s="1"/>
  <c r="B118" i="55"/>
  <c r="K117" i="55"/>
  <c r="J117" i="55"/>
  <c r="I117" i="55"/>
  <c r="M117" i="55" s="1"/>
  <c r="A117" i="55" s="1"/>
  <c r="B117" i="55"/>
  <c r="J116" i="55"/>
  <c r="K116" i="55" s="1"/>
  <c r="I116" i="55"/>
  <c r="M116" i="55" s="1"/>
  <c r="A116" i="55" s="1"/>
  <c r="B116" i="55"/>
  <c r="M115" i="55"/>
  <c r="A115" i="55" s="1"/>
  <c r="K115" i="55"/>
  <c r="J115" i="55"/>
  <c r="I115" i="55"/>
  <c r="B115" i="55"/>
  <c r="J114" i="55"/>
  <c r="K114" i="55" s="1"/>
  <c r="I114" i="55"/>
  <c r="M114" i="55" s="1"/>
  <c r="A114" i="55" s="1"/>
  <c r="B114" i="55"/>
  <c r="K113" i="55"/>
  <c r="J113" i="55"/>
  <c r="I113" i="55"/>
  <c r="M113" i="55" s="1"/>
  <c r="A113" i="55" s="1"/>
  <c r="B113" i="55"/>
  <c r="J112" i="55"/>
  <c r="K112" i="55" s="1"/>
  <c r="I112" i="55"/>
  <c r="M112" i="55" s="1"/>
  <c r="A112" i="55" s="1"/>
  <c r="B112" i="55"/>
  <c r="K111" i="55"/>
  <c r="J111" i="55"/>
  <c r="I111" i="55"/>
  <c r="M111" i="55" s="1"/>
  <c r="A111" i="55" s="1"/>
  <c r="B111" i="55"/>
  <c r="J110" i="55"/>
  <c r="K110" i="55" s="1"/>
  <c r="I110" i="55"/>
  <c r="M110" i="55" s="1"/>
  <c r="A110" i="55" s="1"/>
  <c r="B110" i="55"/>
  <c r="J109" i="55"/>
  <c r="K109" i="55" s="1"/>
  <c r="I109" i="55"/>
  <c r="M109" i="55" s="1"/>
  <c r="A109" i="55" s="1"/>
  <c r="B109" i="55"/>
  <c r="J108" i="55"/>
  <c r="K108" i="55" s="1"/>
  <c r="I108" i="55"/>
  <c r="M108" i="55" s="1"/>
  <c r="A108" i="55" s="1"/>
  <c r="B108" i="55"/>
  <c r="J107" i="55"/>
  <c r="K107" i="55" s="1"/>
  <c r="I107" i="55"/>
  <c r="M107" i="55" s="1"/>
  <c r="A107" i="55" s="1"/>
  <c r="B107" i="55"/>
  <c r="J106" i="55"/>
  <c r="K106" i="55" s="1"/>
  <c r="I106" i="55"/>
  <c r="M106" i="55" s="1"/>
  <c r="A106" i="55" s="1"/>
  <c r="B106" i="55"/>
  <c r="K105" i="55"/>
  <c r="J105" i="55"/>
  <c r="I105" i="55"/>
  <c r="M105" i="55" s="1"/>
  <c r="A105" i="55" s="1"/>
  <c r="B105" i="55"/>
  <c r="J104" i="55"/>
  <c r="K104" i="55" s="1"/>
  <c r="I104" i="55"/>
  <c r="M104" i="55" s="1"/>
  <c r="A104" i="55" s="1"/>
  <c r="B104" i="55"/>
  <c r="J103" i="55"/>
  <c r="K103" i="55" s="1"/>
  <c r="I103" i="55"/>
  <c r="M103" i="55" s="1"/>
  <c r="A103" i="55" s="1"/>
  <c r="B103" i="55"/>
  <c r="J102" i="55"/>
  <c r="K102" i="55" s="1"/>
  <c r="I102" i="55"/>
  <c r="M102" i="55" s="1"/>
  <c r="A102" i="55" s="1"/>
  <c r="B102" i="55"/>
  <c r="K101" i="55"/>
  <c r="J101" i="55"/>
  <c r="I101" i="55"/>
  <c r="M101" i="55" s="1"/>
  <c r="A101" i="55" s="1"/>
  <c r="B101" i="55"/>
  <c r="J100" i="55"/>
  <c r="K100" i="55" s="1"/>
  <c r="I100" i="55"/>
  <c r="M100" i="55" s="1"/>
  <c r="A100" i="55" s="1"/>
  <c r="B100" i="55"/>
  <c r="M99" i="55"/>
  <c r="A99" i="55" s="1"/>
  <c r="K99" i="55"/>
  <c r="J99" i="55"/>
  <c r="I99" i="55"/>
  <c r="B99" i="55"/>
  <c r="J98" i="55"/>
  <c r="K98" i="55" s="1"/>
  <c r="I98" i="55"/>
  <c r="M98" i="55" s="1"/>
  <c r="A98" i="55" s="1"/>
  <c r="B98" i="55"/>
  <c r="K97" i="55"/>
  <c r="J97" i="55"/>
  <c r="I97" i="55"/>
  <c r="M97" i="55" s="1"/>
  <c r="A97" i="55" s="1"/>
  <c r="B97" i="55"/>
  <c r="J96" i="55"/>
  <c r="K96" i="55" s="1"/>
  <c r="I96" i="55"/>
  <c r="M96" i="55" s="1"/>
  <c r="A96" i="55" s="1"/>
  <c r="B96" i="55"/>
  <c r="K95" i="55"/>
  <c r="J95" i="55"/>
  <c r="I95" i="55"/>
  <c r="M95" i="55" s="1"/>
  <c r="A95" i="55" s="1"/>
  <c r="B95" i="55"/>
  <c r="J94" i="55"/>
  <c r="K94" i="55" s="1"/>
  <c r="I94" i="55"/>
  <c r="M94" i="55" s="1"/>
  <c r="A94" i="55" s="1"/>
  <c r="B94" i="55"/>
  <c r="J93" i="55"/>
  <c r="K93" i="55" s="1"/>
  <c r="I93" i="55"/>
  <c r="M93" i="55" s="1"/>
  <c r="A93" i="55" s="1"/>
  <c r="B93" i="55"/>
  <c r="J92" i="55"/>
  <c r="K92" i="55" s="1"/>
  <c r="I92" i="55"/>
  <c r="M92" i="55" s="1"/>
  <c r="A92" i="55" s="1"/>
  <c r="B92" i="55"/>
  <c r="J91" i="55"/>
  <c r="K91" i="55" s="1"/>
  <c r="I91" i="55"/>
  <c r="M91" i="55" s="1"/>
  <c r="A91" i="55" s="1"/>
  <c r="B91" i="55"/>
  <c r="J90" i="55"/>
  <c r="K90" i="55" s="1"/>
  <c r="I90" i="55"/>
  <c r="M90" i="55" s="1"/>
  <c r="A90" i="55" s="1"/>
  <c r="B90" i="55"/>
  <c r="J89" i="55"/>
  <c r="K89" i="55" s="1"/>
  <c r="I89" i="55"/>
  <c r="M89" i="55" s="1"/>
  <c r="A89" i="55" s="1"/>
  <c r="B89" i="55"/>
  <c r="J88" i="55"/>
  <c r="K88" i="55" s="1"/>
  <c r="I88" i="55"/>
  <c r="M88" i="55" s="1"/>
  <c r="A88" i="55" s="1"/>
  <c r="B88" i="55"/>
  <c r="J87" i="55"/>
  <c r="K87" i="55" s="1"/>
  <c r="I87" i="55"/>
  <c r="M87" i="55" s="1"/>
  <c r="A87" i="55" s="1"/>
  <c r="B87" i="55"/>
  <c r="J86" i="55"/>
  <c r="K86" i="55" s="1"/>
  <c r="I86" i="55"/>
  <c r="M86" i="55" s="1"/>
  <c r="A86" i="55" s="1"/>
  <c r="B86" i="55"/>
  <c r="K85" i="55"/>
  <c r="J85" i="55"/>
  <c r="I85" i="55"/>
  <c r="M85" i="55" s="1"/>
  <c r="A85" i="55" s="1"/>
  <c r="B85" i="55"/>
  <c r="J84" i="55"/>
  <c r="K84" i="55" s="1"/>
  <c r="I84" i="55"/>
  <c r="M84" i="55" s="1"/>
  <c r="A84" i="55" s="1"/>
  <c r="B84" i="55"/>
  <c r="M83" i="55"/>
  <c r="A83" i="55" s="1"/>
  <c r="K83" i="55"/>
  <c r="J83" i="55"/>
  <c r="I83" i="55"/>
  <c r="B83" i="55"/>
  <c r="J82" i="55"/>
  <c r="K82" i="55" s="1"/>
  <c r="I82" i="55"/>
  <c r="M82" i="55" s="1"/>
  <c r="A82" i="55" s="1"/>
  <c r="B82" i="55"/>
  <c r="K81" i="55"/>
  <c r="J81" i="55"/>
  <c r="I81" i="55"/>
  <c r="M81" i="55" s="1"/>
  <c r="A81" i="55" s="1"/>
  <c r="B81" i="55"/>
  <c r="J80" i="55"/>
  <c r="K80" i="55" s="1"/>
  <c r="I80" i="55"/>
  <c r="M80" i="55" s="1"/>
  <c r="A80" i="55" s="1"/>
  <c r="B80" i="55"/>
  <c r="K79" i="55"/>
  <c r="J79" i="55"/>
  <c r="I79" i="55"/>
  <c r="M79" i="55" s="1"/>
  <c r="A79" i="55" s="1"/>
  <c r="B79" i="55"/>
  <c r="J78" i="55"/>
  <c r="K78" i="55" s="1"/>
  <c r="I78" i="55"/>
  <c r="M78" i="55" s="1"/>
  <c r="A78" i="55" s="1"/>
  <c r="B78" i="55"/>
  <c r="J77" i="55"/>
  <c r="K77" i="55" s="1"/>
  <c r="I77" i="55"/>
  <c r="M77" i="55" s="1"/>
  <c r="A77" i="55" s="1"/>
  <c r="B77" i="55"/>
  <c r="J76" i="55"/>
  <c r="K76" i="55" s="1"/>
  <c r="I76" i="55"/>
  <c r="M76" i="55" s="1"/>
  <c r="A76" i="55" s="1"/>
  <c r="B76" i="55"/>
  <c r="J75" i="55"/>
  <c r="K75" i="55" s="1"/>
  <c r="I75" i="55"/>
  <c r="M75" i="55" s="1"/>
  <c r="A75" i="55" s="1"/>
  <c r="B75" i="55"/>
  <c r="J74" i="55"/>
  <c r="K74" i="55" s="1"/>
  <c r="I74" i="55"/>
  <c r="M74" i="55" s="1"/>
  <c r="A74" i="55" s="1"/>
  <c r="B74" i="55"/>
  <c r="K73" i="55"/>
  <c r="J73" i="55"/>
  <c r="I73" i="55"/>
  <c r="M73" i="55" s="1"/>
  <c r="A73" i="55" s="1"/>
  <c r="B73" i="55"/>
  <c r="J72" i="55"/>
  <c r="K72" i="55" s="1"/>
  <c r="I72" i="55"/>
  <c r="M72" i="55" s="1"/>
  <c r="A72" i="55" s="1"/>
  <c r="B72" i="55"/>
  <c r="J71" i="55"/>
  <c r="K71" i="55" s="1"/>
  <c r="I71" i="55"/>
  <c r="M71" i="55" s="1"/>
  <c r="A71" i="55" s="1"/>
  <c r="B71" i="55"/>
  <c r="J70" i="55"/>
  <c r="K70" i="55" s="1"/>
  <c r="I70" i="55"/>
  <c r="M70" i="55" s="1"/>
  <c r="A70" i="55" s="1"/>
  <c r="B70" i="55"/>
  <c r="K69" i="55"/>
  <c r="J69" i="55"/>
  <c r="I69" i="55"/>
  <c r="M69" i="55" s="1"/>
  <c r="A69" i="55" s="1"/>
  <c r="B69" i="55"/>
  <c r="J68" i="55"/>
  <c r="K68" i="55" s="1"/>
  <c r="I68" i="55"/>
  <c r="M68" i="55" s="1"/>
  <c r="A68" i="55" s="1"/>
  <c r="B68" i="55"/>
  <c r="M67" i="55"/>
  <c r="A67" i="55" s="1"/>
  <c r="K67" i="55"/>
  <c r="J67" i="55"/>
  <c r="I67" i="55"/>
  <c r="B67" i="55"/>
  <c r="J66" i="55"/>
  <c r="K66" i="55" s="1"/>
  <c r="I66" i="55"/>
  <c r="M66" i="55" s="1"/>
  <c r="A66" i="55" s="1"/>
  <c r="B66" i="55"/>
  <c r="K65" i="55"/>
  <c r="J65" i="55"/>
  <c r="I65" i="55"/>
  <c r="M65" i="55" s="1"/>
  <c r="A65" i="55" s="1"/>
  <c r="B65" i="55"/>
  <c r="J64" i="55"/>
  <c r="K64" i="55" s="1"/>
  <c r="I64" i="55"/>
  <c r="M64" i="55" s="1"/>
  <c r="A64" i="55" s="1"/>
  <c r="B64" i="55"/>
  <c r="K63" i="55"/>
  <c r="J63" i="55"/>
  <c r="I63" i="55"/>
  <c r="M63" i="55" s="1"/>
  <c r="A63" i="55" s="1"/>
  <c r="B63" i="55"/>
  <c r="J62" i="55"/>
  <c r="K62" i="55" s="1"/>
  <c r="I62" i="55"/>
  <c r="M62" i="55" s="1"/>
  <c r="A62" i="55" s="1"/>
  <c r="B62" i="55"/>
  <c r="J61" i="55"/>
  <c r="K61" i="55" s="1"/>
  <c r="I61" i="55"/>
  <c r="M61" i="55" s="1"/>
  <c r="A61" i="55" s="1"/>
  <c r="B61" i="55"/>
  <c r="J60" i="55"/>
  <c r="K60" i="55" s="1"/>
  <c r="I60" i="55"/>
  <c r="M60" i="55" s="1"/>
  <c r="A60" i="55" s="1"/>
  <c r="B60" i="55"/>
  <c r="J59" i="55"/>
  <c r="K59" i="55" s="1"/>
  <c r="I59" i="55"/>
  <c r="M59" i="55" s="1"/>
  <c r="A59" i="55" s="1"/>
  <c r="B59" i="55"/>
  <c r="J58" i="55"/>
  <c r="K58" i="55" s="1"/>
  <c r="I58" i="55"/>
  <c r="M58" i="55" s="1"/>
  <c r="A58" i="55" s="1"/>
  <c r="B58" i="55"/>
  <c r="J57" i="55"/>
  <c r="K57" i="55" s="1"/>
  <c r="I57" i="55"/>
  <c r="M57" i="55" s="1"/>
  <c r="A57" i="55" s="1"/>
  <c r="B57" i="55"/>
  <c r="J56" i="55"/>
  <c r="K56" i="55" s="1"/>
  <c r="I56" i="55"/>
  <c r="M56" i="55" s="1"/>
  <c r="A56" i="55" s="1"/>
  <c r="B56" i="55"/>
  <c r="J55" i="55"/>
  <c r="K55" i="55" s="1"/>
  <c r="I55" i="55"/>
  <c r="M55" i="55" s="1"/>
  <c r="A55" i="55" s="1"/>
  <c r="B55" i="55"/>
  <c r="J54" i="55"/>
  <c r="K54" i="55" s="1"/>
  <c r="I54" i="55"/>
  <c r="M54" i="55" s="1"/>
  <c r="A54" i="55" s="1"/>
  <c r="B54" i="55"/>
  <c r="K53" i="55"/>
  <c r="J53" i="55"/>
  <c r="I53" i="55"/>
  <c r="M53" i="55" s="1"/>
  <c r="A53" i="55" s="1"/>
  <c r="B53" i="55"/>
  <c r="J52" i="55"/>
  <c r="K52" i="55" s="1"/>
  <c r="I52" i="55"/>
  <c r="M52" i="55" s="1"/>
  <c r="A52" i="55" s="1"/>
  <c r="B52" i="55"/>
  <c r="M51" i="55"/>
  <c r="A51" i="55" s="1"/>
  <c r="J51" i="55"/>
  <c r="K51" i="55" s="1"/>
  <c r="I51" i="55"/>
  <c r="B51" i="55"/>
  <c r="J50" i="55"/>
  <c r="K50" i="55" s="1"/>
  <c r="I50" i="55"/>
  <c r="M50" i="55" s="1"/>
  <c r="A50" i="55" s="1"/>
  <c r="B50" i="55"/>
  <c r="K49" i="55"/>
  <c r="J49" i="55"/>
  <c r="I49" i="55"/>
  <c r="M49" i="55" s="1"/>
  <c r="A49" i="55" s="1"/>
  <c r="B49" i="55"/>
  <c r="J48" i="55"/>
  <c r="K48" i="55" s="1"/>
  <c r="I48" i="55"/>
  <c r="M48" i="55" s="1"/>
  <c r="A48" i="55" s="1"/>
  <c r="B48" i="55"/>
  <c r="K47" i="55"/>
  <c r="J47" i="55"/>
  <c r="I47" i="55"/>
  <c r="M47" i="55" s="1"/>
  <c r="A47" i="55" s="1"/>
  <c r="B47" i="55"/>
  <c r="J46" i="55"/>
  <c r="K46" i="55" s="1"/>
  <c r="I46" i="55"/>
  <c r="M46" i="55" s="1"/>
  <c r="A46" i="55" s="1"/>
  <c r="B46" i="55"/>
  <c r="K45" i="55"/>
  <c r="J45" i="55"/>
  <c r="I45" i="55"/>
  <c r="M45" i="55" s="1"/>
  <c r="A45" i="55" s="1"/>
  <c r="B45" i="55"/>
  <c r="J44" i="55"/>
  <c r="K44" i="55" s="1"/>
  <c r="I44" i="55"/>
  <c r="M44" i="55" s="1"/>
  <c r="A44" i="55" s="1"/>
  <c r="B44" i="55"/>
  <c r="M43" i="55"/>
  <c r="A43" i="55" s="1"/>
  <c r="K43" i="55"/>
  <c r="J43" i="55"/>
  <c r="I43" i="55"/>
  <c r="B43" i="55"/>
  <c r="J42" i="55"/>
  <c r="K42" i="55" s="1"/>
  <c r="I42" i="55"/>
  <c r="M42" i="55" s="1"/>
  <c r="A42" i="55" s="1"/>
  <c r="B42" i="55"/>
  <c r="M41" i="55"/>
  <c r="K41" i="55"/>
  <c r="J41" i="55"/>
  <c r="I41" i="55"/>
  <c r="B41" i="55"/>
  <c r="A41" i="55"/>
  <c r="J40" i="55"/>
  <c r="K40" i="55" s="1"/>
  <c r="I40" i="55"/>
  <c r="M40" i="55" s="1"/>
  <c r="A40" i="55" s="1"/>
  <c r="B40" i="55"/>
  <c r="K39" i="55"/>
  <c r="J39" i="55"/>
  <c r="I39" i="55"/>
  <c r="M39" i="55" s="1"/>
  <c r="A39" i="55" s="1"/>
  <c r="B39" i="55"/>
  <c r="J38" i="55"/>
  <c r="K38" i="55" s="1"/>
  <c r="I38" i="55"/>
  <c r="M38" i="55" s="1"/>
  <c r="A38" i="55" s="1"/>
  <c r="B38" i="55"/>
  <c r="K37" i="55"/>
  <c r="J37" i="55"/>
  <c r="I37" i="55"/>
  <c r="M37" i="55" s="1"/>
  <c r="A37" i="55" s="1"/>
  <c r="B37" i="55"/>
  <c r="J36" i="55"/>
  <c r="K36" i="55" s="1"/>
  <c r="I36" i="55"/>
  <c r="M36" i="55" s="1"/>
  <c r="A36" i="55" s="1"/>
  <c r="B36" i="55"/>
  <c r="J35" i="55"/>
  <c r="K35" i="55" s="1"/>
  <c r="I35" i="55"/>
  <c r="M35" i="55" s="1"/>
  <c r="A35" i="55" s="1"/>
  <c r="B35" i="55"/>
  <c r="J34" i="55"/>
  <c r="K34" i="55" s="1"/>
  <c r="I34" i="55"/>
  <c r="M34" i="55" s="1"/>
  <c r="A34" i="55" s="1"/>
  <c r="B34" i="55"/>
  <c r="J33" i="55"/>
  <c r="K33" i="55" s="1"/>
  <c r="I33" i="55"/>
  <c r="M33" i="55" s="1"/>
  <c r="A33" i="55" s="1"/>
  <c r="B33" i="55"/>
  <c r="J32" i="55"/>
  <c r="K32" i="55" s="1"/>
  <c r="I32" i="55"/>
  <c r="M32" i="55" s="1"/>
  <c r="A32" i="55" s="1"/>
  <c r="B32" i="55"/>
  <c r="K31" i="55"/>
  <c r="J31" i="55"/>
  <c r="I31" i="55"/>
  <c r="M31" i="55" s="1"/>
  <c r="A31" i="55" s="1"/>
  <c r="B31" i="55"/>
  <c r="J30" i="55"/>
  <c r="K30" i="55" s="1"/>
  <c r="I30" i="55"/>
  <c r="M30" i="55" s="1"/>
  <c r="A30" i="55" s="1"/>
  <c r="B30" i="55"/>
  <c r="K29" i="55"/>
  <c r="J29" i="55"/>
  <c r="I29" i="55"/>
  <c r="M29" i="55" s="1"/>
  <c r="A29" i="55" s="1"/>
  <c r="B29" i="55"/>
  <c r="J28" i="55"/>
  <c r="K28" i="55" s="1"/>
  <c r="I28" i="55"/>
  <c r="M28" i="55" s="1"/>
  <c r="A28" i="55" s="1"/>
  <c r="B28" i="55"/>
  <c r="M27" i="55"/>
  <c r="A27" i="55" s="1"/>
  <c r="K27" i="55"/>
  <c r="J27" i="55"/>
  <c r="I27" i="55"/>
  <c r="B27" i="55"/>
  <c r="J26" i="55"/>
  <c r="K26" i="55" s="1"/>
  <c r="I26" i="55"/>
  <c r="M26" i="55" s="1"/>
  <c r="A26" i="55" s="1"/>
  <c r="B26" i="55"/>
  <c r="M25" i="55"/>
  <c r="A25" i="55" s="1"/>
  <c r="K25" i="55"/>
  <c r="J25" i="55"/>
  <c r="I25" i="55"/>
  <c r="B25" i="55"/>
  <c r="J24" i="55"/>
  <c r="K24" i="55" s="1"/>
  <c r="I24" i="55"/>
  <c r="B24" i="55"/>
  <c r="K23" i="55"/>
  <c r="J23" i="55"/>
  <c r="I23" i="55"/>
  <c r="M23" i="55" s="1"/>
  <c r="A23" i="55" s="1"/>
  <c r="B23" i="55"/>
  <c r="J22" i="55"/>
  <c r="K22" i="55" s="1"/>
  <c r="I22" i="55"/>
  <c r="B22" i="55"/>
  <c r="K21" i="55"/>
  <c r="J21" i="55"/>
  <c r="I21" i="55"/>
  <c r="M21" i="55" s="1"/>
  <c r="A21" i="55" s="1"/>
  <c r="B21" i="55"/>
  <c r="J20" i="55"/>
  <c r="K20" i="55" s="1"/>
  <c r="I20" i="55"/>
  <c r="M20" i="55" s="1"/>
  <c r="A20" i="55" s="1"/>
  <c r="B20" i="55"/>
  <c r="J19" i="55"/>
  <c r="K19" i="55" s="1"/>
  <c r="I19" i="55"/>
  <c r="M19" i="55" s="1"/>
  <c r="A19" i="55" s="1"/>
  <c r="B19" i="55"/>
  <c r="J18" i="55"/>
  <c r="K18" i="55" s="1"/>
  <c r="I18" i="55"/>
  <c r="M18" i="55" s="1"/>
  <c r="A18" i="55" s="1"/>
  <c r="B18" i="55"/>
  <c r="J17" i="55"/>
  <c r="K17" i="55" s="1"/>
  <c r="I17" i="55"/>
  <c r="B17" i="55"/>
  <c r="J16" i="55"/>
  <c r="K16" i="55" s="1"/>
  <c r="I16" i="55"/>
  <c r="B16" i="55"/>
  <c r="K15" i="55"/>
  <c r="J15" i="55"/>
  <c r="I15" i="55"/>
  <c r="M15" i="55" s="1"/>
  <c r="A15" i="55" s="1"/>
  <c r="B15" i="55"/>
  <c r="J14" i="55"/>
  <c r="K14" i="55" s="1"/>
  <c r="I14" i="55"/>
  <c r="B14" i="55"/>
  <c r="J13" i="55"/>
  <c r="K13" i="55" s="1"/>
  <c r="M13" i="55" s="1"/>
  <c r="A13" i="55" s="1"/>
  <c r="I13" i="55"/>
  <c r="B13" i="55"/>
  <c r="J12" i="55"/>
  <c r="K12" i="55" s="1"/>
  <c r="I12" i="55"/>
  <c r="B12" i="55"/>
  <c r="J11" i="55"/>
  <c r="K11" i="55" s="1"/>
  <c r="M11" i="55" s="1"/>
  <c r="A11" i="55" s="1"/>
  <c r="I11" i="55"/>
  <c r="B11" i="55"/>
  <c r="J10" i="55"/>
  <c r="K10" i="55" s="1"/>
  <c r="I10" i="55"/>
  <c r="M10" i="55" s="1"/>
  <c r="A10" i="55" s="1"/>
  <c r="B10" i="55"/>
  <c r="K9" i="55"/>
  <c r="J9" i="55"/>
  <c r="I9" i="55"/>
  <c r="B9" i="55"/>
  <c r="J8" i="55"/>
  <c r="K8" i="55" s="1"/>
  <c r="I8" i="55"/>
  <c r="B8" i="55"/>
  <c r="J7" i="55"/>
  <c r="K7" i="55" s="1"/>
  <c r="I7" i="55"/>
  <c r="M7" i="55" s="1"/>
  <c r="A7" i="55" s="1"/>
  <c r="B7" i="55"/>
  <c r="J6" i="55"/>
  <c r="K6" i="55" s="1"/>
  <c r="I6" i="55"/>
  <c r="B6" i="55"/>
  <c r="K2" i="55"/>
  <c r="L7" i="55" s="1"/>
  <c r="AJ24" i="31" a="1"/>
  <c r="AJ24" i="31" s="1"/>
  <c r="AK24" i="31" s="1"/>
  <c r="AJ22" i="31" a="1"/>
  <c r="AJ22" i="31" s="1"/>
  <c r="AK22" i="31" s="1"/>
  <c r="AJ27" i="31" a="1"/>
  <c r="AJ27" i="31" s="1"/>
  <c r="AK27" i="31" s="1"/>
  <c r="AJ30" i="31" a="1"/>
  <c r="AJ30" i="31" s="1"/>
  <c r="AK30" i="31" s="1"/>
  <c r="AJ29" i="31" a="1"/>
  <c r="AJ29" i="31" s="1"/>
  <c r="AK29" i="31" s="1"/>
  <c r="AJ28" i="31" a="1"/>
  <c r="AJ28" i="31" s="1"/>
  <c r="AK28" i="31" s="1"/>
  <c r="AJ23" i="31" a="1"/>
  <c r="AJ23" i="31" s="1"/>
  <c r="AK23" i="31" s="1"/>
  <c r="AJ17" i="31" a="1"/>
  <c r="AJ17" i="31" s="1"/>
  <c r="AK17" i="31" s="1"/>
  <c r="AJ20" i="31" a="1"/>
  <c r="AJ20" i="31" s="1"/>
  <c r="AK20" i="31" s="1"/>
  <c r="AJ19" i="31" a="1"/>
  <c r="AJ19" i="31" s="1"/>
  <c r="AK19" i="31" s="1"/>
  <c r="AJ21" i="31" a="1"/>
  <c r="AJ21" i="31" s="1"/>
  <c r="AK21" i="31" s="1"/>
  <c r="AJ10" i="31" a="1"/>
  <c r="AJ10" i="31" s="1"/>
  <c r="AK10" i="31" s="1"/>
  <c r="AJ9" i="31" a="1"/>
  <c r="AJ9" i="31" s="1"/>
  <c r="AK9" i="31" s="1"/>
  <c r="AJ15" i="31" a="1"/>
  <c r="AJ15" i="31" s="1"/>
  <c r="AK15" i="31" s="1"/>
  <c r="AJ14" i="31" a="1"/>
  <c r="AJ14" i="31" s="1"/>
  <c r="AK14" i="31" s="1"/>
  <c r="AJ26" i="31" a="1"/>
  <c r="AJ26" i="31" s="1"/>
  <c r="AK26" i="31" s="1"/>
  <c r="AJ13" i="31" a="1"/>
  <c r="AJ13" i="31" s="1"/>
  <c r="AK13" i="31" s="1"/>
  <c r="AJ12" i="31" a="1"/>
  <c r="AJ12" i="31" s="1"/>
  <c r="AK12" i="31" s="1"/>
  <c r="AJ11" i="31" a="1"/>
  <c r="AJ11" i="31" s="1"/>
  <c r="AK11" i="31" s="1"/>
  <c r="AJ16" i="31" a="1"/>
  <c r="AJ16" i="31" s="1"/>
  <c r="AK16" i="31" s="1"/>
  <c r="AJ7" i="31" a="1"/>
  <c r="AJ7" i="31" s="1"/>
  <c r="AK7" i="31" s="1"/>
  <c r="AJ6" i="31" a="1"/>
  <c r="AJ6" i="31" s="1"/>
  <c r="AK6" i="31" s="1"/>
  <c r="AJ8" i="31" a="1"/>
  <c r="AJ8" i="31" s="1"/>
  <c r="AK8" i="31" s="1"/>
  <c r="AI24" i="31"/>
  <c r="AI22" i="31"/>
  <c r="AI27" i="31"/>
  <c r="AI30" i="31"/>
  <c r="AI29" i="31"/>
  <c r="AI28" i="31"/>
  <c r="AI23" i="31"/>
  <c r="AI17" i="31"/>
  <c r="AI20" i="31"/>
  <c r="AI19" i="31"/>
  <c r="AI21" i="31"/>
  <c r="AI10" i="31"/>
  <c r="AI9" i="31"/>
  <c r="AI15" i="31"/>
  <c r="AI14" i="31"/>
  <c r="AI26" i="31"/>
  <c r="AI13" i="31"/>
  <c r="AI12" i="31"/>
  <c r="AI11" i="31"/>
  <c r="AI16" i="31"/>
  <c r="AI7" i="31"/>
  <c r="AI6" i="31"/>
  <c r="AI8" i="31"/>
  <c r="AG24" i="31"/>
  <c r="AG22" i="31"/>
  <c r="AG27" i="31"/>
  <c r="AG30" i="31"/>
  <c r="AG29" i="31"/>
  <c r="AG28" i="31"/>
  <c r="AG23" i="31"/>
  <c r="AG17" i="31"/>
  <c r="AG20" i="31"/>
  <c r="AG19" i="31"/>
  <c r="AG21" i="31"/>
  <c r="AG10" i="31"/>
  <c r="AG9" i="31"/>
  <c r="AG15" i="31"/>
  <c r="AG14" i="31"/>
  <c r="AG26" i="31"/>
  <c r="AG13" i="31"/>
  <c r="AG12" i="31"/>
  <c r="AG11" i="31"/>
  <c r="AG16" i="31"/>
  <c r="AG7" i="31"/>
  <c r="AG6" i="31"/>
  <c r="AG8" i="31"/>
  <c r="U24" i="31"/>
  <c r="U22" i="31"/>
  <c r="U27" i="31"/>
  <c r="U30" i="31"/>
  <c r="U29" i="31"/>
  <c r="U28" i="31"/>
  <c r="U23" i="31"/>
  <c r="U17" i="31"/>
  <c r="U20" i="31"/>
  <c r="U19" i="31"/>
  <c r="U21" i="31"/>
  <c r="U10" i="31"/>
  <c r="U9" i="31"/>
  <c r="U15" i="31"/>
  <c r="U14" i="31"/>
  <c r="U26" i="31"/>
  <c r="U13" i="31"/>
  <c r="U12" i="31"/>
  <c r="U11" i="31"/>
  <c r="U16" i="31"/>
  <c r="U7" i="31"/>
  <c r="U6" i="31"/>
  <c r="U8" i="31"/>
  <c r="AE24" i="31"/>
  <c r="AC24" i="31"/>
  <c r="AA24" i="31"/>
  <c r="Y24" i="31"/>
  <c r="W24" i="31"/>
  <c r="S24" i="31"/>
  <c r="P24" i="31"/>
  <c r="N24" i="31"/>
  <c r="L24" i="31"/>
  <c r="H24" i="31"/>
  <c r="A24" i="31"/>
  <c r="AE22" i="31"/>
  <c r="AC22" i="31"/>
  <c r="AA22" i="31"/>
  <c r="Y22" i="31"/>
  <c r="W22" i="31"/>
  <c r="S22" i="31"/>
  <c r="P22" i="31"/>
  <c r="N22" i="31"/>
  <c r="L22" i="31"/>
  <c r="H22" i="31"/>
  <c r="F22" i="31"/>
  <c r="A22" i="31"/>
  <c r="H27" i="31"/>
  <c r="H30" i="31"/>
  <c r="H29" i="31"/>
  <c r="H28" i="31"/>
  <c r="H23" i="31"/>
  <c r="H17" i="31"/>
  <c r="H20" i="31"/>
  <c r="H19" i="31"/>
  <c r="H21" i="31"/>
  <c r="H9" i="31"/>
  <c r="H15" i="31"/>
  <c r="H14" i="31"/>
  <c r="H26" i="31"/>
  <c r="H13" i="31"/>
  <c r="H12" i="31"/>
  <c r="H11" i="31"/>
  <c r="H16" i="31"/>
  <c r="H7" i="31"/>
  <c r="H6" i="31"/>
  <c r="H8" i="31"/>
  <c r="M17" i="55" l="1"/>
  <c r="A17" i="55" s="1"/>
  <c r="M9" i="55"/>
  <c r="A9" i="55" s="1"/>
  <c r="M12" i="55"/>
  <c r="A12" i="55" s="1"/>
  <c r="M14" i="55"/>
  <c r="A14" i="55" s="1"/>
  <c r="M16" i="55"/>
  <c r="A16" i="55" s="1"/>
  <c r="M22" i="55"/>
  <c r="A22" i="55" s="1"/>
  <c r="M24" i="55"/>
  <c r="A24" i="55" s="1"/>
  <c r="L6" i="55"/>
  <c r="M6" i="55" s="1"/>
  <c r="A6" i="55" s="1"/>
  <c r="L8" i="55"/>
  <c r="M8" i="55" s="1"/>
  <c r="A8" i="55" s="1"/>
  <c r="BG24" i="31"/>
  <c r="AY24" i="31"/>
  <c r="BF24" i="31"/>
  <c r="BE24" i="31"/>
  <c r="BD24" i="31"/>
  <c r="BC24" i="31"/>
  <c r="BB24" i="31"/>
  <c r="BA24" i="31"/>
  <c r="AZ24" i="31"/>
  <c r="F24" i="31"/>
  <c r="C22" i="31" a="1"/>
  <c r="C22" i="31" s="1"/>
  <c r="BG22" i="31"/>
  <c r="AY22" i="31"/>
  <c r="BF22" i="31"/>
  <c r="BE22" i="31"/>
  <c r="BD22" i="31"/>
  <c r="BC22" i="31"/>
  <c r="BA22" i="31"/>
  <c r="BB22" i="31"/>
  <c r="AZ22" i="31"/>
  <c r="AW22" i="31"/>
  <c r="AR22" i="31"/>
  <c r="AS22" i="31"/>
  <c r="AT22" i="31"/>
  <c r="AU22" i="31"/>
  <c r="AV22" i="31"/>
  <c r="H10" i="31"/>
  <c r="AW24" i="31" l="1"/>
  <c r="AV24" i="31"/>
  <c r="AU24" i="31"/>
  <c r="AT24" i="31"/>
  <c r="AS24" i="31"/>
  <c r="AR24" i="31"/>
  <c r="C24" i="31" a="1"/>
  <c r="C24" i="31" s="1"/>
  <c r="AN24" i="31" a="1"/>
  <c r="AN24" i="31" s="1"/>
  <c r="AM24" i="31" a="1"/>
  <c r="AM24" i="31" s="1"/>
  <c r="AM22" i="31" a="1"/>
  <c r="AM22" i="31" s="1"/>
  <c r="AN22" i="31" a="1"/>
  <c r="AN22" i="31" s="1"/>
  <c r="AP22" i="31" a="1"/>
  <c r="AP22" i="31" s="1"/>
  <c r="D22" i="31" s="1"/>
  <c r="AO22" i="31" a="1"/>
  <c r="AO22" i="31" s="1"/>
  <c r="AP24" i="31" l="1" a="1"/>
  <c r="AP24" i="31" s="1"/>
  <c r="D24" i="31" s="1"/>
  <c r="AO24" i="31" a="1"/>
  <c r="AO24" i="31" s="1"/>
  <c r="J373" i="54" l="1"/>
  <c r="J372" i="54"/>
  <c r="J371" i="54"/>
  <c r="J370" i="54"/>
  <c r="J369" i="54"/>
  <c r="J368" i="54"/>
  <c r="J367" i="54"/>
  <c r="J366" i="54"/>
  <c r="J365" i="54"/>
  <c r="J364" i="54"/>
  <c r="J363" i="54"/>
  <c r="J362" i="54"/>
  <c r="J361" i="54"/>
  <c r="J360" i="54"/>
  <c r="J359" i="54"/>
  <c r="J358" i="54"/>
  <c r="J357" i="54"/>
  <c r="J356" i="54"/>
  <c r="J355" i="54"/>
  <c r="J354" i="54"/>
  <c r="J353" i="54"/>
  <c r="J352" i="54"/>
  <c r="J351" i="54"/>
  <c r="J350" i="54"/>
  <c r="J349" i="54"/>
  <c r="J348" i="54"/>
  <c r="J347" i="54"/>
  <c r="J346" i="54"/>
  <c r="J345" i="54"/>
  <c r="J344" i="54"/>
  <c r="J343" i="54"/>
  <c r="J342" i="54"/>
  <c r="J341" i="54"/>
  <c r="J340" i="54"/>
  <c r="J339" i="54"/>
  <c r="J338" i="54"/>
  <c r="J337" i="54"/>
  <c r="J336" i="54"/>
  <c r="J335" i="54"/>
  <c r="J334" i="54"/>
  <c r="J333" i="54"/>
  <c r="J332" i="54"/>
  <c r="J331" i="54"/>
  <c r="J330" i="54"/>
  <c r="J329" i="54"/>
  <c r="J328" i="54"/>
  <c r="J327" i="54"/>
  <c r="J326" i="54"/>
  <c r="J325" i="54"/>
  <c r="J324" i="54"/>
  <c r="J323" i="54"/>
  <c r="J322" i="54"/>
  <c r="J321" i="54"/>
  <c r="J320" i="54"/>
  <c r="J319" i="54"/>
  <c r="J318" i="54"/>
  <c r="J317" i="54"/>
  <c r="J316" i="54"/>
  <c r="J315" i="54"/>
  <c r="J314" i="54"/>
  <c r="J313" i="54"/>
  <c r="J312" i="54"/>
  <c r="J311" i="54"/>
  <c r="J310" i="54"/>
  <c r="J309" i="54"/>
  <c r="J308" i="54"/>
  <c r="J307" i="54"/>
  <c r="J306" i="54"/>
  <c r="J305" i="54"/>
  <c r="K305" i="54" s="1"/>
  <c r="I305" i="54"/>
  <c r="M305" i="54" s="1"/>
  <c r="J304" i="54"/>
  <c r="K304" i="54" s="1"/>
  <c r="I304" i="54"/>
  <c r="M304" i="54" s="1"/>
  <c r="J303" i="54"/>
  <c r="K303" i="54" s="1"/>
  <c r="I303" i="54"/>
  <c r="M303" i="54" s="1"/>
  <c r="J302" i="54"/>
  <c r="K302" i="54" s="1"/>
  <c r="I302" i="54"/>
  <c r="M302" i="54" s="1"/>
  <c r="J301" i="54"/>
  <c r="K301" i="54" s="1"/>
  <c r="I301" i="54"/>
  <c r="M301" i="54" s="1"/>
  <c r="J300" i="54"/>
  <c r="K300" i="54" s="1"/>
  <c r="I300" i="54"/>
  <c r="M300" i="54" s="1"/>
  <c r="J299" i="54"/>
  <c r="K299" i="54" s="1"/>
  <c r="I299" i="54"/>
  <c r="M299" i="54" s="1"/>
  <c r="J298" i="54"/>
  <c r="K298" i="54" s="1"/>
  <c r="I298" i="54"/>
  <c r="M298" i="54" s="1"/>
  <c r="J297" i="54"/>
  <c r="K297" i="54" s="1"/>
  <c r="I297" i="54"/>
  <c r="M297" i="54" s="1"/>
  <c r="J296" i="54"/>
  <c r="K296" i="54" s="1"/>
  <c r="I296" i="54"/>
  <c r="M296" i="54" s="1"/>
  <c r="J295" i="54"/>
  <c r="K295" i="54" s="1"/>
  <c r="I295" i="54"/>
  <c r="M295" i="54" s="1"/>
  <c r="J294" i="54"/>
  <c r="K294" i="54" s="1"/>
  <c r="I294" i="54"/>
  <c r="M294" i="54" s="1"/>
  <c r="J293" i="54"/>
  <c r="K293" i="54" s="1"/>
  <c r="I293" i="54"/>
  <c r="M293" i="54" s="1"/>
  <c r="J292" i="54"/>
  <c r="K292" i="54" s="1"/>
  <c r="I292" i="54"/>
  <c r="M292" i="54" s="1"/>
  <c r="J291" i="54"/>
  <c r="K291" i="54" s="1"/>
  <c r="I291" i="54"/>
  <c r="M291" i="54" s="1"/>
  <c r="J290" i="54"/>
  <c r="K290" i="54" s="1"/>
  <c r="I290" i="54"/>
  <c r="M290" i="54" s="1"/>
  <c r="J289" i="54"/>
  <c r="K289" i="54" s="1"/>
  <c r="I289" i="54"/>
  <c r="M289" i="54" s="1"/>
  <c r="J288" i="54"/>
  <c r="K288" i="54" s="1"/>
  <c r="I288" i="54"/>
  <c r="M288" i="54" s="1"/>
  <c r="J287" i="54"/>
  <c r="K287" i="54" s="1"/>
  <c r="I287" i="54"/>
  <c r="M287" i="54" s="1"/>
  <c r="J286" i="54"/>
  <c r="K286" i="54" s="1"/>
  <c r="I286" i="54"/>
  <c r="M286" i="54" s="1"/>
  <c r="J285" i="54"/>
  <c r="K285" i="54" s="1"/>
  <c r="I285" i="54"/>
  <c r="M285" i="54" s="1"/>
  <c r="J284" i="54"/>
  <c r="K284" i="54" s="1"/>
  <c r="I284" i="54"/>
  <c r="M284" i="54" s="1"/>
  <c r="J283" i="54"/>
  <c r="K283" i="54" s="1"/>
  <c r="I283" i="54"/>
  <c r="M283" i="54" s="1"/>
  <c r="J282" i="54"/>
  <c r="K282" i="54" s="1"/>
  <c r="I282" i="54"/>
  <c r="M282" i="54" s="1"/>
  <c r="J281" i="54"/>
  <c r="K281" i="54" s="1"/>
  <c r="I281" i="54"/>
  <c r="M281" i="54" s="1"/>
  <c r="J280" i="54"/>
  <c r="K280" i="54" s="1"/>
  <c r="I280" i="54"/>
  <c r="M280" i="54" s="1"/>
  <c r="J279" i="54"/>
  <c r="K279" i="54" s="1"/>
  <c r="I279" i="54"/>
  <c r="M279" i="54" s="1"/>
  <c r="J278" i="54"/>
  <c r="K278" i="54" s="1"/>
  <c r="I278" i="54"/>
  <c r="M278" i="54" s="1"/>
  <c r="J277" i="54"/>
  <c r="K277" i="54" s="1"/>
  <c r="I277" i="54"/>
  <c r="M277" i="54" s="1"/>
  <c r="J276" i="54"/>
  <c r="K276" i="54" s="1"/>
  <c r="I276" i="54"/>
  <c r="M276" i="54" s="1"/>
  <c r="J275" i="54"/>
  <c r="K275" i="54" s="1"/>
  <c r="I275" i="54"/>
  <c r="M275" i="54" s="1"/>
  <c r="J274" i="54"/>
  <c r="K274" i="54" s="1"/>
  <c r="I274" i="54"/>
  <c r="M274" i="54" s="1"/>
  <c r="J273" i="54"/>
  <c r="K273" i="54" s="1"/>
  <c r="I273" i="54"/>
  <c r="M273" i="54" s="1"/>
  <c r="J272" i="54"/>
  <c r="K272" i="54" s="1"/>
  <c r="I272" i="54"/>
  <c r="M272" i="54" s="1"/>
  <c r="J271" i="54"/>
  <c r="K271" i="54" s="1"/>
  <c r="I271" i="54"/>
  <c r="M271" i="54" s="1"/>
  <c r="J270" i="54"/>
  <c r="K270" i="54" s="1"/>
  <c r="I270" i="54"/>
  <c r="M270" i="54" s="1"/>
  <c r="J269" i="54"/>
  <c r="K269" i="54" s="1"/>
  <c r="I269" i="54"/>
  <c r="M269" i="54" s="1"/>
  <c r="A269" i="54" s="1"/>
  <c r="B269" i="54"/>
  <c r="J268" i="54"/>
  <c r="K268" i="54" s="1"/>
  <c r="I268" i="54"/>
  <c r="M268" i="54" s="1"/>
  <c r="A268" i="54" s="1"/>
  <c r="B268" i="54"/>
  <c r="J267" i="54"/>
  <c r="K267" i="54" s="1"/>
  <c r="I267" i="54"/>
  <c r="M267" i="54" s="1"/>
  <c r="A267" i="54" s="1"/>
  <c r="B267" i="54"/>
  <c r="K266" i="54"/>
  <c r="J266" i="54"/>
  <c r="I266" i="54"/>
  <c r="M266" i="54" s="1"/>
  <c r="A266" i="54" s="1"/>
  <c r="B266" i="54"/>
  <c r="J265" i="54"/>
  <c r="K265" i="54" s="1"/>
  <c r="I265" i="54"/>
  <c r="M265" i="54" s="1"/>
  <c r="A265" i="54" s="1"/>
  <c r="B265" i="54"/>
  <c r="J264" i="54"/>
  <c r="K264" i="54" s="1"/>
  <c r="I264" i="54"/>
  <c r="M264" i="54" s="1"/>
  <c r="A264" i="54" s="1"/>
  <c r="B264" i="54"/>
  <c r="J263" i="54"/>
  <c r="K263" i="54" s="1"/>
  <c r="I263" i="54"/>
  <c r="M263" i="54" s="1"/>
  <c r="A263" i="54" s="1"/>
  <c r="B263" i="54"/>
  <c r="M262" i="54"/>
  <c r="A262" i="54" s="1"/>
  <c r="J262" i="54"/>
  <c r="K262" i="54" s="1"/>
  <c r="I262" i="54"/>
  <c r="B262" i="54"/>
  <c r="K261" i="54"/>
  <c r="J261" i="54"/>
  <c r="I261" i="54"/>
  <c r="M261" i="54" s="1"/>
  <c r="A261" i="54" s="1"/>
  <c r="B261" i="54"/>
  <c r="J260" i="54"/>
  <c r="K260" i="54" s="1"/>
  <c r="I260" i="54"/>
  <c r="M260" i="54" s="1"/>
  <c r="A260" i="54" s="1"/>
  <c r="B260" i="54"/>
  <c r="J259" i="54"/>
  <c r="K259" i="54" s="1"/>
  <c r="I259" i="54"/>
  <c r="M259" i="54" s="1"/>
  <c r="A259" i="54" s="1"/>
  <c r="B259" i="54"/>
  <c r="M258" i="54"/>
  <c r="A258" i="54" s="1"/>
  <c r="J258" i="54"/>
  <c r="K258" i="54" s="1"/>
  <c r="I258" i="54"/>
  <c r="B258" i="54"/>
  <c r="J257" i="54"/>
  <c r="K257" i="54" s="1"/>
  <c r="I257" i="54"/>
  <c r="M257" i="54" s="1"/>
  <c r="A257" i="54" s="1"/>
  <c r="B257" i="54"/>
  <c r="J256" i="54"/>
  <c r="K256" i="54" s="1"/>
  <c r="I256" i="54"/>
  <c r="M256" i="54" s="1"/>
  <c r="A256" i="54" s="1"/>
  <c r="B256" i="54"/>
  <c r="M255" i="54"/>
  <c r="A255" i="54" s="1"/>
  <c r="J255" i="54"/>
  <c r="K255" i="54" s="1"/>
  <c r="I255" i="54"/>
  <c r="B255" i="54"/>
  <c r="J254" i="54"/>
  <c r="K254" i="54" s="1"/>
  <c r="I254" i="54"/>
  <c r="M254" i="54" s="1"/>
  <c r="A254" i="54" s="1"/>
  <c r="B254" i="54"/>
  <c r="J253" i="54"/>
  <c r="K253" i="54" s="1"/>
  <c r="I253" i="54"/>
  <c r="M253" i="54" s="1"/>
  <c r="A253" i="54" s="1"/>
  <c r="B253" i="54"/>
  <c r="J252" i="54"/>
  <c r="K252" i="54" s="1"/>
  <c r="I252" i="54"/>
  <c r="M252" i="54" s="1"/>
  <c r="A252" i="54" s="1"/>
  <c r="B252" i="54"/>
  <c r="M251" i="54"/>
  <c r="A251" i="54" s="1"/>
  <c r="J251" i="54"/>
  <c r="K251" i="54" s="1"/>
  <c r="I251" i="54"/>
  <c r="B251" i="54"/>
  <c r="J250" i="54"/>
  <c r="K250" i="54" s="1"/>
  <c r="I250" i="54"/>
  <c r="M250" i="54" s="1"/>
  <c r="A250" i="54" s="1"/>
  <c r="B250" i="54"/>
  <c r="J249" i="54"/>
  <c r="K249" i="54" s="1"/>
  <c r="I249" i="54"/>
  <c r="M249" i="54" s="1"/>
  <c r="A249" i="54" s="1"/>
  <c r="B249" i="54"/>
  <c r="J248" i="54"/>
  <c r="K248" i="54" s="1"/>
  <c r="I248" i="54"/>
  <c r="M248" i="54" s="1"/>
  <c r="A248" i="54" s="1"/>
  <c r="B248" i="54"/>
  <c r="M247" i="54"/>
  <c r="A247" i="54" s="1"/>
  <c r="J247" i="54"/>
  <c r="K247" i="54" s="1"/>
  <c r="I247" i="54"/>
  <c r="B247" i="54"/>
  <c r="J246" i="54"/>
  <c r="K246" i="54" s="1"/>
  <c r="I246" i="54"/>
  <c r="M246" i="54" s="1"/>
  <c r="A246" i="54" s="1"/>
  <c r="B246" i="54"/>
  <c r="K245" i="54"/>
  <c r="J245" i="54"/>
  <c r="I245" i="54"/>
  <c r="M245" i="54" s="1"/>
  <c r="A245" i="54" s="1"/>
  <c r="B245" i="54"/>
  <c r="J244" i="54"/>
  <c r="K244" i="54" s="1"/>
  <c r="I244" i="54"/>
  <c r="M244" i="54" s="1"/>
  <c r="A244" i="54" s="1"/>
  <c r="B244" i="54"/>
  <c r="M243" i="54"/>
  <c r="A243" i="54" s="1"/>
  <c r="J243" i="54"/>
  <c r="K243" i="54" s="1"/>
  <c r="I243" i="54"/>
  <c r="B243" i="54"/>
  <c r="M242" i="54"/>
  <c r="A242" i="54" s="1"/>
  <c r="K242" i="54"/>
  <c r="J242" i="54"/>
  <c r="I242" i="54"/>
  <c r="B242" i="54"/>
  <c r="J241" i="54"/>
  <c r="K241" i="54" s="1"/>
  <c r="I241" i="54"/>
  <c r="M241" i="54" s="1"/>
  <c r="A241" i="54" s="1"/>
  <c r="B241" i="54"/>
  <c r="M240" i="54"/>
  <c r="A240" i="54" s="1"/>
  <c r="J240" i="54"/>
  <c r="K240" i="54" s="1"/>
  <c r="I240" i="54"/>
  <c r="B240" i="54"/>
  <c r="M239" i="54"/>
  <c r="A239" i="54" s="1"/>
  <c r="J239" i="54"/>
  <c r="K239" i="54" s="1"/>
  <c r="I239" i="54"/>
  <c r="B239" i="54"/>
  <c r="K238" i="54"/>
  <c r="J238" i="54"/>
  <c r="I238" i="54"/>
  <c r="M238" i="54" s="1"/>
  <c r="A238" i="54" s="1"/>
  <c r="B238" i="54"/>
  <c r="J237" i="54"/>
  <c r="K237" i="54" s="1"/>
  <c r="I237" i="54"/>
  <c r="M237" i="54" s="1"/>
  <c r="A237" i="54" s="1"/>
  <c r="B237" i="54"/>
  <c r="J236" i="54"/>
  <c r="K236" i="54" s="1"/>
  <c r="I236" i="54"/>
  <c r="M236" i="54" s="1"/>
  <c r="A236" i="54" s="1"/>
  <c r="B236" i="54"/>
  <c r="J235" i="54"/>
  <c r="K235" i="54" s="1"/>
  <c r="I235" i="54"/>
  <c r="M235" i="54" s="1"/>
  <c r="A235" i="54" s="1"/>
  <c r="B235" i="54"/>
  <c r="K234" i="54"/>
  <c r="J234" i="54"/>
  <c r="I234" i="54"/>
  <c r="M234" i="54" s="1"/>
  <c r="A234" i="54" s="1"/>
  <c r="B234" i="54"/>
  <c r="J233" i="54"/>
  <c r="K233" i="54" s="1"/>
  <c r="I233" i="54"/>
  <c r="M233" i="54" s="1"/>
  <c r="A233" i="54" s="1"/>
  <c r="B233" i="54"/>
  <c r="J232" i="54"/>
  <c r="K232" i="54" s="1"/>
  <c r="I232" i="54"/>
  <c r="M232" i="54" s="1"/>
  <c r="A232" i="54" s="1"/>
  <c r="B232" i="54"/>
  <c r="J231" i="54"/>
  <c r="K231" i="54" s="1"/>
  <c r="I231" i="54"/>
  <c r="M231" i="54" s="1"/>
  <c r="A231" i="54" s="1"/>
  <c r="B231" i="54"/>
  <c r="M230" i="54"/>
  <c r="A230" i="54" s="1"/>
  <c r="J230" i="54"/>
  <c r="K230" i="54" s="1"/>
  <c r="I230" i="54"/>
  <c r="B230" i="54"/>
  <c r="K229" i="54"/>
  <c r="J229" i="54"/>
  <c r="I229" i="54"/>
  <c r="M229" i="54" s="1"/>
  <c r="A229" i="54" s="1"/>
  <c r="B229" i="54"/>
  <c r="M228" i="54"/>
  <c r="A228" i="54" s="1"/>
  <c r="J228" i="54"/>
  <c r="K228" i="54" s="1"/>
  <c r="I228" i="54"/>
  <c r="B228" i="54"/>
  <c r="M227" i="54"/>
  <c r="A227" i="54" s="1"/>
  <c r="J227" i="54"/>
  <c r="K227" i="54" s="1"/>
  <c r="I227" i="54"/>
  <c r="B227" i="54"/>
  <c r="J226" i="54"/>
  <c r="K226" i="54" s="1"/>
  <c r="I226" i="54"/>
  <c r="M226" i="54" s="1"/>
  <c r="A226" i="54" s="1"/>
  <c r="B226" i="54"/>
  <c r="J225" i="54"/>
  <c r="K225" i="54" s="1"/>
  <c r="I225" i="54"/>
  <c r="M225" i="54" s="1"/>
  <c r="A225" i="54" s="1"/>
  <c r="B225" i="54"/>
  <c r="J224" i="54"/>
  <c r="K224" i="54" s="1"/>
  <c r="I224" i="54"/>
  <c r="M224" i="54" s="1"/>
  <c r="A224" i="54" s="1"/>
  <c r="B224" i="54"/>
  <c r="J223" i="54"/>
  <c r="K223" i="54" s="1"/>
  <c r="I223" i="54"/>
  <c r="M223" i="54" s="1"/>
  <c r="A223" i="54" s="1"/>
  <c r="B223" i="54"/>
  <c r="M222" i="54"/>
  <c r="A222" i="54" s="1"/>
  <c r="K222" i="54"/>
  <c r="J222" i="54"/>
  <c r="I222" i="54"/>
  <c r="B222" i="54"/>
  <c r="J221" i="54"/>
  <c r="K221" i="54" s="1"/>
  <c r="I221" i="54"/>
  <c r="M221" i="54" s="1"/>
  <c r="A221" i="54" s="1"/>
  <c r="B221" i="54"/>
  <c r="J220" i="54"/>
  <c r="K220" i="54" s="1"/>
  <c r="I220" i="54"/>
  <c r="M220" i="54" s="1"/>
  <c r="A220" i="54" s="1"/>
  <c r="B220" i="54"/>
  <c r="J219" i="54"/>
  <c r="K219" i="54" s="1"/>
  <c r="I219" i="54"/>
  <c r="M219" i="54" s="1"/>
  <c r="A219" i="54" s="1"/>
  <c r="B219" i="54"/>
  <c r="M218" i="54"/>
  <c r="A218" i="54" s="1"/>
  <c r="K218" i="54"/>
  <c r="J218" i="54"/>
  <c r="I218" i="54"/>
  <c r="B218" i="54"/>
  <c r="J217" i="54"/>
  <c r="K217" i="54" s="1"/>
  <c r="I217" i="54"/>
  <c r="M217" i="54" s="1"/>
  <c r="A217" i="54" s="1"/>
  <c r="B217" i="54"/>
  <c r="J216" i="54"/>
  <c r="K216" i="54" s="1"/>
  <c r="I216" i="54"/>
  <c r="M216" i="54" s="1"/>
  <c r="A216" i="54" s="1"/>
  <c r="B216" i="54"/>
  <c r="J215" i="54"/>
  <c r="K215" i="54" s="1"/>
  <c r="I215" i="54"/>
  <c r="M215" i="54" s="1"/>
  <c r="A215" i="54" s="1"/>
  <c r="B215" i="54"/>
  <c r="M214" i="54"/>
  <c r="A214" i="54" s="1"/>
  <c r="J214" i="54"/>
  <c r="K214" i="54" s="1"/>
  <c r="I214" i="54"/>
  <c r="B214" i="54"/>
  <c r="K213" i="54"/>
  <c r="J213" i="54"/>
  <c r="I213" i="54"/>
  <c r="M213" i="54" s="1"/>
  <c r="A213" i="54" s="1"/>
  <c r="B213" i="54"/>
  <c r="M212" i="54"/>
  <c r="A212" i="54" s="1"/>
  <c r="J212" i="54"/>
  <c r="K212" i="54" s="1"/>
  <c r="I212" i="54"/>
  <c r="B212" i="54"/>
  <c r="J211" i="54"/>
  <c r="K211" i="54" s="1"/>
  <c r="I211" i="54"/>
  <c r="M211" i="54" s="1"/>
  <c r="A211" i="54" s="1"/>
  <c r="B211" i="54"/>
  <c r="J210" i="54"/>
  <c r="K210" i="54" s="1"/>
  <c r="I210" i="54"/>
  <c r="M210" i="54" s="1"/>
  <c r="A210" i="54" s="1"/>
  <c r="B210" i="54"/>
  <c r="J209" i="54"/>
  <c r="K209" i="54" s="1"/>
  <c r="I209" i="54"/>
  <c r="M209" i="54" s="1"/>
  <c r="A209" i="54" s="1"/>
  <c r="B209" i="54"/>
  <c r="M208" i="54"/>
  <c r="A208" i="54" s="1"/>
  <c r="J208" i="54"/>
  <c r="K208" i="54" s="1"/>
  <c r="I208" i="54"/>
  <c r="B208" i="54"/>
  <c r="J207" i="54"/>
  <c r="K207" i="54" s="1"/>
  <c r="I207" i="54"/>
  <c r="M207" i="54" s="1"/>
  <c r="A207" i="54" s="1"/>
  <c r="B207" i="54"/>
  <c r="M206" i="54"/>
  <c r="A206" i="54" s="1"/>
  <c r="J206" i="54"/>
  <c r="K206" i="54" s="1"/>
  <c r="I206" i="54"/>
  <c r="B206" i="54"/>
  <c r="J205" i="54"/>
  <c r="K205" i="54" s="1"/>
  <c r="I205" i="54"/>
  <c r="M205" i="54" s="1"/>
  <c r="A205" i="54" s="1"/>
  <c r="B205" i="54"/>
  <c r="J204" i="54"/>
  <c r="K204" i="54" s="1"/>
  <c r="I204" i="54"/>
  <c r="M204" i="54" s="1"/>
  <c r="A204" i="54" s="1"/>
  <c r="B204" i="54"/>
  <c r="J203" i="54"/>
  <c r="K203" i="54" s="1"/>
  <c r="I203" i="54"/>
  <c r="M203" i="54" s="1"/>
  <c r="A203" i="54" s="1"/>
  <c r="B203" i="54"/>
  <c r="M202" i="54"/>
  <c r="A202" i="54" s="1"/>
  <c r="J202" i="54"/>
  <c r="K202" i="54" s="1"/>
  <c r="I202" i="54"/>
  <c r="B202" i="54"/>
  <c r="K201" i="54"/>
  <c r="J201" i="54"/>
  <c r="I201" i="54"/>
  <c r="M201" i="54" s="1"/>
  <c r="A201" i="54" s="1"/>
  <c r="B201" i="54"/>
  <c r="J200" i="54"/>
  <c r="K200" i="54" s="1"/>
  <c r="I200" i="54"/>
  <c r="M200" i="54" s="1"/>
  <c r="A200" i="54" s="1"/>
  <c r="B200" i="54"/>
  <c r="M199" i="54"/>
  <c r="A199" i="54" s="1"/>
  <c r="J199" i="54"/>
  <c r="K199" i="54" s="1"/>
  <c r="I199" i="54"/>
  <c r="B199" i="54"/>
  <c r="K198" i="54"/>
  <c r="J198" i="54"/>
  <c r="I198" i="54"/>
  <c r="M198" i="54" s="1"/>
  <c r="A198" i="54" s="1"/>
  <c r="B198" i="54"/>
  <c r="J197" i="54"/>
  <c r="K197" i="54" s="1"/>
  <c r="I197" i="54"/>
  <c r="M197" i="54" s="1"/>
  <c r="A197" i="54" s="1"/>
  <c r="B197" i="54"/>
  <c r="J196" i="54"/>
  <c r="K196" i="54" s="1"/>
  <c r="I196" i="54"/>
  <c r="M196" i="54" s="1"/>
  <c r="A196" i="54" s="1"/>
  <c r="B196" i="54"/>
  <c r="M195" i="54"/>
  <c r="A195" i="54" s="1"/>
  <c r="J195" i="54"/>
  <c r="K195" i="54" s="1"/>
  <c r="I195" i="54"/>
  <c r="B195" i="54"/>
  <c r="M194" i="54"/>
  <c r="A194" i="54" s="1"/>
  <c r="K194" i="54"/>
  <c r="J194" i="54"/>
  <c r="I194" i="54"/>
  <c r="B194" i="54"/>
  <c r="J193" i="54"/>
  <c r="K193" i="54" s="1"/>
  <c r="I193" i="54"/>
  <c r="M193" i="54" s="1"/>
  <c r="A193" i="54" s="1"/>
  <c r="B193" i="54"/>
  <c r="M192" i="54"/>
  <c r="A192" i="54" s="1"/>
  <c r="J192" i="54"/>
  <c r="K192" i="54" s="1"/>
  <c r="I192" i="54"/>
  <c r="B192" i="54"/>
  <c r="J191" i="54"/>
  <c r="K191" i="54" s="1"/>
  <c r="I191" i="54"/>
  <c r="M191" i="54" s="1"/>
  <c r="A191" i="54" s="1"/>
  <c r="B191" i="54"/>
  <c r="M190" i="54"/>
  <c r="A190" i="54" s="1"/>
  <c r="J190" i="54"/>
  <c r="K190" i="54" s="1"/>
  <c r="I190" i="54"/>
  <c r="B190" i="54"/>
  <c r="J189" i="54"/>
  <c r="K189" i="54" s="1"/>
  <c r="I189" i="54"/>
  <c r="M189" i="54" s="1"/>
  <c r="A189" i="54" s="1"/>
  <c r="B189" i="54"/>
  <c r="J188" i="54"/>
  <c r="K188" i="54" s="1"/>
  <c r="I188" i="54"/>
  <c r="M188" i="54" s="1"/>
  <c r="A188" i="54" s="1"/>
  <c r="B188" i="54"/>
  <c r="J187" i="54"/>
  <c r="K187" i="54" s="1"/>
  <c r="I187" i="54"/>
  <c r="M187" i="54" s="1"/>
  <c r="A187" i="54" s="1"/>
  <c r="B187" i="54"/>
  <c r="M186" i="54"/>
  <c r="A186" i="54" s="1"/>
  <c r="J186" i="54"/>
  <c r="K186" i="54" s="1"/>
  <c r="I186" i="54"/>
  <c r="B186" i="54"/>
  <c r="J185" i="54"/>
  <c r="K185" i="54" s="1"/>
  <c r="I185" i="54"/>
  <c r="M185" i="54" s="1"/>
  <c r="A185" i="54" s="1"/>
  <c r="B185" i="54"/>
  <c r="J184" i="54"/>
  <c r="K184" i="54" s="1"/>
  <c r="I184" i="54"/>
  <c r="M184" i="54" s="1"/>
  <c r="A184" i="54" s="1"/>
  <c r="B184" i="54"/>
  <c r="J183" i="54"/>
  <c r="K183" i="54" s="1"/>
  <c r="I183" i="54"/>
  <c r="M183" i="54" s="1"/>
  <c r="A183" i="54" s="1"/>
  <c r="B183" i="54"/>
  <c r="M182" i="54"/>
  <c r="A182" i="54" s="1"/>
  <c r="J182" i="54"/>
  <c r="K182" i="54" s="1"/>
  <c r="I182" i="54"/>
  <c r="B182" i="54"/>
  <c r="J181" i="54"/>
  <c r="K181" i="54" s="1"/>
  <c r="I181" i="54"/>
  <c r="M181" i="54" s="1"/>
  <c r="A181" i="54" s="1"/>
  <c r="B181" i="54"/>
  <c r="J180" i="54"/>
  <c r="K180" i="54" s="1"/>
  <c r="I180" i="54"/>
  <c r="M180" i="54" s="1"/>
  <c r="A180" i="54" s="1"/>
  <c r="B180" i="54"/>
  <c r="J179" i="54"/>
  <c r="K179" i="54" s="1"/>
  <c r="I179" i="54"/>
  <c r="M179" i="54" s="1"/>
  <c r="A179" i="54" s="1"/>
  <c r="B179" i="54"/>
  <c r="M178" i="54"/>
  <c r="A178" i="54" s="1"/>
  <c r="K178" i="54"/>
  <c r="J178" i="54"/>
  <c r="I178" i="54"/>
  <c r="B178" i="54"/>
  <c r="J177" i="54"/>
  <c r="K177" i="54" s="1"/>
  <c r="I177" i="54"/>
  <c r="M177" i="54" s="1"/>
  <c r="A177" i="54" s="1"/>
  <c r="B177" i="54"/>
  <c r="J176" i="54"/>
  <c r="K176" i="54" s="1"/>
  <c r="I176" i="54"/>
  <c r="M176" i="54" s="1"/>
  <c r="A176" i="54" s="1"/>
  <c r="B176" i="54"/>
  <c r="J175" i="54"/>
  <c r="K175" i="54" s="1"/>
  <c r="I175" i="54"/>
  <c r="M175" i="54" s="1"/>
  <c r="A175" i="54" s="1"/>
  <c r="B175" i="54"/>
  <c r="M174" i="54"/>
  <c r="A174" i="54" s="1"/>
  <c r="J174" i="54"/>
  <c r="K174" i="54" s="1"/>
  <c r="I174" i="54"/>
  <c r="B174" i="54"/>
  <c r="J173" i="54"/>
  <c r="K173" i="54" s="1"/>
  <c r="I173" i="54"/>
  <c r="M173" i="54" s="1"/>
  <c r="A173" i="54" s="1"/>
  <c r="B173" i="54"/>
  <c r="J172" i="54"/>
  <c r="K172" i="54" s="1"/>
  <c r="I172" i="54"/>
  <c r="M172" i="54" s="1"/>
  <c r="A172" i="54" s="1"/>
  <c r="B172" i="54"/>
  <c r="M171" i="54"/>
  <c r="J171" i="54"/>
  <c r="K171" i="54" s="1"/>
  <c r="I171" i="54"/>
  <c r="B171" i="54"/>
  <c r="A171" i="54"/>
  <c r="J170" i="54"/>
  <c r="K170" i="54" s="1"/>
  <c r="I170" i="54"/>
  <c r="M170" i="54" s="1"/>
  <c r="A170" i="54" s="1"/>
  <c r="B170" i="54"/>
  <c r="J169" i="54"/>
  <c r="K169" i="54" s="1"/>
  <c r="I169" i="54"/>
  <c r="M169" i="54" s="1"/>
  <c r="A169" i="54" s="1"/>
  <c r="B169" i="54"/>
  <c r="J168" i="54"/>
  <c r="K168" i="54" s="1"/>
  <c r="I168" i="54"/>
  <c r="M168" i="54" s="1"/>
  <c r="A168" i="54" s="1"/>
  <c r="B168" i="54"/>
  <c r="J167" i="54"/>
  <c r="K167" i="54" s="1"/>
  <c r="I167" i="54"/>
  <c r="M167" i="54" s="1"/>
  <c r="A167" i="54" s="1"/>
  <c r="B167" i="54"/>
  <c r="J166" i="54"/>
  <c r="K166" i="54" s="1"/>
  <c r="I166" i="54"/>
  <c r="M166" i="54" s="1"/>
  <c r="A166" i="54" s="1"/>
  <c r="B166" i="54"/>
  <c r="J165" i="54"/>
  <c r="K165" i="54" s="1"/>
  <c r="I165" i="54"/>
  <c r="M165" i="54" s="1"/>
  <c r="A165" i="54" s="1"/>
  <c r="B165" i="54"/>
  <c r="J164" i="54"/>
  <c r="K164" i="54" s="1"/>
  <c r="I164" i="54"/>
  <c r="M164" i="54" s="1"/>
  <c r="A164" i="54" s="1"/>
  <c r="B164" i="54"/>
  <c r="M163" i="54"/>
  <c r="A163" i="54" s="1"/>
  <c r="J163" i="54"/>
  <c r="K163" i="54" s="1"/>
  <c r="I163" i="54"/>
  <c r="B163" i="54"/>
  <c r="J162" i="54"/>
  <c r="K162" i="54" s="1"/>
  <c r="I162" i="54"/>
  <c r="M162" i="54" s="1"/>
  <c r="A162" i="54" s="1"/>
  <c r="B162" i="54"/>
  <c r="J161" i="54"/>
  <c r="K161" i="54" s="1"/>
  <c r="I161" i="54"/>
  <c r="M161" i="54" s="1"/>
  <c r="A161" i="54" s="1"/>
  <c r="B161" i="54"/>
  <c r="J160" i="54"/>
  <c r="K160" i="54" s="1"/>
  <c r="I160" i="54"/>
  <c r="M160" i="54" s="1"/>
  <c r="A160" i="54" s="1"/>
  <c r="B160" i="54"/>
  <c r="M159" i="54"/>
  <c r="A159" i="54" s="1"/>
  <c r="J159" i="54"/>
  <c r="K159" i="54" s="1"/>
  <c r="I159" i="54"/>
  <c r="B159" i="54"/>
  <c r="J158" i="54"/>
  <c r="K158" i="54" s="1"/>
  <c r="I158" i="54"/>
  <c r="M158" i="54" s="1"/>
  <c r="A158" i="54" s="1"/>
  <c r="B158" i="54"/>
  <c r="J157" i="54"/>
  <c r="K157" i="54" s="1"/>
  <c r="I157" i="54"/>
  <c r="M157" i="54" s="1"/>
  <c r="A157" i="54" s="1"/>
  <c r="B157" i="54"/>
  <c r="J156" i="54"/>
  <c r="K156" i="54" s="1"/>
  <c r="I156" i="54"/>
  <c r="M156" i="54" s="1"/>
  <c r="A156" i="54" s="1"/>
  <c r="B156" i="54"/>
  <c r="M155" i="54"/>
  <c r="A155" i="54" s="1"/>
  <c r="J155" i="54"/>
  <c r="K155" i="54" s="1"/>
  <c r="I155" i="54"/>
  <c r="B155" i="54"/>
  <c r="M154" i="54"/>
  <c r="A154" i="54" s="1"/>
  <c r="K154" i="54"/>
  <c r="J154" i="54"/>
  <c r="I154" i="54"/>
  <c r="B154" i="54"/>
  <c r="J153" i="54"/>
  <c r="K153" i="54" s="1"/>
  <c r="I153" i="54"/>
  <c r="M153" i="54" s="1"/>
  <c r="A153" i="54" s="1"/>
  <c r="B153" i="54"/>
  <c r="J152" i="54"/>
  <c r="K152" i="54" s="1"/>
  <c r="I152" i="54"/>
  <c r="M152" i="54" s="1"/>
  <c r="A152" i="54" s="1"/>
  <c r="B152" i="54"/>
  <c r="J151" i="54"/>
  <c r="K151" i="54" s="1"/>
  <c r="I151" i="54"/>
  <c r="M151" i="54" s="1"/>
  <c r="A151" i="54" s="1"/>
  <c r="B151" i="54"/>
  <c r="M150" i="54"/>
  <c r="A150" i="54" s="1"/>
  <c r="J150" i="54"/>
  <c r="K150" i="54" s="1"/>
  <c r="I150" i="54"/>
  <c r="B150" i="54"/>
  <c r="J149" i="54"/>
  <c r="K149" i="54" s="1"/>
  <c r="I149" i="54"/>
  <c r="M149" i="54" s="1"/>
  <c r="A149" i="54" s="1"/>
  <c r="B149" i="54"/>
  <c r="J148" i="54"/>
  <c r="K148" i="54" s="1"/>
  <c r="I148" i="54"/>
  <c r="M148" i="54" s="1"/>
  <c r="A148" i="54" s="1"/>
  <c r="B148" i="54"/>
  <c r="J147" i="54"/>
  <c r="K147" i="54" s="1"/>
  <c r="I147" i="54"/>
  <c r="M147" i="54" s="1"/>
  <c r="A147" i="54" s="1"/>
  <c r="B147" i="54"/>
  <c r="M146" i="54"/>
  <c r="A146" i="54" s="1"/>
  <c r="J146" i="54"/>
  <c r="K146" i="54" s="1"/>
  <c r="I146" i="54"/>
  <c r="B146" i="54"/>
  <c r="J145" i="54"/>
  <c r="K145" i="54" s="1"/>
  <c r="I145" i="54"/>
  <c r="M145" i="54" s="1"/>
  <c r="A145" i="54" s="1"/>
  <c r="B145" i="54"/>
  <c r="J144" i="54"/>
  <c r="K144" i="54" s="1"/>
  <c r="I144" i="54"/>
  <c r="M144" i="54" s="1"/>
  <c r="A144" i="54" s="1"/>
  <c r="B144" i="54"/>
  <c r="J143" i="54"/>
  <c r="K143" i="54" s="1"/>
  <c r="I143" i="54"/>
  <c r="M143" i="54" s="1"/>
  <c r="A143" i="54" s="1"/>
  <c r="B143" i="54"/>
  <c r="J142" i="54"/>
  <c r="K142" i="54" s="1"/>
  <c r="I142" i="54"/>
  <c r="M142" i="54" s="1"/>
  <c r="A142" i="54" s="1"/>
  <c r="B142" i="54"/>
  <c r="J141" i="54"/>
  <c r="K141" i="54" s="1"/>
  <c r="I141" i="54"/>
  <c r="M141" i="54" s="1"/>
  <c r="A141" i="54" s="1"/>
  <c r="B141" i="54"/>
  <c r="J140" i="54"/>
  <c r="K140" i="54" s="1"/>
  <c r="I140" i="54"/>
  <c r="M140" i="54" s="1"/>
  <c r="A140" i="54" s="1"/>
  <c r="B140" i="54"/>
  <c r="J139" i="54"/>
  <c r="K139" i="54" s="1"/>
  <c r="I139" i="54"/>
  <c r="M139" i="54" s="1"/>
  <c r="A139" i="54" s="1"/>
  <c r="B139" i="54"/>
  <c r="J138" i="54"/>
  <c r="K138" i="54" s="1"/>
  <c r="I138" i="54"/>
  <c r="M138" i="54" s="1"/>
  <c r="A138" i="54" s="1"/>
  <c r="B138" i="54"/>
  <c r="J137" i="54"/>
  <c r="K137" i="54" s="1"/>
  <c r="I137" i="54"/>
  <c r="M137" i="54" s="1"/>
  <c r="A137" i="54" s="1"/>
  <c r="B137" i="54"/>
  <c r="J136" i="54"/>
  <c r="K136" i="54" s="1"/>
  <c r="I136" i="54"/>
  <c r="M136" i="54" s="1"/>
  <c r="A136" i="54" s="1"/>
  <c r="B136" i="54"/>
  <c r="J135" i="54"/>
  <c r="K135" i="54" s="1"/>
  <c r="I135" i="54"/>
  <c r="M135" i="54" s="1"/>
  <c r="A135" i="54" s="1"/>
  <c r="B135" i="54"/>
  <c r="J134" i="54"/>
  <c r="K134" i="54" s="1"/>
  <c r="I134" i="54"/>
  <c r="M134" i="54" s="1"/>
  <c r="A134" i="54" s="1"/>
  <c r="B134" i="54"/>
  <c r="J133" i="54"/>
  <c r="K133" i="54" s="1"/>
  <c r="I133" i="54"/>
  <c r="M133" i="54" s="1"/>
  <c r="A133" i="54" s="1"/>
  <c r="B133" i="54"/>
  <c r="M132" i="54"/>
  <c r="A132" i="54" s="1"/>
  <c r="J132" i="54"/>
  <c r="K132" i="54" s="1"/>
  <c r="I132" i="54"/>
  <c r="B132" i="54"/>
  <c r="M131" i="54"/>
  <c r="A131" i="54" s="1"/>
  <c r="J131" i="54"/>
  <c r="K131" i="54" s="1"/>
  <c r="I131" i="54"/>
  <c r="B131" i="54"/>
  <c r="M130" i="54"/>
  <c r="A130" i="54" s="1"/>
  <c r="J130" i="54"/>
  <c r="K130" i="54" s="1"/>
  <c r="I130" i="54"/>
  <c r="B130" i="54"/>
  <c r="J129" i="54"/>
  <c r="K129" i="54" s="1"/>
  <c r="I129" i="54"/>
  <c r="M129" i="54" s="1"/>
  <c r="A129" i="54" s="1"/>
  <c r="B129" i="54"/>
  <c r="J128" i="54"/>
  <c r="K128" i="54" s="1"/>
  <c r="I128" i="54"/>
  <c r="M128" i="54" s="1"/>
  <c r="A128" i="54" s="1"/>
  <c r="B128" i="54"/>
  <c r="J127" i="54"/>
  <c r="K127" i="54" s="1"/>
  <c r="I127" i="54"/>
  <c r="M127" i="54" s="1"/>
  <c r="A127" i="54" s="1"/>
  <c r="B127" i="54"/>
  <c r="J126" i="54"/>
  <c r="K126" i="54" s="1"/>
  <c r="I126" i="54"/>
  <c r="M126" i="54" s="1"/>
  <c r="A126" i="54" s="1"/>
  <c r="B126" i="54"/>
  <c r="J125" i="54"/>
  <c r="K125" i="54" s="1"/>
  <c r="I125" i="54"/>
  <c r="M125" i="54" s="1"/>
  <c r="A125" i="54" s="1"/>
  <c r="B125" i="54"/>
  <c r="M124" i="54"/>
  <c r="A124" i="54" s="1"/>
  <c r="J124" i="54"/>
  <c r="K124" i="54" s="1"/>
  <c r="I124" i="54"/>
  <c r="B124" i="54"/>
  <c r="M123" i="54"/>
  <c r="A123" i="54" s="1"/>
  <c r="J123" i="54"/>
  <c r="K123" i="54" s="1"/>
  <c r="I123" i="54"/>
  <c r="B123" i="54"/>
  <c r="M122" i="54"/>
  <c r="A122" i="54" s="1"/>
  <c r="J122" i="54"/>
  <c r="K122" i="54" s="1"/>
  <c r="I122" i="54"/>
  <c r="B122" i="54"/>
  <c r="J121" i="54"/>
  <c r="K121" i="54" s="1"/>
  <c r="I121" i="54"/>
  <c r="M121" i="54" s="1"/>
  <c r="A121" i="54" s="1"/>
  <c r="B121" i="54"/>
  <c r="J120" i="54"/>
  <c r="K120" i="54" s="1"/>
  <c r="I120" i="54"/>
  <c r="M120" i="54" s="1"/>
  <c r="A120" i="54" s="1"/>
  <c r="B120" i="54"/>
  <c r="J119" i="54"/>
  <c r="K119" i="54" s="1"/>
  <c r="I119" i="54"/>
  <c r="M119" i="54" s="1"/>
  <c r="A119" i="54" s="1"/>
  <c r="B119" i="54"/>
  <c r="J118" i="54"/>
  <c r="K118" i="54" s="1"/>
  <c r="I118" i="54"/>
  <c r="M118" i="54" s="1"/>
  <c r="A118" i="54" s="1"/>
  <c r="B118" i="54"/>
  <c r="J117" i="54"/>
  <c r="K117" i="54" s="1"/>
  <c r="I117" i="54"/>
  <c r="M117" i="54" s="1"/>
  <c r="A117" i="54" s="1"/>
  <c r="B117" i="54"/>
  <c r="J116" i="54"/>
  <c r="K116" i="54" s="1"/>
  <c r="I116" i="54"/>
  <c r="M116" i="54" s="1"/>
  <c r="A116" i="54" s="1"/>
  <c r="B116" i="54"/>
  <c r="M115" i="54"/>
  <c r="A115" i="54" s="1"/>
  <c r="J115" i="54"/>
  <c r="K115" i="54" s="1"/>
  <c r="I115" i="54"/>
  <c r="B115" i="54"/>
  <c r="J114" i="54"/>
  <c r="K114" i="54" s="1"/>
  <c r="I114" i="54"/>
  <c r="M114" i="54" s="1"/>
  <c r="A114" i="54" s="1"/>
  <c r="B114" i="54"/>
  <c r="J113" i="54"/>
  <c r="K113" i="54" s="1"/>
  <c r="I113" i="54"/>
  <c r="M113" i="54" s="1"/>
  <c r="A113" i="54" s="1"/>
  <c r="B113" i="54"/>
  <c r="J112" i="54"/>
  <c r="K112" i="54" s="1"/>
  <c r="I112" i="54"/>
  <c r="M112" i="54" s="1"/>
  <c r="A112" i="54" s="1"/>
  <c r="B112" i="54"/>
  <c r="M111" i="54"/>
  <c r="K111" i="54"/>
  <c r="J111" i="54"/>
  <c r="I111" i="54"/>
  <c r="B111" i="54"/>
  <c r="A111" i="54"/>
  <c r="J110" i="54"/>
  <c r="K110" i="54" s="1"/>
  <c r="I110" i="54"/>
  <c r="M110" i="54" s="1"/>
  <c r="A110" i="54" s="1"/>
  <c r="B110" i="54"/>
  <c r="J109" i="54"/>
  <c r="K109" i="54" s="1"/>
  <c r="I109" i="54"/>
  <c r="M109" i="54" s="1"/>
  <c r="A109" i="54" s="1"/>
  <c r="B109" i="54"/>
  <c r="J108" i="54"/>
  <c r="K108" i="54" s="1"/>
  <c r="I108" i="54"/>
  <c r="M108" i="54" s="1"/>
  <c r="A108" i="54" s="1"/>
  <c r="B108" i="54"/>
  <c r="M107" i="54"/>
  <c r="A107" i="54" s="1"/>
  <c r="J107" i="54"/>
  <c r="K107" i="54" s="1"/>
  <c r="I107" i="54"/>
  <c r="B107" i="54"/>
  <c r="J106" i="54"/>
  <c r="K106" i="54" s="1"/>
  <c r="I106" i="54"/>
  <c r="M106" i="54" s="1"/>
  <c r="A106" i="54" s="1"/>
  <c r="B106" i="54"/>
  <c r="M105" i="54"/>
  <c r="A105" i="54" s="1"/>
  <c r="J105" i="54"/>
  <c r="K105" i="54" s="1"/>
  <c r="I105" i="54"/>
  <c r="B105" i="54"/>
  <c r="J104" i="54"/>
  <c r="K104" i="54" s="1"/>
  <c r="I104" i="54"/>
  <c r="M104" i="54" s="1"/>
  <c r="A104" i="54" s="1"/>
  <c r="B104" i="54"/>
  <c r="M103" i="54"/>
  <c r="A103" i="54" s="1"/>
  <c r="J103" i="54"/>
  <c r="K103" i="54" s="1"/>
  <c r="I103" i="54"/>
  <c r="B103" i="54"/>
  <c r="K102" i="54"/>
  <c r="J102" i="54"/>
  <c r="I102" i="54"/>
  <c r="M102" i="54" s="1"/>
  <c r="A102" i="54" s="1"/>
  <c r="B102" i="54"/>
  <c r="K101" i="54"/>
  <c r="J101" i="54"/>
  <c r="I101" i="54"/>
  <c r="M101" i="54" s="1"/>
  <c r="A101" i="54" s="1"/>
  <c r="B101" i="54"/>
  <c r="J100" i="54"/>
  <c r="K100" i="54" s="1"/>
  <c r="I100" i="54"/>
  <c r="M100" i="54" s="1"/>
  <c r="A100" i="54" s="1"/>
  <c r="B100" i="54"/>
  <c r="M99" i="54"/>
  <c r="A99" i="54" s="1"/>
  <c r="K99" i="54"/>
  <c r="J99" i="54"/>
  <c r="I99" i="54"/>
  <c r="B99" i="54"/>
  <c r="J98" i="54"/>
  <c r="K98" i="54" s="1"/>
  <c r="I98" i="54"/>
  <c r="M98" i="54" s="1"/>
  <c r="A98" i="54" s="1"/>
  <c r="B98" i="54"/>
  <c r="J97" i="54"/>
  <c r="K97" i="54" s="1"/>
  <c r="I97" i="54"/>
  <c r="M97" i="54" s="1"/>
  <c r="A97" i="54" s="1"/>
  <c r="B97" i="54"/>
  <c r="J96" i="54"/>
  <c r="K96" i="54" s="1"/>
  <c r="I96" i="54"/>
  <c r="M96" i="54" s="1"/>
  <c r="A96" i="54" s="1"/>
  <c r="B96" i="54"/>
  <c r="J95" i="54"/>
  <c r="K95" i="54" s="1"/>
  <c r="I95" i="54"/>
  <c r="M95" i="54" s="1"/>
  <c r="A95" i="54" s="1"/>
  <c r="B95" i="54"/>
  <c r="J94" i="54"/>
  <c r="K94" i="54" s="1"/>
  <c r="I94" i="54"/>
  <c r="M94" i="54" s="1"/>
  <c r="A94" i="54" s="1"/>
  <c r="B94" i="54"/>
  <c r="M93" i="54"/>
  <c r="A93" i="54" s="1"/>
  <c r="K93" i="54"/>
  <c r="J93" i="54"/>
  <c r="I93" i="54"/>
  <c r="B93" i="54"/>
  <c r="J92" i="54"/>
  <c r="K92" i="54" s="1"/>
  <c r="I92" i="54"/>
  <c r="M92" i="54" s="1"/>
  <c r="A92" i="54" s="1"/>
  <c r="B92" i="54"/>
  <c r="M91" i="54"/>
  <c r="K91" i="54"/>
  <c r="J91" i="54"/>
  <c r="I91" i="54"/>
  <c r="B91" i="54"/>
  <c r="A91" i="54"/>
  <c r="J90" i="54"/>
  <c r="K90" i="54" s="1"/>
  <c r="I90" i="54"/>
  <c r="M90" i="54" s="1"/>
  <c r="A90" i="54" s="1"/>
  <c r="B90" i="54"/>
  <c r="J89" i="54"/>
  <c r="K89" i="54" s="1"/>
  <c r="I89" i="54"/>
  <c r="M89" i="54" s="1"/>
  <c r="A89" i="54" s="1"/>
  <c r="B89" i="54"/>
  <c r="J88" i="54"/>
  <c r="K88" i="54" s="1"/>
  <c r="I88" i="54"/>
  <c r="M88" i="54" s="1"/>
  <c r="A88" i="54" s="1"/>
  <c r="B88" i="54"/>
  <c r="M87" i="54"/>
  <c r="A87" i="54" s="1"/>
  <c r="K87" i="54"/>
  <c r="J87" i="54"/>
  <c r="I87" i="54"/>
  <c r="B87" i="54"/>
  <c r="J86" i="54"/>
  <c r="K86" i="54" s="1"/>
  <c r="I86" i="54"/>
  <c r="M86" i="54" s="1"/>
  <c r="A86" i="54" s="1"/>
  <c r="B86" i="54"/>
  <c r="J85" i="54"/>
  <c r="K85" i="54" s="1"/>
  <c r="I85" i="54"/>
  <c r="M85" i="54" s="1"/>
  <c r="A85" i="54" s="1"/>
  <c r="B85" i="54"/>
  <c r="M84" i="54"/>
  <c r="A84" i="54" s="1"/>
  <c r="J84" i="54"/>
  <c r="K84" i="54" s="1"/>
  <c r="I84" i="54"/>
  <c r="B84" i="54"/>
  <c r="K83" i="54"/>
  <c r="J83" i="54"/>
  <c r="I83" i="54"/>
  <c r="M83" i="54" s="1"/>
  <c r="A83" i="54" s="1"/>
  <c r="B83" i="54"/>
  <c r="J82" i="54"/>
  <c r="K82" i="54" s="1"/>
  <c r="I82" i="54"/>
  <c r="M82" i="54" s="1"/>
  <c r="A82" i="54" s="1"/>
  <c r="B82" i="54"/>
  <c r="M81" i="54"/>
  <c r="J81" i="54"/>
  <c r="K81" i="54" s="1"/>
  <c r="I81" i="54"/>
  <c r="B81" i="54"/>
  <c r="A81" i="54"/>
  <c r="J80" i="54"/>
  <c r="K80" i="54" s="1"/>
  <c r="I80" i="54"/>
  <c r="M80" i="54" s="1"/>
  <c r="A80" i="54" s="1"/>
  <c r="B80" i="54"/>
  <c r="J79" i="54"/>
  <c r="K79" i="54" s="1"/>
  <c r="I79" i="54"/>
  <c r="M79" i="54" s="1"/>
  <c r="A79" i="54" s="1"/>
  <c r="B79" i="54"/>
  <c r="J78" i="54"/>
  <c r="K78" i="54" s="1"/>
  <c r="I78" i="54"/>
  <c r="M78" i="54" s="1"/>
  <c r="A78" i="54" s="1"/>
  <c r="B78" i="54"/>
  <c r="K77" i="54"/>
  <c r="J77" i="54"/>
  <c r="I77" i="54"/>
  <c r="M77" i="54" s="1"/>
  <c r="A77" i="54" s="1"/>
  <c r="B77" i="54"/>
  <c r="J76" i="54"/>
  <c r="K76" i="54" s="1"/>
  <c r="I76" i="54"/>
  <c r="M76" i="54" s="1"/>
  <c r="A76" i="54" s="1"/>
  <c r="B76" i="54"/>
  <c r="K75" i="54"/>
  <c r="J75" i="54"/>
  <c r="I75" i="54"/>
  <c r="M75" i="54" s="1"/>
  <c r="A75" i="54" s="1"/>
  <c r="B75" i="54"/>
  <c r="K74" i="54"/>
  <c r="J74" i="54"/>
  <c r="I74" i="54"/>
  <c r="M74" i="54" s="1"/>
  <c r="A74" i="54" s="1"/>
  <c r="B74" i="54"/>
  <c r="J73" i="54"/>
  <c r="K73" i="54" s="1"/>
  <c r="I73" i="54"/>
  <c r="M73" i="54" s="1"/>
  <c r="A73" i="54" s="1"/>
  <c r="B73" i="54"/>
  <c r="J72" i="54"/>
  <c r="K72" i="54" s="1"/>
  <c r="I72" i="54"/>
  <c r="M72" i="54" s="1"/>
  <c r="A72" i="54" s="1"/>
  <c r="B72" i="54"/>
  <c r="M71" i="54"/>
  <c r="A71" i="54" s="1"/>
  <c r="K71" i="54"/>
  <c r="J71" i="54"/>
  <c r="I71" i="54"/>
  <c r="B71" i="54"/>
  <c r="K70" i="54"/>
  <c r="J70" i="54"/>
  <c r="I70" i="54"/>
  <c r="M70" i="54" s="1"/>
  <c r="A70" i="54" s="1"/>
  <c r="B70" i="54"/>
  <c r="J69" i="54"/>
  <c r="K69" i="54" s="1"/>
  <c r="I69" i="54"/>
  <c r="M69" i="54" s="1"/>
  <c r="A69" i="54" s="1"/>
  <c r="B69" i="54"/>
  <c r="M68" i="54"/>
  <c r="A68" i="54" s="1"/>
  <c r="J68" i="54"/>
  <c r="K68" i="54" s="1"/>
  <c r="I68" i="54"/>
  <c r="B68" i="54"/>
  <c r="J67" i="54"/>
  <c r="K67" i="54" s="1"/>
  <c r="I67" i="54"/>
  <c r="M67" i="54" s="1"/>
  <c r="A67" i="54" s="1"/>
  <c r="B67" i="54"/>
  <c r="J66" i="54"/>
  <c r="K66" i="54" s="1"/>
  <c r="I66" i="54"/>
  <c r="M66" i="54" s="1"/>
  <c r="A66" i="54" s="1"/>
  <c r="B66" i="54"/>
  <c r="J65" i="54"/>
  <c r="K65" i="54" s="1"/>
  <c r="I65" i="54"/>
  <c r="M65" i="54" s="1"/>
  <c r="A65" i="54" s="1"/>
  <c r="B65" i="54"/>
  <c r="J64" i="54"/>
  <c r="K64" i="54" s="1"/>
  <c r="I64" i="54"/>
  <c r="M64" i="54" s="1"/>
  <c r="A64" i="54" s="1"/>
  <c r="B64" i="54"/>
  <c r="J63" i="54"/>
  <c r="K63" i="54" s="1"/>
  <c r="I63" i="54"/>
  <c r="B63" i="54"/>
  <c r="J62" i="54"/>
  <c r="K62" i="54" s="1"/>
  <c r="I62" i="54"/>
  <c r="M62" i="54" s="1"/>
  <c r="A62" i="54" s="1"/>
  <c r="B62" i="54"/>
  <c r="J61" i="54"/>
  <c r="K61" i="54" s="1"/>
  <c r="I61" i="54"/>
  <c r="M61" i="54" s="1"/>
  <c r="A61" i="54" s="1"/>
  <c r="B61" i="54"/>
  <c r="J60" i="54"/>
  <c r="K60" i="54" s="1"/>
  <c r="I60" i="54"/>
  <c r="M60" i="54" s="1"/>
  <c r="A60" i="54" s="1"/>
  <c r="B60" i="54"/>
  <c r="K59" i="54"/>
  <c r="J59" i="54"/>
  <c r="I59" i="54"/>
  <c r="B59" i="54"/>
  <c r="K58" i="54"/>
  <c r="J58" i="54"/>
  <c r="I58" i="54"/>
  <c r="M58" i="54" s="1"/>
  <c r="A58" i="54" s="1"/>
  <c r="B58" i="54"/>
  <c r="J57" i="54"/>
  <c r="K57" i="54" s="1"/>
  <c r="I57" i="54"/>
  <c r="M57" i="54" s="1"/>
  <c r="A57" i="54" s="1"/>
  <c r="B57" i="54"/>
  <c r="J56" i="54"/>
  <c r="K56" i="54" s="1"/>
  <c r="I56" i="54"/>
  <c r="M56" i="54" s="1"/>
  <c r="A56" i="54" s="1"/>
  <c r="B56" i="54"/>
  <c r="M55" i="54"/>
  <c r="A55" i="54" s="1"/>
  <c r="J55" i="54"/>
  <c r="K55" i="54" s="1"/>
  <c r="I55" i="54"/>
  <c r="B55" i="54"/>
  <c r="J54" i="54"/>
  <c r="K54" i="54" s="1"/>
  <c r="M54" i="54" s="1"/>
  <c r="A54" i="54" s="1"/>
  <c r="I54" i="54"/>
  <c r="B54" i="54"/>
  <c r="J53" i="54"/>
  <c r="K53" i="54" s="1"/>
  <c r="I53" i="54"/>
  <c r="M53" i="54" s="1"/>
  <c r="A53" i="54" s="1"/>
  <c r="B53" i="54"/>
  <c r="M52" i="54"/>
  <c r="A52" i="54" s="1"/>
  <c r="J52" i="54"/>
  <c r="K52" i="54" s="1"/>
  <c r="I52" i="54"/>
  <c r="B52" i="54"/>
  <c r="K51" i="54"/>
  <c r="M51" i="54" s="1"/>
  <c r="A51" i="54" s="1"/>
  <c r="J51" i="54"/>
  <c r="I51" i="54"/>
  <c r="B51" i="54"/>
  <c r="J50" i="54"/>
  <c r="K50" i="54" s="1"/>
  <c r="I50" i="54"/>
  <c r="M50" i="54" s="1"/>
  <c r="A50" i="54" s="1"/>
  <c r="B50" i="54"/>
  <c r="J49" i="54"/>
  <c r="K49" i="54" s="1"/>
  <c r="I49" i="54"/>
  <c r="B49" i="54"/>
  <c r="J48" i="54"/>
  <c r="K48" i="54" s="1"/>
  <c r="I48" i="54"/>
  <c r="M48" i="54" s="1"/>
  <c r="A48" i="54" s="1"/>
  <c r="B48" i="54"/>
  <c r="J47" i="54"/>
  <c r="K47" i="54" s="1"/>
  <c r="M47" i="54" s="1"/>
  <c r="A47" i="54" s="1"/>
  <c r="I47" i="54"/>
  <c r="B47" i="54"/>
  <c r="J46" i="54"/>
  <c r="K46" i="54" s="1"/>
  <c r="I46" i="54"/>
  <c r="M46" i="54" s="1"/>
  <c r="A46" i="54" s="1"/>
  <c r="B46" i="54"/>
  <c r="K45" i="54"/>
  <c r="J45" i="54"/>
  <c r="I45" i="54"/>
  <c r="M45" i="54" s="1"/>
  <c r="A45" i="54" s="1"/>
  <c r="B45" i="54"/>
  <c r="J44" i="54"/>
  <c r="K44" i="54" s="1"/>
  <c r="I44" i="54"/>
  <c r="M44" i="54" s="1"/>
  <c r="A44" i="54" s="1"/>
  <c r="B44" i="54"/>
  <c r="J43" i="54"/>
  <c r="K43" i="54" s="1"/>
  <c r="M43" i="54" s="1"/>
  <c r="A43" i="54" s="1"/>
  <c r="I43" i="54"/>
  <c r="B43" i="54"/>
  <c r="J42" i="54"/>
  <c r="K42" i="54" s="1"/>
  <c r="I42" i="54"/>
  <c r="M42" i="54" s="1"/>
  <c r="A42" i="54" s="1"/>
  <c r="B42" i="54"/>
  <c r="J41" i="54"/>
  <c r="K41" i="54" s="1"/>
  <c r="I41" i="54"/>
  <c r="B41" i="54"/>
  <c r="J40" i="54"/>
  <c r="K40" i="54" s="1"/>
  <c r="I40" i="54"/>
  <c r="M40" i="54" s="1"/>
  <c r="A40" i="54" s="1"/>
  <c r="B40" i="54"/>
  <c r="M39" i="54"/>
  <c r="A39" i="54" s="1"/>
  <c r="J39" i="54"/>
  <c r="K39" i="54" s="1"/>
  <c r="I39" i="54"/>
  <c r="B39" i="54"/>
  <c r="J38" i="54"/>
  <c r="K38" i="54" s="1"/>
  <c r="M38" i="54" s="1"/>
  <c r="A38" i="54" s="1"/>
  <c r="I38" i="54"/>
  <c r="B38" i="54"/>
  <c r="J37" i="54"/>
  <c r="K37" i="54" s="1"/>
  <c r="I37" i="54"/>
  <c r="M37" i="54" s="1"/>
  <c r="A37" i="54" s="1"/>
  <c r="B37" i="54"/>
  <c r="J36" i="54"/>
  <c r="K36" i="54" s="1"/>
  <c r="I36" i="54"/>
  <c r="M36" i="54" s="1"/>
  <c r="A36" i="54" s="1"/>
  <c r="B36" i="54"/>
  <c r="K35" i="54"/>
  <c r="M35" i="54" s="1"/>
  <c r="A35" i="54" s="1"/>
  <c r="J35" i="54"/>
  <c r="I35" i="54"/>
  <c r="B35" i="54"/>
  <c r="J34" i="54"/>
  <c r="K34" i="54" s="1"/>
  <c r="I34" i="54"/>
  <c r="M34" i="54" s="1"/>
  <c r="A34" i="54" s="1"/>
  <c r="B34" i="54"/>
  <c r="K33" i="54"/>
  <c r="J33" i="54"/>
  <c r="I33" i="54"/>
  <c r="M33" i="54" s="1"/>
  <c r="A33" i="54" s="1"/>
  <c r="B33" i="54"/>
  <c r="J32" i="54"/>
  <c r="K32" i="54" s="1"/>
  <c r="I32" i="54"/>
  <c r="M32" i="54" s="1"/>
  <c r="A32" i="54" s="1"/>
  <c r="B32" i="54"/>
  <c r="J31" i="54"/>
  <c r="K31" i="54" s="1"/>
  <c r="I31" i="54"/>
  <c r="B31" i="54"/>
  <c r="J30" i="54"/>
  <c r="K30" i="54" s="1"/>
  <c r="I30" i="54"/>
  <c r="B30" i="54"/>
  <c r="J29" i="54"/>
  <c r="K29" i="54" s="1"/>
  <c r="M29" i="54" s="1"/>
  <c r="A29" i="54" s="1"/>
  <c r="I29" i="54"/>
  <c r="B29" i="54"/>
  <c r="J28" i="54"/>
  <c r="K28" i="54" s="1"/>
  <c r="I28" i="54"/>
  <c r="M28" i="54" s="1"/>
  <c r="A28" i="54" s="1"/>
  <c r="B28" i="54"/>
  <c r="J27" i="54"/>
  <c r="K27" i="54" s="1"/>
  <c r="M27" i="54" s="1"/>
  <c r="A27" i="54" s="1"/>
  <c r="I27" i="54"/>
  <c r="B27" i="54"/>
  <c r="J26" i="54"/>
  <c r="K26" i="54" s="1"/>
  <c r="M26" i="54" s="1"/>
  <c r="A26" i="54" s="1"/>
  <c r="I26" i="54"/>
  <c r="B26" i="54"/>
  <c r="J25" i="54"/>
  <c r="K25" i="54" s="1"/>
  <c r="I25" i="54"/>
  <c r="B25" i="54"/>
  <c r="J24" i="54"/>
  <c r="K24" i="54" s="1"/>
  <c r="I24" i="54"/>
  <c r="B24" i="54"/>
  <c r="K23" i="54"/>
  <c r="J23" i="54"/>
  <c r="I23" i="54"/>
  <c r="M23" i="54" s="1"/>
  <c r="A23" i="54" s="1"/>
  <c r="B23" i="54"/>
  <c r="K22" i="54"/>
  <c r="J22" i="54"/>
  <c r="I22" i="54"/>
  <c r="B22" i="54"/>
  <c r="J21" i="54"/>
  <c r="K21" i="54" s="1"/>
  <c r="I21" i="54"/>
  <c r="B21" i="54"/>
  <c r="J20" i="54"/>
  <c r="K20" i="54" s="1"/>
  <c r="I20" i="54"/>
  <c r="M20" i="54" s="1"/>
  <c r="A20" i="54" s="1"/>
  <c r="B20" i="54"/>
  <c r="J19" i="54"/>
  <c r="K19" i="54" s="1"/>
  <c r="M19" i="54" s="1"/>
  <c r="A19" i="54" s="1"/>
  <c r="I19" i="54"/>
  <c r="B19" i="54"/>
  <c r="J18" i="54"/>
  <c r="K18" i="54" s="1"/>
  <c r="I18" i="54"/>
  <c r="M18" i="54" s="1"/>
  <c r="A18" i="54" s="1"/>
  <c r="B18" i="54"/>
  <c r="J17" i="54"/>
  <c r="K17" i="54" s="1"/>
  <c r="I17" i="54"/>
  <c r="B17" i="54"/>
  <c r="J16" i="54"/>
  <c r="K16" i="54" s="1"/>
  <c r="I16" i="54"/>
  <c r="M16" i="54" s="1"/>
  <c r="A16" i="54" s="1"/>
  <c r="B16" i="54"/>
  <c r="K15" i="54"/>
  <c r="M15" i="54" s="1"/>
  <c r="A15" i="54" s="1"/>
  <c r="J15" i="54"/>
  <c r="I15" i="54"/>
  <c r="B15" i="54"/>
  <c r="J14" i="54"/>
  <c r="K14" i="54" s="1"/>
  <c r="I14" i="54"/>
  <c r="M14" i="54" s="1"/>
  <c r="A14" i="54" s="1"/>
  <c r="B14" i="54"/>
  <c r="J13" i="54"/>
  <c r="K13" i="54" s="1"/>
  <c r="I13" i="54"/>
  <c r="B13" i="54"/>
  <c r="J12" i="54"/>
  <c r="K12" i="54" s="1"/>
  <c r="M12" i="54" s="1"/>
  <c r="A12" i="54" s="1"/>
  <c r="I12" i="54"/>
  <c r="B12" i="54"/>
  <c r="J11" i="54"/>
  <c r="K11" i="54" s="1"/>
  <c r="M11" i="54" s="1"/>
  <c r="A11" i="54" s="1"/>
  <c r="I11" i="54"/>
  <c r="B11" i="54"/>
  <c r="J10" i="54"/>
  <c r="K10" i="54" s="1"/>
  <c r="I10" i="54"/>
  <c r="B10" i="54"/>
  <c r="J9" i="54"/>
  <c r="K9" i="54" s="1"/>
  <c r="I9" i="54"/>
  <c r="B9" i="54"/>
  <c r="J8" i="54"/>
  <c r="K8" i="54" s="1"/>
  <c r="I8" i="54"/>
  <c r="B8" i="54"/>
  <c r="L7" i="54"/>
  <c r="J7" i="54"/>
  <c r="K7" i="54" s="1"/>
  <c r="M7" i="54" s="1"/>
  <c r="A7" i="54" s="1"/>
  <c r="I7" i="54"/>
  <c r="B7" i="54"/>
  <c r="K6" i="54"/>
  <c r="J6" i="54"/>
  <c r="I6" i="54"/>
  <c r="B6" i="54"/>
  <c r="K2" i="54"/>
  <c r="L8" i="54" s="1"/>
  <c r="J373" i="53"/>
  <c r="J372" i="53"/>
  <c r="J371" i="53"/>
  <c r="J370" i="53"/>
  <c r="J369" i="53"/>
  <c r="J368" i="53"/>
  <c r="J367" i="53"/>
  <c r="J366" i="53"/>
  <c r="J365" i="53"/>
  <c r="J364" i="53"/>
  <c r="J363" i="53"/>
  <c r="J362" i="53"/>
  <c r="J361" i="53"/>
  <c r="J360" i="53"/>
  <c r="J359" i="53"/>
  <c r="J358" i="53"/>
  <c r="J357" i="53"/>
  <c r="J356" i="53"/>
  <c r="J355" i="53"/>
  <c r="J354" i="53"/>
  <c r="J353" i="53"/>
  <c r="J352" i="53"/>
  <c r="J351" i="53"/>
  <c r="J350" i="53"/>
  <c r="J349" i="53"/>
  <c r="J348" i="53"/>
  <c r="J347" i="53"/>
  <c r="J346" i="53"/>
  <c r="J345" i="53"/>
  <c r="J344" i="53"/>
  <c r="J343" i="53"/>
  <c r="J342" i="53"/>
  <c r="J341" i="53"/>
  <c r="J340" i="53"/>
  <c r="J339" i="53"/>
  <c r="J338" i="53"/>
  <c r="J337" i="53"/>
  <c r="J336" i="53"/>
  <c r="J335" i="53"/>
  <c r="J334" i="53"/>
  <c r="J333" i="53"/>
  <c r="J332" i="53"/>
  <c r="J331" i="53"/>
  <c r="J330" i="53"/>
  <c r="J329" i="53"/>
  <c r="J328" i="53"/>
  <c r="J327" i="53"/>
  <c r="J326" i="53"/>
  <c r="J325" i="53"/>
  <c r="J324" i="53"/>
  <c r="J323" i="53"/>
  <c r="J322" i="53"/>
  <c r="J321" i="53"/>
  <c r="J320" i="53"/>
  <c r="J319" i="53"/>
  <c r="J318" i="53"/>
  <c r="J317" i="53"/>
  <c r="J316" i="53"/>
  <c r="J315" i="53"/>
  <c r="J314" i="53"/>
  <c r="J313" i="53"/>
  <c r="J312" i="53"/>
  <c r="J311" i="53"/>
  <c r="J310" i="53"/>
  <c r="J309" i="53"/>
  <c r="J308" i="53"/>
  <c r="J307" i="53"/>
  <c r="J306" i="53"/>
  <c r="J305" i="53"/>
  <c r="K305" i="53" s="1"/>
  <c r="I305" i="53"/>
  <c r="M305" i="53" s="1"/>
  <c r="J304" i="53"/>
  <c r="K304" i="53" s="1"/>
  <c r="I304" i="53"/>
  <c r="M304" i="53" s="1"/>
  <c r="J303" i="53"/>
  <c r="K303" i="53" s="1"/>
  <c r="I303" i="53"/>
  <c r="M303" i="53" s="1"/>
  <c r="J302" i="53"/>
  <c r="K302" i="53" s="1"/>
  <c r="I302" i="53"/>
  <c r="M302" i="53" s="1"/>
  <c r="J301" i="53"/>
  <c r="K301" i="53" s="1"/>
  <c r="I301" i="53"/>
  <c r="M301" i="53" s="1"/>
  <c r="J300" i="53"/>
  <c r="K300" i="53" s="1"/>
  <c r="I300" i="53"/>
  <c r="M300" i="53" s="1"/>
  <c r="K299" i="53"/>
  <c r="J299" i="53"/>
  <c r="I299" i="53"/>
  <c r="M299" i="53" s="1"/>
  <c r="J298" i="53"/>
  <c r="K298" i="53" s="1"/>
  <c r="I298" i="53"/>
  <c r="M298" i="53" s="1"/>
  <c r="J297" i="53"/>
  <c r="K297" i="53" s="1"/>
  <c r="I297" i="53"/>
  <c r="M297" i="53" s="1"/>
  <c r="J296" i="53"/>
  <c r="K296" i="53" s="1"/>
  <c r="I296" i="53"/>
  <c r="M296" i="53" s="1"/>
  <c r="J295" i="53"/>
  <c r="K295" i="53" s="1"/>
  <c r="I295" i="53"/>
  <c r="M295" i="53" s="1"/>
  <c r="J294" i="53"/>
  <c r="K294" i="53" s="1"/>
  <c r="I294" i="53"/>
  <c r="M294" i="53" s="1"/>
  <c r="M293" i="53"/>
  <c r="J293" i="53"/>
  <c r="K293" i="53" s="1"/>
  <c r="I293" i="53"/>
  <c r="J292" i="53"/>
  <c r="K292" i="53" s="1"/>
  <c r="I292" i="53"/>
  <c r="M292" i="53" s="1"/>
  <c r="K291" i="53"/>
  <c r="J291" i="53"/>
  <c r="I291" i="53"/>
  <c r="M291" i="53" s="1"/>
  <c r="J290" i="53"/>
  <c r="K290" i="53" s="1"/>
  <c r="I290" i="53"/>
  <c r="M290" i="53" s="1"/>
  <c r="J289" i="53"/>
  <c r="K289" i="53" s="1"/>
  <c r="I289" i="53"/>
  <c r="M289" i="53" s="1"/>
  <c r="J288" i="53"/>
  <c r="K288" i="53" s="1"/>
  <c r="I288" i="53"/>
  <c r="M288" i="53" s="1"/>
  <c r="J287" i="53"/>
  <c r="K287" i="53" s="1"/>
  <c r="I287" i="53"/>
  <c r="M287" i="53" s="1"/>
  <c r="J286" i="53"/>
  <c r="K286" i="53" s="1"/>
  <c r="I286" i="53"/>
  <c r="M286" i="53" s="1"/>
  <c r="J285" i="53"/>
  <c r="K285" i="53" s="1"/>
  <c r="I285" i="53"/>
  <c r="M285" i="53" s="1"/>
  <c r="J284" i="53"/>
  <c r="K284" i="53" s="1"/>
  <c r="I284" i="53"/>
  <c r="M284" i="53" s="1"/>
  <c r="J283" i="53"/>
  <c r="K283" i="53" s="1"/>
  <c r="I283" i="53"/>
  <c r="M283" i="53" s="1"/>
  <c r="J282" i="53"/>
  <c r="K282" i="53" s="1"/>
  <c r="I282" i="53"/>
  <c r="M282" i="53" s="1"/>
  <c r="J281" i="53"/>
  <c r="K281" i="53" s="1"/>
  <c r="I281" i="53"/>
  <c r="M281" i="53" s="1"/>
  <c r="J280" i="53"/>
  <c r="K280" i="53" s="1"/>
  <c r="I280" i="53"/>
  <c r="M280" i="53" s="1"/>
  <c r="J279" i="53"/>
  <c r="K279" i="53" s="1"/>
  <c r="I279" i="53"/>
  <c r="M279" i="53" s="1"/>
  <c r="J278" i="53"/>
  <c r="K278" i="53" s="1"/>
  <c r="I278" i="53"/>
  <c r="M278" i="53" s="1"/>
  <c r="J277" i="53"/>
  <c r="K277" i="53" s="1"/>
  <c r="I277" i="53"/>
  <c r="M277" i="53" s="1"/>
  <c r="J276" i="53"/>
  <c r="K276" i="53" s="1"/>
  <c r="I276" i="53"/>
  <c r="M276" i="53" s="1"/>
  <c r="M275" i="53"/>
  <c r="K275" i="53"/>
  <c r="J275" i="53"/>
  <c r="I275" i="53"/>
  <c r="J274" i="53"/>
  <c r="K274" i="53" s="1"/>
  <c r="I274" i="53"/>
  <c r="M274" i="53" s="1"/>
  <c r="J273" i="53"/>
  <c r="K273" i="53" s="1"/>
  <c r="I273" i="53"/>
  <c r="M273" i="53" s="1"/>
  <c r="J272" i="53"/>
  <c r="K272" i="53" s="1"/>
  <c r="I272" i="53"/>
  <c r="M272" i="53" s="1"/>
  <c r="J271" i="53"/>
  <c r="K271" i="53" s="1"/>
  <c r="I271" i="53"/>
  <c r="M271" i="53" s="1"/>
  <c r="J270" i="53"/>
  <c r="K270" i="53" s="1"/>
  <c r="I270" i="53"/>
  <c r="M270" i="53" s="1"/>
  <c r="J269" i="53"/>
  <c r="K269" i="53" s="1"/>
  <c r="I269" i="53"/>
  <c r="M269" i="53" s="1"/>
  <c r="A269" i="53" s="1"/>
  <c r="B269" i="53"/>
  <c r="J268" i="53"/>
  <c r="K268" i="53" s="1"/>
  <c r="I268" i="53"/>
  <c r="M268" i="53" s="1"/>
  <c r="A268" i="53" s="1"/>
  <c r="B268" i="53"/>
  <c r="J267" i="53"/>
  <c r="K267" i="53" s="1"/>
  <c r="I267" i="53"/>
  <c r="M267" i="53" s="1"/>
  <c r="B267" i="53"/>
  <c r="A267" i="53"/>
  <c r="M266" i="53"/>
  <c r="A266" i="53" s="1"/>
  <c r="J266" i="53"/>
  <c r="K266" i="53" s="1"/>
  <c r="I266" i="53"/>
  <c r="B266" i="53"/>
  <c r="J265" i="53"/>
  <c r="K265" i="53" s="1"/>
  <c r="I265" i="53"/>
  <c r="M265" i="53" s="1"/>
  <c r="A265" i="53" s="1"/>
  <c r="B265" i="53"/>
  <c r="J264" i="53"/>
  <c r="K264" i="53" s="1"/>
  <c r="I264" i="53"/>
  <c r="M264" i="53" s="1"/>
  <c r="A264" i="53" s="1"/>
  <c r="B264" i="53"/>
  <c r="J263" i="53"/>
  <c r="K263" i="53" s="1"/>
  <c r="I263" i="53"/>
  <c r="M263" i="53" s="1"/>
  <c r="B263" i="53"/>
  <c r="A263" i="53"/>
  <c r="M262" i="53"/>
  <c r="A262" i="53" s="1"/>
  <c r="K262" i="53"/>
  <c r="J262" i="53"/>
  <c r="I262" i="53"/>
  <c r="B262" i="53"/>
  <c r="J261" i="53"/>
  <c r="K261" i="53" s="1"/>
  <c r="I261" i="53"/>
  <c r="M261" i="53" s="1"/>
  <c r="A261" i="53" s="1"/>
  <c r="B261" i="53"/>
  <c r="J260" i="53"/>
  <c r="K260" i="53" s="1"/>
  <c r="I260" i="53"/>
  <c r="M260" i="53" s="1"/>
  <c r="A260" i="53" s="1"/>
  <c r="B260" i="53"/>
  <c r="J259" i="53"/>
  <c r="K259" i="53" s="1"/>
  <c r="I259" i="53"/>
  <c r="M259" i="53" s="1"/>
  <c r="A259" i="53" s="1"/>
  <c r="B259" i="53"/>
  <c r="M258" i="53"/>
  <c r="A258" i="53" s="1"/>
  <c r="K258" i="53"/>
  <c r="J258" i="53"/>
  <c r="I258" i="53"/>
  <c r="B258" i="53"/>
  <c r="K257" i="53"/>
  <c r="J257" i="53"/>
  <c r="I257" i="53"/>
  <c r="M257" i="53" s="1"/>
  <c r="A257" i="53" s="1"/>
  <c r="B257" i="53"/>
  <c r="J256" i="53"/>
  <c r="K256" i="53" s="1"/>
  <c r="I256" i="53"/>
  <c r="M256" i="53" s="1"/>
  <c r="A256" i="53" s="1"/>
  <c r="B256" i="53"/>
  <c r="J255" i="53"/>
  <c r="K255" i="53" s="1"/>
  <c r="I255" i="53"/>
  <c r="M255" i="53" s="1"/>
  <c r="A255" i="53" s="1"/>
  <c r="B255" i="53"/>
  <c r="M254" i="53"/>
  <c r="A254" i="53" s="1"/>
  <c r="K254" i="53"/>
  <c r="J254" i="53"/>
  <c r="I254" i="53"/>
  <c r="B254" i="53"/>
  <c r="J253" i="53"/>
  <c r="K253" i="53" s="1"/>
  <c r="I253" i="53"/>
  <c r="M253" i="53" s="1"/>
  <c r="A253" i="53" s="1"/>
  <c r="B253" i="53"/>
  <c r="J252" i="53"/>
  <c r="K252" i="53" s="1"/>
  <c r="I252" i="53"/>
  <c r="M252" i="53" s="1"/>
  <c r="A252" i="53" s="1"/>
  <c r="B252" i="53"/>
  <c r="J251" i="53"/>
  <c r="K251" i="53" s="1"/>
  <c r="I251" i="53"/>
  <c r="M251" i="53" s="1"/>
  <c r="A251" i="53" s="1"/>
  <c r="B251" i="53"/>
  <c r="M250" i="53"/>
  <c r="A250" i="53" s="1"/>
  <c r="J250" i="53"/>
  <c r="K250" i="53" s="1"/>
  <c r="I250" i="53"/>
  <c r="B250" i="53"/>
  <c r="K249" i="53"/>
  <c r="J249" i="53"/>
  <c r="I249" i="53"/>
  <c r="M249" i="53" s="1"/>
  <c r="A249" i="53" s="1"/>
  <c r="B249" i="53"/>
  <c r="J248" i="53"/>
  <c r="K248" i="53" s="1"/>
  <c r="I248" i="53"/>
  <c r="M248" i="53" s="1"/>
  <c r="A248" i="53" s="1"/>
  <c r="B248" i="53"/>
  <c r="J247" i="53"/>
  <c r="K247" i="53" s="1"/>
  <c r="I247" i="53"/>
  <c r="M247" i="53" s="1"/>
  <c r="A247" i="53" s="1"/>
  <c r="B247" i="53"/>
  <c r="J246" i="53"/>
  <c r="K246" i="53" s="1"/>
  <c r="I246" i="53"/>
  <c r="M246" i="53" s="1"/>
  <c r="A246" i="53" s="1"/>
  <c r="B246" i="53"/>
  <c r="M245" i="53"/>
  <c r="A245" i="53" s="1"/>
  <c r="K245" i="53"/>
  <c r="J245" i="53"/>
  <c r="I245" i="53"/>
  <c r="B245" i="53"/>
  <c r="J244" i="53"/>
  <c r="K244" i="53" s="1"/>
  <c r="I244" i="53"/>
  <c r="M244" i="53" s="1"/>
  <c r="B244" i="53"/>
  <c r="A244" i="53"/>
  <c r="J243" i="53"/>
  <c r="K243" i="53" s="1"/>
  <c r="I243" i="53"/>
  <c r="M243" i="53" s="1"/>
  <c r="A243" i="53" s="1"/>
  <c r="B243" i="53"/>
  <c r="M242" i="53"/>
  <c r="A242" i="53" s="1"/>
  <c r="J242" i="53"/>
  <c r="K242" i="53" s="1"/>
  <c r="I242" i="53"/>
  <c r="B242" i="53"/>
  <c r="J241" i="53"/>
  <c r="K241" i="53" s="1"/>
  <c r="I241" i="53"/>
  <c r="M241" i="53" s="1"/>
  <c r="A241" i="53" s="1"/>
  <c r="B241" i="53"/>
  <c r="J240" i="53"/>
  <c r="K240" i="53" s="1"/>
  <c r="I240" i="53"/>
  <c r="M240" i="53" s="1"/>
  <c r="A240" i="53" s="1"/>
  <c r="B240" i="53"/>
  <c r="J239" i="53"/>
  <c r="K239" i="53" s="1"/>
  <c r="I239" i="53"/>
  <c r="M239" i="53" s="1"/>
  <c r="A239" i="53" s="1"/>
  <c r="B239" i="53"/>
  <c r="M238" i="53"/>
  <c r="A238" i="53" s="1"/>
  <c r="J238" i="53"/>
  <c r="K238" i="53" s="1"/>
  <c r="I238" i="53"/>
  <c r="B238" i="53"/>
  <c r="M237" i="53"/>
  <c r="A237" i="53" s="1"/>
  <c r="J237" i="53"/>
  <c r="K237" i="53" s="1"/>
  <c r="I237" i="53"/>
  <c r="B237" i="53"/>
  <c r="J236" i="53"/>
  <c r="K236" i="53" s="1"/>
  <c r="I236" i="53"/>
  <c r="M236" i="53" s="1"/>
  <c r="A236" i="53" s="1"/>
  <c r="B236" i="53"/>
  <c r="M235" i="53"/>
  <c r="A235" i="53" s="1"/>
  <c r="J235" i="53"/>
  <c r="K235" i="53" s="1"/>
  <c r="I235" i="53"/>
  <c r="B235" i="53"/>
  <c r="M234" i="53"/>
  <c r="A234" i="53" s="1"/>
  <c r="K234" i="53"/>
  <c r="J234" i="53"/>
  <c r="I234" i="53"/>
  <c r="B234" i="53"/>
  <c r="K233" i="53"/>
  <c r="J233" i="53"/>
  <c r="I233" i="53"/>
  <c r="M233" i="53" s="1"/>
  <c r="A233" i="53" s="1"/>
  <c r="B233" i="53"/>
  <c r="J232" i="53"/>
  <c r="K232" i="53" s="1"/>
  <c r="I232" i="53"/>
  <c r="M232" i="53" s="1"/>
  <c r="A232" i="53" s="1"/>
  <c r="B232" i="53"/>
  <c r="J231" i="53"/>
  <c r="K231" i="53" s="1"/>
  <c r="I231" i="53"/>
  <c r="M231" i="53" s="1"/>
  <c r="A231" i="53" s="1"/>
  <c r="B231" i="53"/>
  <c r="M230" i="53"/>
  <c r="A230" i="53" s="1"/>
  <c r="K230" i="53"/>
  <c r="J230" i="53"/>
  <c r="I230" i="53"/>
  <c r="B230" i="53"/>
  <c r="J229" i="53"/>
  <c r="K229" i="53" s="1"/>
  <c r="I229" i="53"/>
  <c r="M229" i="53" s="1"/>
  <c r="A229" i="53" s="1"/>
  <c r="B229" i="53"/>
  <c r="J228" i="53"/>
  <c r="K228" i="53" s="1"/>
  <c r="I228" i="53"/>
  <c r="M228" i="53" s="1"/>
  <c r="A228" i="53" s="1"/>
  <c r="B228" i="53"/>
  <c r="J227" i="53"/>
  <c r="K227" i="53" s="1"/>
  <c r="I227" i="53"/>
  <c r="M227" i="53" s="1"/>
  <c r="A227" i="53" s="1"/>
  <c r="B227" i="53"/>
  <c r="M226" i="53"/>
  <c r="A226" i="53" s="1"/>
  <c r="K226" i="53"/>
  <c r="J226" i="53"/>
  <c r="I226" i="53"/>
  <c r="B226" i="53"/>
  <c r="K225" i="53"/>
  <c r="J225" i="53"/>
  <c r="I225" i="53"/>
  <c r="M225" i="53" s="1"/>
  <c r="A225" i="53" s="1"/>
  <c r="B225" i="53"/>
  <c r="J224" i="53"/>
  <c r="K224" i="53" s="1"/>
  <c r="I224" i="53"/>
  <c r="M224" i="53" s="1"/>
  <c r="B224" i="53"/>
  <c r="A224" i="53"/>
  <c r="M223" i="53"/>
  <c r="A223" i="53" s="1"/>
  <c r="J223" i="53"/>
  <c r="K223" i="53" s="1"/>
  <c r="I223" i="53"/>
  <c r="B223" i="53"/>
  <c r="K222" i="53"/>
  <c r="J222" i="53"/>
  <c r="I222" i="53"/>
  <c r="M222" i="53" s="1"/>
  <c r="A222" i="53" s="1"/>
  <c r="B222" i="53"/>
  <c r="J221" i="53"/>
  <c r="K221" i="53" s="1"/>
  <c r="I221" i="53"/>
  <c r="M221" i="53" s="1"/>
  <c r="A221" i="53" s="1"/>
  <c r="B221" i="53"/>
  <c r="J220" i="53"/>
  <c r="K220" i="53" s="1"/>
  <c r="I220" i="53"/>
  <c r="M220" i="53" s="1"/>
  <c r="A220" i="53" s="1"/>
  <c r="B220" i="53"/>
  <c r="M219" i="53"/>
  <c r="A219" i="53" s="1"/>
  <c r="J219" i="53"/>
  <c r="K219" i="53" s="1"/>
  <c r="I219" i="53"/>
  <c r="B219" i="53"/>
  <c r="K218" i="53"/>
  <c r="J218" i="53"/>
  <c r="I218" i="53"/>
  <c r="M218" i="53" s="1"/>
  <c r="A218" i="53" s="1"/>
  <c r="B218" i="53"/>
  <c r="M217" i="53"/>
  <c r="A217" i="53" s="1"/>
  <c r="J217" i="53"/>
  <c r="K217" i="53" s="1"/>
  <c r="I217" i="53"/>
  <c r="B217" i="53"/>
  <c r="J216" i="53"/>
  <c r="K216" i="53" s="1"/>
  <c r="I216" i="53"/>
  <c r="M216" i="53" s="1"/>
  <c r="A216" i="53" s="1"/>
  <c r="B216" i="53"/>
  <c r="J215" i="53"/>
  <c r="K215" i="53" s="1"/>
  <c r="I215" i="53"/>
  <c r="M215" i="53" s="1"/>
  <c r="A215" i="53" s="1"/>
  <c r="B215" i="53"/>
  <c r="M214" i="53"/>
  <c r="A214" i="53" s="1"/>
  <c r="J214" i="53"/>
  <c r="K214" i="53" s="1"/>
  <c r="I214" i="53"/>
  <c r="B214" i="53"/>
  <c r="J213" i="53"/>
  <c r="K213" i="53" s="1"/>
  <c r="I213" i="53"/>
  <c r="M213" i="53" s="1"/>
  <c r="A213" i="53" s="1"/>
  <c r="B213" i="53"/>
  <c r="J212" i="53"/>
  <c r="K212" i="53" s="1"/>
  <c r="I212" i="53"/>
  <c r="M212" i="53" s="1"/>
  <c r="A212" i="53" s="1"/>
  <c r="B212" i="53"/>
  <c r="J211" i="53"/>
  <c r="K211" i="53" s="1"/>
  <c r="I211" i="53"/>
  <c r="M211" i="53" s="1"/>
  <c r="A211" i="53" s="1"/>
  <c r="B211" i="53"/>
  <c r="M210" i="53"/>
  <c r="A210" i="53" s="1"/>
  <c r="J210" i="53"/>
  <c r="K210" i="53" s="1"/>
  <c r="I210" i="53"/>
  <c r="B210" i="53"/>
  <c r="M209" i="53"/>
  <c r="A209" i="53" s="1"/>
  <c r="J209" i="53"/>
  <c r="K209" i="53" s="1"/>
  <c r="I209" i="53"/>
  <c r="B209" i="53"/>
  <c r="J208" i="53"/>
  <c r="K208" i="53" s="1"/>
  <c r="I208" i="53"/>
  <c r="M208" i="53" s="1"/>
  <c r="A208" i="53" s="1"/>
  <c r="B208" i="53"/>
  <c r="M207" i="53"/>
  <c r="J207" i="53"/>
  <c r="K207" i="53" s="1"/>
  <c r="I207" i="53"/>
  <c r="B207" i="53"/>
  <c r="A207" i="53"/>
  <c r="K206" i="53"/>
  <c r="J206" i="53"/>
  <c r="I206" i="53"/>
  <c r="M206" i="53" s="1"/>
  <c r="A206" i="53" s="1"/>
  <c r="B206" i="53"/>
  <c r="J205" i="53"/>
  <c r="K205" i="53" s="1"/>
  <c r="I205" i="53"/>
  <c r="M205" i="53" s="1"/>
  <c r="A205" i="53" s="1"/>
  <c r="B205" i="53"/>
  <c r="J204" i="53"/>
  <c r="K204" i="53" s="1"/>
  <c r="I204" i="53"/>
  <c r="M204" i="53" s="1"/>
  <c r="A204" i="53" s="1"/>
  <c r="B204" i="53"/>
  <c r="M203" i="53"/>
  <c r="J203" i="53"/>
  <c r="K203" i="53" s="1"/>
  <c r="I203" i="53"/>
  <c r="B203" i="53"/>
  <c r="A203" i="53"/>
  <c r="K202" i="53"/>
  <c r="J202" i="53"/>
  <c r="I202" i="53"/>
  <c r="M202" i="53" s="1"/>
  <c r="A202" i="53" s="1"/>
  <c r="B202" i="53"/>
  <c r="J201" i="53"/>
  <c r="K201" i="53" s="1"/>
  <c r="I201" i="53"/>
  <c r="M201" i="53" s="1"/>
  <c r="A201" i="53" s="1"/>
  <c r="B201" i="53"/>
  <c r="J200" i="53"/>
  <c r="K200" i="53" s="1"/>
  <c r="I200" i="53"/>
  <c r="M200" i="53" s="1"/>
  <c r="A200" i="53" s="1"/>
  <c r="B200" i="53"/>
  <c r="M199" i="53"/>
  <c r="A199" i="53" s="1"/>
  <c r="J199" i="53"/>
  <c r="K199" i="53" s="1"/>
  <c r="I199" i="53"/>
  <c r="B199" i="53"/>
  <c r="M198" i="53"/>
  <c r="A198" i="53" s="1"/>
  <c r="K198" i="53"/>
  <c r="J198" i="53"/>
  <c r="I198" i="53"/>
  <c r="B198" i="53"/>
  <c r="J197" i="53"/>
  <c r="K197" i="53" s="1"/>
  <c r="I197" i="53"/>
  <c r="M197" i="53" s="1"/>
  <c r="A197" i="53" s="1"/>
  <c r="B197" i="53"/>
  <c r="J196" i="53"/>
  <c r="K196" i="53" s="1"/>
  <c r="I196" i="53"/>
  <c r="M196" i="53" s="1"/>
  <c r="A196" i="53" s="1"/>
  <c r="B196" i="53"/>
  <c r="J195" i="53"/>
  <c r="K195" i="53" s="1"/>
  <c r="I195" i="53"/>
  <c r="M195" i="53" s="1"/>
  <c r="A195" i="53" s="1"/>
  <c r="B195" i="53"/>
  <c r="M194" i="53"/>
  <c r="A194" i="53" s="1"/>
  <c r="J194" i="53"/>
  <c r="K194" i="53" s="1"/>
  <c r="I194" i="53"/>
  <c r="B194" i="53"/>
  <c r="J193" i="53"/>
  <c r="K193" i="53" s="1"/>
  <c r="I193" i="53"/>
  <c r="M193" i="53" s="1"/>
  <c r="A193" i="53" s="1"/>
  <c r="B193" i="53"/>
  <c r="J192" i="53"/>
  <c r="K192" i="53" s="1"/>
  <c r="I192" i="53"/>
  <c r="M192" i="53" s="1"/>
  <c r="A192" i="53" s="1"/>
  <c r="B192" i="53"/>
  <c r="J191" i="53"/>
  <c r="K191" i="53" s="1"/>
  <c r="I191" i="53"/>
  <c r="M191" i="53" s="1"/>
  <c r="A191" i="53" s="1"/>
  <c r="B191" i="53"/>
  <c r="K190" i="53"/>
  <c r="J190" i="53"/>
  <c r="I190" i="53"/>
  <c r="M190" i="53" s="1"/>
  <c r="A190" i="53" s="1"/>
  <c r="B190" i="53"/>
  <c r="J189" i="53"/>
  <c r="K189" i="53" s="1"/>
  <c r="I189" i="53"/>
  <c r="M189" i="53" s="1"/>
  <c r="A189" i="53" s="1"/>
  <c r="B189" i="53"/>
  <c r="J188" i="53"/>
  <c r="K188" i="53" s="1"/>
  <c r="I188" i="53"/>
  <c r="M188" i="53" s="1"/>
  <c r="A188" i="53" s="1"/>
  <c r="B188" i="53"/>
  <c r="J187" i="53"/>
  <c r="K187" i="53" s="1"/>
  <c r="I187" i="53"/>
  <c r="M187" i="53" s="1"/>
  <c r="A187" i="53" s="1"/>
  <c r="B187" i="53"/>
  <c r="J186" i="53"/>
  <c r="K186" i="53" s="1"/>
  <c r="I186" i="53"/>
  <c r="M186" i="53" s="1"/>
  <c r="A186" i="53" s="1"/>
  <c r="B186" i="53"/>
  <c r="J185" i="53"/>
  <c r="K185" i="53" s="1"/>
  <c r="I185" i="53"/>
  <c r="M185" i="53" s="1"/>
  <c r="A185" i="53" s="1"/>
  <c r="B185" i="53"/>
  <c r="J184" i="53"/>
  <c r="K184" i="53" s="1"/>
  <c r="I184" i="53"/>
  <c r="M184" i="53" s="1"/>
  <c r="A184" i="53" s="1"/>
  <c r="B184" i="53"/>
  <c r="J183" i="53"/>
  <c r="K183" i="53" s="1"/>
  <c r="I183" i="53"/>
  <c r="M183" i="53" s="1"/>
  <c r="A183" i="53" s="1"/>
  <c r="B183" i="53"/>
  <c r="J182" i="53"/>
  <c r="K182" i="53" s="1"/>
  <c r="I182" i="53"/>
  <c r="M182" i="53" s="1"/>
  <c r="A182" i="53" s="1"/>
  <c r="B182" i="53"/>
  <c r="J181" i="53"/>
  <c r="K181" i="53" s="1"/>
  <c r="I181" i="53"/>
  <c r="M181" i="53" s="1"/>
  <c r="A181" i="53" s="1"/>
  <c r="B181" i="53"/>
  <c r="J180" i="53"/>
  <c r="K180" i="53" s="1"/>
  <c r="I180" i="53"/>
  <c r="M180" i="53" s="1"/>
  <c r="A180" i="53" s="1"/>
  <c r="B180" i="53"/>
  <c r="J179" i="53"/>
  <c r="K179" i="53" s="1"/>
  <c r="I179" i="53"/>
  <c r="M179" i="53" s="1"/>
  <c r="A179" i="53" s="1"/>
  <c r="B179" i="53"/>
  <c r="J178" i="53"/>
  <c r="K178" i="53" s="1"/>
  <c r="I178" i="53"/>
  <c r="M178" i="53" s="1"/>
  <c r="A178" i="53" s="1"/>
  <c r="B178" i="53"/>
  <c r="J177" i="53"/>
  <c r="K177" i="53" s="1"/>
  <c r="I177" i="53"/>
  <c r="M177" i="53" s="1"/>
  <c r="A177" i="53" s="1"/>
  <c r="B177" i="53"/>
  <c r="J176" i="53"/>
  <c r="K176" i="53" s="1"/>
  <c r="I176" i="53"/>
  <c r="M176" i="53" s="1"/>
  <c r="A176" i="53" s="1"/>
  <c r="B176" i="53"/>
  <c r="J175" i="53"/>
  <c r="K175" i="53" s="1"/>
  <c r="I175" i="53"/>
  <c r="M175" i="53" s="1"/>
  <c r="A175" i="53" s="1"/>
  <c r="B175" i="53"/>
  <c r="K174" i="53"/>
  <c r="J174" i="53"/>
  <c r="I174" i="53"/>
  <c r="M174" i="53" s="1"/>
  <c r="A174" i="53" s="1"/>
  <c r="B174" i="53"/>
  <c r="J173" i="53"/>
  <c r="K173" i="53" s="1"/>
  <c r="I173" i="53"/>
  <c r="M173" i="53" s="1"/>
  <c r="A173" i="53" s="1"/>
  <c r="B173" i="53"/>
  <c r="J172" i="53"/>
  <c r="K172" i="53" s="1"/>
  <c r="I172" i="53"/>
  <c r="M172" i="53" s="1"/>
  <c r="A172" i="53" s="1"/>
  <c r="B172" i="53"/>
  <c r="M171" i="53"/>
  <c r="A171" i="53" s="1"/>
  <c r="J171" i="53"/>
  <c r="K171" i="53" s="1"/>
  <c r="I171" i="53"/>
  <c r="B171" i="53"/>
  <c r="M170" i="53"/>
  <c r="A170" i="53" s="1"/>
  <c r="J170" i="53"/>
  <c r="K170" i="53" s="1"/>
  <c r="I170" i="53"/>
  <c r="B170" i="53"/>
  <c r="J169" i="53"/>
  <c r="K169" i="53" s="1"/>
  <c r="I169" i="53"/>
  <c r="M169" i="53" s="1"/>
  <c r="A169" i="53" s="1"/>
  <c r="B169" i="53"/>
  <c r="J168" i="53"/>
  <c r="K168" i="53" s="1"/>
  <c r="I168" i="53"/>
  <c r="M168" i="53" s="1"/>
  <c r="A168" i="53" s="1"/>
  <c r="B168" i="53"/>
  <c r="M167" i="53"/>
  <c r="A167" i="53" s="1"/>
  <c r="J167" i="53"/>
  <c r="K167" i="53" s="1"/>
  <c r="I167" i="53"/>
  <c r="B167" i="53"/>
  <c r="K166" i="53"/>
  <c r="J166" i="53"/>
  <c r="I166" i="53"/>
  <c r="M166" i="53" s="1"/>
  <c r="A166" i="53" s="1"/>
  <c r="B166" i="53"/>
  <c r="J165" i="53"/>
  <c r="K165" i="53" s="1"/>
  <c r="I165" i="53"/>
  <c r="M165" i="53" s="1"/>
  <c r="A165" i="53" s="1"/>
  <c r="B165" i="53"/>
  <c r="J164" i="53"/>
  <c r="K164" i="53" s="1"/>
  <c r="I164" i="53"/>
  <c r="M164" i="53" s="1"/>
  <c r="A164" i="53" s="1"/>
  <c r="B164" i="53"/>
  <c r="J163" i="53"/>
  <c r="K163" i="53" s="1"/>
  <c r="I163" i="53"/>
  <c r="M163" i="53" s="1"/>
  <c r="A163" i="53" s="1"/>
  <c r="B163" i="53"/>
  <c r="J162" i="53"/>
  <c r="K162" i="53" s="1"/>
  <c r="I162" i="53"/>
  <c r="M162" i="53" s="1"/>
  <c r="A162" i="53" s="1"/>
  <c r="B162" i="53"/>
  <c r="M161" i="53"/>
  <c r="A161" i="53" s="1"/>
  <c r="J161" i="53"/>
  <c r="K161" i="53" s="1"/>
  <c r="I161" i="53"/>
  <c r="B161" i="53"/>
  <c r="J160" i="53"/>
  <c r="K160" i="53" s="1"/>
  <c r="I160" i="53"/>
  <c r="M160" i="53" s="1"/>
  <c r="A160" i="53" s="1"/>
  <c r="B160" i="53"/>
  <c r="J159" i="53"/>
  <c r="K159" i="53" s="1"/>
  <c r="I159" i="53"/>
  <c r="M159" i="53" s="1"/>
  <c r="A159" i="53" s="1"/>
  <c r="B159" i="53"/>
  <c r="J158" i="53"/>
  <c r="K158" i="53" s="1"/>
  <c r="I158" i="53"/>
  <c r="M158" i="53" s="1"/>
  <c r="A158" i="53" s="1"/>
  <c r="B158" i="53"/>
  <c r="J157" i="53"/>
  <c r="K157" i="53" s="1"/>
  <c r="I157" i="53"/>
  <c r="M157" i="53" s="1"/>
  <c r="A157" i="53" s="1"/>
  <c r="B157" i="53"/>
  <c r="J156" i="53"/>
  <c r="K156" i="53" s="1"/>
  <c r="I156" i="53"/>
  <c r="M156" i="53" s="1"/>
  <c r="A156" i="53" s="1"/>
  <c r="B156" i="53"/>
  <c r="J155" i="53"/>
  <c r="K155" i="53" s="1"/>
  <c r="I155" i="53"/>
  <c r="M155" i="53" s="1"/>
  <c r="A155" i="53" s="1"/>
  <c r="B155" i="53"/>
  <c r="J154" i="53"/>
  <c r="K154" i="53" s="1"/>
  <c r="I154" i="53"/>
  <c r="M154" i="53" s="1"/>
  <c r="A154" i="53" s="1"/>
  <c r="B154" i="53"/>
  <c r="J153" i="53"/>
  <c r="K153" i="53" s="1"/>
  <c r="I153" i="53"/>
  <c r="M153" i="53" s="1"/>
  <c r="A153" i="53" s="1"/>
  <c r="B153" i="53"/>
  <c r="J152" i="53"/>
  <c r="K152" i="53" s="1"/>
  <c r="I152" i="53"/>
  <c r="M152" i="53" s="1"/>
  <c r="A152" i="53" s="1"/>
  <c r="B152" i="53"/>
  <c r="J151" i="53"/>
  <c r="K151" i="53" s="1"/>
  <c r="I151" i="53"/>
  <c r="M151" i="53" s="1"/>
  <c r="A151" i="53" s="1"/>
  <c r="B151" i="53"/>
  <c r="K150" i="53"/>
  <c r="J150" i="53"/>
  <c r="I150" i="53"/>
  <c r="M150" i="53" s="1"/>
  <c r="A150" i="53" s="1"/>
  <c r="B150" i="53"/>
  <c r="J149" i="53"/>
  <c r="K149" i="53" s="1"/>
  <c r="I149" i="53"/>
  <c r="M149" i="53" s="1"/>
  <c r="A149" i="53" s="1"/>
  <c r="B149" i="53"/>
  <c r="K148" i="53"/>
  <c r="J148" i="53"/>
  <c r="I148" i="53"/>
  <c r="M148" i="53" s="1"/>
  <c r="A148" i="53" s="1"/>
  <c r="B148" i="53"/>
  <c r="J147" i="53"/>
  <c r="K147" i="53" s="1"/>
  <c r="I147" i="53"/>
  <c r="M147" i="53" s="1"/>
  <c r="A147" i="53" s="1"/>
  <c r="B147" i="53"/>
  <c r="J146" i="53"/>
  <c r="K146" i="53" s="1"/>
  <c r="I146" i="53"/>
  <c r="M146" i="53" s="1"/>
  <c r="A146" i="53" s="1"/>
  <c r="B146" i="53"/>
  <c r="M145" i="53"/>
  <c r="A145" i="53" s="1"/>
  <c r="K145" i="53"/>
  <c r="J145" i="53"/>
  <c r="I145" i="53"/>
  <c r="B145" i="53"/>
  <c r="J144" i="53"/>
  <c r="K144" i="53" s="1"/>
  <c r="I144" i="53"/>
  <c r="M144" i="53" s="1"/>
  <c r="A144" i="53" s="1"/>
  <c r="B144" i="53"/>
  <c r="J143" i="53"/>
  <c r="K143" i="53" s="1"/>
  <c r="I143" i="53"/>
  <c r="M143" i="53" s="1"/>
  <c r="A143" i="53" s="1"/>
  <c r="B143" i="53"/>
  <c r="M142" i="53"/>
  <c r="A142" i="53" s="1"/>
  <c r="J142" i="53"/>
  <c r="K142" i="53" s="1"/>
  <c r="I142" i="53"/>
  <c r="B142" i="53"/>
  <c r="M141" i="53"/>
  <c r="A141" i="53" s="1"/>
  <c r="J141" i="53"/>
  <c r="K141" i="53" s="1"/>
  <c r="I141" i="53"/>
  <c r="B141" i="53"/>
  <c r="J140" i="53"/>
  <c r="K140" i="53" s="1"/>
  <c r="I140" i="53"/>
  <c r="M140" i="53" s="1"/>
  <c r="B140" i="53"/>
  <c r="A140" i="53"/>
  <c r="M139" i="53"/>
  <c r="A139" i="53" s="1"/>
  <c r="J139" i="53"/>
  <c r="K139" i="53" s="1"/>
  <c r="I139" i="53"/>
  <c r="B139" i="53"/>
  <c r="M138" i="53"/>
  <c r="A138" i="53" s="1"/>
  <c r="J138" i="53"/>
  <c r="K138" i="53" s="1"/>
  <c r="I138" i="53"/>
  <c r="B138" i="53"/>
  <c r="M137" i="53"/>
  <c r="A137" i="53" s="1"/>
  <c r="J137" i="53"/>
  <c r="K137" i="53" s="1"/>
  <c r="I137" i="53"/>
  <c r="B137" i="53"/>
  <c r="M136" i="53"/>
  <c r="A136" i="53" s="1"/>
  <c r="J136" i="53"/>
  <c r="K136" i="53" s="1"/>
  <c r="I136" i="53"/>
  <c r="B136" i="53"/>
  <c r="K135" i="53"/>
  <c r="J135" i="53"/>
  <c r="I135" i="53"/>
  <c r="M135" i="53" s="1"/>
  <c r="A135" i="53" s="1"/>
  <c r="B135" i="53"/>
  <c r="K134" i="53"/>
  <c r="J134" i="53"/>
  <c r="I134" i="53"/>
  <c r="M134" i="53" s="1"/>
  <c r="A134" i="53" s="1"/>
  <c r="B134" i="53"/>
  <c r="J133" i="53"/>
  <c r="K133" i="53" s="1"/>
  <c r="I133" i="53"/>
  <c r="M133" i="53" s="1"/>
  <c r="B133" i="53"/>
  <c r="A133" i="53"/>
  <c r="M132" i="53"/>
  <c r="J132" i="53"/>
  <c r="K132" i="53" s="1"/>
  <c r="I132" i="53"/>
  <c r="B132" i="53"/>
  <c r="A132" i="53"/>
  <c r="J131" i="53"/>
  <c r="K131" i="53" s="1"/>
  <c r="I131" i="53"/>
  <c r="M131" i="53" s="1"/>
  <c r="A131" i="53" s="1"/>
  <c r="B131" i="53"/>
  <c r="J130" i="53"/>
  <c r="K130" i="53" s="1"/>
  <c r="I130" i="53"/>
  <c r="M130" i="53" s="1"/>
  <c r="A130" i="53" s="1"/>
  <c r="B130" i="53"/>
  <c r="K129" i="53"/>
  <c r="J129" i="53"/>
  <c r="I129" i="53"/>
  <c r="M129" i="53" s="1"/>
  <c r="A129" i="53" s="1"/>
  <c r="B129" i="53"/>
  <c r="M128" i="53"/>
  <c r="A128" i="53" s="1"/>
  <c r="J128" i="53"/>
  <c r="K128" i="53" s="1"/>
  <c r="I128" i="53"/>
  <c r="B128" i="53"/>
  <c r="K127" i="53"/>
  <c r="J127" i="53"/>
  <c r="I127" i="53"/>
  <c r="M127" i="53" s="1"/>
  <c r="A127" i="53" s="1"/>
  <c r="B127" i="53"/>
  <c r="J126" i="53"/>
  <c r="K126" i="53" s="1"/>
  <c r="I126" i="53"/>
  <c r="M126" i="53" s="1"/>
  <c r="A126" i="53" s="1"/>
  <c r="B126" i="53"/>
  <c r="K125" i="53"/>
  <c r="J125" i="53"/>
  <c r="I125" i="53"/>
  <c r="M125" i="53" s="1"/>
  <c r="A125" i="53" s="1"/>
  <c r="B125" i="53"/>
  <c r="M124" i="53"/>
  <c r="A124" i="53" s="1"/>
  <c r="J124" i="53"/>
  <c r="K124" i="53" s="1"/>
  <c r="I124" i="53"/>
  <c r="B124" i="53"/>
  <c r="K123" i="53"/>
  <c r="J123" i="53"/>
  <c r="I123" i="53"/>
  <c r="M123" i="53" s="1"/>
  <c r="A123" i="53" s="1"/>
  <c r="B123" i="53"/>
  <c r="J122" i="53"/>
  <c r="K122" i="53" s="1"/>
  <c r="I122" i="53"/>
  <c r="M122" i="53" s="1"/>
  <c r="A122" i="53" s="1"/>
  <c r="B122" i="53"/>
  <c r="K121" i="53"/>
  <c r="J121" i="53"/>
  <c r="I121" i="53"/>
  <c r="M121" i="53" s="1"/>
  <c r="A121" i="53" s="1"/>
  <c r="B121" i="53"/>
  <c r="J120" i="53"/>
  <c r="K120" i="53" s="1"/>
  <c r="I120" i="53"/>
  <c r="M120" i="53" s="1"/>
  <c r="A120" i="53" s="1"/>
  <c r="B120" i="53"/>
  <c r="M119" i="53"/>
  <c r="A119" i="53" s="1"/>
  <c r="K119" i="53"/>
  <c r="J119" i="53"/>
  <c r="I119" i="53"/>
  <c r="B119" i="53"/>
  <c r="J118" i="53"/>
  <c r="K118" i="53" s="1"/>
  <c r="I118" i="53"/>
  <c r="M118" i="53" s="1"/>
  <c r="A118" i="53" s="1"/>
  <c r="B118" i="53"/>
  <c r="K117" i="53"/>
  <c r="J117" i="53"/>
  <c r="I117" i="53"/>
  <c r="M117" i="53" s="1"/>
  <c r="B117" i="53"/>
  <c r="A117" i="53"/>
  <c r="M116" i="53"/>
  <c r="A116" i="53" s="1"/>
  <c r="J116" i="53"/>
  <c r="K116" i="53" s="1"/>
  <c r="I116" i="53"/>
  <c r="B116" i="53"/>
  <c r="K115" i="53"/>
  <c r="J115" i="53"/>
  <c r="I115" i="53"/>
  <c r="M115" i="53" s="1"/>
  <c r="A115" i="53" s="1"/>
  <c r="B115" i="53"/>
  <c r="J114" i="53"/>
  <c r="K114" i="53" s="1"/>
  <c r="I114" i="53"/>
  <c r="M114" i="53" s="1"/>
  <c r="A114" i="53" s="1"/>
  <c r="B114" i="53"/>
  <c r="J113" i="53"/>
  <c r="K113" i="53" s="1"/>
  <c r="I113" i="53"/>
  <c r="M113" i="53" s="1"/>
  <c r="B113" i="53"/>
  <c r="A113" i="53"/>
  <c r="J112" i="53"/>
  <c r="K112" i="53" s="1"/>
  <c r="I112" i="53"/>
  <c r="M112" i="53" s="1"/>
  <c r="A112" i="53" s="1"/>
  <c r="B112" i="53"/>
  <c r="J111" i="53"/>
  <c r="K111" i="53" s="1"/>
  <c r="I111" i="53"/>
  <c r="M111" i="53" s="1"/>
  <c r="A111" i="53" s="1"/>
  <c r="B111" i="53"/>
  <c r="K110" i="53"/>
  <c r="J110" i="53"/>
  <c r="I110" i="53"/>
  <c r="M110" i="53" s="1"/>
  <c r="A110" i="53" s="1"/>
  <c r="B110" i="53"/>
  <c r="J109" i="53"/>
  <c r="K109" i="53" s="1"/>
  <c r="I109" i="53"/>
  <c r="M109" i="53" s="1"/>
  <c r="A109" i="53" s="1"/>
  <c r="B109" i="53"/>
  <c r="J108" i="53"/>
  <c r="K108" i="53" s="1"/>
  <c r="I108" i="53"/>
  <c r="M108" i="53" s="1"/>
  <c r="A108" i="53" s="1"/>
  <c r="B108" i="53"/>
  <c r="M107" i="53"/>
  <c r="A107" i="53" s="1"/>
  <c r="K107" i="53"/>
  <c r="J107" i="53"/>
  <c r="I107" i="53"/>
  <c r="B107" i="53"/>
  <c r="K106" i="53"/>
  <c r="J106" i="53"/>
  <c r="I106" i="53"/>
  <c r="M106" i="53" s="1"/>
  <c r="A106" i="53" s="1"/>
  <c r="B106" i="53"/>
  <c r="J105" i="53"/>
  <c r="K105" i="53" s="1"/>
  <c r="I105" i="53"/>
  <c r="M105" i="53" s="1"/>
  <c r="A105" i="53" s="1"/>
  <c r="B105" i="53"/>
  <c r="M104" i="53"/>
  <c r="A104" i="53" s="1"/>
  <c r="J104" i="53"/>
  <c r="K104" i="53" s="1"/>
  <c r="I104" i="53"/>
  <c r="B104" i="53"/>
  <c r="M103" i="53"/>
  <c r="A103" i="53" s="1"/>
  <c r="J103" i="53"/>
  <c r="K103" i="53" s="1"/>
  <c r="I103" i="53"/>
  <c r="B103" i="53"/>
  <c r="K102" i="53"/>
  <c r="J102" i="53"/>
  <c r="I102" i="53"/>
  <c r="M102" i="53" s="1"/>
  <c r="A102" i="53" s="1"/>
  <c r="B102" i="53"/>
  <c r="J101" i="53"/>
  <c r="K101" i="53" s="1"/>
  <c r="I101" i="53"/>
  <c r="M101" i="53" s="1"/>
  <c r="B101" i="53"/>
  <c r="A101" i="53"/>
  <c r="M100" i="53"/>
  <c r="A100" i="53" s="1"/>
  <c r="J100" i="53"/>
  <c r="K100" i="53" s="1"/>
  <c r="I100" i="53"/>
  <c r="B100" i="53"/>
  <c r="M99" i="53"/>
  <c r="A99" i="53" s="1"/>
  <c r="J99" i="53"/>
  <c r="K99" i="53" s="1"/>
  <c r="I99" i="53"/>
  <c r="B99" i="53"/>
  <c r="K98" i="53"/>
  <c r="J98" i="53"/>
  <c r="I98" i="53"/>
  <c r="M98" i="53" s="1"/>
  <c r="A98" i="53" s="1"/>
  <c r="B98" i="53"/>
  <c r="J97" i="53"/>
  <c r="K97" i="53" s="1"/>
  <c r="I97" i="53"/>
  <c r="M97" i="53" s="1"/>
  <c r="B97" i="53"/>
  <c r="A97" i="53"/>
  <c r="M96" i="53"/>
  <c r="A96" i="53" s="1"/>
  <c r="J96" i="53"/>
  <c r="K96" i="53" s="1"/>
  <c r="I96" i="53"/>
  <c r="B96" i="53"/>
  <c r="M95" i="53"/>
  <c r="A95" i="53" s="1"/>
  <c r="J95" i="53"/>
  <c r="K95" i="53" s="1"/>
  <c r="I95" i="53"/>
  <c r="B95" i="53"/>
  <c r="K94" i="53"/>
  <c r="J94" i="53"/>
  <c r="I94" i="53"/>
  <c r="M94" i="53" s="1"/>
  <c r="A94" i="53" s="1"/>
  <c r="B94" i="53"/>
  <c r="J93" i="53"/>
  <c r="K93" i="53" s="1"/>
  <c r="I93" i="53"/>
  <c r="M93" i="53" s="1"/>
  <c r="A93" i="53" s="1"/>
  <c r="B93" i="53"/>
  <c r="M92" i="53"/>
  <c r="A92" i="53" s="1"/>
  <c r="J92" i="53"/>
  <c r="K92" i="53" s="1"/>
  <c r="I92" i="53"/>
  <c r="B92" i="53"/>
  <c r="K91" i="53"/>
  <c r="J91" i="53"/>
  <c r="I91" i="53"/>
  <c r="M91" i="53" s="1"/>
  <c r="A91" i="53" s="1"/>
  <c r="B91" i="53"/>
  <c r="J90" i="53"/>
  <c r="K90" i="53" s="1"/>
  <c r="I90" i="53"/>
  <c r="M90" i="53" s="1"/>
  <c r="A90" i="53" s="1"/>
  <c r="B90" i="53"/>
  <c r="J89" i="53"/>
  <c r="K89" i="53" s="1"/>
  <c r="I89" i="53"/>
  <c r="M89" i="53" s="1"/>
  <c r="A89" i="53" s="1"/>
  <c r="B89" i="53"/>
  <c r="M88" i="53"/>
  <c r="A88" i="53" s="1"/>
  <c r="J88" i="53"/>
  <c r="K88" i="53" s="1"/>
  <c r="I88" i="53"/>
  <c r="B88" i="53"/>
  <c r="M87" i="53"/>
  <c r="A87" i="53" s="1"/>
  <c r="J87" i="53"/>
  <c r="K87" i="53" s="1"/>
  <c r="I87" i="53"/>
  <c r="B87" i="53"/>
  <c r="J86" i="53"/>
  <c r="K86" i="53" s="1"/>
  <c r="I86" i="53"/>
  <c r="M86" i="53" s="1"/>
  <c r="A86" i="53" s="1"/>
  <c r="B86" i="53"/>
  <c r="J85" i="53"/>
  <c r="K85" i="53" s="1"/>
  <c r="I85" i="53"/>
  <c r="M85" i="53" s="1"/>
  <c r="A85" i="53" s="1"/>
  <c r="B85" i="53"/>
  <c r="M84" i="53"/>
  <c r="A84" i="53" s="1"/>
  <c r="J84" i="53"/>
  <c r="K84" i="53" s="1"/>
  <c r="I84" i="53"/>
  <c r="B84" i="53"/>
  <c r="J83" i="53"/>
  <c r="K83" i="53" s="1"/>
  <c r="I83" i="53"/>
  <c r="M83" i="53" s="1"/>
  <c r="A83" i="53" s="1"/>
  <c r="B83" i="53"/>
  <c r="K82" i="53"/>
  <c r="J82" i="53"/>
  <c r="I82" i="53"/>
  <c r="M82" i="53" s="1"/>
  <c r="A82" i="53" s="1"/>
  <c r="B82" i="53"/>
  <c r="J81" i="53"/>
  <c r="K81" i="53" s="1"/>
  <c r="I81" i="53"/>
  <c r="M81" i="53" s="1"/>
  <c r="A81" i="53" s="1"/>
  <c r="B81" i="53"/>
  <c r="M80" i="53"/>
  <c r="A80" i="53" s="1"/>
  <c r="J80" i="53"/>
  <c r="K80" i="53" s="1"/>
  <c r="I80" i="53"/>
  <c r="B80" i="53"/>
  <c r="J79" i="53"/>
  <c r="K79" i="53" s="1"/>
  <c r="I79" i="53"/>
  <c r="M79" i="53" s="1"/>
  <c r="A79" i="53" s="1"/>
  <c r="B79" i="53"/>
  <c r="J78" i="53"/>
  <c r="K78" i="53" s="1"/>
  <c r="I78" i="53"/>
  <c r="M78" i="53" s="1"/>
  <c r="A78" i="53" s="1"/>
  <c r="B78" i="53"/>
  <c r="J77" i="53"/>
  <c r="K77" i="53" s="1"/>
  <c r="I77" i="53"/>
  <c r="M77" i="53" s="1"/>
  <c r="A77" i="53" s="1"/>
  <c r="B77" i="53"/>
  <c r="J76" i="53"/>
  <c r="K76" i="53" s="1"/>
  <c r="I76" i="53"/>
  <c r="M76" i="53" s="1"/>
  <c r="A76" i="53" s="1"/>
  <c r="B76" i="53"/>
  <c r="J75" i="53"/>
  <c r="K75" i="53" s="1"/>
  <c r="I75" i="53"/>
  <c r="M75" i="53" s="1"/>
  <c r="A75" i="53" s="1"/>
  <c r="B75" i="53"/>
  <c r="J74" i="53"/>
  <c r="K74" i="53" s="1"/>
  <c r="I74" i="53"/>
  <c r="M74" i="53" s="1"/>
  <c r="A74" i="53" s="1"/>
  <c r="B74" i="53"/>
  <c r="J73" i="53"/>
  <c r="K73" i="53" s="1"/>
  <c r="I73" i="53"/>
  <c r="M73" i="53" s="1"/>
  <c r="B73" i="53"/>
  <c r="A73" i="53"/>
  <c r="J72" i="53"/>
  <c r="K72" i="53" s="1"/>
  <c r="I72" i="53"/>
  <c r="M72" i="53" s="1"/>
  <c r="A72" i="53" s="1"/>
  <c r="B72" i="53"/>
  <c r="K71" i="53"/>
  <c r="J71" i="53"/>
  <c r="I71" i="53"/>
  <c r="M71" i="53" s="1"/>
  <c r="A71" i="53" s="1"/>
  <c r="B71" i="53"/>
  <c r="M70" i="53"/>
  <c r="A70" i="53" s="1"/>
  <c r="J70" i="53"/>
  <c r="K70" i="53" s="1"/>
  <c r="I70" i="53"/>
  <c r="B70" i="53"/>
  <c r="J69" i="53"/>
  <c r="K69" i="53" s="1"/>
  <c r="I69" i="53"/>
  <c r="M69" i="53" s="1"/>
  <c r="B69" i="53"/>
  <c r="A69" i="53"/>
  <c r="M68" i="53"/>
  <c r="A68" i="53" s="1"/>
  <c r="J68" i="53"/>
  <c r="K68" i="53" s="1"/>
  <c r="I68" i="53"/>
  <c r="B68" i="53"/>
  <c r="J67" i="53"/>
  <c r="K67" i="53" s="1"/>
  <c r="I67" i="53"/>
  <c r="M67" i="53" s="1"/>
  <c r="A67" i="53" s="1"/>
  <c r="B67" i="53"/>
  <c r="J66" i="53"/>
  <c r="K66" i="53" s="1"/>
  <c r="I66" i="53"/>
  <c r="M66" i="53" s="1"/>
  <c r="A66" i="53" s="1"/>
  <c r="B66" i="53"/>
  <c r="M65" i="53"/>
  <c r="A65" i="53" s="1"/>
  <c r="J65" i="53"/>
  <c r="K65" i="53" s="1"/>
  <c r="I65" i="53"/>
  <c r="B65" i="53"/>
  <c r="J64" i="53"/>
  <c r="K64" i="53" s="1"/>
  <c r="M64" i="53" s="1"/>
  <c r="A64" i="53" s="1"/>
  <c r="I64" i="53"/>
  <c r="B64" i="53"/>
  <c r="J63" i="53"/>
  <c r="K63" i="53" s="1"/>
  <c r="I63" i="53"/>
  <c r="B63" i="53"/>
  <c r="J62" i="53"/>
  <c r="K62" i="53" s="1"/>
  <c r="M62" i="53" s="1"/>
  <c r="A62" i="53" s="1"/>
  <c r="I62" i="53"/>
  <c r="B62" i="53"/>
  <c r="J61" i="53"/>
  <c r="K61" i="53" s="1"/>
  <c r="I61" i="53"/>
  <c r="M61" i="53" s="1"/>
  <c r="A61" i="53" s="1"/>
  <c r="B61" i="53"/>
  <c r="J60" i="53"/>
  <c r="K60" i="53" s="1"/>
  <c r="I60" i="53"/>
  <c r="M60" i="53" s="1"/>
  <c r="A60" i="53" s="1"/>
  <c r="B60" i="53"/>
  <c r="J59" i="53"/>
  <c r="K59" i="53" s="1"/>
  <c r="I59" i="53"/>
  <c r="B59" i="53"/>
  <c r="J58" i="53"/>
  <c r="K58" i="53" s="1"/>
  <c r="I58" i="53"/>
  <c r="M58" i="53" s="1"/>
  <c r="A58" i="53" s="1"/>
  <c r="B58" i="53"/>
  <c r="M57" i="53"/>
  <c r="A57" i="53" s="1"/>
  <c r="J57" i="53"/>
  <c r="K57" i="53" s="1"/>
  <c r="I57" i="53"/>
  <c r="B57" i="53"/>
  <c r="J56" i="53"/>
  <c r="K56" i="53" s="1"/>
  <c r="I56" i="53"/>
  <c r="B56" i="53"/>
  <c r="J55" i="53"/>
  <c r="K55" i="53" s="1"/>
  <c r="I55" i="53"/>
  <c r="B55" i="53"/>
  <c r="J54" i="53"/>
  <c r="K54" i="53" s="1"/>
  <c r="M54" i="53" s="1"/>
  <c r="A54" i="53" s="1"/>
  <c r="I54" i="53"/>
  <c r="B54" i="53"/>
  <c r="J53" i="53"/>
  <c r="K53" i="53" s="1"/>
  <c r="I53" i="53"/>
  <c r="M53" i="53" s="1"/>
  <c r="A53" i="53" s="1"/>
  <c r="B53" i="53"/>
  <c r="M52" i="53"/>
  <c r="A52" i="53" s="1"/>
  <c r="J52" i="53"/>
  <c r="K52" i="53" s="1"/>
  <c r="I52" i="53"/>
  <c r="B52" i="53"/>
  <c r="J51" i="53"/>
  <c r="K51" i="53" s="1"/>
  <c r="M51" i="53" s="1"/>
  <c r="A51" i="53" s="1"/>
  <c r="I51" i="53"/>
  <c r="B51" i="53"/>
  <c r="J50" i="53"/>
  <c r="K50" i="53" s="1"/>
  <c r="I50" i="53"/>
  <c r="B50" i="53"/>
  <c r="J49" i="53"/>
  <c r="K49" i="53" s="1"/>
  <c r="I49" i="53"/>
  <c r="M49" i="53" s="1"/>
  <c r="A49" i="53" s="1"/>
  <c r="B49" i="53"/>
  <c r="J48" i="53"/>
  <c r="K48" i="53" s="1"/>
  <c r="I48" i="53"/>
  <c r="B48" i="53"/>
  <c r="J47" i="53"/>
  <c r="K47" i="53" s="1"/>
  <c r="I47" i="53"/>
  <c r="B47" i="53"/>
  <c r="K46" i="53"/>
  <c r="J46" i="53"/>
  <c r="I46" i="53"/>
  <c r="M46" i="53" s="1"/>
  <c r="A46" i="53" s="1"/>
  <c r="B46" i="53"/>
  <c r="J45" i="53"/>
  <c r="K45" i="53" s="1"/>
  <c r="I45" i="53"/>
  <c r="M45" i="53" s="1"/>
  <c r="A45" i="53" s="1"/>
  <c r="B45" i="53"/>
  <c r="J44" i="53"/>
  <c r="K44" i="53" s="1"/>
  <c r="I44" i="53"/>
  <c r="M44" i="53" s="1"/>
  <c r="A44" i="53" s="1"/>
  <c r="B44" i="53"/>
  <c r="M43" i="53"/>
  <c r="A43" i="53" s="1"/>
  <c r="K43" i="53"/>
  <c r="J43" i="53"/>
  <c r="I43" i="53"/>
  <c r="B43" i="53"/>
  <c r="J42" i="53"/>
  <c r="K42" i="53" s="1"/>
  <c r="I42" i="53"/>
  <c r="M42" i="53" s="1"/>
  <c r="A42" i="53" s="1"/>
  <c r="B42" i="53"/>
  <c r="J41" i="53"/>
  <c r="K41" i="53" s="1"/>
  <c r="I41" i="53"/>
  <c r="B41" i="53"/>
  <c r="J40" i="53"/>
  <c r="K40" i="53" s="1"/>
  <c r="I40" i="53"/>
  <c r="M40" i="53" s="1"/>
  <c r="A40" i="53" s="1"/>
  <c r="B40" i="53"/>
  <c r="J39" i="53"/>
  <c r="K39" i="53" s="1"/>
  <c r="I39" i="53"/>
  <c r="B39" i="53"/>
  <c r="J38" i="53"/>
  <c r="K38" i="53" s="1"/>
  <c r="I38" i="53"/>
  <c r="M38" i="53" s="1"/>
  <c r="A38" i="53" s="1"/>
  <c r="B38" i="53"/>
  <c r="J37" i="53"/>
  <c r="K37" i="53" s="1"/>
  <c r="I37" i="53"/>
  <c r="M37" i="53" s="1"/>
  <c r="A37" i="53" s="1"/>
  <c r="B37" i="53"/>
  <c r="J36" i="53"/>
  <c r="K36" i="53" s="1"/>
  <c r="I36" i="53"/>
  <c r="M36" i="53" s="1"/>
  <c r="A36" i="53" s="1"/>
  <c r="B36" i="53"/>
  <c r="J35" i="53"/>
  <c r="K35" i="53" s="1"/>
  <c r="M35" i="53" s="1"/>
  <c r="A35" i="53" s="1"/>
  <c r="I35" i="53"/>
  <c r="B35" i="53"/>
  <c r="J34" i="53"/>
  <c r="K34" i="53" s="1"/>
  <c r="M34" i="53" s="1"/>
  <c r="A34" i="53" s="1"/>
  <c r="I34" i="53"/>
  <c r="B34" i="53"/>
  <c r="K33" i="53"/>
  <c r="J33" i="53"/>
  <c r="I33" i="53"/>
  <c r="B33" i="53"/>
  <c r="J32" i="53"/>
  <c r="K32" i="53" s="1"/>
  <c r="I32" i="53"/>
  <c r="M32" i="53" s="1"/>
  <c r="A32" i="53" s="1"/>
  <c r="B32" i="53"/>
  <c r="J31" i="53"/>
  <c r="K31" i="53" s="1"/>
  <c r="M31" i="53" s="1"/>
  <c r="A31" i="53" s="1"/>
  <c r="I31" i="53"/>
  <c r="B31" i="53"/>
  <c r="J30" i="53"/>
  <c r="K30" i="53" s="1"/>
  <c r="I30" i="53"/>
  <c r="M30" i="53" s="1"/>
  <c r="A30" i="53" s="1"/>
  <c r="B30" i="53"/>
  <c r="J29" i="53"/>
  <c r="K29" i="53" s="1"/>
  <c r="I29" i="53"/>
  <c r="M29" i="53" s="1"/>
  <c r="A29" i="53" s="1"/>
  <c r="B29" i="53"/>
  <c r="J28" i="53"/>
  <c r="K28" i="53" s="1"/>
  <c r="I28" i="53"/>
  <c r="M28" i="53" s="1"/>
  <c r="A28" i="53" s="1"/>
  <c r="B28" i="53"/>
  <c r="M27" i="53"/>
  <c r="A27" i="53" s="1"/>
  <c r="J27" i="53"/>
  <c r="K27" i="53" s="1"/>
  <c r="I27" i="53"/>
  <c r="B27" i="53"/>
  <c r="J26" i="53"/>
  <c r="K26" i="53" s="1"/>
  <c r="I26" i="53"/>
  <c r="M26" i="53" s="1"/>
  <c r="A26" i="53" s="1"/>
  <c r="B26" i="53"/>
  <c r="J25" i="53"/>
  <c r="K25" i="53" s="1"/>
  <c r="I25" i="53"/>
  <c r="B25" i="53"/>
  <c r="J24" i="53"/>
  <c r="K24" i="53" s="1"/>
  <c r="I24" i="53"/>
  <c r="M24" i="53" s="1"/>
  <c r="A24" i="53" s="1"/>
  <c r="B24" i="53"/>
  <c r="J23" i="53"/>
  <c r="K23" i="53" s="1"/>
  <c r="I23" i="53"/>
  <c r="B23" i="53"/>
  <c r="J22" i="53"/>
  <c r="K22" i="53" s="1"/>
  <c r="I22" i="53"/>
  <c r="M22" i="53" s="1"/>
  <c r="A22" i="53" s="1"/>
  <c r="B22" i="53"/>
  <c r="J21" i="53"/>
  <c r="K21" i="53" s="1"/>
  <c r="I21" i="53"/>
  <c r="M21" i="53" s="1"/>
  <c r="A21" i="53" s="1"/>
  <c r="B21" i="53"/>
  <c r="J20" i="53"/>
  <c r="K20" i="53" s="1"/>
  <c r="I20" i="53"/>
  <c r="M20" i="53" s="1"/>
  <c r="A20" i="53" s="1"/>
  <c r="B20" i="53"/>
  <c r="J19" i="53"/>
  <c r="K19" i="53" s="1"/>
  <c r="M19" i="53" s="1"/>
  <c r="A19" i="53" s="1"/>
  <c r="I19" i="53"/>
  <c r="B19" i="53"/>
  <c r="J18" i="53"/>
  <c r="K18" i="53" s="1"/>
  <c r="M18" i="53" s="1"/>
  <c r="A18" i="53" s="1"/>
  <c r="I18" i="53"/>
  <c r="B18" i="53"/>
  <c r="K17" i="53"/>
  <c r="J17" i="53"/>
  <c r="I17" i="53"/>
  <c r="B17" i="53"/>
  <c r="J16" i="53"/>
  <c r="K16" i="53" s="1"/>
  <c r="I16" i="53"/>
  <c r="M16" i="53" s="1"/>
  <c r="A16" i="53" s="1"/>
  <c r="B16" i="53"/>
  <c r="J15" i="53"/>
  <c r="K15" i="53" s="1"/>
  <c r="M15" i="53" s="1"/>
  <c r="A15" i="53" s="1"/>
  <c r="I15" i="53"/>
  <c r="B15" i="53"/>
  <c r="J14" i="53"/>
  <c r="K14" i="53" s="1"/>
  <c r="I14" i="53"/>
  <c r="M14" i="53" s="1"/>
  <c r="A14" i="53" s="1"/>
  <c r="B14" i="53"/>
  <c r="J13" i="53"/>
  <c r="K13" i="53" s="1"/>
  <c r="I13" i="53"/>
  <c r="B13" i="53"/>
  <c r="J12" i="53"/>
  <c r="K12" i="53" s="1"/>
  <c r="I12" i="53"/>
  <c r="B12" i="53"/>
  <c r="J11" i="53"/>
  <c r="K11" i="53" s="1"/>
  <c r="M11" i="53" s="1"/>
  <c r="A11" i="53" s="1"/>
  <c r="I11" i="53"/>
  <c r="B11" i="53"/>
  <c r="J10" i="53"/>
  <c r="K10" i="53" s="1"/>
  <c r="I10" i="53"/>
  <c r="B10" i="53"/>
  <c r="K9" i="53"/>
  <c r="J9" i="53"/>
  <c r="I9" i="53"/>
  <c r="B9" i="53"/>
  <c r="J8" i="53"/>
  <c r="K8" i="53" s="1"/>
  <c r="I8" i="53"/>
  <c r="B8" i="53"/>
  <c r="K7" i="53"/>
  <c r="J7" i="53"/>
  <c r="I7" i="53"/>
  <c r="B7" i="53"/>
  <c r="L6" i="53"/>
  <c r="J6" i="53"/>
  <c r="K6" i="53" s="1"/>
  <c r="M6" i="53" s="1"/>
  <c r="A6" i="53" s="1"/>
  <c r="I6" i="53"/>
  <c r="B6" i="53"/>
  <c r="K2" i="53"/>
  <c r="L7" i="53" s="1"/>
  <c r="M7" i="53" s="1"/>
  <c r="A7" i="53" s="1"/>
  <c r="J373" i="52"/>
  <c r="J372" i="52"/>
  <c r="J371" i="52"/>
  <c r="J370" i="52"/>
  <c r="J369" i="52"/>
  <c r="J368" i="52"/>
  <c r="J367" i="52"/>
  <c r="J366" i="52"/>
  <c r="J365" i="52"/>
  <c r="J364" i="52"/>
  <c r="J363" i="52"/>
  <c r="J362" i="52"/>
  <c r="J361" i="52"/>
  <c r="J360" i="52"/>
  <c r="J359" i="52"/>
  <c r="J358" i="52"/>
  <c r="J357" i="52"/>
  <c r="J356" i="52"/>
  <c r="J355" i="52"/>
  <c r="J354" i="52"/>
  <c r="J353" i="52"/>
  <c r="J352" i="52"/>
  <c r="J351" i="52"/>
  <c r="J350" i="52"/>
  <c r="J349" i="52"/>
  <c r="J348" i="52"/>
  <c r="J347" i="52"/>
  <c r="J346" i="52"/>
  <c r="J345" i="52"/>
  <c r="J344" i="52"/>
  <c r="J343" i="52"/>
  <c r="J342" i="52"/>
  <c r="J341" i="52"/>
  <c r="J340" i="52"/>
  <c r="J339" i="52"/>
  <c r="J338" i="52"/>
  <c r="J337" i="52"/>
  <c r="J336" i="52"/>
  <c r="J335" i="52"/>
  <c r="J334" i="52"/>
  <c r="J333" i="52"/>
  <c r="J332" i="52"/>
  <c r="J331" i="52"/>
  <c r="J330" i="52"/>
  <c r="J329" i="52"/>
  <c r="J328" i="52"/>
  <c r="J327" i="52"/>
  <c r="J326" i="52"/>
  <c r="J325" i="52"/>
  <c r="J324" i="52"/>
  <c r="J323" i="52"/>
  <c r="J322" i="52"/>
  <c r="J321" i="52"/>
  <c r="J320" i="52"/>
  <c r="J319" i="52"/>
  <c r="J318" i="52"/>
  <c r="J317" i="52"/>
  <c r="J316" i="52"/>
  <c r="J315" i="52"/>
  <c r="J314" i="52"/>
  <c r="J313" i="52"/>
  <c r="J312" i="52"/>
  <c r="J311" i="52"/>
  <c r="J310" i="52"/>
  <c r="J309" i="52"/>
  <c r="J308" i="52"/>
  <c r="J307" i="52"/>
  <c r="J306" i="52"/>
  <c r="J305" i="52"/>
  <c r="K305" i="52" s="1"/>
  <c r="I305" i="52"/>
  <c r="M305" i="52" s="1"/>
  <c r="J304" i="52"/>
  <c r="K304" i="52" s="1"/>
  <c r="I304" i="52"/>
  <c r="M304" i="52" s="1"/>
  <c r="J303" i="52"/>
  <c r="K303" i="52" s="1"/>
  <c r="I303" i="52"/>
  <c r="M303" i="52" s="1"/>
  <c r="J302" i="52"/>
  <c r="K302" i="52" s="1"/>
  <c r="I302" i="52"/>
  <c r="M302" i="52" s="1"/>
  <c r="J301" i="52"/>
  <c r="K301" i="52" s="1"/>
  <c r="I301" i="52"/>
  <c r="M301" i="52" s="1"/>
  <c r="M300" i="52"/>
  <c r="J300" i="52"/>
  <c r="K300" i="52" s="1"/>
  <c r="I300" i="52"/>
  <c r="M299" i="52"/>
  <c r="J299" i="52"/>
  <c r="K299" i="52" s="1"/>
  <c r="I299" i="52"/>
  <c r="J298" i="52"/>
  <c r="K298" i="52" s="1"/>
  <c r="I298" i="52"/>
  <c r="M298" i="52" s="1"/>
  <c r="J297" i="52"/>
  <c r="K297" i="52" s="1"/>
  <c r="I297" i="52"/>
  <c r="M297" i="52" s="1"/>
  <c r="J296" i="52"/>
  <c r="K296" i="52" s="1"/>
  <c r="I296" i="52"/>
  <c r="M296" i="52" s="1"/>
  <c r="J295" i="52"/>
  <c r="K295" i="52" s="1"/>
  <c r="I295" i="52"/>
  <c r="M295" i="52" s="1"/>
  <c r="J294" i="52"/>
  <c r="K294" i="52" s="1"/>
  <c r="I294" i="52"/>
  <c r="M294" i="52" s="1"/>
  <c r="J293" i="52"/>
  <c r="K293" i="52" s="1"/>
  <c r="I293" i="52"/>
  <c r="M293" i="52" s="1"/>
  <c r="J292" i="52"/>
  <c r="K292" i="52" s="1"/>
  <c r="I292" i="52"/>
  <c r="M292" i="52" s="1"/>
  <c r="J291" i="52"/>
  <c r="K291" i="52" s="1"/>
  <c r="I291" i="52"/>
  <c r="M291" i="52" s="1"/>
  <c r="J290" i="52"/>
  <c r="K290" i="52" s="1"/>
  <c r="I290" i="52"/>
  <c r="M290" i="52" s="1"/>
  <c r="J289" i="52"/>
  <c r="K289" i="52" s="1"/>
  <c r="I289" i="52"/>
  <c r="M289" i="52" s="1"/>
  <c r="J288" i="52"/>
  <c r="K288" i="52" s="1"/>
  <c r="I288" i="52"/>
  <c r="M288" i="52" s="1"/>
  <c r="M287" i="52"/>
  <c r="J287" i="52"/>
  <c r="K287" i="52" s="1"/>
  <c r="I287" i="52"/>
  <c r="J286" i="52"/>
  <c r="K286" i="52" s="1"/>
  <c r="I286" i="52"/>
  <c r="M286" i="52" s="1"/>
  <c r="M285" i="52"/>
  <c r="J285" i="52"/>
  <c r="K285" i="52" s="1"/>
  <c r="I285" i="52"/>
  <c r="J284" i="52"/>
  <c r="K284" i="52" s="1"/>
  <c r="I284" i="52"/>
  <c r="M284" i="52" s="1"/>
  <c r="J283" i="52"/>
  <c r="K283" i="52" s="1"/>
  <c r="I283" i="52"/>
  <c r="M283" i="52" s="1"/>
  <c r="J282" i="52"/>
  <c r="K282" i="52" s="1"/>
  <c r="I282" i="52"/>
  <c r="M282" i="52" s="1"/>
  <c r="J281" i="52"/>
  <c r="K281" i="52" s="1"/>
  <c r="I281" i="52"/>
  <c r="M281" i="52" s="1"/>
  <c r="J280" i="52"/>
  <c r="K280" i="52" s="1"/>
  <c r="I280" i="52"/>
  <c r="M280" i="52" s="1"/>
  <c r="J279" i="52"/>
  <c r="K279" i="52" s="1"/>
  <c r="I279" i="52"/>
  <c r="M279" i="52" s="1"/>
  <c r="J278" i="52"/>
  <c r="K278" i="52" s="1"/>
  <c r="I278" i="52"/>
  <c r="M278" i="52" s="1"/>
  <c r="J277" i="52"/>
  <c r="K277" i="52" s="1"/>
  <c r="I277" i="52"/>
  <c r="M277" i="52" s="1"/>
  <c r="J276" i="52"/>
  <c r="K276" i="52" s="1"/>
  <c r="I276" i="52"/>
  <c r="M276" i="52" s="1"/>
  <c r="J275" i="52"/>
  <c r="K275" i="52" s="1"/>
  <c r="I275" i="52"/>
  <c r="M275" i="52" s="1"/>
  <c r="J274" i="52"/>
  <c r="K274" i="52" s="1"/>
  <c r="I274" i="52"/>
  <c r="M274" i="52" s="1"/>
  <c r="J273" i="52"/>
  <c r="K273" i="52" s="1"/>
  <c r="I273" i="52"/>
  <c r="M273" i="52" s="1"/>
  <c r="J272" i="52"/>
  <c r="K272" i="52" s="1"/>
  <c r="I272" i="52"/>
  <c r="M272" i="52" s="1"/>
  <c r="M271" i="52"/>
  <c r="J271" i="52"/>
  <c r="K271" i="52" s="1"/>
  <c r="I271" i="52"/>
  <c r="J270" i="52"/>
  <c r="K270" i="52" s="1"/>
  <c r="I270" i="52"/>
  <c r="M270" i="52" s="1"/>
  <c r="M269" i="52"/>
  <c r="A269" i="52" s="1"/>
  <c r="J269" i="52"/>
  <c r="K269" i="52" s="1"/>
  <c r="I269" i="52"/>
  <c r="B269" i="52"/>
  <c r="J268" i="52"/>
  <c r="K268" i="52" s="1"/>
  <c r="I268" i="52"/>
  <c r="M268" i="52" s="1"/>
  <c r="A268" i="52" s="1"/>
  <c r="B268" i="52"/>
  <c r="J267" i="52"/>
  <c r="K267" i="52" s="1"/>
  <c r="I267" i="52"/>
  <c r="M267" i="52" s="1"/>
  <c r="A267" i="52" s="1"/>
  <c r="B267" i="52"/>
  <c r="M266" i="52"/>
  <c r="A266" i="52" s="1"/>
  <c r="J266" i="52"/>
  <c r="K266" i="52" s="1"/>
  <c r="I266" i="52"/>
  <c r="B266" i="52"/>
  <c r="J265" i="52"/>
  <c r="K265" i="52" s="1"/>
  <c r="I265" i="52"/>
  <c r="M265" i="52" s="1"/>
  <c r="A265" i="52" s="1"/>
  <c r="B265" i="52"/>
  <c r="M264" i="52"/>
  <c r="A264" i="52" s="1"/>
  <c r="J264" i="52"/>
  <c r="K264" i="52" s="1"/>
  <c r="I264" i="52"/>
  <c r="B264" i="52"/>
  <c r="J263" i="52"/>
  <c r="K263" i="52" s="1"/>
  <c r="I263" i="52"/>
  <c r="M263" i="52" s="1"/>
  <c r="A263" i="52" s="1"/>
  <c r="B263" i="52"/>
  <c r="M262" i="52"/>
  <c r="A262" i="52" s="1"/>
  <c r="J262" i="52"/>
  <c r="K262" i="52" s="1"/>
  <c r="I262" i="52"/>
  <c r="B262" i="52"/>
  <c r="J261" i="52"/>
  <c r="K261" i="52" s="1"/>
  <c r="I261" i="52"/>
  <c r="M261" i="52" s="1"/>
  <c r="A261" i="52" s="1"/>
  <c r="B261" i="52"/>
  <c r="J260" i="52"/>
  <c r="K260" i="52" s="1"/>
  <c r="I260" i="52"/>
  <c r="M260" i="52" s="1"/>
  <c r="A260" i="52" s="1"/>
  <c r="B260" i="52"/>
  <c r="J259" i="52"/>
  <c r="K259" i="52" s="1"/>
  <c r="I259" i="52"/>
  <c r="M259" i="52" s="1"/>
  <c r="A259" i="52" s="1"/>
  <c r="B259" i="52"/>
  <c r="J258" i="52"/>
  <c r="K258" i="52" s="1"/>
  <c r="I258" i="52"/>
  <c r="M258" i="52" s="1"/>
  <c r="A258" i="52" s="1"/>
  <c r="B258" i="52"/>
  <c r="J257" i="52"/>
  <c r="K257" i="52" s="1"/>
  <c r="I257" i="52"/>
  <c r="M257" i="52" s="1"/>
  <c r="A257" i="52" s="1"/>
  <c r="B257" i="52"/>
  <c r="M256" i="52"/>
  <c r="A256" i="52" s="1"/>
  <c r="J256" i="52"/>
  <c r="K256" i="52" s="1"/>
  <c r="I256" i="52"/>
  <c r="B256" i="52"/>
  <c r="M255" i="52"/>
  <c r="J255" i="52"/>
  <c r="K255" i="52" s="1"/>
  <c r="I255" i="52"/>
  <c r="B255" i="52"/>
  <c r="A255" i="52"/>
  <c r="M254" i="52"/>
  <c r="A254" i="52" s="1"/>
  <c r="J254" i="52"/>
  <c r="K254" i="52" s="1"/>
  <c r="I254" i="52"/>
  <c r="B254" i="52"/>
  <c r="M253" i="52"/>
  <c r="A253" i="52" s="1"/>
  <c r="J253" i="52"/>
  <c r="K253" i="52" s="1"/>
  <c r="I253" i="52"/>
  <c r="B253" i="52"/>
  <c r="J252" i="52"/>
  <c r="K252" i="52" s="1"/>
  <c r="I252" i="52"/>
  <c r="M252" i="52" s="1"/>
  <c r="A252" i="52" s="1"/>
  <c r="B252" i="52"/>
  <c r="J251" i="52"/>
  <c r="K251" i="52" s="1"/>
  <c r="I251" i="52"/>
  <c r="M251" i="52" s="1"/>
  <c r="A251" i="52" s="1"/>
  <c r="B251" i="52"/>
  <c r="M250" i="52"/>
  <c r="A250" i="52" s="1"/>
  <c r="J250" i="52"/>
  <c r="K250" i="52" s="1"/>
  <c r="I250" i="52"/>
  <c r="B250" i="52"/>
  <c r="J249" i="52"/>
  <c r="K249" i="52" s="1"/>
  <c r="I249" i="52"/>
  <c r="M249" i="52" s="1"/>
  <c r="A249" i="52" s="1"/>
  <c r="B249" i="52"/>
  <c r="M248" i="52"/>
  <c r="A248" i="52" s="1"/>
  <c r="J248" i="52"/>
  <c r="K248" i="52" s="1"/>
  <c r="I248" i="52"/>
  <c r="B248" i="52"/>
  <c r="J247" i="52"/>
  <c r="K247" i="52" s="1"/>
  <c r="I247" i="52"/>
  <c r="M247" i="52" s="1"/>
  <c r="A247" i="52" s="1"/>
  <c r="B247" i="52"/>
  <c r="J246" i="52"/>
  <c r="K246" i="52" s="1"/>
  <c r="I246" i="52"/>
  <c r="M246" i="52" s="1"/>
  <c r="A246" i="52" s="1"/>
  <c r="B246" i="52"/>
  <c r="J245" i="52"/>
  <c r="K245" i="52" s="1"/>
  <c r="I245" i="52"/>
  <c r="M245" i="52" s="1"/>
  <c r="A245" i="52" s="1"/>
  <c r="B245" i="52"/>
  <c r="J244" i="52"/>
  <c r="K244" i="52" s="1"/>
  <c r="I244" i="52"/>
  <c r="M244" i="52" s="1"/>
  <c r="A244" i="52" s="1"/>
  <c r="B244" i="52"/>
  <c r="J243" i="52"/>
  <c r="K243" i="52" s="1"/>
  <c r="I243" i="52"/>
  <c r="M243" i="52" s="1"/>
  <c r="A243" i="52" s="1"/>
  <c r="B243" i="52"/>
  <c r="J242" i="52"/>
  <c r="K242" i="52" s="1"/>
  <c r="I242" i="52"/>
  <c r="M242" i="52" s="1"/>
  <c r="A242" i="52" s="1"/>
  <c r="B242" i="52"/>
  <c r="K241" i="52"/>
  <c r="J241" i="52"/>
  <c r="I241" i="52"/>
  <c r="M241" i="52" s="1"/>
  <c r="A241" i="52" s="1"/>
  <c r="B241" i="52"/>
  <c r="M240" i="52"/>
  <c r="A240" i="52" s="1"/>
  <c r="J240" i="52"/>
  <c r="K240" i="52" s="1"/>
  <c r="I240" i="52"/>
  <c r="B240" i="52"/>
  <c r="M239" i="52"/>
  <c r="A239" i="52" s="1"/>
  <c r="J239" i="52"/>
  <c r="K239" i="52" s="1"/>
  <c r="I239" i="52"/>
  <c r="B239" i="52"/>
  <c r="M238" i="52"/>
  <c r="A238" i="52" s="1"/>
  <c r="J238" i="52"/>
  <c r="K238" i="52" s="1"/>
  <c r="I238" i="52"/>
  <c r="B238" i="52"/>
  <c r="M237" i="52"/>
  <c r="A237" i="52" s="1"/>
  <c r="J237" i="52"/>
  <c r="K237" i="52" s="1"/>
  <c r="I237" i="52"/>
  <c r="B237" i="52"/>
  <c r="J236" i="52"/>
  <c r="K236" i="52" s="1"/>
  <c r="I236" i="52"/>
  <c r="M236" i="52" s="1"/>
  <c r="A236" i="52" s="1"/>
  <c r="B236" i="52"/>
  <c r="M235" i="52"/>
  <c r="A235" i="52" s="1"/>
  <c r="J235" i="52"/>
  <c r="K235" i="52" s="1"/>
  <c r="I235" i="52"/>
  <c r="B235" i="52"/>
  <c r="M234" i="52"/>
  <c r="A234" i="52" s="1"/>
  <c r="J234" i="52"/>
  <c r="K234" i="52" s="1"/>
  <c r="I234" i="52"/>
  <c r="B234" i="52"/>
  <c r="M233" i="52"/>
  <c r="A233" i="52" s="1"/>
  <c r="J233" i="52"/>
  <c r="K233" i="52" s="1"/>
  <c r="I233" i="52"/>
  <c r="B233" i="52"/>
  <c r="J232" i="52"/>
  <c r="K232" i="52" s="1"/>
  <c r="I232" i="52"/>
  <c r="M232" i="52" s="1"/>
  <c r="A232" i="52" s="1"/>
  <c r="B232" i="52"/>
  <c r="J231" i="52"/>
  <c r="K231" i="52" s="1"/>
  <c r="I231" i="52"/>
  <c r="M231" i="52" s="1"/>
  <c r="A231" i="52" s="1"/>
  <c r="B231" i="52"/>
  <c r="J230" i="52"/>
  <c r="K230" i="52" s="1"/>
  <c r="I230" i="52"/>
  <c r="M230" i="52" s="1"/>
  <c r="A230" i="52" s="1"/>
  <c r="B230" i="52"/>
  <c r="J229" i="52"/>
  <c r="K229" i="52" s="1"/>
  <c r="I229" i="52"/>
  <c r="M229" i="52" s="1"/>
  <c r="A229" i="52" s="1"/>
  <c r="B229" i="52"/>
  <c r="J228" i="52"/>
  <c r="K228" i="52" s="1"/>
  <c r="I228" i="52"/>
  <c r="M228" i="52" s="1"/>
  <c r="A228" i="52" s="1"/>
  <c r="B228" i="52"/>
  <c r="J227" i="52"/>
  <c r="K227" i="52" s="1"/>
  <c r="I227" i="52"/>
  <c r="M227" i="52" s="1"/>
  <c r="A227" i="52" s="1"/>
  <c r="B227" i="52"/>
  <c r="J226" i="52"/>
  <c r="K226" i="52" s="1"/>
  <c r="I226" i="52"/>
  <c r="M226" i="52" s="1"/>
  <c r="A226" i="52" s="1"/>
  <c r="B226" i="52"/>
  <c r="K225" i="52"/>
  <c r="J225" i="52"/>
  <c r="I225" i="52"/>
  <c r="M225" i="52" s="1"/>
  <c r="A225" i="52" s="1"/>
  <c r="B225" i="52"/>
  <c r="J224" i="52"/>
  <c r="K224" i="52" s="1"/>
  <c r="I224" i="52"/>
  <c r="M224" i="52" s="1"/>
  <c r="A224" i="52" s="1"/>
  <c r="B224" i="52"/>
  <c r="J223" i="52"/>
  <c r="K223" i="52" s="1"/>
  <c r="I223" i="52"/>
  <c r="M223" i="52" s="1"/>
  <c r="A223" i="52" s="1"/>
  <c r="B223" i="52"/>
  <c r="M222" i="52"/>
  <c r="A222" i="52" s="1"/>
  <c r="J222" i="52"/>
  <c r="K222" i="52" s="1"/>
  <c r="I222" i="52"/>
  <c r="B222" i="52"/>
  <c r="J221" i="52"/>
  <c r="K221" i="52" s="1"/>
  <c r="I221" i="52"/>
  <c r="M221" i="52" s="1"/>
  <c r="A221" i="52" s="1"/>
  <c r="B221" i="52"/>
  <c r="J220" i="52"/>
  <c r="K220" i="52" s="1"/>
  <c r="I220" i="52"/>
  <c r="M220" i="52" s="1"/>
  <c r="A220" i="52" s="1"/>
  <c r="B220" i="52"/>
  <c r="J219" i="52"/>
  <c r="K219" i="52" s="1"/>
  <c r="I219" i="52"/>
  <c r="M219" i="52" s="1"/>
  <c r="A219" i="52" s="1"/>
  <c r="B219" i="52"/>
  <c r="M218" i="52"/>
  <c r="A218" i="52" s="1"/>
  <c r="J218" i="52"/>
  <c r="K218" i="52" s="1"/>
  <c r="I218" i="52"/>
  <c r="B218" i="52"/>
  <c r="K217" i="52"/>
  <c r="J217" i="52"/>
  <c r="I217" i="52"/>
  <c r="M217" i="52" s="1"/>
  <c r="A217" i="52" s="1"/>
  <c r="B217" i="52"/>
  <c r="M216" i="52"/>
  <c r="A216" i="52" s="1"/>
  <c r="J216" i="52"/>
  <c r="K216" i="52" s="1"/>
  <c r="I216" i="52"/>
  <c r="B216" i="52"/>
  <c r="M215" i="52"/>
  <c r="A215" i="52" s="1"/>
  <c r="J215" i="52"/>
  <c r="K215" i="52" s="1"/>
  <c r="I215" i="52"/>
  <c r="B215" i="52"/>
  <c r="J214" i="52"/>
  <c r="K214" i="52" s="1"/>
  <c r="I214" i="52"/>
  <c r="M214" i="52" s="1"/>
  <c r="A214" i="52" s="1"/>
  <c r="B214" i="52"/>
  <c r="J213" i="52"/>
  <c r="K213" i="52" s="1"/>
  <c r="I213" i="52"/>
  <c r="M213" i="52" s="1"/>
  <c r="A213" i="52" s="1"/>
  <c r="B213" i="52"/>
  <c r="J212" i="52"/>
  <c r="K212" i="52" s="1"/>
  <c r="I212" i="52"/>
  <c r="M212" i="52" s="1"/>
  <c r="A212" i="52" s="1"/>
  <c r="B212" i="52"/>
  <c r="J211" i="52"/>
  <c r="K211" i="52" s="1"/>
  <c r="I211" i="52"/>
  <c r="M211" i="52" s="1"/>
  <c r="B211" i="52"/>
  <c r="A211" i="52"/>
  <c r="J210" i="52"/>
  <c r="K210" i="52" s="1"/>
  <c r="I210" i="52"/>
  <c r="M210" i="52" s="1"/>
  <c r="A210" i="52" s="1"/>
  <c r="B210" i="52"/>
  <c r="M209" i="52"/>
  <c r="A209" i="52" s="1"/>
  <c r="J209" i="52"/>
  <c r="K209" i="52" s="1"/>
  <c r="I209" i="52"/>
  <c r="B209" i="52"/>
  <c r="J208" i="52"/>
  <c r="K208" i="52" s="1"/>
  <c r="I208" i="52"/>
  <c r="M208" i="52" s="1"/>
  <c r="A208" i="52" s="1"/>
  <c r="B208" i="52"/>
  <c r="J207" i="52"/>
  <c r="K207" i="52" s="1"/>
  <c r="I207" i="52"/>
  <c r="M207" i="52" s="1"/>
  <c r="A207" i="52" s="1"/>
  <c r="B207" i="52"/>
  <c r="M206" i="52"/>
  <c r="A206" i="52" s="1"/>
  <c r="J206" i="52"/>
  <c r="K206" i="52" s="1"/>
  <c r="I206" i="52"/>
  <c r="B206" i="52"/>
  <c r="J205" i="52"/>
  <c r="K205" i="52" s="1"/>
  <c r="I205" i="52"/>
  <c r="M205" i="52" s="1"/>
  <c r="A205" i="52" s="1"/>
  <c r="B205" i="52"/>
  <c r="K204" i="52"/>
  <c r="J204" i="52"/>
  <c r="I204" i="52"/>
  <c r="M204" i="52" s="1"/>
  <c r="A204" i="52" s="1"/>
  <c r="B204" i="52"/>
  <c r="J203" i="52"/>
  <c r="K203" i="52" s="1"/>
  <c r="I203" i="52"/>
  <c r="M203" i="52" s="1"/>
  <c r="A203" i="52" s="1"/>
  <c r="B203" i="52"/>
  <c r="J202" i="52"/>
  <c r="K202" i="52" s="1"/>
  <c r="I202" i="52"/>
  <c r="M202" i="52" s="1"/>
  <c r="A202" i="52" s="1"/>
  <c r="B202" i="52"/>
  <c r="J201" i="52"/>
  <c r="K201" i="52" s="1"/>
  <c r="I201" i="52"/>
  <c r="M201" i="52" s="1"/>
  <c r="A201" i="52" s="1"/>
  <c r="B201" i="52"/>
  <c r="J200" i="52"/>
  <c r="K200" i="52" s="1"/>
  <c r="I200" i="52"/>
  <c r="M200" i="52" s="1"/>
  <c r="A200" i="52" s="1"/>
  <c r="B200" i="52"/>
  <c r="J199" i="52"/>
  <c r="K199" i="52" s="1"/>
  <c r="I199" i="52"/>
  <c r="M199" i="52" s="1"/>
  <c r="A199" i="52" s="1"/>
  <c r="B199" i="52"/>
  <c r="J198" i="52"/>
  <c r="K198" i="52" s="1"/>
  <c r="I198" i="52"/>
  <c r="M198" i="52" s="1"/>
  <c r="A198" i="52" s="1"/>
  <c r="B198" i="52"/>
  <c r="J197" i="52"/>
  <c r="K197" i="52" s="1"/>
  <c r="I197" i="52"/>
  <c r="M197" i="52" s="1"/>
  <c r="A197" i="52" s="1"/>
  <c r="B197" i="52"/>
  <c r="J196" i="52"/>
  <c r="K196" i="52" s="1"/>
  <c r="I196" i="52"/>
  <c r="M196" i="52" s="1"/>
  <c r="A196" i="52" s="1"/>
  <c r="B196" i="52"/>
  <c r="J195" i="52"/>
  <c r="K195" i="52" s="1"/>
  <c r="I195" i="52"/>
  <c r="M195" i="52" s="1"/>
  <c r="A195" i="52" s="1"/>
  <c r="B195" i="52"/>
  <c r="J194" i="52"/>
  <c r="K194" i="52" s="1"/>
  <c r="I194" i="52"/>
  <c r="M194" i="52" s="1"/>
  <c r="A194" i="52" s="1"/>
  <c r="B194" i="52"/>
  <c r="J193" i="52"/>
  <c r="K193" i="52" s="1"/>
  <c r="I193" i="52"/>
  <c r="M193" i="52" s="1"/>
  <c r="A193" i="52" s="1"/>
  <c r="B193" i="52"/>
  <c r="J192" i="52"/>
  <c r="K192" i="52" s="1"/>
  <c r="I192" i="52"/>
  <c r="M192" i="52" s="1"/>
  <c r="A192" i="52" s="1"/>
  <c r="B192" i="52"/>
  <c r="J191" i="52"/>
  <c r="K191" i="52" s="1"/>
  <c r="I191" i="52"/>
  <c r="M191" i="52" s="1"/>
  <c r="A191" i="52" s="1"/>
  <c r="B191" i="52"/>
  <c r="J190" i="52"/>
  <c r="K190" i="52" s="1"/>
  <c r="I190" i="52"/>
  <c r="M190" i="52" s="1"/>
  <c r="A190" i="52" s="1"/>
  <c r="B190" i="52"/>
  <c r="J189" i="52"/>
  <c r="K189" i="52" s="1"/>
  <c r="I189" i="52"/>
  <c r="M189" i="52" s="1"/>
  <c r="A189" i="52" s="1"/>
  <c r="B189" i="52"/>
  <c r="J188" i="52"/>
  <c r="K188" i="52" s="1"/>
  <c r="I188" i="52"/>
  <c r="M188" i="52" s="1"/>
  <c r="A188" i="52" s="1"/>
  <c r="B188" i="52"/>
  <c r="J187" i="52"/>
  <c r="K187" i="52" s="1"/>
  <c r="I187" i="52"/>
  <c r="M187" i="52" s="1"/>
  <c r="A187" i="52" s="1"/>
  <c r="B187" i="52"/>
  <c r="J186" i="52"/>
  <c r="K186" i="52" s="1"/>
  <c r="I186" i="52"/>
  <c r="M186" i="52" s="1"/>
  <c r="A186" i="52" s="1"/>
  <c r="B186" i="52"/>
  <c r="J185" i="52"/>
  <c r="K185" i="52" s="1"/>
  <c r="I185" i="52"/>
  <c r="M185" i="52" s="1"/>
  <c r="A185" i="52" s="1"/>
  <c r="B185" i="52"/>
  <c r="J184" i="52"/>
  <c r="K184" i="52" s="1"/>
  <c r="I184" i="52"/>
  <c r="M184" i="52" s="1"/>
  <c r="A184" i="52" s="1"/>
  <c r="B184" i="52"/>
  <c r="J183" i="52"/>
  <c r="K183" i="52" s="1"/>
  <c r="I183" i="52"/>
  <c r="M183" i="52" s="1"/>
  <c r="A183" i="52" s="1"/>
  <c r="B183" i="52"/>
  <c r="J182" i="52"/>
  <c r="K182" i="52" s="1"/>
  <c r="I182" i="52"/>
  <c r="M182" i="52" s="1"/>
  <c r="A182" i="52" s="1"/>
  <c r="B182" i="52"/>
  <c r="J181" i="52"/>
  <c r="K181" i="52" s="1"/>
  <c r="I181" i="52"/>
  <c r="M181" i="52" s="1"/>
  <c r="A181" i="52" s="1"/>
  <c r="B181" i="52"/>
  <c r="J180" i="52"/>
  <c r="K180" i="52" s="1"/>
  <c r="I180" i="52"/>
  <c r="M180" i="52" s="1"/>
  <c r="A180" i="52" s="1"/>
  <c r="B180" i="52"/>
  <c r="J179" i="52"/>
  <c r="K179" i="52" s="1"/>
  <c r="I179" i="52"/>
  <c r="M179" i="52" s="1"/>
  <c r="B179" i="52"/>
  <c r="A179" i="52"/>
  <c r="J178" i="52"/>
  <c r="K178" i="52" s="1"/>
  <c r="I178" i="52"/>
  <c r="M178" i="52" s="1"/>
  <c r="A178" i="52" s="1"/>
  <c r="B178" i="52"/>
  <c r="J177" i="52"/>
  <c r="K177" i="52" s="1"/>
  <c r="I177" i="52"/>
  <c r="M177" i="52" s="1"/>
  <c r="A177" i="52" s="1"/>
  <c r="B177" i="52"/>
  <c r="J176" i="52"/>
  <c r="K176" i="52" s="1"/>
  <c r="I176" i="52"/>
  <c r="M176" i="52" s="1"/>
  <c r="A176" i="52" s="1"/>
  <c r="B176" i="52"/>
  <c r="J175" i="52"/>
  <c r="K175" i="52" s="1"/>
  <c r="I175" i="52"/>
  <c r="M175" i="52" s="1"/>
  <c r="A175" i="52" s="1"/>
  <c r="B175" i="52"/>
  <c r="J174" i="52"/>
  <c r="K174" i="52" s="1"/>
  <c r="I174" i="52"/>
  <c r="M174" i="52" s="1"/>
  <c r="A174" i="52" s="1"/>
  <c r="B174" i="52"/>
  <c r="J173" i="52"/>
  <c r="K173" i="52" s="1"/>
  <c r="I173" i="52"/>
  <c r="M173" i="52" s="1"/>
  <c r="A173" i="52" s="1"/>
  <c r="B173" i="52"/>
  <c r="J172" i="52"/>
  <c r="K172" i="52" s="1"/>
  <c r="I172" i="52"/>
  <c r="M172" i="52" s="1"/>
  <c r="A172" i="52" s="1"/>
  <c r="B172" i="52"/>
  <c r="J171" i="52"/>
  <c r="K171" i="52" s="1"/>
  <c r="I171" i="52"/>
  <c r="M171" i="52" s="1"/>
  <c r="A171" i="52" s="1"/>
  <c r="B171" i="52"/>
  <c r="M170" i="52"/>
  <c r="A170" i="52" s="1"/>
  <c r="J170" i="52"/>
  <c r="K170" i="52" s="1"/>
  <c r="I170" i="52"/>
  <c r="B170" i="52"/>
  <c r="J169" i="52"/>
  <c r="K169" i="52" s="1"/>
  <c r="I169" i="52"/>
  <c r="M169" i="52" s="1"/>
  <c r="A169" i="52" s="1"/>
  <c r="B169" i="52"/>
  <c r="J168" i="52"/>
  <c r="K168" i="52" s="1"/>
  <c r="I168" i="52"/>
  <c r="M168" i="52" s="1"/>
  <c r="A168" i="52" s="1"/>
  <c r="B168" i="52"/>
  <c r="M167" i="52"/>
  <c r="A167" i="52" s="1"/>
  <c r="J167" i="52"/>
  <c r="K167" i="52" s="1"/>
  <c r="I167" i="52"/>
  <c r="B167" i="52"/>
  <c r="M166" i="52"/>
  <c r="A166" i="52" s="1"/>
  <c r="J166" i="52"/>
  <c r="K166" i="52" s="1"/>
  <c r="I166" i="52"/>
  <c r="B166" i="52"/>
  <c r="M165" i="52"/>
  <c r="A165" i="52" s="1"/>
  <c r="J165" i="52"/>
  <c r="K165" i="52" s="1"/>
  <c r="I165" i="52"/>
  <c r="B165" i="52"/>
  <c r="J164" i="52"/>
  <c r="K164" i="52" s="1"/>
  <c r="I164" i="52"/>
  <c r="M164" i="52" s="1"/>
  <c r="A164" i="52" s="1"/>
  <c r="B164" i="52"/>
  <c r="J163" i="52"/>
  <c r="K163" i="52" s="1"/>
  <c r="I163" i="52"/>
  <c r="M163" i="52" s="1"/>
  <c r="A163" i="52" s="1"/>
  <c r="B163" i="52"/>
  <c r="J162" i="52"/>
  <c r="K162" i="52" s="1"/>
  <c r="I162" i="52"/>
  <c r="M162" i="52" s="1"/>
  <c r="A162" i="52" s="1"/>
  <c r="B162" i="52"/>
  <c r="J161" i="52"/>
  <c r="K161" i="52" s="1"/>
  <c r="I161" i="52"/>
  <c r="M161" i="52" s="1"/>
  <c r="A161" i="52" s="1"/>
  <c r="B161" i="52"/>
  <c r="J160" i="52"/>
  <c r="K160" i="52" s="1"/>
  <c r="I160" i="52"/>
  <c r="M160" i="52" s="1"/>
  <c r="A160" i="52" s="1"/>
  <c r="B160" i="52"/>
  <c r="M159" i="52"/>
  <c r="A159" i="52" s="1"/>
  <c r="J159" i="52"/>
  <c r="K159" i="52" s="1"/>
  <c r="I159" i="52"/>
  <c r="B159" i="52"/>
  <c r="J158" i="52"/>
  <c r="K158" i="52" s="1"/>
  <c r="I158" i="52"/>
  <c r="M158" i="52" s="1"/>
  <c r="A158" i="52" s="1"/>
  <c r="B158" i="52"/>
  <c r="M157" i="52"/>
  <c r="A157" i="52" s="1"/>
  <c r="J157" i="52"/>
  <c r="K157" i="52" s="1"/>
  <c r="I157" i="52"/>
  <c r="B157" i="52"/>
  <c r="J156" i="52"/>
  <c r="K156" i="52" s="1"/>
  <c r="I156" i="52"/>
  <c r="M156" i="52" s="1"/>
  <c r="A156" i="52" s="1"/>
  <c r="B156" i="52"/>
  <c r="J155" i="52"/>
  <c r="K155" i="52" s="1"/>
  <c r="I155" i="52"/>
  <c r="M155" i="52" s="1"/>
  <c r="B155" i="52"/>
  <c r="A155" i="52"/>
  <c r="J154" i="52"/>
  <c r="K154" i="52" s="1"/>
  <c r="I154" i="52"/>
  <c r="M154" i="52" s="1"/>
  <c r="A154" i="52" s="1"/>
  <c r="B154" i="52"/>
  <c r="M153" i="52"/>
  <c r="A153" i="52" s="1"/>
  <c r="J153" i="52"/>
  <c r="K153" i="52" s="1"/>
  <c r="I153" i="52"/>
  <c r="B153" i="52"/>
  <c r="J152" i="52"/>
  <c r="K152" i="52" s="1"/>
  <c r="I152" i="52"/>
  <c r="M152" i="52" s="1"/>
  <c r="A152" i="52" s="1"/>
  <c r="B152" i="52"/>
  <c r="M151" i="52"/>
  <c r="A151" i="52" s="1"/>
  <c r="J151" i="52"/>
  <c r="K151" i="52" s="1"/>
  <c r="I151" i="52"/>
  <c r="B151" i="52"/>
  <c r="M150" i="52"/>
  <c r="A150" i="52" s="1"/>
  <c r="J150" i="52"/>
  <c r="K150" i="52" s="1"/>
  <c r="I150" i="52"/>
  <c r="B150" i="52"/>
  <c r="M149" i="52"/>
  <c r="A149" i="52" s="1"/>
  <c r="J149" i="52"/>
  <c r="K149" i="52" s="1"/>
  <c r="I149" i="52"/>
  <c r="B149" i="52"/>
  <c r="K148" i="52"/>
  <c r="J148" i="52"/>
  <c r="I148" i="52"/>
  <c r="M148" i="52" s="1"/>
  <c r="A148" i="52" s="1"/>
  <c r="B148" i="52"/>
  <c r="J147" i="52"/>
  <c r="K147" i="52" s="1"/>
  <c r="I147" i="52"/>
  <c r="M147" i="52" s="1"/>
  <c r="A147" i="52" s="1"/>
  <c r="B147" i="52"/>
  <c r="M146" i="52"/>
  <c r="A146" i="52" s="1"/>
  <c r="J146" i="52"/>
  <c r="K146" i="52" s="1"/>
  <c r="I146" i="52"/>
  <c r="B146" i="52"/>
  <c r="M145" i="52"/>
  <c r="A145" i="52" s="1"/>
  <c r="J145" i="52"/>
  <c r="K145" i="52" s="1"/>
  <c r="I145" i="52"/>
  <c r="B145" i="52"/>
  <c r="J144" i="52"/>
  <c r="K144" i="52" s="1"/>
  <c r="I144" i="52"/>
  <c r="M144" i="52" s="1"/>
  <c r="A144" i="52" s="1"/>
  <c r="B144" i="52"/>
  <c r="J143" i="52"/>
  <c r="K143" i="52" s="1"/>
  <c r="I143" i="52"/>
  <c r="M143" i="52" s="1"/>
  <c r="A143" i="52" s="1"/>
  <c r="B143" i="52"/>
  <c r="J142" i="52"/>
  <c r="K142" i="52" s="1"/>
  <c r="I142" i="52"/>
  <c r="M142" i="52" s="1"/>
  <c r="A142" i="52" s="1"/>
  <c r="B142" i="52"/>
  <c r="J141" i="52"/>
  <c r="K141" i="52" s="1"/>
  <c r="I141" i="52"/>
  <c r="M141" i="52" s="1"/>
  <c r="A141" i="52" s="1"/>
  <c r="B141" i="52"/>
  <c r="J140" i="52"/>
  <c r="K140" i="52" s="1"/>
  <c r="I140" i="52"/>
  <c r="M140" i="52" s="1"/>
  <c r="A140" i="52" s="1"/>
  <c r="B140" i="52"/>
  <c r="J139" i="52"/>
  <c r="K139" i="52" s="1"/>
  <c r="I139" i="52"/>
  <c r="M139" i="52" s="1"/>
  <c r="A139" i="52" s="1"/>
  <c r="B139" i="52"/>
  <c r="M138" i="52"/>
  <c r="A138" i="52" s="1"/>
  <c r="J138" i="52"/>
  <c r="K138" i="52" s="1"/>
  <c r="I138" i="52"/>
  <c r="B138" i="52"/>
  <c r="J137" i="52"/>
  <c r="K137" i="52" s="1"/>
  <c r="I137" i="52"/>
  <c r="M137" i="52" s="1"/>
  <c r="A137" i="52" s="1"/>
  <c r="B137" i="52"/>
  <c r="J136" i="52"/>
  <c r="K136" i="52" s="1"/>
  <c r="I136" i="52"/>
  <c r="M136" i="52" s="1"/>
  <c r="A136" i="52" s="1"/>
  <c r="B136" i="52"/>
  <c r="J135" i="52"/>
  <c r="K135" i="52" s="1"/>
  <c r="I135" i="52"/>
  <c r="M135" i="52" s="1"/>
  <c r="A135" i="52" s="1"/>
  <c r="B135" i="52"/>
  <c r="M134" i="52"/>
  <c r="A134" i="52" s="1"/>
  <c r="J134" i="52"/>
  <c r="K134" i="52" s="1"/>
  <c r="I134" i="52"/>
  <c r="B134" i="52"/>
  <c r="J133" i="52"/>
  <c r="K133" i="52" s="1"/>
  <c r="I133" i="52"/>
  <c r="M133" i="52" s="1"/>
  <c r="A133" i="52" s="1"/>
  <c r="B133" i="52"/>
  <c r="J132" i="52"/>
  <c r="K132" i="52" s="1"/>
  <c r="I132" i="52"/>
  <c r="M132" i="52" s="1"/>
  <c r="A132" i="52" s="1"/>
  <c r="B132" i="52"/>
  <c r="J131" i="52"/>
  <c r="K131" i="52" s="1"/>
  <c r="I131" i="52"/>
  <c r="M131" i="52" s="1"/>
  <c r="A131" i="52" s="1"/>
  <c r="B131" i="52"/>
  <c r="J130" i="52"/>
  <c r="K130" i="52" s="1"/>
  <c r="I130" i="52"/>
  <c r="M130" i="52" s="1"/>
  <c r="A130" i="52" s="1"/>
  <c r="B130" i="52"/>
  <c r="M129" i="52"/>
  <c r="A129" i="52" s="1"/>
  <c r="J129" i="52"/>
  <c r="K129" i="52" s="1"/>
  <c r="I129" i="52"/>
  <c r="B129" i="52"/>
  <c r="J128" i="52"/>
  <c r="K128" i="52" s="1"/>
  <c r="I128" i="52"/>
  <c r="M128" i="52" s="1"/>
  <c r="A128" i="52" s="1"/>
  <c r="B128" i="52"/>
  <c r="M127" i="52"/>
  <c r="A127" i="52" s="1"/>
  <c r="J127" i="52"/>
  <c r="K127" i="52" s="1"/>
  <c r="I127" i="52"/>
  <c r="B127" i="52"/>
  <c r="J126" i="52"/>
  <c r="K126" i="52" s="1"/>
  <c r="I126" i="52"/>
  <c r="M126" i="52" s="1"/>
  <c r="A126" i="52" s="1"/>
  <c r="B126" i="52"/>
  <c r="M125" i="52"/>
  <c r="A125" i="52" s="1"/>
  <c r="J125" i="52"/>
  <c r="K125" i="52" s="1"/>
  <c r="I125" i="52"/>
  <c r="B125" i="52"/>
  <c r="J124" i="52"/>
  <c r="K124" i="52" s="1"/>
  <c r="I124" i="52"/>
  <c r="M124" i="52" s="1"/>
  <c r="A124" i="52" s="1"/>
  <c r="B124" i="52"/>
  <c r="M123" i="52"/>
  <c r="A123" i="52" s="1"/>
  <c r="J123" i="52"/>
  <c r="K123" i="52" s="1"/>
  <c r="I123" i="52"/>
  <c r="B123" i="52"/>
  <c r="M122" i="52"/>
  <c r="A122" i="52" s="1"/>
  <c r="J122" i="52"/>
  <c r="K122" i="52" s="1"/>
  <c r="I122" i="52"/>
  <c r="B122" i="52"/>
  <c r="J121" i="52"/>
  <c r="K121" i="52" s="1"/>
  <c r="I121" i="52"/>
  <c r="M121" i="52" s="1"/>
  <c r="A121" i="52" s="1"/>
  <c r="B121" i="52"/>
  <c r="J120" i="52"/>
  <c r="K120" i="52" s="1"/>
  <c r="I120" i="52"/>
  <c r="M120" i="52" s="1"/>
  <c r="A120" i="52" s="1"/>
  <c r="B120" i="52"/>
  <c r="J119" i="52"/>
  <c r="K119" i="52" s="1"/>
  <c r="I119" i="52"/>
  <c r="M119" i="52" s="1"/>
  <c r="A119" i="52" s="1"/>
  <c r="B119" i="52"/>
  <c r="M118" i="52"/>
  <c r="A118" i="52" s="1"/>
  <c r="J118" i="52"/>
  <c r="K118" i="52" s="1"/>
  <c r="I118" i="52"/>
  <c r="B118" i="52"/>
  <c r="J117" i="52"/>
  <c r="K117" i="52" s="1"/>
  <c r="I117" i="52"/>
  <c r="M117" i="52" s="1"/>
  <c r="A117" i="52" s="1"/>
  <c r="B117" i="52"/>
  <c r="J116" i="52"/>
  <c r="K116" i="52" s="1"/>
  <c r="I116" i="52"/>
  <c r="M116" i="52" s="1"/>
  <c r="A116" i="52" s="1"/>
  <c r="B116" i="52"/>
  <c r="J115" i="52"/>
  <c r="K115" i="52" s="1"/>
  <c r="I115" i="52"/>
  <c r="M115" i="52" s="1"/>
  <c r="A115" i="52" s="1"/>
  <c r="B115" i="52"/>
  <c r="M114" i="52"/>
  <c r="A114" i="52" s="1"/>
  <c r="J114" i="52"/>
  <c r="K114" i="52" s="1"/>
  <c r="I114" i="52"/>
  <c r="B114" i="52"/>
  <c r="M113" i="52"/>
  <c r="A113" i="52" s="1"/>
  <c r="J113" i="52"/>
  <c r="K113" i="52" s="1"/>
  <c r="I113" i="52"/>
  <c r="B113" i="52"/>
  <c r="J112" i="52"/>
  <c r="K112" i="52" s="1"/>
  <c r="I112" i="52"/>
  <c r="M112" i="52" s="1"/>
  <c r="A112" i="52" s="1"/>
  <c r="B112" i="52"/>
  <c r="J111" i="52"/>
  <c r="K111" i="52" s="1"/>
  <c r="I111" i="52"/>
  <c r="M111" i="52" s="1"/>
  <c r="A111" i="52" s="1"/>
  <c r="B111" i="52"/>
  <c r="M110" i="52"/>
  <c r="A110" i="52" s="1"/>
  <c r="J110" i="52"/>
  <c r="K110" i="52" s="1"/>
  <c r="I110" i="52"/>
  <c r="B110" i="52"/>
  <c r="J109" i="52"/>
  <c r="K109" i="52" s="1"/>
  <c r="I109" i="52"/>
  <c r="M109" i="52" s="1"/>
  <c r="A109" i="52" s="1"/>
  <c r="B109" i="52"/>
  <c r="J108" i="52"/>
  <c r="K108" i="52" s="1"/>
  <c r="I108" i="52"/>
  <c r="M108" i="52" s="1"/>
  <c r="A108" i="52" s="1"/>
  <c r="B108" i="52"/>
  <c r="J107" i="52"/>
  <c r="K107" i="52" s="1"/>
  <c r="I107" i="52"/>
  <c r="M107" i="52" s="1"/>
  <c r="A107" i="52" s="1"/>
  <c r="B107" i="52"/>
  <c r="M106" i="52"/>
  <c r="A106" i="52" s="1"/>
  <c r="J106" i="52"/>
  <c r="K106" i="52" s="1"/>
  <c r="I106" i="52"/>
  <c r="B106" i="52"/>
  <c r="J105" i="52"/>
  <c r="K105" i="52" s="1"/>
  <c r="I105" i="52"/>
  <c r="M105" i="52" s="1"/>
  <c r="A105" i="52" s="1"/>
  <c r="B105" i="52"/>
  <c r="J104" i="52"/>
  <c r="K104" i="52" s="1"/>
  <c r="I104" i="52"/>
  <c r="M104" i="52" s="1"/>
  <c r="A104" i="52" s="1"/>
  <c r="B104" i="52"/>
  <c r="J103" i="52"/>
  <c r="K103" i="52" s="1"/>
  <c r="I103" i="52"/>
  <c r="M103" i="52" s="1"/>
  <c r="A103" i="52" s="1"/>
  <c r="B103" i="52"/>
  <c r="J102" i="52"/>
  <c r="K102" i="52" s="1"/>
  <c r="I102" i="52"/>
  <c r="M102" i="52" s="1"/>
  <c r="A102" i="52" s="1"/>
  <c r="B102" i="52"/>
  <c r="J101" i="52"/>
  <c r="K101" i="52" s="1"/>
  <c r="I101" i="52"/>
  <c r="M101" i="52" s="1"/>
  <c r="A101" i="52" s="1"/>
  <c r="B101" i="52"/>
  <c r="J100" i="52"/>
  <c r="K100" i="52" s="1"/>
  <c r="I100" i="52"/>
  <c r="M100" i="52" s="1"/>
  <c r="A100" i="52" s="1"/>
  <c r="B100" i="52"/>
  <c r="J99" i="52"/>
  <c r="K99" i="52" s="1"/>
  <c r="I99" i="52"/>
  <c r="M99" i="52" s="1"/>
  <c r="A99" i="52" s="1"/>
  <c r="B99" i="52"/>
  <c r="J98" i="52"/>
  <c r="K98" i="52" s="1"/>
  <c r="I98" i="52"/>
  <c r="M98" i="52" s="1"/>
  <c r="A98" i="52" s="1"/>
  <c r="B98" i="52"/>
  <c r="J97" i="52"/>
  <c r="K97" i="52" s="1"/>
  <c r="I97" i="52"/>
  <c r="M97" i="52" s="1"/>
  <c r="A97" i="52" s="1"/>
  <c r="B97" i="52"/>
  <c r="J96" i="52"/>
  <c r="K96" i="52" s="1"/>
  <c r="I96" i="52"/>
  <c r="M96" i="52" s="1"/>
  <c r="A96" i="52" s="1"/>
  <c r="B96" i="52"/>
  <c r="J95" i="52"/>
  <c r="K95" i="52" s="1"/>
  <c r="I95" i="52"/>
  <c r="M95" i="52" s="1"/>
  <c r="A95" i="52" s="1"/>
  <c r="B95" i="52"/>
  <c r="J94" i="52"/>
  <c r="K94" i="52" s="1"/>
  <c r="I94" i="52"/>
  <c r="M94" i="52" s="1"/>
  <c r="A94" i="52" s="1"/>
  <c r="B94" i="52"/>
  <c r="J93" i="52"/>
  <c r="K93" i="52" s="1"/>
  <c r="I93" i="52"/>
  <c r="M93" i="52" s="1"/>
  <c r="A93" i="52" s="1"/>
  <c r="B93" i="52"/>
  <c r="J92" i="52"/>
  <c r="K92" i="52" s="1"/>
  <c r="I92" i="52"/>
  <c r="M92" i="52" s="1"/>
  <c r="A92" i="52" s="1"/>
  <c r="B92" i="52"/>
  <c r="M91" i="52"/>
  <c r="A91" i="52" s="1"/>
  <c r="J91" i="52"/>
  <c r="K91" i="52" s="1"/>
  <c r="I91" i="52"/>
  <c r="B91" i="52"/>
  <c r="M90" i="52"/>
  <c r="A90" i="52" s="1"/>
  <c r="J90" i="52"/>
  <c r="K90" i="52" s="1"/>
  <c r="I90" i="52"/>
  <c r="B90" i="52"/>
  <c r="J89" i="52"/>
  <c r="K89" i="52" s="1"/>
  <c r="I89" i="52"/>
  <c r="M89" i="52" s="1"/>
  <c r="A89" i="52" s="1"/>
  <c r="B89" i="52"/>
  <c r="J88" i="52"/>
  <c r="K88" i="52" s="1"/>
  <c r="I88" i="52"/>
  <c r="M88" i="52" s="1"/>
  <c r="A88" i="52" s="1"/>
  <c r="B88" i="52"/>
  <c r="M87" i="52"/>
  <c r="A87" i="52" s="1"/>
  <c r="J87" i="52"/>
  <c r="K87" i="52" s="1"/>
  <c r="I87" i="52"/>
  <c r="B87" i="52"/>
  <c r="J86" i="52"/>
  <c r="K86" i="52" s="1"/>
  <c r="I86" i="52"/>
  <c r="M86" i="52" s="1"/>
  <c r="A86" i="52" s="1"/>
  <c r="B86" i="52"/>
  <c r="M85" i="52"/>
  <c r="A85" i="52" s="1"/>
  <c r="J85" i="52"/>
  <c r="K85" i="52" s="1"/>
  <c r="I85" i="52"/>
  <c r="B85" i="52"/>
  <c r="J84" i="52"/>
  <c r="K84" i="52" s="1"/>
  <c r="I84" i="52"/>
  <c r="M84" i="52" s="1"/>
  <c r="M83" i="52"/>
  <c r="A83" i="52" s="1"/>
  <c r="J83" i="52"/>
  <c r="K83" i="52" s="1"/>
  <c r="I83" i="52"/>
  <c r="B83" i="52"/>
  <c r="M82" i="52"/>
  <c r="A82" i="52" s="1"/>
  <c r="J82" i="52"/>
  <c r="K82" i="52" s="1"/>
  <c r="I82" i="52"/>
  <c r="B82" i="52"/>
  <c r="M81" i="52"/>
  <c r="A81" i="52" s="1"/>
  <c r="J81" i="52"/>
  <c r="K81" i="52" s="1"/>
  <c r="I81" i="52"/>
  <c r="B81" i="52"/>
  <c r="J80" i="52"/>
  <c r="K80" i="52" s="1"/>
  <c r="I80" i="52"/>
  <c r="M80" i="52" s="1"/>
  <c r="A80" i="52" s="1"/>
  <c r="B80" i="52"/>
  <c r="J79" i="52"/>
  <c r="K79" i="52" s="1"/>
  <c r="M79" i="52" s="1"/>
  <c r="A79" i="52" s="1"/>
  <c r="I79" i="52"/>
  <c r="B79" i="52"/>
  <c r="J78" i="52"/>
  <c r="K78" i="52" s="1"/>
  <c r="I78" i="52"/>
  <c r="M78" i="52" s="1"/>
  <c r="A78" i="52" s="1"/>
  <c r="B78" i="52"/>
  <c r="J77" i="52"/>
  <c r="K77" i="52" s="1"/>
  <c r="M77" i="52" s="1"/>
  <c r="A77" i="52" s="1"/>
  <c r="I77" i="52"/>
  <c r="B77" i="52"/>
  <c r="J76" i="52"/>
  <c r="K76" i="52" s="1"/>
  <c r="I76" i="52"/>
  <c r="M76" i="52" s="1"/>
  <c r="A76" i="52" s="1"/>
  <c r="B76" i="52"/>
  <c r="J75" i="52"/>
  <c r="K75" i="52" s="1"/>
  <c r="I75" i="52"/>
  <c r="M75" i="52" s="1"/>
  <c r="A75" i="52" s="1"/>
  <c r="B75" i="52"/>
  <c r="J74" i="52"/>
  <c r="K74" i="52" s="1"/>
  <c r="I74" i="52"/>
  <c r="M74" i="52" s="1"/>
  <c r="A74" i="52" s="1"/>
  <c r="B74" i="52"/>
  <c r="J73" i="52"/>
  <c r="K73" i="52" s="1"/>
  <c r="M73" i="52" s="1"/>
  <c r="A73" i="52" s="1"/>
  <c r="I73" i="52"/>
  <c r="B73" i="52"/>
  <c r="J72" i="52"/>
  <c r="K72" i="52" s="1"/>
  <c r="I72" i="52"/>
  <c r="M72" i="52" s="1"/>
  <c r="A72" i="52" s="1"/>
  <c r="B72" i="52"/>
  <c r="J71" i="52"/>
  <c r="K71" i="52" s="1"/>
  <c r="I71" i="52"/>
  <c r="M71" i="52" s="1"/>
  <c r="A71" i="52" s="1"/>
  <c r="B71" i="52"/>
  <c r="J70" i="52"/>
  <c r="K70" i="52" s="1"/>
  <c r="I70" i="52"/>
  <c r="M70" i="52" s="1"/>
  <c r="A70" i="52" s="1"/>
  <c r="B70" i="52"/>
  <c r="J69" i="52"/>
  <c r="K69" i="52" s="1"/>
  <c r="I69" i="52"/>
  <c r="M69" i="52" s="1"/>
  <c r="A69" i="52" s="1"/>
  <c r="B69" i="52"/>
  <c r="J68" i="52"/>
  <c r="K68" i="52" s="1"/>
  <c r="I68" i="52"/>
  <c r="M68" i="52" s="1"/>
  <c r="A68" i="52" s="1"/>
  <c r="B68" i="52"/>
  <c r="M67" i="52"/>
  <c r="A67" i="52" s="1"/>
  <c r="J67" i="52"/>
  <c r="K67" i="52" s="1"/>
  <c r="I67" i="52"/>
  <c r="B67" i="52"/>
  <c r="J66" i="52"/>
  <c r="K66" i="52" s="1"/>
  <c r="I66" i="52"/>
  <c r="M66" i="52" s="1"/>
  <c r="A66" i="52" s="1"/>
  <c r="B66" i="52"/>
  <c r="J65" i="52"/>
  <c r="K65" i="52" s="1"/>
  <c r="I65" i="52"/>
  <c r="M65" i="52" s="1"/>
  <c r="A65" i="52" s="1"/>
  <c r="B65" i="52"/>
  <c r="J64" i="52"/>
  <c r="K64" i="52" s="1"/>
  <c r="I64" i="52"/>
  <c r="M64" i="52" s="1"/>
  <c r="A64" i="52" s="1"/>
  <c r="B64" i="52"/>
  <c r="J63" i="52"/>
  <c r="K63" i="52" s="1"/>
  <c r="M63" i="52" s="1"/>
  <c r="A63" i="52" s="1"/>
  <c r="I63" i="52"/>
  <c r="B63" i="52"/>
  <c r="M62" i="52"/>
  <c r="A62" i="52" s="1"/>
  <c r="J62" i="52"/>
  <c r="K62" i="52" s="1"/>
  <c r="I62" i="52"/>
  <c r="B62" i="52"/>
  <c r="J61" i="52"/>
  <c r="K61" i="52" s="1"/>
  <c r="I61" i="52"/>
  <c r="B61" i="52"/>
  <c r="J60" i="52"/>
  <c r="K60" i="52" s="1"/>
  <c r="I60" i="52"/>
  <c r="M60" i="52" s="1"/>
  <c r="A60" i="52" s="1"/>
  <c r="B60" i="52"/>
  <c r="J59" i="52"/>
  <c r="K59" i="52" s="1"/>
  <c r="I59" i="52"/>
  <c r="B59" i="52"/>
  <c r="M58" i="52"/>
  <c r="A58" i="52" s="1"/>
  <c r="J58" i="52"/>
  <c r="K58" i="52" s="1"/>
  <c r="I58" i="52"/>
  <c r="B58" i="52"/>
  <c r="J57" i="52"/>
  <c r="K57" i="52" s="1"/>
  <c r="I57" i="52"/>
  <c r="B57" i="52"/>
  <c r="J56" i="52"/>
  <c r="K56" i="52" s="1"/>
  <c r="I56" i="52"/>
  <c r="M56" i="52" s="1"/>
  <c r="A56" i="52" s="1"/>
  <c r="B56" i="52"/>
  <c r="J55" i="52"/>
  <c r="K55" i="52" s="1"/>
  <c r="I55" i="52"/>
  <c r="B55" i="52"/>
  <c r="J54" i="52"/>
  <c r="K54" i="52" s="1"/>
  <c r="I54" i="52"/>
  <c r="M54" i="52" s="1"/>
  <c r="A54" i="52" s="1"/>
  <c r="B54" i="52"/>
  <c r="J53" i="52"/>
  <c r="K53" i="52" s="1"/>
  <c r="I53" i="52"/>
  <c r="B53" i="52"/>
  <c r="J52" i="52"/>
  <c r="K52" i="52" s="1"/>
  <c r="I52" i="52"/>
  <c r="M52" i="52" s="1"/>
  <c r="A52" i="52" s="1"/>
  <c r="B52" i="52"/>
  <c r="J51" i="52"/>
  <c r="K51" i="52" s="1"/>
  <c r="I51" i="52"/>
  <c r="B51" i="52"/>
  <c r="J50" i="52"/>
  <c r="K50" i="52" s="1"/>
  <c r="M50" i="52" s="1"/>
  <c r="A50" i="52" s="1"/>
  <c r="I50" i="52"/>
  <c r="B50" i="52"/>
  <c r="J49" i="52"/>
  <c r="K49" i="52" s="1"/>
  <c r="M49" i="52" s="1"/>
  <c r="A49" i="52" s="1"/>
  <c r="I49" i="52"/>
  <c r="B49" i="52"/>
  <c r="J48" i="52"/>
  <c r="K48" i="52" s="1"/>
  <c r="I48" i="52"/>
  <c r="M48" i="52" s="1"/>
  <c r="A48" i="52" s="1"/>
  <c r="B48" i="52"/>
  <c r="J47" i="52"/>
  <c r="K47" i="52" s="1"/>
  <c r="I47" i="52"/>
  <c r="B47" i="52"/>
  <c r="J46" i="52"/>
  <c r="K46" i="52" s="1"/>
  <c r="M46" i="52" s="1"/>
  <c r="A46" i="52" s="1"/>
  <c r="I46" i="52"/>
  <c r="B46" i="52"/>
  <c r="J45" i="52"/>
  <c r="K45" i="52" s="1"/>
  <c r="M45" i="52" s="1"/>
  <c r="A45" i="52" s="1"/>
  <c r="I45" i="52"/>
  <c r="B45" i="52"/>
  <c r="J44" i="52"/>
  <c r="K44" i="52" s="1"/>
  <c r="I44" i="52"/>
  <c r="B44" i="52"/>
  <c r="J43" i="52"/>
  <c r="K43" i="52" s="1"/>
  <c r="I43" i="52"/>
  <c r="B43" i="52"/>
  <c r="J42" i="52"/>
  <c r="K42" i="52" s="1"/>
  <c r="I42" i="52"/>
  <c r="M42" i="52" s="1"/>
  <c r="A42" i="52" s="1"/>
  <c r="B42" i="52"/>
  <c r="J41" i="52"/>
  <c r="K41" i="52" s="1"/>
  <c r="M41" i="52" s="1"/>
  <c r="A41" i="52" s="1"/>
  <c r="I41" i="52"/>
  <c r="B41" i="52"/>
  <c r="J40" i="52"/>
  <c r="K40" i="52" s="1"/>
  <c r="I40" i="52"/>
  <c r="B40" i="52"/>
  <c r="J39" i="52"/>
  <c r="K39" i="52" s="1"/>
  <c r="M39" i="52" s="1"/>
  <c r="A39" i="52" s="1"/>
  <c r="I39" i="52"/>
  <c r="B39" i="52"/>
  <c r="J38" i="52"/>
  <c r="K38" i="52" s="1"/>
  <c r="I38" i="52"/>
  <c r="M38" i="52" s="1"/>
  <c r="A38" i="52" s="1"/>
  <c r="B38" i="52"/>
  <c r="J37" i="52"/>
  <c r="K37" i="52" s="1"/>
  <c r="I37" i="52"/>
  <c r="B37" i="52"/>
  <c r="J36" i="52"/>
  <c r="K36" i="52" s="1"/>
  <c r="I36" i="52"/>
  <c r="B36" i="52"/>
  <c r="J35" i="52"/>
  <c r="K35" i="52" s="1"/>
  <c r="M35" i="52" s="1"/>
  <c r="A35" i="52" s="1"/>
  <c r="I35" i="52"/>
  <c r="B35" i="52"/>
  <c r="J34" i="52"/>
  <c r="K34" i="52" s="1"/>
  <c r="I34" i="52"/>
  <c r="M34" i="52" s="1"/>
  <c r="A34" i="52" s="1"/>
  <c r="B34" i="52"/>
  <c r="J33" i="52"/>
  <c r="K33" i="52" s="1"/>
  <c r="I33" i="52"/>
  <c r="B33" i="52"/>
  <c r="J32" i="52"/>
  <c r="K32" i="52" s="1"/>
  <c r="I32" i="52"/>
  <c r="M32" i="52" s="1"/>
  <c r="A32" i="52" s="1"/>
  <c r="B32" i="52"/>
  <c r="J31" i="52"/>
  <c r="K31" i="52" s="1"/>
  <c r="M31" i="52" s="1"/>
  <c r="A31" i="52" s="1"/>
  <c r="I31" i="52"/>
  <c r="B31" i="52"/>
  <c r="M30" i="52"/>
  <c r="A30" i="52" s="1"/>
  <c r="J30" i="52"/>
  <c r="K30" i="52" s="1"/>
  <c r="I30" i="52"/>
  <c r="B30" i="52"/>
  <c r="J29" i="52"/>
  <c r="K29" i="52" s="1"/>
  <c r="I29" i="52"/>
  <c r="B29" i="52"/>
  <c r="J28" i="52"/>
  <c r="K28" i="52" s="1"/>
  <c r="I28" i="52"/>
  <c r="M28" i="52" s="1"/>
  <c r="A28" i="52" s="1"/>
  <c r="B28" i="52"/>
  <c r="J27" i="52"/>
  <c r="K27" i="52" s="1"/>
  <c r="I27" i="52"/>
  <c r="B27" i="52"/>
  <c r="M26" i="52"/>
  <c r="A26" i="52" s="1"/>
  <c r="J26" i="52"/>
  <c r="K26" i="52" s="1"/>
  <c r="I26" i="52"/>
  <c r="B26" i="52"/>
  <c r="J25" i="52"/>
  <c r="K25" i="52" s="1"/>
  <c r="I25" i="52"/>
  <c r="B25" i="52"/>
  <c r="J24" i="52"/>
  <c r="K24" i="52" s="1"/>
  <c r="I24" i="52"/>
  <c r="M24" i="52" s="1"/>
  <c r="A24" i="52" s="1"/>
  <c r="B24" i="52"/>
  <c r="J23" i="52"/>
  <c r="K23" i="52" s="1"/>
  <c r="I23" i="52"/>
  <c r="B23" i="52"/>
  <c r="J22" i="52"/>
  <c r="K22" i="52" s="1"/>
  <c r="I22" i="52"/>
  <c r="M22" i="52" s="1"/>
  <c r="A22" i="52" s="1"/>
  <c r="B22" i="52"/>
  <c r="J21" i="52"/>
  <c r="K21" i="52" s="1"/>
  <c r="I21" i="52"/>
  <c r="B21" i="52"/>
  <c r="J20" i="52"/>
  <c r="K20" i="52" s="1"/>
  <c r="I20" i="52"/>
  <c r="M20" i="52" s="1"/>
  <c r="A20" i="52" s="1"/>
  <c r="B20" i="52"/>
  <c r="J19" i="52"/>
  <c r="K19" i="52" s="1"/>
  <c r="I19" i="52"/>
  <c r="B19" i="52"/>
  <c r="J18" i="52"/>
  <c r="K18" i="52" s="1"/>
  <c r="I18" i="52"/>
  <c r="B18" i="52"/>
  <c r="J17" i="52"/>
  <c r="K17" i="52" s="1"/>
  <c r="I17" i="52"/>
  <c r="M17" i="52" s="1"/>
  <c r="A17" i="52" s="1"/>
  <c r="B17" i="52"/>
  <c r="K16" i="52"/>
  <c r="J16" i="52"/>
  <c r="I16" i="52"/>
  <c r="M16" i="52" s="1"/>
  <c r="A16" i="52" s="1"/>
  <c r="B16" i="52"/>
  <c r="J15" i="52"/>
  <c r="K15" i="52" s="1"/>
  <c r="I15" i="52"/>
  <c r="B15" i="52"/>
  <c r="K14" i="52"/>
  <c r="J14" i="52"/>
  <c r="I14" i="52"/>
  <c r="B14" i="52"/>
  <c r="J13" i="52"/>
  <c r="K13" i="52" s="1"/>
  <c r="I13" i="52"/>
  <c r="M13" i="52" s="1"/>
  <c r="A13" i="52" s="1"/>
  <c r="B13" i="52"/>
  <c r="J12" i="52"/>
  <c r="K12" i="52" s="1"/>
  <c r="I12" i="52"/>
  <c r="B12" i="52"/>
  <c r="K11" i="52"/>
  <c r="J11" i="52"/>
  <c r="I11" i="52"/>
  <c r="B11" i="52"/>
  <c r="J10" i="52"/>
  <c r="K10" i="52" s="1"/>
  <c r="M10" i="52" s="1"/>
  <c r="A10" i="52" s="1"/>
  <c r="I10" i="52"/>
  <c r="B10" i="52"/>
  <c r="J9" i="52"/>
  <c r="K9" i="52" s="1"/>
  <c r="I9" i="52"/>
  <c r="B9" i="52"/>
  <c r="J8" i="52"/>
  <c r="K8" i="52" s="1"/>
  <c r="I8" i="52"/>
  <c r="B8" i="52"/>
  <c r="J7" i="52"/>
  <c r="K7" i="52" s="1"/>
  <c r="I7" i="52"/>
  <c r="B7" i="52"/>
  <c r="J6" i="52"/>
  <c r="K6" i="52" s="1"/>
  <c r="I6" i="52"/>
  <c r="B6" i="52"/>
  <c r="K2" i="52"/>
  <c r="L6" i="52" s="1"/>
  <c r="AE27" i="31"/>
  <c r="AC27" i="31"/>
  <c r="AA27" i="31"/>
  <c r="Y27" i="31"/>
  <c r="W27" i="31"/>
  <c r="S27" i="31"/>
  <c r="P27" i="31"/>
  <c r="N27" i="31"/>
  <c r="L27" i="31"/>
  <c r="A27" i="31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A18" i="18"/>
  <c r="A27" i="1"/>
  <c r="N305" i="20"/>
  <c r="N304" i="20"/>
  <c r="N303" i="20"/>
  <c r="N302" i="20"/>
  <c r="N301" i="20"/>
  <c r="N300" i="20"/>
  <c r="N299" i="20"/>
  <c r="N298" i="20"/>
  <c r="N297" i="20"/>
  <c r="N296" i="20"/>
  <c r="N295" i="20"/>
  <c r="N294" i="20"/>
  <c r="N293" i="20"/>
  <c r="N292" i="20"/>
  <c r="N291" i="20"/>
  <c r="N290" i="20"/>
  <c r="N289" i="20"/>
  <c r="N288" i="20"/>
  <c r="N287" i="20"/>
  <c r="N286" i="20"/>
  <c r="N285" i="20"/>
  <c r="N284" i="20"/>
  <c r="N283" i="20"/>
  <c r="N282" i="20"/>
  <c r="N281" i="20"/>
  <c r="N280" i="20"/>
  <c r="N279" i="20"/>
  <c r="N278" i="20"/>
  <c r="N277" i="20"/>
  <c r="N276" i="20"/>
  <c r="N275" i="20"/>
  <c r="N274" i="20"/>
  <c r="N273" i="20"/>
  <c r="N272" i="20"/>
  <c r="N271" i="20"/>
  <c r="N270" i="20"/>
  <c r="N269" i="20"/>
  <c r="N268" i="20"/>
  <c r="N267" i="20"/>
  <c r="N266" i="20"/>
  <c r="N265" i="20"/>
  <c r="N264" i="20"/>
  <c r="N263" i="20"/>
  <c r="N262" i="20"/>
  <c r="N261" i="20"/>
  <c r="N260" i="20"/>
  <c r="N259" i="20"/>
  <c r="N258" i="20"/>
  <c r="N257" i="20"/>
  <c r="N256" i="20"/>
  <c r="N255" i="20"/>
  <c r="N254" i="20"/>
  <c r="N253" i="20"/>
  <c r="N252" i="20"/>
  <c r="N251" i="20"/>
  <c r="N250" i="20"/>
  <c r="N249" i="20"/>
  <c r="N248" i="20"/>
  <c r="N247" i="20"/>
  <c r="N246" i="20"/>
  <c r="N245" i="20"/>
  <c r="N244" i="20"/>
  <c r="N243" i="20"/>
  <c r="N242" i="20"/>
  <c r="N241" i="20"/>
  <c r="N240" i="20"/>
  <c r="N239" i="20"/>
  <c r="N238" i="20"/>
  <c r="N237" i="20"/>
  <c r="N236" i="20"/>
  <c r="N235" i="20"/>
  <c r="N234" i="20"/>
  <c r="N233" i="20"/>
  <c r="N232" i="20"/>
  <c r="N231" i="20"/>
  <c r="N230" i="20"/>
  <c r="N229" i="20"/>
  <c r="N228" i="20"/>
  <c r="N227" i="20"/>
  <c r="N226" i="20"/>
  <c r="N225" i="20"/>
  <c r="N224" i="20"/>
  <c r="N223" i="20"/>
  <c r="N222" i="20"/>
  <c r="N221" i="20"/>
  <c r="N220" i="20"/>
  <c r="N219" i="20"/>
  <c r="N218" i="20"/>
  <c r="N217" i="20"/>
  <c r="N216" i="20"/>
  <c r="N215" i="20"/>
  <c r="N214" i="20"/>
  <c r="N213" i="20"/>
  <c r="N212" i="20"/>
  <c r="N211" i="20"/>
  <c r="N210" i="20"/>
  <c r="N209" i="20"/>
  <c r="N208" i="20"/>
  <c r="N207" i="20"/>
  <c r="N206" i="20"/>
  <c r="N205" i="20"/>
  <c r="N204" i="20"/>
  <c r="N203" i="20"/>
  <c r="N202" i="20"/>
  <c r="N201" i="20"/>
  <c r="N200" i="20"/>
  <c r="N199" i="20"/>
  <c r="N198" i="20"/>
  <c r="N197" i="20"/>
  <c r="N196" i="20"/>
  <c r="N195" i="20"/>
  <c r="N194" i="20"/>
  <c r="N193" i="20"/>
  <c r="N192" i="20"/>
  <c r="N191" i="20"/>
  <c r="N190" i="20"/>
  <c r="N189" i="20"/>
  <c r="N188" i="20"/>
  <c r="N187" i="20"/>
  <c r="N186" i="20"/>
  <c r="N185" i="20"/>
  <c r="N184" i="20"/>
  <c r="N183" i="20"/>
  <c r="N182" i="20"/>
  <c r="N181" i="20"/>
  <c r="N180" i="20"/>
  <c r="N179" i="20"/>
  <c r="N178" i="20"/>
  <c r="N177" i="20"/>
  <c r="N176" i="20"/>
  <c r="N175" i="20"/>
  <c r="N174" i="20"/>
  <c r="N173" i="20"/>
  <c r="N172" i="20"/>
  <c r="N171" i="20"/>
  <c r="N170" i="20"/>
  <c r="N169" i="20"/>
  <c r="N168" i="20"/>
  <c r="N167" i="20"/>
  <c r="N166" i="20"/>
  <c r="N165" i="20"/>
  <c r="N164" i="20"/>
  <c r="N163" i="20"/>
  <c r="N162" i="20"/>
  <c r="N161" i="20"/>
  <c r="N160" i="20"/>
  <c r="N159" i="20"/>
  <c r="N158" i="20"/>
  <c r="N157" i="20"/>
  <c r="N156" i="20"/>
  <c r="N155" i="20"/>
  <c r="N154" i="20"/>
  <c r="N153" i="20"/>
  <c r="N152" i="20"/>
  <c r="N151" i="20"/>
  <c r="N150" i="20"/>
  <c r="N149" i="20"/>
  <c r="N148" i="20"/>
  <c r="N147" i="20"/>
  <c r="N146" i="20"/>
  <c r="N145" i="20"/>
  <c r="N144" i="20"/>
  <c r="N143" i="20"/>
  <c r="N142" i="20"/>
  <c r="N141" i="20"/>
  <c r="N140" i="20"/>
  <c r="N139" i="20"/>
  <c r="N138" i="20"/>
  <c r="N137" i="20"/>
  <c r="N136" i="20"/>
  <c r="N135" i="20"/>
  <c r="N134" i="20"/>
  <c r="N133" i="20"/>
  <c r="N132" i="20"/>
  <c r="N131" i="20"/>
  <c r="N130" i="20"/>
  <c r="N129" i="20"/>
  <c r="N128" i="20"/>
  <c r="N127" i="20"/>
  <c r="N126" i="20"/>
  <c r="N125" i="20"/>
  <c r="N124" i="20"/>
  <c r="N123" i="20"/>
  <c r="N122" i="20"/>
  <c r="N121" i="20"/>
  <c r="N120" i="20"/>
  <c r="N119" i="20"/>
  <c r="N118" i="20"/>
  <c r="N117" i="20"/>
  <c r="N116" i="20"/>
  <c r="N115" i="20"/>
  <c r="N114" i="20"/>
  <c r="N113" i="20"/>
  <c r="N112" i="20"/>
  <c r="N111" i="20"/>
  <c r="N110" i="20"/>
  <c r="N109" i="20"/>
  <c r="N108" i="20"/>
  <c r="N107" i="20"/>
  <c r="N106" i="20"/>
  <c r="N105" i="20"/>
  <c r="N104" i="20"/>
  <c r="N103" i="20"/>
  <c r="N102" i="20"/>
  <c r="N101" i="20"/>
  <c r="N100" i="20"/>
  <c r="N99" i="20"/>
  <c r="N98" i="20"/>
  <c r="N97" i="20"/>
  <c r="N96" i="20"/>
  <c r="N95" i="20"/>
  <c r="N94" i="20"/>
  <c r="N93" i="20"/>
  <c r="N92" i="20"/>
  <c r="N91" i="20"/>
  <c r="N90" i="20"/>
  <c r="N89" i="20"/>
  <c r="N88" i="20"/>
  <c r="N87" i="20"/>
  <c r="N86" i="20"/>
  <c r="N85" i="20"/>
  <c r="N84" i="20"/>
  <c r="N83" i="20"/>
  <c r="N82" i="20"/>
  <c r="N81" i="20"/>
  <c r="N80" i="20"/>
  <c r="N79" i="20"/>
  <c r="N78" i="20"/>
  <c r="N77" i="20"/>
  <c r="N76" i="20"/>
  <c r="N75" i="20"/>
  <c r="N74" i="20"/>
  <c r="N73" i="20"/>
  <c r="N72" i="20"/>
  <c r="N71" i="20"/>
  <c r="N70" i="20"/>
  <c r="N69" i="20"/>
  <c r="N68" i="20"/>
  <c r="N67" i="20"/>
  <c r="N66" i="20"/>
  <c r="N65" i="20"/>
  <c r="N64" i="20"/>
  <c r="N63" i="20"/>
  <c r="N62" i="20"/>
  <c r="N61" i="20"/>
  <c r="N60" i="20"/>
  <c r="N59" i="20"/>
  <c r="N58" i="20"/>
  <c r="N57" i="20"/>
  <c r="N56" i="20"/>
  <c r="N55" i="20"/>
  <c r="N54" i="20"/>
  <c r="N53" i="20"/>
  <c r="N52" i="20"/>
  <c r="N51" i="20"/>
  <c r="N50" i="20"/>
  <c r="N49" i="20"/>
  <c r="N48" i="20"/>
  <c r="N47" i="20"/>
  <c r="N46" i="20"/>
  <c r="N45" i="20"/>
  <c r="N44" i="20"/>
  <c r="N43" i="20"/>
  <c r="N42" i="20"/>
  <c r="N41" i="20"/>
  <c r="N40" i="20"/>
  <c r="N39" i="20"/>
  <c r="N38" i="20"/>
  <c r="N37" i="20"/>
  <c r="N36" i="20"/>
  <c r="N35" i="20"/>
  <c r="N34" i="20"/>
  <c r="N33" i="20"/>
  <c r="N32" i="20"/>
  <c r="N31" i="20"/>
  <c r="N30" i="20"/>
  <c r="N29" i="20"/>
  <c r="N28" i="20"/>
  <c r="N27" i="20"/>
  <c r="N26" i="20"/>
  <c r="N25" i="20"/>
  <c r="N24" i="20"/>
  <c r="N23" i="20"/>
  <c r="N22" i="20"/>
  <c r="N21" i="20"/>
  <c r="N20" i="20"/>
  <c r="N19" i="20"/>
  <c r="N18" i="20"/>
  <c r="N17" i="20"/>
  <c r="N16" i="20"/>
  <c r="N15" i="20"/>
  <c r="N14" i="20"/>
  <c r="N13" i="20"/>
  <c r="N12" i="20"/>
  <c r="N11" i="20"/>
  <c r="N10" i="20"/>
  <c r="N9" i="20"/>
  <c r="N8" i="20"/>
  <c r="N7" i="20"/>
  <c r="N6" i="20"/>
  <c r="S30" i="31"/>
  <c r="S29" i="31"/>
  <c r="S28" i="31"/>
  <c r="S14" i="31"/>
  <c r="S23" i="31"/>
  <c r="S17" i="31"/>
  <c r="S20" i="31"/>
  <c r="S26" i="31"/>
  <c r="S19" i="31"/>
  <c r="S10" i="31"/>
  <c r="S21" i="31"/>
  <c r="S12" i="31"/>
  <c r="S9" i="31"/>
  <c r="S13" i="31"/>
  <c r="S11" i="31"/>
  <c r="S15" i="31"/>
  <c r="S16" i="31"/>
  <c r="S6" i="31"/>
  <c r="S7" i="31"/>
  <c r="S8" i="31"/>
  <c r="J373" i="51"/>
  <c r="J372" i="51"/>
  <c r="J371" i="51"/>
  <c r="J370" i="51"/>
  <c r="J369" i="51"/>
  <c r="J368" i="51"/>
  <c r="J367" i="51"/>
  <c r="J366" i="51"/>
  <c r="J365" i="51"/>
  <c r="J364" i="51"/>
  <c r="J363" i="51"/>
  <c r="J362" i="51"/>
  <c r="J361" i="51"/>
  <c r="J360" i="51"/>
  <c r="J359" i="51"/>
  <c r="J358" i="51"/>
  <c r="J357" i="51"/>
  <c r="J356" i="51"/>
  <c r="J355" i="51"/>
  <c r="J354" i="51"/>
  <c r="J353" i="51"/>
  <c r="J352" i="51"/>
  <c r="J351" i="51"/>
  <c r="J350" i="51"/>
  <c r="J349" i="51"/>
  <c r="J348" i="51"/>
  <c r="J347" i="51"/>
  <c r="J346" i="51"/>
  <c r="J345" i="51"/>
  <c r="J344" i="51"/>
  <c r="J343" i="51"/>
  <c r="J342" i="51"/>
  <c r="J341" i="51"/>
  <c r="J340" i="51"/>
  <c r="J339" i="51"/>
  <c r="J338" i="51"/>
  <c r="J337" i="51"/>
  <c r="J336" i="51"/>
  <c r="J335" i="51"/>
  <c r="J334" i="51"/>
  <c r="J333" i="51"/>
  <c r="J332" i="51"/>
  <c r="J331" i="51"/>
  <c r="J330" i="51"/>
  <c r="J329" i="51"/>
  <c r="J328" i="51"/>
  <c r="J327" i="51"/>
  <c r="J326" i="51"/>
  <c r="J325" i="51"/>
  <c r="J324" i="51"/>
  <c r="J323" i="51"/>
  <c r="J322" i="51"/>
  <c r="J321" i="51"/>
  <c r="J320" i="51"/>
  <c r="J319" i="51"/>
  <c r="J318" i="51"/>
  <c r="J317" i="51"/>
  <c r="J316" i="51"/>
  <c r="J315" i="51"/>
  <c r="J314" i="51"/>
  <c r="J313" i="51"/>
  <c r="J312" i="51"/>
  <c r="J311" i="51"/>
  <c r="J310" i="51"/>
  <c r="J309" i="51"/>
  <c r="J308" i="51"/>
  <c r="J307" i="51"/>
  <c r="J306" i="51"/>
  <c r="J305" i="51"/>
  <c r="K305" i="51" s="1"/>
  <c r="I305" i="51"/>
  <c r="M305" i="51" s="1"/>
  <c r="J304" i="51"/>
  <c r="K304" i="51" s="1"/>
  <c r="I304" i="51"/>
  <c r="M304" i="51" s="1"/>
  <c r="J303" i="51"/>
  <c r="K303" i="51" s="1"/>
  <c r="I303" i="51"/>
  <c r="M303" i="51" s="1"/>
  <c r="J302" i="51"/>
  <c r="K302" i="51" s="1"/>
  <c r="I302" i="51"/>
  <c r="M302" i="51" s="1"/>
  <c r="J301" i="51"/>
  <c r="K301" i="51" s="1"/>
  <c r="I301" i="51"/>
  <c r="M301" i="51" s="1"/>
  <c r="J300" i="51"/>
  <c r="K300" i="51" s="1"/>
  <c r="I300" i="51"/>
  <c r="M300" i="51" s="1"/>
  <c r="J299" i="51"/>
  <c r="K299" i="51" s="1"/>
  <c r="I299" i="51"/>
  <c r="M299" i="51" s="1"/>
  <c r="J298" i="51"/>
  <c r="K298" i="51" s="1"/>
  <c r="I298" i="51"/>
  <c r="M298" i="51" s="1"/>
  <c r="J297" i="51"/>
  <c r="K297" i="51" s="1"/>
  <c r="I297" i="51"/>
  <c r="M297" i="51" s="1"/>
  <c r="J296" i="51"/>
  <c r="K296" i="51" s="1"/>
  <c r="I296" i="51"/>
  <c r="M296" i="51" s="1"/>
  <c r="J295" i="51"/>
  <c r="K295" i="51" s="1"/>
  <c r="I295" i="51"/>
  <c r="M295" i="51" s="1"/>
  <c r="J294" i="51"/>
  <c r="K294" i="51" s="1"/>
  <c r="I294" i="51"/>
  <c r="M294" i="51" s="1"/>
  <c r="J293" i="51"/>
  <c r="K293" i="51" s="1"/>
  <c r="I293" i="51"/>
  <c r="M293" i="51" s="1"/>
  <c r="J292" i="51"/>
  <c r="K292" i="51" s="1"/>
  <c r="I292" i="51"/>
  <c r="M292" i="51" s="1"/>
  <c r="J291" i="51"/>
  <c r="K291" i="51" s="1"/>
  <c r="I291" i="51"/>
  <c r="M291" i="51" s="1"/>
  <c r="J290" i="51"/>
  <c r="K290" i="51" s="1"/>
  <c r="I290" i="51"/>
  <c r="M290" i="51" s="1"/>
  <c r="J289" i="51"/>
  <c r="K289" i="51" s="1"/>
  <c r="I289" i="51"/>
  <c r="M289" i="51" s="1"/>
  <c r="J288" i="51"/>
  <c r="K288" i="51" s="1"/>
  <c r="I288" i="51"/>
  <c r="M288" i="51" s="1"/>
  <c r="J287" i="51"/>
  <c r="K287" i="51" s="1"/>
  <c r="I287" i="51"/>
  <c r="M287" i="51" s="1"/>
  <c r="J286" i="51"/>
  <c r="K286" i="51" s="1"/>
  <c r="I286" i="51"/>
  <c r="M286" i="51" s="1"/>
  <c r="J285" i="51"/>
  <c r="K285" i="51" s="1"/>
  <c r="I285" i="51"/>
  <c r="M285" i="51" s="1"/>
  <c r="J284" i="51"/>
  <c r="K284" i="51" s="1"/>
  <c r="I284" i="51"/>
  <c r="M284" i="51" s="1"/>
  <c r="J283" i="51"/>
  <c r="K283" i="51" s="1"/>
  <c r="I283" i="51"/>
  <c r="M283" i="51" s="1"/>
  <c r="J282" i="51"/>
  <c r="K282" i="51" s="1"/>
  <c r="I282" i="51"/>
  <c r="M282" i="51" s="1"/>
  <c r="J281" i="51"/>
  <c r="K281" i="51" s="1"/>
  <c r="I281" i="51"/>
  <c r="M281" i="51" s="1"/>
  <c r="J280" i="51"/>
  <c r="K280" i="51" s="1"/>
  <c r="I280" i="51"/>
  <c r="M280" i="51" s="1"/>
  <c r="J279" i="51"/>
  <c r="K279" i="51" s="1"/>
  <c r="I279" i="51"/>
  <c r="M279" i="51" s="1"/>
  <c r="J278" i="51"/>
  <c r="K278" i="51" s="1"/>
  <c r="I278" i="51"/>
  <c r="M278" i="51" s="1"/>
  <c r="J277" i="51"/>
  <c r="K277" i="51" s="1"/>
  <c r="I277" i="51"/>
  <c r="M277" i="51" s="1"/>
  <c r="J276" i="51"/>
  <c r="K276" i="51" s="1"/>
  <c r="I276" i="51"/>
  <c r="M276" i="51" s="1"/>
  <c r="J275" i="51"/>
  <c r="K275" i="51" s="1"/>
  <c r="I275" i="51"/>
  <c r="M275" i="51" s="1"/>
  <c r="J274" i="51"/>
  <c r="K274" i="51" s="1"/>
  <c r="I274" i="51"/>
  <c r="M274" i="51" s="1"/>
  <c r="J273" i="51"/>
  <c r="K273" i="51" s="1"/>
  <c r="I273" i="51"/>
  <c r="M273" i="51" s="1"/>
  <c r="J272" i="51"/>
  <c r="K272" i="51" s="1"/>
  <c r="I272" i="51"/>
  <c r="M272" i="51" s="1"/>
  <c r="J271" i="51"/>
  <c r="K271" i="51" s="1"/>
  <c r="I271" i="51"/>
  <c r="M271" i="51" s="1"/>
  <c r="J270" i="51"/>
  <c r="K270" i="51" s="1"/>
  <c r="I270" i="51"/>
  <c r="M270" i="51" s="1"/>
  <c r="J269" i="51"/>
  <c r="K269" i="51" s="1"/>
  <c r="I269" i="51"/>
  <c r="M269" i="51" s="1"/>
  <c r="A269" i="51" s="1"/>
  <c r="B269" i="51"/>
  <c r="M268" i="51"/>
  <c r="A268" i="51" s="1"/>
  <c r="K268" i="51"/>
  <c r="J268" i="51"/>
  <c r="I268" i="51"/>
  <c r="B268" i="51"/>
  <c r="J267" i="51"/>
  <c r="K267" i="51" s="1"/>
  <c r="I267" i="51"/>
  <c r="M267" i="51" s="1"/>
  <c r="A267" i="51" s="1"/>
  <c r="B267" i="51"/>
  <c r="M266" i="51"/>
  <c r="A266" i="51" s="1"/>
  <c r="K266" i="51"/>
  <c r="J266" i="51"/>
  <c r="I266" i="51"/>
  <c r="B266" i="51"/>
  <c r="J265" i="51"/>
  <c r="K265" i="51" s="1"/>
  <c r="I265" i="51"/>
  <c r="M265" i="51" s="1"/>
  <c r="A265" i="51" s="1"/>
  <c r="B265" i="51"/>
  <c r="M264" i="51"/>
  <c r="J264" i="51"/>
  <c r="K264" i="51" s="1"/>
  <c r="I264" i="51"/>
  <c r="B264" i="51"/>
  <c r="A264" i="51"/>
  <c r="M263" i="51"/>
  <c r="J263" i="51"/>
  <c r="K263" i="51" s="1"/>
  <c r="I263" i="51"/>
  <c r="B263" i="51"/>
  <c r="A263" i="51"/>
  <c r="M262" i="51"/>
  <c r="A262" i="51" s="1"/>
  <c r="K262" i="51"/>
  <c r="J262" i="51"/>
  <c r="I262" i="51"/>
  <c r="B262" i="51"/>
  <c r="J261" i="51"/>
  <c r="K261" i="51" s="1"/>
  <c r="I261" i="51"/>
  <c r="M261" i="51" s="1"/>
  <c r="A261" i="51" s="1"/>
  <c r="B261" i="51"/>
  <c r="M260" i="51"/>
  <c r="J260" i="51"/>
  <c r="K260" i="51" s="1"/>
  <c r="I260" i="51"/>
  <c r="B260" i="51"/>
  <c r="A260" i="51"/>
  <c r="M259" i="51"/>
  <c r="J259" i="51"/>
  <c r="K259" i="51" s="1"/>
  <c r="I259" i="51"/>
  <c r="B259" i="51"/>
  <c r="A259" i="51"/>
  <c r="M258" i="51"/>
  <c r="A258" i="51" s="1"/>
  <c r="K258" i="51"/>
  <c r="J258" i="51"/>
  <c r="I258" i="51"/>
  <c r="B258" i="51"/>
  <c r="K257" i="51"/>
  <c r="J257" i="51"/>
  <c r="I257" i="51"/>
  <c r="M257" i="51" s="1"/>
  <c r="A257" i="51" s="1"/>
  <c r="B257" i="51"/>
  <c r="J256" i="51"/>
  <c r="K256" i="51" s="1"/>
  <c r="I256" i="51"/>
  <c r="M256" i="51" s="1"/>
  <c r="A256" i="51" s="1"/>
  <c r="B256" i="51"/>
  <c r="M255" i="51"/>
  <c r="J255" i="51"/>
  <c r="K255" i="51" s="1"/>
  <c r="I255" i="51"/>
  <c r="B255" i="51"/>
  <c r="A255" i="51"/>
  <c r="M254" i="51"/>
  <c r="A254" i="51" s="1"/>
  <c r="K254" i="51"/>
  <c r="J254" i="51"/>
  <c r="I254" i="51"/>
  <c r="B254" i="51"/>
  <c r="K253" i="51"/>
  <c r="J253" i="51"/>
  <c r="I253" i="51"/>
  <c r="M253" i="51" s="1"/>
  <c r="A253" i="51" s="1"/>
  <c r="B253" i="51"/>
  <c r="M252" i="51"/>
  <c r="J252" i="51"/>
  <c r="K252" i="51" s="1"/>
  <c r="I252" i="51"/>
  <c r="B252" i="51"/>
  <c r="A252" i="51"/>
  <c r="M251" i="51"/>
  <c r="J251" i="51"/>
  <c r="K251" i="51" s="1"/>
  <c r="I251" i="51"/>
  <c r="B251" i="51"/>
  <c r="A251" i="51"/>
  <c r="M250" i="51"/>
  <c r="A250" i="51" s="1"/>
  <c r="K250" i="51"/>
  <c r="J250" i="51"/>
  <c r="I250" i="51"/>
  <c r="B250" i="51"/>
  <c r="K249" i="51"/>
  <c r="J249" i="51"/>
  <c r="I249" i="51"/>
  <c r="M249" i="51" s="1"/>
  <c r="A249" i="51" s="1"/>
  <c r="B249" i="51"/>
  <c r="M248" i="51"/>
  <c r="J248" i="51"/>
  <c r="K248" i="51" s="1"/>
  <c r="I248" i="51"/>
  <c r="B248" i="51"/>
  <c r="A248" i="51"/>
  <c r="M247" i="51"/>
  <c r="J247" i="51"/>
  <c r="K247" i="51" s="1"/>
  <c r="I247" i="51"/>
  <c r="B247" i="51"/>
  <c r="A247" i="51"/>
  <c r="M246" i="51"/>
  <c r="A246" i="51" s="1"/>
  <c r="K246" i="51"/>
  <c r="J246" i="51"/>
  <c r="I246" i="51"/>
  <c r="B246" i="51"/>
  <c r="J245" i="51"/>
  <c r="K245" i="51" s="1"/>
  <c r="I245" i="51"/>
  <c r="M245" i="51" s="1"/>
  <c r="A245" i="51" s="1"/>
  <c r="B245" i="51"/>
  <c r="M244" i="51"/>
  <c r="A244" i="51" s="1"/>
  <c r="J244" i="51"/>
  <c r="K244" i="51" s="1"/>
  <c r="I244" i="51"/>
  <c r="B244" i="51"/>
  <c r="M243" i="51"/>
  <c r="J243" i="51"/>
  <c r="K243" i="51" s="1"/>
  <c r="I243" i="51"/>
  <c r="B243" i="51"/>
  <c r="A243" i="51"/>
  <c r="M242" i="51"/>
  <c r="A242" i="51" s="1"/>
  <c r="K242" i="51"/>
  <c r="J242" i="51"/>
  <c r="I242" i="51"/>
  <c r="B242" i="51"/>
  <c r="J241" i="51"/>
  <c r="K241" i="51" s="1"/>
  <c r="I241" i="51"/>
  <c r="M241" i="51" s="1"/>
  <c r="A241" i="51" s="1"/>
  <c r="B241" i="51"/>
  <c r="J240" i="51"/>
  <c r="K240" i="51" s="1"/>
  <c r="I240" i="51"/>
  <c r="M240" i="51" s="1"/>
  <c r="A240" i="51" s="1"/>
  <c r="B240" i="51"/>
  <c r="M239" i="51"/>
  <c r="J239" i="51"/>
  <c r="K239" i="51" s="1"/>
  <c r="I239" i="51"/>
  <c r="B239" i="51"/>
  <c r="A239" i="51"/>
  <c r="M238" i="51"/>
  <c r="A238" i="51" s="1"/>
  <c r="K238" i="51"/>
  <c r="J238" i="51"/>
  <c r="I238" i="51"/>
  <c r="B238" i="51"/>
  <c r="J237" i="51"/>
  <c r="K237" i="51" s="1"/>
  <c r="I237" i="51"/>
  <c r="M237" i="51" s="1"/>
  <c r="A237" i="51" s="1"/>
  <c r="B237" i="51"/>
  <c r="M236" i="51"/>
  <c r="A236" i="51" s="1"/>
  <c r="J236" i="51"/>
  <c r="K236" i="51" s="1"/>
  <c r="I236" i="51"/>
  <c r="B236" i="51"/>
  <c r="M235" i="51"/>
  <c r="J235" i="51"/>
  <c r="K235" i="51" s="1"/>
  <c r="I235" i="51"/>
  <c r="B235" i="51"/>
  <c r="A235" i="51"/>
  <c r="M234" i="51"/>
  <c r="A234" i="51" s="1"/>
  <c r="K234" i="51"/>
  <c r="J234" i="51"/>
  <c r="I234" i="51"/>
  <c r="B234" i="51"/>
  <c r="J233" i="51"/>
  <c r="K233" i="51" s="1"/>
  <c r="I233" i="51"/>
  <c r="M233" i="51" s="1"/>
  <c r="A233" i="51" s="1"/>
  <c r="B233" i="51"/>
  <c r="M232" i="51"/>
  <c r="A232" i="51" s="1"/>
  <c r="J232" i="51"/>
  <c r="K232" i="51" s="1"/>
  <c r="I232" i="51"/>
  <c r="B232" i="51"/>
  <c r="M231" i="51"/>
  <c r="J231" i="51"/>
  <c r="K231" i="51" s="1"/>
  <c r="I231" i="51"/>
  <c r="B231" i="51"/>
  <c r="A231" i="51"/>
  <c r="M230" i="51"/>
  <c r="A230" i="51" s="1"/>
  <c r="K230" i="51"/>
  <c r="J230" i="51"/>
  <c r="I230" i="51"/>
  <c r="B230" i="51"/>
  <c r="J229" i="51"/>
  <c r="K229" i="51" s="1"/>
  <c r="I229" i="51"/>
  <c r="M229" i="51" s="1"/>
  <c r="A229" i="51" s="1"/>
  <c r="B229" i="51"/>
  <c r="J228" i="51"/>
  <c r="K228" i="51" s="1"/>
  <c r="I228" i="51"/>
  <c r="M228" i="51" s="1"/>
  <c r="A228" i="51" s="1"/>
  <c r="B228" i="51"/>
  <c r="M227" i="51"/>
  <c r="J227" i="51"/>
  <c r="K227" i="51" s="1"/>
  <c r="I227" i="51"/>
  <c r="B227" i="51"/>
  <c r="A227" i="51"/>
  <c r="M226" i="51"/>
  <c r="A226" i="51" s="1"/>
  <c r="K226" i="51"/>
  <c r="J226" i="51"/>
  <c r="I226" i="51"/>
  <c r="B226" i="51"/>
  <c r="K225" i="51"/>
  <c r="J225" i="51"/>
  <c r="I225" i="51"/>
  <c r="M225" i="51" s="1"/>
  <c r="A225" i="51" s="1"/>
  <c r="B225" i="51"/>
  <c r="J224" i="51"/>
  <c r="K224" i="51" s="1"/>
  <c r="I224" i="51"/>
  <c r="M224" i="51" s="1"/>
  <c r="A224" i="51" s="1"/>
  <c r="B224" i="51"/>
  <c r="M223" i="51"/>
  <c r="J223" i="51"/>
  <c r="K223" i="51" s="1"/>
  <c r="I223" i="51"/>
  <c r="B223" i="51"/>
  <c r="A223" i="51"/>
  <c r="M222" i="51"/>
  <c r="A222" i="51" s="1"/>
  <c r="K222" i="51"/>
  <c r="J222" i="51"/>
  <c r="I222" i="51"/>
  <c r="B222" i="51"/>
  <c r="K221" i="51"/>
  <c r="J221" i="51"/>
  <c r="I221" i="51"/>
  <c r="M221" i="51" s="1"/>
  <c r="A221" i="51" s="1"/>
  <c r="B221" i="51"/>
  <c r="M220" i="51"/>
  <c r="J220" i="51"/>
  <c r="K220" i="51" s="1"/>
  <c r="I220" i="51"/>
  <c r="B220" i="51"/>
  <c r="A220" i="51"/>
  <c r="M219" i="51"/>
  <c r="J219" i="51"/>
  <c r="K219" i="51" s="1"/>
  <c r="I219" i="51"/>
  <c r="B219" i="51"/>
  <c r="A219" i="51"/>
  <c r="M218" i="51"/>
  <c r="A218" i="51" s="1"/>
  <c r="K218" i="51"/>
  <c r="J218" i="51"/>
  <c r="I218" i="51"/>
  <c r="B218" i="51"/>
  <c r="K217" i="51"/>
  <c r="J217" i="51"/>
  <c r="I217" i="51"/>
  <c r="M217" i="51" s="1"/>
  <c r="A217" i="51" s="1"/>
  <c r="B217" i="51"/>
  <c r="M216" i="51"/>
  <c r="J216" i="51"/>
  <c r="K216" i="51" s="1"/>
  <c r="I216" i="51"/>
  <c r="B216" i="51"/>
  <c r="A216" i="51"/>
  <c r="M215" i="51"/>
  <c r="J215" i="51"/>
  <c r="K215" i="51" s="1"/>
  <c r="I215" i="51"/>
  <c r="B215" i="51"/>
  <c r="A215" i="51"/>
  <c r="M214" i="51"/>
  <c r="A214" i="51" s="1"/>
  <c r="K214" i="51"/>
  <c r="J214" i="51"/>
  <c r="I214" i="51"/>
  <c r="B214" i="51"/>
  <c r="J213" i="51"/>
  <c r="K213" i="51" s="1"/>
  <c r="I213" i="51"/>
  <c r="M213" i="51" s="1"/>
  <c r="A213" i="51" s="1"/>
  <c r="B213" i="51"/>
  <c r="M212" i="51"/>
  <c r="A212" i="51" s="1"/>
  <c r="J212" i="51"/>
  <c r="K212" i="51" s="1"/>
  <c r="I212" i="51"/>
  <c r="B212" i="51"/>
  <c r="M211" i="51"/>
  <c r="J211" i="51"/>
  <c r="K211" i="51" s="1"/>
  <c r="I211" i="51"/>
  <c r="B211" i="51"/>
  <c r="A211" i="51"/>
  <c r="M210" i="51"/>
  <c r="A210" i="51" s="1"/>
  <c r="K210" i="51"/>
  <c r="J210" i="51"/>
  <c r="I210" i="51"/>
  <c r="B210" i="51"/>
  <c r="J209" i="51"/>
  <c r="K209" i="51" s="1"/>
  <c r="I209" i="51"/>
  <c r="M209" i="51" s="1"/>
  <c r="A209" i="51" s="1"/>
  <c r="B209" i="51"/>
  <c r="J208" i="51"/>
  <c r="K208" i="51" s="1"/>
  <c r="I208" i="51"/>
  <c r="M208" i="51" s="1"/>
  <c r="A208" i="51" s="1"/>
  <c r="B208" i="51"/>
  <c r="M207" i="51"/>
  <c r="A207" i="51" s="1"/>
  <c r="J207" i="51"/>
  <c r="K207" i="51" s="1"/>
  <c r="I207" i="51"/>
  <c r="B207" i="51"/>
  <c r="M206" i="51"/>
  <c r="A206" i="51" s="1"/>
  <c r="K206" i="51"/>
  <c r="J206" i="51"/>
  <c r="I206" i="51"/>
  <c r="B206" i="51"/>
  <c r="J205" i="51"/>
  <c r="K205" i="51" s="1"/>
  <c r="I205" i="51"/>
  <c r="M205" i="51" s="1"/>
  <c r="A205" i="51" s="1"/>
  <c r="B205" i="51"/>
  <c r="M204" i="51"/>
  <c r="A204" i="51" s="1"/>
  <c r="J204" i="51"/>
  <c r="K204" i="51" s="1"/>
  <c r="I204" i="51"/>
  <c r="B204" i="51"/>
  <c r="M203" i="51"/>
  <c r="A203" i="51" s="1"/>
  <c r="J203" i="51"/>
  <c r="K203" i="51" s="1"/>
  <c r="I203" i="51"/>
  <c r="B203" i="51"/>
  <c r="M202" i="51"/>
  <c r="A202" i="51" s="1"/>
  <c r="K202" i="51"/>
  <c r="J202" i="51"/>
  <c r="I202" i="51"/>
  <c r="B202" i="51"/>
  <c r="K201" i="51"/>
  <c r="J201" i="51"/>
  <c r="I201" i="51"/>
  <c r="M201" i="51" s="1"/>
  <c r="A201" i="51" s="1"/>
  <c r="B201" i="51"/>
  <c r="M200" i="51"/>
  <c r="J200" i="51"/>
  <c r="K200" i="51" s="1"/>
  <c r="I200" i="51"/>
  <c r="B200" i="51"/>
  <c r="A200" i="51"/>
  <c r="M199" i="51"/>
  <c r="J199" i="51"/>
  <c r="K199" i="51" s="1"/>
  <c r="I199" i="51"/>
  <c r="B199" i="51"/>
  <c r="A199" i="51"/>
  <c r="M198" i="51"/>
  <c r="A198" i="51" s="1"/>
  <c r="J198" i="51"/>
  <c r="K198" i="51" s="1"/>
  <c r="I198" i="51"/>
  <c r="B198" i="51"/>
  <c r="M197" i="51"/>
  <c r="A197" i="51" s="1"/>
  <c r="J197" i="51"/>
  <c r="K197" i="51" s="1"/>
  <c r="I197" i="51"/>
  <c r="B197" i="51"/>
  <c r="J196" i="51"/>
  <c r="K196" i="51" s="1"/>
  <c r="I196" i="51"/>
  <c r="M196" i="51" s="1"/>
  <c r="A196" i="51" s="1"/>
  <c r="B196" i="51"/>
  <c r="M195" i="51"/>
  <c r="A195" i="51" s="1"/>
  <c r="J195" i="51"/>
  <c r="K195" i="51" s="1"/>
  <c r="I195" i="51"/>
  <c r="B195" i="51"/>
  <c r="M194" i="51"/>
  <c r="A194" i="51" s="1"/>
  <c r="K194" i="51"/>
  <c r="J194" i="51"/>
  <c r="I194" i="51"/>
  <c r="B194" i="51"/>
  <c r="K193" i="51"/>
  <c r="J193" i="51"/>
  <c r="I193" i="51"/>
  <c r="M193" i="51" s="1"/>
  <c r="A193" i="51" s="1"/>
  <c r="B193" i="51"/>
  <c r="M192" i="51"/>
  <c r="J192" i="51"/>
  <c r="K192" i="51" s="1"/>
  <c r="I192" i="51"/>
  <c r="B192" i="51"/>
  <c r="A192" i="51"/>
  <c r="M191" i="51"/>
  <c r="J191" i="51"/>
  <c r="K191" i="51" s="1"/>
  <c r="I191" i="51"/>
  <c r="B191" i="51"/>
  <c r="A191" i="51"/>
  <c r="M190" i="51"/>
  <c r="A190" i="51" s="1"/>
  <c r="J190" i="51"/>
  <c r="K190" i="51" s="1"/>
  <c r="I190" i="51"/>
  <c r="B190" i="51"/>
  <c r="M189" i="51"/>
  <c r="A189" i="51" s="1"/>
  <c r="J189" i="51"/>
  <c r="K189" i="51" s="1"/>
  <c r="I189" i="51"/>
  <c r="B189" i="51"/>
  <c r="J188" i="51"/>
  <c r="K188" i="51" s="1"/>
  <c r="I188" i="51"/>
  <c r="M188" i="51" s="1"/>
  <c r="A188" i="51" s="1"/>
  <c r="B188" i="51"/>
  <c r="M187" i="51"/>
  <c r="A187" i="51" s="1"/>
  <c r="J187" i="51"/>
  <c r="K187" i="51" s="1"/>
  <c r="I187" i="51"/>
  <c r="B187" i="51"/>
  <c r="M186" i="51"/>
  <c r="A186" i="51" s="1"/>
  <c r="K186" i="51"/>
  <c r="J186" i="51"/>
  <c r="I186" i="51"/>
  <c r="B186" i="51"/>
  <c r="K185" i="51"/>
  <c r="J185" i="51"/>
  <c r="I185" i="51"/>
  <c r="M185" i="51" s="1"/>
  <c r="A185" i="51" s="1"/>
  <c r="B185" i="51"/>
  <c r="M184" i="51"/>
  <c r="J184" i="51"/>
  <c r="K184" i="51" s="1"/>
  <c r="I184" i="51"/>
  <c r="B184" i="51"/>
  <c r="A184" i="51"/>
  <c r="M183" i="51"/>
  <c r="J183" i="51"/>
  <c r="K183" i="51" s="1"/>
  <c r="I183" i="51"/>
  <c r="B183" i="51"/>
  <c r="A183" i="51"/>
  <c r="M182" i="51"/>
  <c r="A182" i="51" s="1"/>
  <c r="J182" i="51"/>
  <c r="K182" i="51" s="1"/>
  <c r="I182" i="51"/>
  <c r="B182" i="51"/>
  <c r="M181" i="51"/>
  <c r="A181" i="51" s="1"/>
  <c r="J181" i="51"/>
  <c r="K181" i="51" s="1"/>
  <c r="I181" i="51"/>
  <c r="B181" i="51"/>
  <c r="M180" i="51"/>
  <c r="A180" i="51" s="1"/>
  <c r="J180" i="51"/>
  <c r="K180" i="51" s="1"/>
  <c r="I180" i="51"/>
  <c r="B180" i="51"/>
  <c r="M179" i="51"/>
  <c r="A179" i="51" s="1"/>
  <c r="J179" i="51"/>
  <c r="K179" i="51" s="1"/>
  <c r="I179" i="51"/>
  <c r="B179" i="51"/>
  <c r="M178" i="51"/>
  <c r="A178" i="51" s="1"/>
  <c r="K178" i="51"/>
  <c r="J178" i="51"/>
  <c r="I178" i="51"/>
  <c r="B178" i="51"/>
  <c r="K177" i="51"/>
  <c r="J177" i="51"/>
  <c r="I177" i="51"/>
  <c r="M177" i="51" s="1"/>
  <c r="A177" i="51" s="1"/>
  <c r="B177" i="51"/>
  <c r="J176" i="51"/>
  <c r="K176" i="51" s="1"/>
  <c r="I176" i="51"/>
  <c r="M176" i="51" s="1"/>
  <c r="B176" i="51"/>
  <c r="A176" i="51"/>
  <c r="M175" i="51"/>
  <c r="J175" i="51"/>
  <c r="K175" i="51" s="1"/>
  <c r="I175" i="51"/>
  <c r="B175" i="51"/>
  <c r="A175" i="51"/>
  <c r="M174" i="51"/>
  <c r="A174" i="51" s="1"/>
  <c r="J174" i="51"/>
  <c r="K174" i="51" s="1"/>
  <c r="I174" i="51"/>
  <c r="B174" i="51"/>
  <c r="M173" i="51"/>
  <c r="A173" i="51" s="1"/>
  <c r="J173" i="51"/>
  <c r="K173" i="51" s="1"/>
  <c r="I173" i="51"/>
  <c r="B173" i="51"/>
  <c r="J172" i="51"/>
  <c r="K172" i="51" s="1"/>
  <c r="I172" i="51"/>
  <c r="M172" i="51" s="1"/>
  <c r="A172" i="51" s="1"/>
  <c r="B172" i="51"/>
  <c r="M171" i="51"/>
  <c r="A171" i="51" s="1"/>
  <c r="J171" i="51"/>
  <c r="K171" i="51" s="1"/>
  <c r="I171" i="51"/>
  <c r="B171" i="51"/>
  <c r="M170" i="51"/>
  <c r="A170" i="51" s="1"/>
  <c r="K170" i="51"/>
  <c r="J170" i="51"/>
  <c r="I170" i="51"/>
  <c r="B170" i="51"/>
  <c r="K169" i="51"/>
  <c r="J169" i="51"/>
  <c r="I169" i="51"/>
  <c r="M169" i="51" s="1"/>
  <c r="A169" i="51" s="1"/>
  <c r="B169" i="51"/>
  <c r="J168" i="51"/>
  <c r="K168" i="51" s="1"/>
  <c r="I168" i="51"/>
  <c r="M168" i="51" s="1"/>
  <c r="B168" i="51"/>
  <c r="A168" i="51"/>
  <c r="M167" i="51"/>
  <c r="J167" i="51"/>
  <c r="K167" i="51" s="1"/>
  <c r="I167" i="51"/>
  <c r="B167" i="51"/>
  <c r="A167" i="51"/>
  <c r="M166" i="51"/>
  <c r="A166" i="51" s="1"/>
  <c r="J166" i="51"/>
  <c r="K166" i="51" s="1"/>
  <c r="I166" i="51"/>
  <c r="B166" i="51"/>
  <c r="M165" i="51"/>
  <c r="A165" i="51" s="1"/>
  <c r="J165" i="51"/>
  <c r="K165" i="51" s="1"/>
  <c r="I165" i="51"/>
  <c r="B165" i="51"/>
  <c r="J164" i="51"/>
  <c r="K164" i="51" s="1"/>
  <c r="I164" i="51"/>
  <c r="M164" i="51" s="1"/>
  <c r="A164" i="51" s="1"/>
  <c r="B164" i="51"/>
  <c r="M163" i="51"/>
  <c r="A163" i="51" s="1"/>
  <c r="J163" i="51"/>
  <c r="K163" i="51" s="1"/>
  <c r="I163" i="51"/>
  <c r="B163" i="51"/>
  <c r="M162" i="51"/>
  <c r="A162" i="51" s="1"/>
  <c r="K162" i="51"/>
  <c r="J162" i="51"/>
  <c r="I162" i="51"/>
  <c r="B162" i="51"/>
  <c r="K161" i="51"/>
  <c r="J161" i="51"/>
  <c r="I161" i="51"/>
  <c r="M161" i="51" s="1"/>
  <c r="A161" i="51" s="1"/>
  <c r="B161" i="51"/>
  <c r="J160" i="51"/>
  <c r="K160" i="51" s="1"/>
  <c r="I160" i="51"/>
  <c r="M160" i="51" s="1"/>
  <c r="B160" i="51"/>
  <c r="A160" i="51"/>
  <c r="M159" i="51"/>
  <c r="J159" i="51"/>
  <c r="K159" i="51" s="1"/>
  <c r="I159" i="51"/>
  <c r="B159" i="51"/>
  <c r="A159" i="51"/>
  <c r="M158" i="51"/>
  <c r="A158" i="51" s="1"/>
  <c r="J158" i="51"/>
  <c r="K158" i="51" s="1"/>
  <c r="I158" i="51"/>
  <c r="B158" i="51"/>
  <c r="M157" i="51"/>
  <c r="A157" i="51" s="1"/>
  <c r="J157" i="51"/>
  <c r="K157" i="51" s="1"/>
  <c r="I157" i="51"/>
  <c r="B157" i="51"/>
  <c r="J156" i="51"/>
  <c r="K156" i="51" s="1"/>
  <c r="I156" i="51"/>
  <c r="M156" i="51" s="1"/>
  <c r="A156" i="51" s="1"/>
  <c r="B156" i="51"/>
  <c r="M155" i="51"/>
  <c r="A155" i="51" s="1"/>
  <c r="J155" i="51"/>
  <c r="K155" i="51" s="1"/>
  <c r="I155" i="51"/>
  <c r="B155" i="51"/>
  <c r="M154" i="51"/>
  <c r="A154" i="51" s="1"/>
  <c r="K154" i="51"/>
  <c r="J154" i="51"/>
  <c r="I154" i="51"/>
  <c r="B154" i="51"/>
  <c r="K153" i="51"/>
  <c r="J153" i="51"/>
  <c r="I153" i="51"/>
  <c r="M153" i="51" s="1"/>
  <c r="A153" i="51" s="1"/>
  <c r="B153" i="51"/>
  <c r="J152" i="51"/>
  <c r="K152" i="51" s="1"/>
  <c r="I152" i="51"/>
  <c r="M152" i="51" s="1"/>
  <c r="A152" i="51" s="1"/>
  <c r="B152" i="51"/>
  <c r="M151" i="51"/>
  <c r="J151" i="51"/>
  <c r="K151" i="51" s="1"/>
  <c r="I151" i="51"/>
  <c r="B151" i="51"/>
  <c r="A151" i="51"/>
  <c r="M150" i="51"/>
  <c r="A150" i="51" s="1"/>
  <c r="J150" i="51"/>
  <c r="K150" i="51" s="1"/>
  <c r="I150" i="51"/>
  <c r="B150" i="51"/>
  <c r="M149" i="51"/>
  <c r="A149" i="51" s="1"/>
  <c r="J149" i="51"/>
  <c r="K149" i="51" s="1"/>
  <c r="I149" i="51"/>
  <c r="B149" i="51"/>
  <c r="M148" i="51"/>
  <c r="A148" i="51" s="1"/>
  <c r="J148" i="51"/>
  <c r="K148" i="51" s="1"/>
  <c r="I148" i="51"/>
  <c r="B148" i="51"/>
  <c r="M147" i="51"/>
  <c r="A147" i="51" s="1"/>
  <c r="J147" i="51"/>
  <c r="K147" i="51" s="1"/>
  <c r="I147" i="51"/>
  <c r="B147" i="51"/>
  <c r="M146" i="51"/>
  <c r="A146" i="51" s="1"/>
  <c r="K146" i="51"/>
  <c r="J146" i="51"/>
  <c r="I146" i="51"/>
  <c r="B146" i="51"/>
  <c r="K145" i="51"/>
  <c r="J145" i="51"/>
  <c r="I145" i="51"/>
  <c r="M145" i="51" s="1"/>
  <c r="A145" i="51" s="1"/>
  <c r="B145" i="51"/>
  <c r="J144" i="51"/>
  <c r="K144" i="51" s="1"/>
  <c r="I144" i="51"/>
  <c r="M144" i="51" s="1"/>
  <c r="B144" i="51"/>
  <c r="A144" i="51"/>
  <c r="M143" i="51"/>
  <c r="J143" i="51"/>
  <c r="K143" i="51" s="1"/>
  <c r="I143" i="51"/>
  <c r="B143" i="51"/>
  <c r="A143" i="51"/>
  <c r="M142" i="51"/>
  <c r="A142" i="51" s="1"/>
  <c r="J142" i="51"/>
  <c r="K142" i="51" s="1"/>
  <c r="I142" i="51"/>
  <c r="B142" i="51"/>
  <c r="M141" i="51"/>
  <c r="A141" i="51" s="1"/>
  <c r="J141" i="51"/>
  <c r="K141" i="51" s="1"/>
  <c r="I141" i="51"/>
  <c r="B141" i="51"/>
  <c r="J140" i="51"/>
  <c r="K140" i="51" s="1"/>
  <c r="I140" i="51"/>
  <c r="M140" i="51" s="1"/>
  <c r="A140" i="51" s="1"/>
  <c r="B140" i="51"/>
  <c r="M139" i="51"/>
  <c r="A139" i="51" s="1"/>
  <c r="J139" i="51"/>
  <c r="K139" i="51" s="1"/>
  <c r="I139" i="51"/>
  <c r="B139" i="51"/>
  <c r="M138" i="51"/>
  <c r="A138" i="51" s="1"/>
  <c r="K138" i="51"/>
  <c r="J138" i="51"/>
  <c r="I138" i="51"/>
  <c r="B138" i="51"/>
  <c r="K137" i="51"/>
  <c r="J137" i="51"/>
  <c r="I137" i="51"/>
  <c r="M137" i="51" s="1"/>
  <c r="A137" i="51" s="1"/>
  <c r="B137" i="51"/>
  <c r="J136" i="51"/>
  <c r="K136" i="51" s="1"/>
  <c r="I136" i="51"/>
  <c r="M136" i="51" s="1"/>
  <c r="B136" i="51"/>
  <c r="A136" i="51"/>
  <c r="M135" i="51"/>
  <c r="J135" i="51"/>
  <c r="K135" i="51" s="1"/>
  <c r="I135" i="51"/>
  <c r="B135" i="51"/>
  <c r="A135" i="51"/>
  <c r="K134" i="51"/>
  <c r="J134" i="51"/>
  <c r="I134" i="51"/>
  <c r="M134" i="51" s="1"/>
  <c r="A134" i="51" s="1"/>
  <c r="B134" i="51"/>
  <c r="M133" i="51"/>
  <c r="A133" i="51" s="1"/>
  <c r="K133" i="51"/>
  <c r="J133" i="51"/>
  <c r="I133" i="51"/>
  <c r="B133" i="51"/>
  <c r="M132" i="51"/>
  <c r="A132" i="51" s="1"/>
  <c r="J132" i="51"/>
  <c r="K132" i="51" s="1"/>
  <c r="I132" i="51"/>
  <c r="B132" i="51"/>
  <c r="M131" i="51"/>
  <c r="J131" i="51"/>
  <c r="K131" i="51" s="1"/>
  <c r="I131" i="51"/>
  <c r="B131" i="51"/>
  <c r="A131" i="51"/>
  <c r="K130" i="51"/>
  <c r="J130" i="51"/>
  <c r="I130" i="51"/>
  <c r="M130" i="51" s="1"/>
  <c r="A130" i="51" s="1"/>
  <c r="B130" i="51"/>
  <c r="K129" i="51"/>
  <c r="J129" i="51"/>
  <c r="I129" i="51"/>
  <c r="M129" i="51" s="1"/>
  <c r="A129" i="51" s="1"/>
  <c r="B129" i="51"/>
  <c r="M128" i="51"/>
  <c r="J128" i="51"/>
  <c r="K128" i="51" s="1"/>
  <c r="I128" i="51"/>
  <c r="B128" i="51"/>
  <c r="A128" i="51"/>
  <c r="M127" i="51"/>
  <c r="J127" i="51"/>
  <c r="K127" i="51" s="1"/>
  <c r="I127" i="51"/>
  <c r="B127" i="51"/>
  <c r="A127" i="51"/>
  <c r="K126" i="51"/>
  <c r="J126" i="51"/>
  <c r="I126" i="51"/>
  <c r="M126" i="51" s="1"/>
  <c r="A126" i="51" s="1"/>
  <c r="B126" i="51"/>
  <c r="K125" i="51"/>
  <c r="J125" i="51"/>
  <c r="I125" i="51"/>
  <c r="M125" i="51" s="1"/>
  <c r="A125" i="51" s="1"/>
  <c r="B125" i="51"/>
  <c r="M124" i="51"/>
  <c r="A124" i="51" s="1"/>
  <c r="J124" i="51"/>
  <c r="K124" i="51" s="1"/>
  <c r="I124" i="51"/>
  <c r="B124" i="51"/>
  <c r="M123" i="51"/>
  <c r="K123" i="51"/>
  <c r="J123" i="51"/>
  <c r="I123" i="51"/>
  <c r="B123" i="51"/>
  <c r="A123" i="51"/>
  <c r="K122" i="51"/>
  <c r="J122" i="51"/>
  <c r="I122" i="51"/>
  <c r="M122" i="51" s="1"/>
  <c r="A122" i="51" s="1"/>
  <c r="B122" i="51"/>
  <c r="M121" i="51"/>
  <c r="A121" i="51" s="1"/>
  <c r="K121" i="51"/>
  <c r="J121" i="51"/>
  <c r="I121" i="51"/>
  <c r="B121" i="51"/>
  <c r="M120" i="51"/>
  <c r="A120" i="51" s="1"/>
  <c r="J120" i="51"/>
  <c r="K120" i="51" s="1"/>
  <c r="I120" i="51"/>
  <c r="B120" i="51"/>
  <c r="M119" i="51"/>
  <c r="K119" i="51"/>
  <c r="J119" i="51"/>
  <c r="I119" i="51"/>
  <c r="B119" i="51"/>
  <c r="A119" i="51"/>
  <c r="K118" i="51"/>
  <c r="J118" i="51"/>
  <c r="I118" i="51"/>
  <c r="M118" i="51" s="1"/>
  <c r="A118" i="51" s="1"/>
  <c r="B118" i="51"/>
  <c r="K117" i="51"/>
  <c r="J117" i="51"/>
  <c r="I117" i="51"/>
  <c r="M117" i="51" s="1"/>
  <c r="A117" i="51" s="1"/>
  <c r="B117" i="51"/>
  <c r="M116" i="51"/>
  <c r="J116" i="51"/>
  <c r="K116" i="51" s="1"/>
  <c r="I116" i="51"/>
  <c r="B116" i="51"/>
  <c r="A116" i="51"/>
  <c r="M115" i="51"/>
  <c r="K115" i="51"/>
  <c r="J115" i="51"/>
  <c r="I115" i="51"/>
  <c r="B115" i="51"/>
  <c r="A115" i="51"/>
  <c r="K114" i="51"/>
  <c r="J114" i="51"/>
  <c r="I114" i="51"/>
  <c r="M114" i="51" s="1"/>
  <c r="A114" i="51" s="1"/>
  <c r="B114" i="51"/>
  <c r="K113" i="51"/>
  <c r="J113" i="51"/>
  <c r="I113" i="51"/>
  <c r="M113" i="51" s="1"/>
  <c r="A113" i="51" s="1"/>
  <c r="B113" i="51"/>
  <c r="M112" i="51"/>
  <c r="A112" i="51" s="1"/>
  <c r="J112" i="51"/>
  <c r="K112" i="51" s="1"/>
  <c r="I112" i="51"/>
  <c r="B112" i="51"/>
  <c r="M111" i="51"/>
  <c r="J111" i="51"/>
  <c r="K111" i="51" s="1"/>
  <c r="I111" i="51"/>
  <c r="B111" i="51"/>
  <c r="A111" i="51"/>
  <c r="K110" i="51"/>
  <c r="J110" i="51"/>
  <c r="I110" i="51"/>
  <c r="M110" i="51" s="1"/>
  <c r="A110" i="51" s="1"/>
  <c r="B110" i="51"/>
  <c r="M109" i="51"/>
  <c r="A109" i="51" s="1"/>
  <c r="K109" i="51"/>
  <c r="J109" i="51"/>
  <c r="I109" i="51"/>
  <c r="B109" i="51"/>
  <c r="M108" i="51"/>
  <c r="J108" i="51"/>
  <c r="K108" i="51" s="1"/>
  <c r="I108" i="51"/>
  <c r="B108" i="51"/>
  <c r="A108" i="51"/>
  <c r="M107" i="51"/>
  <c r="J107" i="51"/>
  <c r="K107" i="51" s="1"/>
  <c r="I107" i="51"/>
  <c r="B107" i="51"/>
  <c r="A107" i="51"/>
  <c r="K106" i="51"/>
  <c r="J106" i="51"/>
  <c r="I106" i="51"/>
  <c r="M106" i="51" s="1"/>
  <c r="A106" i="51" s="1"/>
  <c r="B106" i="51"/>
  <c r="K105" i="51"/>
  <c r="J105" i="51"/>
  <c r="I105" i="51"/>
  <c r="M105" i="51" s="1"/>
  <c r="A105" i="51" s="1"/>
  <c r="B105" i="51"/>
  <c r="J104" i="51"/>
  <c r="K104" i="51" s="1"/>
  <c r="I104" i="51"/>
  <c r="M104" i="51" s="1"/>
  <c r="A104" i="51" s="1"/>
  <c r="B104" i="51"/>
  <c r="M103" i="51"/>
  <c r="J103" i="51"/>
  <c r="K103" i="51" s="1"/>
  <c r="I103" i="51"/>
  <c r="B103" i="51"/>
  <c r="A103" i="51"/>
  <c r="K102" i="51"/>
  <c r="J102" i="51"/>
  <c r="I102" i="51"/>
  <c r="M102" i="51" s="1"/>
  <c r="A102" i="51" s="1"/>
  <c r="B102" i="51"/>
  <c r="M101" i="51"/>
  <c r="A101" i="51" s="1"/>
  <c r="K101" i="51"/>
  <c r="J101" i="51"/>
  <c r="I101" i="51"/>
  <c r="B101" i="51"/>
  <c r="M100" i="51"/>
  <c r="A100" i="51" s="1"/>
  <c r="J100" i="51"/>
  <c r="K100" i="51" s="1"/>
  <c r="I100" i="51"/>
  <c r="B100" i="51"/>
  <c r="M99" i="51"/>
  <c r="J99" i="51"/>
  <c r="K99" i="51" s="1"/>
  <c r="I99" i="51"/>
  <c r="B99" i="51"/>
  <c r="A99" i="51"/>
  <c r="K98" i="51"/>
  <c r="J98" i="51"/>
  <c r="I98" i="51"/>
  <c r="M98" i="51" s="1"/>
  <c r="A98" i="51" s="1"/>
  <c r="B98" i="51"/>
  <c r="K97" i="51"/>
  <c r="J97" i="51"/>
  <c r="I97" i="51"/>
  <c r="M97" i="51" s="1"/>
  <c r="A97" i="51" s="1"/>
  <c r="B97" i="51"/>
  <c r="J96" i="51"/>
  <c r="K96" i="51" s="1"/>
  <c r="I96" i="51"/>
  <c r="M96" i="51" s="1"/>
  <c r="A96" i="51" s="1"/>
  <c r="B96" i="51"/>
  <c r="M95" i="51"/>
  <c r="J95" i="51"/>
  <c r="K95" i="51" s="1"/>
  <c r="I95" i="51"/>
  <c r="B95" i="51"/>
  <c r="A95" i="51"/>
  <c r="M94" i="51"/>
  <c r="A94" i="51" s="1"/>
  <c r="K94" i="51"/>
  <c r="J94" i="51"/>
  <c r="I94" i="51"/>
  <c r="B94" i="51"/>
  <c r="J93" i="51"/>
  <c r="K93" i="51" s="1"/>
  <c r="I93" i="51"/>
  <c r="M93" i="51" s="1"/>
  <c r="A93" i="51" s="1"/>
  <c r="B93" i="51"/>
  <c r="J92" i="51"/>
  <c r="K92" i="51" s="1"/>
  <c r="I92" i="51"/>
  <c r="M92" i="51" s="1"/>
  <c r="A92" i="51" s="1"/>
  <c r="B92" i="51"/>
  <c r="M91" i="51"/>
  <c r="J91" i="51"/>
  <c r="K91" i="51" s="1"/>
  <c r="I91" i="51"/>
  <c r="B91" i="51"/>
  <c r="A91" i="51"/>
  <c r="K90" i="51"/>
  <c r="J90" i="51"/>
  <c r="I90" i="51"/>
  <c r="M90" i="51" s="1"/>
  <c r="A90" i="51" s="1"/>
  <c r="B90" i="51"/>
  <c r="J89" i="51"/>
  <c r="K89" i="51" s="1"/>
  <c r="I89" i="51"/>
  <c r="M89" i="51" s="1"/>
  <c r="A89" i="51" s="1"/>
  <c r="B89" i="51"/>
  <c r="M88" i="51"/>
  <c r="A88" i="51" s="1"/>
  <c r="J88" i="51"/>
  <c r="K88" i="51" s="1"/>
  <c r="I88" i="51"/>
  <c r="B88" i="51"/>
  <c r="M87" i="51"/>
  <c r="J87" i="51"/>
  <c r="K87" i="51" s="1"/>
  <c r="I87" i="51"/>
  <c r="B87" i="51"/>
  <c r="A87" i="51"/>
  <c r="K86" i="51"/>
  <c r="J86" i="51"/>
  <c r="I86" i="51"/>
  <c r="M86" i="51" s="1"/>
  <c r="A86" i="51" s="1"/>
  <c r="B86" i="51"/>
  <c r="M85" i="51"/>
  <c r="A85" i="51" s="1"/>
  <c r="K85" i="51"/>
  <c r="J85" i="51"/>
  <c r="I85" i="51"/>
  <c r="B85" i="51"/>
  <c r="J84" i="51"/>
  <c r="K84" i="51" s="1"/>
  <c r="I84" i="51"/>
  <c r="M84" i="51" s="1"/>
  <c r="A84" i="51" s="1"/>
  <c r="B84" i="51"/>
  <c r="M83" i="51"/>
  <c r="K83" i="51"/>
  <c r="J83" i="51"/>
  <c r="I83" i="51"/>
  <c r="B83" i="51"/>
  <c r="A83" i="51"/>
  <c r="M82" i="51"/>
  <c r="A82" i="51" s="1"/>
  <c r="J82" i="51"/>
  <c r="K82" i="51" s="1"/>
  <c r="I82" i="51"/>
  <c r="B82" i="51"/>
  <c r="K81" i="51"/>
  <c r="J81" i="51"/>
  <c r="I81" i="51"/>
  <c r="M81" i="51" s="1"/>
  <c r="A81" i="51" s="1"/>
  <c r="B81" i="51"/>
  <c r="J80" i="51"/>
  <c r="K80" i="51" s="1"/>
  <c r="I80" i="51"/>
  <c r="M80" i="51" s="1"/>
  <c r="A80" i="51" s="1"/>
  <c r="B80" i="51"/>
  <c r="M79" i="51"/>
  <c r="A79" i="51" s="1"/>
  <c r="J79" i="51"/>
  <c r="K79" i="51" s="1"/>
  <c r="I79" i="51"/>
  <c r="B79" i="51"/>
  <c r="M78" i="51"/>
  <c r="A78" i="51" s="1"/>
  <c r="J78" i="51"/>
  <c r="K78" i="51" s="1"/>
  <c r="I78" i="51"/>
  <c r="B78" i="51"/>
  <c r="J77" i="51"/>
  <c r="K77" i="51" s="1"/>
  <c r="I77" i="51"/>
  <c r="M77" i="51" s="1"/>
  <c r="A77" i="51" s="1"/>
  <c r="B77" i="51"/>
  <c r="J76" i="51"/>
  <c r="K76" i="51" s="1"/>
  <c r="I76" i="51"/>
  <c r="M76" i="51" s="1"/>
  <c r="A76" i="51" s="1"/>
  <c r="B76" i="51"/>
  <c r="M75" i="51"/>
  <c r="A75" i="51" s="1"/>
  <c r="J75" i="51"/>
  <c r="K75" i="51" s="1"/>
  <c r="I75" i="51"/>
  <c r="B75" i="51"/>
  <c r="J74" i="51"/>
  <c r="K74" i="51" s="1"/>
  <c r="I74" i="51"/>
  <c r="M74" i="51" s="1"/>
  <c r="A74" i="51" s="1"/>
  <c r="B74" i="51"/>
  <c r="J73" i="51"/>
  <c r="K73" i="51" s="1"/>
  <c r="I73" i="51"/>
  <c r="M73" i="51" s="1"/>
  <c r="A73" i="51" s="1"/>
  <c r="B73" i="51"/>
  <c r="M72" i="51"/>
  <c r="A72" i="51" s="1"/>
  <c r="J72" i="51"/>
  <c r="K72" i="51" s="1"/>
  <c r="I72" i="51"/>
  <c r="B72" i="51"/>
  <c r="M71" i="51"/>
  <c r="A71" i="51" s="1"/>
  <c r="J71" i="51"/>
  <c r="K71" i="51" s="1"/>
  <c r="I71" i="51"/>
  <c r="B71" i="51"/>
  <c r="K70" i="51"/>
  <c r="J70" i="51"/>
  <c r="I70" i="51"/>
  <c r="M70" i="51" s="1"/>
  <c r="A70" i="51" s="1"/>
  <c r="B70" i="51"/>
  <c r="M69" i="51"/>
  <c r="A69" i="51" s="1"/>
  <c r="K69" i="51"/>
  <c r="J69" i="51"/>
  <c r="I69" i="51"/>
  <c r="B69" i="51"/>
  <c r="J68" i="51"/>
  <c r="K68" i="51" s="1"/>
  <c r="I68" i="51"/>
  <c r="M68" i="51" s="1"/>
  <c r="A68" i="51" s="1"/>
  <c r="B68" i="51"/>
  <c r="M67" i="51"/>
  <c r="K67" i="51"/>
  <c r="J67" i="51"/>
  <c r="I67" i="51"/>
  <c r="B67" i="51"/>
  <c r="A67" i="51"/>
  <c r="M66" i="51"/>
  <c r="A66" i="51" s="1"/>
  <c r="J66" i="51"/>
  <c r="K66" i="51" s="1"/>
  <c r="I66" i="51"/>
  <c r="B66" i="51"/>
  <c r="K65" i="51"/>
  <c r="J65" i="51"/>
  <c r="I65" i="51"/>
  <c r="M65" i="51" s="1"/>
  <c r="A65" i="51" s="1"/>
  <c r="B65" i="51"/>
  <c r="J64" i="51"/>
  <c r="K64" i="51" s="1"/>
  <c r="I64" i="51"/>
  <c r="M64" i="51" s="1"/>
  <c r="A64" i="51" s="1"/>
  <c r="B64" i="51"/>
  <c r="M63" i="51"/>
  <c r="A63" i="51" s="1"/>
  <c r="J63" i="51"/>
  <c r="K63" i="51" s="1"/>
  <c r="I63" i="51"/>
  <c r="B63" i="51"/>
  <c r="J62" i="51"/>
  <c r="K62" i="51" s="1"/>
  <c r="M62" i="51" s="1"/>
  <c r="A62" i="51" s="1"/>
  <c r="I62" i="51"/>
  <c r="B62" i="51"/>
  <c r="J61" i="51"/>
  <c r="K61" i="51" s="1"/>
  <c r="I61" i="51"/>
  <c r="M61" i="51" s="1"/>
  <c r="A61" i="51" s="1"/>
  <c r="B61" i="51"/>
  <c r="J60" i="51"/>
  <c r="K60" i="51" s="1"/>
  <c r="I60" i="51"/>
  <c r="M60" i="51" s="1"/>
  <c r="A60" i="51" s="1"/>
  <c r="B60" i="51"/>
  <c r="J59" i="51"/>
  <c r="K59" i="51" s="1"/>
  <c r="M59" i="51" s="1"/>
  <c r="A59" i="51" s="1"/>
  <c r="I59" i="51"/>
  <c r="B59" i="51"/>
  <c r="J58" i="51"/>
  <c r="K58" i="51" s="1"/>
  <c r="I58" i="51"/>
  <c r="M58" i="51" s="1"/>
  <c r="A58" i="51" s="1"/>
  <c r="B58" i="51"/>
  <c r="J57" i="51"/>
  <c r="K57" i="51" s="1"/>
  <c r="I57" i="51"/>
  <c r="M57" i="51" s="1"/>
  <c r="A57" i="51" s="1"/>
  <c r="B57" i="51"/>
  <c r="J56" i="51"/>
  <c r="K56" i="51" s="1"/>
  <c r="M56" i="51" s="1"/>
  <c r="A56" i="51" s="1"/>
  <c r="I56" i="51"/>
  <c r="B56" i="51"/>
  <c r="J55" i="51"/>
  <c r="K55" i="51" s="1"/>
  <c r="M55" i="51" s="1"/>
  <c r="A55" i="51" s="1"/>
  <c r="I55" i="51"/>
  <c r="B55" i="51"/>
  <c r="K54" i="51"/>
  <c r="J54" i="51"/>
  <c r="I54" i="51"/>
  <c r="M54" i="51" s="1"/>
  <c r="A54" i="51" s="1"/>
  <c r="B54" i="51"/>
  <c r="K53" i="51"/>
  <c r="M53" i="51" s="1"/>
  <c r="A53" i="51" s="1"/>
  <c r="J53" i="51"/>
  <c r="I53" i="51"/>
  <c r="B53" i="51"/>
  <c r="J52" i="51"/>
  <c r="K52" i="51" s="1"/>
  <c r="I52" i="51"/>
  <c r="M52" i="51" s="1"/>
  <c r="A52" i="51" s="1"/>
  <c r="B52" i="51"/>
  <c r="K51" i="51"/>
  <c r="M51" i="51" s="1"/>
  <c r="A51" i="51" s="1"/>
  <c r="J51" i="51"/>
  <c r="I51" i="51"/>
  <c r="B51" i="51"/>
  <c r="J50" i="51"/>
  <c r="K50" i="51" s="1"/>
  <c r="M50" i="51" s="1"/>
  <c r="A50" i="51" s="1"/>
  <c r="I50" i="51"/>
  <c r="B50" i="51"/>
  <c r="J49" i="51"/>
  <c r="K49" i="51" s="1"/>
  <c r="I49" i="51"/>
  <c r="B49" i="51"/>
  <c r="J48" i="51"/>
  <c r="K48" i="51" s="1"/>
  <c r="I48" i="51"/>
  <c r="M48" i="51" s="1"/>
  <c r="A48" i="51" s="1"/>
  <c r="B48" i="51"/>
  <c r="J47" i="51"/>
  <c r="K47" i="51" s="1"/>
  <c r="M47" i="51" s="1"/>
  <c r="A47" i="51" s="1"/>
  <c r="I47" i="51"/>
  <c r="B47" i="51"/>
  <c r="J46" i="51"/>
  <c r="K46" i="51" s="1"/>
  <c r="M46" i="51" s="1"/>
  <c r="A46" i="51" s="1"/>
  <c r="I46" i="51"/>
  <c r="B46" i="51"/>
  <c r="J45" i="51"/>
  <c r="K45" i="51" s="1"/>
  <c r="I45" i="51"/>
  <c r="B45" i="51"/>
  <c r="J44" i="51"/>
  <c r="K44" i="51" s="1"/>
  <c r="I44" i="51"/>
  <c r="M44" i="51" s="1"/>
  <c r="A44" i="51" s="1"/>
  <c r="B44" i="51"/>
  <c r="J43" i="51"/>
  <c r="K43" i="51" s="1"/>
  <c r="M43" i="51" s="1"/>
  <c r="A43" i="51" s="1"/>
  <c r="I43" i="51"/>
  <c r="B43" i="51"/>
  <c r="J42" i="51"/>
  <c r="K42" i="51" s="1"/>
  <c r="I42" i="51"/>
  <c r="M42" i="51" s="1"/>
  <c r="A42" i="51" s="1"/>
  <c r="B42" i="51"/>
  <c r="J41" i="51"/>
  <c r="K41" i="51" s="1"/>
  <c r="I41" i="51"/>
  <c r="B41" i="51"/>
  <c r="J40" i="51"/>
  <c r="K40" i="51" s="1"/>
  <c r="M40" i="51" s="1"/>
  <c r="A40" i="51" s="1"/>
  <c r="I40" i="51"/>
  <c r="B40" i="51"/>
  <c r="J39" i="51"/>
  <c r="K39" i="51" s="1"/>
  <c r="M39" i="51" s="1"/>
  <c r="A39" i="51" s="1"/>
  <c r="I39" i="51"/>
  <c r="B39" i="51"/>
  <c r="K38" i="51"/>
  <c r="J38" i="51"/>
  <c r="I38" i="51"/>
  <c r="M38" i="51" s="1"/>
  <c r="A38" i="51" s="1"/>
  <c r="B38" i="51"/>
  <c r="K37" i="51"/>
  <c r="M37" i="51" s="1"/>
  <c r="A37" i="51" s="1"/>
  <c r="J37" i="51"/>
  <c r="I37" i="51"/>
  <c r="B37" i="51"/>
  <c r="J36" i="51"/>
  <c r="K36" i="51" s="1"/>
  <c r="I36" i="51"/>
  <c r="M36" i="51" s="1"/>
  <c r="A36" i="51" s="1"/>
  <c r="B36" i="51"/>
  <c r="K35" i="51"/>
  <c r="M35" i="51" s="1"/>
  <c r="A35" i="51" s="1"/>
  <c r="J35" i="51"/>
  <c r="I35" i="51"/>
  <c r="B35" i="51"/>
  <c r="J34" i="51"/>
  <c r="K34" i="51" s="1"/>
  <c r="M34" i="51" s="1"/>
  <c r="A34" i="51" s="1"/>
  <c r="I34" i="51"/>
  <c r="B34" i="51"/>
  <c r="J33" i="51"/>
  <c r="K33" i="51" s="1"/>
  <c r="I33" i="51"/>
  <c r="M33" i="51" s="1"/>
  <c r="A33" i="51" s="1"/>
  <c r="B33" i="51"/>
  <c r="J32" i="51"/>
  <c r="K32" i="51" s="1"/>
  <c r="I32" i="51"/>
  <c r="M32" i="51" s="1"/>
  <c r="A32" i="51" s="1"/>
  <c r="B32" i="51"/>
  <c r="J31" i="51"/>
  <c r="K31" i="51" s="1"/>
  <c r="M31" i="51" s="1"/>
  <c r="A31" i="51" s="1"/>
  <c r="I31" i="51"/>
  <c r="B31" i="51"/>
  <c r="J30" i="51"/>
  <c r="K30" i="51" s="1"/>
  <c r="M30" i="51" s="1"/>
  <c r="A30" i="51" s="1"/>
  <c r="I30" i="51"/>
  <c r="B30" i="51"/>
  <c r="J29" i="51"/>
  <c r="K29" i="51" s="1"/>
  <c r="I29" i="51"/>
  <c r="M29" i="51" s="1"/>
  <c r="A29" i="51" s="1"/>
  <c r="B29" i="51"/>
  <c r="J28" i="51"/>
  <c r="K28" i="51" s="1"/>
  <c r="I28" i="51"/>
  <c r="M28" i="51" s="1"/>
  <c r="A28" i="51" s="1"/>
  <c r="B28" i="51"/>
  <c r="J27" i="51"/>
  <c r="K27" i="51" s="1"/>
  <c r="M27" i="51" s="1"/>
  <c r="A27" i="51" s="1"/>
  <c r="I27" i="51"/>
  <c r="B27" i="51"/>
  <c r="J26" i="51"/>
  <c r="K26" i="51" s="1"/>
  <c r="I26" i="51"/>
  <c r="B26" i="51"/>
  <c r="J25" i="51"/>
  <c r="K25" i="51" s="1"/>
  <c r="I25" i="51"/>
  <c r="M25" i="51" s="1"/>
  <c r="A25" i="51" s="1"/>
  <c r="B25" i="51"/>
  <c r="J24" i="51"/>
  <c r="K24" i="51" s="1"/>
  <c r="M24" i="51" s="1"/>
  <c r="A24" i="51" s="1"/>
  <c r="I24" i="51"/>
  <c r="B24" i="51"/>
  <c r="J23" i="51"/>
  <c r="K23" i="51" s="1"/>
  <c r="M23" i="51" s="1"/>
  <c r="A23" i="51" s="1"/>
  <c r="I23" i="51"/>
  <c r="B23" i="51"/>
  <c r="J22" i="51"/>
  <c r="K22" i="51" s="1"/>
  <c r="I22" i="51"/>
  <c r="B22" i="51"/>
  <c r="K21" i="51"/>
  <c r="M21" i="51" s="1"/>
  <c r="A21" i="51" s="1"/>
  <c r="J21" i="51"/>
  <c r="I21" i="51"/>
  <c r="B21" i="51"/>
  <c r="J20" i="51"/>
  <c r="K20" i="51" s="1"/>
  <c r="I20" i="51"/>
  <c r="M20" i="51" s="1"/>
  <c r="A20" i="51" s="1"/>
  <c r="B20" i="51"/>
  <c r="J19" i="51"/>
  <c r="K19" i="51" s="1"/>
  <c r="M19" i="51" s="1"/>
  <c r="A19" i="51" s="1"/>
  <c r="I19" i="51"/>
  <c r="B19" i="51"/>
  <c r="J18" i="51"/>
  <c r="K18" i="51" s="1"/>
  <c r="M18" i="51" s="1"/>
  <c r="A18" i="51" s="1"/>
  <c r="I18" i="51"/>
  <c r="B18" i="51"/>
  <c r="J17" i="51"/>
  <c r="K17" i="51" s="1"/>
  <c r="I17" i="51"/>
  <c r="B17" i="51"/>
  <c r="J16" i="51"/>
  <c r="K16" i="51" s="1"/>
  <c r="I16" i="51"/>
  <c r="M16" i="51" s="1"/>
  <c r="A16" i="51" s="1"/>
  <c r="B16" i="51"/>
  <c r="J15" i="51"/>
  <c r="K15" i="51" s="1"/>
  <c r="I15" i="51"/>
  <c r="M15" i="51" s="1"/>
  <c r="A15" i="51" s="1"/>
  <c r="B15" i="51"/>
  <c r="K14" i="51"/>
  <c r="M14" i="51" s="1"/>
  <c r="A14" i="51" s="1"/>
  <c r="J14" i="51"/>
  <c r="I14" i="51"/>
  <c r="B14" i="51"/>
  <c r="J13" i="51"/>
  <c r="K13" i="51" s="1"/>
  <c r="I13" i="51"/>
  <c r="B13" i="51"/>
  <c r="J12" i="51"/>
  <c r="K12" i="51" s="1"/>
  <c r="I12" i="51"/>
  <c r="B12" i="51"/>
  <c r="J11" i="51"/>
  <c r="K11" i="51" s="1"/>
  <c r="I11" i="51"/>
  <c r="M11" i="51" s="1"/>
  <c r="A11" i="51" s="1"/>
  <c r="B11" i="51"/>
  <c r="K10" i="51"/>
  <c r="M10" i="51" s="1"/>
  <c r="A10" i="51" s="1"/>
  <c r="J10" i="51"/>
  <c r="I10" i="51"/>
  <c r="B10" i="51"/>
  <c r="J9" i="51"/>
  <c r="K9" i="51" s="1"/>
  <c r="I9" i="51"/>
  <c r="M9" i="51" s="1"/>
  <c r="A9" i="51" s="1"/>
  <c r="B9" i="51"/>
  <c r="J8" i="51"/>
  <c r="K8" i="51" s="1"/>
  <c r="I8" i="51"/>
  <c r="B8" i="51"/>
  <c r="J7" i="51"/>
  <c r="K7" i="51" s="1"/>
  <c r="I7" i="51"/>
  <c r="B7" i="51"/>
  <c r="J6" i="51"/>
  <c r="K6" i="51" s="1"/>
  <c r="I6" i="51"/>
  <c r="M6" i="51" s="1"/>
  <c r="A6" i="51" s="1"/>
  <c r="B6" i="51"/>
  <c r="K2" i="51"/>
  <c r="L6" i="51" s="1"/>
  <c r="M18" i="52" l="1"/>
  <c r="A18" i="52" s="1"/>
  <c r="M23" i="52"/>
  <c r="A23" i="52" s="1"/>
  <c r="M33" i="52"/>
  <c r="A33" i="52" s="1"/>
  <c r="M55" i="52"/>
  <c r="A55" i="52" s="1"/>
  <c r="M12" i="52"/>
  <c r="A12" i="52" s="1"/>
  <c r="M21" i="52"/>
  <c r="A21" i="52" s="1"/>
  <c r="M36" i="52"/>
  <c r="A36" i="52" s="1"/>
  <c r="M43" i="52"/>
  <c r="A43" i="52" s="1"/>
  <c r="M53" i="52"/>
  <c r="A53" i="52" s="1"/>
  <c r="M14" i="52"/>
  <c r="A14" i="52" s="1"/>
  <c r="M19" i="52"/>
  <c r="A19" i="52" s="1"/>
  <c r="M29" i="52"/>
  <c r="A29" i="52" s="1"/>
  <c r="M44" i="52"/>
  <c r="A44" i="52" s="1"/>
  <c r="M51" i="52"/>
  <c r="A51" i="52" s="1"/>
  <c r="M61" i="52"/>
  <c r="A61" i="52" s="1"/>
  <c r="M15" i="52"/>
  <c r="A15" i="52" s="1"/>
  <c r="M6" i="52"/>
  <c r="A6" i="52" s="1"/>
  <c r="M11" i="52"/>
  <c r="A11" i="52" s="1"/>
  <c r="M27" i="52"/>
  <c r="A27" i="52" s="1"/>
  <c r="M37" i="52"/>
  <c r="A37" i="52" s="1"/>
  <c r="M59" i="52"/>
  <c r="A59" i="52" s="1"/>
  <c r="M9" i="52"/>
  <c r="A9" i="52" s="1"/>
  <c r="M25" i="52"/>
  <c r="A25" i="52" s="1"/>
  <c r="M40" i="52"/>
  <c r="A40" i="52" s="1"/>
  <c r="M47" i="52"/>
  <c r="A47" i="52" s="1"/>
  <c r="M57" i="52"/>
  <c r="A57" i="52" s="1"/>
  <c r="BF27" i="31"/>
  <c r="BC27" i="31"/>
  <c r="BB27" i="31"/>
  <c r="BA27" i="31"/>
  <c r="AZ27" i="31"/>
  <c r="BD27" i="31"/>
  <c r="BG27" i="31"/>
  <c r="BE27" i="31"/>
  <c r="AY27" i="31"/>
  <c r="M8" i="54"/>
  <c r="A8" i="54" s="1"/>
  <c r="M17" i="54"/>
  <c r="A17" i="54" s="1"/>
  <c r="M31" i="54"/>
  <c r="A31" i="54" s="1"/>
  <c r="M9" i="54"/>
  <c r="A9" i="54" s="1"/>
  <c r="M24" i="54"/>
  <c r="A24" i="54" s="1"/>
  <c r="M6" i="54"/>
  <c r="A6" i="54" s="1"/>
  <c r="M22" i="54"/>
  <c r="A22" i="54" s="1"/>
  <c r="M30" i="54"/>
  <c r="A30" i="54" s="1"/>
  <c r="M63" i="54"/>
  <c r="A63" i="54" s="1"/>
  <c r="L6" i="54"/>
  <c r="M59" i="54"/>
  <c r="A59" i="54" s="1"/>
  <c r="M49" i="54"/>
  <c r="A49" i="54" s="1"/>
  <c r="F27" i="31"/>
  <c r="C27" i="31" s="1" a="1"/>
  <c r="C27" i="31" s="1"/>
  <c r="M23" i="53"/>
  <c r="A23" i="53" s="1"/>
  <c r="M39" i="53"/>
  <c r="A39" i="53" s="1"/>
  <c r="M48" i="53"/>
  <c r="A48" i="53" s="1"/>
  <c r="M55" i="53"/>
  <c r="A55" i="53" s="1"/>
  <c r="M10" i="53"/>
  <c r="A10" i="53" s="1"/>
  <c r="M12" i="53"/>
  <c r="A12" i="53" s="1"/>
  <c r="L8" i="53"/>
  <c r="M8" i="53" s="1"/>
  <c r="A8" i="53" s="1"/>
  <c r="M56" i="53"/>
  <c r="A56" i="53" s="1"/>
  <c r="M63" i="53"/>
  <c r="A63" i="53" s="1"/>
  <c r="M13" i="53"/>
  <c r="A13" i="53" s="1"/>
  <c r="M17" i="53"/>
  <c r="A17" i="53" s="1"/>
  <c r="M33" i="53"/>
  <c r="A33" i="53" s="1"/>
  <c r="M9" i="53"/>
  <c r="A9" i="53" s="1"/>
  <c r="M47" i="53"/>
  <c r="A47" i="53" s="1"/>
  <c r="M59" i="53"/>
  <c r="A59" i="53" s="1"/>
  <c r="M10" i="54"/>
  <c r="A10" i="54" s="1"/>
  <c r="M25" i="54"/>
  <c r="A25" i="54" s="1"/>
  <c r="M21" i="54"/>
  <c r="A21" i="54" s="1"/>
  <c r="M41" i="54"/>
  <c r="A41" i="54" s="1"/>
  <c r="M13" i="54"/>
  <c r="A13" i="54" s="1"/>
  <c r="M25" i="53"/>
  <c r="A25" i="53" s="1"/>
  <c r="M41" i="53"/>
  <c r="A41" i="53" s="1"/>
  <c r="M50" i="53"/>
  <c r="A50" i="53" s="1"/>
  <c r="M8" i="52"/>
  <c r="A8" i="52" s="1"/>
  <c r="L7" i="52"/>
  <c r="M7" i="52" s="1"/>
  <c r="A7" i="52" s="1"/>
  <c r="L8" i="52"/>
  <c r="M13" i="51"/>
  <c r="A13" i="51" s="1"/>
  <c r="M26" i="51"/>
  <c r="A26" i="51" s="1"/>
  <c r="M41" i="51"/>
  <c r="A41" i="51" s="1"/>
  <c r="M49" i="51"/>
  <c r="A49" i="51" s="1"/>
  <c r="M7" i="51"/>
  <c r="A7" i="51" s="1"/>
  <c r="M12" i="51"/>
  <c r="A12" i="51" s="1"/>
  <c r="M17" i="51"/>
  <c r="A17" i="51" s="1"/>
  <c r="M22" i="51"/>
  <c r="A22" i="51" s="1"/>
  <c r="M45" i="51"/>
  <c r="A45" i="51" s="1"/>
  <c r="L8" i="51"/>
  <c r="M8" i="51" s="1"/>
  <c r="A8" i="51" s="1"/>
  <c r="L7" i="51"/>
  <c r="J305" i="50"/>
  <c r="K305" i="50" s="1"/>
  <c r="I305" i="50"/>
  <c r="M305" i="50" s="1"/>
  <c r="J304" i="50"/>
  <c r="K304" i="50" s="1"/>
  <c r="I304" i="50"/>
  <c r="M304" i="50" s="1"/>
  <c r="M303" i="50"/>
  <c r="J303" i="50"/>
  <c r="K303" i="50" s="1"/>
  <c r="I303" i="50"/>
  <c r="J302" i="50"/>
  <c r="K302" i="50" s="1"/>
  <c r="I302" i="50"/>
  <c r="M302" i="50" s="1"/>
  <c r="J301" i="50"/>
  <c r="K301" i="50" s="1"/>
  <c r="I301" i="50"/>
  <c r="M301" i="50" s="1"/>
  <c r="M300" i="50"/>
  <c r="J300" i="50"/>
  <c r="K300" i="50" s="1"/>
  <c r="I300" i="50"/>
  <c r="J299" i="50"/>
  <c r="K299" i="50" s="1"/>
  <c r="I299" i="50"/>
  <c r="M299" i="50" s="1"/>
  <c r="J298" i="50"/>
  <c r="K298" i="50" s="1"/>
  <c r="I298" i="50"/>
  <c r="M298" i="50" s="1"/>
  <c r="J297" i="50"/>
  <c r="K297" i="50" s="1"/>
  <c r="I297" i="50"/>
  <c r="M297" i="50" s="1"/>
  <c r="J296" i="50"/>
  <c r="K296" i="50" s="1"/>
  <c r="I296" i="50"/>
  <c r="M296" i="50" s="1"/>
  <c r="J295" i="50"/>
  <c r="K295" i="50" s="1"/>
  <c r="I295" i="50"/>
  <c r="M295" i="50" s="1"/>
  <c r="M294" i="50"/>
  <c r="J294" i="50"/>
  <c r="K294" i="50" s="1"/>
  <c r="I294" i="50"/>
  <c r="J293" i="50"/>
  <c r="K293" i="50" s="1"/>
  <c r="I293" i="50"/>
  <c r="M293" i="50" s="1"/>
  <c r="J292" i="50"/>
  <c r="K292" i="50" s="1"/>
  <c r="I292" i="50"/>
  <c r="M292" i="50" s="1"/>
  <c r="M291" i="50"/>
  <c r="J291" i="50"/>
  <c r="K291" i="50" s="1"/>
  <c r="I291" i="50"/>
  <c r="J290" i="50"/>
  <c r="K290" i="50" s="1"/>
  <c r="I290" i="50"/>
  <c r="M290" i="50" s="1"/>
  <c r="J289" i="50"/>
  <c r="K289" i="50" s="1"/>
  <c r="I289" i="50"/>
  <c r="M289" i="50" s="1"/>
  <c r="J288" i="50"/>
  <c r="K288" i="50" s="1"/>
  <c r="I288" i="50"/>
  <c r="M288" i="50" s="1"/>
  <c r="J287" i="50"/>
  <c r="K287" i="50" s="1"/>
  <c r="I287" i="50"/>
  <c r="M287" i="50" s="1"/>
  <c r="M286" i="50"/>
  <c r="J286" i="50"/>
  <c r="K286" i="50" s="1"/>
  <c r="I286" i="50"/>
  <c r="K285" i="50"/>
  <c r="J285" i="50"/>
  <c r="I285" i="50"/>
  <c r="M285" i="50" s="1"/>
  <c r="J284" i="50"/>
  <c r="K284" i="50" s="1"/>
  <c r="I284" i="50"/>
  <c r="M284" i="50" s="1"/>
  <c r="M283" i="50"/>
  <c r="J283" i="50"/>
  <c r="K283" i="50" s="1"/>
  <c r="I283" i="50"/>
  <c r="J282" i="50"/>
  <c r="K282" i="50" s="1"/>
  <c r="I282" i="50"/>
  <c r="M282" i="50" s="1"/>
  <c r="M281" i="50"/>
  <c r="J281" i="50"/>
  <c r="K281" i="50" s="1"/>
  <c r="I281" i="50"/>
  <c r="J280" i="50"/>
  <c r="K280" i="50" s="1"/>
  <c r="I280" i="50"/>
  <c r="M280" i="50" s="1"/>
  <c r="J279" i="50"/>
  <c r="K279" i="50" s="1"/>
  <c r="I279" i="50"/>
  <c r="M279" i="50" s="1"/>
  <c r="M278" i="50"/>
  <c r="J278" i="50"/>
  <c r="K278" i="50" s="1"/>
  <c r="I278" i="50"/>
  <c r="J277" i="50"/>
  <c r="K277" i="50" s="1"/>
  <c r="I277" i="50"/>
  <c r="M277" i="50" s="1"/>
  <c r="J276" i="50"/>
  <c r="K276" i="50" s="1"/>
  <c r="I276" i="50"/>
  <c r="M276" i="50" s="1"/>
  <c r="J275" i="50"/>
  <c r="K275" i="50" s="1"/>
  <c r="I275" i="50"/>
  <c r="M275" i="50" s="1"/>
  <c r="J274" i="50"/>
  <c r="K274" i="50" s="1"/>
  <c r="I274" i="50"/>
  <c r="M274" i="50" s="1"/>
  <c r="J273" i="50"/>
  <c r="K273" i="50" s="1"/>
  <c r="I273" i="50"/>
  <c r="M273" i="50" s="1"/>
  <c r="M272" i="50"/>
  <c r="J272" i="50"/>
  <c r="K272" i="50" s="1"/>
  <c r="I272" i="50"/>
  <c r="J271" i="50"/>
  <c r="K271" i="50" s="1"/>
  <c r="I271" i="50"/>
  <c r="M271" i="50" s="1"/>
  <c r="J270" i="50"/>
  <c r="K270" i="50" s="1"/>
  <c r="I270" i="50"/>
  <c r="M270" i="50" s="1"/>
  <c r="J269" i="50"/>
  <c r="K269" i="50" s="1"/>
  <c r="I269" i="50"/>
  <c r="M269" i="50" s="1"/>
  <c r="J268" i="50"/>
  <c r="K268" i="50" s="1"/>
  <c r="I268" i="50"/>
  <c r="M268" i="50" s="1"/>
  <c r="M267" i="50"/>
  <c r="J267" i="50"/>
  <c r="K267" i="50" s="1"/>
  <c r="I267" i="50"/>
  <c r="J266" i="50"/>
  <c r="K266" i="50" s="1"/>
  <c r="I266" i="50"/>
  <c r="M266" i="50" s="1"/>
  <c r="J265" i="50"/>
  <c r="K265" i="50" s="1"/>
  <c r="I265" i="50"/>
  <c r="M265" i="50" s="1"/>
  <c r="M264" i="50"/>
  <c r="J264" i="50"/>
  <c r="K264" i="50" s="1"/>
  <c r="I264" i="50"/>
  <c r="J263" i="50"/>
  <c r="K263" i="50" s="1"/>
  <c r="I263" i="50"/>
  <c r="M263" i="50" s="1"/>
  <c r="J262" i="50"/>
  <c r="K262" i="50" s="1"/>
  <c r="I262" i="50"/>
  <c r="M262" i="50" s="1"/>
  <c r="J261" i="50"/>
  <c r="K261" i="50" s="1"/>
  <c r="I261" i="50"/>
  <c r="M261" i="50" s="1"/>
  <c r="J260" i="50"/>
  <c r="K260" i="50" s="1"/>
  <c r="I260" i="50"/>
  <c r="M260" i="50" s="1"/>
  <c r="J259" i="50"/>
  <c r="K259" i="50" s="1"/>
  <c r="I259" i="50"/>
  <c r="M259" i="50" s="1"/>
  <c r="M258" i="50"/>
  <c r="J258" i="50"/>
  <c r="K258" i="50" s="1"/>
  <c r="I258" i="50"/>
  <c r="K257" i="50"/>
  <c r="J257" i="50"/>
  <c r="I257" i="50"/>
  <c r="M257" i="50" s="1"/>
  <c r="J256" i="50"/>
  <c r="K256" i="50" s="1"/>
  <c r="I256" i="50"/>
  <c r="M256" i="50" s="1"/>
  <c r="M255" i="50"/>
  <c r="J255" i="50"/>
  <c r="K255" i="50" s="1"/>
  <c r="I255" i="50"/>
  <c r="J254" i="50"/>
  <c r="K254" i="50" s="1"/>
  <c r="I254" i="50"/>
  <c r="M254" i="50" s="1"/>
  <c r="J253" i="50"/>
  <c r="K253" i="50" s="1"/>
  <c r="I253" i="50"/>
  <c r="M253" i="50" s="1"/>
  <c r="J252" i="50"/>
  <c r="K252" i="50" s="1"/>
  <c r="I252" i="50"/>
  <c r="M252" i="50" s="1"/>
  <c r="J251" i="50"/>
  <c r="K251" i="50" s="1"/>
  <c r="I251" i="50"/>
  <c r="M251" i="50" s="1"/>
  <c r="M250" i="50"/>
  <c r="J250" i="50"/>
  <c r="K250" i="50" s="1"/>
  <c r="I250" i="50"/>
  <c r="J249" i="50"/>
  <c r="K249" i="50" s="1"/>
  <c r="I249" i="50"/>
  <c r="M249" i="50" s="1"/>
  <c r="J248" i="50"/>
  <c r="K248" i="50" s="1"/>
  <c r="I248" i="50"/>
  <c r="M248" i="50" s="1"/>
  <c r="J247" i="50"/>
  <c r="K247" i="50" s="1"/>
  <c r="I247" i="50"/>
  <c r="M247" i="50" s="1"/>
  <c r="J246" i="50"/>
  <c r="K246" i="50" s="1"/>
  <c r="I246" i="50"/>
  <c r="M246" i="50" s="1"/>
  <c r="J245" i="50"/>
  <c r="K245" i="50" s="1"/>
  <c r="I245" i="50"/>
  <c r="M245" i="50" s="1"/>
  <c r="J244" i="50"/>
  <c r="K244" i="50" s="1"/>
  <c r="I244" i="50"/>
  <c r="M244" i="50" s="1"/>
  <c r="J243" i="50"/>
  <c r="K243" i="50" s="1"/>
  <c r="I243" i="50"/>
  <c r="M243" i="50" s="1"/>
  <c r="J242" i="50"/>
  <c r="K242" i="50" s="1"/>
  <c r="I242" i="50"/>
  <c r="M242" i="50" s="1"/>
  <c r="J241" i="50"/>
  <c r="K241" i="50" s="1"/>
  <c r="I241" i="50"/>
  <c r="M241" i="50" s="1"/>
  <c r="J240" i="50"/>
  <c r="K240" i="50" s="1"/>
  <c r="I240" i="50"/>
  <c r="M240" i="50" s="1"/>
  <c r="M239" i="50"/>
  <c r="J239" i="50"/>
  <c r="K239" i="50" s="1"/>
  <c r="I239" i="50"/>
  <c r="J238" i="50"/>
  <c r="K238" i="50" s="1"/>
  <c r="I238" i="50"/>
  <c r="M238" i="50" s="1"/>
  <c r="J237" i="50"/>
  <c r="K237" i="50" s="1"/>
  <c r="I237" i="50"/>
  <c r="M237" i="50" s="1"/>
  <c r="M236" i="50"/>
  <c r="J236" i="50"/>
  <c r="K236" i="50" s="1"/>
  <c r="I236" i="50"/>
  <c r="J235" i="50"/>
  <c r="K235" i="50" s="1"/>
  <c r="I235" i="50"/>
  <c r="M235" i="50" s="1"/>
  <c r="J234" i="50"/>
  <c r="K234" i="50" s="1"/>
  <c r="I234" i="50"/>
  <c r="M234" i="50" s="1"/>
  <c r="J233" i="50"/>
  <c r="K233" i="50" s="1"/>
  <c r="I233" i="50"/>
  <c r="M233" i="50" s="1"/>
  <c r="J232" i="50"/>
  <c r="K232" i="50" s="1"/>
  <c r="I232" i="50"/>
  <c r="M232" i="50" s="1"/>
  <c r="J231" i="50"/>
  <c r="K231" i="50" s="1"/>
  <c r="I231" i="50"/>
  <c r="M231" i="50" s="1"/>
  <c r="M230" i="50"/>
  <c r="J230" i="50"/>
  <c r="K230" i="50" s="1"/>
  <c r="I230" i="50"/>
  <c r="J229" i="50"/>
  <c r="K229" i="50" s="1"/>
  <c r="I229" i="50"/>
  <c r="M229" i="50" s="1"/>
  <c r="J228" i="50"/>
  <c r="K228" i="50" s="1"/>
  <c r="I228" i="50"/>
  <c r="M228" i="50" s="1"/>
  <c r="M227" i="50"/>
  <c r="J227" i="50"/>
  <c r="K227" i="50" s="1"/>
  <c r="I227" i="50"/>
  <c r="J226" i="50"/>
  <c r="K226" i="50" s="1"/>
  <c r="I226" i="50"/>
  <c r="M226" i="50" s="1"/>
  <c r="J225" i="50"/>
  <c r="K225" i="50" s="1"/>
  <c r="I225" i="50"/>
  <c r="M225" i="50" s="1"/>
  <c r="M224" i="50"/>
  <c r="J224" i="50"/>
  <c r="K224" i="50" s="1"/>
  <c r="I224" i="50"/>
  <c r="J223" i="50"/>
  <c r="K223" i="50" s="1"/>
  <c r="I223" i="50"/>
  <c r="M223" i="50" s="1"/>
  <c r="M222" i="50"/>
  <c r="J222" i="50"/>
  <c r="K222" i="50" s="1"/>
  <c r="I222" i="50"/>
  <c r="K221" i="50"/>
  <c r="J221" i="50"/>
  <c r="I221" i="50"/>
  <c r="M221" i="50" s="1"/>
  <c r="J220" i="50"/>
  <c r="K220" i="50" s="1"/>
  <c r="I220" i="50"/>
  <c r="M220" i="50" s="1"/>
  <c r="M219" i="50"/>
  <c r="J219" i="50"/>
  <c r="K219" i="50" s="1"/>
  <c r="I219" i="50"/>
  <c r="J218" i="50"/>
  <c r="K218" i="50" s="1"/>
  <c r="I218" i="50"/>
  <c r="M218" i="50" s="1"/>
  <c r="M217" i="50"/>
  <c r="J217" i="50"/>
  <c r="K217" i="50" s="1"/>
  <c r="I217" i="50"/>
  <c r="J216" i="50"/>
  <c r="K216" i="50" s="1"/>
  <c r="I216" i="50"/>
  <c r="M216" i="50" s="1"/>
  <c r="J215" i="50"/>
  <c r="K215" i="50" s="1"/>
  <c r="I215" i="50"/>
  <c r="M215" i="50" s="1"/>
  <c r="M214" i="50"/>
  <c r="J214" i="50"/>
  <c r="K214" i="50" s="1"/>
  <c r="I214" i="50"/>
  <c r="J213" i="50"/>
  <c r="K213" i="50" s="1"/>
  <c r="I213" i="50"/>
  <c r="M213" i="50" s="1"/>
  <c r="J212" i="50"/>
  <c r="K212" i="50" s="1"/>
  <c r="I212" i="50"/>
  <c r="M212" i="50" s="1"/>
  <c r="J211" i="50"/>
  <c r="K211" i="50" s="1"/>
  <c r="I211" i="50"/>
  <c r="M211" i="50" s="1"/>
  <c r="J210" i="50"/>
  <c r="K210" i="50" s="1"/>
  <c r="I210" i="50"/>
  <c r="M210" i="50" s="1"/>
  <c r="J209" i="50"/>
  <c r="K209" i="50" s="1"/>
  <c r="I209" i="50"/>
  <c r="M209" i="50" s="1"/>
  <c r="M208" i="50"/>
  <c r="J208" i="50"/>
  <c r="K208" i="50" s="1"/>
  <c r="I208" i="50"/>
  <c r="J207" i="50"/>
  <c r="K207" i="50" s="1"/>
  <c r="I207" i="50"/>
  <c r="M207" i="50" s="1"/>
  <c r="J206" i="50"/>
  <c r="K206" i="50" s="1"/>
  <c r="I206" i="50"/>
  <c r="M206" i="50" s="1"/>
  <c r="J205" i="50"/>
  <c r="K205" i="50" s="1"/>
  <c r="I205" i="50"/>
  <c r="M205" i="50" s="1"/>
  <c r="J204" i="50"/>
  <c r="K204" i="50" s="1"/>
  <c r="I204" i="50"/>
  <c r="M204" i="50" s="1"/>
  <c r="M203" i="50"/>
  <c r="J203" i="50"/>
  <c r="K203" i="50" s="1"/>
  <c r="I203" i="50"/>
  <c r="J202" i="50"/>
  <c r="K202" i="50" s="1"/>
  <c r="I202" i="50"/>
  <c r="M202" i="50" s="1"/>
  <c r="J201" i="50"/>
  <c r="K201" i="50" s="1"/>
  <c r="I201" i="50"/>
  <c r="M201" i="50" s="1"/>
  <c r="M200" i="50"/>
  <c r="J200" i="50"/>
  <c r="K200" i="50" s="1"/>
  <c r="I200" i="50"/>
  <c r="J199" i="50"/>
  <c r="K199" i="50" s="1"/>
  <c r="I199" i="50"/>
  <c r="M199" i="50" s="1"/>
  <c r="J198" i="50"/>
  <c r="K198" i="50" s="1"/>
  <c r="I198" i="50"/>
  <c r="M198" i="50" s="1"/>
  <c r="J197" i="50"/>
  <c r="K197" i="50" s="1"/>
  <c r="I197" i="50"/>
  <c r="M197" i="50" s="1"/>
  <c r="J196" i="50"/>
  <c r="K196" i="50" s="1"/>
  <c r="I196" i="50"/>
  <c r="M196" i="50" s="1"/>
  <c r="J195" i="50"/>
  <c r="K195" i="50" s="1"/>
  <c r="I195" i="50"/>
  <c r="M195" i="50" s="1"/>
  <c r="M194" i="50"/>
  <c r="J194" i="50"/>
  <c r="K194" i="50" s="1"/>
  <c r="I194" i="50"/>
  <c r="K193" i="50"/>
  <c r="J193" i="50"/>
  <c r="I193" i="50"/>
  <c r="M193" i="50" s="1"/>
  <c r="J192" i="50"/>
  <c r="K192" i="50" s="1"/>
  <c r="I192" i="50"/>
  <c r="M192" i="50" s="1"/>
  <c r="M191" i="50"/>
  <c r="J191" i="50"/>
  <c r="K191" i="50" s="1"/>
  <c r="I191" i="50"/>
  <c r="J190" i="50"/>
  <c r="K190" i="50" s="1"/>
  <c r="I190" i="50"/>
  <c r="M190" i="50" s="1"/>
  <c r="J189" i="50"/>
  <c r="K189" i="50" s="1"/>
  <c r="I189" i="50"/>
  <c r="M189" i="50" s="1"/>
  <c r="J188" i="50"/>
  <c r="K188" i="50" s="1"/>
  <c r="I188" i="50"/>
  <c r="M188" i="50" s="1"/>
  <c r="J187" i="50"/>
  <c r="K187" i="50" s="1"/>
  <c r="I187" i="50"/>
  <c r="M187" i="50" s="1"/>
  <c r="J186" i="50"/>
  <c r="K186" i="50" s="1"/>
  <c r="I186" i="50"/>
  <c r="M186" i="50" s="1"/>
  <c r="M185" i="50"/>
  <c r="J185" i="50"/>
  <c r="K185" i="50" s="1"/>
  <c r="I185" i="50"/>
  <c r="J184" i="50"/>
  <c r="K184" i="50" s="1"/>
  <c r="I184" i="50"/>
  <c r="M184" i="50" s="1"/>
  <c r="J183" i="50"/>
  <c r="K183" i="50" s="1"/>
  <c r="I183" i="50"/>
  <c r="M183" i="50" s="1"/>
  <c r="M182" i="50"/>
  <c r="J182" i="50"/>
  <c r="K182" i="50" s="1"/>
  <c r="I182" i="50"/>
  <c r="J181" i="50"/>
  <c r="K181" i="50" s="1"/>
  <c r="I181" i="50"/>
  <c r="M181" i="50" s="1"/>
  <c r="J180" i="50"/>
  <c r="K180" i="50" s="1"/>
  <c r="I180" i="50"/>
  <c r="M180" i="50" s="1"/>
  <c r="J179" i="50"/>
  <c r="K179" i="50" s="1"/>
  <c r="I179" i="50"/>
  <c r="M179" i="50" s="1"/>
  <c r="J178" i="50"/>
  <c r="K178" i="50" s="1"/>
  <c r="I178" i="50"/>
  <c r="M178" i="50" s="1"/>
  <c r="J177" i="50"/>
  <c r="K177" i="50" s="1"/>
  <c r="I177" i="50"/>
  <c r="M177" i="50" s="1"/>
  <c r="J176" i="50"/>
  <c r="K176" i="50" s="1"/>
  <c r="I176" i="50"/>
  <c r="M176" i="50" s="1"/>
  <c r="J175" i="50"/>
  <c r="K175" i="50" s="1"/>
  <c r="I175" i="50"/>
  <c r="M175" i="50" s="1"/>
  <c r="J174" i="50"/>
  <c r="K174" i="50" s="1"/>
  <c r="I174" i="50"/>
  <c r="M174" i="50" s="1"/>
  <c r="J173" i="50"/>
  <c r="K173" i="50" s="1"/>
  <c r="I173" i="50"/>
  <c r="M173" i="50" s="1"/>
  <c r="J172" i="50"/>
  <c r="K172" i="50" s="1"/>
  <c r="I172" i="50"/>
  <c r="M172" i="50" s="1"/>
  <c r="J171" i="50"/>
  <c r="K171" i="50" s="1"/>
  <c r="I171" i="50"/>
  <c r="M171" i="50" s="1"/>
  <c r="J170" i="50"/>
  <c r="K170" i="50" s="1"/>
  <c r="I170" i="50"/>
  <c r="M170" i="50" s="1"/>
  <c r="J169" i="50"/>
  <c r="K169" i="50" s="1"/>
  <c r="I169" i="50"/>
  <c r="M169" i="50" s="1"/>
  <c r="J168" i="50"/>
  <c r="K168" i="50" s="1"/>
  <c r="I168" i="50"/>
  <c r="M168" i="50" s="1"/>
  <c r="M167" i="50"/>
  <c r="J167" i="50"/>
  <c r="K167" i="50" s="1"/>
  <c r="I167" i="50"/>
  <c r="J166" i="50"/>
  <c r="K166" i="50" s="1"/>
  <c r="I166" i="50"/>
  <c r="M166" i="50" s="1"/>
  <c r="J165" i="50"/>
  <c r="K165" i="50" s="1"/>
  <c r="I165" i="50"/>
  <c r="M165" i="50" s="1"/>
  <c r="M164" i="50"/>
  <c r="J164" i="50"/>
  <c r="K164" i="50" s="1"/>
  <c r="I164" i="50"/>
  <c r="J163" i="50"/>
  <c r="K163" i="50" s="1"/>
  <c r="I163" i="50"/>
  <c r="M163" i="50" s="1"/>
  <c r="J162" i="50"/>
  <c r="K162" i="50" s="1"/>
  <c r="I162" i="50"/>
  <c r="M162" i="50" s="1"/>
  <c r="J161" i="50"/>
  <c r="K161" i="50" s="1"/>
  <c r="I161" i="50"/>
  <c r="M161" i="50" s="1"/>
  <c r="J160" i="50"/>
  <c r="K160" i="50" s="1"/>
  <c r="I160" i="50"/>
  <c r="M160" i="50" s="1"/>
  <c r="J159" i="50"/>
  <c r="K159" i="50" s="1"/>
  <c r="I159" i="50"/>
  <c r="M159" i="50" s="1"/>
  <c r="J158" i="50"/>
  <c r="K158" i="50" s="1"/>
  <c r="I158" i="50"/>
  <c r="M158" i="50" s="1"/>
  <c r="J157" i="50"/>
  <c r="K157" i="50" s="1"/>
  <c r="I157" i="50"/>
  <c r="M157" i="50" s="1"/>
  <c r="J156" i="50"/>
  <c r="K156" i="50" s="1"/>
  <c r="I156" i="50"/>
  <c r="M156" i="50" s="1"/>
  <c r="J155" i="50"/>
  <c r="K155" i="50" s="1"/>
  <c r="I155" i="50"/>
  <c r="M155" i="50" s="1"/>
  <c r="J154" i="50"/>
  <c r="K154" i="50" s="1"/>
  <c r="I154" i="50"/>
  <c r="M154" i="50" s="1"/>
  <c r="J153" i="50"/>
  <c r="K153" i="50" s="1"/>
  <c r="I153" i="50"/>
  <c r="M153" i="50" s="1"/>
  <c r="J152" i="50"/>
  <c r="K152" i="50" s="1"/>
  <c r="I152" i="50"/>
  <c r="M152" i="50" s="1"/>
  <c r="M151" i="50"/>
  <c r="J151" i="50"/>
  <c r="K151" i="50" s="1"/>
  <c r="I151" i="50"/>
  <c r="J150" i="50"/>
  <c r="K150" i="50" s="1"/>
  <c r="I150" i="50"/>
  <c r="M150" i="50" s="1"/>
  <c r="J149" i="50"/>
  <c r="K149" i="50" s="1"/>
  <c r="I149" i="50"/>
  <c r="M149" i="50" s="1"/>
  <c r="M148" i="50"/>
  <c r="J148" i="50"/>
  <c r="K148" i="50" s="1"/>
  <c r="I148" i="50"/>
  <c r="J147" i="50"/>
  <c r="K147" i="50" s="1"/>
  <c r="I147" i="50"/>
  <c r="M147" i="50" s="1"/>
  <c r="J146" i="50"/>
  <c r="K146" i="50" s="1"/>
  <c r="I146" i="50"/>
  <c r="M146" i="50" s="1"/>
  <c r="J145" i="50"/>
  <c r="K145" i="50" s="1"/>
  <c r="I145" i="50"/>
  <c r="M145" i="50" s="1"/>
  <c r="J144" i="50"/>
  <c r="K144" i="50" s="1"/>
  <c r="I144" i="50"/>
  <c r="M144" i="50" s="1"/>
  <c r="J143" i="50"/>
  <c r="K143" i="50" s="1"/>
  <c r="I143" i="50"/>
  <c r="M143" i="50" s="1"/>
  <c r="J142" i="50"/>
  <c r="K142" i="50" s="1"/>
  <c r="I142" i="50"/>
  <c r="M142" i="50" s="1"/>
  <c r="K141" i="50"/>
  <c r="J141" i="50"/>
  <c r="I141" i="50"/>
  <c r="M141" i="50" s="1"/>
  <c r="J140" i="50"/>
  <c r="K140" i="50" s="1"/>
  <c r="I140" i="50"/>
  <c r="M140" i="50" s="1"/>
  <c r="B140" i="50"/>
  <c r="A140" i="50"/>
  <c r="J139" i="50"/>
  <c r="K139" i="50" s="1"/>
  <c r="I139" i="50"/>
  <c r="M139" i="50" s="1"/>
  <c r="A139" i="50" s="1"/>
  <c r="B139" i="50"/>
  <c r="J138" i="50"/>
  <c r="K138" i="50" s="1"/>
  <c r="I138" i="50"/>
  <c r="M138" i="50" s="1"/>
  <c r="A138" i="50" s="1"/>
  <c r="B138" i="50"/>
  <c r="J137" i="50"/>
  <c r="K137" i="50" s="1"/>
  <c r="I137" i="50"/>
  <c r="M137" i="50" s="1"/>
  <c r="B137" i="50"/>
  <c r="A137" i="50"/>
  <c r="J136" i="50"/>
  <c r="K136" i="50" s="1"/>
  <c r="I136" i="50"/>
  <c r="M136" i="50" s="1"/>
  <c r="A136" i="50" s="1"/>
  <c r="B136" i="50"/>
  <c r="M135" i="50"/>
  <c r="A135" i="50" s="1"/>
  <c r="J135" i="50"/>
  <c r="K135" i="50" s="1"/>
  <c r="I135" i="50"/>
  <c r="B135" i="50"/>
  <c r="J134" i="50"/>
  <c r="K134" i="50" s="1"/>
  <c r="I134" i="50"/>
  <c r="M134" i="50" s="1"/>
  <c r="A134" i="50" s="1"/>
  <c r="B134" i="50"/>
  <c r="J133" i="50"/>
  <c r="K133" i="50" s="1"/>
  <c r="I133" i="50"/>
  <c r="M133" i="50" s="1"/>
  <c r="A133" i="50" s="1"/>
  <c r="B133" i="50"/>
  <c r="J132" i="50"/>
  <c r="K132" i="50" s="1"/>
  <c r="I132" i="50"/>
  <c r="M132" i="50" s="1"/>
  <c r="A132" i="50" s="1"/>
  <c r="B132" i="50"/>
  <c r="M131" i="50"/>
  <c r="A131" i="50" s="1"/>
  <c r="J131" i="50"/>
  <c r="K131" i="50" s="1"/>
  <c r="I131" i="50"/>
  <c r="B131" i="50"/>
  <c r="J130" i="50"/>
  <c r="K130" i="50" s="1"/>
  <c r="I130" i="50"/>
  <c r="M130" i="50" s="1"/>
  <c r="A130" i="50" s="1"/>
  <c r="B130" i="50"/>
  <c r="M129" i="50"/>
  <c r="A129" i="50" s="1"/>
  <c r="J129" i="50"/>
  <c r="K129" i="50" s="1"/>
  <c r="I129" i="50"/>
  <c r="B129" i="50"/>
  <c r="J128" i="50"/>
  <c r="K128" i="50" s="1"/>
  <c r="I128" i="50"/>
  <c r="M128" i="50" s="1"/>
  <c r="A128" i="50" s="1"/>
  <c r="B128" i="50"/>
  <c r="M127" i="50"/>
  <c r="A127" i="50" s="1"/>
  <c r="J127" i="50"/>
  <c r="K127" i="50" s="1"/>
  <c r="I127" i="50"/>
  <c r="B127" i="50"/>
  <c r="J126" i="50"/>
  <c r="K126" i="50" s="1"/>
  <c r="I126" i="50"/>
  <c r="M126" i="50" s="1"/>
  <c r="A126" i="50" s="1"/>
  <c r="B126" i="50"/>
  <c r="J125" i="50"/>
  <c r="K125" i="50" s="1"/>
  <c r="I125" i="50"/>
  <c r="M125" i="50" s="1"/>
  <c r="A125" i="50" s="1"/>
  <c r="B125" i="50"/>
  <c r="J124" i="50"/>
  <c r="K124" i="50" s="1"/>
  <c r="I124" i="50"/>
  <c r="M124" i="50" s="1"/>
  <c r="A124" i="50" s="1"/>
  <c r="B124" i="50"/>
  <c r="M123" i="50"/>
  <c r="A123" i="50" s="1"/>
  <c r="J123" i="50"/>
  <c r="K123" i="50" s="1"/>
  <c r="I123" i="50"/>
  <c r="B123" i="50"/>
  <c r="J122" i="50"/>
  <c r="K122" i="50" s="1"/>
  <c r="I122" i="50"/>
  <c r="M122" i="50" s="1"/>
  <c r="A122" i="50" s="1"/>
  <c r="B122" i="50"/>
  <c r="M121" i="50"/>
  <c r="A121" i="50" s="1"/>
  <c r="J121" i="50"/>
  <c r="K121" i="50" s="1"/>
  <c r="I121" i="50"/>
  <c r="B121" i="50"/>
  <c r="J120" i="50"/>
  <c r="K120" i="50" s="1"/>
  <c r="I120" i="50"/>
  <c r="M120" i="50" s="1"/>
  <c r="A120" i="50" s="1"/>
  <c r="B120" i="50"/>
  <c r="M119" i="50"/>
  <c r="A119" i="50" s="1"/>
  <c r="J119" i="50"/>
  <c r="K119" i="50" s="1"/>
  <c r="I119" i="50"/>
  <c r="B119" i="50"/>
  <c r="J118" i="50"/>
  <c r="K118" i="50" s="1"/>
  <c r="I118" i="50"/>
  <c r="M118" i="50" s="1"/>
  <c r="A118" i="50" s="1"/>
  <c r="B118" i="50"/>
  <c r="J117" i="50"/>
  <c r="K117" i="50" s="1"/>
  <c r="I117" i="50"/>
  <c r="M117" i="50" s="1"/>
  <c r="A117" i="50" s="1"/>
  <c r="B117" i="50"/>
  <c r="J116" i="50"/>
  <c r="K116" i="50" s="1"/>
  <c r="I116" i="50"/>
  <c r="M116" i="50" s="1"/>
  <c r="A116" i="50" s="1"/>
  <c r="B116" i="50"/>
  <c r="M115" i="50"/>
  <c r="A115" i="50" s="1"/>
  <c r="J115" i="50"/>
  <c r="K115" i="50" s="1"/>
  <c r="I115" i="50"/>
  <c r="B115" i="50"/>
  <c r="J114" i="50"/>
  <c r="K114" i="50" s="1"/>
  <c r="I114" i="50"/>
  <c r="M114" i="50" s="1"/>
  <c r="A114" i="50" s="1"/>
  <c r="B114" i="50"/>
  <c r="M113" i="50"/>
  <c r="A113" i="50" s="1"/>
  <c r="J113" i="50"/>
  <c r="K113" i="50" s="1"/>
  <c r="I113" i="50"/>
  <c r="B113" i="50"/>
  <c r="J112" i="50"/>
  <c r="K112" i="50" s="1"/>
  <c r="I112" i="50"/>
  <c r="M112" i="50" s="1"/>
  <c r="A112" i="50" s="1"/>
  <c r="B112" i="50"/>
  <c r="M111" i="50"/>
  <c r="A111" i="50" s="1"/>
  <c r="J111" i="50"/>
  <c r="K111" i="50" s="1"/>
  <c r="I111" i="50"/>
  <c r="B111" i="50"/>
  <c r="J110" i="50"/>
  <c r="K110" i="50" s="1"/>
  <c r="I110" i="50"/>
  <c r="M110" i="50" s="1"/>
  <c r="A110" i="50" s="1"/>
  <c r="B110" i="50"/>
  <c r="J109" i="50"/>
  <c r="K109" i="50" s="1"/>
  <c r="I109" i="50"/>
  <c r="M109" i="50" s="1"/>
  <c r="A109" i="50" s="1"/>
  <c r="B109" i="50"/>
  <c r="J108" i="50"/>
  <c r="K108" i="50" s="1"/>
  <c r="I108" i="50"/>
  <c r="M108" i="50" s="1"/>
  <c r="A108" i="50" s="1"/>
  <c r="B108" i="50"/>
  <c r="M107" i="50"/>
  <c r="A107" i="50" s="1"/>
  <c r="J107" i="50"/>
  <c r="K107" i="50" s="1"/>
  <c r="I107" i="50"/>
  <c r="B107" i="50"/>
  <c r="J106" i="50"/>
  <c r="K106" i="50" s="1"/>
  <c r="I106" i="50"/>
  <c r="M106" i="50" s="1"/>
  <c r="A106" i="50" s="1"/>
  <c r="B106" i="50"/>
  <c r="M105" i="50"/>
  <c r="A105" i="50" s="1"/>
  <c r="J105" i="50"/>
  <c r="K105" i="50" s="1"/>
  <c r="I105" i="50"/>
  <c r="B105" i="50"/>
  <c r="J104" i="50"/>
  <c r="K104" i="50" s="1"/>
  <c r="I104" i="50"/>
  <c r="M104" i="50" s="1"/>
  <c r="A104" i="50" s="1"/>
  <c r="B104" i="50"/>
  <c r="M103" i="50"/>
  <c r="A103" i="50" s="1"/>
  <c r="J103" i="50"/>
  <c r="K103" i="50" s="1"/>
  <c r="I103" i="50"/>
  <c r="B103" i="50"/>
  <c r="J102" i="50"/>
  <c r="K102" i="50" s="1"/>
  <c r="I102" i="50"/>
  <c r="M102" i="50" s="1"/>
  <c r="A102" i="50" s="1"/>
  <c r="B102" i="50"/>
  <c r="J101" i="50"/>
  <c r="K101" i="50" s="1"/>
  <c r="I101" i="50"/>
  <c r="M101" i="50" s="1"/>
  <c r="A101" i="50" s="1"/>
  <c r="B101" i="50"/>
  <c r="J100" i="50"/>
  <c r="K100" i="50" s="1"/>
  <c r="I100" i="50"/>
  <c r="M100" i="50" s="1"/>
  <c r="A100" i="50" s="1"/>
  <c r="B100" i="50"/>
  <c r="M99" i="50"/>
  <c r="A99" i="50" s="1"/>
  <c r="J99" i="50"/>
  <c r="K99" i="50" s="1"/>
  <c r="I99" i="50"/>
  <c r="B99" i="50"/>
  <c r="J98" i="50"/>
  <c r="K98" i="50" s="1"/>
  <c r="I98" i="50"/>
  <c r="M98" i="50" s="1"/>
  <c r="A98" i="50" s="1"/>
  <c r="B98" i="50"/>
  <c r="M97" i="50"/>
  <c r="A97" i="50" s="1"/>
  <c r="J97" i="50"/>
  <c r="K97" i="50" s="1"/>
  <c r="I97" i="50"/>
  <c r="B97" i="50"/>
  <c r="J96" i="50"/>
  <c r="K96" i="50" s="1"/>
  <c r="I96" i="50"/>
  <c r="M96" i="50" s="1"/>
  <c r="A96" i="50" s="1"/>
  <c r="B96" i="50"/>
  <c r="M95" i="50"/>
  <c r="A95" i="50" s="1"/>
  <c r="J95" i="50"/>
  <c r="K95" i="50" s="1"/>
  <c r="I95" i="50"/>
  <c r="B95" i="50"/>
  <c r="J94" i="50"/>
  <c r="K94" i="50" s="1"/>
  <c r="I94" i="50"/>
  <c r="M94" i="50" s="1"/>
  <c r="A94" i="50" s="1"/>
  <c r="B94" i="50"/>
  <c r="J93" i="50"/>
  <c r="K93" i="50" s="1"/>
  <c r="I93" i="50"/>
  <c r="M93" i="50" s="1"/>
  <c r="A93" i="50" s="1"/>
  <c r="B93" i="50"/>
  <c r="J92" i="50"/>
  <c r="K92" i="50" s="1"/>
  <c r="I92" i="50"/>
  <c r="M92" i="50" s="1"/>
  <c r="A92" i="50" s="1"/>
  <c r="B92" i="50"/>
  <c r="M91" i="50"/>
  <c r="A91" i="50" s="1"/>
  <c r="J91" i="50"/>
  <c r="K91" i="50" s="1"/>
  <c r="I91" i="50"/>
  <c r="B91" i="50"/>
  <c r="J90" i="50"/>
  <c r="K90" i="50" s="1"/>
  <c r="I90" i="50"/>
  <c r="M90" i="50" s="1"/>
  <c r="A90" i="50" s="1"/>
  <c r="B90" i="50"/>
  <c r="M89" i="50"/>
  <c r="A89" i="50" s="1"/>
  <c r="J89" i="50"/>
  <c r="K89" i="50" s="1"/>
  <c r="I89" i="50"/>
  <c r="B89" i="50"/>
  <c r="J88" i="50"/>
  <c r="K88" i="50" s="1"/>
  <c r="I88" i="50"/>
  <c r="M88" i="50" s="1"/>
  <c r="A88" i="50" s="1"/>
  <c r="B88" i="50"/>
  <c r="M87" i="50"/>
  <c r="A87" i="50" s="1"/>
  <c r="J87" i="50"/>
  <c r="K87" i="50" s="1"/>
  <c r="I87" i="50"/>
  <c r="B87" i="50"/>
  <c r="J86" i="50"/>
  <c r="K86" i="50" s="1"/>
  <c r="I86" i="50"/>
  <c r="M86" i="50" s="1"/>
  <c r="A86" i="50" s="1"/>
  <c r="B86" i="50"/>
  <c r="J85" i="50"/>
  <c r="K85" i="50" s="1"/>
  <c r="I85" i="50"/>
  <c r="M85" i="50" s="1"/>
  <c r="A85" i="50" s="1"/>
  <c r="B85" i="50"/>
  <c r="J84" i="50"/>
  <c r="K84" i="50" s="1"/>
  <c r="I84" i="50"/>
  <c r="M84" i="50" s="1"/>
  <c r="A84" i="50" s="1"/>
  <c r="B84" i="50"/>
  <c r="M83" i="50"/>
  <c r="A83" i="50" s="1"/>
  <c r="J83" i="50"/>
  <c r="K83" i="50" s="1"/>
  <c r="I83" i="50"/>
  <c r="B83" i="50"/>
  <c r="J82" i="50"/>
  <c r="K82" i="50" s="1"/>
  <c r="I82" i="50"/>
  <c r="M82" i="50" s="1"/>
  <c r="M81" i="50"/>
  <c r="A81" i="50" s="1"/>
  <c r="J81" i="50"/>
  <c r="K81" i="50" s="1"/>
  <c r="I81" i="50"/>
  <c r="B81" i="50"/>
  <c r="J80" i="50"/>
  <c r="K80" i="50" s="1"/>
  <c r="I80" i="50"/>
  <c r="M80" i="50" s="1"/>
  <c r="A80" i="50" s="1"/>
  <c r="B80" i="50"/>
  <c r="M79" i="50"/>
  <c r="A79" i="50" s="1"/>
  <c r="J79" i="50"/>
  <c r="K79" i="50" s="1"/>
  <c r="I79" i="50"/>
  <c r="B79" i="50"/>
  <c r="J78" i="50"/>
  <c r="K78" i="50" s="1"/>
  <c r="I78" i="50"/>
  <c r="M78" i="50" s="1"/>
  <c r="A78" i="50" s="1"/>
  <c r="B78" i="50"/>
  <c r="J77" i="50"/>
  <c r="K77" i="50" s="1"/>
  <c r="I77" i="50"/>
  <c r="M77" i="50" s="1"/>
  <c r="A77" i="50" s="1"/>
  <c r="B77" i="50"/>
  <c r="J76" i="50"/>
  <c r="K76" i="50" s="1"/>
  <c r="I76" i="50"/>
  <c r="M76" i="50" s="1"/>
  <c r="A76" i="50" s="1"/>
  <c r="B76" i="50"/>
  <c r="J75" i="50"/>
  <c r="K75" i="50" s="1"/>
  <c r="M75" i="50" s="1"/>
  <c r="A75" i="50" s="1"/>
  <c r="I75" i="50"/>
  <c r="B75" i="50"/>
  <c r="J74" i="50"/>
  <c r="K74" i="50" s="1"/>
  <c r="I74" i="50"/>
  <c r="M74" i="50" s="1"/>
  <c r="A74" i="50" s="1"/>
  <c r="B74" i="50"/>
  <c r="M73" i="50"/>
  <c r="A73" i="50" s="1"/>
  <c r="J73" i="50"/>
  <c r="K73" i="50" s="1"/>
  <c r="I73" i="50"/>
  <c r="B73" i="50"/>
  <c r="J72" i="50"/>
  <c r="K72" i="50" s="1"/>
  <c r="I72" i="50"/>
  <c r="M72" i="50" s="1"/>
  <c r="A72" i="50" s="1"/>
  <c r="B72" i="50"/>
  <c r="M71" i="50"/>
  <c r="A71" i="50" s="1"/>
  <c r="J71" i="50"/>
  <c r="K71" i="50" s="1"/>
  <c r="I71" i="50"/>
  <c r="B71" i="50"/>
  <c r="J70" i="50"/>
  <c r="K70" i="50" s="1"/>
  <c r="I70" i="50"/>
  <c r="M70" i="50" s="1"/>
  <c r="A70" i="50" s="1"/>
  <c r="B70" i="50"/>
  <c r="J69" i="50"/>
  <c r="K69" i="50" s="1"/>
  <c r="I69" i="50"/>
  <c r="M69" i="50" s="1"/>
  <c r="A69" i="50" s="1"/>
  <c r="B69" i="50"/>
  <c r="J68" i="50"/>
  <c r="K68" i="50" s="1"/>
  <c r="I68" i="50"/>
  <c r="M68" i="50" s="1"/>
  <c r="A68" i="50" s="1"/>
  <c r="B68" i="50"/>
  <c r="J67" i="50"/>
  <c r="K67" i="50" s="1"/>
  <c r="M67" i="50" s="1"/>
  <c r="A67" i="50" s="1"/>
  <c r="I67" i="50"/>
  <c r="B67" i="50"/>
  <c r="J66" i="50"/>
  <c r="K66" i="50" s="1"/>
  <c r="I66" i="50"/>
  <c r="M66" i="50" s="1"/>
  <c r="A66" i="50" s="1"/>
  <c r="B66" i="50"/>
  <c r="M65" i="50"/>
  <c r="A65" i="50" s="1"/>
  <c r="J65" i="50"/>
  <c r="K65" i="50" s="1"/>
  <c r="I65" i="50"/>
  <c r="B65" i="50"/>
  <c r="J64" i="50"/>
  <c r="K64" i="50" s="1"/>
  <c r="I64" i="50"/>
  <c r="M64" i="50" s="1"/>
  <c r="A64" i="50" s="1"/>
  <c r="B64" i="50"/>
  <c r="M63" i="50"/>
  <c r="A63" i="50" s="1"/>
  <c r="J63" i="50"/>
  <c r="K63" i="50" s="1"/>
  <c r="I63" i="50"/>
  <c r="B63" i="50"/>
  <c r="J62" i="50"/>
  <c r="K62" i="50" s="1"/>
  <c r="I62" i="50"/>
  <c r="B62" i="50"/>
  <c r="J61" i="50"/>
  <c r="K61" i="50" s="1"/>
  <c r="I61" i="50"/>
  <c r="M61" i="50" s="1"/>
  <c r="A61" i="50" s="1"/>
  <c r="B61" i="50"/>
  <c r="J60" i="50"/>
  <c r="K60" i="50" s="1"/>
  <c r="I60" i="50"/>
  <c r="M60" i="50" s="1"/>
  <c r="A60" i="50" s="1"/>
  <c r="B60" i="50"/>
  <c r="J59" i="50"/>
  <c r="K59" i="50" s="1"/>
  <c r="M59" i="50" s="1"/>
  <c r="A59" i="50" s="1"/>
  <c r="I59" i="50"/>
  <c r="B59" i="50"/>
  <c r="J58" i="50"/>
  <c r="K58" i="50" s="1"/>
  <c r="I58" i="50"/>
  <c r="M58" i="50" s="1"/>
  <c r="A58" i="50" s="1"/>
  <c r="B58" i="50"/>
  <c r="M57" i="50"/>
  <c r="A57" i="50" s="1"/>
  <c r="J57" i="50"/>
  <c r="K57" i="50" s="1"/>
  <c r="I57" i="50"/>
  <c r="B57" i="50"/>
  <c r="J56" i="50"/>
  <c r="K56" i="50" s="1"/>
  <c r="I56" i="50"/>
  <c r="M56" i="50" s="1"/>
  <c r="A56" i="50" s="1"/>
  <c r="B56" i="50"/>
  <c r="M55" i="50"/>
  <c r="A55" i="50" s="1"/>
  <c r="J55" i="50"/>
  <c r="K55" i="50" s="1"/>
  <c r="I55" i="50"/>
  <c r="B55" i="50"/>
  <c r="J54" i="50"/>
  <c r="K54" i="50" s="1"/>
  <c r="I54" i="50"/>
  <c r="M54" i="50" s="1"/>
  <c r="A54" i="50" s="1"/>
  <c r="B54" i="50"/>
  <c r="J53" i="50"/>
  <c r="K53" i="50" s="1"/>
  <c r="I53" i="50"/>
  <c r="M53" i="50" s="1"/>
  <c r="A53" i="50" s="1"/>
  <c r="B53" i="50"/>
  <c r="J52" i="50"/>
  <c r="K52" i="50" s="1"/>
  <c r="I52" i="50"/>
  <c r="M52" i="50" s="1"/>
  <c r="A52" i="50" s="1"/>
  <c r="B52" i="50"/>
  <c r="J51" i="50"/>
  <c r="K51" i="50" s="1"/>
  <c r="M51" i="50" s="1"/>
  <c r="A51" i="50" s="1"/>
  <c r="I51" i="50"/>
  <c r="B51" i="50"/>
  <c r="J50" i="50"/>
  <c r="K50" i="50" s="1"/>
  <c r="I50" i="50"/>
  <c r="M50" i="50" s="1"/>
  <c r="A50" i="50" s="1"/>
  <c r="B50" i="50"/>
  <c r="M49" i="50"/>
  <c r="A49" i="50" s="1"/>
  <c r="J49" i="50"/>
  <c r="K49" i="50" s="1"/>
  <c r="I49" i="50"/>
  <c r="B49" i="50"/>
  <c r="J48" i="50"/>
  <c r="K48" i="50" s="1"/>
  <c r="I48" i="50"/>
  <c r="M48" i="50" s="1"/>
  <c r="A48" i="50" s="1"/>
  <c r="B48" i="50"/>
  <c r="M47" i="50"/>
  <c r="A47" i="50" s="1"/>
  <c r="J47" i="50"/>
  <c r="K47" i="50" s="1"/>
  <c r="I47" i="50"/>
  <c r="B47" i="50"/>
  <c r="J46" i="50"/>
  <c r="K46" i="50" s="1"/>
  <c r="I46" i="50"/>
  <c r="M46" i="50" s="1"/>
  <c r="A46" i="50" s="1"/>
  <c r="B46" i="50"/>
  <c r="J45" i="50"/>
  <c r="K45" i="50" s="1"/>
  <c r="I45" i="50"/>
  <c r="M45" i="50" s="1"/>
  <c r="A45" i="50" s="1"/>
  <c r="B45" i="50"/>
  <c r="J44" i="50"/>
  <c r="K44" i="50" s="1"/>
  <c r="I44" i="50"/>
  <c r="M44" i="50" s="1"/>
  <c r="A44" i="50" s="1"/>
  <c r="B44" i="50"/>
  <c r="J43" i="50"/>
  <c r="K43" i="50" s="1"/>
  <c r="M43" i="50" s="1"/>
  <c r="A43" i="50" s="1"/>
  <c r="I43" i="50"/>
  <c r="B43" i="50"/>
  <c r="J42" i="50"/>
  <c r="K42" i="50" s="1"/>
  <c r="I42" i="50"/>
  <c r="M42" i="50" s="1"/>
  <c r="A42" i="50" s="1"/>
  <c r="B42" i="50"/>
  <c r="M41" i="50"/>
  <c r="A41" i="50" s="1"/>
  <c r="J41" i="50"/>
  <c r="K41" i="50" s="1"/>
  <c r="I41" i="50"/>
  <c r="B41" i="50"/>
  <c r="J40" i="50"/>
  <c r="K40" i="50" s="1"/>
  <c r="I40" i="50"/>
  <c r="M40" i="50" s="1"/>
  <c r="A40" i="50" s="1"/>
  <c r="B40" i="50"/>
  <c r="M39" i="50"/>
  <c r="A39" i="50" s="1"/>
  <c r="J39" i="50"/>
  <c r="K39" i="50" s="1"/>
  <c r="I39" i="50"/>
  <c r="B39" i="50"/>
  <c r="J38" i="50"/>
  <c r="K38" i="50" s="1"/>
  <c r="I38" i="50"/>
  <c r="M38" i="50" s="1"/>
  <c r="A38" i="50" s="1"/>
  <c r="B38" i="50"/>
  <c r="J37" i="50"/>
  <c r="K37" i="50" s="1"/>
  <c r="I37" i="50"/>
  <c r="M37" i="50" s="1"/>
  <c r="A37" i="50" s="1"/>
  <c r="B37" i="50"/>
  <c r="J36" i="50"/>
  <c r="K36" i="50" s="1"/>
  <c r="I36" i="50"/>
  <c r="B36" i="50"/>
  <c r="J35" i="50"/>
  <c r="K35" i="50" s="1"/>
  <c r="I35" i="50"/>
  <c r="B35" i="50"/>
  <c r="J34" i="50"/>
  <c r="K34" i="50" s="1"/>
  <c r="I34" i="50"/>
  <c r="B34" i="50"/>
  <c r="J33" i="50"/>
  <c r="K33" i="50" s="1"/>
  <c r="I33" i="50"/>
  <c r="M33" i="50" s="1"/>
  <c r="A33" i="50" s="1"/>
  <c r="B33" i="50"/>
  <c r="J32" i="50"/>
  <c r="K32" i="50" s="1"/>
  <c r="I32" i="50"/>
  <c r="B32" i="50"/>
  <c r="J31" i="50"/>
  <c r="K31" i="50" s="1"/>
  <c r="I31" i="50"/>
  <c r="B31" i="50"/>
  <c r="J30" i="50"/>
  <c r="K30" i="50" s="1"/>
  <c r="M30" i="50" s="1"/>
  <c r="A30" i="50" s="1"/>
  <c r="I30" i="50"/>
  <c r="B30" i="50"/>
  <c r="J29" i="50"/>
  <c r="K29" i="50" s="1"/>
  <c r="I29" i="50"/>
  <c r="M29" i="50" s="1"/>
  <c r="B29" i="50"/>
  <c r="A29" i="50"/>
  <c r="J28" i="50"/>
  <c r="K28" i="50" s="1"/>
  <c r="I28" i="50"/>
  <c r="B28" i="50"/>
  <c r="J27" i="50"/>
  <c r="K27" i="50" s="1"/>
  <c r="M27" i="50" s="1"/>
  <c r="A27" i="50" s="1"/>
  <c r="I27" i="50"/>
  <c r="B27" i="50"/>
  <c r="J26" i="50"/>
  <c r="K26" i="50" s="1"/>
  <c r="I26" i="50"/>
  <c r="M26" i="50" s="1"/>
  <c r="A26" i="50" s="1"/>
  <c r="B26" i="50"/>
  <c r="M25" i="50"/>
  <c r="A25" i="50" s="1"/>
  <c r="J25" i="50"/>
  <c r="K25" i="50" s="1"/>
  <c r="I25" i="50"/>
  <c r="B25" i="50"/>
  <c r="J24" i="50"/>
  <c r="K24" i="50" s="1"/>
  <c r="I24" i="50"/>
  <c r="B24" i="50"/>
  <c r="J23" i="50"/>
  <c r="K23" i="50" s="1"/>
  <c r="I23" i="50"/>
  <c r="B23" i="50"/>
  <c r="K22" i="50"/>
  <c r="J22" i="50"/>
  <c r="I22" i="50"/>
  <c r="B22" i="50"/>
  <c r="J21" i="50"/>
  <c r="K21" i="50" s="1"/>
  <c r="I21" i="50"/>
  <c r="M21" i="50" s="1"/>
  <c r="A21" i="50" s="1"/>
  <c r="B21" i="50"/>
  <c r="J20" i="50"/>
  <c r="K20" i="50" s="1"/>
  <c r="I20" i="50"/>
  <c r="B20" i="50"/>
  <c r="J19" i="50"/>
  <c r="K19" i="50" s="1"/>
  <c r="I19" i="50"/>
  <c r="B19" i="50"/>
  <c r="J18" i="50"/>
  <c r="K18" i="50" s="1"/>
  <c r="I18" i="50"/>
  <c r="B18" i="50"/>
  <c r="J17" i="50"/>
  <c r="K17" i="50" s="1"/>
  <c r="I17" i="50"/>
  <c r="B17" i="50"/>
  <c r="AI16" i="50"/>
  <c r="J16" i="50"/>
  <c r="K16" i="50" s="1"/>
  <c r="I16" i="50"/>
  <c r="B16" i="50"/>
  <c r="K15" i="50"/>
  <c r="J15" i="50"/>
  <c r="I15" i="50"/>
  <c r="B15" i="50"/>
  <c r="AI14" i="50"/>
  <c r="J14" i="50"/>
  <c r="K14" i="50" s="1"/>
  <c r="I14" i="50"/>
  <c r="B14" i="50"/>
  <c r="AI13" i="50"/>
  <c r="J13" i="50"/>
  <c r="K13" i="50" s="1"/>
  <c r="I13" i="50"/>
  <c r="M13" i="50" s="1"/>
  <c r="A13" i="50" s="1"/>
  <c r="B13" i="50"/>
  <c r="AI12" i="50"/>
  <c r="J12" i="50"/>
  <c r="K12" i="50" s="1"/>
  <c r="I12" i="50"/>
  <c r="B12" i="50"/>
  <c r="J11" i="50"/>
  <c r="K11" i="50" s="1"/>
  <c r="I11" i="50"/>
  <c r="B11" i="50"/>
  <c r="J10" i="50"/>
  <c r="K10" i="50" s="1"/>
  <c r="I10" i="50"/>
  <c r="B10" i="50"/>
  <c r="J9" i="50"/>
  <c r="K9" i="50" s="1"/>
  <c r="I9" i="50"/>
  <c r="B9" i="50"/>
  <c r="J8" i="50"/>
  <c r="K8" i="50" s="1"/>
  <c r="I8" i="50"/>
  <c r="B8" i="50"/>
  <c r="J7" i="50"/>
  <c r="K7" i="50" s="1"/>
  <c r="I7" i="50"/>
  <c r="B7" i="50"/>
  <c r="J6" i="50"/>
  <c r="K6" i="50" s="1"/>
  <c r="I6" i="50"/>
  <c r="B6" i="50"/>
  <c r="K2" i="50"/>
  <c r="L6" i="50" s="1"/>
  <c r="M20" i="20"/>
  <c r="J20" i="20"/>
  <c r="K20" i="20" s="1"/>
  <c r="I20" i="20"/>
  <c r="A20" i="20" s="1"/>
  <c r="B20" i="20"/>
  <c r="B32" i="46"/>
  <c r="A32" i="46"/>
  <c r="B8" i="46"/>
  <c r="A8" i="46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A9" i="45"/>
  <c r="A8" i="45"/>
  <c r="A7" i="45"/>
  <c r="A6" i="45"/>
  <c r="B51" i="45"/>
  <c r="B50" i="45"/>
  <c r="B49" i="45"/>
  <c r="B48" i="45"/>
  <c r="B47" i="45"/>
  <c r="B46" i="45"/>
  <c r="B45" i="45"/>
  <c r="B44" i="45"/>
  <c r="B43" i="45"/>
  <c r="B42" i="45"/>
  <c r="B41" i="45"/>
  <c r="B40" i="45"/>
  <c r="B39" i="45"/>
  <c r="B38" i="45"/>
  <c r="B37" i="45"/>
  <c r="B36" i="45"/>
  <c r="B35" i="45"/>
  <c r="B34" i="45"/>
  <c r="B33" i="45"/>
  <c r="B32" i="45"/>
  <c r="B31" i="45"/>
  <c r="B30" i="45"/>
  <c r="B29" i="45"/>
  <c r="B28" i="45"/>
  <c r="B27" i="45"/>
  <c r="B26" i="45"/>
  <c r="B25" i="45"/>
  <c r="B24" i="45"/>
  <c r="B23" i="45"/>
  <c r="B22" i="45"/>
  <c r="B21" i="45"/>
  <c r="B20" i="45"/>
  <c r="B19" i="45"/>
  <c r="B18" i="45"/>
  <c r="B17" i="45"/>
  <c r="B16" i="45"/>
  <c r="B15" i="45"/>
  <c r="B14" i="45"/>
  <c r="B13" i="45"/>
  <c r="B12" i="45"/>
  <c r="B11" i="45"/>
  <c r="B10" i="45"/>
  <c r="B9" i="45"/>
  <c r="B8" i="45"/>
  <c r="B7" i="45"/>
  <c r="B6" i="45"/>
  <c r="B10" i="42"/>
  <c r="B9" i="42"/>
  <c r="B8" i="42"/>
  <c r="B7" i="42"/>
  <c r="B6" i="42"/>
  <c r="B16" i="42"/>
  <c r="B13" i="41"/>
  <c r="B12" i="41"/>
  <c r="B11" i="41"/>
  <c r="B10" i="41"/>
  <c r="B9" i="41"/>
  <c r="B8" i="41"/>
  <c r="B7" i="41"/>
  <c r="B6" i="41"/>
  <c r="B22" i="41"/>
  <c r="B21" i="41"/>
  <c r="B20" i="41"/>
  <c r="B19" i="41"/>
  <c r="B18" i="41"/>
  <c r="B15" i="41"/>
  <c r="B14" i="41"/>
  <c r="A26" i="41"/>
  <c r="A25" i="41"/>
  <c r="A24" i="41"/>
  <c r="A23" i="41"/>
  <c r="A22" i="41"/>
  <c r="A21" i="41"/>
  <c r="A20" i="41"/>
  <c r="A19" i="41"/>
  <c r="A18" i="41"/>
  <c r="A15" i="41"/>
  <c r="A14" i="41"/>
  <c r="A13" i="41"/>
  <c r="A12" i="41"/>
  <c r="A11" i="41"/>
  <c r="A10" i="41"/>
  <c r="A9" i="41"/>
  <c r="A8" i="41"/>
  <c r="A7" i="41"/>
  <c r="AS27" i="31" l="1"/>
  <c r="AR27" i="31"/>
  <c r="AT27" i="31"/>
  <c r="AW27" i="31"/>
  <c r="AU27" i="31"/>
  <c r="AV27" i="31"/>
  <c r="AN27" i="31" a="1"/>
  <c r="AN27" i="31" s="1"/>
  <c r="AM27" i="31" a="1"/>
  <c r="AM27" i="31" s="1"/>
  <c r="M62" i="50"/>
  <c r="A62" i="50" s="1"/>
  <c r="M6" i="50"/>
  <c r="A6" i="50" s="1"/>
  <c r="L9" i="50"/>
  <c r="M9" i="50" s="1"/>
  <c r="A9" i="50" s="1"/>
  <c r="M28" i="50"/>
  <c r="A28" i="50" s="1"/>
  <c r="L8" i="50"/>
  <c r="M8" i="50" s="1"/>
  <c r="A8" i="50" s="1"/>
  <c r="M24" i="50"/>
  <c r="A24" i="50" s="1"/>
  <c r="M7" i="50"/>
  <c r="A7" i="50" s="1"/>
  <c r="M11" i="50"/>
  <c r="A11" i="50" s="1"/>
  <c r="M17" i="50"/>
  <c r="A17" i="50" s="1"/>
  <c r="M14" i="50"/>
  <c r="A14" i="50" s="1"/>
  <c r="M23" i="50"/>
  <c r="A23" i="50" s="1"/>
  <c r="M35" i="50"/>
  <c r="A35" i="50" s="1"/>
  <c r="M10" i="50"/>
  <c r="A10" i="50" s="1"/>
  <c r="M36" i="50"/>
  <c r="A36" i="50" s="1"/>
  <c r="M22" i="50"/>
  <c r="A22" i="50" s="1"/>
  <c r="M16" i="50"/>
  <c r="A16" i="50" s="1"/>
  <c r="M19" i="50"/>
  <c r="A19" i="50" s="1"/>
  <c r="M31" i="50"/>
  <c r="A31" i="50" s="1"/>
  <c r="M15" i="50"/>
  <c r="A15" i="50" s="1"/>
  <c r="L7" i="50"/>
  <c r="M20" i="50"/>
  <c r="A20" i="50" s="1"/>
  <c r="M32" i="50"/>
  <c r="A32" i="50" s="1"/>
  <c r="M34" i="50"/>
  <c r="A34" i="50" s="1"/>
  <c r="M12" i="50"/>
  <c r="A12" i="50" s="1"/>
  <c r="M18" i="50"/>
  <c r="A18" i="50" s="1"/>
  <c r="B69" i="38"/>
  <c r="B68" i="38"/>
  <c r="B67" i="38"/>
  <c r="B66" i="38"/>
  <c r="W26" i="31"/>
  <c r="W30" i="31"/>
  <c r="W23" i="31"/>
  <c r="W15" i="31"/>
  <c r="W10" i="31"/>
  <c r="W29" i="31"/>
  <c r="W19" i="31"/>
  <c r="W17" i="31"/>
  <c r="W28" i="31"/>
  <c r="W20" i="31"/>
  <c r="W6" i="31"/>
  <c r="W14" i="31"/>
  <c r="W11" i="31"/>
  <c r="W13" i="31"/>
  <c r="W21" i="31"/>
  <c r="W12" i="31"/>
  <c r="W16" i="31"/>
  <c r="W9" i="31"/>
  <c r="W7" i="31"/>
  <c r="W8" i="31"/>
  <c r="B15" i="42"/>
  <c r="B14" i="42"/>
  <c r="B13" i="42"/>
  <c r="B12" i="42"/>
  <c r="B21" i="20"/>
  <c r="B19" i="20"/>
  <c r="B18" i="20"/>
  <c r="B17" i="20"/>
  <c r="B16" i="20"/>
  <c r="B15" i="20"/>
  <c r="B12" i="20"/>
  <c r="AO27" i="31" l="1" a="1"/>
  <c r="AO27" i="31" s="1"/>
  <c r="AP27" i="31" a="1"/>
  <c r="AP27" i="31" s="1"/>
  <c r="D27" i="31" s="1"/>
  <c r="J9" i="18"/>
  <c r="K9" i="18" s="1"/>
  <c r="I9" i="18"/>
  <c r="J8" i="18"/>
  <c r="K8" i="18" s="1"/>
  <c r="I8" i="18"/>
  <c r="M9" i="18" l="1"/>
  <c r="AC19" i="31"/>
  <c r="AC29" i="31"/>
  <c r="AC17" i="31"/>
  <c r="AC11" i="31"/>
  <c r="AC30" i="31"/>
  <c r="AC26" i="31"/>
  <c r="AC15" i="31"/>
  <c r="AC13" i="31"/>
  <c r="AC28" i="31"/>
  <c r="AC16" i="31"/>
  <c r="AC6" i="31"/>
  <c r="AC23" i="31"/>
  <c r="AC12" i="31"/>
  <c r="AC14" i="31"/>
  <c r="AC9" i="31"/>
  <c r="AC20" i="31"/>
  <c r="AC21" i="31"/>
  <c r="AC10" i="31"/>
  <c r="AC7" i="31"/>
  <c r="AC8" i="31"/>
  <c r="J305" i="46"/>
  <c r="K305" i="46" s="1"/>
  <c r="I305" i="46"/>
  <c r="M305" i="46" s="1"/>
  <c r="J304" i="46"/>
  <c r="K304" i="46" s="1"/>
  <c r="I304" i="46"/>
  <c r="M304" i="46" s="1"/>
  <c r="J303" i="46"/>
  <c r="K303" i="46" s="1"/>
  <c r="I303" i="46"/>
  <c r="M303" i="46" s="1"/>
  <c r="J302" i="46"/>
  <c r="K302" i="46" s="1"/>
  <c r="I302" i="46"/>
  <c r="M302" i="46" s="1"/>
  <c r="J301" i="46"/>
  <c r="K301" i="46" s="1"/>
  <c r="I301" i="46"/>
  <c r="M301" i="46" s="1"/>
  <c r="J300" i="46"/>
  <c r="K300" i="46" s="1"/>
  <c r="I300" i="46"/>
  <c r="M300" i="46" s="1"/>
  <c r="J299" i="46"/>
  <c r="K299" i="46" s="1"/>
  <c r="I299" i="46"/>
  <c r="M299" i="46" s="1"/>
  <c r="J298" i="46"/>
  <c r="K298" i="46" s="1"/>
  <c r="I298" i="46"/>
  <c r="M298" i="46" s="1"/>
  <c r="J297" i="46"/>
  <c r="K297" i="46" s="1"/>
  <c r="I297" i="46"/>
  <c r="M297" i="46" s="1"/>
  <c r="M296" i="46"/>
  <c r="J296" i="46"/>
  <c r="K296" i="46" s="1"/>
  <c r="I296" i="46"/>
  <c r="J295" i="46"/>
  <c r="K295" i="46" s="1"/>
  <c r="I295" i="46"/>
  <c r="M295" i="46" s="1"/>
  <c r="J294" i="46"/>
  <c r="K294" i="46" s="1"/>
  <c r="I294" i="46"/>
  <c r="M294" i="46" s="1"/>
  <c r="J293" i="46"/>
  <c r="K293" i="46" s="1"/>
  <c r="I293" i="46"/>
  <c r="M293" i="46" s="1"/>
  <c r="J292" i="46"/>
  <c r="K292" i="46" s="1"/>
  <c r="I292" i="46"/>
  <c r="M292" i="46" s="1"/>
  <c r="J291" i="46"/>
  <c r="K291" i="46" s="1"/>
  <c r="I291" i="46"/>
  <c r="M291" i="46" s="1"/>
  <c r="J290" i="46"/>
  <c r="K290" i="46" s="1"/>
  <c r="I290" i="46"/>
  <c r="M290" i="46" s="1"/>
  <c r="J289" i="46"/>
  <c r="K289" i="46" s="1"/>
  <c r="I289" i="46"/>
  <c r="M289" i="46" s="1"/>
  <c r="J288" i="46"/>
  <c r="K288" i="46" s="1"/>
  <c r="I288" i="46"/>
  <c r="M288" i="46" s="1"/>
  <c r="J287" i="46"/>
  <c r="K287" i="46" s="1"/>
  <c r="I287" i="46"/>
  <c r="M287" i="46" s="1"/>
  <c r="J286" i="46"/>
  <c r="K286" i="46" s="1"/>
  <c r="I286" i="46"/>
  <c r="M286" i="46" s="1"/>
  <c r="J285" i="46"/>
  <c r="K285" i="46" s="1"/>
  <c r="I285" i="46"/>
  <c r="M285" i="46" s="1"/>
  <c r="J284" i="46"/>
  <c r="K284" i="46" s="1"/>
  <c r="I284" i="46"/>
  <c r="M284" i="46" s="1"/>
  <c r="J283" i="46"/>
  <c r="K283" i="46" s="1"/>
  <c r="I283" i="46"/>
  <c r="M283" i="46" s="1"/>
  <c r="J282" i="46"/>
  <c r="K282" i="46" s="1"/>
  <c r="I282" i="46"/>
  <c r="M282" i="46" s="1"/>
  <c r="J281" i="46"/>
  <c r="K281" i="46" s="1"/>
  <c r="I281" i="46"/>
  <c r="M281" i="46" s="1"/>
  <c r="J280" i="46"/>
  <c r="K280" i="46" s="1"/>
  <c r="I280" i="46"/>
  <c r="M280" i="46" s="1"/>
  <c r="J279" i="46"/>
  <c r="K279" i="46" s="1"/>
  <c r="I279" i="46"/>
  <c r="M279" i="46" s="1"/>
  <c r="J278" i="46"/>
  <c r="K278" i="46" s="1"/>
  <c r="I278" i="46"/>
  <c r="M278" i="46" s="1"/>
  <c r="J277" i="46"/>
  <c r="K277" i="46" s="1"/>
  <c r="I277" i="46"/>
  <c r="M277" i="46" s="1"/>
  <c r="J276" i="46"/>
  <c r="K276" i="46" s="1"/>
  <c r="I276" i="46"/>
  <c r="M276" i="46" s="1"/>
  <c r="J275" i="46"/>
  <c r="K275" i="46" s="1"/>
  <c r="I275" i="46"/>
  <c r="M275" i="46" s="1"/>
  <c r="J274" i="46"/>
  <c r="K274" i="46" s="1"/>
  <c r="I274" i="46"/>
  <c r="M274" i="46" s="1"/>
  <c r="J273" i="46"/>
  <c r="K273" i="46" s="1"/>
  <c r="I273" i="46"/>
  <c r="M273" i="46" s="1"/>
  <c r="J272" i="46"/>
  <c r="K272" i="46" s="1"/>
  <c r="I272" i="46"/>
  <c r="M272" i="46" s="1"/>
  <c r="J271" i="46"/>
  <c r="K271" i="46" s="1"/>
  <c r="I271" i="46"/>
  <c r="M271" i="46" s="1"/>
  <c r="J270" i="46"/>
  <c r="K270" i="46" s="1"/>
  <c r="I270" i="46"/>
  <c r="M270" i="46" s="1"/>
  <c r="J269" i="46"/>
  <c r="K269" i="46" s="1"/>
  <c r="I269" i="46"/>
  <c r="M269" i="46" s="1"/>
  <c r="J268" i="46"/>
  <c r="K268" i="46" s="1"/>
  <c r="I268" i="46"/>
  <c r="M268" i="46" s="1"/>
  <c r="J267" i="46"/>
  <c r="K267" i="46" s="1"/>
  <c r="I267" i="46"/>
  <c r="M267" i="46" s="1"/>
  <c r="J266" i="46"/>
  <c r="K266" i="46" s="1"/>
  <c r="I266" i="46"/>
  <c r="M266" i="46" s="1"/>
  <c r="J265" i="46"/>
  <c r="K265" i="46" s="1"/>
  <c r="I265" i="46"/>
  <c r="M265" i="46" s="1"/>
  <c r="J264" i="46"/>
  <c r="K264" i="46" s="1"/>
  <c r="I264" i="46"/>
  <c r="M264" i="46" s="1"/>
  <c r="J263" i="46"/>
  <c r="K263" i="46" s="1"/>
  <c r="I263" i="46"/>
  <c r="M263" i="46" s="1"/>
  <c r="M262" i="46"/>
  <c r="J262" i="46"/>
  <c r="K262" i="46" s="1"/>
  <c r="I262" i="46"/>
  <c r="J261" i="46"/>
  <c r="K261" i="46" s="1"/>
  <c r="I261" i="46"/>
  <c r="M261" i="46" s="1"/>
  <c r="J260" i="46"/>
  <c r="K260" i="46" s="1"/>
  <c r="I260" i="46"/>
  <c r="M260" i="46" s="1"/>
  <c r="J259" i="46"/>
  <c r="K259" i="46" s="1"/>
  <c r="I259" i="46"/>
  <c r="M259" i="46" s="1"/>
  <c r="J258" i="46"/>
  <c r="K258" i="46" s="1"/>
  <c r="I258" i="46"/>
  <c r="M258" i="46" s="1"/>
  <c r="J257" i="46"/>
  <c r="K257" i="46" s="1"/>
  <c r="I257" i="46"/>
  <c r="M257" i="46" s="1"/>
  <c r="J256" i="46"/>
  <c r="K256" i="46" s="1"/>
  <c r="I256" i="46"/>
  <c r="M256" i="46" s="1"/>
  <c r="J255" i="46"/>
  <c r="K255" i="46" s="1"/>
  <c r="I255" i="46"/>
  <c r="M255" i="46" s="1"/>
  <c r="J254" i="46"/>
  <c r="K254" i="46" s="1"/>
  <c r="I254" i="46"/>
  <c r="M254" i="46" s="1"/>
  <c r="J253" i="46"/>
  <c r="K253" i="46" s="1"/>
  <c r="I253" i="46"/>
  <c r="M253" i="46" s="1"/>
  <c r="J252" i="46"/>
  <c r="K252" i="46" s="1"/>
  <c r="I252" i="46"/>
  <c r="M252" i="46" s="1"/>
  <c r="J251" i="46"/>
  <c r="K251" i="46" s="1"/>
  <c r="I251" i="46"/>
  <c r="M251" i="46" s="1"/>
  <c r="J250" i="46"/>
  <c r="K250" i="46" s="1"/>
  <c r="I250" i="46"/>
  <c r="M250" i="46" s="1"/>
  <c r="J249" i="46"/>
  <c r="K249" i="46" s="1"/>
  <c r="I249" i="46"/>
  <c r="M249" i="46" s="1"/>
  <c r="J248" i="46"/>
  <c r="K248" i="46" s="1"/>
  <c r="I248" i="46"/>
  <c r="M248" i="46" s="1"/>
  <c r="J247" i="46"/>
  <c r="K247" i="46" s="1"/>
  <c r="I247" i="46"/>
  <c r="M247" i="46" s="1"/>
  <c r="J246" i="46"/>
  <c r="K246" i="46" s="1"/>
  <c r="I246" i="46"/>
  <c r="M246" i="46" s="1"/>
  <c r="J245" i="46"/>
  <c r="K245" i="46" s="1"/>
  <c r="I245" i="46"/>
  <c r="M245" i="46" s="1"/>
  <c r="J244" i="46"/>
  <c r="K244" i="46" s="1"/>
  <c r="I244" i="46"/>
  <c r="M244" i="46" s="1"/>
  <c r="J243" i="46"/>
  <c r="K243" i="46" s="1"/>
  <c r="I243" i="46"/>
  <c r="M243" i="46" s="1"/>
  <c r="J242" i="46"/>
  <c r="K242" i="46" s="1"/>
  <c r="I242" i="46"/>
  <c r="M242" i="46" s="1"/>
  <c r="J241" i="46"/>
  <c r="K241" i="46" s="1"/>
  <c r="I241" i="46"/>
  <c r="M241" i="46" s="1"/>
  <c r="J240" i="46"/>
  <c r="K240" i="46" s="1"/>
  <c r="I240" i="46"/>
  <c r="M240" i="46" s="1"/>
  <c r="J239" i="46"/>
  <c r="K239" i="46" s="1"/>
  <c r="I239" i="46"/>
  <c r="M239" i="46" s="1"/>
  <c r="J238" i="46"/>
  <c r="K238" i="46" s="1"/>
  <c r="I238" i="46"/>
  <c r="M238" i="46" s="1"/>
  <c r="J237" i="46"/>
  <c r="K237" i="46" s="1"/>
  <c r="I237" i="46"/>
  <c r="M237" i="46" s="1"/>
  <c r="J236" i="46"/>
  <c r="K236" i="46" s="1"/>
  <c r="I236" i="46"/>
  <c r="M236" i="46" s="1"/>
  <c r="J235" i="46"/>
  <c r="K235" i="46" s="1"/>
  <c r="I235" i="46"/>
  <c r="M235" i="46" s="1"/>
  <c r="J234" i="46"/>
  <c r="K234" i="46" s="1"/>
  <c r="I234" i="46"/>
  <c r="M234" i="46" s="1"/>
  <c r="J233" i="46"/>
  <c r="K233" i="46" s="1"/>
  <c r="I233" i="46"/>
  <c r="M233" i="46" s="1"/>
  <c r="M232" i="46"/>
  <c r="J232" i="46"/>
  <c r="K232" i="46" s="1"/>
  <c r="I232" i="46"/>
  <c r="J231" i="46"/>
  <c r="K231" i="46" s="1"/>
  <c r="I231" i="46"/>
  <c r="M231" i="46" s="1"/>
  <c r="J230" i="46"/>
  <c r="K230" i="46" s="1"/>
  <c r="I230" i="46"/>
  <c r="M230" i="46" s="1"/>
  <c r="J229" i="46"/>
  <c r="K229" i="46" s="1"/>
  <c r="I229" i="46"/>
  <c r="M229" i="46" s="1"/>
  <c r="J228" i="46"/>
  <c r="K228" i="46" s="1"/>
  <c r="I228" i="46"/>
  <c r="M228" i="46" s="1"/>
  <c r="J227" i="46"/>
  <c r="K227" i="46" s="1"/>
  <c r="I227" i="46"/>
  <c r="M227" i="46" s="1"/>
  <c r="M226" i="46"/>
  <c r="J226" i="46"/>
  <c r="K226" i="46" s="1"/>
  <c r="I226" i="46"/>
  <c r="J225" i="46"/>
  <c r="K225" i="46" s="1"/>
  <c r="I225" i="46"/>
  <c r="M225" i="46" s="1"/>
  <c r="J224" i="46"/>
  <c r="K224" i="46" s="1"/>
  <c r="I224" i="46"/>
  <c r="M224" i="46" s="1"/>
  <c r="J223" i="46"/>
  <c r="K223" i="46" s="1"/>
  <c r="I223" i="46"/>
  <c r="M223" i="46" s="1"/>
  <c r="J222" i="46"/>
  <c r="K222" i="46" s="1"/>
  <c r="I222" i="46"/>
  <c r="M222" i="46" s="1"/>
  <c r="J221" i="46"/>
  <c r="K221" i="46" s="1"/>
  <c r="I221" i="46"/>
  <c r="M221" i="46" s="1"/>
  <c r="J220" i="46"/>
  <c r="K220" i="46" s="1"/>
  <c r="I220" i="46"/>
  <c r="M220" i="46" s="1"/>
  <c r="J219" i="46"/>
  <c r="K219" i="46" s="1"/>
  <c r="I219" i="46"/>
  <c r="M219" i="46" s="1"/>
  <c r="J218" i="46"/>
  <c r="K218" i="46" s="1"/>
  <c r="I218" i="46"/>
  <c r="M218" i="46" s="1"/>
  <c r="J217" i="46"/>
  <c r="K217" i="46" s="1"/>
  <c r="I217" i="46"/>
  <c r="M217" i="46" s="1"/>
  <c r="J216" i="46"/>
  <c r="K216" i="46" s="1"/>
  <c r="I216" i="46"/>
  <c r="M216" i="46" s="1"/>
  <c r="K215" i="46"/>
  <c r="J215" i="46"/>
  <c r="I215" i="46"/>
  <c r="M215" i="46" s="1"/>
  <c r="J214" i="46"/>
  <c r="K214" i="46" s="1"/>
  <c r="I214" i="46"/>
  <c r="M214" i="46" s="1"/>
  <c r="J213" i="46"/>
  <c r="K213" i="46" s="1"/>
  <c r="I213" i="46"/>
  <c r="M213" i="46" s="1"/>
  <c r="J212" i="46"/>
  <c r="K212" i="46" s="1"/>
  <c r="I212" i="46"/>
  <c r="M212" i="46" s="1"/>
  <c r="J211" i="46"/>
  <c r="K211" i="46" s="1"/>
  <c r="I211" i="46"/>
  <c r="M211" i="46" s="1"/>
  <c r="J210" i="46"/>
  <c r="K210" i="46" s="1"/>
  <c r="I210" i="46"/>
  <c r="M210" i="46" s="1"/>
  <c r="J209" i="46"/>
  <c r="K209" i="46" s="1"/>
  <c r="I209" i="46"/>
  <c r="M209" i="46" s="1"/>
  <c r="J208" i="46"/>
  <c r="K208" i="46" s="1"/>
  <c r="I208" i="46"/>
  <c r="M208" i="46" s="1"/>
  <c r="J207" i="46"/>
  <c r="K207" i="46" s="1"/>
  <c r="I207" i="46"/>
  <c r="M207" i="46" s="1"/>
  <c r="J206" i="46"/>
  <c r="K206" i="46" s="1"/>
  <c r="I206" i="46"/>
  <c r="M206" i="46" s="1"/>
  <c r="J205" i="46"/>
  <c r="K205" i="46" s="1"/>
  <c r="I205" i="46"/>
  <c r="M205" i="46" s="1"/>
  <c r="J204" i="46"/>
  <c r="K204" i="46" s="1"/>
  <c r="I204" i="46"/>
  <c r="M204" i="46" s="1"/>
  <c r="J203" i="46"/>
  <c r="K203" i="46" s="1"/>
  <c r="I203" i="46"/>
  <c r="M203" i="46" s="1"/>
  <c r="J202" i="46"/>
  <c r="K202" i="46" s="1"/>
  <c r="I202" i="46"/>
  <c r="M202" i="46" s="1"/>
  <c r="J201" i="46"/>
  <c r="K201" i="46" s="1"/>
  <c r="I201" i="46"/>
  <c r="M201" i="46" s="1"/>
  <c r="J200" i="46"/>
  <c r="K200" i="46" s="1"/>
  <c r="I200" i="46"/>
  <c r="M200" i="46" s="1"/>
  <c r="J199" i="46"/>
  <c r="K199" i="46" s="1"/>
  <c r="I199" i="46"/>
  <c r="M199" i="46" s="1"/>
  <c r="J198" i="46"/>
  <c r="K198" i="46" s="1"/>
  <c r="I198" i="46"/>
  <c r="M198" i="46" s="1"/>
  <c r="J197" i="46"/>
  <c r="K197" i="46" s="1"/>
  <c r="I197" i="46"/>
  <c r="M197" i="46" s="1"/>
  <c r="J196" i="46"/>
  <c r="K196" i="46" s="1"/>
  <c r="I196" i="46"/>
  <c r="M196" i="46" s="1"/>
  <c r="J195" i="46"/>
  <c r="K195" i="46" s="1"/>
  <c r="I195" i="46"/>
  <c r="M195" i="46" s="1"/>
  <c r="M194" i="46"/>
  <c r="J194" i="46"/>
  <c r="K194" i="46" s="1"/>
  <c r="I194" i="46"/>
  <c r="J193" i="46"/>
  <c r="K193" i="46" s="1"/>
  <c r="I193" i="46"/>
  <c r="M193" i="46" s="1"/>
  <c r="J192" i="46"/>
  <c r="K192" i="46" s="1"/>
  <c r="I192" i="46"/>
  <c r="M192" i="46" s="1"/>
  <c r="J191" i="46"/>
  <c r="K191" i="46" s="1"/>
  <c r="I191" i="46"/>
  <c r="M191" i="46" s="1"/>
  <c r="J190" i="46"/>
  <c r="K190" i="46" s="1"/>
  <c r="I190" i="46"/>
  <c r="M190" i="46" s="1"/>
  <c r="J189" i="46"/>
  <c r="K189" i="46" s="1"/>
  <c r="I189" i="46"/>
  <c r="M189" i="46" s="1"/>
  <c r="J188" i="46"/>
  <c r="K188" i="46" s="1"/>
  <c r="I188" i="46"/>
  <c r="M188" i="46" s="1"/>
  <c r="J187" i="46"/>
  <c r="K187" i="46" s="1"/>
  <c r="I187" i="46"/>
  <c r="M187" i="46" s="1"/>
  <c r="J186" i="46"/>
  <c r="K186" i="46" s="1"/>
  <c r="I186" i="46"/>
  <c r="M186" i="46" s="1"/>
  <c r="J185" i="46"/>
  <c r="K185" i="46" s="1"/>
  <c r="I185" i="46"/>
  <c r="M185" i="46" s="1"/>
  <c r="M184" i="46"/>
  <c r="J184" i="46"/>
  <c r="K184" i="46" s="1"/>
  <c r="I184" i="46"/>
  <c r="J183" i="46"/>
  <c r="K183" i="46" s="1"/>
  <c r="I183" i="46"/>
  <c r="M183" i="46" s="1"/>
  <c r="J182" i="46"/>
  <c r="K182" i="46" s="1"/>
  <c r="I182" i="46"/>
  <c r="M182" i="46" s="1"/>
  <c r="J181" i="46"/>
  <c r="K181" i="46" s="1"/>
  <c r="I181" i="46"/>
  <c r="M181" i="46" s="1"/>
  <c r="M180" i="46"/>
  <c r="J180" i="46"/>
  <c r="K180" i="46" s="1"/>
  <c r="I180" i="46"/>
  <c r="J179" i="46"/>
  <c r="K179" i="46" s="1"/>
  <c r="I179" i="46"/>
  <c r="M179" i="46" s="1"/>
  <c r="J178" i="46"/>
  <c r="K178" i="46" s="1"/>
  <c r="I178" i="46"/>
  <c r="M178" i="46" s="1"/>
  <c r="J177" i="46"/>
  <c r="K177" i="46" s="1"/>
  <c r="I177" i="46"/>
  <c r="M177" i="46" s="1"/>
  <c r="J176" i="46"/>
  <c r="K176" i="46" s="1"/>
  <c r="I176" i="46"/>
  <c r="M176" i="46" s="1"/>
  <c r="J175" i="46"/>
  <c r="K175" i="46" s="1"/>
  <c r="I175" i="46"/>
  <c r="M175" i="46" s="1"/>
  <c r="J174" i="46"/>
  <c r="K174" i="46" s="1"/>
  <c r="I174" i="46"/>
  <c r="M174" i="46" s="1"/>
  <c r="J173" i="46"/>
  <c r="K173" i="46" s="1"/>
  <c r="I173" i="46"/>
  <c r="M173" i="46" s="1"/>
  <c r="J172" i="46"/>
  <c r="K172" i="46" s="1"/>
  <c r="I172" i="46"/>
  <c r="M172" i="46" s="1"/>
  <c r="J171" i="46"/>
  <c r="K171" i="46" s="1"/>
  <c r="I171" i="46"/>
  <c r="M171" i="46" s="1"/>
  <c r="J170" i="46"/>
  <c r="K170" i="46" s="1"/>
  <c r="I170" i="46"/>
  <c r="M170" i="46" s="1"/>
  <c r="J169" i="46"/>
  <c r="K169" i="46" s="1"/>
  <c r="I169" i="46"/>
  <c r="M169" i="46" s="1"/>
  <c r="J168" i="46"/>
  <c r="K168" i="46" s="1"/>
  <c r="I168" i="46"/>
  <c r="M168" i="46" s="1"/>
  <c r="J167" i="46"/>
  <c r="K167" i="46" s="1"/>
  <c r="I167" i="46"/>
  <c r="M167" i="46" s="1"/>
  <c r="J166" i="46"/>
  <c r="K166" i="46" s="1"/>
  <c r="I166" i="46"/>
  <c r="M166" i="46" s="1"/>
  <c r="J165" i="46"/>
  <c r="K165" i="46" s="1"/>
  <c r="I165" i="46"/>
  <c r="M165" i="46" s="1"/>
  <c r="J164" i="46"/>
  <c r="K164" i="46" s="1"/>
  <c r="I164" i="46"/>
  <c r="M164" i="46" s="1"/>
  <c r="J163" i="46"/>
  <c r="K163" i="46" s="1"/>
  <c r="I163" i="46"/>
  <c r="M163" i="46" s="1"/>
  <c r="J162" i="46"/>
  <c r="K162" i="46" s="1"/>
  <c r="I162" i="46"/>
  <c r="M162" i="46" s="1"/>
  <c r="J161" i="46"/>
  <c r="K161" i="46" s="1"/>
  <c r="I161" i="46"/>
  <c r="M161" i="46" s="1"/>
  <c r="J160" i="46"/>
  <c r="K160" i="46" s="1"/>
  <c r="I160" i="46"/>
  <c r="M160" i="46" s="1"/>
  <c r="J159" i="46"/>
  <c r="K159" i="46" s="1"/>
  <c r="I159" i="46"/>
  <c r="M159" i="46" s="1"/>
  <c r="J158" i="46"/>
  <c r="K158" i="46" s="1"/>
  <c r="I158" i="46"/>
  <c r="M158" i="46" s="1"/>
  <c r="J157" i="46"/>
  <c r="K157" i="46" s="1"/>
  <c r="I157" i="46"/>
  <c r="M157" i="46" s="1"/>
  <c r="J156" i="46"/>
  <c r="K156" i="46" s="1"/>
  <c r="I156" i="46"/>
  <c r="M156" i="46" s="1"/>
  <c r="J155" i="46"/>
  <c r="K155" i="46" s="1"/>
  <c r="I155" i="46"/>
  <c r="M155" i="46" s="1"/>
  <c r="J154" i="46"/>
  <c r="K154" i="46" s="1"/>
  <c r="I154" i="46"/>
  <c r="M154" i="46" s="1"/>
  <c r="J153" i="46"/>
  <c r="K153" i="46" s="1"/>
  <c r="I153" i="46"/>
  <c r="M153" i="46" s="1"/>
  <c r="J152" i="46"/>
  <c r="K152" i="46" s="1"/>
  <c r="I152" i="46"/>
  <c r="M152" i="46" s="1"/>
  <c r="J151" i="46"/>
  <c r="K151" i="46" s="1"/>
  <c r="I151" i="46"/>
  <c r="M151" i="46" s="1"/>
  <c r="M150" i="46"/>
  <c r="J150" i="46"/>
  <c r="K150" i="46" s="1"/>
  <c r="I150" i="46"/>
  <c r="J149" i="46"/>
  <c r="K149" i="46" s="1"/>
  <c r="I149" i="46"/>
  <c r="M149" i="46" s="1"/>
  <c r="J148" i="46"/>
  <c r="K148" i="46" s="1"/>
  <c r="I148" i="46"/>
  <c r="M148" i="46" s="1"/>
  <c r="J147" i="46"/>
  <c r="K147" i="46" s="1"/>
  <c r="I147" i="46"/>
  <c r="M147" i="46" s="1"/>
  <c r="J146" i="46"/>
  <c r="K146" i="46" s="1"/>
  <c r="I146" i="46"/>
  <c r="M146" i="46" s="1"/>
  <c r="J145" i="46"/>
  <c r="K145" i="46" s="1"/>
  <c r="I145" i="46"/>
  <c r="M145" i="46" s="1"/>
  <c r="J144" i="46"/>
  <c r="K144" i="46" s="1"/>
  <c r="I144" i="46"/>
  <c r="M144" i="46" s="1"/>
  <c r="K143" i="46"/>
  <c r="J143" i="46"/>
  <c r="I143" i="46"/>
  <c r="M143" i="46" s="1"/>
  <c r="J142" i="46"/>
  <c r="K142" i="46" s="1"/>
  <c r="I142" i="46"/>
  <c r="M142" i="46" s="1"/>
  <c r="J141" i="46"/>
  <c r="K141" i="46" s="1"/>
  <c r="I141" i="46"/>
  <c r="M141" i="46" s="1"/>
  <c r="J140" i="46"/>
  <c r="K140" i="46" s="1"/>
  <c r="I140" i="46"/>
  <c r="M140" i="46" s="1"/>
  <c r="A140" i="46" s="1"/>
  <c r="B140" i="46"/>
  <c r="J139" i="46"/>
  <c r="K139" i="46" s="1"/>
  <c r="I139" i="46"/>
  <c r="M139" i="46" s="1"/>
  <c r="A139" i="46" s="1"/>
  <c r="B139" i="46"/>
  <c r="J138" i="46"/>
  <c r="K138" i="46" s="1"/>
  <c r="I138" i="46"/>
  <c r="M138" i="46" s="1"/>
  <c r="A138" i="46" s="1"/>
  <c r="B138" i="46"/>
  <c r="J137" i="46"/>
  <c r="K137" i="46" s="1"/>
  <c r="I137" i="46"/>
  <c r="M137" i="46" s="1"/>
  <c r="B137" i="46"/>
  <c r="A137" i="46"/>
  <c r="J136" i="46"/>
  <c r="K136" i="46" s="1"/>
  <c r="I136" i="46"/>
  <c r="M136" i="46" s="1"/>
  <c r="B136" i="46"/>
  <c r="A136" i="46"/>
  <c r="J135" i="46"/>
  <c r="K135" i="46" s="1"/>
  <c r="I135" i="46"/>
  <c r="M135" i="46" s="1"/>
  <c r="A135" i="46" s="1"/>
  <c r="B135" i="46"/>
  <c r="J134" i="46"/>
  <c r="K134" i="46" s="1"/>
  <c r="I134" i="46"/>
  <c r="M134" i="46" s="1"/>
  <c r="A134" i="46" s="1"/>
  <c r="B134" i="46"/>
  <c r="J133" i="46"/>
  <c r="K133" i="46" s="1"/>
  <c r="I133" i="46"/>
  <c r="M133" i="46" s="1"/>
  <c r="A133" i="46" s="1"/>
  <c r="B133" i="46"/>
  <c r="J132" i="46"/>
  <c r="K132" i="46" s="1"/>
  <c r="I132" i="46"/>
  <c r="M132" i="46" s="1"/>
  <c r="A132" i="46" s="1"/>
  <c r="B132" i="46"/>
  <c r="M131" i="46"/>
  <c r="A131" i="46" s="1"/>
  <c r="J131" i="46"/>
  <c r="K131" i="46" s="1"/>
  <c r="I131" i="46"/>
  <c r="B131" i="46"/>
  <c r="J130" i="46"/>
  <c r="K130" i="46" s="1"/>
  <c r="I130" i="46"/>
  <c r="M130" i="46" s="1"/>
  <c r="A130" i="46" s="1"/>
  <c r="B130" i="46"/>
  <c r="J129" i="46"/>
  <c r="K129" i="46" s="1"/>
  <c r="I129" i="46"/>
  <c r="M129" i="46" s="1"/>
  <c r="A129" i="46" s="1"/>
  <c r="B129" i="46"/>
  <c r="J128" i="46"/>
  <c r="K128" i="46" s="1"/>
  <c r="I128" i="46"/>
  <c r="M128" i="46" s="1"/>
  <c r="A128" i="46" s="1"/>
  <c r="B128" i="46"/>
  <c r="J127" i="46"/>
  <c r="K127" i="46" s="1"/>
  <c r="I127" i="46"/>
  <c r="M127" i="46" s="1"/>
  <c r="A127" i="46" s="1"/>
  <c r="B127" i="46"/>
  <c r="J126" i="46"/>
  <c r="K126" i="46" s="1"/>
  <c r="I126" i="46"/>
  <c r="M126" i="46" s="1"/>
  <c r="A126" i="46" s="1"/>
  <c r="B126" i="46"/>
  <c r="J125" i="46"/>
  <c r="K125" i="46" s="1"/>
  <c r="I125" i="46"/>
  <c r="M125" i="46" s="1"/>
  <c r="A125" i="46" s="1"/>
  <c r="B125" i="46"/>
  <c r="J124" i="46"/>
  <c r="K124" i="46" s="1"/>
  <c r="I124" i="46"/>
  <c r="M124" i="46" s="1"/>
  <c r="A124" i="46" s="1"/>
  <c r="B124" i="46"/>
  <c r="J123" i="46"/>
  <c r="K123" i="46" s="1"/>
  <c r="I123" i="46"/>
  <c r="M123" i="46" s="1"/>
  <c r="A123" i="46" s="1"/>
  <c r="B123" i="46"/>
  <c r="J122" i="46"/>
  <c r="K122" i="46" s="1"/>
  <c r="I122" i="46"/>
  <c r="M122" i="46" s="1"/>
  <c r="A122" i="46" s="1"/>
  <c r="B122" i="46"/>
  <c r="J121" i="46"/>
  <c r="K121" i="46" s="1"/>
  <c r="I121" i="46"/>
  <c r="M121" i="46" s="1"/>
  <c r="A121" i="46" s="1"/>
  <c r="B121" i="46"/>
  <c r="J120" i="46"/>
  <c r="K120" i="46" s="1"/>
  <c r="I120" i="46"/>
  <c r="M120" i="46" s="1"/>
  <c r="A120" i="46" s="1"/>
  <c r="B120" i="46"/>
  <c r="J119" i="46"/>
  <c r="K119" i="46" s="1"/>
  <c r="I119" i="46"/>
  <c r="M119" i="46" s="1"/>
  <c r="A119" i="46" s="1"/>
  <c r="B119" i="46"/>
  <c r="J118" i="46"/>
  <c r="K118" i="46" s="1"/>
  <c r="I118" i="46"/>
  <c r="M118" i="46" s="1"/>
  <c r="A118" i="46" s="1"/>
  <c r="B118" i="46"/>
  <c r="J117" i="46"/>
  <c r="K117" i="46" s="1"/>
  <c r="I117" i="46"/>
  <c r="M117" i="46" s="1"/>
  <c r="A117" i="46" s="1"/>
  <c r="B117" i="46"/>
  <c r="J116" i="46"/>
  <c r="K116" i="46" s="1"/>
  <c r="I116" i="46"/>
  <c r="M116" i="46" s="1"/>
  <c r="A116" i="46" s="1"/>
  <c r="B116" i="46"/>
  <c r="J115" i="46"/>
  <c r="K115" i="46" s="1"/>
  <c r="I115" i="46"/>
  <c r="M115" i="46" s="1"/>
  <c r="A115" i="46" s="1"/>
  <c r="B115" i="46"/>
  <c r="J114" i="46"/>
  <c r="K114" i="46" s="1"/>
  <c r="I114" i="46"/>
  <c r="M114" i="46" s="1"/>
  <c r="A114" i="46" s="1"/>
  <c r="B114" i="46"/>
  <c r="J113" i="46"/>
  <c r="K113" i="46" s="1"/>
  <c r="I113" i="46"/>
  <c r="M113" i="46" s="1"/>
  <c r="A113" i="46" s="1"/>
  <c r="B113" i="46"/>
  <c r="J112" i="46"/>
  <c r="K112" i="46" s="1"/>
  <c r="I112" i="46"/>
  <c r="M112" i="46" s="1"/>
  <c r="A112" i="46" s="1"/>
  <c r="B112" i="46"/>
  <c r="J111" i="46"/>
  <c r="K111" i="46" s="1"/>
  <c r="I111" i="46"/>
  <c r="M111" i="46" s="1"/>
  <c r="A111" i="46" s="1"/>
  <c r="B111" i="46"/>
  <c r="M110" i="46"/>
  <c r="A110" i="46" s="1"/>
  <c r="J110" i="46"/>
  <c r="K110" i="46" s="1"/>
  <c r="I110" i="46"/>
  <c r="B110" i="46"/>
  <c r="J109" i="46"/>
  <c r="K109" i="46" s="1"/>
  <c r="I109" i="46"/>
  <c r="M109" i="46" s="1"/>
  <c r="A109" i="46" s="1"/>
  <c r="B109" i="46"/>
  <c r="J108" i="46"/>
  <c r="K108" i="46" s="1"/>
  <c r="I108" i="46"/>
  <c r="M108" i="46" s="1"/>
  <c r="A108" i="46" s="1"/>
  <c r="B108" i="46"/>
  <c r="J107" i="46"/>
  <c r="K107" i="46" s="1"/>
  <c r="I107" i="46"/>
  <c r="M107" i="46" s="1"/>
  <c r="A107" i="46" s="1"/>
  <c r="B107" i="46"/>
  <c r="J106" i="46"/>
  <c r="K106" i="46" s="1"/>
  <c r="I106" i="46"/>
  <c r="M106" i="46" s="1"/>
  <c r="A106" i="46" s="1"/>
  <c r="B106" i="46"/>
  <c r="J105" i="46"/>
  <c r="K105" i="46" s="1"/>
  <c r="I105" i="46"/>
  <c r="M105" i="46" s="1"/>
  <c r="A105" i="46" s="1"/>
  <c r="B105" i="46"/>
  <c r="J104" i="46"/>
  <c r="K104" i="46" s="1"/>
  <c r="I104" i="46"/>
  <c r="M104" i="46" s="1"/>
  <c r="A104" i="46" s="1"/>
  <c r="B104" i="46"/>
  <c r="J103" i="46"/>
  <c r="K103" i="46" s="1"/>
  <c r="I103" i="46"/>
  <c r="M103" i="46" s="1"/>
  <c r="A103" i="46" s="1"/>
  <c r="B103" i="46"/>
  <c r="J102" i="46"/>
  <c r="K102" i="46" s="1"/>
  <c r="I102" i="46"/>
  <c r="M102" i="46" s="1"/>
  <c r="A102" i="46" s="1"/>
  <c r="B102" i="46"/>
  <c r="J101" i="46"/>
  <c r="K101" i="46" s="1"/>
  <c r="I101" i="46"/>
  <c r="M101" i="46" s="1"/>
  <c r="B101" i="46"/>
  <c r="A101" i="46"/>
  <c r="J100" i="46"/>
  <c r="K100" i="46" s="1"/>
  <c r="I100" i="46"/>
  <c r="M100" i="46" s="1"/>
  <c r="A100" i="46" s="1"/>
  <c r="B100" i="46"/>
  <c r="J99" i="46"/>
  <c r="K99" i="46" s="1"/>
  <c r="I99" i="46"/>
  <c r="M99" i="46" s="1"/>
  <c r="A99" i="46" s="1"/>
  <c r="B99" i="46"/>
  <c r="J98" i="46"/>
  <c r="K98" i="46" s="1"/>
  <c r="I98" i="46"/>
  <c r="M98" i="46" s="1"/>
  <c r="A98" i="46" s="1"/>
  <c r="B98" i="46"/>
  <c r="J97" i="46"/>
  <c r="K97" i="46" s="1"/>
  <c r="I97" i="46"/>
  <c r="M97" i="46" s="1"/>
  <c r="B97" i="46"/>
  <c r="A97" i="46"/>
  <c r="J96" i="46"/>
  <c r="K96" i="46" s="1"/>
  <c r="I96" i="46"/>
  <c r="M96" i="46" s="1"/>
  <c r="A96" i="46" s="1"/>
  <c r="B96" i="46"/>
  <c r="J95" i="46"/>
  <c r="K95" i="46" s="1"/>
  <c r="I95" i="46"/>
  <c r="M95" i="46" s="1"/>
  <c r="A95" i="46" s="1"/>
  <c r="B95" i="46"/>
  <c r="J94" i="46"/>
  <c r="K94" i="46" s="1"/>
  <c r="I94" i="46"/>
  <c r="M94" i="46" s="1"/>
  <c r="A94" i="46" s="1"/>
  <c r="B94" i="46"/>
  <c r="J93" i="46"/>
  <c r="K93" i="46" s="1"/>
  <c r="I93" i="46"/>
  <c r="M93" i="46" s="1"/>
  <c r="B93" i="46"/>
  <c r="A93" i="46"/>
  <c r="J92" i="46"/>
  <c r="K92" i="46" s="1"/>
  <c r="I92" i="46"/>
  <c r="M92" i="46" s="1"/>
  <c r="A92" i="46" s="1"/>
  <c r="B92" i="46"/>
  <c r="J91" i="46"/>
  <c r="K91" i="46" s="1"/>
  <c r="I91" i="46"/>
  <c r="M91" i="46" s="1"/>
  <c r="A91" i="46" s="1"/>
  <c r="B91" i="46"/>
  <c r="J90" i="46"/>
  <c r="K90" i="46" s="1"/>
  <c r="I90" i="46"/>
  <c r="M90" i="46" s="1"/>
  <c r="A90" i="46" s="1"/>
  <c r="B90" i="46"/>
  <c r="J89" i="46"/>
  <c r="K89" i="46" s="1"/>
  <c r="I89" i="46"/>
  <c r="M89" i="46" s="1"/>
  <c r="A89" i="46" s="1"/>
  <c r="B89" i="46"/>
  <c r="J88" i="46"/>
  <c r="K88" i="46" s="1"/>
  <c r="I88" i="46"/>
  <c r="M88" i="46" s="1"/>
  <c r="A88" i="46" s="1"/>
  <c r="B88" i="46"/>
  <c r="M87" i="46"/>
  <c r="A87" i="46" s="1"/>
  <c r="J87" i="46"/>
  <c r="K87" i="46" s="1"/>
  <c r="I87" i="46"/>
  <c r="B87" i="46"/>
  <c r="J86" i="46"/>
  <c r="K86" i="46" s="1"/>
  <c r="I86" i="46"/>
  <c r="M86" i="46" s="1"/>
  <c r="A86" i="46" s="1"/>
  <c r="B86" i="46"/>
  <c r="J85" i="46"/>
  <c r="K85" i="46" s="1"/>
  <c r="I85" i="46"/>
  <c r="M85" i="46" s="1"/>
  <c r="A85" i="46" s="1"/>
  <c r="B85" i="46"/>
  <c r="J84" i="46"/>
  <c r="K84" i="46" s="1"/>
  <c r="I84" i="46"/>
  <c r="M84" i="46" s="1"/>
  <c r="A84" i="46" s="1"/>
  <c r="B84" i="46"/>
  <c r="J83" i="46"/>
  <c r="K83" i="46" s="1"/>
  <c r="I83" i="46"/>
  <c r="M83" i="46" s="1"/>
  <c r="A83" i="46" s="1"/>
  <c r="B83" i="46"/>
  <c r="J82" i="46"/>
  <c r="K82" i="46" s="1"/>
  <c r="I82" i="46"/>
  <c r="M82" i="46" s="1"/>
  <c r="A82" i="46" s="1"/>
  <c r="B82" i="46"/>
  <c r="J81" i="46"/>
  <c r="K81" i="46" s="1"/>
  <c r="I81" i="46"/>
  <c r="M81" i="46" s="1"/>
  <c r="A81" i="46" s="1"/>
  <c r="B81" i="46"/>
  <c r="J80" i="46"/>
  <c r="K80" i="46" s="1"/>
  <c r="I80" i="46"/>
  <c r="M80" i="46" s="1"/>
  <c r="A80" i="46" s="1"/>
  <c r="B80" i="46"/>
  <c r="J79" i="46"/>
  <c r="K79" i="46" s="1"/>
  <c r="I79" i="46"/>
  <c r="M79" i="46" s="1"/>
  <c r="A79" i="46" s="1"/>
  <c r="B79" i="46"/>
  <c r="J78" i="46"/>
  <c r="K78" i="46" s="1"/>
  <c r="I78" i="46"/>
  <c r="M78" i="46" s="1"/>
  <c r="A78" i="46" s="1"/>
  <c r="B78" i="46"/>
  <c r="J77" i="46"/>
  <c r="K77" i="46" s="1"/>
  <c r="I77" i="46"/>
  <c r="M77" i="46" s="1"/>
  <c r="A77" i="46" s="1"/>
  <c r="B77" i="46"/>
  <c r="J76" i="46"/>
  <c r="K76" i="46" s="1"/>
  <c r="I76" i="46"/>
  <c r="M76" i="46" s="1"/>
  <c r="A76" i="46" s="1"/>
  <c r="B76" i="46"/>
  <c r="J75" i="46"/>
  <c r="K75" i="46" s="1"/>
  <c r="I75" i="46"/>
  <c r="M75" i="46" s="1"/>
  <c r="A75" i="46" s="1"/>
  <c r="B75" i="46"/>
  <c r="J74" i="46"/>
  <c r="K74" i="46" s="1"/>
  <c r="I74" i="46"/>
  <c r="M74" i="46" s="1"/>
  <c r="A74" i="46" s="1"/>
  <c r="B74" i="46"/>
  <c r="J73" i="46"/>
  <c r="K73" i="46" s="1"/>
  <c r="I73" i="46"/>
  <c r="M73" i="46" s="1"/>
  <c r="B73" i="46"/>
  <c r="A73" i="46"/>
  <c r="J72" i="46"/>
  <c r="K72" i="46" s="1"/>
  <c r="I72" i="46"/>
  <c r="M72" i="46" s="1"/>
  <c r="A72" i="46" s="1"/>
  <c r="B72" i="46"/>
  <c r="J71" i="46"/>
  <c r="K71" i="46" s="1"/>
  <c r="I71" i="46"/>
  <c r="M71" i="46" s="1"/>
  <c r="A71" i="46" s="1"/>
  <c r="B71" i="46"/>
  <c r="J70" i="46"/>
  <c r="K70" i="46" s="1"/>
  <c r="I70" i="46"/>
  <c r="M70" i="46" s="1"/>
  <c r="A70" i="46" s="1"/>
  <c r="B70" i="46"/>
  <c r="J69" i="46"/>
  <c r="K69" i="46" s="1"/>
  <c r="I69" i="46"/>
  <c r="M69" i="46" s="1"/>
  <c r="B69" i="46"/>
  <c r="A69" i="46"/>
  <c r="J68" i="46"/>
  <c r="K68" i="46" s="1"/>
  <c r="I68" i="46"/>
  <c r="M68" i="46" s="1"/>
  <c r="A68" i="46" s="1"/>
  <c r="B68" i="46"/>
  <c r="J67" i="46"/>
  <c r="K67" i="46" s="1"/>
  <c r="I67" i="46"/>
  <c r="M67" i="46" s="1"/>
  <c r="A67" i="46" s="1"/>
  <c r="B67" i="46"/>
  <c r="J66" i="46"/>
  <c r="K66" i="46" s="1"/>
  <c r="I66" i="46"/>
  <c r="M66" i="46" s="1"/>
  <c r="A66" i="46" s="1"/>
  <c r="B66" i="46"/>
  <c r="J65" i="46"/>
  <c r="K65" i="46" s="1"/>
  <c r="I65" i="46"/>
  <c r="M65" i="46" s="1"/>
  <c r="B65" i="46"/>
  <c r="A65" i="46"/>
  <c r="J64" i="46"/>
  <c r="K64" i="46" s="1"/>
  <c r="I64" i="46"/>
  <c r="M64" i="46" s="1"/>
  <c r="A64" i="46" s="1"/>
  <c r="B64" i="46"/>
  <c r="J63" i="46"/>
  <c r="K63" i="46" s="1"/>
  <c r="I63" i="46"/>
  <c r="M63" i="46" s="1"/>
  <c r="A63" i="46" s="1"/>
  <c r="B63" i="46"/>
  <c r="J62" i="46"/>
  <c r="K62" i="46" s="1"/>
  <c r="I62" i="46"/>
  <c r="M62" i="46" s="1"/>
  <c r="A62" i="46" s="1"/>
  <c r="B62" i="46"/>
  <c r="J61" i="46"/>
  <c r="K61" i="46" s="1"/>
  <c r="I61" i="46"/>
  <c r="M61" i="46" s="1"/>
  <c r="A61" i="46" s="1"/>
  <c r="B61" i="46"/>
  <c r="J60" i="46"/>
  <c r="K60" i="46" s="1"/>
  <c r="I60" i="46"/>
  <c r="M60" i="46" s="1"/>
  <c r="A60" i="46" s="1"/>
  <c r="B60" i="46"/>
  <c r="J59" i="46"/>
  <c r="K59" i="46" s="1"/>
  <c r="I59" i="46"/>
  <c r="M59" i="46" s="1"/>
  <c r="A59" i="46" s="1"/>
  <c r="B59" i="46"/>
  <c r="J58" i="46"/>
  <c r="K58" i="46" s="1"/>
  <c r="I58" i="46"/>
  <c r="M58" i="46" s="1"/>
  <c r="A58" i="46" s="1"/>
  <c r="B58" i="46"/>
  <c r="J57" i="46"/>
  <c r="K57" i="46" s="1"/>
  <c r="I57" i="46"/>
  <c r="M57" i="46" s="1"/>
  <c r="A57" i="46" s="1"/>
  <c r="B57" i="46"/>
  <c r="J56" i="46"/>
  <c r="K56" i="46" s="1"/>
  <c r="I56" i="46"/>
  <c r="M56" i="46" s="1"/>
  <c r="A56" i="46" s="1"/>
  <c r="B56" i="46"/>
  <c r="J55" i="46"/>
  <c r="K55" i="46" s="1"/>
  <c r="I55" i="46"/>
  <c r="M55" i="46" s="1"/>
  <c r="A55" i="46" s="1"/>
  <c r="B55" i="46"/>
  <c r="J54" i="46"/>
  <c r="K54" i="46" s="1"/>
  <c r="I54" i="46"/>
  <c r="M54" i="46" s="1"/>
  <c r="A54" i="46" s="1"/>
  <c r="B54" i="46"/>
  <c r="J53" i="46"/>
  <c r="K53" i="46" s="1"/>
  <c r="I53" i="46"/>
  <c r="M53" i="46" s="1"/>
  <c r="A53" i="46" s="1"/>
  <c r="B53" i="46"/>
  <c r="J52" i="46"/>
  <c r="K52" i="46" s="1"/>
  <c r="I52" i="46"/>
  <c r="M52" i="46" s="1"/>
  <c r="A52" i="46" s="1"/>
  <c r="B52" i="46"/>
  <c r="J51" i="46"/>
  <c r="K51" i="46" s="1"/>
  <c r="I51" i="46"/>
  <c r="M51" i="46" s="1"/>
  <c r="A51" i="46" s="1"/>
  <c r="B51" i="46"/>
  <c r="J50" i="46"/>
  <c r="K50" i="46" s="1"/>
  <c r="I50" i="46"/>
  <c r="M50" i="46" s="1"/>
  <c r="A50" i="46" s="1"/>
  <c r="B50" i="46"/>
  <c r="J49" i="46"/>
  <c r="K49" i="46" s="1"/>
  <c r="I49" i="46"/>
  <c r="M49" i="46" s="1"/>
  <c r="A49" i="46" s="1"/>
  <c r="B49" i="46"/>
  <c r="J48" i="46"/>
  <c r="K48" i="46" s="1"/>
  <c r="I48" i="46"/>
  <c r="M48" i="46" s="1"/>
  <c r="A48" i="46" s="1"/>
  <c r="B48" i="46"/>
  <c r="J47" i="46"/>
  <c r="K47" i="46" s="1"/>
  <c r="I47" i="46"/>
  <c r="M47" i="46" s="1"/>
  <c r="A47" i="46" s="1"/>
  <c r="B47" i="46"/>
  <c r="J46" i="46"/>
  <c r="K46" i="46" s="1"/>
  <c r="I46" i="46"/>
  <c r="M46" i="46" s="1"/>
  <c r="A46" i="46" s="1"/>
  <c r="B46" i="46"/>
  <c r="J45" i="46"/>
  <c r="K45" i="46" s="1"/>
  <c r="I45" i="46"/>
  <c r="M45" i="46" s="1"/>
  <c r="A45" i="46" s="1"/>
  <c r="B45" i="46"/>
  <c r="J44" i="46"/>
  <c r="K44" i="46" s="1"/>
  <c r="I44" i="46"/>
  <c r="M44" i="46" s="1"/>
  <c r="A44" i="46" s="1"/>
  <c r="B44" i="46"/>
  <c r="M43" i="46"/>
  <c r="A43" i="46" s="1"/>
  <c r="J43" i="46"/>
  <c r="K43" i="46" s="1"/>
  <c r="I43" i="46"/>
  <c r="B43" i="46"/>
  <c r="J42" i="46"/>
  <c r="K42" i="46" s="1"/>
  <c r="I42" i="46"/>
  <c r="M42" i="46" s="1"/>
  <c r="A42" i="46" s="1"/>
  <c r="B42" i="46"/>
  <c r="J41" i="46"/>
  <c r="K41" i="46" s="1"/>
  <c r="I41" i="46"/>
  <c r="M41" i="46" s="1"/>
  <c r="A41" i="46" s="1"/>
  <c r="B41" i="46"/>
  <c r="J40" i="46"/>
  <c r="K40" i="46" s="1"/>
  <c r="I40" i="46"/>
  <c r="M40" i="46" s="1"/>
  <c r="A40" i="46" s="1"/>
  <c r="B40" i="46"/>
  <c r="J39" i="46"/>
  <c r="K39" i="46" s="1"/>
  <c r="I39" i="46"/>
  <c r="M39" i="46" s="1"/>
  <c r="A39" i="46" s="1"/>
  <c r="B39" i="46"/>
  <c r="J38" i="46"/>
  <c r="K38" i="46" s="1"/>
  <c r="I38" i="46"/>
  <c r="M38" i="46" s="1"/>
  <c r="A38" i="46" s="1"/>
  <c r="B38" i="46"/>
  <c r="J37" i="46"/>
  <c r="K37" i="46" s="1"/>
  <c r="I37" i="46"/>
  <c r="M37" i="46" s="1"/>
  <c r="B37" i="46"/>
  <c r="A37" i="46"/>
  <c r="J36" i="46"/>
  <c r="K36" i="46" s="1"/>
  <c r="I36" i="46"/>
  <c r="M36" i="46" s="1"/>
  <c r="A36" i="46" s="1"/>
  <c r="B36" i="46"/>
  <c r="J35" i="46"/>
  <c r="K35" i="46" s="1"/>
  <c r="I35" i="46"/>
  <c r="M35" i="46" s="1"/>
  <c r="A35" i="46" s="1"/>
  <c r="B35" i="46"/>
  <c r="J34" i="46"/>
  <c r="K34" i="46" s="1"/>
  <c r="I34" i="46"/>
  <c r="M34" i="46" s="1"/>
  <c r="A34" i="46" s="1"/>
  <c r="B34" i="46"/>
  <c r="J33" i="46"/>
  <c r="K33" i="46" s="1"/>
  <c r="I33" i="46"/>
  <c r="M33" i="46" s="1"/>
  <c r="A33" i="46" s="1"/>
  <c r="B33" i="46"/>
  <c r="J32" i="46"/>
  <c r="K32" i="46" s="1"/>
  <c r="I32" i="46"/>
  <c r="M32" i="46" s="1"/>
  <c r="J31" i="46"/>
  <c r="K31" i="46" s="1"/>
  <c r="I31" i="46"/>
  <c r="M31" i="46" s="1"/>
  <c r="A31" i="46" s="1"/>
  <c r="B31" i="46"/>
  <c r="J30" i="46"/>
  <c r="K30" i="46" s="1"/>
  <c r="I30" i="46"/>
  <c r="M30" i="46" s="1"/>
  <c r="A30" i="46" s="1"/>
  <c r="B30" i="46"/>
  <c r="J29" i="46"/>
  <c r="K29" i="46" s="1"/>
  <c r="I29" i="46"/>
  <c r="B29" i="46"/>
  <c r="J28" i="46"/>
  <c r="K28" i="46" s="1"/>
  <c r="I28" i="46"/>
  <c r="B28" i="46"/>
  <c r="J27" i="46"/>
  <c r="K27" i="46" s="1"/>
  <c r="I27" i="46"/>
  <c r="M27" i="46" s="1"/>
  <c r="A27" i="46" s="1"/>
  <c r="B27" i="46"/>
  <c r="J26" i="46"/>
  <c r="K26" i="46" s="1"/>
  <c r="I26" i="46"/>
  <c r="B26" i="46"/>
  <c r="J25" i="46"/>
  <c r="K25" i="46" s="1"/>
  <c r="I25" i="46"/>
  <c r="M25" i="46" s="1"/>
  <c r="A25" i="46" s="1"/>
  <c r="B25" i="46"/>
  <c r="J24" i="46"/>
  <c r="K24" i="46" s="1"/>
  <c r="I24" i="46"/>
  <c r="B24" i="46"/>
  <c r="J23" i="46"/>
  <c r="K23" i="46" s="1"/>
  <c r="I23" i="46"/>
  <c r="B23" i="46"/>
  <c r="J22" i="46"/>
  <c r="K22" i="46" s="1"/>
  <c r="I22" i="46"/>
  <c r="B22" i="46"/>
  <c r="J21" i="46"/>
  <c r="K21" i="46" s="1"/>
  <c r="I21" i="46"/>
  <c r="M21" i="46" s="1"/>
  <c r="B21" i="46"/>
  <c r="A21" i="46"/>
  <c r="J20" i="46"/>
  <c r="K20" i="46" s="1"/>
  <c r="I20" i="46"/>
  <c r="M20" i="46" s="1"/>
  <c r="A20" i="46" s="1"/>
  <c r="B20" i="46"/>
  <c r="J19" i="46"/>
  <c r="K19" i="46" s="1"/>
  <c r="I19" i="46"/>
  <c r="B19" i="46"/>
  <c r="J18" i="46"/>
  <c r="K18" i="46" s="1"/>
  <c r="I18" i="46"/>
  <c r="M18" i="46" s="1"/>
  <c r="A18" i="46" s="1"/>
  <c r="B18" i="46"/>
  <c r="J17" i="46"/>
  <c r="K17" i="46" s="1"/>
  <c r="I17" i="46"/>
  <c r="B17" i="46"/>
  <c r="J16" i="46"/>
  <c r="K16" i="46" s="1"/>
  <c r="I16" i="46"/>
  <c r="M16" i="46" s="1"/>
  <c r="A16" i="46" s="1"/>
  <c r="B16" i="46"/>
  <c r="J15" i="46"/>
  <c r="K15" i="46" s="1"/>
  <c r="M15" i="46" s="1"/>
  <c r="A15" i="46" s="1"/>
  <c r="I15" i="46"/>
  <c r="B15" i="46"/>
  <c r="AI14" i="46"/>
  <c r="J14" i="46"/>
  <c r="K14" i="46" s="1"/>
  <c r="I14" i="46"/>
  <c r="B14" i="46"/>
  <c r="AI13" i="46"/>
  <c r="J13" i="46"/>
  <c r="K13" i="46" s="1"/>
  <c r="M13" i="46" s="1"/>
  <c r="A13" i="46" s="1"/>
  <c r="I13" i="46"/>
  <c r="B13" i="46"/>
  <c r="AI12" i="46"/>
  <c r="AI16" i="46" s="1"/>
  <c r="J12" i="46"/>
  <c r="K12" i="46" s="1"/>
  <c r="I12" i="46"/>
  <c r="M12" i="46" s="1"/>
  <c r="A12" i="46" s="1"/>
  <c r="B12" i="46"/>
  <c r="J11" i="46"/>
  <c r="K11" i="46" s="1"/>
  <c r="I11" i="46"/>
  <c r="B11" i="46"/>
  <c r="J10" i="46"/>
  <c r="K10" i="46" s="1"/>
  <c r="I10" i="46"/>
  <c r="M10" i="46" s="1"/>
  <c r="A10" i="46" s="1"/>
  <c r="B10" i="46"/>
  <c r="J9" i="46"/>
  <c r="K9" i="46" s="1"/>
  <c r="M9" i="46" s="1"/>
  <c r="A9" i="46" s="1"/>
  <c r="I9" i="46"/>
  <c r="B9" i="46"/>
  <c r="J8" i="46"/>
  <c r="K8" i="46" s="1"/>
  <c r="I8" i="46"/>
  <c r="J7" i="46"/>
  <c r="K7" i="46" s="1"/>
  <c r="I7" i="46"/>
  <c r="B7" i="46"/>
  <c r="J6" i="46"/>
  <c r="K6" i="46" s="1"/>
  <c r="I6" i="46"/>
  <c r="B6" i="46"/>
  <c r="K2" i="46"/>
  <c r="L7" i="46" s="1"/>
  <c r="J374" i="45"/>
  <c r="J373" i="45"/>
  <c r="J372" i="45"/>
  <c r="J371" i="45"/>
  <c r="J370" i="45"/>
  <c r="J369" i="45"/>
  <c r="J368" i="45"/>
  <c r="J367" i="45"/>
  <c r="J366" i="45"/>
  <c r="J365" i="45"/>
  <c r="J364" i="45"/>
  <c r="J363" i="45"/>
  <c r="J362" i="45"/>
  <c r="J361" i="45"/>
  <c r="J360" i="45"/>
  <c r="J359" i="45"/>
  <c r="J358" i="45"/>
  <c r="J357" i="45"/>
  <c r="J356" i="45"/>
  <c r="J355" i="45"/>
  <c r="J354" i="45"/>
  <c r="J353" i="45"/>
  <c r="J352" i="45"/>
  <c r="J351" i="45"/>
  <c r="J350" i="45"/>
  <c r="J349" i="45"/>
  <c r="J348" i="45"/>
  <c r="J347" i="45"/>
  <c r="J346" i="45"/>
  <c r="J345" i="45"/>
  <c r="J344" i="45"/>
  <c r="J343" i="45"/>
  <c r="J342" i="45"/>
  <c r="J341" i="45"/>
  <c r="J340" i="45"/>
  <c r="J339" i="45"/>
  <c r="J338" i="45"/>
  <c r="J337" i="45"/>
  <c r="J336" i="45"/>
  <c r="J335" i="45"/>
  <c r="J334" i="45"/>
  <c r="J333" i="45"/>
  <c r="J332" i="45"/>
  <c r="J331" i="45"/>
  <c r="J330" i="45"/>
  <c r="J329" i="45"/>
  <c r="J328" i="45"/>
  <c r="J327" i="45"/>
  <c r="J326" i="45"/>
  <c r="J325" i="45"/>
  <c r="J324" i="45"/>
  <c r="J323" i="45"/>
  <c r="J322" i="45"/>
  <c r="J321" i="45"/>
  <c r="J320" i="45"/>
  <c r="J319" i="45"/>
  <c r="J318" i="45"/>
  <c r="J317" i="45"/>
  <c r="J316" i="45"/>
  <c r="J315" i="45"/>
  <c r="J314" i="45"/>
  <c r="J313" i="45"/>
  <c r="J312" i="45"/>
  <c r="J311" i="45"/>
  <c r="J310" i="45"/>
  <c r="J309" i="45"/>
  <c r="J308" i="45"/>
  <c r="J307" i="45"/>
  <c r="J306" i="45"/>
  <c r="J305" i="45"/>
  <c r="K305" i="45" s="1"/>
  <c r="I305" i="45"/>
  <c r="M305" i="45" s="1"/>
  <c r="J304" i="45"/>
  <c r="K304" i="45" s="1"/>
  <c r="I304" i="45"/>
  <c r="M304" i="45" s="1"/>
  <c r="J303" i="45"/>
  <c r="K303" i="45" s="1"/>
  <c r="I303" i="45"/>
  <c r="M303" i="45" s="1"/>
  <c r="J302" i="45"/>
  <c r="K302" i="45" s="1"/>
  <c r="I302" i="45"/>
  <c r="M302" i="45" s="1"/>
  <c r="J301" i="45"/>
  <c r="K301" i="45" s="1"/>
  <c r="I301" i="45"/>
  <c r="M301" i="45" s="1"/>
  <c r="J300" i="45"/>
  <c r="K300" i="45" s="1"/>
  <c r="I300" i="45"/>
  <c r="M300" i="45" s="1"/>
  <c r="M299" i="45"/>
  <c r="J299" i="45"/>
  <c r="K299" i="45" s="1"/>
  <c r="I299" i="45"/>
  <c r="J298" i="45"/>
  <c r="K298" i="45" s="1"/>
  <c r="I298" i="45"/>
  <c r="M298" i="45" s="1"/>
  <c r="J297" i="45"/>
  <c r="K297" i="45" s="1"/>
  <c r="I297" i="45"/>
  <c r="M297" i="45" s="1"/>
  <c r="J296" i="45"/>
  <c r="K296" i="45" s="1"/>
  <c r="I296" i="45"/>
  <c r="M296" i="45" s="1"/>
  <c r="J295" i="45"/>
  <c r="K295" i="45" s="1"/>
  <c r="I295" i="45"/>
  <c r="M295" i="45" s="1"/>
  <c r="J294" i="45"/>
  <c r="K294" i="45" s="1"/>
  <c r="I294" i="45"/>
  <c r="M294" i="45" s="1"/>
  <c r="J293" i="45"/>
  <c r="K293" i="45" s="1"/>
  <c r="I293" i="45"/>
  <c r="M293" i="45" s="1"/>
  <c r="J292" i="45"/>
  <c r="K292" i="45" s="1"/>
  <c r="I292" i="45"/>
  <c r="M292" i="45" s="1"/>
  <c r="J291" i="45"/>
  <c r="K291" i="45" s="1"/>
  <c r="I291" i="45"/>
  <c r="M291" i="45" s="1"/>
  <c r="J290" i="45"/>
  <c r="K290" i="45" s="1"/>
  <c r="I290" i="45"/>
  <c r="M290" i="45" s="1"/>
  <c r="M289" i="45"/>
  <c r="J289" i="45"/>
  <c r="K289" i="45" s="1"/>
  <c r="I289" i="45"/>
  <c r="J288" i="45"/>
  <c r="K288" i="45" s="1"/>
  <c r="I288" i="45"/>
  <c r="M288" i="45" s="1"/>
  <c r="J287" i="45"/>
  <c r="K287" i="45" s="1"/>
  <c r="I287" i="45"/>
  <c r="M287" i="45" s="1"/>
  <c r="J286" i="45"/>
  <c r="K286" i="45" s="1"/>
  <c r="I286" i="45"/>
  <c r="M286" i="45" s="1"/>
  <c r="J285" i="45"/>
  <c r="K285" i="45" s="1"/>
  <c r="I285" i="45"/>
  <c r="M285" i="45" s="1"/>
  <c r="J284" i="45"/>
  <c r="K284" i="45" s="1"/>
  <c r="I284" i="45"/>
  <c r="M284" i="45" s="1"/>
  <c r="M283" i="45"/>
  <c r="J283" i="45"/>
  <c r="K283" i="45" s="1"/>
  <c r="I283" i="45"/>
  <c r="J282" i="45"/>
  <c r="K282" i="45" s="1"/>
  <c r="I282" i="45"/>
  <c r="M282" i="45" s="1"/>
  <c r="J281" i="45"/>
  <c r="K281" i="45" s="1"/>
  <c r="I281" i="45"/>
  <c r="M281" i="45" s="1"/>
  <c r="J280" i="45"/>
  <c r="K280" i="45" s="1"/>
  <c r="I280" i="45"/>
  <c r="M280" i="45" s="1"/>
  <c r="J279" i="45"/>
  <c r="K279" i="45" s="1"/>
  <c r="I279" i="45"/>
  <c r="M279" i="45" s="1"/>
  <c r="J278" i="45"/>
  <c r="K278" i="45" s="1"/>
  <c r="I278" i="45"/>
  <c r="M278" i="45" s="1"/>
  <c r="J277" i="45"/>
  <c r="K277" i="45" s="1"/>
  <c r="I277" i="45"/>
  <c r="M277" i="45" s="1"/>
  <c r="J276" i="45"/>
  <c r="K276" i="45" s="1"/>
  <c r="I276" i="45"/>
  <c r="M276" i="45" s="1"/>
  <c r="M275" i="45"/>
  <c r="K275" i="45"/>
  <c r="J275" i="45"/>
  <c r="I275" i="45"/>
  <c r="J274" i="45"/>
  <c r="K274" i="45" s="1"/>
  <c r="I274" i="45"/>
  <c r="M274" i="45" s="1"/>
  <c r="M273" i="45"/>
  <c r="J273" i="45"/>
  <c r="K273" i="45" s="1"/>
  <c r="I273" i="45"/>
  <c r="J272" i="45"/>
  <c r="K272" i="45" s="1"/>
  <c r="I272" i="45"/>
  <c r="M272" i="45" s="1"/>
  <c r="J271" i="45"/>
  <c r="K271" i="45" s="1"/>
  <c r="I271" i="45"/>
  <c r="M271" i="45" s="1"/>
  <c r="J270" i="45"/>
  <c r="K270" i="45" s="1"/>
  <c r="I270" i="45"/>
  <c r="M270" i="45" s="1"/>
  <c r="J269" i="45"/>
  <c r="K269" i="45" s="1"/>
  <c r="I269" i="45"/>
  <c r="M269" i="45" s="1"/>
  <c r="J268" i="45"/>
  <c r="K268" i="45" s="1"/>
  <c r="I268" i="45"/>
  <c r="M268" i="45" s="1"/>
  <c r="J267" i="45"/>
  <c r="K267" i="45" s="1"/>
  <c r="I267" i="45"/>
  <c r="M267" i="45" s="1"/>
  <c r="J266" i="45"/>
  <c r="K266" i="45" s="1"/>
  <c r="I266" i="45"/>
  <c r="M266" i="45" s="1"/>
  <c r="M265" i="45"/>
  <c r="J265" i="45"/>
  <c r="K265" i="45" s="1"/>
  <c r="I265" i="45"/>
  <c r="J264" i="45"/>
  <c r="K264" i="45" s="1"/>
  <c r="I264" i="45"/>
  <c r="M264" i="45" s="1"/>
  <c r="J263" i="45"/>
  <c r="K263" i="45" s="1"/>
  <c r="I263" i="45"/>
  <c r="M263" i="45" s="1"/>
  <c r="J262" i="45"/>
  <c r="K262" i="45" s="1"/>
  <c r="I262" i="45"/>
  <c r="M262" i="45" s="1"/>
  <c r="J261" i="45"/>
  <c r="K261" i="45" s="1"/>
  <c r="I261" i="45"/>
  <c r="M261" i="45" s="1"/>
  <c r="J260" i="45"/>
  <c r="K260" i="45" s="1"/>
  <c r="I260" i="45"/>
  <c r="M260" i="45" s="1"/>
  <c r="M259" i="45"/>
  <c r="K259" i="45"/>
  <c r="J259" i="45"/>
  <c r="I259" i="45"/>
  <c r="J258" i="45"/>
  <c r="K258" i="45" s="1"/>
  <c r="I258" i="45"/>
  <c r="M258" i="45" s="1"/>
  <c r="J257" i="45"/>
  <c r="K257" i="45" s="1"/>
  <c r="I257" i="45"/>
  <c r="M257" i="45" s="1"/>
  <c r="J256" i="45"/>
  <c r="K256" i="45" s="1"/>
  <c r="I256" i="45"/>
  <c r="M256" i="45" s="1"/>
  <c r="J255" i="45"/>
  <c r="K255" i="45" s="1"/>
  <c r="I255" i="45"/>
  <c r="M255" i="45" s="1"/>
  <c r="J254" i="45"/>
  <c r="K254" i="45" s="1"/>
  <c r="I254" i="45"/>
  <c r="M254" i="45" s="1"/>
  <c r="J253" i="45"/>
  <c r="K253" i="45" s="1"/>
  <c r="I253" i="45"/>
  <c r="M253" i="45" s="1"/>
  <c r="J252" i="45"/>
  <c r="K252" i="45" s="1"/>
  <c r="I252" i="45"/>
  <c r="M252" i="45" s="1"/>
  <c r="M251" i="45"/>
  <c r="K251" i="45"/>
  <c r="J251" i="45"/>
  <c r="I251" i="45"/>
  <c r="J250" i="45"/>
  <c r="K250" i="45" s="1"/>
  <c r="I250" i="45"/>
  <c r="M250" i="45" s="1"/>
  <c r="M249" i="45"/>
  <c r="J249" i="45"/>
  <c r="K249" i="45" s="1"/>
  <c r="I249" i="45"/>
  <c r="J248" i="45"/>
  <c r="K248" i="45" s="1"/>
  <c r="I248" i="45"/>
  <c r="M248" i="45" s="1"/>
  <c r="J247" i="45"/>
  <c r="K247" i="45" s="1"/>
  <c r="I247" i="45"/>
  <c r="M247" i="45" s="1"/>
  <c r="J246" i="45"/>
  <c r="K246" i="45" s="1"/>
  <c r="I246" i="45"/>
  <c r="M246" i="45" s="1"/>
  <c r="J245" i="45"/>
  <c r="K245" i="45" s="1"/>
  <c r="I245" i="45"/>
  <c r="M245" i="45" s="1"/>
  <c r="J244" i="45"/>
  <c r="K244" i="45" s="1"/>
  <c r="I244" i="45"/>
  <c r="M244" i="45" s="1"/>
  <c r="K243" i="45"/>
  <c r="J243" i="45"/>
  <c r="I243" i="45"/>
  <c r="M243" i="45" s="1"/>
  <c r="J242" i="45"/>
  <c r="K242" i="45" s="1"/>
  <c r="I242" i="45"/>
  <c r="M242" i="45" s="1"/>
  <c r="M241" i="45"/>
  <c r="J241" i="45"/>
  <c r="K241" i="45" s="1"/>
  <c r="I241" i="45"/>
  <c r="J240" i="45"/>
  <c r="K240" i="45" s="1"/>
  <c r="I240" i="45"/>
  <c r="M240" i="45" s="1"/>
  <c r="J239" i="45"/>
  <c r="K239" i="45" s="1"/>
  <c r="I239" i="45"/>
  <c r="M239" i="45" s="1"/>
  <c r="J238" i="45"/>
  <c r="K238" i="45" s="1"/>
  <c r="I238" i="45"/>
  <c r="M238" i="45" s="1"/>
  <c r="J237" i="45"/>
  <c r="K237" i="45" s="1"/>
  <c r="I237" i="45"/>
  <c r="M237" i="45" s="1"/>
  <c r="J236" i="45"/>
  <c r="K236" i="45" s="1"/>
  <c r="I236" i="45"/>
  <c r="M236" i="45" s="1"/>
  <c r="M235" i="45"/>
  <c r="J235" i="45"/>
  <c r="K235" i="45" s="1"/>
  <c r="I235" i="45"/>
  <c r="J234" i="45"/>
  <c r="K234" i="45" s="1"/>
  <c r="I234" i="45"/>
  <c r="M234" i="45" s="1"/>
  <c r="J233" i="45"/>
  <c r="K233" i="45" s="1"/>
  <c r="I233" i="45"/>
  <c r="M233" i="45" s="1"/>
  <c r="J232" i="45"/>
  <c r="K232" i="45" s="1"/>
  <c r="I232" i="45"/>
  <c r="M232" i="45" s="1"/>
  <c r="J231" i="45"/>
  <c r="K231" i="45" s="1"/>
  <c r="I231" i="45"/>
  <c r="M231" i="45" s="1"/>
  <c r="J230" i="45"/>
  <c r="K230" i="45" s="1"/>
  <c r="I230" i="45"/>
  <c r="M230" i="45" s="1"/>
  <c r="J229" i="45"/>
  <c r="K229" i="45" s="1"/>
  <c r="I229" i="45"/>
  <c r="M229" i="45" s="1"/>
  <c r="J228" i="45"/>
  <c r="K228" i="45" s="1"/>
  <c r="I228" i="45"/>
  <c r="M228" i="45" s="1"/>
  <c r="J227" i="45"/>
  <c r="K227" i="45" s="1"/>
  <c r="I227" i="45"/>
  <c r="M227" i="45" s="1"/>
  <c r="J226" i="45"/>
  <c r="K226" i="45" s="1"/>
  <c r="I226" i="45"/>
  <c r="M226" i="45" s="1"/>
  <c r="M225" i="45"/>
  <c r="J225" i="45"/>
  <c r="K225" i="45" s="1"/>
  <c r="I225" i="45"/>
  <c r="J224" i="45"/>
  <c r="K224" i="45" s="1"/>
  <c r="I224" i="45"/>
  <c r="M224" i="45" s="1"/>
  <c r="J223" i="45"/>
  <c r="K223" i="45" s="1"/>
  <c r="I223" i="45"/>
  <c r="M223" i="45" s="1"/>
  <c r="J222" i="45"/>
  <c r="K222" i="45" s="1"/>
  <c r="I222" i="45"/>
  <c r="M222" i="45" s="1"/>
  <c r="J221" i="45"/>
  <c r="K221" i="45" s="1"/>
  <c r="I221" i="45"/>
  <c r="M221" i="45" s="1"/>
  <c r="J220" i="45"/>
  <c r="K220" i="45" s="1"/>
  <c r="I220" i="45"/>
  <c r="M220" i="45" s="1"/>
  <c r="M219" i="45"/>
  <c r="J219" i="45"/>
  <c r="K219" i="45" s="1"/>
  <c r="I219" i="45"/>
  <c r="J218" i="45"/>
  <c r="K218" i="45" s="1"/>
  <c r="I218" i="45"/>
  <c r="M218" i="45" s="1"/>
  <c r="J217" i="45"/>
  <c r="K217" i="45" s="1"/>
  <c r="I217" i="45"/>
  <c r="M217" i="45" s="1"/>
  <c r="J216" i="45"/>
  <c r="K216" i="45" s="1"/>
  <c r="I216" i="45"/>
  <c r="M216" i="45" s="1"/>
  <c r="J215" i="45"/>
  <c r="K215" i="45" s="1"/>
  <c r="I215" i="45"/>
  <c r="M215" i="45" s="1"/>
  <c r="J214" i="45"/>
  <c r="K214" i="45" s="1"/>
  <c r="I214" i="45"/>
  <c r="M214" i="45" s="1"/>
  <c r="J213" i="45"/>
  <c r="K213" i="45" s="1"/>
  <c r="I213" i="45"/>
  <c r="M213" i="45" s="1"/>
  <c r="J212" i="45"/>
  <c r="K212" i="45" s="1"/>
  <c r="I212" i="45"/>
  <c r="M212" i="45" s="1"/>
  <c r="M211" i="45"/>
  <c r="K211" i="45"/>
  <c r="J211" i="45"/>
  <c r="I211" i="45"/>
  <c r="J210" i="45"/>
  <c r="K210" i="45" s="1"/>
  <c r="I210" i="45"/>
  <c r="M210" i="45" s="1"/>
  <c r="M209" i="45"/>
  <c r="J209" i="45"/>
  <c r="K209" i="45" s="1"/>
  <c r="I209" i="45"/>
  <c r="J208" i="45"/>
  <c r="K208" i="45" s="1"/>
  <c r="I208" i="45"/>
  <c r="M208" i="45" s="1"/>
  <c r="J207" i="45"/>
  <c r="K207" i="45" s="1"/>
  <c r="I207" i="45"/>
  <c r="M207" i="45" s="1"/>
  <c r="J206" i="45"/>
  <c r="K206" i="45" s="1"/>
  <c r="I206" i="45"/>
  <c r="M206" i="45" s="1"/>
  <c r="J205" i="45"/>
  <c r="K205" i="45" s="1"/>
  <c r="I205" i="45"/>
  <c r="M205" i="45" s="1"/>
  <c r="J204" i="45"/>
  <c r="K204" i="45" s="1"/>
  <c r="I204" i="45"/>
  <c r="M204" i="45" s="1"/>
  <c r="J203" i="45"/>
  <c r="K203" i="45" s="1"/>
  <c r="I203" i="45"/>
  <c r="M203" i="45" s="1"/>
  <c r="J202" i="45"/>
  <c r="K202" i="45" s="1"/>
  <c r="I202" i="45"/>
  <c r="M202" i="45" s="1"/>
  <c r="M201" i="45"/>
  <c r="J201" i="45"/>
  <c r="K201" i="45" s="1"/>
  <c r="I201" i="45"/>
  <c r="J200" i="45"/>
  <c r="K200" i="45" s="1"/>
  <c r="I200" i="45"/>
  <c r="M200" i="45" s="1"/>
  <c r="J199" i="45"/>
  <c r="K199" i="45" s="1"/>
  <c r="I199" i="45"/>
  <c r="M199" i="45" s="1"/>
  <c r="J198" i="45"/>
  <c r="K198" i="45" s="1"/>
  <c r="I198" i="45"/>
  <c r="M198" i="45" s="1"/>
  <c r="J197" i="45"/>
  <c r="K197" i="45" s="1"/>
  <c r="I197" i="45"/>
  <c r="M197" i="45" s="1"/>
  <c r="J196" i="45"/>
  <c r="K196" i="45" s="1"/>
  <c r="I196" i="45"/>
  <c r="M196" i="45" s="1"/>
  <c r="M195" i="45"/>
  <c r="K195" i="45"/>
  <c r="J195" i="45"/>
  <c r="I195" i="45"/>
  <c r="J194" i="45"/>
  <c r="K194" i="45" s="1"/>
  <c r="I194" i="45"/>
  <c r="M194" i="45" s="1"/>
  <c r="J193" i="45"/>
  <c r="K193" i="45" s="1"/>
  <c r="I193" i="45"/>
  <c r="M193" i="45" s="1"/>
  <c r="J192" i="45"/>
  <c r="K192" i="45" s="1"/>
  <c r="I192" i="45"/>
  <c r="M192" i="45" s="1"/>
  <c r="J191" i="45"/>
  <c r="K191" i="45" s="1"/>
  <c r="I191" i="45"/>
  <c r="M191" i="45" s="1"/>
  <c r="J190" i="45"/>
  <c r="K190" i="45" s="1"/>
  <c r="I190" i="45"/>
  <c r="M190" i="45" s="1"/>
  <c r="J189" i="45"/>
  <c r="K189" i="45" s="1"/>
  <c r="I189" i="45"/>
  <c r="M189" i="45" s="1"/>
  <c r="J188" i="45"/>
  <c r="K188" i="45" s="1"/>
  <c r="I188" i="45"/>
  <c r="M188" i="45" s="1"/>
  <c r="K187" i="45"/>
  <c r="J187" i="45"/>
  <c r="I187" i="45"/>
  <c r="M187" i="45" s="1"/>
  <c r="J186" i="45"/>
  <c r="K186" i="45" s="1"/>
  <c r="I186" i="45"/>
  <c r="M186" i="45" s="1"/>
  <c r="M185" i="45"/>
  <c r="J185" i="45"/>
  <c r="K185" i="45" s="1"/>
  <c r="I185" i="45"/>
  <c r="J184" i="45"/>
  <c r="K184" i="45" s="1"/>
  <c r="I184" i="45"/>
  <c r="M184" i="45" s="1"/>
  <c r="J183" i="45"/>
  <c r="K183" i="45" s="1"/>
  <c r="I183" i="45"/>
  <c r="M183" i="45" s="1"/>
  <c r="J182" i="45"/>
  <c r="K182" i="45" s="1"/>
  <c r="I182" i="45"/>
  <c r="M182" i="45" s="1"/>
  <c r="J181" i="45"/>
  <c r="K181" i="45" s="1"/>
  <c r="I181" i="45"/>
  <c r="M181" i="45" s="1"/>
  <c r="J180" i="45"/>
  <c r="K180" i="45" s="1"/>
  <c r="I180" i="45"/>
  <c r="M180" i="45" s="1"/>
  <c r="K179" i="45"/>
  <c r="J179" i="45"/>
  <c r="I179" i="45"/>
  <c r="M179" i="45" s="1"/>
  <c r="J178" i="45"/>
  <c r="K178" i="45" s="1"/>
  <c r="I178" i="45"/>
  <c r="M178" i="45" s="1"/>
  <c r="M177" i="45"/>
  <c r="J177" i="45"/>
  <c r="K177" i="45" s="1"/>
  <c r="I177" i="45"/>
  <c r="J176" i="45"/>
  <c r="K176" i="45" s="1"/>
  <c r="I176" i="45"/>
  <c r="M176" i="45" s="1"/>
  <c r="J175" i="45"/>
  <c r="K175" i="45" s="1"/>
  <c r="I175" i="45"/>
  <c r="M175" i="45" s="1"/>
  <c r="J174" i="45"/>
  <c r="K174" i="45" s="1"/>
  <c r="I174" i="45"/>
  <c r="M174" i="45" s="1"/>
  <c r="J173" i="45"/>
  <c r="K173" i="45" s="1"/>
  <c r="I173" i="45"/>
  <c r="M173" i="45" s="1"/>
  <c r="J172" i="45"/>
  <c r="K172" i="45" s="1"/>
  <c r="I172" i="45"/>
  <c r="M172" i="45" s="1"/>
  <c r="M171" i="45"/>
  <c r="J171" i="45"/>
  <c r="K171" i="45" s="1"/>
  <c r="I171" i="45"/>
  <c r="J170" i="45"/>
  <c r="K170" i="45" s="1"/>
  <c r="I170" i="45"/>
  <c r="M170" i="45" s="1"/>
  <c r="J169" i="45"/>
  <c r="K169" i="45" s="1"/>
  <c r="I169" i="45"/>
  <c r="M169" i="45" s="1"/>
  <c r="J168" i="45"/>
  <c r="K168" i="45" s="1"/>
  <c r="I168" i="45"/>
  <c r="M168" i="45" s="1"/>
  <c r="J167" i="45"/>
  <c r="K167" i="45" s="1"/>
  <c r="I167" i="45"/>
  <c r="M167" i="45" s="1"/>
  <c r="J166" i="45"/>
  <c r="K166" i="45" s="1"/>
  <c r="I166" i="45"/>
  <c r="M166" i="45" s="1"/>
  <c r="J165" i="45"/>
  <c r="K165" i="45" s="1"/>
  <c r="I165" i="45"/>
  <c r="M165" i="45" s="1"/>
  <c r="J164" i="45"/>
  <c r="K164" i="45" s="1"/>
  <c r="I164" i="45"/>
  <c r="M164" i="45" s="1"/>
  <c r="J163" i="45"/>
  <c r="K163" i="45" s="1"/>
  <c r="I163" i="45"/>
  <c r="M163" i="45" s="1"/>
  <c r="J162" i="45"/>
  <c r="K162" i="45" s="1"/>
  <c r="I162" i="45"/>
  <c r="M162" i="45" s="1"/>
  <c r="M161" i="45"/>
  <c r="J161" i="45"/>
  <c r="K161" i="45" s="1"/>
  <c r="I161" i="45"/>
  <c r="J160" i="45"/>
  <c r="K160" i="45" s="1"/>
  <c r="I160" i="45"/>
  <c r="M160" i="45" s="1"/>
  <c r="J159" i="45"/>
  <c r="K159" i="45" s="1"/>
  <c r="I159" i="45"/>
  <c r="M159" i="45" s="1"/>
  <c r="J158" i="45"/>
  <c r="K158" i="45" s="1"/>
  <c r="I158" i="45"/>
  <c r="M158" i="45" s="1"/>
  <c r="J157" i="45"/>
  <c r="K157" i="45" s="1"/>
  <c r="I157" i="45"/>
  <c r="M157" i="45" s="1"/>
  <c r="J156" i="45"/>
  <c r="K156" i="45" s="1"/>
  <c r="I156" i="45"/>
  <c r="M156" i="45" s="1"/>
  <c r="M155" i="45"/>
  <c r="J155" i="45"/>
  <c r="K155" i="45" s="1"/>
  <c r="I155" i="45"/>
  <c r="J154" i="45"/>
  <c r="K154" i="45" s="1"/>
  <c r="I154" i="45"/>
  <c r="M154" i="45" s="1"/>
  <c r="J153" i="45"/>
  <c r="K153" i="45" s="1"/>
  <c r="I153" i="45"/>
  <c r="M153" i="45" s="1"/>
  <c r="J152" i="45"/>
  <c r="K152" i="45" s="1"/>
  <c r="I152" i="45"/>
  <c r="M152" i="45" s="1"/>
  <c r="J151" i="45"/>
  <c r="K151" i="45" s="1"/>
  <c r="I151" i="45"/>
  <c r="M151" i="45" s="1"/>
  <c r="J150" i="45"/>
  <c r="K150" i="45" s="1"/>
  <c r="I150" i="45"/>
  <c r="M150" i="45" s="1"/>
  <c r="J149" i="45"/>
  <c r="K149" i="45" s="1"/>
  <c r="I149" i="45"/>
  <c r="M149" i="45" s="1"/>
  <c r="J148" i="45"/>
  <c r="K148" i="45" s="1"/>
  <c r="I148" i="45"/>
  <c r="M148" i="45" s="1"/>
  <c r="M147" i="45"/>
  <c r="K147" i="45"/>
  <c r="J147" i="45"/>
  <c r="I147" i="45"/>
  <c r="J146" i="45"/>
  <c r="K146" i="45" s="1"/>
  <c r="I146" i="45"/>
  <c r="M146" i="45" s="1"/>
  <c r="M145" i="45"/>
  <c r="J145" i="45"/>
  <c r="K145" i="45" s="1"/>
  <c r="I145" i="45"/>
  <c r="J144" i="45"/>
  <c r="K144" i="45" s="1"/>
  <c r="I144" i="45"/>
  <c r="M144" i="45" s="1"/>
  <c r="J143" i="45"/>
  <c r="K143" i="45" s="1"/>
  <c r="I143" i="45"/>
  <c r="M143" i="45" s="1"/>
  <c r="J142" i="45"/>
  <c r="K142" i="45" s="1"/>
  <c r="I142" i="45"/>
  <c r="M142" i="45" s="1"/>
  <c r="J141" i="45"/>
  <c r="K141" i="45" s="1"/>
  <c r="I141" i="45"/>
  <c r="M141" i="45" s="1"/>
  <c r="J140" i="45"/>
  <c r="K140" i="45" s="1"/>
  <c r="I140" i="45"/>
  <c r="M140" i="45" s="1"/>
  <c r="J139" i="45"/>
  <c r="K139" i="45" s="1"/>
  <c r="I139" i="45"/>
  <c r="M139" i="45" s="1"/>
  <c r="J138" i="45"/>
  <c r="K138" i="45" s="1"/>
  <c r="I138" i="45"/>
  <c r="M138" i="45" s="1"/>
  <c r="M137" i="45"/>
  <c r="J137" i="45"/>
  <c r="K137" i="45" s="1"/>
  <c r="I137" i="45"/>
  <c r="J136" i="45"/>
  <c r="K136" i="45" s="1"/>
  <c r="I136" i="45"/>
  <c r="M136" i="45" s="1"/>
  <c r="J135" i="45"/>
  <c r="K135" i="45" s="1"/>
  <c r="I135" i="45"/>
  <c r="M135" i="45" s="1"/>
  <c r="M134" i="45"/>
  <c r="K134" i="45"/>
  <c r="J134" i="45"/>
  <c r="I134" i="45"/>
  <c r="J133" i="45"/>
  <c r="K133" i="45" s="1"/>
  <c r="I133" i="45"/>
  <c r="M133" i="45" s="1"/>
  <c r="M132" i="45"/>
  <c r="K132" i="45"/>
  <c r="J132" i="45"/>
  <c r="I132" i="45"/>
  <c r="J131" i="45"/>
  <c r="K131" i="45" s="1"/>
  <c r="I131" i="45"/>
  <c r="M131" i="45" s="1"/>
  <c r="K130" i="45"/>
  <c r="J130" i="45"/>
  <c r="I130" i="45"/>
  <c r="M130" i="45" s="1"/>
  <c r="J129" i="45"/>
  <c r="K129" i="45" s="1"/>
  <c r="I129" i="45"/>
  <c r="M129" i="45" s="1"/>
  <c r="J128" i="45"/>
  <c r="K128" i="45" s="1"/>
  <c r="I128" i="45"/>
  <c r="M128" i="45" s="1"/>
  <c r="J127" i="45"/>
  <c r="K127" i="45" s="1"/>
  <c r="I127" i="45"/>
  <c r="M127" i="45" s="1"/>
  <c r="M126" i="45"/>
  <c r="J126" i="45"/>
  <c r="K126" i="45" s="1"/>
  <c r="I126" i="45"/>
  <c r="J125" i="45"/>
  <c r="K125" i="45" s="1"/>
  <c r="I125" i="45"/>
  <c r="M125" i="45" s="1"/>
  <c r="M124" i="45"/>
  <c r="K124" i="45"/>
  <c r="J124" i="45"/>
  <c r="I124" i="45"/>
  <c r="J123" i="45"/>
  <c r="K123" i="45" s="1"/>
  <c r="I123" i="45"/>
  <c r="M123" i="45" s="1"/>
  <c r="K122" i="45"/>
  <c r="J122" i="45"/>
  <c r="I122" i="45"/>
  <c r="M122" i="45" s="1"/>
  <c r="J121" i="45"/>
  <c r="K121" i="45" s="1"/>
  <c r="I121" i="45"/>
  <c r="M121" i="45" s="1"/>
  <c r="J120" i="45"/>
  <c r="K120" i="45" s="1"/>
  <c r="I120" i="45"/>
  <c r="M120" i="45" s="1"/>
  <c r="J119" i="45"/>
  <c r="K119" i="45" s="1"/>
  <c r="I119" i="45"/>
  <c r="M119" i="45" s="1"/>
  <c r="M118" i="45"/>
  <c r="J118" i="45"/>
  <c r="K118" i="45" s="1"/>
  <c r="I118" i="45"/>
  <c r="J117" i="45"/>
  <c r="K117" i="45" s="1"/>
  <c r="I117" i="45"/>
  <c r="M117" i="45" s="1"/>
  <c r="M116" i="45"/>
  <c r="K116" i="45"/>
  <c r="J116" i="45"/>
  <c r="I116" i="45"/>
  <c r="J115" i="45"/>
  <c r="K115" i="45" s="1"/>
  <c r="I115" i="45"/>
  <c r="M115" i="45" s="1"/>
  <c r="K114" i="45"/>
  <c r="J114" i="45"/>
  <c r="I114" i="45"/>
  <c r="M114" i="45" s="1"/>
  <c r="J113" i="45"/>
  <c r="K113" i="45" s="1"/>
  <c r="I113" i="45"/>
  <c r="M113" i="45" s="1"/>
  <c r="J112" i="45"/>
  <c r="K112" i="45" s="1"/>
  <c r="I112" i="45"/>
  <c r="M112" i="45" s="1"/>
  <c r="J111" i="45"/>
  <c r="K111" i="45" s="1"/>
  <c r="I111" i="45"/>
  <c r="M111" i="45" s="1"/>
  <c r="M110" i="45"/>
  <c r="J110" i="45"/>
  <c r="K110" i="45" s="1"/>
  <c r="I110" i="45"/>
  <c r="J109" i="45"/>
  <c r="K109" i="45" s="1"/>
  <c r="I109" i="45"/>
  <c r="M109" i="45" s="1"/>
  <c r="M108" i="45"/>
  <c r="K108" i="45"/>
  <c r="J108" i="45"/>
  <c r="I108" i="45"/>
  <c r="J107" i="45"/>
  <c r="K107" i="45" s="1"/>
  <c r="I107" i="45"/>
  <c r="M107" i="45" s="1"/>
  <c r="K106" i="45"/>
  <c r="J106" i="45"/>
  <c r="I106" i="45"/>
  <c r="M106" i="45" s="1"/>
  <c r="J105" i="45"/>
  <c r="K105" i="45" s="1"/>
  <c r="I105" i="45"/>
  <c r="M105" i="45" s="1"/>
  <c r="J104" i="45"/>
  <c r="K104" i="45" s="1"/>
  <c r="I104" i="45"/>
  <c r="M104" i="45" s="1"/>
  <c r="J103" i="45"/>
  <c r="K103" i="45" s="1"/>
  <c r="I103" i="45"/>
  <c r="M103" i="45" s="1"/>
  <c r="M102" i="45"/>
  <c r="J102" i="45"/>
  <c r="K102" i="45" s="1"/>
  <c r="I102" i="45"/>
  <c r="J101" i="45"/>
  <c r="K101" i="45" s="1"/>
  <c r="I101" i="45"/>
  <c r="M101" i="45" s="1"/>
  <c r="M100" i="45"/>
  <c r="K100" i="45"/>
  <c r="J100" i="45"/>
  <c r="I100" i="45"/>
  <c r="J99" i="45"/>
  <c r="K99" i="45" s="1"/>
  <c r="I99" i="45"/>
  <c r="M99" i="45" s="1"/>
  <c r="K98" i="45"/>
  <c r="J98" i="45"/>
  <c r="I98" i="45"/>
  <c r="M98" i="45" s="1"/>
  <c r="J97" i="45"/>
  <c r="K97" i="45" s="1"/>
  <c r="I97" i="45"/>
  <c r="M97" i="45" s="1"/>
  <c r="J96" i="45"/>
  <c r="K96" i="45" s="1"/>
  <c r="I96" i="45"/>
  <c r="M96" i="45" s="1"/>
  <c r="J95" i="45"/>
  <c r="K95" i="45" s="1"/>
  <c r="I95" i="45"/>
  <c r="M95" i="45" s="1"/>
  <c r="M94" i="45"/>
  <c r="J94" i="45"/>
  <c r="K94" i="45" s="1"/>
  <c r="I94" i="45"/>
  <c r="J93" i="45"/>
  <c r="K93" i="45" s="1"/>
  <c r="I93" i="45"/>
  <c r="M93" i="45" s="1"/>
  <c r="M92" i="45"/>
  <c r="K92" i="45"/>
  <c r="J92" i="45"/>
  <c r="I92" i="45"/>
  <c r="J91" i="45"/>
  <c r="K91" i="45" s="1"/>
  <c r="I91" i="45"/>
  <c r="M91" i="45" s="1"/>
  <c r="K90" i="45"/>
  <c r="J90" i="45"/>
  <c r="I90" i="45"/>
  <c r="M90" i="45" s="1"/>
  <c r="J89" i="45"/>
  <c r="K89" i="45" s="1"/>
  <c r="I89" i="45"/>
  <c r="M89" i="45" s="1"/>
  <c r="J88" i="45"/>
  <c r="K88" i="45" s="1"/>
  <c r="I88" i="45"/>
  <c r="M88" i="45" s="1"/>
  <c r="J87" i="45"/>
  <c r="K87" i="45" s="1"/>
  <c r="I87" i="45"/>
  <c r="M87" i="45" s="1"/>
  <c r="M86" i="45"/>
  <c r="J86" i="45"/>
  <c r="K86" i="45" s="1"/>
  <c r="I86" i="45"/>
  <c r="J85" i="45"/>
  <c r="K85" i="45" s="1"/>
  <c r="I85" i="45"/>
  <c r="M85" i="45" s="1"/>
  <c r="M84" i="45"/>
  <c r="K84" i="45"/>
  <c r="J84" i="45"/>
  <c r="I84" i="45"/>
  <c r="J83" i="45"/>
  <c r="K83" i="45" s="1"/>
  <c r="I83" i="45"/>
  <c r="M83" i="45" s="1"/>
  <c r="K82" i="45"/>
  <c r="J82" i="45"/>
  <c r="I82" i="45"/>
  <c r="M82" i="45" s="1"/>
  <c r="J81" i="45"/>
  <c r="K81" i="45" s="1"/>
  <c r="I81" i="45"/>
  <c r="M81" i="45" s="1"/>
  <c r="J80" i="45"/>
  <c r="K80" i="45" s="1"/>
  <c r="I80" i="45"/>
  <c r="M80" i="45" s="1"/>
  <c r="J79" i="45"/>
  <c r="K79" i="45" s="1"/>
  <c r="I79" i="45"/>
  <c r="M79" i="45" s="1"/>
  <c r="M78" i="45"/>
  <c r="J78" i="45"/>
  <c r="K78" i="45" s="1"/>
  <c r="I78" i="45"/>
  <c r="J77" i="45"/>
  <c r="K77" i="45" s="1"/>
  <c r="I77" i="45"/>
  <c r="M77" i="45" s="1"/>
  <c r="M76" i="45"/>
  <c r="K76" i="45"/>
  <c r="J76" i="45"/>
  <c r="I76" i="45"/>
  <c r="J75" i="45"/>
  <c r="K75" i="45" s="1"/>
  <c r="I75" i="45"/>
  <c r="M75" i="45" s="1"/>
  <c r="K74" i="45"/>
  <c r="J74" i="45"/>
  <c r="I74" i="45"/>
  <c r="M74" i="45" s="1"/>
  <c r="J73" i="45"/>
  <c r="K73" i="45" s="1"/>
  <c r="I73" i="45"/>
  <c r="M73" i="45" s="1"/>
  <c r="J72" i="45"/>
  <c r="K72" i="45" s="1"/>
  <c r="I72" i="45"/>
  <c r="M72" i="45" s="1"/>
  <c r="J71" i="45"/>
  <c r="K71" i="45" s="1"/>
  <c r="I71" i="45"/>
  <c r="M71" i="45" s="1"/>
  <c r="M70" i="45"/>
  <c r="J70" i="45"/>
  <c r="K70" i="45" s="1"/>
  <c r="I70" i="45"/>
  <c r="J69" i="45"/>
  <c r="K69" i="45" s="1"/>
  <c r="I69" i="45"/>
  <c r="M69" i="45" s="1"/>
  <c r="M68" i="45"/>
  <c r="K68" i="45"/>
  <c r="J68" i="45"/>
  <c r="I68" i="45"/>
  <c r="J67" i="45"/>
  <c r="K67" i="45" s="1"/>
  <c r="I67" i="45"/>
  <c r="M67" i="45" s="1"/>
  <c r="K66" i="45"/>
  <c r="J66" i="45"/>
  <c r="I66" i="45"/>
  <c r="M66" i="45" s="1"/>
  <c r="J65" i="45"/>
  <c r="K65" i="45" s="1"/>
  <c r="I65" i="45"/>
  <c r="M65" i="45" s="1"/>
  <c r="B65" i="45"/>
  <c r="J64" i="45"/>
  <c r="K64" i="45" s="1"/>
  <c r="I64" i="45"/>
  <c r="M64" i="45" s="1"/>
  <c r="B64" i="45"/>
  <c r="M63" i="45"/>
  <c r="J63" i="45"/>
  <c r="K63" i="45" s="1"/>
  <c r="I63" i="45"/>
  <c r="B63" i="45"/>
  <c r="K62" i="45"/>
  <c r="J62" i="45"/>
  <c r="I62" i="45"/>
  <c r="M62" i="45" s="1"/>
  <c r="B62" i="45"/>
  <c r="M61" i="45"/>
  <c r="K61" i="45"/>
  <c r="J61" i="45"/>
  <c r="I61" i="45"/>
  <c r="B61" i="45"/>
  <c r="J60" i="45"/>
  <c r="K60" i="45" s="1"/>
  <c r="I60" i="45"/>
  <c r="M60" i="45" s="1"/>
  <c r="B60" i="45"/>
  <c r="J59" i="45"/>
  <c r="K59" i="45" s="1"/>
  <c r="I59" i="45"/>
  <c r="M59" i="45" s="1"/>
  <c r="B59" i="45"/>
  <c r="K58" i="45"/>
  <c r="J58" i="45"/>
  <c r="I58" i="45"/>
  <c r="M58" i="45" s="1"/>
  <c r="B58" i="45"/>
  <c r="J57" i="45"/>
  <c r="K57" i="45" s="1"/>
  <c r="I57" i="45"/>
  <c r="M57" i="45" s="1"/>
  <c r="B57" i="45"/>
  <c r="J56" i="45"/>
  <c r="K56" i="45" s="1"/>
  <c r="I56" i="45"/>
  <c r="M56" i="45" s="1"/>
  <c r="B56" i="45"/>
  <c r="J55" i="45"/>
  <c r="K55" i="45" s="1"/>
  <c r="I55" i="45"/>
  <c r="M55" i="45" s="1"/>
  <c r="K54" i="45"/>
  <c r="J54" i="45"/>
  <c r="I54" i="45"/>
  <c r="M54" i="45" s="1"/>
  <c r="K53" i="45"/>
  <c r="J53" i="45"/>
  <c r="I53" i="45"/>
  <c r="M53" i="45" s="1"/>
  <c r="J52" i="45"/>
  <c r="K52" i="45" s="1"/>
  <c r="I52" i="45"/>
  <c r="M52" i="45" s="1"/>
  <c r="B52" i="45"/>
  <c r="J51" i="45"/>
  <c r="K51" i="45" s="1"/>
  <c r="I51" i="45"/>
  <c r="M51" i="45" s="1"/>
  <c r="K50" i="45"/>
  <c r="M50" i="45" s="1"/>
  <c r="J50" i="45"/>
  <c r="I50" i="45"/>
  <c r="J49" i="45"/>
  <c r="K49" i="45" s="1"/>
  <c r="I49" i="45"/>
  <c r="J48" i="45"/>
  <c r="K48" i="45" s="1"/>
  <c r="I48" i="45"/>
  <c r="M48" i="45" s="1"/>
  <c r="J47" i="45"/>
  <c r="K47" i="45" s="1"/>
  <c r="M47" i="45" s="1"/>
  <c r="I47" i="45"/>
  <c r="T46" i="45"/>
  <c r="R46" i="45"/>
  <c r="J46" i="45"/>
  <c r="K46" i="45" s="1"/>
  <c r="I46" i="45"/>
  <c r="M46" i="45" s="1"/>
  <c r="J45" i="45"/>
  <c r="K45" i="45" s="1"/>
  <c r="I45" i="45"/>
  <c r="K44" i="45"/>
  <c r="J44" i="45"/>
  <c r="I44" i="45"/>
  <c r="M44" i="45" s="1"/>
  <c r="J43" i="45"/>
  <c r="K43" i="45" s="1"/>
  <c r="I43" i="45"/>
  <c r="J42" i="45"/>
  <c r="K42" i="45" s="1"/>
  <c r="I42" i="45"/>
  <c r="K41" i="45"/>
  <c r="J41" i="45"/>
  <c r="I41" i="45"/>
  <c r="M41" i="45" s="1"/>
  <c r="J40" i="45"/>
  <c r="K40" i="45" s="1"/>
  <c r="I40" i="45"/>
  <c r="J39" i="45"/>
  <c r="K39" i="45" s="1"/>
  <c r="I39" i="45"/>
  <c r="J38" i="45"/>
  <c r="K38" i="45" s="1"/>
  <c r="M38" i="45" s="1"/>
  <c r="I38" i="45"/>
  <c r="J37" i="45"/>
  <c r="K37" i="45" s="1"/>
  <c r="I37" i="45"/>
  <c r="J36" i="45"/>
  <c r="K36" i="45" s="1"/>
  <c r="I36" i="45"/>
  <c r="K35" i="45"/>
  <c r="J35" i="45"/>
  <c r="I35" i="45"/>
  <c r="M35" i="45" s="1"/>
  <c r="J34" i="45"/>
  <c r="K34" i="45" s="1"/>
  <c r="I34" i="45"/>
  <c r="K33" i="45"/>
  <c r="J33" i="45"/>
  <c r="I33" i="45"/>
  <c r="J32" i="45"/>
  <c r="K32" i="45" s="1"/>
  <c r="I32" i="45"/>
  <c r="K31" i="45"/>
  <c r="J31" i="45"/>
  <c r="I31" i="45"/>
  <c r="M31" i="45" s="1"/>
  <c r="J30" i="45"/>
  <c r="K30" i="45" s="1"/>
  <c r="I30" i="45"/>
  <c r="K29" i="45"/>
  <c r="J29" i="45"/>
  <c r="I29" i="45"/>
  <c r="M29" i="45" s="1"/>
  <c r="J28" i="45"/>
  <c r="K28" i="45" s="1"/>
  <c r="I28" i="45"/>
  <c r="M27" i="45"/>
  <c r="K27" i="45"/>
  <c r="J27" i="45"/>
  <c r="I27" i="45"/>
  <c r="J26" i="45"/>
  <c r="K26" i="45" s="1"/>
  <c r="I26" i="45"/>
  <c r="M26" i="45" s="1"/>
  <c r="K25" i="45"/>
  <c r="J25" i="45"/>
  <c r="I25" i="45"/>
  <c r="M25" i="45" s="1"/>
  <c r="J24" i="45"/>
  <c r="K24" i="45" s="1"/>
  <c r="I24" i="45"/>
  <c r="J23" i="45"/>
  <c r="K23" i="45" s="1"/>
  <c r="I23" i="45"/>
  <c r="M23" i="45" s="1"/>
  <c r="J22" i="45"/>
  <c r="K22" i="45" s="1"/>
  <c r="I22" i="45"/>
  <c r="M22" i="45" s="1"/>
  <c r="K21" i="45"/>
  <c r="J21" i="45"/>
  <c r="I21" i="45"/>
  <c r="J20" i="45"/>
  <c r="K20" i="45" s="1"/>
  <c r="I20" i="45"/>
  <c r="M20" i="45" s="1"/>
  <c r="J19" i="45"/>
  <c r="K19" i="45" s="1"/>
  <c r="M19" i="45" s="1"/>
  <c r="I19" i="45"/>
  <c r="J18" i="45"/>
  <c r="K18" i="45" s="1"/>
  <c r="I18" i="45"/>
  <c r="M18" i="45" s="1"/>
  <c r="J17" i="45"/>
  <c r="K17" i="45" s="1"/>
  <c r="I17" i="45"/>
  <c r="J16" i="45"/>
  <c r="K16" i="45" s="1"/>
  <c r="I16" i="45"/>
  <c r="M16" i="45" s="1"/>
  <c r="J15" i="45"/>
  <c r="K15" i="45" s="1"/>
  <c r="M15" i="45" s="1"/>
  <c r="I15" i="45"/>
  <c r="AI14" i="45"/>
  <c r="J14" i="45"/>
  <c r="K14" i="45" s="1"/>
  <c r="M14" i="45" s="1"/>
  <c r="I14" i="45"/>
  <c r="AI13" i="45"/>
  <c r="J13" i="45"/>
  <c r="K13" i="45" s="1"/>
  <c r="I13" i="45"/>
  <c r="M13" i="45" s="1"/>
  <c r="AI12" i="45"/>
  <c r="AI16" i="45" s="1"/>
  <c r="J12" i="45"/>
  <c r="K12" i="45" s="1"/>
  <c r="I12" i="45"/>
  <c r="M12" i="45" s="1"/>
  <c r="K11" i="45"/>
  <c r="J11" i="45"/>
  <c r="I11" i="45"/>
  <c r="J10" i="45"/>
  <c r="K10" i="45" s="1"/>
  <c r="I10" i="45"/>
  <c r="M10" i="45" s="1"/>
  <c r="L9" i="45"/>
  <c r="K9" i="45"/>
  <c r="M9" i="45" s="1"/>
  <c r="J9" i="45"/>
  <c r="I9" i="45"/>
  <c r="J8" i="45"/>
  <c r="K8" i="45" s="1"/>
  <c r="I8" i="45"/>
  <c r="L7" i="45"/>
  <c r="J7" i="45"/>
  <c r="K7" i="45" s="1"/>
  <c r="I7" i="45"/>
  <c r="J6" i="45"/>
  <c r="K6" i="45" s="1"/>
  <c r="I6" i="45"/>
  <c r="K2" i="45"/>
  <c r="L6" i="45" s="1"/>
  <c r="J374" i="44"/>
  <c r="J373" i="44"/>
  <c r="J372" i="44"/>
  <c r="J371" i="44"/>
  <c r="J370" i="44"/>
  <c r="J369" i="44"/>
  <c r="J368" i="44"/>
  <c r="J367" i="44"/>
  <c r="J366" i="44"/>
  <c r="J365" i="44"/>
  <c r="J364" i="44"/>
  <c r="J363" i="44"/>
  <c r="J362" i="44"/>
  <c r="J361" i="44"/>
  <c r="J360" i="44"/>
  <c r="J359" i="44"/>
  <c r="J358" i="44"/>
  <c r="J357" i="44"/>
  <c r="J356" i="44"/>
  <c r="J355" i="44"/>
  <c r="J354" i="44"/>
  <c r="J353" i="44"/>
  <c r="J352" i="44"/>
  <c r="J351" i="44"/>
  <c r="J350" i="44"/>
  <c r="J349" i="44"/>
  <c r="J348" i="44"/>
  <c r="J347" i="44"/>
  <c r="J346" i="44"/>
  <c r="J345" i="44"/>
  <c r="J344" i="44"/>
  <c r="J343" i="44"/>
  <c r="J342" i="44"/>
  <c r="J341" i="44"/>
  <c r="J340" i="44"/>
  <c r="J339" i="44"/>
  <c r="J338" i="44"/>
  <c r="J337" i="44"/>
  <c r="J336" i="44"/>
  <c r="J335" i="44"/>
  <c r="J334" i="44"/>
  <c r="J333" i="44"/>
  <c r="J332" i="44"/>
  <c r="J331" i="44"/>
  <c r="J330" i="44"/>
  <c r="J329" i="44"/>
  <c r="J328" i="44"/>
  <c r="J327" i="44"/>
  <c r="J326" i="44"/>
  <c r="J325" i="44"/>
  <c r="J324" i="44"/>
  <c r="J323" i="44"/>
  <c r="J322" i="44"/>
  <c r="J321" i="44"/>
  <c r="J320" i="44"/>
  <c r="J319" i="44"/>
  <c r="J318" i="44"/>
  <c r="J317" i="44"/>
  <c r="J316" i="44"/>
  <c r="J315" i="44"/>
  <c r="J314" i="44"/>
  <c r="J313" i="44"/>
  <c r="J312" i="44"/>
  <c r="J311" i="44"/>
  <c r="J310" i="44"/>
  <c r="J309" i="44"/>
  <c r="J308" i="44"/>
  <c r="J307" i="44"/>
  <c r="J306" i="44"/>
  <c r="J305" i="44"/>
  <c r="K305" i="44" s="1"/>
  <c r="I305" i="44"/>
  <c r="M305" i="44" s="1"/>
  <c r="J304" i="44"/>
  <c r="K304" i="44" s="1"/>
  <c r="I304" i="44"/>
  <c r="M304" i="44" s="1"/>
  <c r="J303" i="44"/>
  <c r="K303" i="44" s="1"/>
  <c r="I303" i="44"/>
  <c r="M303" i="44" s="1"/>
  <c r="J302" i="44"/>
  <c r="K302" i="44" s="1"/>
  <c r="I302" i="44"/>
  <c r="M302" i="44" s="1"/>
  <c r="J301" i="44"/>
  <c r="K301" i="44" s="1"/>
  <c r="I301" i="44"/>
  <c r="M301" i="44" s="1"/>
  <c r="J300" i="44"/>
  <c r="K300" i="44" s="1"/>
  <c r="I300" i="44"/>
  <c r="M300" i="44" s="1"/>
  <c r="J299" i="44"/>
  <c r="K299" i="44" s="1"/>
  <c r="I299" i="44"/>
  <c r="M299" i="44" s="1"/>
  <c r="J298" i="44"/>
  <c r="K298" i="44" s="1"/>
  <c r="I298" i="44"/>
  <c r="M298" i="44" s="1"/>
  <c r="J297" i="44"/>
  <c r="K297" i="44" s="1"/>
  <c r="I297" i="44"/>
  <c r="M297" i="44" s="1"/>
  <c r="J296" i="44"/>
  <c r="K296" i="44" s="1"/>
  <c r="I296" i="44"/>
  <c r="M296" i="44" s="1"/>
  <c r="J295" i="44"/>
  <c r="K295" i="44" s="1"/>
  <c r="I295" i="44"/>
  <c r="M295" i="44" s="1"/>
  <c r="J294" i="44"/>
  <c r="K294" i="44" s="1"/>
  <c r="I294" i="44"/>
  <c r="M294" i="44" s="1"/>
  <c r="J293" i="44"/>
  <c r="K293" i="44" s="1"/>
  <c r="I293" i="44"/>
  <c r="M293" i="44" s="1"/>
  <c r="J292" i="44"/>
  <c r="K292" i="44" s="1"/>
  <c r="I292" i="44"/>
  <c r="M292" i="44" s="1"/>
  <c r="J291" i="44"/>
  <c r="K291" i="44" s="1"/>
  <c r="I291" i="44"/>
  <c r="M291" i="44" s="1"/>
  <c r="J290" i="44"/>
  <c r="K290" i="44" s="1"/>
  <c r="I290" i="44"/>
  <c r="M290" i="44" s="1"/>
  <c r="J289" i="44"/>
  <c r="K289" i="44" s="1"/>
  <c r="I289" i="44"/>
  <c r="M289" i="44" s="1"/>
  <c r="J288" i="44"/>
  <c r="K288" i="44" s="1"/>
  <c r="I288" i="44"/>
  <c r="M288" i="44" s="1"/>
  <c r="J287" i="44"/>
  <c r="K287" i="44" s="1"/>
  <c r="I287" i="44"/>
  <c r="M287" i="44" s="1"/>
  <c r="J286" i="44"/>
  <c r="K286" i="44" s="1"/>
  <c r="I286" i="44"/>
  <c r="M286" i="44" s="1"/>
  <c r="J285" i="44"/>
  <c r="K285" i="44" s="1"/>
  <c r="I285" i="44"/>
  <c r="M285" i="44" s="1"/>
  <c r="J284" i="44"/>
  <c r="K284" i="44" s="1"/>
  <c r="I284" i="44"/>
  <c r="M284" i="44" s="1"/>
  <c r="J283" i="44"/>
  <c r="K283" i="44" s="1"/>
  <c r="I283" i="44"/>
  <c r="M283" i="44" s="1"/>
  <c r="J282" i="44"/>
  <c r="K282" i="44" s="1"/>
  <c r="I282" i="44"/>
  <c r="M282" i="44" s="1"/>
  <c r="M281" i="44"/>
  <c r="J281" i="44"/>
  <c r="K281" i="44" s="1"/>
  <c r="I281" i="44"/>
  <c r="K280" i="44"/>
  <c r="J280" i="44"/>
  <c r="I280" i="44"/>
  <c r="M280" i="44" s="1"/>
  <c r="J279" i="44"/>
  <c r="K279" i="44" s="1"/>
  <c r="I279" i="44"/>
  <c r="M279" i="44" s="1"/>
  <c r="J278" i="44"/>
  <c r="K278" i="44" s="1"/>
  <c r="I278" i="44"/>
  <c r="M278" i="44" s="1"/>
  <c r="J277" i="44"/>
  <c r="K277" i="44" s="1"/>
  <c r="I277" i="44"/>
  <c r="M277" i="44" s="1"/>
  <c r="J276" i="44"/>
  <c r="K276" i="44" s="1"/>
  <c r="I276" i="44"/>
  <c r="M276" i="44" s="1"/>
  <c r="J275" i="44"/>
  <c r="K275" i="44" s="1"/>
  <c r="I275" i="44"/>
  <c r="M275" i="44" s="1"/>
  <c r="J274" i="44"/>
  <c r="K274" i="44" s="1"/>
  <c r="I274" i="44"/>
  <c r="M274" i="44" s="1"/>
  <c r="J273" i="44"/>
  <c r="K273" i="44" s="1"/>
  <c r="I273" i="44"/>
  <c r="M273" i="44" s="1"/>
  <c r="J272" i="44"/>
  <c r="K272" i="44" s="1"/>
  <c r="I272" i="44"/>
  <c r="M272" i="44" s="1"/>
  <c r="J271" i="44"/>
  <c r="K271" i="44" s="1"/>
  <c r="I271" i="44"/>
  <c r="M271" i="44" s="1"/>
  <c r="J270" i="44"/>
  <c r="K270" i="44" s="1"/>
  <c r="I270" i="44"/>
  <c r="M270" i="44" s="1"/>
  <c r="J269" i="44"/>
  <c r="K269" i="44" s="1"/>
  <c r="I269" i="44"/>
  <c r="M269" i="44" s="1"/>
  <c r="J268" i="44"/>
  <c r="K268" i="44" s="1"/>
  <c r="I268" i="44"/>
  <c r="M268" i="44" s="1"/>
  <c r="M267" i="44"/>
  <c r="J267" i="44"/>
  <c r="K267" i="44" s="1"/>
  <c r="I267" i="44"/>
  <c r="J266" i="44"/>
  <c r="K266" i="44" s="1"/>
  <c r="I266" i="44"/>
  <c r="M266" i="44" s="1"/>
  <c r="J265" i="44"/>
  <c r="K265" i="44" s="1"/>
  <c r="I265" i="44"/>
  <c r="M265" i="44" s="1"/>
  <c r="J264" i="44"/>
  <c r="K264" i="44" s="1"/>
  <c r="I264" i="44"/>
  <c r="M264" i="44" s="1"/>
  <c r="K263" i="44"/>
  <c r="J263" i="44"/>
  <c r="I263" i="44"/>
  <c r="M263" i="44" s="1"/>
  <c r="J262" i="44"/>
  <c r="K262" i="44" s="1"/>
  <c r="I262" i="44"/>
  <c r="M262" i="44" s="1"/>
  <c r="J261" i="44"/>
  <c r="K261" i="44" s="1"/>
  <c r="I261" i="44"/>
  <c r="M261" i="44" s="1"/>
  <c r="K260" i="44"/>
  <c r="J260" i="44"/>
  <c r="I260" i="44"/>
  <c r="M260" i="44" s="1"/>
  <c r="J259" i="44"/>
  <c r="K259" i="44" s="1"/>
  <c r="I259" i="44"/>
  <c r="M259" i="44" s="1"/>
  <c r="J258" i="44"/>
  <c r="K258" i="44" s="1"/>
  <c r="I258" i="44"/>
  <c r="M258" i="44" s="1"/>
  <c r="J257" i="44"/>
  <c r="K257" i="44" s="1"/>
  <c r="I257" i="44"/>
  <c r="M257" i="44" s="1"/>
  <c r="J256" i="44"/>
  <c r="K256" i="44" s="1"/>
  <c r="I256" i="44"/>
  <c r="M256" i="44" s="1"/>
  <c r="J255" i="44"/>
  <c r="K255" i="44" s="1"/>
  <c r="I255" i="44"/>
  <c r="M255" i="44" s="1"/>
  <c r="J254" i="44"/>
  <c r="K254" i="44" s="1"/>
  <c r="I254" i="44"/>
  <c r="M254" i="44" s="1"/>
  <c r="K253" i="44"/>
  <c r="J253" i="44"/>
  <c r="I253" i="44"/>
  <c r="M253" i="44" s="1"/>
  <c r="J252" i="44"/>
  <c r="K252" i="44" s="1"/>
  <c r="I252" i="44"/>
  <c r="M252" i="44" s="1"/>
  <c r="J251" i="44"/>
  <c r="K251" i="44" s="1"/>
  <c r="I251" i="44"/>
  <c r="M251" i="44" s="1"/>
  <c r="K250" i="44"/>
  <c r="J250" i="44"/>
  <c r="I250" i="44"/>
  <c r="M250" i="44" s="1"/>
  <c r="J249" i="44"/>
  <c r="K249" i="44" s="1"/>
  <c r="I249" i="44"/>
  <c r="M249" i="44" s="1"/>
  <c r="J248" i="44"/>
  <c r="K248" i="44" s="1"/>
  <c r="I248" i="44"/>
  <c r="M248" i="44" s="1"/>
  <c r="J247" i="44"/>
  <c r="K247" i="44" s="1"/>
  <c r="I247" i="44"/>
  <c r="M247" i="44" s="1"/>
  <c r="J246" i="44"/>
  <c r="K246" i="44" s="1"/>
  <c r="I246" i="44"/>
  <c r="M246" i="44" s="1"/>
  <c r="J245" i="44"/>
  <c r="K245" i="44" s="1"/>
  <c r="I245" i="44"/>
  <c r="M245" i="44" s="1"/>
  <c r="J244" i="44"/>
  <c r="K244" i="44" s="1"/>
  <c r="I244" i="44"/>
  <c r="M244" i="44" s="1"/>
  <c r="J243" i="44"/>
  <c r="K243" i="44" s="1"/>
  <c r="I243" i="44"/>
  <c r="M243" i="44" s="1"/>
  <c r="J242" i="44"/>
  <c r="K242" i="44" s="1"/>
  <c r="I242" i="44"/>
  <c r="M242" i="44" s="1"/>
  <c r="J241" i="44"/>
  <c r="K241" i="44" s="1"/>
  <c r="I241" i="44"/>
  <c r="M241" i="44" s="1"/>
  <c r="J240" i="44"/>
  <c r="K240" i="44" s="1"/>
  <c r="I240" i="44"/>
  <c r="M240" i="44" s="1"/>
  <c r="J239" i="44"/>
  <c r="K239" i="44" s="1"/>
  <c r="I239" i="44"/>
  <c r="M239" i="44" s="1"/>
  <c r="J238" i="44"/>
  <c r="K238" i="44" s="1"/>
  <c r="I238" i="44"/>
  <c r="M238" i="44" s="1"/>
  <c r="J237" i="44"/>
  <c r="K237" i="44" s="1"/>
  <c r="I237" i="44"/>
  <c r="M237" i="44" s="1"/>
  <c r="J236" i="44"/>
  <c r="K236" i="44" s="1"/>
  <c r="I236" i="44"/>
  <c r="M236" i="44" s="1"/>
  <c r="J235" i="44"/>
  <c r="K235" i="44" s="1"/>
  <c r="I235" i="44"/>
  <c r="M235" i="44" s="1"/>
  <c r="J234" i="44"/>
  <c r="K234" i="44" s="1"/>
  <c r="I234" i="44"/>
  <c r="M234" i="44" s="1"/>
  <c r="J233" i="44"/>
  <c r="K233" i="44" s="1"/>
  <c r="I233" i="44"/>
  <c r="M233" i="44" s="1"/>
  <c r="J232" i="44"/>
  <c r="K232" i="44" s="1"/>
  <c r="I232" i="44"/>
  <c r="M232" i="44" s="1"/>
  <c r="J231" i="44"/>
  <c r="K231" i="44" s="1"/>
  <c r="I231" i="44"/>
  <c r="M231" i="44" s="1"/>
  <c r="J230" i="44"/>
  <c r="K230" i="44" s="1"/>
  <c r="I230" i="44"/>
  <c r="M230" i="44" s="1"/>
  <c r="J229" i="44"/>
  <c r="K229" i="44" s="1"/>
  <c r="I229" i="44"/>
  <c r="M229" i="44" s="1"/>
  <c r="J228" i="44"/>
  <c r="K228" i="44" s="1"/>
  <c r="I228" i="44"/>
  <c r="M228" i="44" s="1"/>
  <c r="J227" i="44"/>
  <c r="K227" i="44" s="1"/>
  <c r="I227" i="44"/>
  <c r="M227" i="44" s="1"/>
  <c r="J226" i="44"/>
  <c r="K226" i="44" s="1"/>
  <c r="I226" i="44"/>
  <c r="M226" i="44" s="1"/>
  <c r="M225" i="44"/>
  <c r="J225" i="44"/>
  <c r="K225" i="44" s="1"/>
  <c r="I225" i="44"/>
  <c r="J224" i="44"/>
  <c r="K224" i="44" s="1"/>
  <c r="I224" i="44"/>
  <c r="M224" i="44" s="1"/>
  <c r="J223" i="44"/>
  <c r="K223" i="44" s="1"/>
  <c r="I223" i="44"/>
  <c r="M223" i="44" s="1"/>
  <c r="J222" i="44"/>
  <c r="K222" i="44" s="1"/>
  <c r="I222" i="44"/>
  <c r="M222" i="44" s="1"/>
  <c r="J221" i="44"/>
  <c r="K221" i="44" s="1"/>
  <c r="I221" i="44"/>
  <c r="M221" i="44" s="1"/>
  <c r="J220" i="44"/>
  <c r="K220" i="44" s="1"/>
  <c r="I220" i="44"/>
  <c r="M220" i="44" s="1"/>
  <c r="J219" i="44"/>
  <c r="K219" i="44" s="1"/>
  <c r="I219" i="44"/>
  <c r="M219" i="44" s="1"/>
  <c r="J218" i="44"/>
  <c r="K218" i="44" s="1"/>
  <c r="I218" i="44"/>
  <c r="M218" i="44" s="1"/>
  <c r="J217" i="44"/>
  <c r="K217" i="44" s="1"/>
  <c r="I217" i="44"/>
  <c r="M217" i="44" s="1"/>
  <c r="J216" i="44"/>
  <c r="K216" i="44" s="1"/>
  <c r="I216" i="44"/>
  <c r="M216" i="44" s="1"/>
  <c r="J215" i="44"/>
  <c r="K215" i="44" s="1"/>
  <c r="I215" i="44"/>
  <c r="M215" i="44" s="1"/>
  <c r="J214" i="44"/>
  <c r="K214" i="44" s="1"/>
  <c r="I214" i="44"/>
  <c r="M214" i="44" s="1"/>
  <c r="J213" i="44"/>
  <c r="K213" i="44" s="1"/>
  <c r="I213" i="44"/>
  <c r="M213" i="44" s="1"/>
  <c r="J212" i="44"/>
  <c r="K212" i="44" s="1"/>
  <c r="I212" i="44"/>
  <c r="M212" i="44" s="1"/>
  <c r="J211" i="44"/>
  <c r="K211" i="44" s="1"/>
  <c r="I211" i="44"/>
  <c r="M211" i="44" s="1"/>
  <c r="J210" i="44"/>
  <c r="K210" i="44" s="1"/>
  <c r="I210" i="44"/>
  <c r="M210" i="44" s="1"/>
  <c r="J209" i="44"/>
  <c r="K209" i="44" s="1"/>
  <c r="I209" i="44"/>
  <c r="M209" i="44" s="1"/>
  <c r="J208" i="44"/>
  <c r="K208" i="44" s="1"/>
  <c r="I208" i="44"/>
  <c r="M208" i="44" s="1"/>
  <c r="J207" i="44"/>
  <c r="K207" i="44" s="1"/>
  <c r="I207" i="44"/>
  <c r="M207" i="44" s="1"/>
  <c r="J206" i="44"/>
  <c r="K206" i="44" s="1"/>
  <c r="I206" i="44"/>
  <c r="M206" i="44" s="1"/>
  <c r="J205" i="44"/>
  <c r="K205" i="44" s="1"/>
  <c r="I205" i="44"/>
  <c r="M205" i="44" s="1"/>
  <c r="J204" i="44"/>
  <c r="K204" i="44" s="1"/>
  <c r="I204" i="44"/>
  <c r="M204" i="44" s="1"/>
  <c r="J203" i="44"/>
  <c r="K203" i="44" s="1"/>
  <c r="I203" i="44"/>
  <c r="M203" i="44" s="1"/>
  <c r="J202" i="44"/>
  <c r="K202" i="44" s="1"/>
  <c r="I202" i="44"/>
  <c r="M202" i="44" s="1"/>
  <c r="J201" i="44"/>
  <c r="K201" i="44" s="1"/>
  <c r="I201" i="44"/>
  <c r="M201" i="44" s="1"/>
  <c r="J200" i="44"/>
  <c r="K200" i="44" s="1"/>
  <c r="I200" i="44"/>
  <c r="M200" i="44" s="1"/>
  <c r="J199" i="44"/>
  <c r="K199" i="44" s="1"/>
  <c r="I199" i="44"/>
  <c r="M199" i="44" s="1"/>
  <c r="J198" i="44"/>
  <c r="K198" i="44" s="1"/>
  <c r="I198" i="44"/>
  <c r="M198" i="44" s="1"/>
  <c r="J197" i="44"/>
  <c r="K197" i="44" s="1"/>
  <c r="I197" i="44"/>
  <c r="M197" i="44" s="1"/>
  <c r="J196" i="44"/>
  <c r="K196" i="44" s="1"/>
  <c r="I196" i="44"/>
  <c r="M196" i="44" s="1"/>
  <c r="K195" i="44"/>
  <c r="J195" i="44"/>
  <c r="I195" i="44"/>
  <c r="M195" i="44" s="1"/>
  <c r="J194" i="44"/>
  <c r="K194" i="44" s="1"/>
  <c r="I194" i="44"/>
  <c r="M194" i="44" s="1"/>
  <c r="M193" i="44"/>
  <c r="J193" i="44"/>
  <c r="K193" i="44" s="1"/>
  <c r="I193" i="44"/>
  <c r="K192" i="44"/>
  <c r="J192" i="44"/>
  <c r="I192" i="44"/>
  <c r="M192" i="44" s="1"/>
  <c r="J191" i="44"/>
  <c r="K191" i="44" s="1"/>
  <c r="I191" i="44"/>
  <c r="M191" i="44" s="1"/>
  <c r="J190" i="44"/>
  <c r="K190" i="44" s="1"/>
  <c r="I190" i="44"/>
  <c r="M190" i="44" s="1"/>
  <c r="J189" i="44"/>
  <c r="K189" i="44" s="1"/>
  <c r="I189" i="44"/>
  <c r="M189" i="44" s="1"/>
  <c r="J188" i="44"/>
  <c r="K188" i="44" s="1"/>
  <c r="I188" i="44"/>
  <c r="M188" i="44" s="1"/>
  <c r="J187" i="44"/>
  <c r="K187" i="44" s="1"/>
  <c r="I187" i="44"/>
  <c r="M187" i="44" s="1"/>
  <c r="J186" i="44"/>
  <c r="K186" i="44" s="1"/>
  <c r="I186" i="44"/>
  <c r="M186" i="44" s="1"/>
  <c r="J185" i="44"/>
  <c r="K185" i="44" s="1"/>
  <c r="I185" i="44"/>
  <c r="M185" i="44" s="1"/>
  <c r="J184" i="44"/>
  <c r="K184" i="44" s="1"/>
  <c r="I184" i="44"/>
  <c r="M184" i="44" s="1"/>
  <c r="J183" i="44"/>
  <c r="K183" i="44" s="1"/>
  <c r="I183" i="44"/>
  <c r="M183" i="44" s="1"/>
  <c r="J182" i="44"/>
  <c r="K182" i="44" s="1"/>
  <c r="I182" i="44"/>
  <c r="M182" i="44" s="1"/>
  <c r="M181" i="44"/>
  <c r="J181" i="44"/>
  <c r="K181" i="44" s="1"/>
  <c r="I181" i="44"/>
  <c r="J180" i="44"/>
  <c r="K180" i="44" s="1"/>
  <c r="I180" i="44"/>
  <c r="M180" i="44" s="1"/>
  <c r="J179" i="44"/>
  <c r="K179" i="44" s="1"/>
  <c r="I179" i="44"/>
  <c r="M179" i="44" s="1"/>
  <c r="J178" i="44"/>
  <c r="K178" i="44" s="1"/>
  <c r="I178" i="44"/>
  <c r="M178" i="44" s="1"/>
  <c r="J177" i="44"/>
  <c r="K177" i="44" s="1"/>
  <c r="I177" i="44"/>
  <c r="M177" i="44" s="1"/>
  <c r="J176" i="44"/>
  <c r="K176" i="44" s="1"/>
  <c r="I176" i="44"/>
  <c r="M176" i="44" s="1"/>
  <c r="J175" i="44"/>
  <c r="K175" i="44" s="1"/>
  <c r="I175" i="44"/>
  <c r="M175" i="44" s="1"/>
  <c r="J174" i="44"/>
  <c r="K174" i="44" s="1"/>
  <c r="I174" i="44"/>
  <c r="M174" i="44" s="1"/>
  <c r="J173" i="44"/>
  <c r="K173" i="44" s="1"/>
  <c r="I173" i="44"/>
  <c r="M173" i="44" s="1"/>
  <c r="J172" i="44"/>
  <c r="K172" i="44" s="1"/>
  <c r="I172" i="44"/>
  <c r="M172" i="44" s="1"/>
  <c r="J171" i="44"/>
  <c r="K171" i="44" s="1"/>
  <c r="I171" i="44"/>
  <c r="M171" i="44" s="1"/>
  <c r="J170" i="44"/>
  <c r="K170" i="44" s="1"/>
  <c r="I170" i="44"/>
  <c r="M170" i="44" s="1"/>
  <c r="J169" i="44"/>
  <c r="K169" i="44" s="1"/>
  <c r="I169" i="44"/>
  <c r="M169" i="44" s="1"/>
  <c r="J168" i="44"/>
  <c r="K168" i="44" s="1"/>
  <c r="I168" i="44"/>
  <c r="M168" i="44" s="1"/>
  <c r="J167" i="44"/>
  <c r="K167" i="44" s="1"/>
  <c r="I167" i="44"/>
  <c r="M167" i="44" s="1"/>
  <c r="J166" i="44"/>
  <c r="K166" i="44" s="1"/>
  <c r="I166" i="44"/>
  <c r="M166" i="44" s="1"/>
  <c r="J165" i="44"/>
  <c r="K165" i="44" s="1"/>
  <c r="I165" i="44"/>
  <c r="M165" i="44" s="1"/>
  <c r="J164" i="44"/>
  <c r="K164" i="44" s="1"/>
  <c r="I164" i="44"/>
  <c r="M164" i="44" s="1"/>
  <c r="J163" i="44"/>
  <c r="K163" i="44" s="1"/>
  <c r="I163" i="44"/>
  <c r="M163" i="44" s="1"/>
  <c r="J162" i="44"/>
  <c r="K162" i="44" s="1"/>
  <c r="I162" i="44"/>
  <c r="M162" i="44" s="1"/>
  <c r="K161" i="44"/>
  <c r="J161" i="44"/>
  <c r="I161" i="44"/>
  <c r="M161" i="44" s="1"/>
  <c r="J160" i="44"/>
  <c r="K160" i="44" s="1"/>
  <c r="I160" i="44"/>
  <c r="M160" i="44" s="1"/>
  <c r="J159" i="44"/>
  <c r="K159" i="44" s="1"/>
  <c r="I159" i="44"/>
  <c r="M159" i="44" s="1"/>
  <c r="J158" i="44"/>
  <c r="K158" i="44" s="1"/>
  <c r="I158" i="44"/>
  <c r="M158" i="44" s="1"/>
  <c r="J157" i="44"/>
  <c r="K157" i="44" s="1"/>
  <c r="I157" i="44"/>
  <c r="M157" i="44" s="1"/>
  <c r="J156" i="44"/>
  <c r="K156" i="44" s="1"/>
  <c r="I156" i="44"/>
  <c r="M156" i="44" s="1"/>
  <c r="J155" i="44"/>
  <c r="K155" i="44" s="1"/>
  <c r="I155" i="44"/>
  <c r="M155" i="44" s="1"/>
  <c r="J154" i="44"/>
  <c r="K154" i="44" s="1"/>
  <c r="I154" i="44"/>
  <c r="M154" i="44" s="1"/>
  <c r="J153" i="44"/>
  <c r="K153" i="44" s="1"/>
  <c r="I153" i="44"/>
  <c r="M153" i="44" s="1"/>
  <c r="J152" i="44"/>
  <c r="K152" i="44" s="1"/>
  <c r="I152" i="44"/>
  <c r="M152" i="44" s="1"/>
  <c r="J151" i="44"/>
  <c r="K151" i="44" s="1"/>
  <c r="I151" i="44"/>
  <c r="M151" i="44" s="1"/>
  <c r="J150" i="44"/>
  <c r="K150" i="44" s="1"/>
  <c r="I150" i="44"/>
  <c r="M150" i="44" s="1"/>
  <c r="J149" i="44"/>
  <c r="K149" i="44" s="1"/>
  <c r="I149" i="44"/>
  <c r="M149" i="44" s="1"/>
  <c r="J148" i="44"/>
  <c r="K148" i="44" s="1"/>
  <c r="I148" i="44"/>
  <c r="M148" i="44" s="1"/>
  <c r="J147" i="44"/>
  <c r="K147" i="44" s="1"/>
  <c r="I147" i="44"/>
  <c r="M147" i="44" s="1"/>
  <c r="J146" i="44"/>
  <c r="K146" i="44" s="1"/>
  <c r="I146" i="44"/>
  <c r="M146" i="44" s="1"/>
  <c r="J145" i="44"/>
  <c r="K145" i="44" s="1"/>
  <c r="I145" i="44"/>
  <c r="M145" i="44" s="1"/>
  <c r="K144" i="44"/>
  <c r="J144" i="44"/>
  <c r="I144" i="44"/>
  <c r="M144" i="44" s="1"/>
  <c r="J143" i="44"/>
  <c r="K143" i="44" s="1"/>
  <c r="I143" i="44"/>
  <c r="M143" i="44" s="1"/>
  <c r="J142" i="44"/>
  <c r="K142" i="44" s="1"/>
  <c r="I142" i="44"/>
  <c r="M142" i="44" s="1"/>
  <c r="M141" i="44"/>
  <c r="J141" i="44"/>
  <c r="K141" i="44" s="1"/>
  <c r="I141" i="44"/>
  <c r="J140" i="44"/>
  <c r="K140" i="44" s="1"/>
  <c r="I140" i="44"/>
  <c r="M140" i="44" s="1"/>
  <c r="J139" i="44"/>
  <c r="K139" i="44" s="1"/>
  <c r="I139" i="44"/>
  <c r="M139" i="44" s="1"/>
  <c r="J138" i="44"/>
  <c r="K138" i="44" s="1"/>
  <c r="I138" i="44"/>
  <c r="M138" i="44" s="1"/>
  <c r="J137" i="44"/>
  <c r="K137" i="44" s="1"/>
  <c r="I137" i="44"/>
  <c r="M137" i="44" s="1"/>
  <c r="J136" i="44"/>
  <c r="K136" i="44" s="1"/>
  <c r="I136" i="44"/>
  <c r="M136" i="44" s="1"/>
  <c r="J135" i="44"/>
  <c r="K135" i="44" s="1"/>
  <c r="I135" i="44"/>
  <c r="M135" i="44" s="1"/>
  <c r="J134" i="44"/>
  <c r="K134" i="44" s="1"/>
  <c r="I134" i="44"/>
  <c r="M134" i="44" s="1"/>
  <c r="J133" i="44"/>
  <c r="K133" i="44" s="1"/>
  <c r="I133" i="44"/>
  <c r="M133" i="44" s="1"/>
  <c r="J132" i="44"/>
  <c r="K132" i="44" s="1"/>
  <c r="I132" i="44"/>
  <c r="M132" i="44" s="1"/>
  <c r="J131" i="44"/>
  <c r="K131" i="44" s="1"/>
  <c r="I131" i="44"/>
  <c r="M131" i="44" s="1"/>
  <c r="J130" i="44"/>
  <c r="K130" i="44" s="1"/>
  <c r="I130" i="44"/>
  <c r="M130" i="44" s="1"/>
  <c r="J129" i="44"/>
  <c r="K129" i="44" s="1"/>
  <c r="I129" i="44"/>
  <c r="M129" i="44" s="1"/>
  <c r="M128" i="44"/>
  <c r="J128" i="44"/>
  <c r="K128" i="44" s="1"/>
  <c r="I128" i="44"/>
  <c r="J127" i="44"/>
  <c r="K127" i="44" s="1"/>
  <c r="I127" i="44"/>
  <c r="M127" i="44" s="1"/>
  <c r="J126" i="44"/>
  <c r="K126" i="44" s="1"/>
  <c r="I126" i="44"/>
  <c r="M126" i="44" s="1"/>
  <c r="J125" i="44"/>
  <c r="K125" i="44" s="1"/>
  <c r="I125" i="44"/>
  <c r="M125" i="44" s="1"/>
  <c r="J124" i="44"/>
  <c r="K124" i="44" s="1"/>
  <c r="I124" i="44"/>
  <c r="M124" i="44" s="1"/>
  <c r="J123" i="44"/>
  <c r="K123" i="44" s="1"/>
  <c r="I123" i="44"/>
  <c r="M123" i="44" s="1"/>
  <c r="J122" i="44"/>
  <c r="K122" i="44" s="1"/>
  <c r="I122" i="44"/>
  <c r="M122" i="44" s="1"/>
  <c r="J121" i="44"/>
  <c r="K121" i="44" s="1"/>
  <c r="I121" i="44"/>
  <c r="M121" i="44" s="1"/>
  <c r="J120" i="44"/>
  <c r="K120" i="44" s="1"/>
  <c r="I120" i="44"/>
  <c r="M120" i="44" s="1"/>
  <c r="J119" i="44"/>
  <c r="K119" i="44" s="1"/>
  <c r="I119" i="44"/>
  <c r="M119" i="44" s="1"/>
  <c r="J118" i="44"/>
  <c r="K118" i="44" s="1"/>
  <c r="I118" i="44"/>
  <c r="M118" i="44" s="1"/>
  <c r="J117" i="44"/>
  <c r="K117" i="44" s="1"/>
  <c r="I117" i="44"/>
  <c r="M117" i="44" s="1"/>
  <c r="J116" i="44"/>
  <c r="K116" i="44" s="1"/>
  <c r="I116" i="44"/>
  <c r="M116" i="44" s="1"/>
  <c r="J115" i="44"/>
  <c r="K115" i="44" s="1"/>
  <c r="I115" i="44"/>
  <c r="M115" i="44" s="1"/>
  <c r="M114" i="44"/>
  <c r="J114" i="44"/>
  <c r="K114" i="44" s="1"/>
  <c r="I114" i="44"/>
  <c r="J113" i="44"/>
  <c r="K113" i="44" s="1"/>
  <c r="I113" i="44"/>
  <c r="M113" i="44" s="1"/>
  <c r="J112" i="44"/>
  <c r="K112" i="44" s="1"/>
  <c r="I112" i="44"/>
  <c r="M112" i="44" s="1"/>
  <c r="J111" i="44"/>
  <c r="K111" i="44" s="1"/>
  <c r="I111" i="44"/>
  <c r="M111" i="44" s="1"/>
  <c r="J110" i="44"/>
  <c r="K110" i="44" s="1"/>
  <c r="I110" i="44"/>
  <c r="M110" i="44" s="1"/>
  <c r="J109" i="44"/>
  <c r="K109" i="44" s="1"/>
  <c r="I109" i="44"/>
  <c r="M109" i="44" s="1"/>
  <c r="J108" i="44"/>
  <c r="K108" i="44" s="1"/>
  <c r="I108" i="44"/>
  <c r="M108" i="44" s="1"/>
  <c r="J107" i="44"/>
  <c r="K107" i="44" s="1"/>
  <c r="I107" i="44"/>
  <c r="M107" i="44" s="1"/>
  <c r="J106" i="44"/>
  <c r="K106" i="44" s="1"/>
  <c r="I106" i="44"/>
  <c r="M106" i="44" s="1"/>
  <c r="J105" i="44"/>
  <c r="K105" i="44" s="1"/>
  <c r="I105" i="44"/>
  <c r="M105" i="44" s="1"/>
  <c r="J104" i="44"/>
  <c r="K104" i="44" s="1"/>
  <c r="I104" i="44"/>
  <c r="M104" i="44" s="1"/>
  <c r="J103" i="44"/>
  <c r="K103" i="44" s="1"/>
  <c r="I103" i="44"/>
  <c r="M103" i="44" s="1"/>
  <c r="J102" i="44"/>
  <c r="K102" i="44" s="1"/>
  <c r="I102" i="44"/>
  <c r="M102" i="44" s="1"/>
  <c r="J101" i="44"/>
  <c r="K101" i="44" s="1"/>
  <c r="I101" i="44"/>
  <c r="M101" i="44" s="1"/>
  <c r="J100" i="44"/>
  <c r="K100" i="44" s="1"/>
  <c r="I100" i="44"/>
  <c r="M100" i="44" s="1"/>
  <c r="J99" i="44"/>
  <c r="K99" i="44" s="1"/>
  <c r="I99" i="44"/>
  <c r="M99" i="44" s="1"/>
  <c r="M98" i="44"/>
  <c r="J98" i="44"/>
  <c r="K98" i="44" s="1"/>
  <c r="I98" i="44"/>
  <c r="J97" i="44"/>
  <c r="K97" i="44" s="1"/>
  <c r="I97" i="44"/>
  <c r="M97" i="44" s="1"/>
  <c r="J96" i="44"/>
  <c r="K96" i="44" s="1"/>
  <c r="I96" i="44"/>
  <c r="M96" i="44" s="1"/>
  <c r="J95" i="44"/>
  <c r="K95" i="44" s="1"/>
  <c r="I95" i="44"/>
  <c r="M95" i="44" s="1"/>
  <c r="J94" i="44"/>
  <c r="K94" i="44" s="1"/>
  <c r="I94" i="44"/>
  <c r="M94" i="44" s="1"/>
  <c r="J93" i="44"/>
  <c r="K93" i="44" s="1"/>
  <c r="I93" i="44"/>
  <c r="M93" i="44" s="1"/>
  <c r="J92" i="44"/>
  <c r="K92" i="44" s="1"/>
  <c r="I92" i="44"/>
  <c r="M92" i="44" s="1"/>
  <c r="J91" i="44"/>
  <c r="K91" i="44" s="1"/>
  <c r="I91" i="44"/>
  <c r="M91" i="44" s="1"/>
  <c r="K90" i="44"/>
  <c r="J90" i="44"/>
  <c r="I90" i="44"/>
  <c r="M90" i="44" s="1"/>
  <c r="J89" i="44"/>
  <c r="K89" i="44" s="1"/>
  <c r="I89" i="44"/>
  <c r="M89" i="44" s="1"/>
  <c r="M88" i="44"/>
  <c r="J88" i="44"/>
  <c r="K88" i="44" s="1"/>
  <c r="I88" i="44"/>
  <c r="J87" i="44"/>
  <c r="K87" i="44" s="1"/>
  <c r="I87" i="44"/>
  <c r="M87" i="44" s="1"/>
  <c r="J86" i="44"/>
  <c r="K86" i="44" s="1"/>
  <c r="I86" i="44"/>
  <c r="M86" i="44" s="1"/>
  <c r="J85" i="44"/>
  <c r="K85" i="44" s="1"/>
  <c r="I85" i="44"/>
  <c r="M85" i="44" s="1"/>
  <c r="J84" i="44"/>
  <c r="K84" i="44" s="1"/>
  <c r="I84" i="44"/>
  <c r="M84" i="44" s="1"/>
  <c r="J83" i="44"/>
  <c r="K83" i="44" s="1"/>
  <c r="I83" i="44"/>
  <c r="M83" i="44" s="1"/>
  <c r="J82" i="44"/>
  <c r="K82" i="44" s="1"/>
  <c r="I82" i="44"/>
  <c r="M82" i="44" s="1"/>
  <c r="J81" i="44"/>
  <c r="K81" i="44" s="1"/>
  <c r="I81" i="44"/>
  <c r="M81" i="44" s="1"/>
  <c r="M80" i="44"/>
  <c r="J80" i="44"/>
  <c r="K80" i="44" s="1"/>
  <c r="I80" i="44"/>
  <c r="J79" i="44"/>
  <c r="K79" i="44" s="1"/>
  <c r="I79" i="44"/>
  <c r="M79" i="44" s="1"/>
  <c r="J78" i="44"/>
  <c r="K78" i="44" s="1"/>
  <c r="I78" i="44"/>
  <c r="M78" i="44" s="1"/>
  <c r="J77" i="44"/>
  <c r="K77" i="44" s="1"/>
  <c r="I77" i="44"/>
  <c r="M77" i="44" s="1"/>
  <c r="J76" i="44"/>
  <c r="K76" i="44" s="1"/>
  <c r="I76" i="44"/>
  <c r="M76" i="44" s="1"/>
  <c r="J75" i="44"/>
  <c r="K75" i="44" s="1"/>
  <c r="I75" i="44"/>
  <c r="M75" i="44" s="1"/>
  <c r="J74" i="44"/>
  <c r="K74" i="44" s="1"/>
  <c r="I74" i="44"/>
  <c r="M74" i="44" s="1"/>
  <c r="J73" i="44"/>
  <c r="K73" i="44" s="1"/>
  <c r="I73" i="44"/>
  <c r="M73" i="44" s="1"/>
  <c r="J72" i="44"/>
  <c r="K72" i="44" s="1"/>
  <c r="I72" i="44"/>
  <c r="M72" i="44" s="1"/>
  <c r="J71" i="44"/>
  <c r="K71" i="44" s="1"/>
  <c r="I71" i="44"/>
  <c r="M71" i="44" s="1"/>
  <c r="J70" i="44"/>
  <c r="K70" i="44" s="1"/>
  <c r="I70" i="44"/>
  <c r="M70" i="44" s="1"/>
  <c r="J69" i="44"/>
  <c r="K69" i="44" s="1"/>
  <c r="I69" i="44"/>
  <c r="M69" i="44" s="1"/>
  <c r="J68" i="44"/>
  <c r="K68" i="44" s="1"/>
  <c r="I68" i="44"/>
  <c r="M68" i="44" s="1"/>
  <c r="J67" i="44"/>
  <c r="K67" i="44" s="1"/>
  <c r="I67" i="44"/>
  <c r="M67" i="44" s="1"/>
  <c r="M66" i="44"/>
  <c r="J66" i="44"/>
  <c r="K66" i="44" s="1"/>
  <c r="I66" i="44"/>
  <c r="J65" i="44"/>
  <c r="K65" i="44" s="1"/>
  <c r="I65" i="44"/>
  <c r="M65" i="44" s="1"/>
  <c r="B65" i="44"/>
  <c r="J64" i="44"/>
  <c r="K64" i="44" s="1"/>
  <c r="I64" i="44"/>
  <c r="M64" i="44" s="1"/>
  <c r="B64" i="44"/>
  <c r="J63" i="44"/>
  <c r="K63" i="44" s="1"/>
  <c r="I63" i="44"/>
  <c r="M63" i="44" s="1"/>
  <c r="B63" i="44"/>
  <c r="J62" i="44"/>
  <c r="K62" i="44" s="1"/>
  <c r="I62" i="44"/>
  <c r="M62" i="44" s="1"/>
  <c r="B62" i="44"/>
  <c r="J61" i="44"/>
  <c r="K61" i="44" s="1"/>
  <c r="I61" i="44"/>
  <c r="M61" i="44" s="1"/>
  <c r="B61" i="44"/>
  <c r="J60" i="44"/>
  <c r="K60" i="44" s="1"/>
  <c r="I60" i="44"/>
  <c r="M60" i="44" s="1"/>
  <c r="B60" i="44"/>
  <c r="J59" i="44"/>
  <c r="K59" i="44" s="1"/>
  <c r="I59" i="44"/>
  <c r="M59" i="44" s="1"/>
  <c r="B59" i="44"/>
  <c r="J58" i="44"/>
  <c r="K58" i="44" s="1"/>
  <c r="I58" i="44"/>
  <c r="M58" i="44" s="1"/>
  <c r="B58" i="44"/>
  <c r="J57" i="44"/>
  <c r="K57" i="44" s="1"/>
  <c r="I57" i="44"/>
  <c r="M57" i="44" s="1"/>
  <c r="B57" i="44"/>
  <c r="J56" i="44"/>
  <c r="K56" i="44" s="1"/>
  <c r="I56" i="44"/>
  <c r="M56" i="44" s="1"/>
  <c r="B56" i="44"/>
  <c r="J55" i="44"/>
  <c r="K55" i="44" s="1"/>
  <c r="I55" i="44"/>
  <c r="M55" i="44" s="1"/>
  <c r="B55" i="44"/>
  <c r="J54" i="44"/>
  <c r="K54" i="44" s="1"/>
  <c r="I54" i="44"/>
  <c r="M54" i="44" s="1"/>
  <c r="B54" i="44"/>
  <c r="K53" i="44"/>
  <c r="J53" i="44"/>
  <c r="I53" i="44"/>
  <c r="M53" i="44" s="1"/>
  <c r="B53" i="44"/>
  <c r="J52" i="44"/>
  <c r="K52" i="44" s="1"/>
  <c r="I52" i="44"/>
  <c r="M52" i="44" s="1"/>
  <c r="B52" i="44"/>
  <c r="K51" i="44"/>
  <c r="J51" i="44"/>
  <c r="I51" i="44"/>
  <c r="M51" i="44" s="1"/>
  <c r="B51" i="44"/>
  <c r="J50" i="44"/>
  <c r="K50" i="44" s="1"/>
  <c r="I50" i="44"/>
  <c r="M50" i="44" s="1"/>
  <c r="B50" i="44"/>
  <c r="J49" i="44"/>
  <c r="K49" i="44" s="1"/>
  <c r="I49" i="44"/>
  <c r="M49" i="44" s="1"/>
  <c r="B49" i="44"/>
  <c r="J48" i="44"/>
  <c r="K48" i="44" s="1"/>
  <c r="I48" i="44"/>
  <c r="M48" i="44" s="1"/>
  <c r="B48" i="44"/>
  <c r="J47" i="44"/>
  <c r="K47" i="44" s="1"/>
  <c r="I47" i="44"/>
  <c r="M47" i="44" s="1"/>
  <c r="B47" i="44"/>
  <c r="T46" i="44"/>
  <c r="R46" i="44"/>
  <c r="U46" i="44" s="1"/>
  <c r="J46" i="44"/>
  <c r="K46" i="44" s="1"/>
  <c r="I46" i="44"/>
  <c r="M46" i="44" s="1"/>
  <c r="B46" i="44"/>
  <c r="J45" i="44"/>
  <c r="K45" i="44" s="1"/>
  <c r="I45" i="44"/>
  <c r="M45" i="44" s="1"/>
  <c r="B45" i="44"/>
  <c r="J44" i="44"/>
  <c r="K44" i="44" s="1"/>
  <c r="I44" i="44"/>
  <c r="M44" i="44" s="1"/>
  <c r="B44" i="44"/>
  <c r="J43" i="44"/>
  <c r="K43" i="44" s="1"/>
  <c r="I43" i="44"/>
  <c r="M43" i="44" s="1"/>
  <c r="B43" i="44"/>
  <c r="J42" i="44"/>
  <c r="K42" i="44" s="1"/>
  <c r="I42" i="44"/>
  <c r="M42" i="44" s="1"/>
  <c r="B42" i="44"/>
  <c r="J41" i="44"/>
  <c r="K41" i="44" s="1"/>
  <c r="I41" i="44"/>
  <c r="M41" i="44" s="1"/>
  <c r="B41" i="44"/>
  <c r="J40" i="44"/>
  <c r="K40" i="44" s="1"/>
  <c r="I40" i="44"/>
  <c r="M40" i="44" s="1"/>
  <c r="B40" i="44"/>
  <c r="J39" i="44"/>
  <c r="K39" i="44" s="1"/>
  <c r="I39" i="44"/>
  <c r="M39" i="44" s="1"/>
  <c r="J38" i="44"/>
  <c r="K38" i="44" s="1"/>
  <c r="I38" i="44"/>
  <c r="M38" i="44" s="1"/>
  <c r="B38" i="44"/>
  <c r="J37" i="44"/>
  <c r="K37" i="44" s="1"/>
  <c r="I37" i="44"/>
  <c r="M37" i="44" s="1"/>
  <c r="A37" i="44" s="1"/>
  <c r="B37" i="44"/>
  <c r="J36" i="44"/>
  <c r="K36" i="44" s="1"/>
  <c r="M36" i="44" s="1"/>
  <c r="A36" i="44" s="1"/>
  <c r="I36" i="44"/>
  <c r="B36" i="44"/>
  <c r="J35" i="44"/>
  <c r="K35" i="44" s="1"/>
  <c r="I35" i="44"/>
  <c r="M35" i="44" s="1"/>
  <c r="A35" i="44" s="1"/>
  <c r="B35" i="44"/>
  <c r="J34" i="44"/>
  <c r="K34" i="44" s="1"/>
  <c r="I34" i="44"/>
  <c r="M34" i="44" s="1"/>
  <c r="A34" i="44" s="1"/>
  <c r="B34" i="44"/>
  <c r="J33" i="44"/>
  <c r="K33" i="44" s="1"/>
  <c r="I33" i="44"/>
  <c r="B33" i="44"/>
  <c r="J32" i="44"/>
  <c r="K32" i="44" s="1"/>
  <c r="I32" i="44"/>
  <c r="M32" i="44" s="1"/>
  <c r="A32" i="44" s="1"/>
  <c r="B32" i="44"/>
  <c r="K31" i="44"/>
  <c r="M31" i="44" s="1"/>
  <c r="A31" i="44" s="1"/>
  <c r="J31" i="44"/>
  <c r="I31" i="44"/>
  <c r="B31" i="44"/>
  <c r="J30" i="44"/>
  <c r="K30" i="44" s="1"/>
  <c r="I30" i="44"/>
  <c r="M30" i="44" s="1"/>
  <c r="A30" i="44" s="1"/>
  <c r="B30" i="44"/>
  <c r="J29" i="44"/>
  <c r="K29" i="44" s="1"/>
  <c r="I29" i="44"/>
  <c r="M29" i="44" s="1"/>
  <c r="A29" i="44" s="1"/>
  <c r="B29" i="44"/>
  <c r="J28" i="44"/>
  <c r="K28" i="44" s="1"/>
  <c r="I28" i="44"/>
  <c r="B28" i="44"/>
  <c r="J27" i="44"/>
  <c r="K27" i="44" s="1"/>
  <c r="I27" i="44"/>
  <c r="M27" i="44" s="1"/>
  <c r="A27" i="44" s="1"/>
  <c r="B27" i="44"/>
  <c r="J26" i="44"/>
  <c r="K26" i="44" s="1"/>
  <c r="I26" i="44"/>
  <c r="B26" i="44"/>
  <c r="J25" i="44"/>
  <c r="K25" i="44" s="1"/>
  <c r="I25" i="44"/>
  <c r="M25" i="44" s="1"/>
  <c r="A25" i="44" s="1"/>
  <c r="B25" i="44"/>
  <c r="J24" i="44"/>
  <c r="K24" i="44" s="1"/>
  <c r="I24" i="44"/>
  <c r="B24" i="44"/>
  <c r="J23" i="44"/>
  <c r="K23" i="44" s="1"/>
  <c r="I23" i="44"/>
  <c r="B23" i="44"/>
  <c r="J22" i="44"/>
  <c r="K22" i="44" s="1"/>
  <c r="I22" i="44"/>
  <c r="B22" i="44"/>
  <c r="M21" i="44"/>
  <c r="A21" i="44" s="1"/>
  <c r="J21" i="44"/>
  <c r="K21" i="44" s="1"/>
  <c r="I21" i="44"/>
  <c r="B21" i="44"/>
  <c r="J20" i="44"/>
  <c r="K20" i="44" s="1"/>
  <c r="I20" i="44"/>
  <c r="M20" i="44" s="1"/>
  <c r="A20" i="44" s="1"/>
  <c r="B20" i="44"/>
  <c r="J19" i="44"/>
  <c r="K19" i="44" s="1"/>
  <c r="I19" i="44"/>
  <c r="B19" i="44"/>
  <c r="J18" i="44"/>
  <c r="K18" i="44" s="1"/>
  <c r="I18" i="44"/>
  <c r="B18" i="44"/>
  <c r="J17" i="44"/>
  <c r="K17" i="44" s="1"/>
  <c r="I17" i="44"/>
  <c r="B17" i="44"/>
  <c r="K16" i="44"/>
  <c r="J16" i="44"/>
  <c r="I16" i="44"/>
  <c r="B16" i="44"/>
  <c r="J15" i="44"/>
  <c r="K15" i="44" s="1"/>
  <c r="I15" i="44"/>
  <c r="B15" i="44"/>
  <c r="AI14" i="44"/>
  <c r="J14" i="44"/>
  <c r="K14" i="44" s="1"/>
  <c r="I14" i="44"/>
  <c r="B14" i="44"/>
  <c r="AI13" i="44"/>
  <c r="AI16" i="44" s="1"/>
  <c r="J13" i="44"/>
  <c r="K13" i="44" s="1"/>
  <c r="I13" i="44"/>
  <c r="B13" i="44"/>
  <c r="AI12" i="44"/>
  <c r="J12" i="44"/>
  <c r="K12" i="44" s="1"/>
  <c r="I12" i="44"/>
  <c r="B12" i="44"/>
  <c r="J11" i="44"/>
  <c r="K11" i="44" s="1"/>
  <c r="I11" i="44"/>
  <c r="M11" i="44" s="1"/>
  <c r="A11" i="44" s="1"/>
  <c r="B11" i="44"/>
  <c r="J10" i="44"/>
  <c r="K10" i="44" s="1"/>
  <c r="I10" i="44"/>
  <c r="M10" i="44" s="1"/>
  <c r="A10" i="44" s="1"/>
  <c r="B10" i="44"/>
  <c r="J9" i="44"/>
  <c r="K9" i="44" s="1"/>
  <c r="I9" i="44"/>
  <c r="B9" i="44"/>
  <c r="J8" i="44"/>
  <c r="K8" i="44" s="1"/>
  <c r="I8" i="44"/>
  <c r="B8" i="44"/>
  <c r="J7" i="44"/>
  <c r="K7" i="44" s="1"/>
  <c r="I7" i="44"/>
  <c r="B7" i="44"/>
  <c r="J6" i="44"/>
  <c r="K6" i="44" s="1"/>
  <c r="I6" i="44"/>
  <c r="B6" i="44"/>
  <c r="K2" i="44"/>
  <c r="L9" i="44" s="1"/>
  <c r="J305" i="43"/>
  <c r="K305" i="43" s="1"/>
  <c r="I305" i="43"/>
  <c r="M305" i="43" s="1"/>
  <c r="J304" i="43"/>
  <c r="K304" i="43" s="1"/>
  <c r="I304" i="43"/>
  <c r="M304" i="43" s="1"/>
  <c r="J303" i="43"/>
  <c r="K303" i="43" s="1"/>
  <c r="I303" i="43"/>
  <c r="M303" i="43" s="1"/>
  <c r="J302" i="43"/>
  <c r="K302" i="43" s="1"/>
  <c r="I302" i="43"/>
  <c r="M302" i="43" s="1"/>
  <c r="J301" i="43"/>
  <c r="K301" i="43" s="1"/>
  <c r="I301" i="43"/>
  <c r="M301" i="43" s="1"/>
  <c r="J300" i="43"/>
  <c r="K300" i="43" s="1"/>
  <c r="I300" i="43"/>
  <c r="M300" i="43" s="1"/>
  <c r="J299" i="43"/>
  <c r="K299" i="43" s="1"/>
  <c r="I299" i="43"/>
  <c r="M299" i="43" s="1"/>
  <c r="J298" i="43"/>
  <c r="K298" i="43" s="1"/>
  <c r="I298" i="43"/>
  <c r="M298" i="43" s="1"/>
  <c r="J297" i="43"/>
  <c r="K297" i="43" s="1"/>
  <c r="I297" i="43"/>
  <c r="M297" i="43" s="1"/>
  <c r="J296" i="43"/>
  <c r="K296" i="43" s="1"/>
  <c r="I296" i="43"/>
  <c r="M296" i="43" s="1"/>
  <c r="J295" i="43"/>
  <c r="K295" i="43" s="1"/>
  <c r="I295" i="43"/>
  <c r="M295" i="43" s="1"/>
  <c r="J294" i="43"/>
  <c r="K294" i="43" s="1"/>
  <c r="I294" i="43"/>
  <c r="M294" i="43" s="1"/>
  <c r="J293" i="43"/>
  <c r="K293" i="43" s="1"/>
  <c r="I293" i="43"/>
  <c r="M293" i="43" s="1"/>
  <c r="J292" i="43"/>
  <c r="K292" i="43" s="1"/>
  <c r="I292" i="43"/>
  <c r="M292" i="43" s="1"/>
  <c r="J291" i="43"/>
  <c r="K291" i="43" s="1"/>
  <c r="I291" i="43"/>
  <c r="M291" i="43" s="1"/>
  <c r="J290" i="43"/>
  <c r="K290" i="43" s="1"/>
  <c r="I290" i="43"/>
  <c r="M290" i="43" s="1"/>
  <c r="J289" i="43"/>
  <c r="K289" i="43" s="1"/>
  <c r="I289" i="43"/>
  <c r="M289" i="43" s="1"/>
  <c r="J288" i="43"/>
  <c r="K288" i="43" s="1"/>
  <c r="I288" i="43"/>
  <c r="M288" i="43" s="1"/>
  <c r="J287" i="43"/>
  <c r="K287" i="43" s="1"/>
  <c r="I287" i="43"/>
  <c r="M287" i="43" s="1"/>
  <c r="J286" i="43"/>
  <c r="K286" i="43" s="1"/>
  <c r="I286" i="43"/>
  <c r="M286" i="43" s="1"/>
  <c r="J285" i="43"/>
  <c r="K285" i="43" s="1"/>
  <c r="I285" i="43"/>
  <c r="M285" i="43" s="1"/>
  <c r="J284" i="43"/>
  <c r="K284" i="43" s="1"/>
  <c r="I284" i="43"/>
  <c r="M284" i="43" s="1"/>
  <c r="J283" i="43"/>
  <c r="K283" i="43" s="1"/>
  <c r="I283" i="43"/>
  <c r="M283" i="43" s="1"/>
  <c r="J282" i="43"/>
  <c r="K282" i="43" s="1"/>
  <c r="I282" i="43"/>
  <c r="M282" i="43" s="1"/>
  <c r="J281" i="43"/>
  <c r="K281" i="43" s="1"/>
  <c r="I281" i="43"/>
  <c r="M281" i="43" s="1"/>
  <c r="J280" i="43"/>
  <c r="K280" i="43" s="1"/>
  <c r="I280" i="43"/>
  <c r="M280" i="43" s="1"/>
  <c r="J279" i="43"/>
  <c r="K279" i="43" s="1"/>
  <c r="I279" i="43"/>
  <c r="M279" i="43" s="1"/>
  <c r="J278" i="43"/>
  <c r="K278" i="43" s="1"/>
  <c r="I278" i="43"/>
  <c r="M278" i="43" s="1"/>
  <c r="J277" i="43"/>
  <c r="K277" i="43" s="1"/>
  <c r="I277" i="43"/>
  <c r="M277" i="43" s="1"/>
  <c r="J276" i="43"/>
  <c r="K276" i="43" s="1"/>
  <c r="I276" i="43"/>
  <c r="M276" i="43" s="1"/>
  <c r="J275" i="43"/>
  <c r="K275" i="43" s="1"/>
  <c r="I275" i="43"/>
  <c r="M275" i="43" s="1"/>
  <c r="J274" i="43"/>
  <c r="K274" i="43" s="1"/>
  <c r="I274" i="43"/>
  <c r="M274" i="43" s="1"/>
  <c r="J273" i="43"/>
  <c r="K273" i="43" s="1"/>
  <c r="I273" i="43"/>
  <c r="M273" i="43" s="1"/>
  <c r="J272" i="43"/>
  <c r="K272" i="43" s="1"/>
  <c r="I272" i="43"/>
  <c r="M272" i="43" s="1"/>
  <c r="J271" i="43"/>
  <c r="K271" i="43" s="1"/>
  <c r="I271" i="43"/>
  <c r="M271" i="43" s="1"/>
  <c r="J270" i="43"/>
  <c r="K270" i="43" s="1"/>
  <c r="I270" i="43"/>
  <c r="M270" i="43" s="1"/>
  <c r="J269" i="43"/>
  <c r="K269" i="43" s="1"/>
  <c r="I269" i="43"/>
  <c r="M269" i="43" s="1"/>
  <c r="J268" i="43"/>
  <c r="K268" i="43" s="1"/>
  <c r="I268" i="43"/>
  <c r="M268" i="43" s="1"/>
  <c r="J267" i="43"/>
  <c r="K267" i="43" s="1"/>
  <c r="I267" i="43"/>
  <c r="M267" i="43" s="1"/>
  <c r="J266" i="43"/>
  <c r="K266" i="43" s="1"/>
  <c r="I266" i="43"/>
  <c r="M266" i="43" s="1"/>
  <c r="J265" i="43"/>
  <c r="K265" i="43" s="1"/>
  <c r="I265" i="43"/>
  <c r="M265" i="43" s="1"/>
  <c r="J264" i="43"/>
  <c r="K264" i="43" s="1"/>
  <c r="I264" i="43"/>
  <c r="M264" i="43" s="1"/>
  <c r="J263" i="43"/>
  <c r="K263" i="43" s="1"/>
  <c r="I263" i="43"/>
  <c r="M263" i="43" s="1"/>
  <c r="J262" i="43"/>
  <c r="K262" i="43" s="1"/>
  <c r="I262" i="43"/>
  <c r="M262" i="43" s="1"/>
  <c r="J261" i="43"/>
  <c r="K261" i="43" s="1"/>
  <c r="I261" i="43"/>
  <c r="M261" i="43" s="1"/>
  <c r="M260" i="43"/>
  <c r="J260" i="43"/>
  <c r="K260" i="43" s="1"/>
  <c r="I260" i="43"/>
  <c r="J259" i="43"/>
  <c r="K259" i="43" s="1"/>
  <c r="I259" i="43"/>
  <c r="M259" i="43" s="1"/>
  <c r="J258" i="43"/>
  <c r="K258" i="43" s="1"/>
  <c r="I258" i="43"/>
  <c r="M258" i="43" s="1"/>
  <c r="J257" i="43"/>
  <c r="K257" i="43" s="1"/>
  <c r="I257" i="43"/>
  <c r="M257" i="43" s="1"/>
  <c r="J256" i="43"/>
  <c r="K256" i="43" s="1"/>
  <c r="I256" i="43"/>
  <c r="M256" i="43" s="1"/>
  <c r="J255" i="43"/>
  <c r="K255" i="43" s="1"/>
  <c r="I255" i="43"/>
  <c r="M255" i="43" s="1"/>
  <c r="J254" i="43"/>
  <c r="K254" i="43" s="1"/>
  <c r="I254" i="43"/>
  <c r="M254" i="43" s="1"/>
  <c r="J253" i="43"/>
  <c r="K253" i="43" s="1"/>
  <c r="I253" i="43"/>
  <c r="M253" i="43" s="1"/>
  <c r="J252" i="43"/>
  <c r="K252" i="43" s="1"/>
  <c r="I252" i="43"/>
  <c r="M252" i="43" s="1"/>
  <c r="J251" i="43"/>
  <c r="K251" i="43" s="1"/>
  <c r="I251" i="43"/>
  <c r="M251" i="43" s="1"/>
  <c r="J250" i="43"/>
  <c r="K250" i="43" s="1"/>
  <c r="I250" i="43"/>
  <c r="M250" i="43" s="1"/>
  <c r="J249" i="43"/>
  <c r="K249" i="43" s="1"/>
  <c r="I249" i="43"/>
  <c r="M249" i="43" s="1"/>
  <c r="J248" i="43"/>
  <c r="K248" i="43" s="1"/>
  <c r="I248" i="43"/>
  <c r="M248" i="43" s="1"/>
  <c r="J247" i="43"/>
  <c r="K247" i="43" s="1"/>
  <c r="I247" i="43"/>
  <c r="M247" i="43" s="1"/>
  <c r="J246" i="43"/>
  <c r="K246" i="43" s="1"/>
  <c r="I246" i="43"/>
  <c r="M246" i="43" s="1"/>
  <c r="J245" i="43"/>
  <c r="K245" i="43" s="1"/>
  <c r="I245" i="43"/>
  <c r="M245" i="43" s="1"/>
  <c r="J244" i="43"/>
  <c r="K244" i="43" s="1"/>
  <c r="I244" i="43"/>
  <c r="M244" i="43" s="1"/>
  <c r="J243" i="43"/>
  <c r="K243" i="43" s="1"/>
  <c r="I243" i="43"/>
  <c r="M243" i="43" s="1"/>
  <c r="J242" i="43"/>
  <c r="K242" i="43" s="1"/>
  <c r="I242" i="43"/>
  <c r="M242" i="43" s="1"/>
  <c r="J241" i="43"/>
  <c r="K241" i="43" s="1"/>
  <c r="I241" i="43"/>
  <c r="M241" i="43" s="1"/>
  <c r="J240" i="43"/>
  <c r="K240" i="43" s="1"/>
  <c r="I240" i="43"/>
  <c r="M240" i="43" s="1"/>
  <c r="J239" i="43"/>
  <c r="K239" i="43" s="1"/>
  <c r="I239" i="43"/>
  <c r="M239" i="43" s="1"/>
  <c r="J238" i="43"/>
  <c r="K238" i="43" s="1"/>
  <c r="I238" i="43"/>
  <c r="M238" i="43" s="1"/>
  <c r="J237" i="43"/>
  <c r="K237" i="43" s="1"/>
  <c r="I237" i="43"/>
  <c r="M237" i="43" s="1"/>
  <c r="J236" i="43"/>
  <c r="K236" i="43" s="1"/>
  <c r="I236" i="43"/>
  <c r="M236" i="43" s="1"/>
  <c r="J235" i="43"/>
  <c r="K235" i="43" s="1"/>
  <c r="I235" i="43"/>
  <c r="M235" i="43" s="1"/>
  <c r="J234" i="43"/>
  <c r="K234" i="43" s="1"/>
  <c r="I234" i="43"/>
  <c r="M234" i="43" s="1"/>
  <c r="J233" i="43"/>
  <c r="K233" i="43" s="1"/>
  <c r="I233" i="43"/>
  <c r="M233" i="43" s="1"/>
  <c r="J232" i="43"/>
  <c r="K232" i="43" s="1"/>
  <c r="I232" i="43"/>
  <c r="M232" i="43" s="1"/>
  <c r="J231" i="43"/>
  <c r="K231" i="43" s="1"/>
  <c r="I231" i="43"/>
  <c r="M231" i="43" s="1"/>
  <c r="J230" i="43"/>
  <c r="K230" i="43" s="1"/>
  <c r="I230" i="43"/>
  <c r="M230" i="43" s="1"/>
  <c r="J229" i="43"/>
  <c r="K229" i="43" s="1"/>
  <c r="I229" i="43"/>
  <c r="M229" i="43" s="1"/>
  <c r="J228" i="43"/>
  <c r="K228" i="43" s="1"/>
  <c r="I228" i="43"/>
  <c r="M228" i="43" s="1"/>
  <c r="J227" i="43"/>
  <c r="K227" i="43" s="1"/>
  <c r="I227" i="43"/>
  <c r="M227" i="43" s="1"/>
  <c r="J226" i="43"/>
  <c r="K226" i="43" s="1"/>
  <c r="I226" i="43"/>
  <c r="M226" i="43" s="1"/>
  <c r="J225" i="43"/>
  <c r="K225" i="43" s="1"/>
  <c r="I225" i="43"/>
  <c r="M225" i="43" s="1"/>
  <c r="J224" i="43"/>
  <c r="K224" i="43" s="1"/>
  <c r="I224" i="43"/>
  <c r="M224" i="43" s="1"/>
  <c r="J223" i="43"/>
  <c r="K223" i="43" s="1"/>
  <c r="I223" i="43"/>
  <c r="M223" i="43" s="1"/>
  <c r="J222" i="43"/>
  <c r="K222" i="43" s="1"/>
  <c r="I222" i="43"/>
  <c r="M222" i="43" s="1"/>
  <c r="J221" i="43"/>
  <c r="K221" i="43" s="1"/>
  <c r="I221" i="43"/>
  <c r="M221" i="43" s="1"/>
  <c r="J220" i="43"/>
  <c r="K220" i="43" s="1"/>
  <c r="I220" i="43"/>
  <c r="M220" i="43" s="1"/>
  <c r="J219" i="43"/>
  <c r="K219" i="43" s="1"/>
  <c r="I219" i="43"/>
  <c r="M219" i="43" s="1"/>
  <c r="J218" i="43"/>
  <c r="K218" i="43" s="1"/>
  <c r="I218" i="43"/>
  <c r="M218" i="43" s="1"/>
  <c r="J217" i="43"/>
  <c r="K217" i="43" s="1"/>
  <c r="I217" i="43"/>
  <c r="M217" i="43" s="1"/>
  <c r="J216" i="43"/>
  <c r="K216" i="43" s="1"/>
  <c r="I216" i="43"/>
  <c r="M216" i="43" s="1"/>
  <c r="J215" i="43"/>
  <c r="K215" i="43" s="1"/>
  <c r="I215" i="43"/>
  <c r="M215" i="43" s="1"/>
  <c r="J214" i="43"/>
  <c r="K214" i="43" s="1"/>
  <c r="I214" i="43"/>
  <c r="M214" i="43" s="1"/>
  <c r="J213" i="43"/>
  <c r="K213" i="43" s="1"/>
  <c r="I213" i="43"/>
  <c r="M213" i="43" s="1"/>
  <c r="J212" i="43"/>
  <c r="K212" i="43" s="1"/>
  <c r="I212" i="43"/>
  <c r="M212" i="43" s="1"/>
  <c r="J211" i="43"/>
  <c r="K211" i="43" s="1"/>
  <c r="I211" i="43"/>
  <c r="M211" i="43" s="1"/>
  <c r="J210" i="43"/>
  <c r="K210" i="43" s="1"/>
  <c r="I210" i="43"/>
  <c r="M210" i="43" s="1"/>
  <c r="J209" i="43"/>
  <c r="K209" i="43" s="1"/>
  <c r="I209" i="43"/>
  <c r="M209" i="43" s="1"/>
  <c r="J208" i="43"/>
  <c r="K208" i="43" s="1"/>
  <c r="I208" i="43"/>
  <c r="M208" i="43" s="1"/>
  <c r="J207" i="43"/>
  <c r="K207" i="43" s="1"/>
  <c r="I207" i="43"/>
  <c r="M207" i="43" s="1"/>
  <c r="J206" i="43"/>
  <c r="K206" i="43" s="1"/>
  <c r="I206" i="43"/>
  <c r="M206" i="43" s="1"/>
  <c r="J205" i="43"/>
  <c r="K205" i="43" s="1"/>
  <c r="I205" i="43"/>
  <c r="M205" i="43" s="1"/>
  <c r="J204" i="43"/>
  <c r="K204" i="43" s="1"/>
  <c r="I204" i="43"/>
  <c r="M204" i="43" s="1"/>
  <c r="J203" i="43"/>
  <c r="K203" i="43" s="1"/>
  <c r="I203" i="43"/>
  <c r="M203" i="43" s="1"/>
  <c r="J202" i="43"/>
  <c r="K202" i="43" s="1"/>
  <c r="I202" i="43"/>
  <c r="M202" i="43" s="1"/>
  <c r="J201" i="43"/>
  <c r="K201" i="43" s="1"/>
  <c r="I201" i="43"/>
  <c r="M201" i="43" s="1"/>
  <c r="J200" i="43"/>
  <c r="K200" i="43" s="1"/>
  <c r="I200" i="43"/>
  <c r="M200" i="43" s="1"/>
  <c r="J199" i="43"/>
  <c r="K199" i="43" s="1"/>
  <c r="I199" i="43"/>
  <c r="M199" i="43" s="1"/>
  <c r="J198" i="43"/>
  <c r="K198" i="43" s="1"/>
  <c r="I198" i="43"/>
  <c r="M198" i="43" s="1"/>
  <c r="J197" i="43"/>
  <c r="K197" i="43" s="1"/>
  <c r="I197" i="43"/>
  <c r="M197" i="43" s="1"/>
  <c r="J196" i="43"/>
  <c r="K196" i="43" s="1"/>
  <c r="I196" i="43"/>
  <c r="M196" i="43" s="1"/>
  <c r="J195" i="43"/>
  <c r="K195" i="43" s="1"/>
  <c r="I195" i="43"/>
  <c r="M195" i="43" s="1"/>
  <c r="J194" i="43"/>
  <c r="K194" i="43" s="1"/>
  <c r="I194" i="43"/>
  <c r="M194" i="43" s="1"/>
  <c r="J193" i="43"/>
  <c r="K193" i="43" s="1"/>
  <c r="I193" i="43"/>
  <c r="M193" i="43" s="1"/>
  <c r="J192" i="43"/>
  <c r="K192" i="43" s="1"/>
  <c r="I192" i="43"/>
  <c r="M192" i="43" s="1"/>
  <c r="J191" i="43"/>
  <c r="K191" i="43" s="1"/>
  <c r="I191" i="43"/>
  <c r="M191" i="43" s="1"/>
  <c r="J190" i="43"/>
  <c r="K190" i="43" s="1"/>
  <c r="I190" i="43"/>
  <c r="M190" i="43" s="1"/>
  <c r="J189" i="43"/>
  <c r="K189" i="43" s="1"/>
  <c r="I189" i="43"/>
  <c r="M189" i="43" s="1"/>
  <c r="M188" i="43"/>
  <c r="J188" i="43"/>
  <c r="K188" i="43" s="1"/>
  <c r="I188" i="43"/>
  <c r="J187" i="43"/>
  <c r="K187" i="43" s="1"/>
  <c r="I187" i="43"/>
  <c r="M187" i="43" s="1"/>
  <c r="J186" i="43"/>
  <c r="K186" i="43" s="1"/>
  <c r="I186" i="43"/>
  <c r="M186" i="43" s="1"/>
  <c r="J185" i="43"/>
  <c r="K185" i="43" s="1"/>
  <c r="I185" i="43"/>
  <c r="M185" i="43" s="1"/>
  <c r="J184" i="43"/>
  <c r="K184" i="43" s="1"/>
  <c r="I184" i="43"/>
  <c r="M184" i="43" s="1"/>
  <c r="J183" i="43"/>
  <c r="K183" i="43" s="1"/>
  <c r="I183" i="43"/>
  <c r="M183" i="43" s="1"/>
  <c r="J182" i="43"/>
  <c r="K182" i="43" s="1"/>
  <c r="I182" i="43"/>
  <c r="M182" i="43" s="1"/>
  <c r="J181" i="43"/>
  <c r="K181" i="43" s="1"/>
  <c r="I181" i="43"/>
  <c r="M181" i="43" s="1"/>
  <c r="J180" i="43"/>
  <c r="K180" i="43" s="1"/>
  <c r="I180" i="43"/>
  <c r="M180" i="43" s="1"/>
  <c r="J179" i="43"/>
  <c r="K179" i="43" s="1"/>
  <c r="I179" i="43"/>
  <c r="M179" i="43" s="1"/>
  <c r="J178" i="43"/>
  <c r="K178" i="43" s="1"/>
  <c r="I178" i="43"/>
  <c r="M178" i="43" s="1"/>
  <c r="J177" i="43"/>
  <c r="K177" i="43" s="1"/>
  <c r="I177" i="43"/>
  <c r="M177" i="43" s="1"/>
  <c r="J176" i="43"/>
  <c r="K176" i="43" s="1"/>
  <c r="I176" i="43"/>
  <c r="M176" i="43" s="1"/>
  <c r="J175" i="43"/>
  <c r="K175" i="43" s="1"/>
  <c r="I175" i="43"/>
  <c r="M175" i="43" s="1"/>
  <c r="J174" i="43"/>
  <c r="K174" i="43" s="1"/>
  <c r="I174" i="43"/>
  <c r="M174" i="43" s="1"/>
  <c r="J173" i="43"/>
  <c r="K173" i="43" s="1"/>
  <c r="I173" i="43"/>
  <c r="M173" i="43" s="1"/>
  <c r="J172" i="43"/>
  <c r="K172" i="43" s="1"/>
  <c r="I172" i="43"/>
  <c r="M172" i="43" s="1"/>
  <c r="J171" i="43"/>
  <c r="K171" i="43" s="1"/>
  <c r="I171" i="43"/>
  <c r="M171" i="43" s="1"/>
  <c r="J170" i="43"/>
  <c r="K170" i="43" s="1"/>
  <c r="I170" i="43"/>
  <c r="M170" i="43" s="1"/>
  <c r="J169" i="43"/>
  <c r="K169" i="43" s="1"/>
  <c r="I169" i="43"/>
  <c r="M169" i="43" s="1"/>
  <c r="J168" i="43"/>
  <c r="K168" i="43" s="1"/>
  <c r="I168" i="43"/>
  <c r="M168" i="43" s="1"/>
  <c r="J167" i="43"/>
  <c r="K167" i="43" s="1"/>
  <c r="I167" i="43"/>
  <c r="M167" i="43" s="1"/>
  <c r="J166" i="43"/>
  <c r="K166" i="43" s="1"/>
  <c r="I166" i="43"/>
  <c r="M166" i="43" s="1"/>
  <c r="J165" i="43"/>
  <c r="K165" i="43" s="1"/>
  <c r="I165" i="43"/>
  <c r="M165" i="43" s="1"/>
  <c r="M164" i="43"/>
  <c r="J164" i="43"/>
  <c r="K164" i="43" s="1"/>
  <c r="I164" i="43"/>
  <c r="J163" i="43"/>
  <c r="K163" i="43" s="1"/>
  <c r="I163" i="43"/>
  <c r="M163" i="43" s="1"/>
  <c r="J162" i="43"/>
  <c r="K162" i="43" s="1"/>
  <c r="I162" i="43"/>
  <c r="M162" i="43" s="1"/>
  <c r="J161" i="43"/>
  <c r="K161" i="43" s="1"/>
  <c r="I161" i="43"/>
  <c r="M161" i="43" s="1"/>
  <c r="J160" i="43"/>
  <c r="K160" i="43" s="1"/>
  <c r="I160" i="43"/>
  <c r="M160" i="43" s="1"/>
  <c r="J159" i="43"/>
  <c r="K159" i="43" s="1"/>
  <c r="I159" i="43"/>
  <c r="M159" i="43" s="1"/>
  <c r="J158" i="43"/>
  <c r="K158" i="43" s="1"/>
  <c r="I158" i="43"/>
  <c r="M158" i="43" s="1"/>
  <c r="J157" i="43"/>
  <c r="K157" i="43" s="1"/>
  <c r="I157" i="43"/>
  <c r="M157" i="43" s="1"/>
  <c r="J156" i="43"/>
  <c r="K156" i="43" s="1"/>
  <c r="I156" i="43"/>
  <c r="M156" i="43" s="1"/>
  <c r="J155" i="43"/>
  <c r="K155" i="43" s="1"/>
  <c r="I155" i="43"/>
  <c r="M155" i="43" s="1"/>
  <c r="J154" i="43"/>
  <c r="K154" i="43" s="1"/>
  <c r="I154" i="43"/>
  <c r="M154" i="43" s="1"/>
  <c r="J153" i="43"/>
  <c r="K153" i="43" s="1"/>
  <c r="I153" i="43"/>
  <c r="M153" i="43" s="1"/>
  <c r="J152" i="43"/>
  <c r="K152" i="43" s="1"/>
  <c r="I152" i="43"/>
  <c r="M152" i="43" s="1"/>
  <c r="J151" i="43"/>
  <c r="K151" i="43" s="1"/>
  <c r="I151" i="43"/>
  <c r="M151" i="43" s="1"/>
  <c r="J150" i="43"/>
  <c r="K150" i="43" s="1"/>
  <c r="I150" i="43"/>
  <c r="M150" i="43" s="1"/>
  <c r="J149" i="43"/>
  <c r="K149" i="43" s="1"/>
  <c r="I149" i="43"/>
  <c r="M149" i="43" s="1"/>
  <c r="K148" i="43"/>
  <c r="J148" i="43"/>
  <c r="I148" i="43"/>
  <c r="M148" i="43" s="1"/>
  <c r="J147" i="43"/>
  <c r="K147" i="43" s="1"/>
  <c r="I147" i="43"/>
  <c r="M147" i="43" s="1"/>
  <c r="J146" i="43"/>
  <c r="K146" i="43" s="1"/>
  <c r="I146" i="43"/>
  <c r="M146" i="43" s="1"/>
  <c r="J145" i="43"/>
  <c r="K145" i="43" s="1"/>
  <c r="I145" i="43"/>
  <c r="M145" i="43" s="1"/>
  <c r="J144" i="43"/>
  <c r="K144" i="43" s="1"/>
  <c r="I144" i="43"/>
  <c r="M144" i="43" s="1"/>
  <c r="J143" i="43"/>
  <c r="K143" i="43" s="1"/>
  <c r="I143" i="43"/>
  <c r="M143" i="43" s="1"/>
  <c r="J142" i="43"/>
  <c r="K142" i="43" s="1"/>
  <c r="I142" i="43"/>
  <c r="M142" i="43" s="1"/>
  <c r="J141" i="43"/>
  <c r="K141" i="43" s="1"/>
  <c r="I141" i="43"/>
  <c r="M141" i="43" s="1"/>
  <c r="J140" i="43"/>
  <c r="K140" i="43" s="1"/>
  <c r="I140" i="43"/>
  <c r="M140" i="43" s="1"/>
  <c r="J139" i="43"/>
  <c r="K139" i="43" s="1"/>
  <c r="I139" i="43"/>
  <c r="M139" i="43" s="1"/>
  <c r="J138" i="43"/>
  <c r="K138" i="43" s="1"/>
  <c r="I138" i="43"/>
  <c r="M138" i="43" s="1"/>
  <c r="J137" i="43"/>
  <c r="K137" i="43" s="1"/>
  <c r="I137" i="43"/>
  <c r="M137" i="43" s="1"/>
  <c r="J136" i="43"/>
  <c r="K136" i="43" s="1"/>
  <c r="I136" i="43"/>
  <c r="M136" i="43" s="1"/>
  <c r="J135" i="43"/>
  <c r="K135" i="43" s="1"/>
  <c r="I135" i="43"/>
  <c r="M135" i="43" s="1"/>
  <c r="J134" i="43"/>
  <c r="K134" i="43" s="1"/>
  <c r="I134" i="43"/>
  <c r="M134" i="43" s="1"/>
  <c r="J133" i="43"/>
  <c r="K133" i="43" s="1"/>
  <c r="I133" i="43"/>
  <c r="M133" i="43" s="1"/>
  <c r="J132" i="43"/>
  <c r="K132" i="43" s="1"/>
  <c r="I132" i="43"/>
  <c r="M132" i="43" s="1"/>
  <c r="M131" i="43"/>
  <c r="J131" i="43"/>
  <c r="K131" i="43" s="1"/>
  <c r="I131" i="43"/>
  <c r="J130" i="43"/>
  <c r="K130" i="43" s="1"/>
  <c r="I130" i="43"/>
  <c r="M130" i="43" s="1"/>
  <c r="J129" i="43"/>
  <c r="K129" i="43" s="1"/>
  <c r="I129" i="43"/>
  <c r="M129" i="43" s="1"/>
  <c r="J128" i="43"/>
  <c r="K128" i="43" s="1"/>
  <c r="I128" i="43"/>
  <c r="M128" i="43" s="1"/>
  <c r="J127" i="43"/>
  <c r="K127" i="43" s="1"/>
  <c r="I127" i="43"/>
  <c r="M127" i="43" s="1"/>
  <c r="J126" i="43"/>
  <c r="K126" i="43" s="1"/>
  <c r="I126" i="43"/>
  <c r="M126" i="43" s="1"/>
  <c r="J125" i="43"/>
  <c r="K125" i="43" s="1"/>
  <c r="I125" i="43"/>
  <c r="M125" i="43" s="1"/>
  <c r="J124" i="43"/>
  <c r="K124" i="43" s="1"/>
  <c r="I124" i="43"/>
  <c r="M124" i="43" s="1"/>
  <c r="J123" i="43"/>
  <c r="K123" i="43" s="1"/>
  <c r="I123" i="43"/>
  <c r="M123" i="43" s="1"/>
  <c r="J122" i="43"/>
  <c r="K122" i="43" s="1"/>
  <c r="I122" i="43"/>
  <c r="M122" i="43" s="1"/>
  <c r="K121" i="43"/>
  <c r="J121" i="43"/>
  <c r="I121" i="43"/>
  <c r="M121" i="43" s="1"/>
  <c r="J120" i="43"/>
  <c r="K120" i="43" s="1"/>
  <c r="I120" i="43"/>
  <c r="M120" i="43" s="1"/>
  <c r="J119" i="43"/>
  <c r="K119" i="43" s="1"/>
  <c r="I119" i="43"/>
  <c r="M119" i="43" s="1"/>
  <c r="J118" i="43"/>
  <c r="K118" i="43" s="1"/>
  <c r="I118" i="43"/>
  <c r="M118" i="43" s="1"/>
  <c r="J117" i="43"/>
  <c r="K117" i="43" s="1"/>
  <c r="I117" i="43"/>
  <c r="M117" i="43" s="1"/>
  <c r="J116" i="43"/>
  <c r="K116" i="43" s="1"/>
  <c r="I116" i="43"/>
  <c r="M116" i="43" s="1"/>
  <c r="J115" i="43"/>
  <c r="K115" i="43" s="1"/>
  <c r="I115" i="43"/>
  <c r="M115" i="43" s="1"/>
  <c r="J114" i="43"/>
  <c r="K114" i="43" s="1"/>
  <c r="I114" i="43"/>
  <c r="M114" i="43" s="1"/>
  <c r="K113" i="43"/>
  <c r="J113" i="43"/>
  <c r="I113" i="43"/>
  <c r="M113" i="43" s="1"/>
  <c r="J112" i="43"/>
  <c r="K112" i="43" s="1"/>
  <c r="I112" i="43"/>
  <c r="M112" i="43" s="1"/>
  <c r="J111" i="43"/>
  <c r="K111" i="43" s="1"/>
  <c r="I111" i="43"/>
  <c r="M111" i="43" s="1"/>
  <c r="J110" i="43"/>
  <c r="K110" i="43" s="1"/>
  <c r="I110" i="43"/>
  <c r="M110" i="43" s="1"/>
  <c r="J109" i="43"/>
  <c r="K109" i="43" s="1"/>
  <c r="I109" i="43"/>
  <c r="M109" i="43" s="1"/>
  <c r="J108" i="43"/>
  <c r="K108" i="43" s="1"/>
  <c r="I108" i="43"/>
  <c r="M108" i="43" s="1"/>
  <c r="J107" i="43"/>
  <c r="K107" i="43" s="1"/>
  <c r="I107" i="43"/>
  <c r="M107" i="43" s="1"/>
  <c r="J106" i="43"/>
  <c r="K106" i="43" s="1"/>
  <c r="I106" i="43"/>
  <c r="M106" i="43" s="1"/>
  <c r="J105" i="43"/>
  <c r="K105" i="43" s="1"/>
  <c r="I105" i="43"/>
  <c r="M105" i="43" s="1"/>
  <c r="J104" i="43"/>
  <c r="K104" i="43" s="1"/>
  <c r="I104" i="43"/>
  <c r="M104" i="43" s="1"/>
  <c r="J103" i="43"/>
  <c r="K103" i="43" s="1"/>
  <c r="I103" i="43"/>
  <c r="M103" i="43" s="1"/>
  <c r="J102" i="43"/>
  <c r="K102" i="43" s="1"/>
  <c r="I102" i="43"/>
  <c r="M102" i="43" s="1"/>
  <c r="M101" i="43"/>
  <c r="J101" i="43"/>
  <c r="K101" i="43" s="1"/>
  <c r="I101" i="43"/>
  <c r="J100" i="43"/>
  <c r="K100" i="43" s="1"/>
  <c r="I100" i="43"/>
  <c r="M100" i="43" s="1"/>
  <c r="J99" i="43"/>
  <c r="K99" i="43" s="1"/>
  <c r="I99" i="43"/>
  <c r="M99" i="43" s="1"/>
  <c r="J98" i="43"/>
  <c r="K98" i="43" s="1"/>
  <c r="I98" i="43"/>
  <c r="M98" i="43" s="1"/>
  <c r="J97" i="43"/>
  <c r="K97" i="43" s="1"/>
  <c r="I97" i="43"/>
  <c r="M97" i="43" s="1"/>
  <c r="J96" i="43"/>
  <c r="K96" i="43" s="1"/>
  <c r="I96" i="43"/>
  <c r="M96" i="43" s="1"/>
  <c r="J95" i="43"/>
  <c r="K95" i="43" s="1"/>
  <c r="I95" i="43"/>
  <c r="M95" i="43" s="1"/>
  <c r="J94" i="43"/>
  <c r="K94" i="43" s="1"/>
  <c r="I94" i="43"/>
  <c r="M94" i="43" s="1"/>
  <c r="J93" i="43"/>
  <c r="K93" i="43" s="1"/>
  <c r="I93" i="43"/>
  <c r="M93" i="43" s="1"/>
  <c r="J92" i="43"/>
  <c r="K92" i="43" s="1"/>
  <c r="I92" i="43"/>
  <c r="M92" i="43" s="1"/>
  <c r="M91" i="43"/>
  <c r="J91" i="43"/>
  <c r="K91" i="43" s="1"/>
  <c r="I91" i="43"/>
  <c r="J90" i="43"/>
  <c r="K90" i="43" s="1"/>
  <c r="I90" i="43"/>
  <c r="M90" i="43" s="1"/>
  <c r="J89" i="43"/>
  <c r="K89" i="43" s="1"/>
  <c r="I89" i="43"/>
  <c r="M89" i="43" s="1"/>
  <c r="J88" i="43"/>
  <c r="K88" i="43" s="1"/>
  <c r="I88" i="43"/>
  <c r="M88" i="43" s="1"/>
  <c r="J87" i="43"/>
  <c r="K87" i="43" s="1"/>
  <c r="I87" i="43"/>
  <c r="M87" i="43" s="1"/>
  <c r="J86" i="43"/>
  <c r="K86" i="43" s="1"/>
  <c r="I86" i="43"/>
  <c r="M86" i="43" s="1"/>
  <c r="J85" i="43"/>
  <c r="K85" i="43" s="1"/>
  <c r="I85" i="43"/>
  <c r="M85" i="43" s="1"/>
  <c r="J84" i="43"/>
  <c r="K84" i="43" s="1"/>
  <c r="I84" i="43"/>
  <c r="M84" i="43" s="1"/>
  <c r="J83" i="43"/>
  <c r="K83" i="43" s="1"/>
  <c r="I83" i="43"/>
  <c r="M83" i="43" s="1"/>
  <c r="J82" i="43"/>
  <c r="K82" i="43" s="1"/>
  <c r="I82" i="43"/>
  <c r="M82" i="43" s="1"/>
  <c r="J81" i="43"/>
  <c r="K81" i="43" s="1"/>
  <c r="I81" i="43"/>
  <c r="M81" i="43" s="1"/>
  <c r="J80" i="43"/>
  <c r="K80" i="43" s="1"/>
  <c r="I80" i="43"/>
  <c r="M80" i="43" s="1"/>
  <c r="J79" i="43"/>
  <c r="K79" i="43" s="1"/>
  <c r="I79" i="43"/>
  <c r="M79" i="43" s="1"/>
  <c r="A79" i="43" s="1"/>
  <c r="J78" i="43"/>
  <c r="K78" i="43" s="1"/>
  <c r="I78" i="43"/>
  <c r="M78" i="43" s="1"/>
  <c r="A78" i="43"/>
  <c r="J77" i="43"/>
  <c r="K77" i="43" s="1"/>
  <c r="I77" i="43"/>
  <c r="M77" i="43" s="1"/>
  <c r="A77" i="43" s="1"/>
  <c r="J76" i="43"/>
  <c r="K76" i="43" s="1"/>
  <c r="I76" i="43"/>
  <c r="M76" i="43" s="1"/>
  <c r="A76" i="43" s="1"/>
  <c r="J75" i="43"/>
  <c r="K75" i="43" s="1"/>
  <c r="I75" i="43"/>
  <c r="M75" i="43" s="1"/>
  <c r="A75" i="43"/>
  <c r="K74" i="43"/>
  <c r="J74" i="43"/>
  <c r="I74" i="43"/>
  <c r="M74" i="43" s="1"/>
  <c r="A74" i="43" s="1"/>
  <c r="J73" i="43"/>
  <c r="K73" i="43" s="1"/>
  <c r="I73" i="43"/>
  <c r="M73" i="43" s="1"/>
  <c r="A73" i="43" s="1"/>
  <c r="J72" i="43"/>
  <c r="K72" i="43" s="1"/>
  <c r="I72" i="43"/>
  <c r="M72" i="43" s="1"/>
  <c r="A72" i="43" s="1"/>
  <c r="J71" i="43"/>
  <c r="K71" i="43" s="1"/>
  <c r="I71" i="43"/>
  <c r="M71" i="43" s="1"/>
  <c r="A71" i="43" s="1"/>
  <c r="J70" i="43"/>
  <c r="K70" i="43" s="1"/>
  <c r="I70" i="43"/>
  <c r="M70" i="43" s="1"/>
  <c r="A70" i="43" s="1"/>
  <c r="J69" i="43"/>
  <c r="K69" i="43" s="1"/>
  <c r="I69" i="43"/>
  <c r="M69" i="43" s="1"/>
  <c r="A69" i="43" s="1"/>
  <c r="J68" i="43"/>
  <c r="K68" i="43" s="1"/>
  <c r="I68" i="43"/>
  <c r="M68" i="43" s="1"/>
  <c r="A68" i="43" s="1"/>
  <c r="J67" i="43"/>
  <c r="K67" i="43" s="1"/>
  <c r="I67" i="43"/>
  <c r="M67" i="43" s="1"/>
  <c r="A67" i="43" s="1"/>
  <c r="J66" i="43"/>
  <c r="K66" i="43" s="1"/>
  <c r="I66" i="43"/>
  <c r="M66" i="43" s="1"/>
  <c r="A66" i="43" s="1"/>
  <c r="J65" i="43"/>
  <c r="K65" i="43" s="1"/>
  <c r="I65" i="43"/>
  <c r="M65" i="43" s="1"/>
  <c r="A65" i="43" s="1"/>
  <c r="B65" i="43"/>
  <c r="J64" i="43"/>
  <c r="K64" i="43" s="1"/>
  <c r="I64" i="43"/>
  <c r="M64" i="43" s="1"/>
  <c r="A64" i="43" s="1"/>
  <c r="B64" i="43"/>
  <c r="J63" i="43"/>
  <c r="K63" i="43" s="1"/>
  <c r="I63" i="43"/>
  <c r="M63" i="43" s="1"/>
  <c r="A63" i="43" s="1"/>
  <c r="B63" i="43"/>
  <c r="J62" i="43"/>
  <c r="K62" i="43" s="1"/>
  <c r="I62" i="43"/>
  <c r="M62" i="43" s="1"/>
  <c r="A62" i="43" s="1"/>
  <c r="B62" i="43"/>
  <c r="J61" i="43"/>
  <c r="K61" i="43" s="1"/>
  <c r="I61" i="43"/>
  <c r="M61" i="43" s="1"/>
  <c r="J60" i="43"/>
  <c r="K60" i="43" s="1"/>
  <c r="I60" i="43"/>
  <c r="M60" i="43" s="1"/>
  <c r="A60" i="43" s="1"/>
  <c r="B60" i="43"/>
  <c r="J59" i="43"/>
  <c r="K59" i="43" s="1"/>
  <c r="I59" i="43"/>
  <c r="M59" i="43" s="1"/>
  <c r="B59" i="43"/>
  <c r="A59" i="43"/>
  <c r="J58" i="43"/>
  <c r="K58" i="43" s="1"/>
  <c r="I58" i="43"/>
  <c r="M58" i="43" s="1"/>
  <c r="A58" i="43" s="1"/>
  <c r="B58" i="43"/>
  <c r="J57" i="43"/>
  <c r="K57" i="43" s="1"/>
  <c r="I57" i="43"/>
  <c r="B57" i="43"/>
  <c r="J56" i="43"/>
  <c r="K56" i="43" s="1"/>
  <c r="I56" i="43"/>
  <c r="B56" i="43"/>
  <c r="J55" i="43"/>
  <c r="K55" i="43" s="1"/>
  <c r="I55" i="43"/>
  <c r="M55" i="43" s="1"/>
  <c r="A55" i="43" s="1"/>
  <c r="B55" i="43"/>
  <c r="J54" i="43"/>
  <c r="K54" i="43" s="1"/>
  <c r="M54" i="43" s="1"/>
  <c r="A54" i="43" s="1"/>
  <c r="I54" i="43"/>
  <c r="B54" i="43"/>
  <c r="J53" i="43"/>
  <c r="K53" i="43" s="1"/>
  <c r="I53" i="43"/>
  <c r="M53" i="43" s="1"/>
  <c r="A53" i="43" s="1"/>
  <c r="B53" i="43"/>
  <c r="J52" i="43"/>
  <c r="K52" i="43" s="1"/>
  <c r="I52" i="43"/>
  <c r="M52" i="43" s="1"/>
  <c r="A52" i="43" s="1"/>
  <c r="B52" i="43"/>
  <c r="J51" i="43"/>
  <c r="K51" i="43" s="1"/>
  <c r="I51" i="43"/>
  <c r="M51" i="43" s="1"/>
  <c r="A51" i="43" s="1"/>
  <c r="B51" i="43"/>
  <c r="J50" i="43"/>
  <c r="K50" i="43" s="1"/>
  <c r="I50" i="43"/>
  <c r="B50" i="43"/>
  <c r="J49" i="43"/>
  <c r="K49" i="43" s="1"/>
  <c r="I49" i="43"/>
  <c r="B49" i="43"/>
  <c r="J48" i="43"/>
  <c r="K48" i="43" s="1"/>
  <c r="I48" i="43"/>
  <c r="M48" i="43" s="1"/>
  <c r="A48" i="43" s="1"/>
  <c r="B48" i="43"/>
  <c r="J47" i="43"/>
  <c r="K47" i="43" s="1"/>
  <c r="I47" i="43"/>
  <c r="M47" i="43" s="1"/>
  <c r="A47" i="43" s="1"/>
  <c r="B47" i="43"/>
  <c r="T46" i="43"/>
  <c r="R46" i="43"/>
  <c r="J46" i="43"/>
  <c r="K46" i="43" s="1"/>
  <c r="I46" i="43"/>
  <c r="M46" i="43" s="1"/>
  <c r="A46" i="43" s="1"/>
  <c r="B46" i="43"/>
  <c r="J45" i="43"/>
  <c r="K45" i="43" s="1"/>
  <c r="M45" i="43" s="1"/>
  <c r="A45" i="43" s="1"/>
  <c r="I45" i="43"/>
  <c r="B45" i="43"/>
  <c r="J44" i="43"/>
  <c r="K44" i="43" s="1"/>
  <c r="I44" i="43"/>
  <c r="B44" i="43"/>
  <c r="J43" i="43"/>
  <c r="K43" i="43" s="1"/>
  <c r="I43" i="43"/>
  <c r="M43" i="43" s="1"/>
  <c r="A43" i="43" s="1"/>
  <c r="B43" i="43"/>
  <c r="J42" i="43"/>
  <c r="K42" i="43" s="1"/>
  <c r="I42" i="43"/>
  <c r="M42" i="43" s="1"/>
  <c r="A42" i="43" s="1"/>
  <c r="B42" i="43"/>
  <c r="J41" i="43"/>
  <c r="K41" i="43" s="1"/>
  <c r="M41" i="43" s="1"/>
  <c r="A41" i="43" s="1"/>
  <c r="I41" i="43"/>
  <c r="B41" i="43"/>
  <c r="J40" i="43"/>
  <c r="K40" i="43" s="1"/>
  <c r="I40" i="43"/>
  <c r="B40" i="43"/>
  <c r="J39" i="43"/>
  <c r="K39" i="43" s="1"/>
  <c r="I39" i="43"/>
  <c r="B39" i="43"/>
  <c r="J38" i="43"/>
  <c r="K38" i="43" s="1"/>
  <c r="I38" i="43"/>
  <c r="M38" i="43" s="1"/>
  <c r="A38" i="43" s="1"/>
  <c r="B38" i="43"/>
  <c r="J37" i="43"/>
  <c r="K37" i="43" s="1"/>
  <c r="M37" i="43" s="1"/>
  <c r="A37" i="43" s="1"/>
  <c r="I37" i="43"/>
  <c r="B37" i="43"/>
  <c r="J36" i="43"/>
  <c r="K36" i="43" s="1"/>
  <c r="I36" i="43"/>
  <c r="M36" i="43" s="1"/>
  <c r="A36" i="43" s="1"/>
  <c r="B36" i="43"/>
  <c r="J35" i="43"/>
  <c r="K35" i="43" s="1"/>
  <c r="I35" i="43"/>
  <c r="B35" i="43"/>
  <c r="J34" i="43"/>
  <c r="K34" i="43" s="1"/>
  <c r="I34" i="43"/>
  <c r="M34" i="43" s="1"/>
  <c r="A34" i="43" s="1"/>
  <c r="B34" i="43"/>
  <c r="K33" i="43"/>
  <c r="J33" i="43"/>
  <c r="I33" i="43"/>
  <c r="B33" i="43"/>
  <c r="J32" i="43"/>
  <c r="K32" i="43" s="1"/>
  <c r="I32" i="43"/>
  <c r="M32" i="43" s="1"/>
  <c r="A32" i="43" s="1"/>
  <c r="B32" i="43"/>
  <c r="J31" i="43"/>
  <c r="K31" i="43" s="1"/>
  <c r="I31" i="43"/>
  <c r="B31" i="43"/>
  <c r="J30" i="43"/>
  <c r="K30" i="43" s="1"/>
  <c r="I30" i="43"/>
  <c r="M30" i="43" s="1"/>
  <c r="A30" i="43" s="1"/>
  <c r="B30" i="43"/>
  <c r="J29" i="43"/>
  <c r="K29" i="43" s="1"/>
  <c r="M29" i="43" s="1"/>
  <c r="A29" i="43" s="1"/>
  <c r="I29" i="43"/>
  <c r="B29" i="43"/>
  <c r="J28" i="43"/>
  <c r="K28" i="43" s="1"/>
  <c r="I28" i="43"/>
  <c r="B28" i="43"/>
  <c r="J27" i="43"/>
  <c r="K27" i="43" s="1"/>
  <c r="I27" i="43"/>
  <c r="B27" i="43"/>
  <c r="J26" i="43"/>
  <c r="K26" i="43" s="1"/>
  <c r="I26" i="43"/>
  <c r="M26" i="43" s="1"/>
  <c r="A26" i="43" s="1"/>
  <c r="B26" i="43"/>
  <c r="J25" i="43"/>
  <c r="K25" i="43" s="1"/>
  <c r="I25" i="43"/>
  <c r="B25" i="43"/>
  <c r="J24" i="43"/>
  <c r="K24" i="43" s="1"/>
  <c r="I24" i="43"/>
  <c r="M24" i="43" s="1"/>
  <c r="A24" i="43" s="1"/>
  <c r="B24" i="43"/>
  <c r="J23" i="43"/>
  <c r="K23" i="43" s="1"/>
  <c r="I23" i="43"/>
  <c r="M23" i="43" s="1"/>
  <c r="A23" i="43" s="1"/>
  <c r="B23" i="43"/>
  <c r="J22" i="43"/>
  <c r="K22" i="43" s="1"/>
  <c r="I22" i="43"/>
  <c r="B22" i="43"/>
  <c r="J21" i="43"/>
  <c r="K21" i="43" s="1"/>
  <c r="M21" i="43" s="1"/>
  <c r="A21" i="43" s="1"/>
  <c r="I21" i="43"/>
  <c r="B21" i="43"/>
  <c r="J20" i="43"/>
  <c r="K20" i="43" s="1"/>
  <c r="I20" i="43"/>
  <c r="B20" i="43"/>
  <c r="J19" i="43"/>
  <c r="K19" i="43" s="1"/>
  <c r="I19" i="43"/>
  <c r="M19" i="43" s="1"/>
  <c r="A19" i="43" s="1"/>
  <c r="B19" i="43"/>
  <c r="J18" i="43"/>
  <c r="K18" i="43" s="1"/>
  <c r="I18" i="43"/>
  <c r="B18" i="43"/>
  <c r="J17" i="43"/>
  <c r="K17" i="43" s="1"/>
  <c r="I17" i="43"/>
  <c r="B17" i="43"/>
  <c r="AI16" i="43"/>
  <c r="K16" i="43"/>
  <c r="J16" i="43"/>
  <c r="I16" i="43"/>
  <c r="B16" i="43"/>
  <c r="J15" i="43"/>
  <c r="K15" i="43" s="1"/>
  <c r="I15" i="43"/>
  <c r="B15" i="43"/>
  <c r="AI14" i="43"/>
  <c r="J14" i="43"/>
  <c r="K14" i="43" s="1"/>
  <c r="I14" i="43"/>
  <c r="B14" i="43"/>
  <c r="AI13" i="43"/>
  <c r="J13" i="43"/>
  <c r="K13" i="43" s="1"/>
  <c r="I13" i="43"/>
  <c r="B13" i="43"/>
  <c r="AI12" i="43"/>
  <c r="J12" i="43"/>
  <c r="K12" i="43" s="1"/>
  <c r="I12" i="43"/>
  <c r="B12" i="43"/>
  <c r="J11" i="43"/>
  <c r="K11" i="43" s="1"/>
  <c r="I11" i="43"/>
  <c r="B11" i="43"/>
  <c r="J10" i="43"/>
  <c r="K10" i="43" s="1"/>
  <c r="M10" i="43" s="1"/>
  <c r="A10" i="43" s="1"/>
  <c r="I10" i="43"/>
  <c r="B10" i="43"/>
  <c r="J9" i="43"/>
  <c r="K9" i="43" s="1"/>
  <c r="I9" i="43"/>
  <c r="B9" i="43"/>
  <c r="J8" i="43"/>
  <c r="K8" i="43" s="1"/>
  <c r="I8" i="43"/>
  <c r="B8" i="43"/>
  <c r="J7" i="43"/>
  <c r="K7" i="43" s="1"/>
  <c r="I7" i="43"/>
  <c r="B7" i="43"/>
  <c r="J6" i="43"/>
  <c r="K6" i="43" s="1"/>
  <c r="I6" i="43"/>
  <c r="B6" i="43"/>
  <c r="K2" i="43"/>
  <c r="A19" i="31"/>
  <c r="A29" i="31"/>
  <c r="A17" i="31"/>
  <c r="A11" i="31"/>
  <c r="A30" i="31"/>
  <c r="A26" i="31"/>
  <c r="A15" i="31"/>
  <c r="A13" i="31"/>
  <c r="J305" i="42"/>
  <c r="K305" i="42" s="1"/>
  <c r="I305" i="42"/>
  <c r="M305" i="42" s="1"/>
  <c r="J304" i="42"/>
  <c r="K304" i="42" s="1"/>
  <c r="I304" i="42"/>
  <c r="M304" i="42" s="1"/>
  <c r="M303" i="42"/>
  <c r="J303" i="42"/>
  <c r="K303" i="42" s="1"/>
  <c r="I303" i="42"/>
  <c r="J302" i="42"/>
  <c r="K302" i="42" s="1"/>
  <c r="I302" i="42"/>
  <c r="M302" i="42" s="1"/>
  <c r="J301" i="42"/>
  <c r="K301" i="42" s="1"/>
  <c r="I301" i="42"/>
  <c r="M301" i="42" s="1"/>
  <c r="J300" i="42"/>
  <c r="K300" i="42" s="1"/>
  <c r="I300" i="42"/>
  <c r="M300" i="42" s="1"/>
  <c r="J299" i="42"/>
  <c r="K299" i="42" s="1"/>
  <c r="I299" i="42"/>
  <c r="M299" i="42" s="1"/>
  <c r="J298" i="42"/>
  <c r="K298" i="42" s="1"/>
  <c r="I298" i="42"/>
  <c r="M298" i="42" s="1"/>
  <c r="J297" i="42"/>
  <c r="K297" i="42" s="1"/>
  <c r="I297" i="42"/>
  <c r="M297" i="42" s="1"/>
  <c r="J296" i="42"/>
  <c r="K296" i="42" s="1"/>
  <c r="I296" i="42"/>
  <c r="M296" i="42" s="1"/>
  <c r="J295" i="42"/>
  <c r="K295" i="42" s="1"/>
  <c r="I295" i="42"/>
  <c r="M295" i="42" s="1"/>
  <c r="J294" i="42"/>
  <c r="K294" i="42" s="1"/>
  <c r="I294" i="42"/>
  <c r="M294" i="42" s="1"/>
  <c r="J293" i="42"/>
  <c r="K293" i="42" s="1"/>
  <c r="I293" i="42"/>
  <c r="M293" i="42" s="1"/>
  <c r="J292" i="42"/>
  <c r="K292" i="42" s="1"/>
  <c r="I292" i="42"/>
  <c r="M292" i="42" s="1"/>
  <c r="J291" i="42"/>
  <c r="K291" i="42" s="1"/>
  <c r="I291" i="42"/>
  <c r="M291" i="42" s="1"/>
  <c r="J290" i="42"/>
  <c r="K290" i="42" s="1"/>
  <c r="I290" i="42"/>
  <c r="M290" i="42" s="1"/>
  <c r="J289" i="42"/>
  <c r="K289" i="42" s="1"/>
  <c r="I289" i="42"/>
  <c r="M289" i="42" s="1"/>
  <c r="J288" i="42"/>
  <c r="K288" i="42" s="1"/>
  <c r="I288" i="42"/>
  <c r="M288" i="42" s="1"/>
  <c r="J287" i="42"/>
  <c r="K287" i="42" s="1"/>
  <c r="I287" i="42"/>
  <c r="M287" i="42" s="1"/>
  <c r="J286" i="42"/>
  <c r="K286" i="42" s="1"/>
  <c r="I286" i="42"/>
  <c r="M286" i="42" s="1"/>
  <c r="M285" i="42"/>
  <c r="J285" i="42"/>
  <c r="K285" i="42" s="1"/>
  <c r="I285" i="42"/>
  <c r="J284" i="42"/>
  <c r="K284" i="42" s="1"/>
  <c r="I284" i="42"/>
  <c r="M284" i="42" s="1"/>
  <c r="J283" i="42"/>
  <c r="K283" i="42" s="1"/>
  <c r="I283" i="42"/>
  <c r="M283" i="42" s="1"/>
  <c r="J282" i="42"/>
  <c r="K282" i="42" s="1"/>
  <c r="I282" i="42"/>
  <c r="M282" i="42" s="1"/>
  <c r="J281" i="42"/>
  <c r="K281" i="42" s="1"/>
  <c r="I281" i="42"/>
  <c r="M281" i="42" s="1"/>
  <c r="J280" i="42"/>
  <c r="K280" i="42" s="1"/>
  <c r="I280" i="42"/>
  <c r="M280" i="42" s="1"/>
  <c r="J279" i="42"/>
  <c r="K279" i="42" s="1"/>
  <c r="I279" i="42"/>
  <c r="M279" i="42" s="1"/>
  <c r="J278" i="42"/>
  <c r="K278" i="42" s="1"/>
  <c r="I278" i="42"/>
  <c r="M278" i="42" s="1"/>
  <c r="J277" i="42"/>
  <c r="K277" i="42" s="1"/>
  <c r="I277" i="42"/>
  <c r="M277" i="42" s="1"/>
  <c r="J276" i="42"/>
  <c r="K276" i="42" s="1"/>
  <c r="I276" i="42"/>
  <c r="M276" i="42" s="1"/>
  <c r="J275" i="42"/>
  <c r="K275" i="42" s="1"/>
  <c r="I275" i="42"/>
  <c r="M275" i="42" s="1"/>
  <c r="J274" i="42"/>
  <c r="K274" i="42" s="1"/>
  <c r="I274" i="42"/>
  <c r="M274" i="42" s="1"/>
  <c r="J273" i="42"/>
  <c r="K273" i="42" s="1"/>
  <c r="I273" i="42"/>
  <c r="M273" i="42" s="1"/>
  <c r="J272" i="42"/>
  <c r="K272" i="42" s="1"/>
  <c r="I272" i="42"/>
  <c r="M272" i="42" s="1"/>
  <c r="J271" i="42"/>
  <c r="K271" i="42" s="1"/>
  <c r="I271" i="42"/>
  <c r="M271" i="42" s="1"/>
  <c r="J270" i="42"/>
  <c r="K270" i="42" s="1"/>
  <c r="I270" i="42"/>
  <c r="M270" i="42" s="1"/>
  <c r="J269" i="42"/>
  <c r="K269" i="42" s="1"/>
  <c r="I269" i="42"/>
  <c r="M269" i="42" s="1"/>
  <c r="J268" i="42"/>
  <c r="K268" i="42" s="1"/>
  <c r="I268" i="42"/>
  <c r="M268" i="42" s="1"/>
  <c r="J267" i="42"/>
  <c r="K267" i="42" s="1"/>
  <c r="I267" i="42"/>
  <c r="M267" i="42" s="1"/>
  <c r="J266" i="42"/>
  <c r="K266" i="42" s="1"/>
  <c r="I266" i="42"/>
  <c r="M266" i="42" s="1"/>
  <c r="J265" i="42"/>
  <c r="K265" i="42" s="1"/>
  <c r="I265" i="42"/>
  <c r="M265" i="42" s="1"/>
  <c r="J264" i="42"/>
  <c r="K264" i="42" s="1"/>
  <c r="I264" i="42"/>
  <c r="M264" i="42" s="1"/>
  <c r="J263" i="42"/>
  <c r="K263" i="42" s="1"/>
  <c r="I263" i="42"/>
  <c r="M263" i="42" s="1"/>
  <c r="J262" i="42"/>
  <c r="K262" i="42" s="1"/>
  <c r="I262" i="42"/>
  <c r="M262" i="42" s="1"/>
  <c r="J261" i="42"/>
  <c r="K261" i="42" s="1"/>
  <c r="I261" i="42"/>
  <c r="M261" i="42" s="1"/>
  <c r="J260" i="42"/>
  <c r="K260" i="42" s="1"/>
  <c r="I260" i="42"/>
  <c r="M260" i="42" s="1"/>
  <c r="J259" i="42"/>
  <c r="K259" i="42" s="1"/>
  <c r="I259" i="42"/>
  <c r="M259" i="42" s="1"/>
  <c r="J258" i="42"/>
  <c r="K258" i="42" s="1"/>
  <c r="I258" i="42"/>
  <c r="M258" i="42" s="1"/>
  <c r="J257" i="42"/>
  <c r="K257" i="42" s="1"/>
  <c r="I257" i="42"/>
  <c r="M257" i="42" s="1"/>
  <c r="J256" i="42"/>
  <c r="K256" i="42" s="1"/>
  <c r="I256" i="42"/>
  <c r="M256" i="42" s="1"/>
  <c r="J255" i="42"/>
  <c r="K255" i="42" s="1"/>
  <c r="I255" i="42"/>
  <c r="M255" i="42" s="1"/>
  <c r="J254" i="42"/>
  <c r="K254" i="42" s="1"/>
  <c r="I254" i="42"/>
  <c r="M254" i="42" s="1"/>
  <c r="J253" i="42"/>
  <c r="K253" i="42" s="1"/>
  <c r="I253" i="42"/>
  <c r="M253" i="42" s="1"/>
  <c r="J252" i="42"/>
  <c r="K252" i="42" s="1"/>
  <c r="I252" i="42"/>
  <c r="M252" i="42" s="1"/>
  <c r="J251" i="42"/>
  <c r="K251" i="42" s="1"/>
  <c r="I251" i="42"/>
  <c r="M251" i="42" s="1"/>
  <c r="J250" i="42"/>
  <c r="K250" i="42" s="1"/>
  <c r="I250" i="42"/>
  <c r="M250" i="42" s="1"/>
  <c r="J249" i="42"/>
  <c r="K249" i="42" s="1"/>
  <c r="I249" i="42"/>
  <c r="M249" i="42" s="1"/>
  <c r="J248" i="42"/>
  <c r="K248" i="42" s="1"/>
  <c r="I248" i="42"/>
  <c r="M248" i="42" s="1"/>
  <c r="J247" i="42"/>
  <c r="K247" i="42" s="1"/>
  <c r="I247" i="42"/>
  <c r="M247" i="42" s="1"/>
  <c r="J246" i="42"/>
  <c r="K246" i="42" s="1"/>
  <c r="I246" i="42"/>
  <c r="M246" i="42" s="1"/>
  <c r="J245" i="42"/>
  <c r="K245" i="42" s="1"/>
  <c r="I245" i="42"/>
  <c r="M245" i="42" s="1"/>
  <c r="J244" i="42"/>
  <c r="K244" i="42" s="1"/>
  <c r="I244" i="42"/>
  <c r="M244" i="42" s="1"/>
  <c r="J243" i="42"/>
  <c r="K243" i="42" s="1"/>
  <c r="I243" i="42"/>
  <c r="M243" i="42" s="1"/>
  <c r="J242" i="42"/>
  <c r="K242" i="42" s="1"/>
  <c r="I242" i="42"/>
  <c r="M242" i="42" s="1"/>
  <c r="J241" i="42"/>
  <c r="K241" i="42" s="1"/>
  <c r="I241" i="42"/>
  <c r="M241" i="42" s="1"/>
  <c r="J240" i="42"/>
  <c r="K240" i="42" s="1"/>
  <c r="I240" i="42"/>
  <c r="M240" i="42" s="1"/>
  <c r="M239" i="42"/>
  <c r="J239" i="42"/>
  <c r="K239" i="42" s="1"/>
  <c r="I239" i="42"/>
  <c r="J238" i="42"/>
  <c r="K238" i="42" s="1"/>
  <c r="I238" i="42"/>
  <c r="M238" i="42" s="1"/>
  <c r="J237" i="42"/>
  <c r="K237" i="42" s="1"/>
  <c r="I237" i="42"/>
  <c r="M237" i="42" s="1"/>
  <c r="J236" i="42"/>
  <c r="K236" i="42" s="1"/>
  <c r="I236" i="42"/>
  <c r="M236" i="42" s="1"/>
  <c r="J235" i="42"/>
  <c r="K235" i="42" s="1"/>
  <c r="I235" i="42"/>
  <c r="M235" i="42" s="1"/>
  <c r="J234" i="42"/>
  <c r="K234" i="42" s="1"/>
  <c r="I234" i="42"/>
  <c r="M234" i="42" s="1"/>
  <c r="J233" i="42"/>
  <c r="K233" i="42" s="1"/>
  <c r="I233" i="42"/>
  <c r="M233" i="42" s="1"/>
  <c r="J232" i="42"/>
  <c r="K232" i="42" s="1"/>
  <c r="I232" i="42"/>
  <c r="M232" i="42" s="1"/>
  <c r="J231" i="42"/>
  <c r="K231" i="42" s="1"/>
  <c r="I231" i="42"/>
  <c r="M231" i="42" s="1"/>
  <c r="J230" i="42"/>
  <c r="K230" i="42" s="1"/>
  <c r="I230" i="42"/>
  <c r="M230" i="42" s="1"/>
  <c r="J229" i="42"/>
  <c r="K229" i="42" s="1"/>
  <c r="I229" i="42"/>
  <c r="M229" i="42" s="1"/>
  <c r="J228" i="42"/>
  <c r="K228" i="42" s="1"/>
  <c r="I228" i="42"/>
  <c r="M228" i="42" s="1"/>
  <c r="J227" i="42"/>
  <c r="K227" i="42" s="1"/>
  <c r="I227" i="42"/>
  <c r="M227" i="42" s="1"/>
  <c r="J226" i="42"/>
  <c r="K226" i="42" s="1"/>
  <c r="I226" i="42"/>
  <c r="M226" i="42" s="1"/>
  <c r="J225" i="42"/>
  <c r="K225" i="42" s="1"/>
  <c r="I225" i="42"/>
  <c r="M225" i="42" s="1"/>
  <c r="J224" i="42"/>
  <c r="K224" i="42" s="1"/>
  <c r="I224" i="42"/>
  <c r="M224" i="42" s="1"/>
  <c r="J223" i="42"/>
  <c r="K223" i="42" s="1"/>
  <c r="I223" i="42"/>
  <c r="M223" i="42" s="1"/>
  <c r="J222" i="42"/>
  <c r="K222" i="42" s="1"/>
  <c r="I222" i="42"/>
  <c r="M222" i="42" s="1"/>
  <c r="M221" i="42"/>
  <c r="J221" i="42"/>
  <c r="K221" i="42" s="1"/>
  <c r="I221" i="42"/>
  <c r="J220" i="42"/>
  <c r="K220" i="42" s="1"/>
  <c r="I220" i="42"/>
  <c r="M220" i="42" s="1"/>
  <c r="J219" i="42"/>
  <c r="K219" i="42" s="1"/>
  <c r="I219" i="42"/>
  <c r="M219" i="42" s="1"/>
  <c r="J218" i="42"/>
  <c r="K218" i="42" s="1"/>
  <c r="I218" i="42"/>
  <c r="M218" i="42" s="1"/>
  <c r="J217" i="42"/>
  <c r="K217" i="42" s="1"/>
  <c r="I217" i="42"/>
  <c r="M217" i="42" s="1"/>
  <c r="J216" i="42"/>
  <c r="K216" i="42" s="1"/>
  <c r="I216" i="42"/>
  <c r="M216" i="42" s="1"/>
  <c r="J215" i="42"/>
  <c r="K215" i="42" s="1"/>
  <c r="I215" i="42"/>
  <c r="M215" i="42" s="1"/>
  <c r="J214" i="42"/>
  <c r="K214" i="42" s="1"/>
  <c r="I214" i="42"/>
  <c r="M214" i="42" s="1"/>
  <c r="J213" i="42"/>
  <c r="K213" i="42" s="1"/>
  <c r="I213" i="42"/>
  <c r="M213" i="42" s="1"/>
  <c r="J212" i="42"/>
  <c r="K212" i="42" s="1"/>
  <c r="I212" i="42"/>
  <c r="M212" i="42" s="1"/>
  <c r="J211" i="42"/>
  <c r="K211" i="42" s="1"/>
  <c r="I211" i="42"/>
  <c r="M211" i="42" s="1"/>
  <c r="J210" i="42"/>
  <c r="K210" i="42" s="1"/>
  <c r="I210" i="42"/>
  <c r="M210" i="42" s="1"/>
  <c r="J209" i="42"/>
  <c r="K209" i="42" s="1"/>
  <c r="I209" i="42"/>
  <c r="M209" i="42" s="1"/>
  <c r="J208" i="42"/>
  <c r="K208" i="42" s="1"/>
  <c r="I208" i="42"/>
  <c r="M208" i="42" s="1"/>
  <c r="J207" i="42"/>
  <c r="K207" i="42" s="1"/>
  <c r="I207" i="42"/>
  <c r="M207" i="42" s="1"/>
  <c r="J206" i="42"/>
  <c r="K206" i="42" s="1"/>
  <c r="I206" i="42"/>
  <c r="M206" i="42" s="1"/>
  <c r="J205" i="42"/>
  <c r="K205" i="42" s="1"/>
  <c r="I205" i="42"/>
  <c r="M205" i="42" s="1"/>
  <c r="J204" i="42"/>
  <c r="K204" i="42" s="1"/>
  <c r="I204" i="42"/>
  <c r="M204" i="42" s="1"/>
  <c r="J203" i="42"/>
  <c r="K203" i="42" s="1"/>
  <c r="I203" i="42"/>
  <c r="M203" i="42" s="1"/>
  <c r="J202" i="42"/>
  <c r="K202" i="42" s="1"/>
  <c r="I202" i="42"/>
  <c r="M202" i="42" s="1"/>
  <c r="J201" i="42"/>
  <c r="K201" i="42" s="1"/>
  <c r="I201" i="42"/>
  <c r="M201" i="42" s="1"/>
  <c r="J200" i="42"/>
  <c r="K200" i="42" s="1"/>
  <c r="I200" i="42"/>
  <c r="M200" i="42" s="1"/>
  <c r="J199" i="42"/>
  <c r="K199" i="42" s="1"/>
  <c r="I199" i="42"/>
  <c r="M199" i="42" s="1"/>
  <c r="J198" i="42"/>
  <c r="K198" i="42" s="1"/>
  <c r="I198" i="42"/>
  <c r="M198" i="42" s="1"/>
  <c r="J197" i="42"/>
  <c r="K197" i="42" s="1"/>
  <c r="I197" i="42"/>
  <c r="M197" i="42" s="1"/>
  <c r="J196" i="42"/>
  <c r="K196" i="42" s="1"/>
  <c r="I196" i="42"/>
  <c r="M196" i="42" s="1"/>
  <c r="J195" i="42"/>
  <c r="K195" i="42" s="1"/>
  <c r="I195" i="42"/>
  <c r="M195" i="42" s="1"/>
  <c r="J194" i="42"/>
  <c r="K194" i="42" s="1"/>
  <c r="I194" i="42"/>
  <c r="M194" i="42" s="1"/>
  <c r="J193" i="42"/>
  <c r="K193" i="42" s="1"/>
  <c r="I193" i="42"/>
  <c r="M193" i="42" s="1"/>
  <c r="J192" i="42"/>
  <c r="K192" i="42" s="1"/>
  <c r="I192" i="42"/>
  <c r="M192" i="42" s="1"/>
  <c r="J191" i="42"/>
  <c r="K191" i="42" s="1"/>
  <c r="I191" i="42"/>
  <c r="M191" i="42" s="1"/>
  <c r="J190" i="42"/>
  <c r="K190" i="42" s="1"/>
  <c r="I190" i="42"/>
  <c r="M190" i="42" s="1"/>
  <c r="J189" i="42"/>
  <c r="K189" i="42" s="1"/>
  <c r="I189" i="42"/>
  <c r="M189" i="42" s="1"/>
  <c r="J188" i="42"/>
  <c r="K188" i="42" s="1"/>
  <c r="I188" i="42"/>
  <c r="M188" i="42" s="1"/>
  <c r="J187" i="42"/>
  <c r="K187" i="42" s="1"/>
  <c r="I187" i="42"/>
  <c r="M187" i="42" s="1"/>
  <c r="J186" i="42"/>
  <c r="K186" i="42" s="1"/>
  <c r="I186" i="42"/>
  <c r="M186" i="42" s="1"/>
  <c r="J185" i="42"/>
  <c r="K185" i="42" s="1"/>
  <c r="I185" i="42"/>
  <c r="M185" i="42" s="1"/>
  <c r="J184" i="42"/>
  <c r="K184" i="42" s="1"/>
  <c r="I184" i="42"/>
  <c r="M184" i="42" s="1"/>
  <c r="J183" i="42"/>
  <c r="K183" i="42" s="1"/>
  <c r="I183" i="42"/>
  <c r="M183" i="42" s="1"/>
  <c r="J182" i="42"/>
  <c r="K182" i="42" s="1"/>
  <c r="I182" i="42"/>
  <c r="M182" i="42" s="1"/>
  <c r="M181" i="42"/>
  <c r="J181" i="42"/>
  <c r="K181" i="42" s="1"/>
  <c r="I181" i="42"/>
  <c r="J180" i="42"/>
  <c r="K180" i="42" s="1"/>
  <c r="I180" i="42"/>
  <c r="M180" i="42" s="1"/>
  <c r="J179" i="42"/>
  <c r="K179" i="42" s="1"/>
  <c r="I179" i="42"/>
  <c r="M179" i="42" s="1"/>
  <c r="J178" i="42"/>
  <c r="K178" i="42" s="1"/>
  <c r="I178" i="42"/>
  <c r="M178" i="42" s="1"/>
  <c r="J177" i="42"/>
  <c r="K177" i="42" s="1"/>
  <c r="I177" i="42"/>
  <c r="M177" i="42" s="1"/>
  <c r="J176" i="42"/>
  <c r="K176" i="42" s="1"/>
  <c r="I176" i="42"/>
  <c r="M176" i="42" s="1"/>
  <c r="J175" i="42"/>
  <c r="K175" i="42" s="1"/>
  <c r="I175" i="42"/>
  <c r="M175" i="42" s="1"/>
  <c r="J174" i="42"/>
  <c r="K174" i="42" s="1"/>
  <c r="I174" i="42"/>
  <c r="M174" i="42" s="1"/>
  <c r="J173" i="42"/>
  <c r="K173" i="42" s="1"/>
  <c r="I173" i="42"/>
  <c r="M173" i="42" s="1"/>
  <c r="J172" i="42"/>
  <c r="K172" i="42" s="1"/>
  <c r="I172" i="42"/>
  <c r="M172" i="42" s="1"/>
  <c r="J171" i="42"/>
  <c r="K171" i="42" s="1"/>
  <c r="I171" i="42"/>
  <c r="M171" i="42" s="1"/>
  <c r="J170" i="42"/>
  <c r="K170" i="42" s="1"/>
  <c r="I170" i="42"/>
  <c r="M170" i="42" s="1"/>
  <c r="J169" i="42"/>
  <c r="K169" i="42" s="1"/>
  <c r="I169" i="42"/>
  <c r="M169" i="42" s="1"/>
  <c r="J168" i="42"/>
  <c r="K168" i="42" s="1"/>
  <c r="I168" i="42"/>
  <c r="M168" i="42" s="1"/>
  <c r="J167" i="42"/>
  <c r="K167" i="42" s="1"/>
  <c r="I167" i="42"/>
  <c r="M167" i="42" s="1"/>
  <c r="J166" i="42"/>
  <c r="K166" i="42" s="1"/>
  <c r="I166" i="42"/>
  <c r="M166" i="42" s="1"/>
  <c r="J165" i="42"/>
  <c r="K165" i="42" s="1"/>
  <c r="I165" i="42"/>
  <c r="M165" i="42" s="1"/>
  <c r="J164" i="42"/>
  <c r="K164" i="42" s="1"/>
  <c r="I164" i="42"/>
  <c r="M164" i="42" s="1"/>
  <c r="J163" i="42"/>
  <c r="K163" i="42" s="1"/>
  <c r="I163" i="42"/>
  <c r="M163" i="42" s="1"/>
  <c r="J162" i="42"/>
  <c r="K162" i="42" s="1"/>
  <c r="I162" i="42"/>
  <c r="M162" i="42" s="1"/>
  <c r="J161" i="42"/>
  <c r="K161" i="42" s="1"/>
  <c r="I161" i="42"/>
  <c r="M161" i="42" s="1"/>
  <c r="J160" i="42"/>
  <c r="K160" i="42" s="1"/>
  <c r="I160" i="42"/>
  <c r="M160" i="42" s="1"/>
  <c r="M159" i="42"/>
  <c r="K159" i="42"/>
  <c r="J159" i="42"/>
  <c r="I159" i="42"/>
  <c r="J158" i="42"/>
  <c r="K158" i="42" s="1"/>
  <c r="I158" i="42"/>
  <c r="M158" i="42" s="1"/>
  <c r="J157" i="42"/>
  <c r="K157" i="42" s="1"/>
  <c r="I157" i="42"/>
  <c r="M157" i="42" s="1"/>
  <c r="J156" i="42"/>
  <c r="K156" i="42" s="1"/>
  <c r="I156" i="42"/>
  <c r="M156" i="42" s="1"/>
  <c r="J155" i="42"/>
  <c r="K155" i="42" s="1"/>
  <c r="I155" i="42"/>
  <c r="M155" i="42" s="1"/>
  <c r="J154" i="42"/>
  <c r="K154" i="42" s="1"/>
  <c r="I154" i="42"/>
  <c r="M154" i="42" s="1"/>
  <c r="J153" i="42"/>
  <c r="K153" i="42" s="1"/>
  <c r="I153" i="42"/>
  <c r="M153" i="42" s="1"/>
  <c r="J152" i="42"/>
  <c r="K152" i="42" s="1"/>
  <c r="I152" i="42"/>
  <c r="M152" i="42" s="1"/>
  <c r="J151" i="42"/>
  <c r="K151" i="42" s="1"/>
  <c r="I151" i="42"/>
  <c r="M151" i="42" s="1"/>
  <c r="J150" i="42"/>
  <c r="K150" i="42" s="1"/>
  <c r="I150" i="42"/>
  <c r="M150" i="42" s="1"/>
  <c r="J149" i="42"/>
  <c r="K149" i="42" s="1"/>
  <c r="I149" i="42"/>
  <c r="M149" i="42" s="1"/>
  <c r="K148" i="42"/>
  <c r="J148" i="42"/>
  <c r="I148" i="42"/>
  <c r="M148" i="42" s="1"/>
  <c r="J147" i="42"/>
  <c r="K147" i="42" s="1"/>
  <c r="I147" i="42"/>
  <c r="M147" i="42" s="1"/>
  <c r="J146" i="42"/>
  <c r="K146" i="42" s="1"/>
  <c r="I146" i="42"/>
  <c r="M146" i="42" s="1"/>
  <c r="J145" i="42"/>
  <c r="K145" i="42" s="1"/>
  <c r="I145" i="42"/>
  <c r="M145" i="42" s="1"/>
  <c r="J144" i="42"/>
  <c r="K144" i="42" s="1"/>
  <c r="I144" i="42"/>
  <c r="M144" i="42" s="1"/>
  <c r="J143" i="42"/>
  <c r="K143" i="42" s="1"/>
  <c r="I143" i="42"/>
  <c r="M143" i="42" s="1"/>
  <c r="J142" i="42"/>
  <c r="K142" i="42" s="1"/>
  <c r="I142" i="42"/>
  <c r="M142" i="42" s="1"/>
  <c r="J141" i="42"/>
  <c r="K141" i="42" s="1"/>
  <c r="I141" i="42"/>
  <c r="M141" i="42" s="1"/>
  <c r="J140" i="42"/>
  <c r="K140" i="42" s="1"/>
  <c r="I140" i="42"/>
  <c r="M140" i="42" s="1"/>
  <c r="J139" i="42"/>
  <c r="K139" i="42" s="1"/>
  <c r="I139" i="42"/>
  <c r="M139" i="42" s="1"/>
  <c r="J138" i="42"/>
  <c r="K138" i="42" s="1"/>
  <c r="I138" i="42"/>
  <c r="M138" i="42" s="1"/>
  <c r="J137" i="42"/>
  <c r="K137" i="42" s="1"/>
  <c r="I137" i="42"/>
  <c r="M137" i="42" s="1"/>
  <c r="J136" i="42"/>
  <c r="K136" i="42" s="1"/>
  <c r="I136" i="42"/>
  <c r="M136" i="42" s="1"/>
  <c r="K135" i="42"/>
  <c r="J135" i="42"/>
  <c r="I135" i="42"/>
  <c r="M135" i="42" s="1"/>
  <c r="J134" i="42"/>
  <c r="K134" i="42" s="1"/>
  <c r="I134" i="42"/>
  <c r="M134" i="42" s="1"/>
  <c r="J133" i="42"/>
  <c r="K133" i="42" s="1"/>
  <c r="I133" i="42"/>
  <c r="M133" i="42" s="1"/>
  <c r="K132" i="42"/>
  <c r="J132" i="42"/>
  <c r="I132" i="42"/>
  <c r="M132" i="42" s="1"/>
  <c r="J131" i="42"/>
  <c r="K131" i="42" s="1"/>
  <c r="I131" i="42"/>
  <c r="M131" i="42" s="1"/>
  <c r="J130" i="42"/>
  <c r="K130" i="42" s="1"/>
  <c r="I130" i="42"/>
  <c r="M130" i="42" s="1"/>
  <c r="J129" i="42"/>
  <c r="K129" i="42" s="1"/>
  <c r="I129" i="42"/>
  <c r="M129" i="42" s="1"/>
  <c r="K128" i="42"/>
  <c r="J128" i="42"/>
  <c r="I128" i="42"/>
  <c r="M128" i="42" s="1"/>
  <c r="J127" i="42"/>
  <c r="K127" i="42" s="1"/>
  <c r="I127" i="42"/>
  <c r="M127" i="42" s="1"/>
  <c r="J126" i="42"/>
  <c r="K126" i="42" s="1"/>
  <c r="I126" i="42"/>
  <c r="M126" i="42" s="1"/>
  <c r="J125" i="42"/>
  <c r="K125" i="42" s="1"/>
  <c r="I125" i="42"/>
  <c r="M125" i="42" s="1"/>
  <c r="J124" i="42"/>
  <c r="K124" i="42" s="1"/>
  <c r="I124" i="42"/>
  <c r="M124" i="42" s="1"/>
  <c r="M123" i="42"/>
  <c r="J123" i="42"/>
  <c r="K123" i="42" s="1"/>
  <c r="I123" i="42"/>
  <c r="J122" i="42"/>
  <c r="K122" i="42" s="1"/>
  <c r="I122" i="42"/>
  <c r="M122" i="42" s="1"/>
  <c r="J121" i="42"/>
  <c r="K121" i="42" s="1"/>
  <c r="I121" i="42"/>
  <c r="M121" i="42" s="1"/>
  <c r="J120" i="42"/>
  <c r="K120" i="42" s="1"/>
  <c r="I120" i="42"/>
  <c r="M120" i="42" s="1"/>
  <c r="J119" i="42"/>
  <c r="K119" i="42" s="1"/>
  <c r="I119" i="42"/>
  <c r="M119" i="42" s="1"/>
  <c r="J118" i="42"/>
  <c r="K118" i="42" s="1"/>
  <c r="I118" i="42"/>
  <c r="M118" i="42" s="1"/>
  <c r="J117" i="42"/>
  <c r="K117" i="42" s="1"/>
  <c r="I117" i="42"/>
  <c r="M117" i="42" s="1"/>
  <c r="J116" i="42"/>
  <c r="K116" i="42" s="1"/>
  <c r="I116" i="42"/>
  <c r="M116" i="42" s="1"/>
  <c r="K115" i="42"/>
  <c r="J115" i="42"/>
  <c r="I115" i="42"/>
  <c r="M115" i="42" s="1"/>
  <c r="J114" i="42"/>
  <c r="K114" i="42" s="1"/>
  <c r="I114" i="42"/>
  <c r="M114" i="42" s="1"/>
  <c r="J113" i="42"/>
  <c r="K113" i="42" s="1"/>
  <c r="I113" i="42"/>
  <c r="M113" i="42" s="1"/>
  <c r="J112" i="42"/>
  <c r="K112" i="42" s="1"/>
  <c r="I112" i="42"/>
  <c r="M112" i="42" s="1"/>
  <c r="J111" i="42"/>
  <c r="K111" i="42" s="1"/>
  <c r="I111" i="42"/>
  <c r="M111" i="42" s="1"/>
  <c r="J110" i="42"/>
  <c r="K110" i="42" s="1"/>
  <c r="I110" i="42"/>
  <c r="M110" i="42" s="1"/>
  <c r="J109" i="42"/>
  <c r="K109" i="42" s="1"/>
  <c r="I109" i="42"/>
  <c r="M109" i="42" s="1"/>
  <c r="K108" i="42"/>
  <c r="J108" i="42"/>
  <c r="I108" i="42"/>
  <c r="M108" i="42" s="1"/>
  <c r="M107" i="42"/>
  <c r="K107" i="42"/>
  <c r="J107" i="42"/>
  <c r="I107" i="42"/>
  <c r="J106" i="42"/>
  <c r="K106" i="42" s="1"/>
  <c r="I106" i="42"/>
  <c r="M106" i="42" s="1"/>
  <c r="J105" i="42"/>
  <c r="K105" i="42" s="1"/>
  <c r="I105" i="42"/>
  <c r="M105" i="42" s="1"/>
  <c r="J104" i="42"/>
  <c r="K104" i="42" s="1"/>
  <c r="I104" i="42"/>
  <c r="M104" i="42" s="1"/>
  <c r="K103" i="42"/>
  <c r="J103" i="42"/>
  <c r="I103" i="42"/>
  <c r="M103" i="42" s="1"/>
  <c r="J102" i="42"/>
  <c r="K102" i="42" s="1"/>
  <c r="I102" i="42"/>
  <c r="M102" i="42" s="1"/>
  <c r="M101" i="42"/>
  <c r="J101" i="42"/>
  <c r="K101" i="42" s="1"/>
  <c r="I101" i="42"/>
  <c r="J100" i="42"/>
  <c r="K100" i="42" s="1"/>
  <c r="I100" i="42"/>
  <c r="M100" i="42" s="1"/>
  <c r="J99" i="42"/>
  <c r="K99" i="42" s="1"/>
  <c r="I99" i="42"/>
  <c r="M99" i="42" s="1"/>
  <c r="J98" i="42"/>
  <c r="K98" i="42" s="1"/>
  <c r="I98" i="42"/>
  <c r="M98" i="42" s="1"/>
  <c r="J97" i="42"/>
  <c r="K97" i="42" s="1"/>
  <c r="I97" i="42"/>
  <c r="M97" i="42" s="1"/>
  <c r="J96" i="42"/>
  <c r="K96" i="42" s="1"/>
  <c r="I96" i="42"/>
  <c r="M96" i="42" s="1"/>
  <c r="J95" i="42"/>
  <c r="K95" i="42" s="1"/>
  <c r="I95" i="42"/>
  <c r="M95" i="42" s="1"/>
  <c r="J94" i="42"/>
  <c r="K94" i="42" s="1"/>
  <c r="I94" i="42"/>
  <c r="M94" i="42" s="1"/>
  <c r="K93" i="42"/>
  <c r="J93" i="42"/>
  <c r="I93" i="42"/>
  <c r="M93" i="42" s="1"/>
  <c r="J92" i="42"/>
  <c r="K92" i="42" s="1"/>
  <c r="I92" i="42"/>
  <c r="M92" i="42" s="1"/>
  <c r="M91" i="42"/>
  <c r="J91" i="42"/>
  <c r="K91" i="42" s="1"/>
  <c r="I91" i="42"/>
  <c r="J90" i="42"/>
  <c r="K90" i="42" s="1"/>
  <c r="I90" i="42"/>
  <c r="M90" i="42" s="1"/>
  <c r="M89" i="42"/>
  <c r="J89" i="42"/>
  <c r="K89" i="42" s="1"/>
  <c r="I89" i="42"/>
  <c r="J88" i="42"/>
  <c r="K88" i="42" s="1"/>
  <c r="I88" i="42"/>
  <c r="M88" i="42" s="1"/>
  <c r="J87" i="42"/>
  <c r="K87" i="42" s="1"/>
  <c r="I87" i="42"/>
  <c r="M87" i="42" s="1"/>
  <c r="K86" i="42"/>
  <c r="J86" i="42"/>
  <c r="I86" i="42"/>
  <c r="M86" i="42" s="1"/>
  <c r="J85" i="42"/>
  <c r="K85" i="42" s="1"/>
  <c r="I85" i="42"/>
  <c r="M85" i="42" s="1"/>
  <c r="J84" i="42"/>
  <c r="K84" i="42" s="1"/>
  <c r="I84" i="42"/>
  <c r="M84" i="42" s="1"/>
  <c r="J83" i="42"/>
  <c r="K83" i="42" s="1"/>
  <c r="I83" i="42"/>
  <c r="M83" i="42" s="1"/>
  <c r="J82" i="42"/>
  <c r="K82" i="42" s="1"/>
  <c r="I82" i="42"/>
  <c r="M82" i="42" s="1"/>
  <c r="J81" i="42"/>
  <c r="K81" i="42" s="1"/>
  <c r="I81" i="42"/>
  <c r="M81" i="42" s="1"/>
  <c r="K80" i="42"/>
  <c r="J80" i="42"/>
  <c r="I80" i="42"/>
  <c r="M80" i="42" s="1"/>
  <c r="J79" i="42"/>
  <c r="K79" i="42" s="1"/>
  <c r="I79" i="42"/>
  <c r="M79" i="42" s="1"/>
  <c r="J78" i="42"/>
  <c r="K78" i="42" s="1"/>
  <c r="I78" i="42"/>
  <c r="M78" i="42" s="1"/>
  <c r="J77" i="42"/>
  <c r="K77" i="42" s="1"/>
  <c r="I77" i="42"/>
  <c r="M77" i="42" s="1"/>
  <c r="K76" i="42"/>
  <c r="J76" i="42"/>
  <c r="I76" i="42"/>
  <c r="M76" i="42" s="1"/>
  <c r="J75" i="42"/>
  <c r="K75" i="42" s="1"/>
  <c r="I75" i="42"/>
  <c r="M75" i="42" s="1"/>
  <c r="J74" i="42"/>
  <c r="K74" i="42" s="1"/>
  <c r="I74" i="42"/>
  <c r="M74" i="42" s="1"/>
  <c r="M73" i="42"/>
  <c r="J73" i="42"/>
  <c r="K73" i="42" s="1"/>
  <c r="I73" i="42"/>
  <c r="J72" i="42"/>
  <c r="K72" i="42" s="1"/>
  <c r="I72" i="42"/>
  <c r="M72" i="42" s="1"/>
  <c r="K71" i="42"/>
  <c r="J71" i="42"/>
  <c r="I71" i="42"/>
  <c r="M71" i="42" s="1"/>
  <c r="J70" i="42"/>
  <c r="K70" i="42" s="1"/>
  <c r="I70" i="42"/>
  <c r="M70" i="42" s="1"/>
  <c r="J69" i="42"/>
  <c r="K69" i="42" s="1"/>
  <c r="I69" i="42"/>
  <c r="M69" i="42" s="1"/>
  <c r="J68" i="42"/>
  <c r="K68" i="42" s="1"/>
  <c r="I68" i="42"/>
  <c r="M68" i="42" s="1"/>
  <c r="K67" i="42"/>
  <c r="J67" i="42"/>
  <c r="I67" i="42"/>
  <c r="M67" i="42" s="1"/>
  <c r="J66" i="42"/>
  <c r="K66" i="42" s="1"/>
  <c r="I66" i="42"/>
  <c r="M66" i="42" s="1"/>
  <c r="J65" i="42"/>
  <c r="K65" i="42" s="1"/>
  <c r="I65" i="42"/>
  <c r="M65" i="42" s="1"/>
  <c r="B65" i="42"/>
  <c r="J64" i="42"/>
  <c r="K64" i="42" s="1"/>
  <c r="I64" i="42"/>
  <c r="M64" i="42" s="1"/>
  <c r="B64" i="42"/>
  <c r="J63" i="42"/>
  <c r="K63" i="42" s="1"/>
  <c r="I63" i="42"/>
  <c r="M63" i="42" s="1"/>
  <c r="B63" i="42"/>
  <c r="J62" i="42"/>
  <c r="K62" i="42" s="1"/>
  <c r="I62" i="42"/>
  <c r="M62" i="42" s="1"/>
  <c r="B62" i="42"/>
  <c r="J61" i="42"/>
  <c r="K61" i="42" s="1"/>
  <c r="I61" i="42"/>
  <c r="M61" i="42" s="1"/>
  <c r="B61" i="42"/>
  <c r="J60" i="42"/>
  <c r="K60" i="42" s="1"/>
  <c r="I60" i="42"/>
  <c r="M60" i="42" s="1"/>
  <c r="B60" i="42"/>
  <c r="J59" i="42"/>
  <c r="K59" i="42" s="1"/>
  <c r="I59" i="42"/>
  <c r="M59" i="42" s="1"/>
  <c r="B59" i="42"/>
  <c r="J58" i="42"/>
  <c r="K58" i="42" s="1"/>
  <c r="I58" i="42"/>
  <c r="M58" i="42" s="1"/>
  <c r="B58" i="42"/>
  <c r="J57" i="42"/>
  <c r="K57" i="42" s="1"/>
  <c r="I57" i="42"/>
  <c r="M57" i="42" s="1"/>
  <c r="B57" i="42"/>
  <c r="J56" i="42"/>
  <c r="K56" i="42" s="1"/>
  <c r="I56" i="42"/>
  <c r="M56" i="42" s="1"/>
  <c r="B56" i="42"/>
  <c r="J55" i="42"/>
  <c r="K55" i="42" s="1"/>
  <c r="I55" i="42"/>
  <c r="M55" i="42" s="1"/>
  <c r="B55" i="42"/>
  <c r="J54" i="42"/>
  <c r="K54" i="42" s="1"/>
  <c r="I54" i="42"/>
  <c r="M54" i="42" s="1"/>
  <c r="B54" i="42"/>
  <c r="K53" i="42"/>
  <c r="J53" i="42"/>
  <c r="I53" i="42"/>
  <c r="M53" i="42" s="1"/>
  <c r="B53" i="42"/>
  <c r="K52" i="42"/>
  <c r="J52" i="42"/>
  <c r="I52" i="42"/>
  <c r="M52" i="42" s="1"/>
  <c r="B52" i="42"/>
  <c r="J51" i="42"/>
  <c r="K51" i="42" s="1"/>
  <c r="I51" i="42"/>
  <c r="M51" i="42" s="1"/>
  <c r="B51" i="42"/>
  <c r="J50" i="42"/>
  <c r="K50" i="42" s="1"/>
  <c r="I50" i="42"/>
  <c r="M50" i="42" s="1"/>
  <c r="B50" i="42"/>
  <c r="J49" i="42"/>
  <c r="K49" i="42" s="1"/>
  <c r="I49" i="42"/>
  <c r="M49" i="42" s="1"/>
  <c r="B49" i="42"/>
  <c r="J48" i="42"/>
  <c r="K48" i="42" s="1"/>
  <c r="I48" i="42"/>
  <c r="M48" i="42" s="1"/>
  <c r="B48" i="42"/>
  <c r="K47" i="42"/>
  <c r="J47" i="42"/>
  <c r="I47" i="42"/>
  <c r="M47" i="42" s="1"/>
  <c r="B47" i="42"/>
  <c r="T46" i="42"/>
  <c r="R46" i="42"/>
  <c r="U46" i="42" s="1"/>
  <c r="K46" i="42"/>
  <c r="J46" i="42"/>
  <c r="I46" i="42"/>
  <c r="M46" i="42" s="1"/>
  <c r="B46" i="42"/>
  <c r="J45" i="42"/>
  <c r="K45" i="42" s="1"/>
  <c r="I45" i="42"/>
  <c r="M45" i="42" s="1"/>
  <c r="B45" i="42"/>
  <c r="J44" i="42"/>
  <c r="K44" i="42" s="1"/>
  <c r="I44" i="42"/>
  <c r="M44" i="42" s="1"/>
  <c r="B44" i="42"/>
  <c r="J43" i="42"/>
  <c r="K43" i="42" s="1"/>
  <c r="I43" i="42"/>
  <c r="M43" i="42" s="1"/>
  <c r="B43" i="42"/>
  <c r="J42" i="42"/>
  <c r="K42" i="42" s="1"/>
  <c r="I42" i="42"/>
  <c r="M42" i="42" s="1"/>
  <c r="B42" i="42"/>
  <c r="J41" i="42"/>
  <c r="K41" i="42" s="1"/>
  <c r="I41" i="42"/>
  <c r="M41" i="42" s="1"/>
  <c r="B41" i="42"/>
  <c r="J40" i="42"/>
  <c r="K40" i="42" s="1"/>
  <c r="I40" i="42"/>
  <c r="M40" i="42" s="1"/>
  <c r="B40" i="42"/>
  <c r="J39" i="42"/>
  <c r="K39" i="42" s="1"/>
  <c r="I39" i="42"/>
  <c r="M39" i="42" s="1"/>
  <c r="B39" i="42"/>
  <c r="J38" i="42"/>
  <c r="K38" i="42" s="1"/>
  <c r="I38" i="42"/>
  <c r="M38" i="42" s="1"/>
  <c r="B38" i="42"/>
  <c r="J37" i="42"/>
  <c r="K37" i="42" s="1"/>
  <c r="I37" i="42"/>
  <c r="M37" i="42" s="1"/>
  <c r="A37" i="42" s="1"/>
  <c r="B37" i="42"/>
  <c r="J36" i="42"/>
  <c r="K36" i="42" s="1"/>
  <c r="I36" i="42"/>
  <c r="M36" i="42" s="1"/>
  <c r="A36" i="42" s="1"/>
  <c r="B36" i="42"/>
  <c r="J35" i="42"/>
  <c r="K35" i="42" s="1"/>
  <c r="I35" i="42"/>
  <c r="M35" i="42" s="1"/>
  <c r="A35" i="42" s="1"/>
  <c r="B35" i="42"/>
  <c r="K34" i="42"/>
  <c r="J34" i="42"/>
  <c r="I34" i="42"/>
  <c r="M34" i="42" s="1"/>
  <c r="A34" i="42" s="1"/>
  <c r="B34" i="42"/>
  <c r="J33" i="42"/>
  <c r="K33" i="42" s="1"/>
  <c r="I33" i="42"/>
  <c r="M33" i="42" s="1"/>
  <c r="A33" i="42" s="1"/>
  <c r="B33" i="42"/>
  <c r="J32" i="42"/>
  <c r="K32" i="42" s="1"/>
  <c r="I32" i="42"/>
  <c r="M32" i="42" s="1"/>
  <c r="A32" i="42" s="1"/>
  <c r="B32" i="42"/>
  <c r="J31" i="42"/>
  <c r="K31" i="42" s="1"/>
  <c r="I31" i="42"/>
  <c r="M31" i="42" s="1"/>
  <c r="A31" i="42" s="1"/>
  <c r="B31" i="42"/>
  <c r="K30" i="42"/>
  <c r="J30" i="42"/>
  <c r="I30" i="42"/>
  <c r="M30" i="42" s="1"/>
  <c r="A30" i="42" s="1"/>
  <c r="B30" i="42"/>
  <c r="J29" i="42"/>
  <c r="K29" i="42" s="1"/>
  <c r="I29" i="42"/>
  <c r="M29" i="42" s="1"/>
  <c r="A29" i="42" s="1"/>
  <c r="B29" i="42"/>
  <c r="J28" i="42"/>
  <c r="K28" i="42" s="1"/>
  <c r="I28" i="42"/>
  <c r="M28" i="42" s="1"/>
  <c r="A28" i="42" s="1"/>
  <c r="B28" i="42"/>
  <c r="J27" i="42"/>
  <c r="K27" i="42" s="1"/>
  <c r="I27" i="42"/>
  <c r="M27" i="42" s="1"/>
  <c r="A27" i="42" s="1"/>
  <c r="B27" i="42"/>
  <c r="J26" i="42"/>
  <c r="K26" i="42" s="1"/>
  <c r="I26" i="42"/>
  <c r="M26" i="42" s="1"/>
  <c r="A26" i="42" s="1"/>
  <c r="B26" i="42"/>
  <c r="J25" i="42"/>
  <c r="K25" i="42" s="1"/>
  <c r="I25" i="42"/>
  <c r="M25" i="42" s="1"/>
  <c r="A25" i="42" s="1"/>
  <c r="B25" i="42"/>
  <c r="J24" i="42"/>
  <c r="K24" i="42" s="1"/>
  <c r="I24" i="42"/>
  <c r="M24" i="42" s="1"/>
  <c r="A24" i="42" s="1"/>
  <c r="B24" i="42"/>
  <c r="J23" i="42"/>
  <c r="K23" i="42" s="1"/>
  <c r="I23" i="42"/>
  <c r="M23" i="42" s="1"/>
  <c r="A23" i="42" s="1"/>
  <c r="B23" i="42"/>
  <c r="J22" i="42"/>
  <c r="K22" i="42" s="1"/>
  <c r="I22" i="42"/>
  <c r="M22" i="42" s="1"/>
  <c r="A22" i="42" s="1"/>
  <c r="B22" i="42"/>
  <c r="J21" i="42"/>
  <c r="K21" i="42" s="1"/>
  <c r="I21" i="42"/>
  <c r="M21" i="42" s="1"/>
  <c r="A21" i="42" s="1"/>
  <c r="B21" i="42"/>
  <c r="J20" i="42"/>
  <c r="K20" i="42" s="1"/>
  <c r="I20" i="42"/>
  <c r="M20" i="42" s="1"/>
  <c r="A20" i="42" s="1"/>
  <c r="B20" i="42"/>
  <c r="J19" i="42"/>
  <c r="K19" i="42" s="1"/>
  <c r="I19" i="42"/>
  <c r="M19" i="42" s="1"/>
  <c r="A19" i="42" s="1"/>
  <c r="B19" i="42"/>
  <c r="M18" i="42"/>
  <c r="A18" i="42" s="1"/>
  <c r="K18" i="42"/>
  <c r="J18" i="42"/>
  <c r="I18" i="42"/>
  <c r="B18" i="42"/>
  <c r="J17" i="42"/>
  <c r="K17" i="42" s="1"/>
  <c r="I17" i="42"/>
  <c r="M17" i="42" s="1"/>
  <c r="A17" i="42" s="1"/>
  <c r="B17" i="42"/>
  <c r="J16" i="42"/>
  <c r="K16" i="42" s="1"/>
  <c r="I16" i="42"/>
  <c r="M16" i="42" s="1"/>
  <c r="A16" i="42" s="1"/>
  <c r="K15" i="42"/>
  <c r="J15" i="42"/>
  <c r="I15" i="42"/>
  <c r="M15" i="42" s="1"/>
  <c r="A15" i="42" s="1"/>
  <c r="AI14" i="42"/>
  <c r="J14" i="42"/>
  <c r="K14" i="42" s="1"/>
  <c r="I14" i="42"/>
  <c r="M14" i="42" s="1"/>
  <c r="A14" i="42" s="1"/>
  <c r="AI13" i="42"/>
  <c r="J13" i="42"/>
  <c r="K13" i="42" s="1"/>
  <c r="I13" i="42"/>
  <c r="AI12" i="42"/>
  <c r="AI16" i="42" s="1"/>
  <c r="J12" i="42"/>
  <c r="K12" i="42" s="1"/>
  <c r="M12" i="42" s="1"/>
  <c r="A12" i="42" s="1"/>
  <c r="I12" i="42"/>
  <c r="J11" i="42"/>
  <c r="K11" i="42" s="1"/>
  <c r="I11" i="42"/>
  <c r="M11" i="42" s="1"/>
  <c r="J10" i="42"/>
  <c r="K10" i="42" s="1"/>
  <c r="I10" i="42"/>
  <c r="M10" i="42" s="1"/>
  <c r="A10" i="42" s="1"/>
  <c r="J9" i="42"/>
  <c r="K9" i="42" s="1"/>
  <c r="I9" i="42"/>
  <c r="K8" i="42"/>
  <c r="J8" i="42"/>
  <c r="I8" i="42"/>
  <c r="L7" i="42"/>
  <c r="J7" i="42"/>
  <c r="K7" i="42" s="1"/>
  <c r="M7" i="42" s="1"/>
  <c r="A7" i="42" s="1"/>
  <c r="I7" i="42"/>
  <c r="J6" i="42"/>
  <c r="K6" i="42" s="1"/>
  <c r="I6" i="42"/>
  <c r="K2" i="42"/>
  <c r="L8" i="42" s="1"/>
  <c r="J305" i="41"/>
  <c r="K305" i="41" s="1"/>
  <c r="I305" i="41"/>
  <c r="M305" i="41" s="1"/>
  <c r="J304" i="41"/>
  <c r="K304" i="41" s="1"/>
  <c r="I304" i="41"/>
  <c r="M304" i="41" s="1"/>
  <c r="J303" i="41"/>
  <c r="K303" i="41" s="1"/>
  <c r="I303" i="41"/>
  <c r="M303" i="41" s="1"/>
  <c r="J302" i="41"/>
  <c r="K302" i="41" s="1"/>
  <c r="I302" i="41"/>
  <c r="M302" i="41" s="1"/>
  <c r="J301" i="41"/>
  <c r="K301" i="41" s="1"/>
  <c r="I301" i="41"/>
  <c r="M301" i="41" s="1"/>
  <c r="J300" i="41"/>
  <c r="K300" i="41" s="1"/>
  <c r="I300" i="41"/>
  <c r="M300" i="41" s="1"/>
  <c r="J299" i="41"/>
  <c r="K299" i="41" s="1"/>
  <c r="I299" i="41"/>
  <c r="M299" i="41" s="1"/>
  <c r="J298" i="41"/>
  <c r="K298" i="41" s="1"/>
  <c r="I298" i="41"/>
  <c r="M298" i="41" s="1"/>
  <c r="J297" i="41"/>
  <c r="K297" i="41" s="1"/>
  <c r="I297" i="41"/>
  <c r="M297" i="41" s="1"/>
  <c r="J296" i="41"/>
  <c r="K296" i="41" s="1"/>
  <c r="I296" i="41"/>
  <c r="M296" i="41" s="1"/>
  <c r="J295" i="41"/>
  <c r="K295" i="41" s="1"/>
  <c r="I295" i="41"/>
  <c r="M295" i="41" s="1"/>
  <c r="J294" i="41"/>
  <c r="K294" i="41" s="1"/>
  <c r="I294" i="41"/>
  <c r="M294" i="41" s="1"/>
  <c r="J293" i="41"/>
  <c r="K293" i="41" s="1"/>
  <c r="I293" i="41"/>
  <c r="M293" i="41" s="1"/>
  <c r="M292" i="41"/>
  <c r="J292" i="41"/>
  <c r="K292" i="41" s="1"/>
  <c r="I292" i="41"/>
  <c r="J291" i="41"/>
  <c r="K291" i="41" s="1"/>
  <c r="I291" i="41"/>
  <c r="M291" i="41" s="1"/>
  <c r="J290" i="41"/>
  <c r="K290" i="41" s="1"/>
  <c r="I290" i="41"/>
  <c r="M290" i="41" s="1"/>
  <c r="J289" i="41"/>
  <c r="K289" i="41" s="1"/>
  <c r="I289" i="41"/>
  <c r="M289" i="41" s="1"/>
  <c r="J288" i="41"/>
  <c r="K288" i="41" s="1"/>
  <c r="I288" i="41"/>
  <c r="M288" i="41" s="1"/>
  <c r="J287" i="41"/>
  <c r="K287" i="41" s="1"/>
  <c r="I287" i="41"/>
  <c r="M287" i="41" s="1"/>
  <c r="J286" i="41"/>
  <c r="K286" i="41" s="1"/>
  <c r="I286" i="41"/>
  <c r="M286" i="41" s="1"/>
  <c r="J285" i="41"/>
  <c r="K285" i="41" s="1"/>
  <c r="I285" i="41"/>
  <c r="M285" i="41" s="1"/>
  <c r="J284" i="41"/>
  <c r="K284" i="41" s="1"/>
  <c r="I284" i="41"/>
  <c r="M284" i="41" s="1"/>
  <c r="J283" i="41"/>
  <c r="K283" i="41" s="1"/>
  <c r="I283" i="41"/>
  <c r="M283" i="41" s="1"/>
  <c r="J282" i="41"/>
  <c r="K282" i="41" s="1"/>
  <c r="I282" i="41"/>
  <c r="M282" i="41" s="1"/>
  <c r="J281" i="41"/>
  <c r="K281" i="41" s="1"/>
  <c r="I281" i="41"/>
  <c r="M281" i="41" s="1"/>
  <c r="J280" i="41"/>
  <c r="K280" i="41" s="1"/>
  <c r="I280" i="41"/>
  <c r="M280" i="41" s="1"/>
  <c r="J279" i="41"/>
  <c r="K279" i="41" s="1"/>
  <c r="I279" i="41"/>
  <c r="M279" i="41" s="1"/>
  <c r="J278" i="41"/>
  <c r="K278" i="41" s="1"/>
  <c r="I278" i="41"/>
  <c r="M278" i="41" s="1"/>
  <c r="J277" i="41"/>
  <c r="K277" i="41" s="1"/>
  <c r="I277" i="41"/>
  <c r="M277" i="41" s="1"/>
  <c r="J276" i="41"/>
  <c r="K276" i="41" s="1"/>
  <c r="I276" i="41"/>
  <c r="M276" i="41" s="1"/>
  <c r="J275" i="41"/>
  <c r="K275" i="41" s="1"/>
  <c r="I275" i="41"/>
  <c r="M275" i="41" s="1"/>
  <c r="K274" i="41"/>
  <c r="J274" i="41"/>
  <c r="I274" i="41"/>
  <c r="M274" i="41" s="1"/>
  <c r="J273" i="41"/>
  <c r="K273" i="41" s="1"/>
  <c r="I273" i="41"/>
  <c r="M273" i="41" s="1"/>
  <c r="J272" i="41"/>
  <c r="K272" i="41" s="1"/>
  <c r="I272" i="41"/>
  <c r="M272" i="41" s="1"/>
  <c r="J271" i="41"/>
  <c r="K271" i="41" s="1"/>
  <c r="I271" i="41"/>
  <c r="M271" i="41" s="1"/>
  <c r="J270" i="41"/>
  <c r="K270" i="41" s="1"/>
  <c r="I270" i="41"/>
  <c r="M270" i="41" s="1"/>
  <c r="J269" i="41"/>
  <c r="K269" i="41" s="1"/>
  <c r="I269" i="41"/>
  <c r="M269" i="41" s="1"/>
  <c r="M268" i="41"/>
  <c r="K268" i="41"/>
  <c r="J268" i="41"/>
  <c r="I268" i="41"/>
  <c r="J267" i="41"/>
  <c r="K267" i="41" s="1"/>
  <c r="I267" i="41"/>
  <c r="M267" i="41" s="1"/>
  <c r="J266" i="41"/>
  <c r="K266" i="41" s="1"/>
  <c r="I266" i="41"/>
  <c r="M266" i="41" s="1"/>
  <c r="J265" i="41"/>
  <c r="K265" i="41" s="1"/>
  <c r="I265" i="41"/>
  <c r="M265" i="41" s="1"/>
  <c r="J264" i="41"/>
  <c r="K264" i="41" s="1"/>
  <c r="I264" i="41"/>
  <c r="M264" i="41" s="1"/>
  <c r="J263" i="41"/>
  <c r="K263" i="41" s="1"/>
  <c r="I263" i="41"/>
  <c r="M263" i="41" s="1"/>
  <c r="J262" i="41"/>
  <c r="K262" i="41" s="1"/>
  <c r="I262" i="41"/>
  <c r="M262" i="41" s="1"/>
  <c r="J261" i="41"/>
  <c r="K261" i="41" s="1"/>
  <c r="I261" i="41"/>
  <c r="M261" i="41" s="1"/>
  <c r="J260" i="41"/>
  <c r="K260" i="41" s="1"/>
  <c r="I260" i="41"/>
  <c r="M260" i="41" s="1"/>
  <c r="J259" i="41"/>
  <c r="K259" i="41" s="1"/>
  <c r="I259" i="41"/>
  <c r="M259" i="41" s="1"/>
  <c r="J258" i="41"/>
  <c r="K258" i="41" s="1"/>
  <c r="I258" i="41"/>
  <c r="M258" i="41" s="1"/>
  <c r="J257" i="41"/>
  <c r="K257" i="41" s="1"/>
  <c r="I257" i="41"/>
  <c r="M257" i="41" s="1"/>
  <c r="J256" i="41"/>
  <c r="K256" i="41" s="1"/>
  <c r="I256" i="41"/>
  <c r="M256" i="41" s="1"/>
  <c r="J255" i="41"/>
  <c r="K255" i="41" s="1"/>
  <c r="I255" i="41"/>
  <c r="M255" i="41" s="1"/>
  <c r="J254" i="41"/>
  <c r="K254" i="41" s="1"/>
  <c r="I254" i="41"/>
  <c r="M254" i="41" s="1"/>
  <c r="J253" i="41"/>
  <c r="K253" i="41" s="1"/>
  <c r="I253" i="41"/>
  <c r="M253" i="41" s="1"/>
  <c r="J252" i="41"/>
  <c r="K252" i="41" s="1"/>
  <c r="I252" i="41"/>
  <c r="M252" i="41" s="1"/>
  <c r="J251" i="41"/>
  <c r="K251" i="41" s="1"/>
  <c r="I251" i="41"/>
  <c r="M251" i="41" s="1"/>
  <c r="J250" i="41"/>
  <c r="K250" i="41" s="1"/>
  <c r="I250" i="41"/>
  <c r="M250" i="41" s="1"/>
  <c r="J249" i="41"/>
  <c r="K249" i="41" s="1"/>
  <c r="I249" i="41"/>
  <c r="M249" i="41" s="1"/>
  <c r="J248" i="41"/>
  <c r="K248" i="41" s="1"/>
  <c r="I248" i="41"/>
  <c r="M248" i="41" s="1"/>
  <c r="J247" i="41"/>
  <c r="K247" i="41" s="1"/>
  <c r="I247" i="41"/>
  <c r="M247" i="41" s="1"/>
  <c r="J246" i="41"/>
  <c r="K246" i="41" s="1"/>
  <c r="I246" i="41"/>
  <c r="M246" i="41" s="1"/>
  <c r="J245" i="41"/>
  <c r="K245" i="41" s="1"/>
  <c r="I245" i="41"/>
  <c r="M245" i="41" s="1"/>
  <c r="K244" i="41"/>
  <c r="J244" i="41"/>
  <c r="I244" i="41"/>
  <c r="M244" i="41" s="1"/>
  <c r="J243" i="41"/>
  <c r="K243" i="41" s="1"/>
  <c r="I243" i="41"/>
  <c r="M243" i="41" s="1"/>
  <c r="J242" i="41"/>
  <c r="K242" i="41" s="1"/>
  <c r="I242" i="41"/>
  <c r="M242" i="41" s="1"/>
  <c r="J241" i="41"/>
  <c r="K241" i="41" s="1"/>
  <c r="I241" i="41"/>
  <c r="M241" i="41" s="1"/>
  <c r="J240" i="41"/>
  <c r="K240" i="41" s="1"/>
  <c r="I240" i="41"/>
  <c r="M240" i="41" s="1"/>
  <c r="J239" i="41"/>
  <c r="K239" i="41" s="1"/>
  <c r="I239" i="41"/>
  <c r="M239" i="41" s="1"/>
  <c r="J238" i="41"/>
  <c r="K238" i="41" s="1"/>
  <c r="I238" i="41"/>
  <c r="M238" i="41" s="1"/>
  <c r="J237" i="41"/>
  <c r="K237" i="41" s="1"/>
  <c r="I237" i="41"/>
  <c r="M237" i="41" s="1"/>
  <c r="J236" i="41"/>
  <c r="K236" i="41" s="1"/>
  <c r="I236" i="41"/>
  <c r="M236" i="41" s="1"/>
  <c r="J235" i="41"/>
  <c r="K235" i="41" s="1"/>
  <c r="I235" i="41"/>
  <c r="M235" i="41" s="1"/>
  <c r="K234" i="41"/>
  <c r="J234" i="41"/>
  <c r="I234" i="41"/>
  <c r="M234" i="41" s="1"/>
  <c r="J233" i="41"/>
  <c r="K233" i="41" s="1"/>
  <c r="I233" i="41"/>
  <c r="M233" i="41" s="1"/>
  <c r="J232" i="41"/>
  <c r="K232" i="41" s="1"/>
  <c r="I232" i="41"/>
  <c r="M232" i="41" s="1"/>
  <c r="J231" i="41"/>
  <c r="K231" i="41" s="1"/>
  <c r="I231" i="41"/>
  <c r="M231" i="41" s="1"/>
  <c r="J230" i="41"/>
  <c r="K230" i="41" s="1"/>
  <c r="I230" i="41"/>
  <c r="M230" i="41" s="1"/>
  <c r="J229" i="41"/>
  <c r="K229" i="41" s="1"/>
  <c r="I229" i="41"/>
  <c r="M229" i="41" s="1"/>
  <c r="M228" i="41"/>
  <c r="J228" i="41"/>
  <c r="K228" i="41" s="1"/>
  <c r="I228" i="41"/>
  <c r="J227" i="41"/>
  <c r="K227" i="41" s="1"/>
  <c r="I227" i="41"/>
  <c r="M227" i="41" s="1"/>
  <c r="J226" i="41"/>
  <c r="K226" i="41" s="1"/>
  <c r="I226" i="41"/>
  <c r="M226" i="41" s="1"/>
  <c r="J225" i="41"/>
  <c r="K225" i="41" s="1"/>
  <c r="I225" i="41"/>
  <c r="M225" i="41" s="1"/>
  <c r="J224" i="41"/>
  <c r="K224" i="41" s="1"/>
  <c r="I224" i="41"/>
  <c r="M224" i="41" s="1"/>
  <c r="J223" i="41"/>
  <c r="K223" i="41" s="1"/>
  <c r="I223" i="41"/>
  <c r="M223" i="41" s="1"/>
  <c r="J222" i="41"/>
  <c r="K222" i="41" s="1"/>
  <c r="I222" i="41"/>
  <c r="M222" i="41" s="1"/>
  <c r="J221" i="41"/>
  <c r="K221" i="41" s="1"/>
  <c r="I221" i="41"/>
  <c r="M221" i="41" s="1"/>
  <c r="M220" i="41"/>
  <c r="J220" i="41"/>
  <c r="K220" i="41" s="1"/>
  <c r="I220" i="41"/>
  <c r="J219" i="41"/>
  <c r="K219" i="41" s="1"/>
  <c r="I219" i="41"/>
  <c r="M219" i="41" s="1"/>
  <c r="J218" i="41"/>
  <c r="K218" i="41" s="1"/>
  <c r="I218" i="41"/>
  <c r="M218" i="41" s="1"/>
  <c r="J217" i="41"/>
  <c r="K217" i="41" s="1"/>
  <c r="I217" i="41"/>
  <c r="M217" i="41" s="1"/>
  <c r="J216" i="41"/>
  <c r="K216" i="41" s="1"/>
  <c r="I216" i="41"/>
  <c r="M216" i="41" s="1"/>
  <c r="J215" i="41"/>
  <c r="K215" i="41" s="1"/>
  <c r="I215" i="41"/>
  <c r="M215" i="41" s="1"/>
  <c r="J214" i="41"/>
  <c r="K214" i="41" s="1"/>
  <c r="I214" i="41"/>
  <c r="M214" i="41" s="1"/>
  <c r="J213" i="41"/>
  <c r="K213" i="41" s="1"/>
  <c r="I213" i="41"/>
  <c r="M213" i="41" s="1"/>
  <c r="J212" i="41"/>
  <c r="K212" i="41" s="1"/>
  <c r="I212" i="41"/>
  <c r="M212" i="41" s="1"/>
  <c r="J211" i="41"/>
  <c r="K211" i="41" s="1"/>
  <c r="I211" i="41"/>
  <c r="M211" i="41" s="1"/>
  <c r="J210" i="41"/>
  <c r="K210" i="41" s="1"/>
  <c r="I210" i="41"/>
  <c r="M210" i="41" s="1"/>
  <c r="J209" i="41"/>
  <c r="K209" i="41" s="1"/>
  <c r="I209" i="41"/>
  <c r="M209" i="41" s="1"/>
  <c r="J208" i="41"/>
  <c r="K208" i="41" s="1"/>
  <c r="I208" i="41"/>
  <c r="M208" i="41" s="1"/>
  <c r="J207" i="41"/>
  <c r="K207" i="41" s="1"/>
  <c r="I207" i="41"/>
  <c r="M207" i="41" s="1"/>
  <c r="J206" i="41"/>
  <c r="K206" i="41" s="1"/>
  <c r="I206" i="41"/>
  <c r="M206" i="41" s="1"/>
  <c r="J205" i="41"/>
  <c r="K205" i="41" s="1"/>
  <c r="I205" i="41"/>
  <c r="M205" i="41" s="1"/>
  <c r="K204" i="41"/>
  <c r="J204" i="41"/>
  <c r="I204" i="41"/>
  <c r="M204" i="41" s="1"/>
  <c r="J203" i="41"/>
  <c r="K203" i="41" s="1"/>
  <c r="I203" i="41"/>
  <c r="M203" i="41" s="1"/>
  <c r="J202" i="41"/>
  <c r="K202" i="41" s="1"/>
  <c r="I202" i="41"/>
  <c r="M202" i="41" s="1"/>
  <c r="J201" i="41"/>
  <c r="K201" i="41" s="1"/>
  <c r="I201" i="41"/>
  <c r="M201" i="41" s="1"/>
  <c r="J200" i="41"/>
  <c r="K200" i="41" s="1"/>
  <c r="I200" i="41"/>
  <c r="M200" i="41" s="1"/>
  <c r="J199" i="41"/>
  <c r="K199" i="41" s="1"/>
  <c r="I199" i="41"/>
  <c r="M199" i="41" s="1"/>
  <c r="J198" i="41"/>
  <c r="K198" i="41" s="1"/>
  <c r="I198" i="41"/>
  <c r="M198" i="41" s="1"/>
  <c r="J197" i="41"/>
  <c r="K197" i="41" s="1"/>
  <c r="I197" i="41"/>
  <c r="M197" i="41" s="1"/>
  <c r="J196" i="41"/>
  <c r="K196" i="41" s="1"/>
  <c r="I196" i="41"/>
  <c r="M196" i="41" s="1"/>
  <c r="J195" i="41"/>
  <c r="K195" i="41" s="1"/>
  <c r="I195" i="41"/>
  <c r="M195" i="41" s="1"/>
  <c r="J194" i="41"/>
  <c r="K194" i="41" s="1"/>
  <c r="I194" i="41"/>
  <c r="M194" i="41" s="1"/>
  <c r="J193" i="41"/>
  <c r="K193" i="41" s="1"/>
  <c r="I193" i="41"/>
  <c r="M193" i="41" s="1"/>
  <c r="J192" i="41"/>
  <c r="K192" i="41" s="1"/>
  <c r="I192" i="41"/>
  <c r="M192" i="41" s="1"/>
  <c r="J191" i="41"/>
  <c r="K191" i="41" s="1"/>
  <c r="I191" i="41"/>
  <c r="M191" i="41" s="1"/>
  <c r="J190" i="41"/>
  <c r="K190" i="41" s="1"/>
  <c r="I190" i="41"/>
  <c r="M190" i="41" s="1"/>
  <c r="J189" i="41"/>
  <c r="K189" i="41" s="1"/>
  <c r="I189" i="41"/>
  <c r="M189" i="41" s="1"/>
  <c r="J188" i="41"/>
  <c r="K188" i="41" s="1"/>
  <c r="I188" i="41"/>
  <c r="M188" i="41" s="1"/>
  <c r="J187" i="41"/>
  <c r="K187" i="41" s="1"/>
  <c r="I187" i="41"/>
  <c r="M187" i="41" s="1"/>
  <c r="M186" i="41"/>
  <c r="K186" i="41"/>
  <c r="J186" i="41"/>
  <c r="I186" i="41"/>
  <c r="J185" i="41"/>
  <c r="K185" i="41" s="1"/>
  <c r="I185" i="41"/>
  <c r="M185" i="41" s="1"/>
  <c r="J184" i="41"/>
  <c r="K184" i="41" s="1"/>
  <c r="I184" i="41"/>
  <c r="M184" i="41" s="1"/>
  <c r="J183" i="41"/>
  <c r="K183" i="41" s="1"/>
  <c r="I183" i="41"/>
  <c r="M183" i="41" s="1"/>
  <c r="J182" i="41"/>
  <c r="K182" i="41" s="1"/>
  <c r="I182" i="41"/>
  <c r="M182" i="41" s="1"/>
  <c r="J181" i="41"/>
  <c r="K181" i="41" s="1"/>
  <c r="I181" i="41"/>
  <c r="M181" i="41" s="1"/>
  <c r="J180" i="41"/>
  <c r="K180" i="41" s="1"/>
  <c r="I180" i="41"/>
  <c r="M180" i="41" s="1"/>
  <c r="J179" i="41"/>
  <c r="K179" i="41" s="1"/>
  <c r="I179" i="41"/>
  <c r="M179" i="41" s="1"/>
  <c r="J178" i="41"/>
  <c r="K178" i="41" s="1"/>
  <c r="I178" i="41"/>
  <c r="M178" i="41" s="1"/>
  <c r="J177" i="41"/>
  <c r="K177" i="41" s="1"/>
  <c r="I177" i="41"/>
  <c r="M177" i="41" s="1"/>
  <c r="J176" i="41"/>
  <c r="K176" i="41" s="1"/>
  <c r="I176" i="41"/>
  <c r="M176" i="41" s="1"/>
  <c r="J175" i="41"/>
  <c r="K175" i="41" s="1"/>
  <c r="I175" i="41"/>
  <c r="M175" i="41" s="1"/>
  <c r="J174" i="41"/>
  <c r="K174" i="41" s="1"/>
  <c r="I174" i="41"/>
  <c r="M174" i="41" s="1"/>
  <c r="J173" i="41"/>
  <c r="K173" i="41" s="1"/>
  <c r="I173" i="41"/>
  <c r="M173" i="41" s="1"/>
  <c r="J172" i="41"/>
  <c r="K172" i="41" s="1"/>
  <c r="I172" i="41"/>
  <c r="M172" i="41" s="1"/>
  <c r="J171" i="41"/>
  <c r="K171" i="41" s="1"/>
  <c r="I171" i="41"/>
  <c r="M171" i="41" s="1"/>
  <c r="J170" i="41"/>
  <c r="K170" i="41" s="1"/>
  <c r="I170" i="41"/>
  <c r="M170" i="41" s="1"/>
  <c r="J169" i="41"/>
  <c r="K169" i="41" s="1"/>
  <c r="I169" i="41"/>
  <c r="M169" i="41" s="1"/>
  <c r="M168" i="41"/>
  <c r="J168" i="41"/>
  <c r="K168" i="41" s="1"/>
  <c r="I168" i="41"/>
  <c r="J167" i="41"/>
  <c r="K167" i="41" s="1"/>
  <c r="I167" i="41"/>
  <c r="M167" i="41" s="1"/>
  <c r="J166" i="41"/>
  <c r="K166" i="41" s="1"/>
  <c r="I166" i="41"/>
  <c r="M166" i="41" s="1"/>
  <c r="J165" i="41"/>
  <c r="K165" i="41" s="1"/>
  <c r="I165" i="41"/>
  <c r="M165" i="41" s="1"/>
  <c r="J164" i="41"/>
  <c r="K164" i="41" s="1"/>
  <c r="I164" i="41"/>
  <c r="M164" i="41" s="1"/>
  <c r="J163" i="41"/>
  <c r="K163" i="41" s="1"/>
  <c r="I163" i="41"/>
  <c r="M163" i="41" s="1"/>
  <c r="J162" i="41"/>
  <c r="K162" i="41" s="1"/>
  <c r="I162" i="41"/>
  <c r="M162" i="41" s="1"/>
  <c r="K161" i="41"/>
  <c r="J161" i="41"/>
  <c r="I161" i="41"/>
  <c r="M161" i="41" s="1"/>
  <c r="J160" i="41"/>
  <c r="K160" i="41" s="1"/>
  <c r="I160" i="41"/>
  <c r="M160" i="41" s="1"/>
  <c r="J159" i="41"/>
  <c r="K159" i="41" s="1"/>
  <c r="I159" i="41"/>
  <c r="M159" i="41" s="1"/>
  <c r="J158" i="41"/>
  <c r="K158" i="41" s="1"/>
  <c r="I158" i="41"/>
  <c r="M158" i="41" s="1"/>
  <c r="J157" i="41"/>
  <c r="K157" i="41" s="1"/>
  <c r="I157" i="41"/>
  <c r="M157" i="41" s="1"/>
  <c r="J156" i="41"/>
  <c r="K156" i="41" s="1"/>
  <c r="I156" i="41"/>
  <c r="M156" i="41" s="1"/>
  <c r="J155" i="41"/>
  <c r="K155" i="41" s="1"/>
  <c r="I155" i="41"/>
  <c r="M155" i="41" s="1"/>
  <c r="J154" i="41"/>
  <c r="K154" i="41" s="1"/>
  <c r="I154" i="41"/>
  <c r="M154" i="41" s="1"/>
  <c r="J153" i="41"/>
  <c r="K153" i="41" s="1"/>
  <c r="I153" i="41"/>
  <c r="M153" i="41" s="1"/>
  <c r="M152" i="41"/>
  <c r="J152" i="41"/>
  <c r="K152" i="41" s="1"/>
  <c r="I152" i="41"/>
  <c r="J151" i="41"/>
  <c r="K151" i="41" s="1"/>
  <c r="I151" i="41"/>
  <c r="M151" i="41" s="1"/>
  <c r="J150" i="41"/>
  <c r="K150" i="41" s="1"/>
  <c r="I150" i="41"/>
  <c r="M150" i="41" s="1"/>
  <c r="J149" i="41"/>
  <c r="K149" i="41" s="1"/>
  <c r="I149" i="41"/>
  <c r="M149" i="41" s="1"/>
  <c r="J148" i="41"/>
  <c r="K148" i="41" s="1"/>
  <c r="I148" i="41"/>
  <c r="M148" i="41" s="1"/>
  <c r="J147" i="41"/>
  <c r="K147" i="41" s="1"/>
  <c r="I147" i="41"/>
  <c r="M147" i="41" s="1"/>
  <c r="J146" i="41"/>
  <c r="K146" i="41" s="1"/>
  <c r="I146" i="41"/>
  <c r="M146" i="41" s="1"/>
  <c r="J145" i="41"/>
  <c r="K145" i="41" s="1"/>
  <c r="I145" i="41"/>
  <c r="M145" i="41" s="1"/>
  <c r="J144" i="41"/>
  <c r="K144" i="41" s="1"/>
  <c r="I144" i="41"/>
  <c r="M144" i="41" s="1"/>
  <c r="J143" i="41"/>
  <c r="K143" i="41" s="1"/>
  <c r="I143" i="41"/>
  <c r="M143" i="41" s="1"/>
  <c r="J142" i="41"/>
  <c r="K142" i="41" s="1"/>
  <c r="I142" i="41"/>
  <c r="M142" i="41" s="1"/>
  <c r="J141" i="41"/>
  <c r="K141" i="41" s="1"/>
  <c r="I141" i="41"/>
  <c r="M141" i="41" s="1"/>
  <c r="J140" i="41"/>
  <c r="K140" i="41" s="1"/>
  <c r="I140" i="41"/>
  <c r="M140" i="41" s="1"/>
  <c r="J139" i="41"/>
  <c r="K139" i="41" s="1"/>
  <c r="I139" i="41"/>
  <c r="M139" i="41" s="1"/>
  <c r="J138" i="41"/>
  <c r="K138" i="41" s="1"/>
  <c r="I138" i="41"/>
  <c r="M138" i="41" s="1"/>
  <c r="J137" i="41"/>
  <c r="K137" i="41" s="1"/>
  <c r="I137" i="41"/>
  <c r="M137" i="41" s="1"/>
  <c r="M136" i="41"/>
  <c r="J136" i="41"/>
  <c r="K136" i="41" s="1"/>
  <c r="I136" i="41"/>
  <c r="J135" i="41"/>
  <c r="K135" i="41" s="1"/>
  <c r="I135" i="41"/>
  <c r="M135" i="41" s="1"/>
  <c r="J134" i="41"/>
  <c r="K134" i="41" s="1"/>
  <c r="I134" i="41"/>
  <c r="M134" i="41" s="1"/>
  <c r="J133" i="41"/>
  <c r="K133" i="41" s="1"/>
  <c r="I133" i="41"/>
  <c r="M133" i="41" s="1"/>
  <c r="J132" i="41"/>
  <c r="K132" i="41" s="1"/>
  <c r="I132" i="41"/>
  <c r="M132" i="41" s="1"/>
  <c r="J131" i="41"/>
  <c r="K131" i="41" s="1"/>
  <c r="I131" i="41"/>
  <c r="M131" i="41" s="1"/>
  <c r="M130" i="41"/>
  <c r="J130" i="41"/>
  <c r="K130" i="41" s="1"/>
  <c r="I130" i="41"/>
  <c r="J129" i="41"/>
  <c r="K129" i="41" s="1"/>
  <c r="I129" i="41"/>
  <c r="M129" i="41" s="1"/>
  <c r="J128" i="41"/>
  <c r="K128" i="41" s="1"/>
  <c r="I128" i="41"/>
  <c r="M128" i="41" s="1"/>
  <c r="J127" i="41"/>
  <c r="K127" i="41" s="1"/>
  <c r="I127" i="41"/>
  <c r="M127" i="41" s="1"/>
  <c r="J126" i="41"/>
  <c r="K126" i="41" s="1"/>
  <c r="I126" i="41"/>
  <c r="M126" i="41" s="1"/>
  <c r="J125" i="41"/>
  <c r="K125" i="41" s="1"/>
  <c r="I125" i="41"/>
  <c r="M125" i="41" s="1"/>
  <c r="J124" i="41"/>
  <c r="K124" i="41" s="1"/>
  <c r="I124" i="41"/>
  <c r="M124" i="41" s="1"/>
  <c r="J123" i="41"/>
  <c r="K123" i="41" s="1"/>
  <c r="I123" i="41"/>
  <c r="M123" i="41" s="1"/>
  <c r="K122" i="41"/>
  <c r="J122" i="41"/>
  <c r="I122" i="41"/>
  <c r="M122" i="41" s="1"/>
  <c r="J121" i="41"/>
  <c r="K121" i="41" s="1"/>
  <c r="I121" i="41"/>
  <c r="M121" i="41" s="1"/>
  <c r="M120" i="41"/>
  <c r="J120" i="41"/>
  <c r="K120" i="41" s="1"/>
  <c r="I120" i="41"/>
  <c r="J119" i="41"/>
  <c r="K119" i="41" s="1"/>
  <c r="I119" i="41"/>
  <c r="M119" i="41" s="1"/>
  <c r="J118" i="41"/>
  <c r="K118" i="41" s="1"/>
  <c r="I118" i="41"/>
  <c r="M118" i="41" s="1"/>
  <c r="J117" i="41"/>
  <c r="K117" i="41" s="1"/>
  <c r="I117" i="41"/>
  <c r="M117" i="41" s="1"/>
  <c r="J116" i="41"/>
  <c r="K116" i="41" s="1"/>
  <c r="I116" i="41"/>
  <c r="M116" i="41" s="1"/>
  <c r="J115" i="41"/>
  <c r="K115" i="41" s="1"/>
  <c r="I115" i="41"/>
  <c r="M115" i="41" s="1"/>
  <c r="J114" i="41"/>
  <c r="K114" i="41" s="1"/>
  <c r="I114" i="41"/>
  <c r="M114" i="41" s="1"/>
  <c r="J113" i="41"/>
  <c r="K113" i="41" s="1"/>
  <c r="I113" i="41"/>
  <c r="M113" i="41" s="1"/>
  <c r="M112" i="41"/>
  <c r="J112" i="41"/>
  <c r="K112" i="41" s="1"/>
  <c r="I112" i="41"/>
  <c r="J111" i="41"/>
  <c r="K111" i="41" s="1"/>
  <c r="I111" i="41"/>
  <c r="M111" i="41" s="1"/>
  <c r="M110" i="41"/>
  <c r="J110" i="41"/>
  <c r="K110" i="41" s="1"/>
  <c r="I110" i="41"/>
  <c r="J109" i="41"/>
  <c r="K109" i="41" s="1"/>
  <c r="I109" i="41"/>
  <c r="M109" i="41" s="1"/>
  <c r="J108" i="41"/>
  <c r="K108" i="41" s="1"/>
  <c r="I108" i="41"/>
  <c r="M108" i="41" s="1"/>
  <c r="J107" i="41"/>
  <c r="K107" i="41" s="1"/>
  <c r="I107" i="41"/>
  <c r="M107" i="41" s="1"/>
  <c r="J106" i="41"/>
  <c r="K106" i="41" s="1"/>
  <c r="I106" i="41"/>
  <c r="M106" i="41" s="1"/>
  <c r="J105" i="41"/>
  <c r="K105" i="41" s="1"/>
  <c r="I105" i="41"/>
  <c r="M105" i="41" s="1"/>
  <c r="J104" i="41"/>
  <c r="K104" i="41" s="1"/>
  <c r="I104" i="41"/>
  <c r="M104" i="41" s="1"/>
  <c r="J103" i="41"/>
  <c r="K103" i="41" s="1"/>
  <c r="I103" i="41"/>
  <c r="M103" i="41" s="1"/>
  <c r="M102" i="41"/>
  <c r="J102" i="41"/>
  <c r="K102" i="41" s="1"/>
  <c r="I102" i="41"/>
  <c r="J101" i="41"/>
  <c r="K101" i="41" s="1"/>
  <c r="I101" i="41"/>
  <c r="M101" i="41" s="1"/>
  <c r="J100" i="41"/>
  <c r="K100" i="41" s="1"/>
  <c r="I100" i="41"/>
  <c r="M100" i="41" s="1"/>
  <c r="J99" i="41"/>
  <c r="K99" i="41" s="1"/>
  <c r="I99" i="41"/>
  <c r="M99" i="41" s="1"/>
  <c r="J98" i="41"/>
  <c r="K98" i="41" s="1"/>
  <c r="I98" i="41"/>
  <c r="M98" i="41" s="1"/>
  <c r="J97" i="41"/>
  <c r="K97" i="41" s="1"/>
  <c r="I97" i="41"/>
  <c r="M97" i="41" s="1"/>
  <c r="J96" i="41"/>
  <c r="K96" i="41" s="1"/>
  <c r="I96" i="41"/>
  <c r="M96" i="41" s="1"/>
  <c r="J95" i="41"/>
  <c r="K95" i="41" s="1"/>
  <c r="I95" i="41"/>
  <c r="M95" i="41" s="1"/>
  <c r="J94" i="41"/>
  <c r="K94" i="41" s="1"/>
  <c r="I94" i="41"/>
  <c r="M94" i="41" s="1"/>
  <c r="J93" i="41"/>
  <c r="K93" i="41" s="1"/>
  <c r="I93" i="41"/>
  <c r="M93" i="41" s="1"/>
  <c r="M92" i="41"/>
  <c r="J92" i="41"/>
  <c r="K92" i="41" s="1"/>
  <c r="I92" i="41"/>
  <c r="J91" i="41"/>
  <c r="K91" i="41" s="1"/>
  <c r="I91" i="41"/>
  <c r="M91" i="41" s="1"/>
  <c r="J90" i="41"/>
  <c r="K90" i="41" s="1"/>
  <c r="I90" i="41"/>
  <c r="M90" i="41" s="1"/>
  <c r="J89" i="41"/>
  <c r="K89" i="41" s="1"/>
  <c r="I89" i="41"/>
  <c r="M89" i="41" s="1"/>
  <c r="J88" i="41"/>
  <c r="K88" i="41" s="1"/>
  <c r="I88" i="41"/>
  <c r="M88" i="41" s="1"/>
  <c r="J87" i="41"/>
  <c r="K87" i="41" s="1"/>
  <c r="I87" i="41"/>
  <c r="M87" i="41" s="1"/>
  <c r="J86" i="41"/>
  <c r="K86" i="41" s="1"/>
  <c r="I86" i="41"/>
  <c r="M86" i="41" s="1"/>
  <c r="J85" i="41"/>
  <c r="K85" i="41" s="1"/>
  <c r="I85" i="41"/>
  <c r="M85" i="41" s="1"/>
  <c r="M84" i="41"/>
  <c r="J84" i="41"/>
  <c r="K84" i="41" s="1"/>
  <c r="I84" i="41"/>
  <c r="J83" i="41"/>
  <c r="K83" i="41" s="1"/>
  <c r="I83" i="41"/>
  <c r="M83" i="41" s="1"/>
  <c r="M82" i="41"/>
  <c r="J82" i="41"/>
  <c r="K82" i="41" s="1"/>
  <c r="I82" i="41"/>
  <c r="J81" i="41"/>
  <c r="K81" i="41" s="1"/>
  <c r="I81" i="41"/>
  <c r="M81" i="41" s="1"/>
  <c r="J80" i="41"/>
  <c r="K80" i="41" s="1"/>
  <c r="I80" i="41"/>
  <c r="M80" i="41" s="1"/>
  <c r="J79" i="41"/>
  <c r="K79" i="41" s="1"/>
  <c r="I79" i="41"/>
  <c r="M79" i="41" s="1"/>
  <c r="J78" i="41"/>
  <c r="K78" i="41" s="1"/>
  <c r="I78" i="41"/>
  <c r="M78" i="41" s="1"/>
  <c r="J77" i="41"/>
  <c r="K77" i="41" s="1"/>
  <c r="I77" i="41"/>
  <c r="M77" i="41" s="1"/>
  <c r="J76" i="41"/>
  <c r="K76" i="41" s="1"/>
  <c r="I76" i="41"/>
  <c r="M76" i="41" s="1"/>
  <c r="J75" i="41"/>
  <c r="K75" i="41" s="1"/>
  <c r="I75" i="41"/>
  <c r="M75" i="41" s="1"/>
  <c r="M74" i="41"/>
  <c r="J74" i="41"/>
  <c r="K74" i="41" s="1"/>
  <c r="I74" i="41"/>
  <c r="J73" i="41"/>
  <c r="K73" i="41" s="1"/>
  <c r="I73" i="41"/>
  <c r="M73" i="41" s="1"/>
  <c r="J72" i="41"/>
  <c r="K72" i="41" s="1"/>
  <c r="I72" i="41"/>
  <c r="M72" i="41" s="1"/>
  <c r="J71" i="41"/>
  <c r="K71" i="41" s="1"/>
  <c r="I71" i="41"/>
  <c r="M71" i="41" s="1"/>
  <c r="J70" i="41"/>
  <c r="K70" i="41" s="1"/>
  <c r="I70" i="41"/>
  <c r="M70" i="41" s="1"/>
  <c r="J69" i="41"/>
  <c r="K69" i="41" s="1"/>
  <c r="I69" i="41"/>
  <c r="M69" i="41" s="1"/>
  <c r="J68" i="41"/>
  <c r="K68" i="41" s="1"/>
  <c r="I68" i="41"/>
  <c r="M68" i="41" s="1"/>
  <c r="J67" i="41"/>
  <c r="K67" i="41" s="1"/>
  <c r="I67" i="41"/>
  <c r="M67" i="41" s="1"/>
  <c r="J66" i="41"/>
  <c r="K66" i="41" s="1"/>
  <c r="I66" i="41"/>
  <c r="M66" i="41" s="1"/>
  <c r="J65" i="41"/>
  <c r="K65" i="41" s="1"/>
  <c r="I65" i="41"/>
  <c r="M65" i="41" s="1"/>
  <c r="B65" i="41"/>
  <c r="M64" i="41"/>
  <c r="K64" i="41"/>
  <c r="J64" i="41"/>
  <c r="I64" i="41"/>
  <c r="B64" i="41"/>
  <c r="J63" i="41"/>
  <c r="K63" i="41" s="1"/>
  <c r="I63" i="41"/>
  <c r="M63" i="41" s="1"/>
  <c r="B63" i="41"/>
  <c r="J62" i="41"/>
  <c r="K62" i="41" s="1"/>
  <c r="I62" i="41"/>
  <c r="M62" i="41" s="1"/>
  <c r="B62" i="41"/>
  <c r="J61" i="41"/>
  <c r="K61" i="41" s="1"/>
  <c r="I61" i="41"/>
  <c r="M61" i="41" s="1"/>
  <c r="B61" i="41"/>
  <c r="M60" i="41"/>
  <c r="K60" i="41"/>
  <c r="J60" i="41"/>
  <c r="I60" i="41"/>
  <c r="B60" i="41"/>
  <c r="J59" i="41"/>
  <c r="K59" i="41" s="1"/>
  <c r="I59" i="41"/>
  <c r="M59" i="41" s="1"/>
  <c r="B59" i="41"/>
  <c r="M58" i="41"/>
  <c r="J58" i="41"/>
  <c r="K58" i="41" s="1"/>
  <c r="I58" i="41"/>
  <c r="B58" i="41"/>
  <c r="J57" i="41"/>
  <c r="K57" i="41" s="1"/>
  <c r="I57" i="41"/>
  <c r="M57" i="41" s="1"/>
  <c r="B57" i="41"/>
  <c r="J56" i="41"/>
  <c r="K56" i="41" s="1"/>
  <c r="I56" i="41"/>
  <c r="M56" i="41" s="1"/>
  <c r="B56" i="41"/>
  <c r="J55" i="41"/>
  <c r="K55" i="41" s="1"/>
  <c r="I55" i="41"/>
  <c r="M55" i="41" s="1"/>
  <c r="B55" i="41"/>
  <c r="J54" i="41"/>
  <c r="K54" i="41" s="1"/>
  <c r="I54" i="41"/>
  <c r="M54" i="41" s="1"/>
  <c r="B54" i="41"/>
  <c r="J53" i="41"/>
  <c r="K53" i="41" s="1"/>
  <c r="I53" i="41"/>
  <c r="M53" i="41" s="1"/>
  <c r="B53" i="41"/>
  <c r="J52" i="41"/>
  <c r="K52" i="41" s="1"/>
  <c r="I52" i="41"/>
  <c r="M52" i="41" s="1"/>
  <c r="B52" i="41"/>
  <c r="J51" i="41"/>
  <c r="K51" i="41" s="1"/>
  <c r="I51" i="41"/>
  <c r="M51" i="41" s="1"/>
  <c r="B51" i="41"/>
  <c r="J50" i="41"/>
  <c r="K50" i="41" s="1"/>
  <c r="I50" i="41"/>
  <c r="M50" i="41" s="1"/>
  <c r="B50" i="41"/>
  <c r="J49" i="41"/>
  <c r="K49" i="41" s="1"/>
  <c r="I49" i="41"/>
  <c r="M49" i="41" s="1"/>
  <c r="B49" i="41"/>
  <c r="J48" i="41"/>
  <c r="K48" i="41" s="1"/>
  <c r="I48" i="41"/>
  <c r="M48" i="41" s="1"/>
  <c r="B48" i="41"/>
  <c r="J47" i="41"/>
  <c r="K47" i="41" s="1"/>
  <c r="I47" i="41"/>
  <c r="M47" i="41" s="1"/>
  <c r="B47" i="41"/>
  <c r="T46" i="41"/>
  <c r="R46" i="41"/>
  <c r="U46" i="41" s="1"/>
  <c r="M46" i="41"/>
  <c r="J46" i="41"/>
  <c r="K46" i="41" s="1"/>
  <c r="I46" i="41"/>
  <c r="B46" i="41"/>
  <c r="J45" i="41"/>
  <c r="K45" i="41" s="1"/>
  <c r="I45" i="41"/>
  <c r="M45" i="41" s="1"/>
  <c r="B45" i="41"/>
  <c r="J44" i="41"/>
  <c r="K44" i="41" s="1"/>
  <c r="I44" i="41"/>
  <c r="M44" i="41" s="1"/>
  <c r="B44" i="41"/>
  <c r="J43" i="41"/>
  <c r="K43" i="41" s="1"/>
  <c r="I43" i="41"/>
  <c r="M43" i="41" s="1"/>
  <c r="B43" i="41"/>
  <c r="J42" i="41"/>
  <c r="K42" i="41" s="1"/>
  <c r="I42" i="41"/>
  <c r="M42" i="41" s="1"/>
  <c r="B42" i="41"/>
  <c r="J41" i="41"/>
  <c r="K41" i="41" s="1"/>
  <c r="I41" i="41"/>
  <c r="M41" i="41" s="1"/>
  <c r="B41" i="41"/>
  <c r="J40" i="41"/>
  <c r="K40" i="41" s="1"/>
  <c r="I40" i="41"/>
  <c r="M40" i="41" s="1"/>
  <c r="B40" i="41"/>
  <c r="J39" i="41"/>
  <c r="K39" i="41" s="1"/>
  <c r="I39" i="41"/>
  <c r="M39" i="41" s="1"/>
  <c r="B39" i="41"/>
  <c r="J38" i="41"/>
  <c r="K38" i="41" s="1"/>
  <c r="I38" i="41"/>
  <c r="M38" i="41" s="1"/>
  <c r="B38" i="41"/>
  <c r="J37" i="41"/>
  <c r="K37" i="41" s="1"/>
  <c r="I37" i="41"/>
  <c r="M37" i="41" s="1"/>
  <c r="B37" i="41"/>
  <c r="A37" i="41"/>
  <c r="J36" i="41"/>
  <c r="K36" i="41" s="1"/>
  <c r="I36" i="41"/>
  <c r="M36" i="41" s="1"/>
  <c r="A36" i="41" s="1"/>
  <c r="B36" i="41"/>
  <c r="J35" i="41"/>
  <c r="K35" i="41" s="1"/>
  <c r="I35" i="41"/>
  <c r="M35" i="41" s="1"/>
  <c r="A35" i="41" s="1"/>
  <c r="B35" i="41"/>
  <c r="J34" i="41"/>
  <c r="K34" i="41" s="1"/>
  <c r="I34" i="41"/>
  <c r="M34" i="41" s="1"/>
  <c r="A34" i="41" s="1"/>
  <c r="B34" i="41"/>
  <c r="J33" i="41"/>
  <c r="K33" i="41" s="1"/>
  <c r="I33" i="41"/>
  <c r="M33" i="41" s="1"/>
  <c r="B33" i="41"/>
  <c r="A33" i="41"/>
  <c r="J32" i="41"/>
  <c r="K32" i="41" s="1"/>
  <c r="I32" i="41"/>
  <c r="M32" i="41" s="1"/>
  <c r="A32" i="41" s="1"/>
  <c r="B32" i="41"/>
  <c r="J31" i="41"/>
  <c r="K31" i="41" s="1"/>
  <c r="I31" i="41"/>
  <c r="M31" i="41" s="1"/>
  <c r="A31" i="41" s="1"/>
  <c r="B31" i="41"/>
  <c r="J30" i="41"/>
  <c r="K30" i="41" s="1"/>
  <c r="I30" i="41"/>
  <c r="M30" i="41" s="1"/>
  <c r="A30" i="41" s="1"/>
  <c r="B30" i="41"/>
  <c r="J29" i="41"/>
  <c r="K29" i="41" s="1"/>
  <c r="I29" i="41"/>
  <c r="M29" i="41" s="1"/>
  <c r="A29" i="41" s="1"/>
  <c r="B29" i="41"/>
  <c r="J28" i="41"/>
  <c r="K28" i="41" s="1"/>
  <c r="I28" i="41"/>
  <c r="M28" i="41" s="1"/>
  <c r="A28" i="41" s="1"/>
  <c r="B28" i="41"/>
  <c r="J27" i="41"/>
  <c r="K27" i="41" s="1"/>
  <c r="I27" i="41"/>
  <c r="M27" i="41" s="1"/>
  <c r="A27" i="41" s="1"/>
  <c r="B27" i="41"/>
  <c r="J26" i="41"/>
  <c r="K26" i="41" s="1"/>
  <c r="I26" i="41"/>
  <c r="M26" i="41" s="1"/>
  <c r="B26" i="41"/>
  <c r="J25" i="41"/>
  <c r="K25" i="41" s="1"/>
  <c r="I25" i="41"/>
  <c r="M25" i="41" s="1"/>
  <c r="B25" i="41"/>
  <c r="J24" i="41"/>
  <c r="K24" i="41" s="1"/>
  <c r="I24" i="41"/>
  <c r="M24" i="41" s="1"/>
  <c r="B24" i="41"/>
  <c r="J23" i="41"/>
  <c r="K23" i="41" s="1"/>
  <c r="I23" i="41"/>
  <c r="M23" i="41" s="1"/>
  <c r="B23" i="41"/>
  <c r="J22" i="41"/>
  <c r="K22" i="41" s="1"/>
  <c r="I22" i="41"/>
  <c r="M22" i="41" s="1"/>
  <c r="J21" i="41"/>
  <c r="K21" i="41" s="1"/>
  <c r="I21" i="41"/>
  <c r="M21" i="41" s="1"/>
  <c r="M20" i="41"/>
  <c r="J20" i="41"/>
  <c r="K20" i="41" s="1"/>
  <c r="I20" i="41"/>
  <c r="J19" i="41"/>
  <c r="K19" i="41" s="1"/>
  <c r="I19" i="41"/>
  <c r="M19" i="41" s="1"/>
  <c r="J18" i="41"/>
  <c r="K18" i="41" s="1"/>
  <c r="I18" i="41"/>
  <c r="M18" i="41" s="1"/>
  <c r="J17" i="41"/>
  <c r="K17" i="41" s="1"/>
  <c r="I17" i="41"/>
  <c r="M17" i="41" s="1"/>
  <c r="AI16" i="41"/>
  <c r="J16" i="41"/>
  <c r="K16" i="41" s="1"/>
  <c r="I16" i="41"/>
  <c r="J15" i="41"/>
  <c r="K15" i="41" s="1"/>
  <c r="I15" i="41"/>
  <c r="AI14" i="41"/>
  <c r="J14" i="41"/>
  <c r="K14" i="41" s="1"/>
  <c r="I14" i="41"/>
  <c r="M14" i="41" s="1"/>
  <c r="AI13" i="41"/>
  <c r="J13" i="41"/>
  <c r="K13" i="41" s="1"/>
  <c r="I13" i="41"/>
  <c r="AI12" i="41"/>
  <c r="J12" i="41"/>
  <c r="K12" i="41" s="1"/>
  <c r="I12" i="41"/>
  <c r="J11" i="41"/>
  <c r="K11" i="41" s="1"/>
  <c r="I11" i="41"/>
  <c r="J10" i="41"/>
  <c r="K10" i="41" s="1"/>
  <c r="I10" i="41"/>
  <c r="J9" i="41"/>
  <c r="K9" i="41" s="1"/>
  <c r="I9" i="41"/>
  <c r="M9" i="41" s="1"/>
  <c r="J8" i="41"/>
  <c r="K8" i="41" s="1"/>
  <c r="I8" i="41"/>
  <c r="J7" i="41"/>
  <c r="K7" i="41" s="1"/>
  <c r="I7" i="41"/>
  <c r="J6" i="41"/>
  <c r="K6" i="41" s="1"/>
  <c r="I6" i="41"/>
  <c r="K2" i="41"/>
  <c r="L6" i="41" s="1"/>
  <c r="A13" i="1"/>
  <c r="A16" i="1"/>
  <c r="A20" i="1"/>
  <c r="A26" i="1"/>
  <c r="A12" i="1"/>
  <c r="A24" i="1"/>
  <c r="B229" i="39"/>
  <c r="B228" i="39"/>
  <c r="B227" i="39"/>
  <c r="B226" i="39"/>
  <c r="B225" i="39"/>
  <c r="B224" i="39"/>
  <c r="B223" i="39"/>
  <c r="B222" i="39"/>
  <c r="B221" i="39"/>
  <c r="B220" i="39"/>
  <c r="B219" i="39"/>
  <c r="B218" i="39"/>
  <c r="B217" i="39"/>
  <c r="B216" i="39"/>
  <c r="B215" i="39"/>
  <c r="B214" i="39"/>
  <c r="B213" i="39"/>
  <c r="B212" i="39"/>
  <c r="B211" i="39"/>
  <c r="B210" i="39"/>
  <c r="B209" i="39"/>
  <c r="B208" i="39"/>
  <c r="B207" i="39"/>
  <c r="B206" i="39"/>
  <c r="B205" i="39"/>
  <c r="B204" i="39"/>
  <c r="B203" i="39"/>
  <c r="B202" i="39"/>
  <c r="B201" i="39"/>
  <c r="B200" i="39"/>
  <c r="B199" i="39"/>
  <c r="B198" i="39"/>
  <c r="B197" i="39"/>
  <c r="B196" i="39"/>
  <c r="B195" i="39"/>
  <c r="B194" i="39"/>
  <c r="B193" i="39"/>
  <c r="B192" i="39"/>
  <c r="B191" i="39"/>
  <c r="B190" i="39"/>
  <c r="B189" i="39"/>
  <c r="B188" i="39"/>
  <c r="B187" i="39"/>
  <c r="B186" i="39"/>
  <c r="B185" i="39"/>
  <c r="B184" i="39"/>
  <c r="B183" i="39"/>
  <c r="B182" i="39"/>
  <c r="B181" i="39"/>
  <c r="B180" i="39"/>
  <c r="B179" i="39"/>
  <c r="B178" i="39"/>
  <c r="B177" i="39"/>
  <c r="B176" i="39"/>
  <c r="B175" i="39"/>
  <c r="B174" i="39"/>
  <c r="B173" i="39"/>
  <c r="B172" i="39"/>
  <c r="B171" i="39"/>
  <c r="B170" i="39"/>
  <c r="B169" i="39"/>
  <c r="B168" i="39"/>
  <c r="B167" i="39"/>
  <c r="B166" i="39"/>
  <c r="B165" i="39"/>
  <c r="B164" i="39"/>
  <c r="B163" i="39"/>
  <c r="B162" i="39"/>
  <c r="B161" i="39"/>
  <c r="B160" i="39"/>
  <c r="B159" i="39"/>
  <c r="B158" i="39"/>
  <c r="B157" i="39"/>
  <c r="B156" i="39"/>
  <c r="B155" i="39"/>
  <c r="B154" i="39"/>
  <c r="B153" i="39"/>
  <c r="B152" i="39"/>
  <c r="B151" i="39"/>
  <c r="B150" i="39"/>
  <c r="B149" i="39"/>
  <c r="B148" i="39"/>
  <c r="B147" i="39"/>
  <c r="B146" i="39"/>
  <c r="B145" i="39"/>
  <c r="B144" i="39"/>
  <c r="B143" i="39"/>
  <c r="B142" i="39"/>
  <c r="B141" i="39"/>
  <c r="B140" i="39"/>
  <c r="B139" i="39"/>
  <c r="B138" i="39"/>
  <c r="B137" i="39"/>
  <c r="B136" i="39"/>
  <c r="B135" i="39"/>
  <c r="B134" i="39"/>
  <c r="B133" i="39"/>
  <c r="B132" i="39"/>
  <c r="B131" i="39"/>
  <c r="B130" i="39"/>
  <c r="B129" i="39"/>
  <c r="B128" i="39"/>
  <c r="B127" i="39"/>
  <c r="B126" i="39"/>
  <c r="B125" i="39"/>
  <c r="B124" i="39"/>
  <c r="B123" i="39"/>
  <c r="B122" i="39"/>
  <c r="B121" i="39"/>
  <c r="B120" i="39"/>
  <c r="B118" i="39"/>
  <c r="B117" i="39"/>
  <c r="B116" i="39"/>
  <c r="B115" i="39"/>
  <c r="B114" i="39"/>
  <c r="B113" i="39"/>
  <c r="B112" i="39"/>
  <c r="B111" i="39"/>
  <c r="B110" i="39"/>
  <c r="B109" i="39"/>
  <c r="B108" i="39"/>
  <c r="B107" i="39"/>
  <c r="B106" i="39"/>
  <c r="B105" i="39"/>
  <c r="B104" i="39"/>
  <c r="B103" i="39"/>
  <c r="B102" i="39"/>
  <c r="B101" i="39"/>
  <c r="B100" i="39"/>
  <c r="B99" i="39"/>
  <c r="B98" i="39"/>
  <c r="B97" i="39"/>
  <c r="B96" i="39"/>
  <c r="B95" i="39"/>
  <c r="B94" i="39"/>
  <c r="B93" i="39"/>
  <c r="B92" i="39"/>
  <c r="B91" i="39"/>
  <c r="B90" i="39"/>
  <c r="B89" i="39"/>
  <c r="B88" i="39"/>
  <c r="B87" i="39"/>
  <c r="B86" i="39"/>
  <c r="B85" i="39"/>
  <c r="B84" i="39"/>
  <c r="B83" i="39"/>
  <c r="B82" i="39"/>
  <c r="B81" i="39"/>
  <c r="B80" i="39"/>
  <c r="B79" i="39"/>
  <c r="B78" i="39"/>
  <c r="B77" i="39"/>
  <c r="B76" i="39"/>
  <c r="B75" i="39"/>
  <c r="B74" i="39"/>
  <c r="B73" i="39"/>
  <c r="B72" i="39"/>
  <c r="B71" i="39"/>
  <c r="B70" i="39"/>
  <c r="B69" i="39"/>
  <c r="B68" i="39"/>
  <c r="B67" i="39"/>
  <c r="B66" i="39"/>
  <c r="B65" i="39"/>
  <c r="B64" i="39"/>
  <c r="B63" i="39"/>
  <c r="B62" i="39"/>
  <c r="B61" i="39"/>
  <c r="B60" i="39"/>
  <c r="B59" i="39"/>
  <c r="B58" i="39"/>
  <c r="B57" i="39"/>
  <c r="B56" i="39"/>
  <c r="B55" i="39"/>
  <c r="B54" i="39"/>
  <c r="B53" i="39"/>
  <c r="B52" i="39"/>
  <c r="B51" i="39"/>
  <c r="B50" i="39"/>
  <c r="B49" i="39"/>
  <c r="B48" i="39"/>
  <c r="B47" i="39"/>
  <c r="B46" i="39"/>
  <c r="B45" i="39"/>
  <c r="B44" i="39"/>
  <c r="B43" i="39"/>
  <c r="B42" i="39"/>
  <c r="B41" i="39"/>
  <c r="B40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B26" i="39"/>
  <c r="B25" i="39"/>
  <c r="B24" i="39"/>
  <c r="B23" i="39"/>
  <c r="B22" i="39"/>
  <c r="B21" i="39"/>
  <c r="B20" i="39"/>
  <c r="B19" i="39"/>
  <c r="B18" i="39"/>
  <c r="B17" i="39"/>
  <c r="B16" i="39"/>
  <c r="B15" i="39"/>
  <c r="B14" i="39"/>
  <c r="B13" i="39"/>
  <c r="B12" i="39"/>
  <c r="B11" i="39"/>
  <c r="B10" i="39"/>
  <c r="B9" i="39"/>
  <c r="B8" i="39"/>
  <c r="B7" i="39"/>
  <c r="B6" i="39"/>
  <c r="I6" i="20"/>
  <c r="I6" i="18"/>
  <c r="J305" i="39"/>
  <c r="K305" i="39" s="1"/>
  <c r="I305" i="39"/>
  <c r="N305" i="39" s="1"/>
  <c r="A305" i="39" s="1"/>
  <c r="J304" i="39"/>
  <c r="K304" i="39" s="1"/>
  <c r="I304" i="39"/>
  <c r="N304" i="39" s="1"/>
  <c r="A304" i="39" s="1"/>
  <c r="J303" i="39"/>
  <c r="K303" i="39" s="1"/>
  <c r="I303" i="39"/>
  <c r="N303" i="39" s="1"/>
  <c r="A303" i="39" s="1"/>
  <c r="J302" i="39"/>
  <c r="K302" i="39" s="1"/>
  <c r="I302" i="39"/>
  <c r="J301" i="39"/>
  <c r="K301" i="39" s="1"/>
  <c r="I301" i="39"/>
  <c r="J300" i="39"/>
  <c r="K300" i="39" s="1"/>
  <c r="I300" i="39"/>
  <c r="J299" i="39"/>
  <c r="K299" i="39" s="1"/>
  <c r="I299" i="39"/>
  <c r="N299" i="39" s="1"/>
  <c r="A299" i="39" s="1"/>
  <c r="J298" i="39"/>
  <c r="K298" i="39" s="1"/>
  <c r="I298" i="39"/>
  <c r="J297" i="39"/>
  <c r="K297" i="39" s="1"/>
  <c r="I297" i="39"/>
  <c r="N297" i="39" s="1"/>
  <c r="A297" i="39" s="1"/>
  <c r="J296" i="39"/>
  <c r="K296" i="39" s="1"/>
  <c r="I296" i="39"/>
  <c r="N296" i="39" s="1"/>
  <c r="A296" i="39" s="1"/>
  <c r="J295" i="39"/>
  <c r="K295" i="39" s="1"/>
  <c r="I295" i="39"/>
  <c r="N295" i="39" s="1"/>
  <c r="A295" i="39" s="1"/>
  <c r="J294" i="39"/>
  <c r="K294" i="39" s="1"/>
  <c r="I294" i="39"/>
  <c r="J293" i="39"/>
  <c r="K293" i="39" s="1"/>
  <c r="I293" i="39"/>
  <c r="J292" i="39"/>
  <c r="K292" i="39" s="1"/>
  <c r="I292" i="39"/>
  <c r="J291" i="39"/>
  <c r="K291" i="39" s="1"/>
  <c r="I291" i="39"/>
  <c r="N291" i="39" s="1"/>
  <c r="A291" i="39" s="1"/>
  <c r="J290" i="39"/>
  <c r="K290" i="39" s="1"/>
  <c r="I290" i="39"/>
  <c r="J289" i="39"/>
  <c r="K289" i="39" s="1"/>
  <c r="I289" i="39"/>
  <c r="N289" i="39" s="1"/>
  <c r="A289" i="39" s="1"/>
  <c r="J288" i="39"/>
  <c r="K288" i="39" s="1"/>
  <c r="I288" i="39"/>
  <c r="M288" i="39" s="1"/>
  <c r="J287" i="39"/>
  <c r="K287" i="39" s="1"/>
  <c r="I287" i="39"/>
  <c r="N287" i="39" s="1"/>
  <c r="A287" i="39" s="1"/>
  <c r="J286" i="39"/>
  <c r="K286" i="39" s="1"/>
  <c r="I286" i="39"/>
  <c r="N286" i="39" s="1"/>
  <c r="A286" i="39" s="1"/>
  <c r="J285" i="39"/>
  <c r="K285" i="39" s="1"/>
  <c r="I285" i="39"/>
  <c r="N285" i="39" s="1"/>
  <c r="A285" i="39" s="1"/>
  <c r="J284" i="39"/>
  <c r="K284" i="39" s="1"/>
  <c r="I284" i="39"/>
  <c r="J283" i="39"/>
  <c r="K283" i="39" s="1"/>
  <c r="I283" i="39"/>
  <c r="N283" i="39" s="1"/>
  <c r="A283" i="39" s="1"/>
  <c r="J282" i="39"/>
  <c r="K282" i="39" s="1"/>
  <c r="I282" i="39"/>
  <c r="N282" i="39" s="1"/>
  <c r="A282" i="39" s="1"/>
  <c r="J281" i="39"/>
  <c r="K281" i="39" s="1"/>
  <c r="I281" i="39"/>
  <c r="N281" i="39" s="1"/>
  <c r="A281" i="39" s="1"/>
  <c r="J280" i="39"/>
  <c r="K280" i="39" s="1"/>
  <c r="I280" i="39"/>
  <c r="M280" i="39" s="1"/>
  <c r="J279" i="39"/>
  <c r="K279" i="39" s="1"/>
  <c r="I279" i="39"/>
  <c r="N279" i="39" s="1"/>
  <c r="A279" i="39" s="1"/>
  <c r="J278" i="39"/>
  <c r="K278" i="39" s="1"/>
  <c r="I278" i="39"/>
  <c r="J277" i="39"/>
  <c r="K277" i="39" s="1"/>
  <c r="I277" i="39"/>
  <c r="N277" i="39" s="1"/>
  <c r="A277" i="39" s="1"/>
  <c r="J276" i="39"/>
  <c r="K276" i="39" s="1"/>
  <c r="I276" i="39"/>
  <c r="M276" i="39" s="1"/>
  <c r="J275" i="39"/>
  <c r="K275" i="39" s="1"/>
  <c r="I275" i="39"/>
  <c r="J274" i="39"/>
  <c r="K274" i="39" s="1"/>
  <c r="I274" i="39"/>
  <c r="J273" i="39"/>
  <c r="K273" i="39" s="1"/>
  <c r="I273" i="39"/>
  <c r="N273" i="39" s="1"/>
  <c r="A273" i="39" s="1"/>
  <c r="J272" i="39"/>
  <c r="K272" i="39" s="1"/>
  <c r="I272" i="39"/>
  <c r="M272" i="39" s="1"/>
  <c r="J271" i="39"/>
  <c r="K271" i="39" s="1"/>
  <c r="I271" i="39"/>
  <c r="N271" i="39" s="1"/>
  <c r="A271" i="39" s="1"/>
  <c r="J270" i="39"/>
  <c r="K270" i="39" s="1"/>
  <c r="I270" i="39"/>
  <c r="N270" i="39" s="1"/>
  <c r="A270" i="39"/>
  <c r="J269" i="39"/>
  <c r="K269" i="39" s="1"/>
  <c r="I269" i="39"/>
  <c r="N269" i="39" s="1"/>
  <c r="A269" i="39" s="1"/>
  <c r="J268" i="39"/>
  <c r="K268" i="39" s="1"/>
  <c r="I268" i="39"/>
  <c r="M268" i="39" s="1"/>
  <c r="J267" i="39"/>
  <c r="K267" i="39" s="1"/>
  <c r="I267" i="39"/>
  <c r="N267" i="39" s="1"/>
  <c r="A267" i="39" s="1"/>
  <c r="J266" i="39"/>
  <c r="K266" i="39" s="1"/>
  <c r="I266" i="39"/>
  <c r="J265" i="39"/>
  <c r="K265" i="39" s="1"/>
  <c r="I265" i="39"/>
  <c r="J264" i="39"/>
  <c r="K264" i="39" s="1"/>
  <c r="I264" i="39"/>
  <c r="N264" i="39" s="1"/>
  <c r="A264" i="39" s="1"/>
  <c r="J263" i="39"/>
  <c r="K263" i="39" s="1"/>
  <c r="I263" i="39"/>
  <c r="J262" i="39"/>
  <c r="K262" i="39" s="1"/>
  <c r="I262" i="39"/>
  <c r="J261" i="39"/>
  <c r="K261" i="39" s="1"/>
  <c r="I261" i="39"/>
  <c r="J260" i="39"/>
  <c r="K260" i="39" s="1"/>
  <c r="I260" i="39"/>
  <c r="N260" i="39" s="1"/>
  <c r="A260" i="39" s="1"/>
  <c r="J259" i="39"/>
  <c r="K259" i="39" s="1"/>
  <c r="I259" i="39"/>
  <c r="J258" i="39"/>
  <c r="K258" i="39" s="1"/>
  <c r="I258" i="39"/>
  <c r="J257" i="39"/>
  <c r="K257" i="39" s="1"/>
  <c r="I257" i="39"/>
  <c r="J256" i="39"/>
  <c r="K256" i="39" s="1"/>
  <c r="I256" i="39"/>
  <c r="J255" i="39"/>
  <c r="K255" i="39" s="1"/>
  <c r="I255" i="39"/>
  <c r="J254" i="39"/>
  <c r="K254" i="39" s="1"/>
  <c r="I254" i="39"/>
  <c r="J253" i="39"/>
  <c r="K253" i="39" s="1"/>
  <c r="I253" i="39"/>
  <c r="M253" i="39" s="1"/>
  <c r="N253" i="39" s="1"/>
  <c r="A253" i="39" s="1"/>
  <c r="J252" i="39"/>
  <c r="K252" i="39" s="1"/>
  <c r="I252" i="39"/>
  <c r="M252" i="39" s="1"/>
  <c r="N252" i="39" s="1"/>
  <c r="A252" i="39" s="1"/>
  <c r="J251" i="39"/>
  <c r="K251" i="39" s="1"/>
  <c r="I251" i="39"/>
  <c r="M251" i="39" s="1"/>
  <c r="J250" i="39"/>
  <c r="K250" i="39" s="1"/>
  <c r="I250" i="39"/>
  <c r="B250" i="39"/>
  <c r="J249" i="39"/>
  <c r="K249" i="39" s="1"/>
  <c r="I249" i="39"/>
  <c r="B249" i="39"/>
  <c r="J248" i="39"/>
  <c r="K248" i="39" s="1"/>
  <c r="I248" i="39"/>
  <c r="M248" i="39" s="1"/>
  <c r="B248" i="39"/>
  <c r="J247" i="39"/>
  <c r="K247" i="39" s="1"/>
  <c r="I247" i="39"/>
  <c r="B247" i="39"/>
  <c r="J246" i="39"/>
  <c r="K246" i="39" s="1"/>
  <c r="I246" i="39"/>
  <c r="M246" i="39" s="1"/>
  <c r="N246" i="39" s="1"/>
  <c r="A246" i="39" s="1"/>
  <c r="B246" i="39"/>
  <c r="J245" i="39"/>
  <c r="K245" i="39" s="1"/>
  <c r="I245" i="39"/>
  <c r="B245" i="39"/>
  <c r="J244" i="39"/>
  <c r="K244" i="39" s="1"/>
  <c r="I244" i="39"/>
  <c r="B244" i="39"/>
  <c r="J243" i="39"/>
  <c r="K243" i="39" s="1"/>
  <c r="I243" i="39"/>
  <c r="B243" i="39"/>
  <c r="J242" i="39"/>
  <c r="K242" i="39" s="1"/>
  <c r="I242" i="39"/>
  <c r="B242" i="39"/>
  <c r="J241" i="39"/>
  <c r="K241" i="39" s="1"/>
  <c r="I241" i="39"/>
  <c r="B241" i="39"/>
  <c r="J240" i="39"/>
  <c r="K240" i="39" s="1"/>
  <c r="I240" i="39"/>
  <c r="M240" i="39" s="1"/>
  <c r="B240" i="39"/>
  <c r="J239" i="39"/>
  <c r="K239" i="39" s="1"/>
  <c r="I239" i="39"/>
  <c r="B239" i="39"/>
  <c r="J238" i="39"/>
  <c r="K238" i="39" s="1"/>
  <c r="I238" i="39"/>
  <c r="B238" i="39"/>
  <c r="J237" i="39"/>
  <c r="K237" i="39" s="1"/>
  <c r="I237" i="39"/>
  <c r="B237" i="39"/>
  <c r="J236" i="39"/>
  <c r="K236" i="39" s="1"/>
  <c r="I236" i="39"/>
  <c r="B236" i="39"/>
  <c r="J235" i="39"/>
  <c r="K235" i="39" s="1"/>
  <c r="I235" i="39"/>
  <c r="B235" i="39"/>
  <c r="J234" i="39"/>
  <c r="K234" i="39" s="1"/>
  <c r="I234" i="39"/>
  <c r="B234" i="39"/>
  <c r="J233" i="39"/>
  <c r="K233" i="39" s="1"/>
  <c r="I233" i="39"/>
  <c r="B233" i="39"/>
  <c r="J232" i="39"/>
  <c r="K232" i="39" s="1"/>
  <c r="I232" i="39"/>
  <c r="B232" i="39"/>
  <c r="J231" i="39"/>
  <c r="K231" i="39" s="1"/>
  <c r="I231" i="39"/>
  <c r="B231" i="39"/>
  <c r="J230" i="39"/>
  <c r="K230" i="39" s="1"/>
  <c r="I230" i="39"/>
  <c r="M230" i="39" s="1"/>
  <c r="B230" i="39"/>
  <c r="J229" i="39"/>
  <c r="K229" i="39" s="1"/>
  <c r="I229" i="39"/>
  <c r="J228" i="39"/>
  <c r="K228" i="39" s="1"/>
  <c r="I228" i="39"/>
  <c r="J227" i="39"/>
  <c r="K227" i="39" s="1"/>
  <c r="I227" i="39"/>
  <c r="J226" i="39"/>
  <c r="K226" i="39" s="1"/>
  <c r="I226" i="39"/>
  <c r="M226" i="39" s="1"/>
  <c r="J225" i="39"/>
  <c r="K225" i="39" s="1"/>
  <c r="I225" i="39"/>
  <c r="J224" i="39"/>
  <c r="K224" i="39" s="1"/>
  <c r="I224" i="39"/>
  <c r="J223" i="39"/>
  <c r="K223" i="39" s="1"/>
  <c r="I223" i="39"/>
  <c r="J222" i="39"/>
  <c r="K222" i="39" s="1"/>
  <c r="I222" i="39"/>
  <c r="M222" i="39" s="1"/>
  <c r="N222" i="39" s="1"/>
  <c r="A222" i="39" s="1"/>
  <c r="J221" i="39"/>
  <c r="K221" i="39" s="1"/>
  <c r="I221" i="39"/>
  <c r="J220" i="39"/>
  <c r="K220" i="39" s="1"/>
  <c r="I220" i="39"/>
  <c r="J219" i="39"/>
  <c r="K219" i="39" s="1"/>
  <c r="I219" i="39"/>
  <c r="J218" i="39"/>
  <c r="K218" i="39" s="1"/>
  <c r="I218" i="39"/>
  <c r="J217" i="39"/>
  <c r="K217" i="39" s="1"/>
  <c r="I217" i="39"/>
  <c r="J216" i="39"/>
  <c r="K216" i="39" s="1"/>
  <c r="I216" i="39"/>
  <c r="J215" i="39"/>
  <c r="K215" i="39" s="1"/>
  <c r="I215" i="39"/>
  <c r="J214" i="39"/>
  <c r="K214" i="39" s="1"/>
  <c r="I214" i="39"/>
  <c r="M214" i="39" s="1"/>
  <c r="N214" i="39" s="1"/>
  <c r="A214" i="39" s="1"/>
  <c r="J213" i="39"/>
  <c r="K213" i="39" s="1"/>
  <c r="I213" i="39"/>
  <c r="J212" i="39"/>
  <c r="K212" i="39" s="1"/>
  <c r="I212" i="39"/>
  <c r="J211" i="39"/>
  <c r="K211" i="39" s="1"/>
  <c r="I211" i="39"/>
  <c r="J210" i="39"/>
  <c r="K210" i="39" s="1"/>
  <c r="I210" i="39"/>
  <c r="J209" i="39"/>
  <c r="K209" i="39" s="1"/>
  <c r="I209" i="39"/>
  <c r="J208" i="39"/>
  <c r="K208" i="39" s="1"/>
  <c r="I208" i="39"/>
  <c r="M208" i="39" s="1"/>
  <c r="J207" i="39"/>
  <c r="K207" i="39" s="1"/>
  <c r="I207" i="39"/>
  <c r="J206" i="39"/>
  <c r="K206" i="39" s="1"/>
  <c r="I206" i="39"/>
  <c r="J205" i="39"/>
  <c r="K205" i="39" s="1"/>
  <c r="I205" i="39"/>
  <c r="J204" i="39"/>
  <c r="K204" i="39" s="1"/>
  <c r="I204" i="39"/>
  <c r="J203" i="39"/>
  <c r="K203" i="39" s="1"/>
  <c r="I203" i="39"/>
  <c r="J202" i="39"/>
  <c r="K202" i="39" s="1"/>
  <c r="I202" i="39"/>
  <c r="M202" i="39" s="1"/>
  <c r="J201" i="39"/>
  <c r="K201" i="39" s="1"/>
  <c r="I201" i="39"/>
  <c r="J200" i="39"/>
  <c r="K200" i="39" s="1"/>
  <c r="I200" i="39"/>
  <c r="J199" i="39"/>
  <c r="K199" i="39" s="1"/>
  <c r="I199" i="39"/>
  <c r="J198" i="39"/>
  <c r="K198" i="39" s="1"/>
  <c r="I198" i="39"/>
  <c r="J197" i="39"/>
  <c r="K197" i="39" s="1"/>
  <c r="I197" i="39"/>
  <c r="J196" i="39"/>
  <c r="K196" i="39" s="1"/>
  <c r="I196" i="39"/>
  <c r="J195" i="39"/>
  <c r="K195" i="39" s="1"/>
  <c r="I195" i="39"/>
  <c r="J194" i="39"/>
  <c r="K194" i="39" s="1"/>
  <c r="I194" i="39"/>
  <c r="M194" i="39" s="1"/>
  <c r="J193" i="39"/>
  <c r="K193" i="39" s="1"/>
  <c r="I193" i="39"/>
  <c r="J192" i="39"/>
  <c r="K192" i="39" s="1"/>
  <c r="I192" i="39"/>
  <c r="J191" i="39"/>
  <c r="K191" i="39" s="1"/>
  <c r="I191" i="39"/>
  <c r="J190" i="39"/>
  <c r="K190" i="39" s="1"/>
  <c r="I190" i="39"/>
  <c r="M190" i="39" s="1"/>
  <c r="N190" i="39" s="1"/>
  <c r="A190" i="39" s="1"/>
  <c r="J189" i="39"/>
  <c r="K189" i="39" s="1"/>
  <c r="I189" i="39"/>
  <c r="M189" i="39" s="1"/>
  <c r="J188" i="39"/>
  <c r="K188" i="39" s="1"/>
  <c r="I188" i="39"/>
  <c r="J187" i="39"/>
  <c r="K187" i="39" s="1"/>
  <c r="I187" i="39"/>
  <c r="J186" i="39"/>
  <c r="K186" i="39" s="1"/>
  <c r="I186" i="39"/>
  <c r="J185" i="39"/>
  <c r="K185" i="39" s="1"/>
  <c r="I185" i="39"/>
  <c r="J184" i="39"/>
  <c r="K184" i="39" s="1"/>
  <c r="I184" i="39"/>
  <c r="M184" i="39" s="1"/>
  <c r="J183" i="39"/>
  <c r="K183" i="39" s="1"/>
  <c r="I183" i="39"/>
  <c r="J182" i="39"/>
  <c r="K182" i="39" s="1"/>
  <c r="I182" i="39"/>
  <c r="M182" i="39" s="1"/>
  <c r="N182" i="39" s="1"/>
  <c r="A182" i="39" s="1"/>
  <c r="J181" i="39"/>
  <c r="K181" i="39" s="1"/>
  <c r="I181" i="39"/>
  <c r="J180" i="39"/>
  <c r="K180" i="39" s="1"/>
  <c r="I180" i="39"/>
  <c r="J179" i="39"/>
  <c r="K179" i="39" s="1"/>
  <c r="I179" i="39"/>
  <c r="J178" i="39"/>
  <c r="K178" i="39" s="1"/>
  <c r="I178" i="39"/>
  <c r="J177" i="39"/>
  <c r="K177" i="39" s="1"/>
  <c r="I177" i="39"/>
  <c r="J176" i="39"/>
  <c r="K176" i="39" s="1"/>
  <c r="I176" i="39"/>
  <c r="M176" i="39" s="1"/>
  <c r="J175" i="39"/>
  <c r="K175" i="39" s="1"/>
  <c r="I175" i="39"/>
  <c r="J174" i="39"/>
  <c r="K174" i="39" s="1"/>
  <c r="I174" i="39"/>
  <c r="M174" i="39" s="1"/>
  <c r="N174" i="39" s="1"/>
  <c r="A174" i="39" s="1"/>
  <c r="J173" i="39"/>
  <c r="K173" i="39" s="1"/>
  <c r="I173" i="39"/>
  <c r="J172" i="39"/>
  <c r="K172" i="39" s="1"/>
  <c r="I172" i="39"/>
  <c r="J171" i="39"/>
  <c r="K171" i="39" s="1"/>
  <c r="I171" i="39"/>
  <c r="M171" i="39" s="1"/>
  <c r="J170" i="39"/>
  <c r="K170" i="39" s="1"/>
  <c r="I170" i="39"/>
  <c r="J169" i="39"/>
  <c r="K169" i="39" s="1"/>
  <c r="I169" i="39"/>
  <c r="J168" i="39"/>
  <c r="K168" i="39" s="1"/>
  <c r="I168" i="39"/>
  <c r="J167" i="39"/>
  <c r="K167" i="39" s="1"/>
  <c r="I167" i="39"/>
  <c r="J166" i="39"/>
  <c r="K166" i="39" s="1"/>
  <c r="I166" i="39"/>
  <c r="M166" i="39" s="1"/>
  <c r="N166" i="39" s="1"/>
  <c r="A166" i="39" s="1"/>
  <c r="J165" i="39"/>
  <c r="K165" i="39" s="1"/>
  <c r="I165" i="39"/>
  <c r="J164" i="39"/>
  <c r="K164" i="39" s="1"/>
  <c r="I164" i="39"/>
  <c r="M164" i="39" s="1"/>
  <c r="J163" i="39"/>
  <c r="K163" i="39" s="1"/>
  <c r="I163" i="39"/>
  <c r="M163" i="39" s="1"/>
  <c r="J162" i="39"/>
  <c r="K162" i="39" s="1"/>
  <c r="I162" i="39"/>
  <c r="J161" i="39"/>
  <c r="K161" i="39" s="1"/>
  <c r="I161" i="39"/>
  <c r="J160" i="39"/>
  <c r="K160" i="39" s="1"/>
  <c r="I160" i="39"/>
  <c r="M160" i="39" s="1"/>
  <c r="J159" i="39"/>
  <c r="K159" i="39" s="1"/>
  <c r="I159" i="39"/>
  <c r="J158" i="39"/>
  <c r="K158" i="39" s="1"/>
  <c r="I158" i="39"/>
  <c r="M158" i="39" s="1"/>
  <c r="J157" i="39"/>
  <c r="K157" i="39" s="1"/>
  <c r="I157" i="39"/>
  <c r="J156" i="39"/>
  <c r="K156" i="39" s="1"/>
  <c r="I156" i="39"/>
  <c r="J155" i="39"/>
  <c r="K155" i="39" s="1"/>
  <c r="I155" i="39"/>
  <c r="J154" i="39"/>
  <c r="K154" i="39" s="1"/>
  <c r="I154" i="39"/>
  <c r="J153" i="39"/>
  <c r="K153" i="39" s="1"/>
  <c r="I153" i="39"/>
  <c r="J152" i="39"/>
  <c r="K152" i="39" s="1"/>
  <c r="I152" i="39"/>
  <c r="M152" i="39" s="1"/>
  <c r="J151" i="39"/>
  <c r="K151" i="39" s="1"/>
  <c r="I151" i="39"/>
  <c r="J150" i="39"/>
  <c r="K150" i="39" s="1"/>
  <c r="I150" i="39"/>
  <c r="M150" i="39" s="1"/>
  <c r="N150" i="39" s="1"/>
  <c r="A150" i="39" s="1"/>
  <c r="J149" i="39"/>
  <c r="K149" i="39" s="1"/>
  <c r="I149" i="39"/>
  <c r="J148" i="39"/>
  <c r="K148" i="39" s="1"/>
  <c r="I148" i="39"/>
  <c r="J147" i="39"/>
  <c r="K147" i="39" s="1"/>
  <c r="I147" i="39"/>
  <c r="J146" i="39"/>
  <c r="K146" i="39" s="1"/>
  <c r="I146" i="39"/>
  <c r="J145" i="39"/>
  <c r="K145" i="39" s="1"/>
  <c r="I145" i="39"/>
  <c r="J144" i="39"/>
  <c r="K144" i="39" s="1"/>
  <c r="I144" i="39"/>
  <c r="J143" i="39"/>
  <c r="K143" i="39" s="1"/>
  <c r="I143" i="39"/>
  <c r="J142" i="39"/>
  <c r="K142" i="39" s="1"/>
  <c r="I142" i="39"/>
  <c r="J141" i="39"/>
  <c r="K141" i="39" s="1"/>
  <c r="I141" i="39"/>
  <c r="M141" i="39" s="1"/>
  <c r="N141" i="39" s="1"/>
  <c r="A141" i="39" s="1"/>
  <c r="J140" i="39"/>
  <c r="K140" i="39" s="1"/>
  <c r="I140" i="39"/>
  <c r="J139" i="39"/>
  <c r="K139" i="39" s="1"/>
  <c r="I139" i="39"/>
  <c r="J138" i="39"/>
  <c r="K138" i="39" s="1"/>
  <c r="I138" i="39"/>
  <c r="M138" i="39" s="1"/>
  <c r="J137" i="39"/>
  <c r="K137" i="39" s="1"/>
  <c r="I137" i="39"/>
  <c r="M137" i="39" s="1"/>
  <c r="N137" i="39" s="1"/>
  <c r="A137" i="39" s="1"/>
  <c r="J136" i="39"/>
  <c r="K136" i="39" s="1"/>
  <c r="I136" i="39"/>
  <c r="J135" i="39"/>
  <c r="K135" i="39" s="1"/>
  <c r="I135" i="39"/>
  <c r="J134" i="39"/>
  <c r="K134" i="39" s="1"/>
  <c r="I134" i="39"/>
  <c r="M134" i="39" s="1"/>
  <c r="N134" i="39" s="1"/>
  <c r="A134" i="39" s="1"/>
  <c r="J133" i="39"/>
  <c r="K133" i="39" s="1"/>
  <c r="I133" i="39"/>
  <c r="J132" i="39"/>
  <c r="K132" i="39" s="1"/>
  <c r="I132" i="39"/>
  <c r="J131" i="39"/>
  <c r="K131" i="39" s="1"/>
  <c r="I131" i="39"/>
  <c r="J130" i="39"/>
  <c r="K130" i="39" s="1"/>
  <c r="I130" i="39"/>
  <c r="J129" i="39"/>
  <c r="K129" i="39" s="1"/>
  <c r="I129" i="39"/>
  <c r="J128" i="39"/>
  <c r="K128" i="39" s="1"/>
  <c r="I128" i="39"/>
  <c r="J127" i="39"/>
  <c r="K127" i="39" s="1"/>
  <c r="I127" i="39"/>
  <c r="J126" i="39"/>
  <c r="K126" i="39" s="1"/>
  <c r="I126" i="39"/>
  <c r="J125" i="39"/>
  <c r="K125" i="39" s="1"/>
  <c r="I125" i="39"/>
  <c r="J124" i="39"/>
  <c r="K124" i="39" s="1"/>
  <c r="I124" i="39"/>
  <c r="J123" i="39"/>
  <c r="K123" i="39" s="1"/>
  <c r="I123" i="39"/>
  <c r="J122" i="39"/>
  <c r="K122" i="39" s="1"/>
  <c r="I122" i="39"/>
  <c r="J121" i="39"/>
  <c r="K121" i="39" s="1"/>
  <c r="I121" i="39"/>
  <c r="J120" i="39"/>
  <c r="K120" i="39" s="1"/>
  <c r="I120" i="39"/>
  <c r="J119" i="39"/>
  <c r="K119" i="39" s="1"/>
  <c r="I119" i="39"/>
  <c r="J118" i="39"/>
  <c r="K118" i="39" s="1"/>
  <c r="I118" i="39"/>
  <c r="M118" i="39" s="1"/>
  <c r="N118" i="39" s="1"/>
  <c r="A118" i="39" s="1"/>
  <c r="J117" i="39"/>
  <c r="K117" i="39" s="1"/>
  <c r="I117" i="39"/>
  <c r="M117" i="39" s="1"/>
  <c r="J116" i="39"/>
  <c r="K116" i="39" s="1"/>
  <c r="I116" i="39"/>
  <c r="J115" i="39"/>
  <c r="K115" i="39" s="1"/>
  <c r="I115" i="39"/>
  <c r="J114" i="39"/>
  <c r="K114" i="39" s="1"/>
  <c r="I114" i="39"/>
  <c r="J113" i="39"/>
  <c r="K113" i="39" s="1"/>
  <c r="I113" i="39"/>
  <c r="J112" i="39"/>
  <c r="K112" i="39" s="1"/>
  <c r="I112" i="39"/>
  <c r="J111" i="39"/>
  <c r="K111" i="39" s="1"/>
  <c r="I111" i="39"/>
  <c r="J110" i="39"/>
  <c r="K110" i="39" s="1"/>
  <c r="I110" i="39"/>
  <c r="J109" i="39"/>
  <c r="K109" i="39" s="1"/>
  <c r="I109" i="39"/>
  <c r="J108" i="39"/>
  <c r="K108" i="39" s="1"/>
  <c r="I108" i="39"/>
  <c r="J107" i="39"/>
  <c r="K107" i="39" s="1"/>
  <c r="I107" i="39"/>
  <c r="J106" i="39"/>
  <c r="K106" i="39" s="1"/>
  <c r="I106" i="39"/>
  <c r="J105" i="39"/>
  <c r="K105" i="39" s="1"/>
  <c r="I105" i="39"/>
  <c r="J104" i="39"/>
  <c r="K104" i="39" s="1"/>
  <c r="I104" i="39"/>
  <c r="J103" i="39"/>
  <c r="K103" i="39" s="1"/>
  <c r="I103" i="39"/>
  <c r="J102" i="39"/>
  <c r="K102" i="39" s="1"/>
  <c r="I102" i="39"/>
  <c r="J101" i="39"/>
  <c r="K101" i="39" s="1"/>
  <c r="I101" i="39"/>
  <c r="J100" i="39"/>
  <c r="K100" i="39" s="1"/>
  <c r="I100" i="39"/>
  <c r="J99" i="39"/>
  <c r="K99" i="39" s="1"/>
  <c r="I99" i="39"/>
  <c r="J98" i="39"/>
  <c r="K98" i="39" s="1"/>
  <c r="I98" i="39"/>
  <c r="J97" i="39"/>
  <c r="K97" i="39" s="1"/>
  <c r="I97" i="39"/>
  <c r="J96" i="39"/>
  <c r="K96" i="39" s="1"/>
  <c r="I96" i="39"/>
  <c r="J95" i="39"/>
  <c r="K95" i="39" s="1"/>
  <c r="I95" i="39"/>
  <c r="J94" i="39"/>
  <c r="K94" i="39" s="1"/>
  <c r="I94" i="39"/>
  <c r="J93" i="39"/>
  <c r="K93" i="39" s="1"/>
  <c r="I93" i="39"/>
  <c r="J92" i="39"/>
  <c r="K92" i="39" s="1"/>
  <c r="I92" i="39"/>
  <c r="J91" i="39"/>
  <c r="K91" i="39" s="1"/>
  <c r="I91" i="39"/>
  <c r="J90" i="39"/>
  <c r="K90" i="39" s="1"/>
  <c r="I90" i="39"/>
  <c r="J89" i="39"/>
  <c r="K89" i="39" s="1"/>
  <c r="I89" i="39"/>
  <c r="J88" i="39"/>
  <c r="K88" i="39" s="1"/>
  <c r="I88" i="39"/>
  <c r="J87" i="39"/>
  <c r="K87" i="39" s="1"/>
  <c r="I87" i="39"/>
  <c r="J86" i="39"/>
  <c r="K86" i="39" s="1"/>
  <c r="I86" i="39"/>
  <c r="J85" i="39"/>
  <c r="K85" i="39" s="1"/>
  <c r="I85" i="39"/>
  <c r="J84" i="39"/>
  <c r="K84" i="39" s="1"/>
  <c r="I84" i="39"/>
  <c r="J83" i="39"/>
  <c r="K83" i="39" s="1"/>
  <c r="I83" i="39"/>
  <c r="J82" i="39"/>
  <c r="K82" i="39" s="1"/>
  <c r="I82" i="39"/>
  <c r="J81" i="39"/>
  <c r="K81" i="39" s="1"/>
  <c r="I81" i="39"/>
  <c r="J80" i="39"/>
  <c r="K80" i="39" s="1"/>
  <c r="I80" i="39"/>
  <c r="J79" i="39"/>
  <c r="K79" i="39" s="1"/>
  <c r="I79" i="39"/>
  <c r="J78" i="39"/>
  <c r="K78" i="39" s="1"/>
  <c r="I78" i="39"/>
  <c r="J77" i="39"/>
  <c r="K77" i="39" s="1"/>
  <c r="I77" i="39"/>
  <c r="J76" i="39"/>
  <c r="K76" i="39" s="1"/>
  <c r="I76" i="39"/>
  <c r="J75" i="39"/>
  <c r="K75" i="39" s="1"/>
  <c r="I75" i="39"/>
  <c r="J74" i="39"/>
  <c r="K74" i="39" s="1"/>
  <c r="I74" i="39"/>
  <c r="J73" i="39"/>
  <c r="K73" i="39" s="1"/>
  <c r="I73" i="39"/>
  <c r="J72" i="39"/>
  <c r="K72" i="39" s="1"/>
  <c r="I72" i="39"/>
  <c r="J71" i="39"/>
  <c r="K71" i="39" s="1"/>
  <c r="I71" i="39"/>
  <c r="J70" i="39"/>
  <c r="K70" i="39" s="1"/>
  <c r="I70" i="39"/>
  <c r="J69" i="39"/>
  <c r="K69" i="39" s="1"/>
  <c r="I69" i="39"/>
  <c r="J68" i="39"/>
  <c r="K68" i="39" s="1"/>
  <c r="I68" i="39"/>
  <c r="J67" i="39"/>
  <c r="K67" i="39" s="1"/>
  <c r="I67" i="39"/>
  <c r="J66" i="39"/>
  <c r="K66" i="39" s="1"/>
  <c r="I66" i="39"/>
  <c r="J65" i="39"/>
  <c r="K65" i="39" s="1"/>
  <c r="I65" i="39"/>
  <c r="J64" i="39"/>
  <c r="K64" i="39" s="1"/>
  <c r="I64" i="39"/>
  <c r="J63" i="39"/>
  <c r="K63" i="39" s="1"/>
  <c r="I63" i="39"/>
  <c r="J62" i="39"/>
  <c r="K62" i="39" s="1"/>
  <c r="I62" i="39"/>
  <c r="J61" i="39"/>
  <c r="K61" i="39" s="1"/>
  <c r="I61" i="39"/>
  <c r="J60" i="39"/>
  <c r="K60" i="39" s="1"/>
  <c r="I60" i="39"/>
  <c r="J59" i="39"/>
  <c r="K59" i="39" s="1"/>
  <c r="I59" i="39"/>
  <c r="J58" i="39"/>
  <c r="K58" i="39" s="1"/>
  <c r="I58" i="39"/>
  <c r="J57" i="39"/>
  <c r="K57" i="39" s="1"/>
  <c r="I57" i="39"/>
  <c r="J56" i="39"/>
  <c r="K56" i="39" s="1"/>
  <c r="I56" i="39"/>
  <c r="J55" i="39"/>
  <c r="K55" i="39" s="1"/>
  <c r="I55" i="39"/>
  <c r="J54" i="39"/>
  <c r="K54" i="39" s="1"/>
  <c r="I54" i="39"/>
  <c r="J53" i="39"/>
  <c r="K53" i="39" s="1"/>
  <c r="I53" i="39"/>
  <c r="J52" i="39"/>
  <c r="K52" i="39" s="1"/>
  <c r="I52" i="39"/>
  <c r="J51" i="39"/>
  <c r="K51" i="39" s="1"/>
  <c r="I51" i="39"/>
  <c r="J50" i="39"/>
  <c r="K50" i="39" s="1"/>
  <c r="I50" i="39"/>
  <c r="J49" i="39"/>
  <c r="K49" i="39" s="1"/>
  <c r="I49" i="39"/>
  <c r="J48" i="39"/>
  <c r="K48" i="39" s="1"/>
  <c r="I48" i="39"/>
  <c r="J47" i="39"/>
  <c r="K47" i="39" s="1"/>
  <c r="I47" i="39"/>
  <c r="J46" i="39"/>
  <c r="K46" i="39" s="1"/>
  <c r="I46" i="39"/>
  <c r="J45" i="39"/>
  <c r="K45" i="39" s="1"/>
  <c r="I45" i="39"/>
  <c r="J44" i="39"/>
  <c r="K44" i="39" s="1"/>
  <c r="I44" i="39"/>
  <c r="J43" i="39"/>
  <c r="K43" i="39" s="1"/>
  <c r="I43" i="39"/>
  <c r="J42" i="39"/>
  <c r="K42" i="39" s="1"/>
  <c r="I42" i="39"/>
  <c r="J41" i="39"/>
  <c r="K41" i="39" s="1"/>
  <c r="I41" i="39"/>
  <c r="J40" i="39"/>
  <c r="K40" i="39" s="1"/>
  <c r="I40" i="39"/>
  <c r="J39" i="39"/>
  <c r="K39" i="39" s="1"/>
  <c r="I39" i="39"/>
  <c r="J38" i="39"/>
  <c r="K38" i="39" s="1"/>
  <c r="I38" i="39"/>
  <c r="J37" i="39"/>
  <c r="K37" i="39" s="1"/>
  <c r="I37" i="39"/>
  <c r="J36" i="39"/>
  <c r="K36" i="39" s="1"/>
  <c r="I36" i="39"/>
  <c r="J35" i="39"/>
  <c r="K35" i="39" s="1"/>
  <c r="I35" i="39"/>
  <c r="J34" i="39"/>
  <c r="K34" i="39" s="1"/>
  <c r="I34" i="39"/>
  <c r="J33" i="39"/>
  <c r="K33" i="39" s="1"/>
  <c r="I33" i="39"/>
  <c r="J32" i="39"/>
  <c r="K32" i="39" s="1"/>
  <c r="I32" i="39"/>
  <c r="J31" i="39"/>
  <c r="K31" i="39" s="1"/>
  <c r="I31" i="39"/>
  <c r="J30" i="39"/>
  <c r="K30" i="39" s="1"/>
  <c r="I30" i="39"/>
  <c r="J29" i="39"/>
  <c r="K29" i="39" s="1"/>
  <c r="I29" i="39"/>
  <c r="J28" i="39"/>
  <c r="K28" i="39" s="1"/>
  <c r="I28" i="39"/>
  <c r="J27" i="39"/>
  <c r="K27" i="39" s="1"/>
  <c r="I27" i="39"/>
  <c r="J26" i="39"/>
  <c r="K26" i="39" s="1"/>
  <c r="I26" i="39"/>
  <c r="J25" i="39"/>
  <c r="K25" i="39" s="1"/>
  <c r="I25" i="39"/>
  <c r="J24" i="39"/>
  <c r="K24" i="39" s="1"/>
  <c r="I24" i="39"/>
  <c r="J23" i="39"/>
  <c r="K23" i="39" s="1"/>
  <c r="I23" i="39"/>
  <c r="J22" i="39"/>
  <c r="K22" i="39" s="1"/>
  <c r="I22" i="39"/>
  <c r="J21" i="39"/>
  <c r="K21" i="39" s="1"/>
  <c r="I21" i="39"/>
  <c r="J20" i="39"/>
  <c r="K20" i="39" s="1"/>
  <c r="I20" i="39"/>
  <c r="J19" i="39"/>
  <c r="K19" i="39" s="1"/>
  <c r="I19" i="39"/>
  <c r="J18" i="39"/>
  <c r="K18" i="39" s="1"/>
  <c r="I18" i="39"/>
  <c r="J17" i="39"/>
  <c r="K17" i="39" s="1"/>
  <c r="I17" i="39"/>
  <c r="J16" i="39"/>
  <c r="K16" i="39" s="1"/>
  <c r="I16" i="39"/>
  <c r="J15" i="39"/>
  <c r="K15" i="39" s="1"/>
  <c r="I15" i="39"/>
  <c r="AJ14" i="39"/>
  <c r="AJ16" i="39" s="1"/>
  <c r="J14" i="39"/>
  <c r="K14" i="39" s="1"/>
  <c r="I14" i="39"/>
  <c r="AJ13" i="39"/>
  <c r="J13" i="39"/>
  <c r="K13" i="39" s="1"/>
  <c r="I13" i="39"/>
  <c r="AJ12" i="39"/>
  <c r="J12" i="39"/>
  <c r="K12" i="39" s="1"/>
  <c r="I12" i="39"/>
  <c r="J11" i="39"/>
  <c r="K11" i="39" s="1"/>
  <c r="I11" i="39"/>
  <c r="J10" i="39"/>
  <c r="K10" i="39" s="1"/>
  <c r="I10" i="39"/>
  <c r="J9" i="39"/>
  <c r="K9" i="39" s="1"/>
  <c r="I9" i="39"/>
  <c r="J8" i="39"/>
  <c r="K8" i="39" s="1"/>
  <c r="I8" i="39"/>
  <c r="J7" i="39"/>
  <c r="K7" i="39" s="1"/>
  <c r="I7" i="39"/>
  <c r="J6" i="39"/>
  <c r="K6" i="39" s="1"/>
  <c r="I6" i="39"/>
  <c r="K2" i="39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J302" i="38"/>
  <c r="K302" i="38" s="1"/>
  <c r="I302" i="38"/>
  <c r="M302" i="38" s="1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J292" i="38"/>
  <c r="K292" i="38" s="1"/>
  <c r="I292" i="38"/>
  <c r="M292" i="38" s="1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J286" i="38"/>
  <c r="K286" i="38" s="1"/>
  <c r="I286" i="38"/>
  <c r="M286" i="38" s="1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J276" i="38"/>
  <c r="K276" i="38" s="1"/>
  <c r="I276" i="38"/>
  <c r="M276" i="38" s="1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J270" i="38"/>
  <c r="K270" i="38" s="1"/>
  <c r="I270" i="38"/>
  <c r="M270" i="38" s="1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J260" i="38"/>
  <c r="K260" i="38" s="1"/>
  <c r="I260" i="38"/>
  <c r="M260" i="38" s="1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J254" i="38"/>
  <c r="K254" i="38" s="1"/>
  <c r="I254" i="38"/>
  <c r="M254" i="38" s="1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J244" i="38"/>
  <c r="K244" i="38" s="1"/>
  <c r="I244" i="38"/>
  <c r="M244" i="38" s="1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J238" i="38"/>
  <c r="K238" i="38" s="1"/>
  <c r="I238" i="38"/>
  <c r="M238" i="38" s="1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J228" i="38"/>
  <c r="K228" i="38" s="1"/>
  <c r="I228" i="38"/>
  <c r="M228" i="38" s="1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J222" i="38"/>
  <c r="K222" i="38" s="1"/>
  <c r="I222" i="38"/>
  <c r="M222" i="38" s="1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J212" i="38"/>
  <c r="K212" i="38" s="1"/>
  <c r="I212" i="38"/>
  <c r="M212" i="38" s="1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J206" i="38"/>
  <c r="K206" i="38" s="1"/>
  <c r="I206" i="38"/>
  <c r="M206" i="38" s="1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J197" i="38"/>
  <c r="K197" i="38" s="1"/>
  <c r="I197" i="38"/>
  <c r="M197" i="38" s="1"/>
  <c r="J196" i="38"/>
  <c r="K196" i="38" s="1"/>
  <c r="I196" i="38"/>
  <c r="M196" i="38" s="1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J190" i="38"/>
  <c r="K190" i="38" s="1"/>
  <c r="I190" i="38"/>
  <c r="M190" i="38" s="1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J180" i="38"/>
  <c r="K180" i="38" s="1"/>
  <c r="I180" i="38"/>
  <c r="M180" i="38" s="1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J174" i="38"/>
  <c r="K174" i="38" s="1"/>
  <c r="I174" i="38"/>
  <c r="M174" i="38" s="1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J164" i="38"/>
  <c r="K164" i="38" s="1"/>
  <c r="I164" i="38"/>
  <c r="M164" i="38" s="1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J158" i="38"/>
  <c r="K158" i="38" s="1"/>
  <c r="I158" i="38"/>
  <c r="M158" i="38" s="1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J148" i="38"/>
  <c r="K148" i="38" s="1"/>
  <c r="I148" i="38"/>
  <c r="M148" i="38" s="1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J142" i="38"/>
  <c r="K142" i="38" s="1"/>
  <c r="I142" i="38"/>
  <c r="M142" i="38" s="1"/>
  <c r="J141" i="38"/>
  <c r="K141" i="38" s="1"/>
  <c r="I141" i="38"/>
  <c r="M141" i="38" s="1"/>
  <c r="J140" i="38"/>
  <c r="K140" i="38" s="1"/>
  <c r="I140" i="38"/>
  <c r="M140" i="38" s="1"/>
  <c r="J139" i="38"/>
  <c r="K139" i="38" s="1"/>
  <c r="I139" i="38"/>
  <c r="M139" i="38" s="1"/>
  <c r="J138" i="38"/>
  <c r="K138" i="38" s="1"/>
  <c r="I138" i="38"/>
  <c r="M138" i="38" s="1"/>
  <c r="J137" i="38"/>
  <c r="K137" i="38" s="1"/>
  <c r="I137" i="38"/>
  <c r="M137" i="38" s="1"/>
  <c r="J136" i="38"/>
  <c r="K136" i="38" s="1"/>
  <c r="I136" i="38"/>
  <c r="M136" i="38" s="1"/>
  <c r="J135" i="38"/>
  <c r="K135" i="38" s="1"/>
  <c r="I135" i="38"/>
  <c r="M135" i="38" s="1"/>
  <c r="J134" i="38"/>
  <c r="K134" i="38" s="1"/>
  <c r="I134" i="38"/>
  <c r="M134" i="38" s="1"/>
  <c r="J133" i="38"/>
  <c r="K133" i="38" s="1"/>
  <c r="I133" i="38"/>
  <c r="M133" i="38" s="1"/>
  <c r="J132" i="38"/>
  <c r="K132" i="38" s="1"/>
  <c r="I132" i="38"/>
  <c r="M132" i="38" s="1"/>
  <c r="J131" i="38"/>
  <c r="K131" i="38" s="1"/>
  <c r="I131" i="38"/>
  <c r="M131" i="38" s="1"/>
  <c r="J130" i="38"/>
  <c r="K130" i="38" s="1"/>
  <c r="I130" i="38"/>
  <c r="M130" i="38" s="1"/>
  <c r="J129" i="38"/>
  <c r="K129" i="38" s="1"/>
  <c r="I129" i="38"/>
  <c r="M129" i="38" s="1"/>
  <c r="J128" i="38"/>
  <c r="K128" i="38" s="1"/>
  <c r="I128" i="38"/>
  <c r="M128" i="38" s="1"/>
  <c r="J127" i="38"/>
  <c r="K127" i="38" s="1"/>
  <c r="I127" i="38"/>
  <c r="M127" i="38" s="1"/>
  <c r="J126" i="38"/>
  <c r="K126" i="38" s="1"/>
  <c r="I126" i="38"/>
  <c r="M126" i="38" s="1"/>
  <c r="J125" i="38"/>
  <c r="K125" i="38" s="1"/>
  <c r="I125" i="38"/>
  <c r="M125" i="38" s="1"/>
  <c r="J124" i="38"/>
  <c r="K124" i="38" s="1"/>
  <c r="I124" i="38"/>
  <c r="M124" i="38" s="1"/>
  <c r="J123" i="38"/>
  <c r="K123" i="38" s="1"/>
  <c r="I123" i="38"/>
  <c r="M123" i="38" s="1"/>
  <c r="J122" i="38"/>
  <c r="K122" i="38" s="1"/>
  <c r="I122" i="38"/>
  <c r="M122" i="38" s="1"/>
  <c r="J121" i="38"/>
  <c r="K121" i="38" s="1"/>
  <c r="I121" i="38"/>
  <c r="M121" i="38" s="1"/>
  <c r="J120" i="38"/>
  <c r="K120" i="38" s="1"/>
  <c r="I120" i="38"/>
  <c r="M120" i="38" s="1"/>
  <c r="J119" i="38"/>
  <c r="K119" i="38" s="1"/>
  <c r="I119" i="38"/>
  <c r="M119" i="38" s="1"/>
  <c r="J118" i="38"/>
  <c r="K118" i="38" s="1"/>
  <c r="I118" i="38"/>
  <c r="M118" i="38" s="1"/>
  <c r="J117" i="38"/>
  <c r="K117" i="38" s="1"/>
  <c r="I117" i="38"/>
  <c r="M117" i="38" s="1"/>
  <c r="J116" i="38"/>
  <c r="K116" i="38" s="1"/>
  <c r="I116" i="38"/>
  <c r="M116" i="38" s="1"/>
  <c r="J115" i="38"/>
  <c r="K115" i="38" s="1"/>
  <c r="I115" i="38"/>
  <c r="M115" i="38" s="1"/>
  <c r="J114" i="38"/>
  <c r="K114" i="38" s="1"/>
  <c r="I114" i="38"/>
  <c r="M114" i="38" s="1"/>
  <c r="J113" i="38"/>
  <c r="K113" i="38" s="1"/>
  <c r="I113" i="38"/>
  <c r="M113" i="38" s="1"/>
  <c r="J112" i="38"/>
  <c r="K112" i="38" s="1"/>
  <c r="I112" i="38"/>
  <c r="M112" i="38" s="1"/>
  <c r="J111" i="38"/>
  <c r="K111" i="38" s="1"/>
  <c r="I111" i="38"/>
  <c r="M111" i="38" s="1"/>
  <c r="J110" i="38"/>
  <c r="K110" i="38" s="1"/>
  <c r="I110" i="38"/>
  <c r="M110" i="38" s="1"/>
  <c r="J109" i="38"/>
  <c r="K109" i="38" s="1"/>
  <c r="I109" i="38"/>
  <c r="M109" i="38" s="1"/>
  <c r="J108" i="38"/>
  <c r="K108" i="38" s="1"/>
  <c r="I108" i="38"/>
  <c r="M108" i="38" s="1"/>
  <c r="J107" i="38"/>
  <c r="K107" i="38" s="1"/>
  <c r="I107" i="38"/>
  <c r="M107" i="38" s="1"/>
  <c r="J106" i="38"/>
  <c r="K106" i="38" s="1"/>
  <c r="I106" i="38"/>
  <c r="M106" i="38" s="1"/>
  <c r="J105" i="38"/>
  <c r="K105" i="38" s="1"/>
  <c r="I105" i="38"/>
  <c r="M105" i="38" s="1"/>
  <c r="J104" i="38"/>
  <c r="K104" i="38" s="1"/>
  <c r="I104" i="38"/>
  <c r="M104" i="38" s="1"/>
  <c r="J103" i="38"/>
  <c r="K103" i="38" s="1"/>
  <c r="I103" i="38"/>
  <c r="M103" i="38" s="1"/>
  <c r="J102" i="38"/>
  <c r="K102" i="38" s="1"/>
  <c r="I102" i="38"/>
  <c r="M102" i="38" s="1"/>
  <c r="J101" i="38"/>
  <c r="K101" i="38" s="1"/>
  <c r="I101" i="38"/>
  <c r="M101" i="38" s="1"/>
  <c r="J100" i="38"/>
  <c r="K100" i="38" s="1"/>
  <c r="I100" i="38"/>
  <c r="M100" i="38" s="1"/>
  <c r="J99" i="38"/>
  <c r="K99" i="38" s="1"/>
  <c r="I99" i="38"/>
  <c r="M99" i="38" s="1"/>
  <c r="J98" i="38"/>
  <c r="K98" i="38" s="1"/>
  <c r="I98" i="38"/>
  <c r="M98" i="38" s="1"/>
  <c r="J97" i="38"/>
  <c r="K97" i="38" s="1"/>
  <c r="I97" i="38"/>
  <c r="M97" i="38" s="1"/>
  <c r="J96" i="38"/>
  <c r="K96" i="38" s="1"/>
  <c r="I96" i="38"/>
  <c r="M96" i="38" s="1"/>
  <c r="J95" i="38"/>
  <c r="K95" i="38" s="1"/>
  <c r="I95" i="38"/>
  <c r="M95" i="38" s="1"/>
  <c r="J94" i="38"/>
  <c r="K94" i="38" s="1"/>
  <c r="I94" i="38"/>
  <c r="M94" i="38" s="1"/>
  <c r="J93" i="38"/>
  <c r="K93" i="38" s="1"/>
  <c r="I93" i="38"/>
  <c r="M93" i="38" s="1"/>
  <c r="J92" i="38"/>
  <c r="K92" i="38" s="1"/>
  <c r="I92" i="38"/>
  <c r="M92" i="38" s="1"/>
  <c r="J91" i="38"/>
  <c r="K91" i="38" s="1"/>
  <c r="I91" i="38"/>
  <c r="M91" i="38" s="1"/>
  <c r="J90" i="38"/>
  <c r="K90" i="38" s="1"/>
  <c r="I90" i="38"/>
  <c r="M90" i="38" s="1"/>
  <c r="J89" i="38"/>
  <c r="K89" i="38" s="1"/>
  <c r="I89" i="38"/>
  <c r="M89" i="38" s="1"/>
  <c r="J88" i="38"/>
  <c r="K88" i="38" s="1"/>
  <c r="I88" i="38"/>
  <c r="M88" i="38" s="1"/>
  <c r="J87" i="38"/>
  <c r="K87" i="38" s="1"/>
  <c r="I87" i="38"/>
  <c r="M87" i="38" s="1"/>
  <c r="J86" i="38"/>
  <c r="K86" i="38" s="1"/>
  <c r="I86" i="38"/>
  <c r="M86" i="38" s="1"/>
  <c r="J85" i="38"/>
  <c r="K85" i="38" s="1"/>
  <c r="I85" i="38"/>
  <c r="M85" i="38" s="1"/>
  <c r="J84" i="38"/>
  <c r="K84" i="38" s="1"/>
  <c r="I84" i="38"/>
  <c r="M84" i="38" s="1"/>
  <c r="J83" i="38"/>
  <c r="K83" i="38" s="1"/>
  <c r="I83" i="38"/>
  <c r="M83" i="38" s="1"/>
  <c r="J82" i="38"/>
  <c r="K82" i="38" s="1"/>
  <c r="I82" i="38"/>
  <c r="M82" i="38" s="1"/>
  <c r="J81" i="38"/>
  <c r="K81" i="38" s="1"/>
  <c r="I81" i="38"/>
  <c r="M81" i="38" s="1"/>
  <c r="J80" i="38"/>
  <c r="K80" i="38" s="1"/>
  <c r="I80" i="38"/>
  <c r="M80" i="38" s="1"/>
  <c r="J79" i="38"/>
  <c r="K79" i="38" s="1"/>
  <c r="I79" i="38"/>
  <c r="M79" i="38" s="1"/>
  <c r="A79" i="38" s="1"/>
  <c r="J78" i="38"/>
  <c r="K78" i="38" s="1"/>
  <c r="I78" i="38"/>
  <c r="M78" i="38" s="1"/>
  <c r="A78" i="38" s="1"/>
  <c r="J77" i="38"/>
  <c r="K77" i="38" s="1"/>
  <c r="I77" i="38"/>
  <c r="M77" i="38" s="1"/>
  <c r="A77" i="38" s="1"/>
  <c r="J76" i="38"/>
  <c r="K76" i="38" s="1"/>
  <c r="I76" i="38"/>
  <c r="M76" i="38" s="1"/>
  <c r="A76" i="38" s="1"/>
  <c r="J75" i="38"/>
  <c r="K75" i="38" s="1"/>
  <c r="I75" i="38"/>
  <c r="M75" i="38" s="1"/>
  <c r="A75" i="38" s="1"/>
  <c r="J74" i="38"/>
  <c r="K74" i="38" s="1"/>
  <c r="I74" i="38"/>
  <c r="M74" i="38" s="1"/>
  <c r="A74" i="38" s="1"/>
  <c r="J73" i="38"/>
  <c r="K73" i="38" s="1"/>
  <c r="I73" i="38"/>
  <c r="M73" i="38" s="1"/>
  <c r="A73" i="38" s="1"/>
  <c r="J72" i="38"/>
  <c r="K72" i="38" s="1"/>
  <c r="I72" i="38"/>
  <c r="M72" i="38" s="1"/>
  <c r="A72" i="38" s="1"/>
  <c r="J71" i="38"/>
  <c r="K71" i="38" s="1"/>
  <c r="I71" i="38"/>
  <c r="M71" i="38" s="1"/>
  <c r="J70" i="38"/>
  <c r="K70" i="38" s="1"/>
  <c r="I70" i="38"/>
  <c r="M70" i="38" s="1"/>
  <c r="A70" i="38" s="1"/>
  <c r="J69" i="38"/>
  <c r="K69" i="38" s="1"/>
  <c r="I69" i="38"/>
  <c r="M69" i="38" s="1"/>
  <c r="A69" i="38" s="1"/>
  <c r="J68" i="38"/>
  <c r="K68" i="38" s="1"/>
  <c r="I68" i="38"/>
  <c r="J67" i="38"/>
  <c r="K67" i="38" s="1"/>
  <c r="I67" i="38"/>
  <c r="J66" i="38"/>
  <c r="K66" i="38" s="1"/>
  <c r="I66" i="38"/>
  <c r="J65" i="38"/>
  <c r="K65" i="38" s="1"/>
  <c r="I65" i="38"/>
  <c r="M65" i="38" s="1"/>
  <c r="A65" i="38" s="1"/>
  <c r="B65" i="38"/>
  <c r="J64" i="38"/>
  <c r="K64" i="38" s="1"/>
  <c r="I64" i="38"/>
  <c r="B64" i="38"/>
  <c r="J63" i="38"/>
  <c r="K63" i="38" s="1"/>
  <c r="I63" i="38"/>
  <c r="M63" i="38" s="1"/>
  <c r="A63" i="38" s="1"/>
  <c r="B63" i="38"/>
  <c r="J62" i="38"/>
  <c r="K62" i="38" s="1"/>
  <c r="I62" i="38"/>
  <c r="M62" i="38" s="1"/>
  <c r="A62" i="38" s="1"/>
  <c r="B62" i="38"/>
  <c r="J61" i="38"/>
  <c r="K61" i="38" s="1"/>
  <c r="I61" i="38"/>
  <c r="B61" i="38"/>
  <c r="J60" i="38"/>
  <c r="K60" i="38" s="1"/>
  <c r="I60" i="38"/>
  <c r="B60" i="38"/>
  <c r="J59" i="38"/>
  <c r="K59" i="38" s="1"/>
  <c r="I59" i="38"/>
  <c r="B59" i="38"/>
  <c r="J58" i="38"/>
  <c r="K58" i="38" s="1"/>
  <c r="I58" i="38"/>
  <c r="B58" i="38"/>
  <c r="J57" i="38"/>
  <c r="K57" i="38" s="1"/>
  <c r="I57" i="38"/>
  <c r="M57" i="38" s="1"/>
  <c r="A57" i="38" s="1"/>
  <c r="B57" i="38"/>
  <c r="J56" i="38"/>
  <c r="K56" i="38" s="1"/>
  <c r="I56" i="38"/>
  <c r="B56" i="38"/>
  <c r="J55" i="38"/>
  <c r="K55" i="38" s="1"/>
  <c r="I55" i="38"/>
  <c r="M55" i="38" s="1"/>
  <c r="A55" i="38" s="1"/>
  <c r="B55" i="38"/>
  <c r="J54" i="38"/>
  <c r="K54" i="38" s="1"/>
  <c r="I54" i="38"/>
  <c r="M54" i="38" s="1"/>
  <c r="A54" i="38" s="1"/>
  <c r="B54" i="38"/>
  <c r="J53" i="38"/>
  <c r="K53" i="38" s="1"/>
  <c r="I53" i="38"/>
  <c r="M53" i="38" s="1"/>
  <c r="A53" i="38" s="1"/>
  <c r="B53" i="38"/>
  <c r="J52" i="38"/>
  <c r="K52" i="38" s="1"/>
  <c r="I52" i="38"/>
  <c r="B52" i="38"/>
  <c r="J51" i="38"/>
  <c r="K51" i="38" s="1"/>
  <c r="I51" i="38"/>
  <c r="B51" i="38"/>
  <c r="J50" i="38"/>
  <c r="K50" i="38" s="1"/>
  <c r="I50" i="38"/>
  <c r="B50" i="38"/>
  <c r="J49" i="38"/>
  <c r="K49" i="38" s="1"/>
  <c r="I49" i="38"/>
  <c r="B49" i="38"/>
  <c r="J48" i="38"/>
  <c r="K48" i="38" s="1"/>
  <c r="I48" i="38"/>
  <c r="B48" i="38"/>
  <c r="J47" i="38"/>
  <c r="K47" i="38" s="1"/>
  <c r="I47" i="38"/>
  <c r="M47" i="38" s="1"/>
  <c r="A47" i="38" s="1"/>
  <c r="B47" i="38"/>
  <c r="T46" i="38"/>
  <c r="R46" i="38"/>
  <c r="U46" i="38" s="1"/>
  <c r="J46" i="38"/>
  <c r="K46" i="38" s="1"/>
  <c r="I46" i="38"/>
  <c r="B46" i="38"/>
  <c r="J45" i="38"/>
  <c r="K45" i="38" s="1"/>
  <c r="I45" i="38"/>
  <c r="B45" i="38"/>
  <c r="J44" i="38"/>
  <c r="K44" i="38" s="1"/>
  <c r="I44" i="38"/>
  <c r="B44" i="38"/>
  <c r="J43" i="38"/>
  <c r="K43" i="38" s="1"/>
  <c r="I43" i="38"/>
  <c r="B43" i="38"/>
  <c r="J42" i="38"/>
  <c r="K42" i="38" s="1"/>
  <c r="I42" i="38"/>
  <c r="B42" i="38"/>
  <c r="J41" i="38"/>
  <c r="K41" i="38" s="1"/>
  <c r="I41" i="38"/>
  <c r="B41" i="38"/>
  <c r="J40" i="38"/>
  <c r="K40" i="38" s="1"/>
  <c r="I40" i="38"/>
  <c r="B40" i="38"/>
  <c r="J39" i="38"/>
  <c r="K39" i="38" s="1"/>
  <c r="I39" i="38"/>
  <c r="B39" i="38"/>
  <c r="J38" i="38"/>
  <c r="K38" i="38" s="1"/>
  <c r="I38" i="38"/>
  <c r="B38" i="38"/>
  <c r="J37" i="38"/>
  <c r="K37" i="38" s="1"/>
  <c r="I37" i="38"/>
  <c r="B37" i="38"/>
  <c r="J36" i="38"/>
  <c r="K36" i="38" s="1"/>
  <c r="I36" i="38"/>
  <c r="M36" i="38" s="1"/>
  <c r="A36" i="38" s="1"/>
  <c r="B36" i="38"/>
  <c r="J35" i="38"/>
  <c r="K35" i="38" s="1"/>
  <c r="I35" i="38"/>
  <c r="B35" i="38"/>
  <c r="J34" i="38"/>
  <c r="K34" i="38" s="1"/>
  <c r="I34" i="38"/>
  <c r="B34" i="38"/>
  <c r="J33" i="38"/>
  <c r="K33" i="38" s="1"/>
  <c r="I33" i="38"/>
  <c r="B33" i="38"/>
  <c r="J32" i="38"/>
  <c r="K32" i="38" s="1"/>
  <c r="I32" i="38"/>
  <c r="B32" i="38"/>
  <c r="J31" i="38"/>
  <c r="K31" i="38" s="1"/>
  <c r="I31" i="38"/>
  <c r="B31" i="38"/>
  <c r="J30" i="38"/>
  <c r="K30" i="38" s="1"/>
  <c r="I30" i="38"/>
  <c r="B30" i="38"/>
  <c r="J29" i="38"/>
  <c r="K29" i="38" s="1"/>
  <c r="I29" i="38"/>
  <c r="B29" i="38"/>
  <c r="J28" i="38"/>
  <c r="K28" i="38" s="1"/>
  <c r="I28" i="38"/>
  <c r="B28" i="38"/>
  <c r="J27" i="38"/>
  <c r="K27" i="38" s="1"/>
  <c r="I27" i="38"/>
  <c r="B27" i="38"/>
  <c r="J26" i="38"/>
  <c r="K26" i="38" s="1"/>
  <c r="I26" i="38"/>
  <c r="B26" i="38"/>
  <c r="J25" i="38"/>
  <c r="K25" i="38" s="1"/>
  <c r="I25" i="38"/>
  <c r="B25" i="38"/>
  <c r="J24" i="38"/>
  <c r="K24" i="38" s="1"/>
  <c r="I24" i="38"/>
  <c r="B24" i="38"/>
  <c r="J23" i="38"/>
  <c r="K23" i="38" s="1"/>
  <c r="I23" i="38"/>
  <c r="B23" i="38"/>
  <c r="J22" i="38"/>
  <c r="K22" i="38" s="1"/>
  <c r="I22" i="38"/>
  <c r="B22" i="38"/>
  <c r="J21" i="38"/>
  <c r="K21" i="38" s="1"/>
  <c r="I21" i="38"/>
  <c r="B21" i="38"/>
  <c r="J20" i="38"/>
  <c r="K20" i="38" s="1"/>
  <c r="I20" i="38"/>
  <c r="B20" i="38"/>
  <c r="J19" i="38"/>
  <c r="K19" i="38" s="1"/>
  <c r="I19" i="38"/>
  <c r="B19" i="38"/>
  <c r="J18" i="38"/>
  <c r="K18" i="38" s="1"/>
  <c r="I18" i="38"/>
  <c r="B18" i="38"/>
  <c r="J17" i="38"/>
  <c r="K17" i="38" s="1"/>
  <c r="I17" i="38"/>
  <c r="B17" i="38"/>
  <c r="J16" i="38"/>
  <c r="K16" i="38" s="1"/>
  <c r="I16" i="38"/>
  <c r="B16" i="38"/>
  <c r="J15" i="38"/>
  <c r="K15" i="38" s="1"/>
  <c r="I15" i="38"/>
  <c r="B15" i="38"/>
  <c r="AI14" i="38"/>
  <c r="J14" i="38"/>
  <c r="K14" i="38" s="1"/>
  <c r="I14" i="38"/>
  <c r="B14" i="38"/>
  <c r="AI13" i="38"/>
  <c r="J13" i="38"/>
  <c r="K13" i="38" s="1"/>
  <c r="I13" i="38"/>
  <c r="B13" i="38"/>
  <c r="AI12" i="38"/>
  <c r="J12" i="38"/>
  <c r="K12" i="38" s="1"/>
  <c r="I12" i="38"/>
  <c r="B12" i="38"/>
  <c r="J11" i="38"/>
  <c r="K11" i="38" s="1"/>
  <c r="I11" i="38"/>
  <c r="B11" i="38"/>
  <c r="J10" i="38"/>
  <c r="K10" i="38" s="1"/>
  <c r="I10" i="38"/>
  <c r="B10" i="38"/>
  <c r="J9" i="38"/>
  <c r="K9" i="38" s="1"/>
  <c r="I9" i="38"/>
  <c r="B9" i="38"/>
  <c r="J8" i="38"/>
  <c r="K8" i="38" s="1"/>
  <c r="I8" i="38"/>
  <c r="B8" i="38"/>
  <c r="J7" i="38"/>
  <c r="K7" i="38" s="1"/>
  <c r="I7" i="38"/>
  <c r="B7" i="38"/>
  <c r="J6" i="38"/>
  <c r="K6" i="38" s="1"/>
  <c r="I6" i="38"/>
  <c r="B6" i="38"/>
  <c r="K2" i="38"/>
  <c r="A6" i="31"/>
  <c r="A23" i="31"/>
  <c r="A12" i="31"/>
  <c r="A28" i="31"/>
  <c r="A16" i="31"/>
  <c r="A14" i="31"/>
  <c r="A20" i="31"/>
  <c r="A9" i="31"/>
  <c r="A10" i="31"/>
  <c r="A21" i="31"/>
  <c r="A7" i="31"/>
  <c r="A8" i="31"/>
  <c r="M16" i="39" l="1"/>
  <c r="M24" i="39"/>
  <c r="N24" i="39" s="1"/>
  <c r="A24" i="39" s="1"/>
  <c r="M96" i="39"/>
  <c r="N96" i="39" s="1"/>
  <c r="A96" i="39" s="1"/>
  <c r="M25" i="39"/>
  <c r="N25" i="39" s="1"/>
  <c r="A25" i="39" s="1"/>
  <c r="M61" i="39"/>
  <c r="M93" i="39"/>
  <c r="M8" i="46"/>
  <c r="M19" i="46"/>
  <c r="A19" i="46" s="1"/>
  <c r="AE26" i="31"/>
  <c r="L9" i="46"/>
  <c r="L8" i="46"/>
  <c r="AE9" i="31"/>
  <c r="M23" i="46"/>
  <c r="A23" i="46" s="1"/>
  <c r="M14" i="46"/>
  <c r="A14" i="46" s="1"/>
  <c r="L6" i="46"/>
  <c r="M22" i="46"/>
  <c r="A22" i="46" s="1"/>
  <c r="M28" i="45"/>
  <c r="M34" i="45"/>
  <c r="M37" i="45"/>
  <c r="M40" i="45"/>
  <c r="M43" i="45"/>
  <c r="M17" i="45"/>
  <c r="M6" i="45"/>
  <c r="L8" i="45"/>
  <c r="M8" i="45" s="1"/>
  <c r="M32" i="45"/>
  <c r="M49" i="45"/>
  <c r="M11" i="45"/>
  <c r="M21" i="45"/>
  <c r="M7" i="45"/>
  <c r="M24" i="45"/>
  <c r="M30" i="45"/>
  <c r="M33" i="45"/>
  <c r="U46" i="45"/>
  <c r="M36" i="45"/>
  <c r="M39" i="45"/>
  <c r="M42" i="45"/>
  <c r="M45" i="45"/>
  <c r="M23" i="44"/>
  <c r="A23" i="44" s="1"/>
  <c r="M24" i="44"/>
  <c r="A24" i="44" s="1"/>
  <c r="M13" i="44"/>
  <c r="A13" i="44" s="1"/>
  <c r="M16" i="44"/>
  <c r="A16" i="44" s="1"/>
  <c r="M33" i="44"/>
  <c r="A33" i="44" s="1"/>
  <c r="M9" i="44"/>
  <c r="A9" i="44" s="1"/>
  <c r="M14" i="44"/>
  <c r="A14" i="44" s="1"/>
  <c r="M26" i="44"/>
  <c r="A26" i="44" s="1"/>
  <c r="L6" i="42"/>
  <c r="M6" i="42" s="1"/>
  <c r="A6" i="42" s="1"/>
  <c r="M8" i="42"/>
  <c r="A8" i="42" s="1"/>
  <c r="M9" i="42"/>
  <c r="A9" i="42" s="1"/>
  <c r="L10" i="31"/>
  <c r="M6" i="41"/>
  <c r="A6" i="41" s="1"/>
  <c r="L23" i="31"/>
  <c r="M12" i="41"/>
  <c r="M10" i="41"/>
  <c r="M13" i="41"/>
  <c r="M11" i="41"/>
  <c r="L26" i="31"/>
  <c r="M66" i="38"/>
  <c r="A66" i="38" s="1"/>
  <c r="M67" i="38"/>
  <c r="A67" i="38" s="1"/>
  <c r="Y12" i="31"/>
  <c r="Y9" i="31"/>
  <c r="Y15" i="31"/>
  <c r="Y17" i="31"/>
  <c r="Y28" i="31"/>
  <c r="Y11" i="31"/>
  <c r="Y30" i="31"/>
  <c r="Y19" i="31"/>
  <c r="Y10" i="31"/>
  <c r="Y13" i="31"/>
  <c r="Y6" i="31"/>
  <c r="Y29" i="31"/>
  <c r="Y8" i="31"/>
  <c r="Y26" i="31"/>
  <c r="Y23" i="31"/>
  <c r="Y21" i="31"/>
  <c r="Y16" i="31"/>
  <c r="Y20" i="31"/>
  <c r="M32" i="38"/>
  <c r="A32" i="38" s="1"/>
  <c r="M40" i="38"/>
  <c r="A40" i="38" s="1"/>
  <c r="M58" i="38"/>
  <c r="A58" i="38" s="1"/>
  <c r="M59" i="38"/>
  <c r="A59" i="38" s="1"/>
  <c r="M68" i="38"/>
  <c r="A68" i="38" s="1"/>
  <c r="M44" i="43"/>
  <c r="A44" i="43" s="1"/>
  <c r="M11" i="43"/>
  <c r="A11" i="43" s="1"/>
  <c r="M17" i="43"/>
  <c r="A17" i="43" s="1"/>
  <c r="M20" i="43"/>
  <c r="A20" i="43" s="1"/>
  <c r="M25" i="43"/>
  <c r="A25" i="43" s="1"/>
  <c r="M28" i="43"/>
  <c r="A28" i="43" s="1"/>
  <c r="M40" i="43"/>
  <c r="A40" i="43" s="1"/>
  <c r="U46" i="43"/>
  <c r="M49" i="43"/>
  <c r="A49" i="43" s="1"/>
  <c r="M56" i="43"/>
  <c r="A56" i="43" s="1"/>
  <c r="M33" i="43"/>
  <c r="A33" i="43" s="1"/>
  <c r="M16" i="43"/>
  <c r="A16" i="43" s="1"/>
  <c r="M12" i="43"/>
  <c r="A12" i="43" s="1"/>
  <c r="M14" i="43"/>
  <c r="A14" i="43" s="1"/>
  <c r="M50" i="43"/>
  <c r="A50" i="43" s="1"/>
  <c r="M57" i="43"/>
  <c r="A57" i="43" s="1"/>
  <c r="M6" i="46"/>
  <c r="A6" i="46" s="1"/>
  <c r="M11" i="46"/>
  <c r="A11" i="46" s="1"/>
  <c r="M24" i="46"/>
  <c r="A24" i="46" s="1"/>
  <c r="AE14" i="31"/>
  <c r="AE29" i="31"/>
  <c r="AE12" i="31"/>
  <c r="AE19" i="31"/>
  <c r="M29" i="46"/>
  <c r="A29" i="46" s="1"/>
  <c r="AE23" i="31"/>
  <c r="AE13" i="31"/>
  <c r="AE10" i="31"/>
  <c r="AE15" i="31"/>
  <c r="M7" i="46"/>
  <c r="A7" i="46" s="1"/>
  <c r="AE21" i="31"/>
  <c r="M17" i="46"/>
  <c r="A17" i="46" s="1"/>
  <c r="AE20" i="31"/>
  <c r="AE30" i="31"/>
  <c r="M26" i="46"/>
  <c r="A26" i="46" s="1"/>
  <c r="M28" i="46"/>
  <c r="A28" i="46" s="1"/>
  <c r="AE28" i="31"/>
  <c r="AE11" i="31"/>
  <c r="N7" i="31"/>
  <c r="N12" i="31"/>
  <c r="N13" i="31"/>
  <c r="N26" i="31"/>
  <c r="N29" i="31"/>
  <c r="N21" i="31"/>
  <c r="N15" i="31"/>
  <c r="N23" i="31"/>
  <c r="N17" i="31"/>
  <c r="N20" i="31"/>
  <c r="N16" i="31"/>
  <c r="N19" i="31"/>
  <c r="M13" i="42"/>
  <c r="A13" i="42" s="1"/>
  <c r="N8" i="31"/>
  <c r="N14" i="31"/>
  <c r="N11" i="31"/>
  <c r="N10" i="31"/>
  <c r="N6" i="31"/>
  <c r="N30" i="31"/>
  <c r="N28" i="31"/>
  <c r="M18" i="44"/>
  <c r="A18" i="44" s="1"/>
  <c r="M28" i="44"/>
  <c r="A28" i="44" s="1"/>
  <c r="M12" i="44"/>
  <c r="A12" i="44" s="1"/>
  <c r="AA21" i="31"/>
  <c r="AA26" i="31"/>
  <c r="M22" i="44"/>
  <c r="A22" i="44" s="1"/>
  <c r="AA20" i="31"/>
  <c r="AA16" i="31"/>
  <c r="AA30" i="31"/>
  <c r="AA10" i="31"/>
  <c r="AA9" i="31"/>
  <c r="AA28" i="31"/>
  <c r="AA11" i="31"/>
  <c r="AA17" i="31"/>
  <c r="AA8" i="31"/>
  <c r="AA14" i="31"/>
  <c r="AA29" i="31"/>
  <c r="AA15" i="31"/>
  <c r="AA7" i="31"/>
  <c r="AA12" i="31"/>
  <c r="AA6" i="31"/>
  <c r="M15" i="44"/>
  <c r="A15" i="44" s="1"/>
  <c r="M17" i="44"/>
  <c r="A17" i="44" s="1"/>
  <c r="M19" i="44"/>
  <c r="A19" i="44" s="1"/>
  <c r="AA23" i="31"/>
  <c r="AA13" i="31"/>
  <c r="M13" i="43"/>
  <c r="A13" i="43" s="1"/>
  <c r="M15" i="43"/>
  <c r="A15" i="43" s="1"/>
  <c r="M18" i="43"/>
  <c r="A18" i="43" s="1"/>
  <c r="M22" i="43"/>
  <c r="A22" i="43" s="1"/>
  <c r="M27" i="43"/>
  <c r="A27" i="43" s="1"/>
  <c r="M31" i="43"/>
  <c r="A31" i="43" s="1"/>
  <c r="M35" i="43"/>
  <c r="A35" i="43" s="1"/>
  <c r="M39" i="43"/>
  <c r="A39" i="43" s="1"/>
  <c r="M15" i="41"/>
  <c r="L17" i="31"/>
  <c r="L11" i="31"/>
  <c r="L7" i="41"/>
  <c r="M7" i="41" s="1"/>
  <c r="L12" i="31"/>
  <c r="L16" i="31"/>
  <c r="L28" i="31"/>
  <c r="M16" i="41"/>
  <c r="L21" i="31"/>
  <c r="L13" i="31"/>
  <c r="L19" i="31"/>
  <c r="L20" i="31"/>
  <c r="L15" i="31"/>
  <c r="L8" i="31"/>
  <c r="L6" i="31"/>
  <c r="L30" i="31"/>
  <c r="L8" i="41"/>
  <c r="M8" i="41" s="1"/>
  <c r="L29" i="31"/>
  <c r="L9" i="38"/>
  <c r="M9" i="38" s="1"/>
  <c r="A9" i="38" s="1"/>
  <c r="L6" i="38"/>
  <c r="M12" i="38"/>
  <c r="A12" i="38" s="1"/>
  <c r="Y7" i="31" s="1"/>
  <c r="M38" i="38"/>
  <c r="A38" i="38" s="1"/>
  <c r="M46" i="38"/>
  <c r="A46" i="38" s="1"/>
  <c r="M48" i="38"/>
  <c r="A48" i="38" s="1"/>
  <c r="M41" i="38"/>
  <c r="A41" i="38" s="1"/>
  <c r="M39" i="38"/>
  <c r="A39" i="38" s="1"/>
  <c r="M14" i="38"/>
  <c r="A14" i="38" s="1"/>
  <c r="M19" i="38"/>
  <c r="A19" i="38" s="1"/>
  <c r="M27" i="38"/>
  <c r="A27" i="38" s="1"/>
  <c r="M35" i="38"/>
  <c r="A35" i="38" s="1"/>
  <c r="M52" i="38"/>
  <c r="A52" i="38" s="1"/>
  <c r="M33" i="38"/>
  <c r="A33" i="38" s="1"/>
  <c r="M50" i="38"/>
  <c r="A50" i="38" s="1"/>
  <c r="M60" i="38"/>
  <c r="A60" i="38" s="1"/>
  <c r="L8" i="38"/>
  <c r="M18" i="38"/>
  <c r="A18" i="38" s="1"/>
  <c r="M26" i="38"/>
  <c r="A26" i="38" s="1"/>
  <c r="M34" i="38"/>
  <c r="A34" i="38" s="1"/>
  <c r="M44" i="38"/>
  <c r="A44" i="38" s="1"/>
  <c r="M51" i="38"/>
  <c r="A51" i="38" s="1"/>
  <c r="M61" i="38"/>
  <c r="A61" i="38" s="1"/>
  <c r="M29" i="38"/>
  <c r="A29" i="38" s="1"/>
  <c r="M37" i="38"/>
  <c r="A37" i="38" s="1"/>
  <c r="M42" i="38"/>
  <c r="A42" i="38" s="1"/>
  <c r="M49" i="38"/>
  <c r="A49" i="38" s="1"/>
  <c r="M56" i="38"/>
  <c r="A56" i="38" s="1"/>
  <c r="Y14" i="31" s="1"/>
  <c r="M64" i="38"/>
  <c r="A64" i="38" s="1"/>
  <c r="L8" i="44"/>
  <c r="M8" i="44" s="1"/>
  <c r="A8" i="44" s="1"/>
  <c r="L7" i="44"/>
  <c r="M7" i="44" s="1"/>
  <c r="A7" i="44" s="1"/>
  <c r="L6" i="44"/>
  <c r="M6" i="44" s="1"/>
  <c r="A6" i="44" s="1"/>
  <c r="L8" i="43"/>
  <c r="M8" i="43" s="1"/>
  <c r="A8" i="43" s="1"/>
  <c r="L6" i="43"/>
  <c r="M6" i="43" s="1"/>
  <c r="A6" i="43" s="1"/>
  <c r="L7" i="43"/>
  <c r="M7" i="43" s="1"/>
  <c r="A7" i="43" s="1"/>
  <c r="L9" i="43"/>
  <c r="M9" i="43" s="1"/>
  <c r="A9" i="43" s="1"/>
  <c r="L7" i="38"/>
  <c r="M7" i="38" s="1"/>
  <c r="A7" i="38" s="1"/>
  <c r="M31" i="38"/>
  <c r="A31" i="38" s="1"/>
  <c r="M23" i="38"/>
  <c r="A23" i="38" s="1"/>
  <c r="M30" i="38"/>
  <c r="A30" i="38" s="1"/>
  <c r="M15" i="38"/>
  <c r="A15" i="38" s="1"/>
  <c r="M6" i="38"/>
  <c r="A6" i="38" s="1"/>
  <c r="M8" i="38"/>
  <c r="A8" i="38" s="1"/>
  <c r="L9" i="39"/>
  <c r="M9" i="39" s="1"/>
  <c r="N9" i="39" s="1"/>
  <c r="A9" i="39" s="1"/>
  <c r="L8" i="39"/>
  <c r="M8" i="39" s="1"/>
  <c r="N8" i="39" s="1"/>
  <c r="A8" i="39" s="1"/>
  <c r="L7" i="39"/>
  <c r="M7" i="39" s="1"/>
  <c r="N7" i="39" s="1"/>
  <c r="A7" i="39" s="1"/>
  <c r="L6" i="39"/>
  <c r="M6" i="39" s="1"/>
  <c r="N6" i="39" s="1"/>
  <c r="A6" i="39" s="1"/>
  <c r="M10" i="39"/>
  <c r="N10" i="39" s="1"/>
  <c r="A10" i="39" s="1"/>
  <c r="M11" i="39"/>
  <c r="N11" i="39" s="1"/>
  <c r="A11" i="39" s="1"/>
  <c r="M12" i="39"/>
  <c r="N12" i="39" s="1"/>
  <c r="A12" i="39" s="1"/>
  <c r="M13" i="39"/>
  <c r="N13" i="39" s="1"/>
  <c r="A13" i="39" s="1"/>
  <c r="M15" i="39"/>
  <c r="M21" i="39"/>
  <c r="N21" i="39" s="1"/>
  <c r="A21" i="39" s="1"/>
  <c r="M22" i="39"/>
  <c r="N22" i="39" s="1"/>
  <c r="A22" i="39" s="1"/>
  <c r="M23" i="39"/>
  <c r="N23" i="39" s="1"/>
  <c r="A23" i="39" s="1"/>
  <c r="M29" i="39"/>
  <c r="M30" i="39"/>
  <c r="N30" i="39" s="1"/>
  <c r="A30" i="39" s="1"/>
  <c r="M31" i="39"/>
  <c r="N31" i="39" s="1"/>
  <c r="A31" i="39" s="1"/>
  <c r="M32" i="39"/>
  <c r="N32" i="39" s="1"/>
  <c r="A32" i="39" s="1"/>
  <c r="M38" i="39"/>
  <c r="N38" i="39" s="1"/>
  <c r="A38" i="39" s="1"/>
  <c r="M39" i="39"/>
  <c r="N39" i="39" s="1"/>
  <c r="A39" i="39" s="1"/>
  <c r="M40" i="39"/>
  <c r="N40" i="39" s="1"/>
  <c r="A40" i="39" s="1"/>
  <c r="M46" i="39"/>
  <c r="N46" i="39" s="1"/>
  <c r="A46" i="39" s="1"/>
  <c r="M47" i="39"/>
  <c r="N47" i="39" s="1"/>
  <c r="A47" i="39" s="1"/>
  <c r="M48" i="39"/>
  <c r="N48" i="39" s="1"/>
  <c r="A48" i="39" s="1"/>
  <c r="M55" i="39"/>
  <c r="N55" i="39" s="1"/>
  <c r="A55" i="39" s="1"/>
  <c r="M56" i="39"/>
  <c r="N56" i="39" s="1"/>
  <c r="A56" i="39" s="1"/>
  <c r="M64" i="39"/>
  <c r="N64" i="39" s="1"/>
  <c r="A64" i="39" s="1"/>
  <c r="M72" i="39"/>
  <c r="N72" i="39" s="1"/>
  <c r="A72" i="39" s="1"/>
  <c r="M79" i="39"/>
  <c r="N79" i="39" s="1"/>
  <c r="A79" i="39" s="1"/>
  <c r="M80" i="39"/>
  <c r="M87" i="39"/>
  <c r="N87" i="39" s="1"/>
  <c r="A87" i="39" s="1"/>
  <c r="M88" i="39"/>
  <c r="N88" i="39" s="1"/>
  <c r="A88" i="39" s="1"/>
  <c r="M95" i="39"/>
  <c r="N95" i="39" s="1"/>
  <c r="A95" i="39" s="1"/>
  <c r="M97" i="39"/>
  <c r="N97" i="39"/>
  <c r="A97" i="39" s="1"/>
  <c r="M101" i="39"/>
  <c r="M102" i="39"/>
  <c r="N102" i="39" s="1"/>
  <c r="A102" i="39" s="1"/>
  <c r="M103" i="39"/>
  <c r="N103" i="39" s="1"/>
  <c r="A103" i="39" s="1"/>
  <c r="M104" i="39"/>
  <c r="N104" i="39" s="1"/>
  <c r="A104" i="39" s="1"/>
  <c r="M109" i="39"/>
  <c r="M110" i="39"/>
  <c r="N110" i="39" s="1"/>
  <c r="A110" i="39" s="1"/>
  <c r="M111" i="39"/>
  <c r="N111" i="39" s="1"/>
  <c r="A111" i="39" s="1"/>
  <c r="M112" i="39"/>
  <c r="N112" i="39" s="1"/>
  <c r="A112" i="39" s="1"/>
  <c r="M119" i="39"/>
  <c r="N119" i="39" s="1"/>
  <c r="M120" i="39"/>
  <c r="M126" i="39"/>
  <c r="M127" i="39"/>
  <c r="N127" i="39" s="1"/>
  <c r="A127" i="39" s="1"/>
  <c r="M128" i="39"/>
  <c r="N128" i="39" s="1"/>
  <c r="A128" i="39" s="1"/>
  <c r="M133" i="39"/>
  <c r="N133" i="39" s="1"/>
  <c r="A133" i="39" s="1"/>
  <c r="M144" i="39"/>
  <c r="M146" i="39"/>
  <c r="M156" i="39"/>
  <c r="M168" i="39"/>
  <c r="M169" i="39"/>
  <c r="N169" i="39"/>
  <c r="A169" i="39" s="1"/>
  <c r="M173" i="39"/>
  <c r="M178" i="39"/>
  <c r="M180" i="39"/>
  <c r="M186" i="39"/>
  <c r="M188" i="39"/>
  <c r="M196" i="39"/>
  <c r="M197" i="39"/>
  <c r="M200" i="39"/>
  <c r="M205" i="39"/>
  <c r="M206" i="39"/>
  <c r="N206" i="39" s="1"/>
  <c r="A206" i="39" s="1"/>
  <c r="M212" i="39"/>
  <c r="M213" i="39"/>
  <c r="M218" i="39"/>
  <c r="M220" i="39"/>
  <c r="M228" i="39"/>
  <c r="M229" i="39"/>
  <c r="M232" i="39"/>
  <c r="M237" i="39"/>
  <c r="M238" i="39"/>
  <c r="N238" i="39" s="1"/>
  <c r="A238" i="39" s="1"/>
  <c r="M244" i="39"/>
  <c r="M245" i="39"/>
  <c r="N257" i="39"/>
  <c r="A257" i="39" s="1"/>
  <c r="M257" i="39"/>
  <c r="N261" i="39"/>
  <c r="A261" i="39" s="1"/>
  <c r="M261" i="39"/>
  <c r="N262" i="39"/>
  <c r="A262" i="39" s="1"/>
  <c r="M262" i="39"/>
  <c r="N263" i="39"/>
  <c r="A263" i="39" s="1"/>
  <c r="M263" i="39"/>
  <c r="N265" i="39"/>
  <c r="A265" i="39" s="1"/>
  <c r="M265" i="39"/>
  <c r="N266" i="39"/>
  <c r="A266" i="39" s="1"/>
  <c r="M266" i="39"/>
  <c r="N275" i="39"/>
  <c r="A275" i="39" s="1"/>
  <c r="M275" i="39"/>
  <c r="N278" i="39"/>
  <c r="A278" i="39" s="1"/>
  <c r="M278" i="39"/>
  <c r="N284" i="39"/>
  <c r="A284" i="39" s="1"/>
  <c r="M284" i="39"/>
  <c r="N292" i="39"/>
  <c r="A292" i="39" s="1"/>
  <c r="M292" i="39"/>
  <c r="N293" i="39"/>
  <c r="A293" i="39" s="1"/>
  <c r="M293" i="39"/>
  <c r="N300" i="39"/>
  <c r="A300" i="39" s="1"/>
  <c r="M300" i="39"/>
  <c r="N301" i="39"/>
  <c r="A301" i="39" s="1"/>
  <c r="M301" i="39"/>
  <c r="M43" i="38"/>
  <c r="A43" i="38" s="1"/>
  <c r="M11" i="38"/>
  <c r="A11" i="38" s="1"/>
  <c r="M13" i="38"/>
  <c r="A13" i="38" s="1"/>
  <c r="M22" i="38"/>
  <c r="A22" i="38" s="1"/>
  <c r="M45" i="38"/>
  <c r="A45" i="38" s="1"/>
  <c r="N15" i="39"/>
  <c r="A15" i="39" s="1"/>
  <c r="M63" i="39"/>
  <c r="N63" i="39" s="1"/>
  <c r="A63" i="39" s="1"/>
  <c r="N168" i="39"/>
  <c r="A168" i="39" s="1"/>
  <c r="N244" i="39"/>
  <c r="A244" i="39" s="1"/>
  <c r="M71" i="39"/>
  <c r="N71" i="39" s="1"/>
  <c r="A71" i="39" s="1"/>
  <c r="M14" i="39"/>
  <c r="N14" i="39" s="1"/>
  <c r="A14" i="39" s="1"/>
  <c r="N120" i="39"/>
  <c r="A120" i="39" s="1"/>
  <c r="M181" i="39"/>
  <c r="N80" i="39"/>
  <c r="A80" i="39" s="1"/>
  <c r="N126" i="39"/>
  <c r="A126" i="39" s="1"/>
  <c r="M204" i="39"/>
  <c r="N204" i="39" s="1"/>
  <c r="A204" i="39" s="1"/>
  <c r="M41" i="39"/>
  <c r="M78" i="39"/>
  <c r="N78" i="39" s="1"/>
  <c r="A78" i="39" s="1"/>
  <c r="M86" i="39"/>
  <c r="N86" i="39" s="1"/>
  <c r="A86" i="39" s="1"/>
  <c r="M145" i="39"/>
  <c r="M149" i="39"/>
  <c r="M153" i="39"/>
  <c r="M155" i="39"/>
  <c r="N155" i="39" s="1"/>
  <c r="A155" i="39" s="1"/>
  <c r="N158" i="39"/>
  <c r="A158" i="39" s="1"/>
  <c r="M175" i="39"/>
  <c r="N176" i="39"/>
  <c r="A176" i="39" s="1"/>
  <c r="N178" i="39"/>
  <c r="A178" i="39" s="1"/>
  <c r="N184" i="39"/>
  <c r="A184" i="39" s="1"/>
  <c r="N186" i="39"/>
  <c r="A186" i="39" s="1"/>
  <c r="M209" i="39"/>
  <c r="N209" i="39" s="1"/>
  <c r="A209" i="39" s="1"/>
  <c r="N229" i="39"/>
  <c r="A229" i="39" s="1"/>
  <c r="N230" i="39"/>
  <c r="A230" i="39" s="1"/>
  <c r="N232" i="39"/>
  <c r="A232" i="39" s="1"/>
  <c r="M256" i="39"/>
  <c r="N256" i="39" s="1"/>
  <c r="A256" i="39" s="1"/>
  <c r="M260" i="39"/>
  <c r="M264" i="39"/>
  <c r="N268" i="39"/>
  <c r="A268" i="39" s="1"/>
  <c r="N272" i="39"/>
  <c r="A272" i="39" s="1"/>
  <c r="N276" i="39"/>
  <c r="A276" i="39" s="1"/>
  <c r="N280" i="39"/>
  <c r="A280" i="39" s="1"/>
  <c r="M282" i="39"/>
  <c r="M286" i="39"/>
  <c r="N288" i="39"/>
  <c r="A288" i="39" s="1"/>
  <c r="M297" i="39"/>
  <c r="M304" i="39"/>
  <c r="M201" i="39"/>
  <c r="N201" i="39" s="1"/>
  <c r="A201" i="39" s="1"/>
  <c r="N236" i="39"/>
  <c r="A236" i="39" s="1"/>
  <c r="M239" i="39"/>
  <c r="M247" i="39"/>
  <c r="M161" i="39"/>
  <c r="N161" i="39" s="1"/>
  <c r="A161" i="39" s="1"/>
  <c r="M193" i="39"/>
  <c r="N193" i="39" s="1"/>
  <c r="A193" i="39" s="1"/>
  <c r="N213" i="39"/>
  <c r="A213" i="39" s="1"/>
  <c r="N228" i="39"/>
  <c r="A228" i="39" s="1"/>
  <c r="M231" i="39"/>
  <c r="N41" i="39"/>
  <c r="A41" i="39" s="1"/>
  <c r="M57" i="39"/>
  <c r="N57" i="39" s="1"/>
  <c r="A57" i="39" s="1"/>
  <c r="N152" i="39"/>
  <c r="A152" i="39" s="1"/>
  <c r="N153" i="39"/>
  <c r="A153" i="39" s="1"/>
  <c r="M157" i="39"/>
  <c r="N157" i="39" s="1"/>
  <c r="A157" i="39" s="1"/>
  <c r="M172" i="39"/>
  <c r="N172" i="39" s="1"/>
  <c r="A172" i="39" s="1"/>
  <c r="M177" i="39"/>
  <c r="N177" i="39" s="1"/>
  <c r="A177" i="39" s="1"/>
  <c r="M185" i="39"/>
  <c r="N185" i="39" s="1"/>
  <c r="A185" i="39" s="1"/>
  <c r="M198" i="39"/>
  <c r="N198" i="39" s="1"/>
  <c r="A198" i="39" s="1"/>
  <c r="N205" i="39"/>
  <c r="A205" i="39" s="1"/>
  <c r="N208" i="39"/>
  <c r="A208" i="39" s="1"/>
  <c r="N220" i="39"/>
  <c r="A220" i="39" s="1"/>
  <c r="M223" i="39"/>
  <c r="N223" i="39" s="1"/>
  <c r="A223" i="39" s="1"/>
  <c r="M224" i="39"/>
  <c r="N224" i="39" s="1"/>
  <c r="A224" i="39" s="1"/>
  <c r="N226" i="39"/>
  <c r="A226" i="39" s="1"/>
  <c r="M242" i="39"/>
  <c r="N242" i="39" s="1"/>
  <c r="A242" i="39" s="1"/>
  <c r="M250" i="39"/>
  <c r="N250" i="39" s="1"/>
  <c r="A250" i="39" s="1"/>
  <c r="M271" i="39"/>
  <c r="M283" i="39"/>
  <c r="M285" i="39"/>
  <c r="M287" i="39"/>
  <c r="N16" i="39"/>
  <c r="A16" i="39" s="1"/>
  <c r="M49" i="39"/>
  <c r="N49" i="39" s="1"/>
  <c r="A49" i="39" s="1"/>
  <c r="M65" i="39"/>
  <c r="N65" i="39" s="1"/>
  <c r="A65" i="39" s="1"/>
  <c r="M69" i="39"/>
  <c r="N69" i="39" s="1"/>
  <c r="A69" i="39" s="1"/>
  <c r="M148" i="39"/>
  <c r="N156" i="39"/>
  <c r="A156" i="39" s="1"/>
  <c r="N163" i="39"/>
  <c r="A163" i="39" s="1"/>
  <c r="M179" i="39"/>
  <c r="N179" i="39" s="1"/>
  <c r="A179" i="39" s="1"/>
  <c r="N197" i="39"/>
  <c r="A197" i="39" s="1"/>
  <c r="N200" i="39"/>
  <c r="A200" i="39" s="1"/>
  <c r="N212" i="39"/>
  <c r="A212" i="39" s="1"/>
  <c r="M215" i="39"/>
  <c r="N215" i="39" s="1"/>
  <c r="A215" i="39" s="1"/>
  <c r="M216" i="39"/>
  <c r="N216" i="39" s="1"/>
  <c r="A216" i="39" s="1"/>
  <c r="N218" i="39"/>
  <c r="A218" i="39" s="1"/>
  <c r="M221" i="39"/>
  <c r="N221" i="39" s="1"/>
  <c r="A221" i="39" s="1"/>
  <c r="M234" i="39"/>
  <c r="N234" i="39" s="1"/>
  <c r="A234" i="39" s="1"/>
  <c r="M236" i="39"/>
  <c r="N239" i="39"/>
  <c r="A239" i="39" s="1"/>
  <c r="M241" i="39"/>
  <c r="N241" i="39" s="1"/>
  <c r="A241" i="39" s="1"/>
  <c r="N247" i="39"/>
  <c r="A247" i="39" s="1"/>
  <c r="M249" i="39"/>
  <c r="N249" i="39" s="1"/>
  <c r="A249" i="39" s="1"/>
  <c r="N251" i="39"/>
  <c r="A251" i="39" s="1"/>
  <c r="M255" i="39"/>
  <c r="N255" i="39" s="1"/>
  <c r="A255" i="39" s="1"/>
  <c r="M259" i="39"/>
  <c r="N259" i="39" s="1"/>
  <c r="A259" i="39" s="1"/>
  <c r="M267" i="39"/>
  <c r="M269" i="39"/>
  <c r="M273" i="39"/>
  <c r="M277" i="39"/>
  <c r="M279" i="39"/>
  <c r="M281" i="39"/>
  <c r="M289" i="39"/>
  <c r="M296" i="39"/>
  <c r="N181" i="39"/>
  <c r="A181" i="39" s="1"/>
  <c r="N189" i="39"/>
  <c r="A189" i="39" s="1"/>
  <c r="M207" i="39"/>
  <c r="N207" i="39" s="1"/>
  <c r="A207" i="39" s="1"/>
  <c r="N231" i="39"/>
  <c r="A231" i="39" s="1"/>
  <c r="M233" i="39"/>
  <c r="N233" i="39" s="1"/>
  <c r="A233" i="39" s="1"/>
  <c r="M17" i="39"/>
  <c r="N17" i="39" s="1"/>
  <c r="A17" i="39" s="1"/>
  <c r="M54" i="39"/>
  <c r="N54" i="39" s="1"/>
  <c r="A54" i="39" s="1"/>
  <c r="M81" i="39"/>
  <c r="N81" i="39" s="1"/>
  <c r="A81" i="39" s="1"/>
  <c r="M94" i="39"/>
  <c r="N94" i="39" s="1"/>
  <c r="A94" i="39" s="1"/>
  <c r="M140" i="39"/>
  <c r="N140" i="39" s="1"/>
  <c r="A140" i="39" s="1"/>
  <c r="M142" i="39"/>
  <c r="N142" i="39" s="1"/>
  <c r="A142" i="39" s="1"/>
  <c r="N160" i="39"/>
  <c r="A160" i="39" s="1"/>
  <c r="N164" i="39"/>
  <c r="A164" i="39" s="1"/>
  <c r="N173" i="39"/>
  <c r="A173" i="39" s="1"/>
  <c r="N196" i="39"/>
  <c r="A196" i="39" s="1"/>
  <c r="M199" i="39"/>
  <c r="N199" i="39" s="1"/>
  <c r="A199" i="39" s="1"/>
  <c r="N202" i="39"/>
  <c r="A202" i="39" s="1"/>
  <c r="M225" i="39"/>
  <c r="N225" i="39" s="1"/>
  <c r="A225" i="39" s="1"/>
  <c r="M33" i="39"/>
  <c r="N33" i="39" s="1"/>
  <c r="A33" i="39" s="1"/>
  <c r="M73" i="39"/>
  <c r="N73" i="39" s="1"/>
  <c r="A73" i="39" s="1"/>
  <c r="M62" i="39"/>
  <c r="N62" i="39" s="1"/>
  <c r="A62" i="39" s="1"/>
  <c r="M70" i="39"/>
  <c r="N70" i="39" s="1"/>
  <c r="A70" i="39" s="1"/>
  <c r="M136" i="39"/>
  <c r="N136" i="39" s="1"/>
  <c r="A136" i="39" s="1"/>
  <c r="N180" i="39"/>
  <c r="A180" i="39" s="1"/>
  <c r="M183" i="39"/>
  <c r="N183" i="39" s="1"/>
  <c r="A183" i="39" s="1"/>
  <c r="N188" i="39"/>
  <c r="A188" i="39" s="1"/>
  <c r="M191" i="39"/>
  <c r="N191" i="39" s="1"/>
  <c r="A191" i="39" s="1"/>
  <c r="M192" i="39"/>
  <c r="N192" i="39" s="1"/>
  <c r="A192" i="39" s="1"/>
  <c r="N194" i="39"/>
  <c r="A194" i="39" s="1"/>
  <c r="M210" i="39"/>
  <c r="N210" i="39" s="1"/>
  <c r="A210" i="39" s="1"/>
  <c r="M217" i="39"/>
  <c r="N217" i="39" s="1"/>
  <c r="A217" i="39" s="1"/>
  <c r="N237" i="39"/>
  <c r="A237" i="39" s="1"/>
  <c r="N240" i="39"/>
  <c r="A240" i="39" s="1"/>
  <c r="N245" i="39"/>
  <c r="A245" i="39" s="1"/>
  <c r="N248" i="39"/>
  <c r="A248" i="39" s="1"/>
  <c r="M10" i="38"/>
  <c r="A10" i="38" s="1"/>
  <c r="M92" i="39"/>
  <c r="N92" i="39" s="1"/>
  <c r="A92" i="39" s="1"/>
  <c r="M100" i="39"/>
  <c r="N100" i="39" s="1"/>
  <c r="A100" i="39" s="1"/>
  <c r="M84" i="39"/>
  <c r="N84" i="39" s="1"/>
  <c r="A84" i="39" s="1"/>
  <c r="M16" i="38"/>
  <c r="A16" i="38" s="1"/>
  <c r="M21" i="38"/>
  <c r="A21" i="38" s="1"/>
  <c r="M24" i="38"/>
  <c r="A24" i="38" s="1"/>
  <c r="N258" i="39"/>
  <c r="A258" i="39" s="1"/>
  <c r="M258" i="39"/>
  <c r="M37" i="39"/>
  <c r="N37" i="39" s="1"/>
  <c r="A37" i="39" s="1"/>
  <c r="AI16" i="38"/>
  <c r="M17" i="38"/>
  <c r="A17" i="38" s="1"/>
  <c r="M20" i="38"/>
  <c r="A20" i="38" s="1"/>
  <c r="M25" i="38"/>
  <c r="A25" i="38" s="1"/>
  <c r="M28" i="38"/>
  <c r="A28" i="38" s="1"/>
  <c r="M35" i="39"/>
  <c r="N35" i="39" s="1"/>
  <c r="A35" i="39" s="1"/>
  <c r="M58" i="39"/>
  <c r="N58" i="39" s="1"/>
  <c r="A58" i="39" s="1"/>
  <c r="M82" i="39"/>
  <c r="N82" i="39" s="1"/>
  <c r="A82" i="39" s="1"/>
  <c r="M125" i="39"/>
  <c r="N125" i="39" s="1"/>
  <c r="A125" i="39" s="1"/>
  <c r="N254" i="39"/>
  <c r="A254" i="39" s="1"/>
  <c r="M254" i="39"/>
  <c r="M28" i="39"/>
  <c r="N28" i="39" s="1"/>
  <c r="A28" i="39" s="1"/>
  <c r="M52" i="39"/>
  <c r="N52" i="39" s="1"/>
  <c r="A52" i="39" s="1"/>
  <c r="M211" i="39"/>
  <c r="N211" i="39"/>
  <c r="A211" i="39" s="1"/>
  <c r="M43" i="39"/>
  <c r="N43" i="39" s="1"/>
  <c r="A43" i="39" s="1"/>
  <c r="M139" i="39"/>
  <c r="N139" i="39" s="1"/>
  <c r="A139" i="39" s="1"/>
  <c r="M159" i="39"/>
  <c r="N159" i="39"/>
  <c r="A159" i="39" s="1"/>
  <c r="M165" i="39"/>
  <c r="N165" i="39" s="1"/>
  <c r="A165" i="39" s="1"/>
  <c r="M203" i="39"/>
  <c r="N203" i="39" s="1"/>
  <c r="A203" i="39" s="1"/>
  <c r="M50" i="39"/>
  <c r="N50" i="39" s="1"/>
  <c r="A50" i="39" s="1"/>
  <c r="M67" i="39"/>
  <c r="N67" i="39" s="1"/>
  <c r="A67" i="39" s="1"/>
  <c r="M167" i="39"/>
  <c r="N167" i="39"/>
  <c r="A167" i="39" s="1"/>
  <c r="M60" i="39"/>
  <c r="N60" i="39" s="1"/>
  <c r="A60" i="39" s="1"/>
  <c r="M108" i="39"/>
  <c r="N108" i="39" s="1"/>
  <c r="A108" i="39" s="1"/>
  <c r="M129" i="39"/>
  <c r="N129" i="39" s="1"/>
  <c r="A129" i="39" s="1"/>
  <c r="M26" i="39"/>
  <c r="N26" i="39" s="1"/>
  <c r="A26" i="39" s="1"/>
  <c r="M68" i="39"/>
  <c r="N68" i="39" s="1"/>
  <c r="A68" i="39" s="1"/>
  <c r="M90" i="39"/>
  <c r="N90" i="39" s="1"/>
  <c r="A90" i="39" s="1"/>
  <c r="M121" i="39"/>
  <c r="N121" i="39" s="1"/>
  <c r="A121" i="39" s="1"/>
  <c r="M123" i="39"/>
  <c r="N123" i="39" s="1"/>
  <c r="A123" i="39" s="1"/>
  <c r="M154" i="39"/>
  <c r="N154" i="39" s="1"/>
  <c r="A154" i="39" s="1"/>
  <c r="M36" i="39"/>
  <c r="N36" i="39" s="1"/>
  <c r="A36" i="39" s="1"/>
  <c r="M98" i="39"/>
  <c r="N98" i="39" s="1"/>
  <c r="A98" i="39" s="1"/>
  <c r="M20" i="39"/>
  <c r="N20" i="39" s="1"/>
  <c r="A20" i="39" s="1"/>
  <c r="M53" i="39"/>
  <c r="N53" i="39" s="1"/>
  <c r="A53" i="39" s="1"/>
  <c r="M77" i="39"/>
  <c r="N77" i="39" s="1"/>
  <c r="A77" i="39" s="1"/>
  <c r="N117" i="39"/>
  <c r="A117" i="39" s="1"/>
  <c r="M143" i="39"/>
  <c r="N143" i="39"/>
  <c r="A143" i="39" s="1"/>
  <c r="M227" i="39"/>
  <c r="N227" i="39" s="1"/>
  <c r="A227" i="39" s="1"/>
  <c r="M18" i="39"/>
  <c r="N18" i="39" s="1"/>
  <c r="A18" i="39" s="1"/>
  <c r="M45" i="39"/>
  <c r="N45" i="39" s="1"/>
  <c r="A45" i="39" s="1"/>
  <c r="M75" i="39"/>
  <c r="N75" i="39" s="1"/>
  <c r="A75" i="39" s="1"/>
  <c r="M107" i="39"/>
  <c r="N107" i="39" s="1"/>
  <c r="A107" i="39" s="1"/>
  <c r="M113" i="39"/>
  <c r="N113" i="39" s="1"/>
  <c r="A113" i="39" s="1"/>
  <c r="M115" i="39"/>
  <c r="N115" i="39" s="1"/>
  <c r="A115" i="39" s="1"/>
  <c r="M131" i="39"/>
  <c r="N131" i="39" s="1"/>
  <c r="A131" i="39" s="1"/>
  <c r="M219" i="39"/>
  <c r="N219" i="39" s="1"/>
  <c r="A219" i="39" s="1"/>
  <c r="M106" i="39"/>
  <c r="N106" i="39" s="1"/>
  <c r="A106" i="39" s="1"/>
  <c r="M116" i="39"/>
  <c r="N116" i="39" s="1"/>
  <c r="A116" i="39" s="1"/>
  <c r="M151" i="39"/>
  <c r="N151" i="39"/>
  <c r="A151" i="39" s="1"/>
  <c r="M195" i="39"/>
  <c r="N195" i="39" s="1"/>
  <c r="A195" i="39" s="1"/>
  <c r="N302" i="39"/>
  <c r="A302" i="39" s="1"/>
  <c r="M302" i="39"/>
  <c r="M34" i="39"/>
  <c r="N34" i="39" s="1"/>
  <c r="A34" i="39" s="1"/>
  <c r="M51" i="39"/>
  <c r="N51" i="39" s="1"/>
  <c r="A51" i="39" s="1"/>
  <c r="M66" i="39"/>
  <c r="N66" i="39" s="1"/>
  <c r="A66" i="39" s="1"/>
  <c r="M83" i="39"/>
  <c r="N83" i="39" s="1"/>
  <c r="A83" i="39" s="1"/>
  <c r="M89" i="39"/>
  <c r="N89" i="39" s="1"/>
  <c r="A89" i="39" s="1"/>
  <c r="N93" i="39"/>
  <c r="A93" i="39" s="1"/>
  <c r="M114" i="39"/>
  <c r="N114" i="39" s="1"/>
  <c r="A114" i="39" s="1"/>
  <c r="M124" i="39"/>
  <c r="N124" i="39" s="1"/>
  <c r="A124" i="39" s="1"/>
  <c r="M187" i="39"/>
  <c r="N187" i="39"/>
  <c r="A187" i="39" s="1"/>
  <c r="N274" i="39"/>
  <c r="A274" i="39" s="1"/>
  <c r="M274" i="39"/>
  <c r="N298" i="39"/>
  <c r="A298" i="39" s="1"/>
  <c r="M298" i="39"/>
  <c r="M19" i="39"/>
  <c r="N19" i="39" s="1"/>
  <c r="A19" i="39" s="1"/>
  <c r="N29" i="39"/>
  <c r="A29" i="39" s="1"/>
  <c r="M44" i="39"/>
  <c r="N44" i="39" s="1"/>
  <c r="A44" i="39" s="1"/>
  <c r="N61" i="39"/>
  <c r="A61" i="39" s="1"/>
  <c r="M76" i="39"/>
  <c r="N76" i="39" s="1"/>
  <c r="A76" i="39" s="1"/>
  <c r="M91" i="39"/>
  <c r="N91" i="39" s="1"/>
  <c r="A91" i="39" s="1"/>
  <c r="N101" i="39"/>
  <c r="A101" i="39" s="1"/>
  <c r="M122" i="39"/>
  <c r="N122" i="39" s="1"/>
  <c r="A122" i="39" s="1"/>
  <c r="M132" i="39"/>
  <c r="N132" i="39" s="1"/>
  <c r="A132" i="39" s="1"/>
  <c r="M135" i="39"/>
  <c r="N135" i="39" s="1"/>
  <c r="A135" i="39" s="1"/>
  <c r="M162" i="39"/>
  <c r="N162" i="39" s="1"/>
  <c r="A162" i="39" s="1"/>
  <c r="M243" i="39"/>
  <c r="N243" i="39" s="1"/>
  <c r="A243" i="39" s="1"/>
  <c r="M270" i="39"/>
  <c r="N294" i="39"/>
  <c r="A294" i="39" s="1"/>
  <c r="M294" i="39"/>
  <c r="M27" i="39"/>
  <c r="N27" i="39" s="1"/>
  <c r="A27" i="39" s="1"/>
  <c r="M42" i="39"/>
  <c r="N42" i="39" s="1"/>
  <c r="A42" i="39" s="1"/>
  <c r="M59" i="39"/>
  <c r="N59" i="39" s="1"/>
  <c r="A59" i="39" s="1"/>
  <c r="M74" i="39"/>
  <c r="N74" i="39" s="1"/>
  <c r="A74" i="39" s="1"/>
  <c r="M85" i="39"/>
  <c r="N85" i="39" s="1"/>
  <c r="A85" i="39" s="1"/>
  <c r="M99" i="39"/>
  <c r="N99" i="39" s="1"/>
  <c r="A99" i="39" s="1"/>
  <c r="M105" i="39"/>
  <c r="N105" i="39" s="1"/>
  <c r="A105" i="39" s="1"/>
  <c r="N109" i="39"/>
  <c r="A109" i="39" s="1"/>
  <c r="M130" i="39"/>
  <c r="N130" i="39" s="1"/>
  <c r="A130" i="39" s="1"/>
  <c r="N146" i="39"/>
  <c r="A146" i="39" s="1"/>
  <c r="N148" i="39"/>
  <c r="A148" i="39" s="1"/>
  <c r="N171" i="39"/>
  <c r="A171" i="39" s="1"/>
  <c r="M235" i="39"/>
  <c r="N235" i="39"/>
  <c r="A235" i="39" s="1"/>
  <c r="N290" i="39"/>
  <c r="A290" i="39" s="1"/>
  <c r="M290" i="39"/>
  <c r="N138" i="39"/>
  <c r="A138" i="39" s="1"/>
  <c r="M147" i="39"/>
  <c r="N147" i="39" s="1"/>
  <c r="A147" i="39" s="1"/>
  <c r="M170" i="39"/>
  <c r="N170" i="39" s="1"/>
  <c r="A170" i="39" s="1"/>
  <c r="N144" i="39"/>
  <c r="A144" i="39" s="1"/>
  <c r="N145" i="39"/>
  <c r="A145" i="39" s="1"/>
  <c r="N149" i="39"/>
  <c r="A149" i="39" s="1"/>
  <c r="N175" i="39"/>
  <c r="A175" i="39" s="1"/>
  <c r="M291" i="39"/>
  <c r="M295" i="39"/>
  <c r="M299" i="39"/>
  <c r="M303" i="39"/>
  <c r="M305" i="39"/>
  <c r="BD23" i="31" l="1"/>
  <c r="BE26" i="31"/>
  <c r="BE14" i="31"/>
  <c r="BE11" i="31"/>
  <c r="BC21" i="31"/>
  <c r="BE29" i="31"/>
  <c r="BE21" i="31"/>
  <c r="BD28" i="31"/>
  <c r="AZ20" i="31"/>
  <c r="BC13" i="31"/>
  <c r="BE28" i="31"/>
  <c r="BF12" i="31"/>
  <c r="BB15" i="31"/>
  <c r="BD21" i="31"/>
  <c r="AY9" i="31"/>
  <c r="AY14" i="31"/>
  <c r="BC23" i="31"/>
  <c r="BB12" i="31"/>
  <c r="BA26" i="31"/>
  <c r="BB20" i="31"/>
  <c r="BF13" i="31"/>
  <c r="BC11" i="31"/>
  <c r="AZ29" i="31"/>
  <c r="AZ9" i="31"/>
  <c r="AZ28" i="31"/>
  <c r="BA20" i="31"/>
  <c r="AY29" i="31"/>
  <c r="BB21" i="31"/>
  <c r="BC15" i="31"/>
  <c r="BD11" i="31"/>
  <c r="BE23" i="31"/>
  <c r="BA23" i="31"/>
  <c r="BF14" i="31"/>
  <c r="BB26" i="31"/>
  <c r="BC12" i="31"/>
  <c r="BE13" i="31"/>
  <c r="BB9" i="31"/>
  <c r="BF28" i="31"/>
  <c r="BC20" i="31"/>
  <c r="BA29" i="31"/>
  <c r="BF21" i="31"/>
  <c r="BF15" i="31"/>
  <c r="BD15" i="31"/>
  <c r="AZ11" i="31"/>
  <c r="BF23" i="31"/>
  <c r="BC14" i="31"/>
  <c r="BG14" i="31"/>
  <c r="BC26" i="31"/>
  <c r="BD12" i="31"/>
  <c r="BD13" i="31"/>
  <c r="BC9" i="31"/>
  <c r="AY28" i="31"/>
  <c r="BF20" i="31"/>
  <c r="BG29" i="31"/>
  <c r="AY21" i="31"/>
  <c r="AY15" i="31"/>
  <c r="BF11" i="31"/>
  <c r="AY23" i="31"/>
  <c r="BA14" i="31"/>
  <c r="AY26" i="31"/>
  <c r="BD26" i="31"/>
  <c r="AY12" i="31"/>
  <c r="AY13" i="31"/>
  <c r="BD9" i="31"/>
  <c r="BG28" i="31"/>
  <c r="BD20" i="31"/>
  <c r="BB29" i="31"/>
  <c r="BA21" i="31"/>
  <c r="BG15" i="31"/>
  <c r="AY11" i="31"/>
  <c r="BG23" i="31"/>
  <c r="BD14" i="31"/>
  <c r="BG26" i="31"/>
  <c r="AZ12" i="31"/>
  <c r="BE12" i="31"/>
  <c r="BG13" i="31"/>
  <c r="BE9" i="31"/>
  <c r="BC28" i="31"/>
  <c r="BA28" i="31"/>
  <c r="BE20" i="31"/>
  <c r="BC29" i="31"/>
  <c r="BG21" i="31"/>
  <c r="BE15" i="31"/>
  <c r="BB11" i="31"/>
  <c r="BA11" i="31"/>
  <c r="BB23" i="31"/>
  <c r="BB14" i="31"/>
  <c r="AZ26" i="31"/>
  <c r="BA12" i="31"/>
  <c r="AZ13" i="31"/>
  <c r="BF9" i="31"/>
  <c r="BA15" i="31"/>
  <c r="BB28" i="31"/>
  <c r="BG20" i="31"/>
  <c r="AY20" i="31"/>
  <c r="BD29" i="31"/>
  <c r="AZ21" i="31"/>
  <c r="AZ15" i="31"/>
  <c r="BG11" i="31"/>
  <c r="AZ23" i="31"/>
  <c r="AZ14" i="31"/>
  <c r="BF26" i="31"/>
  <c r="BG12" i="31"/>
  <c r="BB13" i="31"/>
  <c r="BA13" i="31"/>
  <c r="BA9" i="31"/>
  <c r="BF29" i="31"/>
  <c r="BG9" i="31"/>
  <c r="BD30" i="31"/>
  <c r="AY30" i="31"/>
  <c r="BA30" i="31"/>
  <c r="BC30" i="31"/>
  <c r="BG30" i="31"/>
  <c r="BB30" i="31"/>
  <c r="BF30" i="31"/>
  <c r="AZ30" i="31"/>
  <c r="BE30" i="31"/>
  <c r="BB10" i="31"/>
  <c r="AE16" i="31"/>
  <c r="AY16" i="31" s="1"/>
  <c r="AE17" i="31"/>
  <c r="BG17" i="31" s="1"/>
  <c r="AE6" i="31"/>
  <c r="BA6" i="31" s="1"/>
  <c r="AE8" i="31"/>
  <c r="BD8" i="31" s="1"/>
  <c r="AE7" i="31"/>
  <c r="BD7" i="31" s="1"/>
  <c r="N9" i="31"/>
  <c r="L9" i="31"/>
  <c r="L14" i="31"/>
  <c r="AA19" i="31"/>
  <c r="BE19" i="31" s="1"/>
  <c r="L7" i="31"/>
  <c r="BE16" i="31" l="1"/>
  <c r="BF8" i="31"/>
  <c r="BG8" i="31"/>
  <c r="BC6" i="31"/>
  <c r="BD19" i="31"/>
  <c r="BC8" i="31"/>
  <c r="BB16" i="31"/>
  <c r="AY8" i="31"/>
  <c r="BG16" i="31"/>
  <c r="BE8" i="31"/>
  <c r="AY6" i="31"/>
  <c r="BB8" i="31"/>
  <c r="BB6" i="31"/>
  <c r="BD17" i="31"/>
  <c r="AZ6" i="31"/>
  <c r="BG6" i="31"/>
  <c r="BB7" i="31"/>
  <c r="AZ8" i="31"/>
  <c r="BD6" i="31"/>
  <c r="BA17" i="31"/>
  <c r="BF19" i="31"/>
  <c r="AZ17" i="31"/>
  <c r="AZ19" i="31"/>
  <c r="BA7" i="31"/>
  <c r="BA19" i="31"/>
  <c r="BB17" i="31"/>
  <c r="BD16" i="31"/>
  <c r="BE6" i="31"/>
  <c r="BE17" i="31"/>
  <c r="BB19" i="31"/>
  <c r="BE7" i="31"/>
  <c r="BF16" i="31"/>
  <c r="AZ16" i="31"/>
  <c r="BG19" i="31"/>
  <c r="AZ7" i="31"/>
  <c r="BC7" i="31"/>
  <c r="BF17" i="31"/>
  <c r="BC19" i="31"/>
  <c r="BC17" i="31"/>
  <c r="AY19" i="31"/>
  <c r="BF7" i="31"/>
  <c r="BA8" i="31"/>
  <c r="BF6" i="31"/>
  <c r="BC16" i="31"/>
  <c r="BG7" i="31"/>
  <c r="AY7" i="31"/>
  <c r="BA16" i="31"/>
  <c r="AY17" i="31"/>
  <c r="AZ10" i="31"/>
  <c r="BF10" i="31"/>
  <c r="AY10" i="31"/>
  <c r="BE10" i="31"/>
  <c r="BD10" i="31"/>
  <c r="BA10" i="31"/>
  <c r="BC10" i="31"/>
  <c r="BG10" i="31"/>
  <c r="AM20" i="31" a="1"/>
  <c r="AM20" i="31" s="1"/>
  <c r="AN20" i="31" a="1"/>
  <c r="AN20" i="31" s="1"/>
  <c r="AM15" i="31" a="1"/>
  <c r="AM15" i="31" s="1"/>
  <c r="AN15" i="31" a="1"/>
  <c r="AN15" i="31" s="1"/>
  <c r="AN12" i="31" a="1"/>
  <c r="AN12" i="31" s="1"/>
  <c r="AM12" i="31" a="1"/>
  <c r="AM12" i="31" s="1"/>
  <c r="AM30" i="31" a="1"/>
  <c r="AM30" i="31" s="1"/>
  <c r="AN30" i="31" a="1"/>
  <c r="AN30" i="31" s="1"/>
  <c r="AN9" i="31" a="1"/>
  <c r="AN9" i="31" s="1"/>
  <c r="AM9" i="31" a="1"/>
  <c r="AM9" i="31" s="1"/>
  <c r="B25" i="18"/>
  <c r="B24" i="18"/>
  <c r="A17" i="1"/>
  <c r="A15" i="1"/>
  <c r="A18" i="1"/>
  <c r="A22" i="1"/>
  <c r="A31" i="1"/>
  <c r="A19" i="1"/>
  <c r="A8" i="1"/>
  <c r="A23" i="1"/>
  <c r="A14" i="1"/>
  <c r="A11" i="1"/>
  <c r="A21" i="1"/>
  <c r="A32" i="1"/>
  <c r="A10" i="1"/>
  <c r="A9" i="1"/>
  <c r="A30" i="1"/>
  <c r="A6" i="1"/>
  <c r="A7" i="1"/>
  <c r="J373" i="20"/>
  <c r="J372" i="20"/>
  <c r="J371" i="20"/>
  <c r="J370" i="20"/>
  <c r="J369" i="20"/>
  <c r="J368" i="20"/>
  <c r="J367" i="20"/>
  <c r="J366" i="20"/>
  <c r="J365" i="20"/>
  <c r="J364" i="20"/>
  <c r="J363" i="20"/>
  <c r="J362" i="20"/>
  <c r="J361" i="20"/>
  <c r="J360" i="20"/>
  <c r="J359" i="20"/>
  <c r="J358" i="20"/>
  <c r="J357" i="20"/>
  <c r="J356" i="20"/>
  <c r="J355" i="20"/>
  <c r="J354" i="20"/>
  <c r="J353" i="20"/>
  <c r="J352" i="20"/>
  <c r="J351" i="20"/>
  <c r="J350" i="20"/>
  <c r="J349" i="20"/>
  <c r="J348" i="20"/>
  <c r="J347" i="20"/>
  <c r="J346" i="20"/>
  <c r="J345" i="20"/>
  <c r="J344" i="20"/>
  <c r="J343" i="20"/>
  <c r="J342" i="20"/>
  <c r="J341" i="20"/>
  <c r="J340" i="20"/>
  <c r="J339" i="20"/>
  <c r="J338" i="20"/>
  <c r="J337" i="20"/>
  <c r="J336" i="20"/>
  <c r="J335" i="20"/>
  <c r="J334" i="20"/>
  <c r="J333" i="20"/>
  <c r="J332" i="20"/>
  <c r="J331" i="20"/>
  <c r="J330" i="20"/>
  <c r="J329" i="20"/>
  <c r="J328" i="20"/>
  <c r="J327" i="20"/>
  <c r="J326" i="20"/>
  <c r="J325" i="20"/>
  <c r="J324" i="20"/>
  <c r="J323" i="20"/>
  <c r="J322" i="20"/>
  <c r="J321" i="20"/>
  <c r="J320" i="20"/>
  <c r="J319" i="20"/>
  <c r="J318" i="20"/>
  <c r="J317" i="20"/>
  <c r="J316" i="20"/>
  <c r="J315" i="20"/>
  <c r="J314" i="20"/>
  <c r="J313" i="20"/>
  <c r="J312" i="20"/>
  <c r="J311" i="20"/>
  <c r="J310" i="20"/>
  <c r="J309" i="20"/>
  <c r="J308" i="20"/>
  <c r="J307" i="20"/>
  <c r="J306" i="20"/>
  <c r="J305" i="20"/>
  <c r="J304" i="20"/>
  <c r="J303" i="20"/>
  <c r="J302" i="20"/>
  <c r="J301" i="20"/>
  <c r="J300" i="20"/>
  <c r="J299" i="20"/>
  <c r="J298" i="20"/>
  <c r="J297" i="20"/>
  <c r="J296" i="20"/>
  <c r="J295" i="20"/>
  <c r="J294" i="20"/>
  <c r="J293" i="20"/>
  <c r="J292" i="20"/>
  <c r="J291" i="20"/>
  <c r="J290" i="20"/>
  <c r="J289" i="20"/>
  <c r="J288" i="20"/>
  <c r="J287" i="20"/>
  <c r="J286" i="20"/>
  <c r="J285" i="20"/>
  <c r="J284" i="20"/>
  <c r="J283" i="20"/>
  <c r="J282" i="20"/>
  <c r="J281" i="20"/>
  <c r="J280" i="20"/>
  <c r="J279" i="20"/>
  <c r="J278" i="20"/>
  <c r="J277" i="20"/>
  <c r="J276" i="20"/>
  <c r="J275" i="20"/>
  <c r="J274" i="20"/>
  <c r="J273" i="20"/>
  <c r="J272" i="20"/>
  <c r="J271" i="20"/>
  <c r="J270" i="20"/>
  <c r="J269" i="20"/>
  <c r="J268" i="20"/>
  <c r="J267" i="20"/>
  <c r="J266" i="20"/>
  <c r="J265" i="20"/>
  <c r="J264" i="20"/>
  <c r="J263" i="20"/>
  <c r="J262" i="20"/>
  <c r="J261" i="20"/>
  <c r="J260" i="20"/>
  <c r="J259" i="20"/>
  <c r="J258" i="20"/>
  <c r="J257" i="20"/>
  <c r="J256" i="20"/>
  <c r="J255" i="20"/>
  <c r="J254" i="20"/>
  <c r="J253" i="20"/>
  <c r="J252" i="20"/>
  <c r="J251" i="20"/>
  <c r="J250" i="20"/>
  <c r="J249" i="20"/>
  <c r="J248" i="20"/>
  <c r="J247" i="20"/>
  <c r="J246" i="20"/>
  <c r="J245" i="20"/>
  <c r="J244" i="20"/>
  <c r="J243" i="20"/>
  <c r="J242" i="20"/>
  <c r="J241" i="20"/>
  <c r="J240" i="20"/>
  <c r="J239" i="20"/>
  <c r="J238" i="20"/>
  <c r="J237" i="20"/>
  <c r="J236" i="20"/>
  <c r="J235" i="20"/>
  <c r="J234" i="20"/>
  <c r="J233" i="20"/>
  <c r="J232" i="20"/>
  <c r="J231" i="20"/>
  <c r="J230" i="20"/>
  <c r="J229" i="20"/>
  <c r="J228" i="20"/>
  <c r="J227" i="20"/>
  <c r="J226" i="20"/>
  <c r="J225" i="20"/>
  <c r="J224" i="20"/>
  <c r="J223" i="20"/>
  <c r="J222" i="20"/>
  <c r="J221" i="20"/>
  <c r="J220" i="20"/>
  <c r="J219" i="20"/>
  <c r="J218" i="20"/>
  <c r="J217" i="20"/>
  <c r="J216" i="20"/>
  <c r="J215" i="20"/>
  <c r="J214" i="20"/>
  <c r="J213" i="20"/>
  <c r="J212" i="20"/>
  <c r="J211" i="20"/>
  <c r="J210" i="20"/>
  <c r="J209" i="20"/>
  <c r="J208" i="20"/>
  <c r="J207" i="20"/>
  <c r="J206" i="20"/>
  <c r="J205" i="20"/>
  <c r="J204" i="20"/>
  <c r="J203" i="20"/>
  <c r="J202" i="20"/>
  <c r="J201" i="20"/>
  <c r="J200" i="20"/>
  <c r="J199" i="20"/>
  <c r="J198" i="20"/>
  <c r="J197" i="20"/>
  <c r="J196" i="20"/>
  <c r="J195" i="20"/>
  <c r="J194" i="20"/>
  <c r="J193" i="20"/>
  <c r="J192" i="20"/>
  <c r="J191" i="20"/>
  <c r="J190" i="20"/>
  <c r="J189" i="20"/>
  <c r="J188" i="20"/>
  <c r="J187" i="20"/>
  <c r="J186" i="20"/>
  <c r="J185" i="20"/>
  <c r="J184" i="20"/>
  <c r="J183" i="20"/>
  <c r="J182" i="20"/>
  <c r="J181" i="20"/>
  <c r="J180" i="20"/>
  <c r="J179" i="20"/>
  <c r="J178" i="20"/>
  <c r="J177" i="20"/>
  <c r="J176" i="20"/>
  <c r="J175" i="20"/>
  <c r="J174" i="20"/>
  <c r="J173" i="20"/>
  <c r="J172" i="20"/>
  <c r="J171" i="20"/>
  <c r="J170" i="20"/>
  <c r="J169" i="20"/>
  <c r="J168" i="20"/>
  <c r="J167" i="20"/>
  <c r="J166" i="20"/>
  <c r="J165" i="20"/>
  <c r="J164" i="20"/>
  <c r="J163" i="20"/>
  <c r="J162" i="20"/>
  <c r="J161" i="20"/>
  <c r="J160" i="20"/>
  <c r="J159" i="20"/>
  <c r="J158" i="20"/>
  <c r="J157" i="20"/>
  <c r="J156" i="20"/>
  <c r="J155" i="20"/>
  <c r="J154" i="20"/>
  <c r="J153" i="20"/>
  <c r="J152" i="20"/>
  <c r="J151" i="20"/>
  <c r="J150" i="20"/>
  <c r="J149" i="20"/>
  <c r="J148" i="20"/>
  <c r="J147" i="20"/>
  <c r="J146" i="20"/>
  <c r="J145" i="20"/>
  <c r="J144" i="20"/>
  <c r="J143" i="20"/>
  <c r="J142" i="20"/>
  <c r="J141" i="20"/>
  <c r="J140" i="20"/>
  <c r="J139" i="20"/>
  <c r="J138" i="20"/>
  <c r="J137" i="20"/>
  <c r="J136" i="20"/>
  <c r="J135" i="20"/>
  <c r="J134" i="20"/>
  <c r="J133" i="20"/>
  <c r="J132" i="20"/>
  <c r="J131" i="20"/>
  <c r="J130" i="20"/>
  <c r="J129" i="20"/>
  <c r="J128" i="20"/>
  <c r="J127" i="20"/>
  <c r="J126" i="20"/>
  <c r="J125" i="20"/>
  <c r="J124" i="20"/>
  <c r="J123" i="20"/>
  <c r="J122" i="20"/>
  <c r="J121" i="20"/>
  <c r="J120" i="20"/>
  <c r="J119" i="20"/>
  <c r="J118" i="20"/>
  <c r="J117" i="20"/>
  <c r="J116" i="20"/>
  <c r="J115" i="20"/>
  <c r="J114" i="20"/>
  <c r="J113" i="20"/>
  <c r="J112" i="20"/>
  <c r="J111" i="20"/>
  <c r="J110" i="20"/>
  <c r="J109" i="20"/>
  <c r="J108" i="20"/>
  <c r="J107" i="20"/>
  <c r="J106" i="20"/>
  <c r="J105" i="20"/>
  <c r="J104" i="20"/>
  <c r="J103" i="20"/>
  <c r="J102" i="20"/>
  <c r="J101" i="20"/>
  <c r="J100" i="20"/>
  <c r="J99" i="20"/>
  <c r="J98" i="20"/>
  <c r="J97" i="20"/>
  <c r="J96" i="20"/>
  <c r="J95" i="20"/>
  <c r="J94" i="20"/>
  <c r="J93" i="20"/>
  <c r="J92" i="20"/>
  <c r="J91" i="20"/>
  <c r="J90" i="20"/>
  <c r="J89" i="20"/>
  <c r="J88" i="20"/>
  <c r="J87" i="20"/>
  <c r="J86" i="20"/>
  <c r="J85" i="20"/>
  <c r="J84" i="20"/>
  <c r="J83" i="20"/>
  <c r="J82" i="20"/>
  <c r="J81" i="20"/>
  <c r="J80" i="20"/>
  <c r="J79" i="20"/>
  <c r="J78" i="20"/>
  <c r="J77" i="20"/>
  <c r="J76" i="20"/>
  <c r="J75" i="20"/>
  <c r="J74" i="20"/>
  <c r="J73" i="20"/>
  <c r="J72" i="20"/>
  <c r="J71" i="20"/>
  <c r="J70" i="20"/>
  <c r="J69" i="20"/>
  <c r="J68" i="20"/>
  <c r="J67" i="20"/>
  <c r="J66" i="20"/>
  <c r="J65" i="20"/>
  <c r="J64" i="20"/>
  <c r="J63" i="20"/>
  <c r="J62" i="20"/>
  <c r="J61" i="20"/>
  <c r="J60" i="20"/>
  <c r="J59" i="20"/>
  <c r="J58" i="20"/>
  <c r="J57" i="20"/>
  <c r="J56" i="20"/>
  <c r="J55" i="20"/>
  <c r="J54" i="20"/>
  <c r="J53" i="20"/>
  <c r="J52" i="20"/>
  <c r="J51" i="20"/>
  <c r="J50" i="20"/>
  <c r="J49" i="20"/>
  <c r="J48" i="20"/>
  <c r="J47" i="20"/>
  <c r="J46" i="20"/>
  <c r="J45" i="20"/>
  <c r="J44" i="20"/>
  <c r="J43" i="20"/>
  <c r="J42" i="20"/>
  <c r="J41" i="20"/>
  <c r="J40" i="20"/>
  <c r="J39" i="20"/>
  <c r="J38" i="20"/>
  <c r="J37" i="20"/>
  <c r="J36" i="20"/>
  <c r="J35" i="20"/>
  <c r="J34" i="20"/>
  <c r="J33" i="20"/>
  <c r="J32" i="20"/>
  <c r="J31" i="20"/>
  <c r="J30" i="20"/>
  <c r="J29" i="20"/>
  <c r="J28" i="20"/>
  <c r="J27" i="20"/>
  <c r="J26" i="20"/>
  <c r="J25" i="20"/>
  <c r="J24" i="20"/>
  <c r="J23" i="20"/>
  <c r="J22" i="20"/>
  <c r="J21" i="20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87" i="18"/>
  <c r="J686" i="18"/>
  <c r="J685" i="18"/>
  <c r="J684" i="18"/>
  <c r="J683" i="18"/>
  <c r="J682" i="18"/>
  <c r="J681" i="18"/>
  <c r="J680" i="18"/>
  <c r="J679" i="18"/>
  <c r="J678" i="18"/>
  <c r="J677" i="18"/>
  <c r="J676" i="18"/>
  <c r="J675" i="18"/>
  <c r="J674" i="18"/>
  <c r="J673" i="18"/>
  <c r="J672" i="18"/>
  <c r="J671" i="18"/>
  <c r="J670" i="18"/>
  <c r="J669" i="18"/>
  <c r="J668" i="18"/>
  <c r="J667" i="18"/>
  <c r="J666" i="18"/>
  <c r="J665" i="18"/>
  <c r="J664" i="18"/>
  <c r="J663" i="18"/>
  <c r="J662" i="18"/>
  <c r="J661" i="18"/>
  <c r="J660" i="18"/>
  <c r="J659" i="18"/>
  <c r="J658" i="18"/>
  <c r="J657" i="18"/>
  <c r="J656" i="18"/>
  <c r="J655" i="18"/>
  <c r="J654" i="18"/>
  <c r="J653" i="18"/>
  <c r="J652" i="18"/>
  <c r="J651" i="18"/>
  <c r="J650" i="18"/>
  <c r="J649" i="18"/>
  <c r="J648" i="18"/>
  <c r="J647" i="18"/>
  <c r="J646" i="18"/>
  <c r="J645" i="18"/>
  <c r="J644" i="18"/>
  <c r="J643" i="18"/>
  <c r="J642" i="18"/>
  <c r="J641" i="18"/>
  <c r="J640" i="18"/>
  <c r="J639" i="18"/>
  <c r="J638" i="18"/>
  <c r="J637" i="18"/>
  <c r="J636" i="18"/>
  <c r="J635" i="18"/>
  <c r="J634" i="18"/>
  <c r="J633" i="18"/>
  <c r="J632" i="18"/>
  <c r="J631" i="18"/>
  <c r="J630" i="18"/>
  <c r="J629" i="18"/>
  <c r="J628" i="18"/>
  <c r="J627" i="18"/>
  <c r="J626" i="18"/>
  <c r="J625" i="18"/>
  <c r="J624" i="18"/>
  <c r="J623" i="18"/>
  <c r="J622" i="18"/>
  <c r="J621" i="18"/>
  <c r="J620" i="18"/>
  <c r="J619" i="18"/>
  <c r="J618" i="18"/>
  <c r="J617" i="18"/>
  <c r="J616" i="18"/>
  <c r="J615" i="18"/>
  <c r="J614" i="18"/>
  <c r="J613" i="18"/>
  <c r="J612" i="18"/>
  <c r="J611" i="18"/>
  <c r="J610" i="18"/>
  <c r="J609" i="18"/>
  <c r="J608" i="18"/>
  <c r="J607" i="18"/>
  <c r="J606" i="18"/>
  <c r="J605" i="18"/>
  <c r="J604" i="18"/>
  <c r="J603" i="18"/>
  <c r="J602" i="18"/>
  <c r="J601" i="18"/>
  <c r="J600" i="18"/>
  <c r="J599" i="18"/>
  <c r="J598" i="18"/>
  <c r="J597" i="18"/>
  <c r="J596" i="18"/>
  <c r="J595" i="18"/>
  <c r="J594" i="18"/>
  <c r="J593" i="18"/>
  <c r="J592" i="18"/>
  <c r="J591" i="18"/>
  <c r="J590" i="18"/>
  <c r="J589" i="18"/>
  <c r="J588" i="18"/>
  <c r="J587" i="18"/>
  <c r="J586" i="18"/>
  <c r="J585" i="18"/>
  <c r="J584" i="18"/>
  <c r="J583" i="18"/>
  <c r="J582" i="18"/>
  <c r="J581" i="18"/>
  <c r="J580" i="18"/>
  <c r="J579" i="18"/>
  <c r="J578" i="18"/>
  <c r="J577" i="18"/>
  <c r="J576" i="18"/>
  <c r="J575" i="18"/>
  <c r="J574" i="18"/>
  <c r="J573" i="18"/>
  <c r="J572" i="18"/>
  <c r="J571" i="18"/>
  <c r="J570" i="18"/>
  <c r="J569" i="18"/>
  <c r="J568" i="18"/>
  <c r="J567" i="18"/>
  <c r="J566" i="18"/>
  <c r="J565" i="18"/>
  <c r="J564" i="18"/>
  <c r="J563" i="18"/>
  <c r="J562" i="18"/>
  <c r="J561" i="18"/>
  <c r="J560" i="18"/>
  <c r="J559" i="18"/>
  <c r="J558" i="18"/>
  <c r="J557" i="18"/>
  <c r="J556" i="18"/>
  <c r="J555" i="18"/>
  <c r="J554" i="18"/>
  <c r="J553" i="18"/>
  <c r="J552" i="18"/>
  <c r="J551" i="18"/>
  <c r="J550" i="18"/>
  <c r="J549" i="18"/>
  <c r="J548" i="18"/>
  <c r="J547" i="18"/>
  <c r="J546" i="18"/>
  <c r="J545" i="18"/>
  <c r="J544" i="18"/>
  <c r="J543" i="18"/>
  <c r="J542" i="18"/>
  <c r="J541" i="18"/>
  <c r="J540" i="18"/>
  <c r="J539" i="18"/>
  <c r="J538" i="18"/>
  <c r="J537" i="18"/>
  <c r="J536" i="18"/>
  <c r="J535" i="18"/>
  <c r="J534" i="18"/>
  <c r="J533" i="18"/>
  <c r="J532" i="18"/>
  <c r="J531" i="18"/>
  <c r="J530" i="18"/>
  <c r="J529" i="18"/>
  <c r="J528" i="18"/>
  <c r="J527" i="18"/>
  <c r="J526" i="18"/>
  <c r="J525" i="18"/>
  <c r="J524" i="18"/>
  <c r="J523" i="18"/>
  <c r="J522" i="18"/>
  <c r="J521" i="18"/>
  <c r="J520" i="18"/>
  <c r="J519" i="18"/>
  <c r="J518" i="18"/>
  <c r="J517" i="18"/>
  <c r="J516" i="18"/>
  <c r="J515" i="18"/>
  <c r="J514" i="18"/>
  <c r="J513" i="18"/>
  <c r="J512" i="18"/>
  <c r="J511" i="18"/>
  <c r="J510" i="18"/>
  <c r="J509" i="18"/>
  <c r="J508" i="18"/>
  <c r="J507" i="18"/>
  <c r="J506" i="18"/>
  <c r="J505" i="18"/>
  <c r="J504" i="18"/>
  <c r="J503" i="18"/>
  <c r="J502" i="18"/>
  <c r="J501" i="18"/>
  <c r="J500" i="18"/>
  <c r="J499" i="18"/>
  <c r="J498" i="18"/>
  <c r="J497" i="18"/>
  <c r="J496" i="18"/>
  <c r="J495" i="18"/>
  <c r="J494" i="18"/>
  <c r="J493" i="18"/>
  <c r="J492" i="18"/>
  <c r="J491" i="18"/>
  <c r="J490" i="18"/>
  <c r="J489" i="18"/>
  <c r="J488" i="18"/>
  <c r="J487" i="18"/>
  <c r="J486" i="18"/>
  <c r="J485" i="18"/>
  <c r="J484" i="18"/>
  <c r="J483" i="18"/>
  <c r="J482" i="18"/>
  <c r="J481" i="18"/>
  <c r="J480" i="18"/>
  <c r="J479" i="18"/>
  <c r="J478" i="18"/>
  <c r="J477" i="18"/>
  <c r="J476" i="18"/>
  <c r="J475" i="18"/>
  <c r="J474" i="18"/>
  <c r="J473" i="18"/>
  <c r="J472" i="18"/>
  <c r="J471" i="18"/>
  <c r="J470" i="18"/>
  <c r="J469" i="18"/>
  <c r="J468" i="18"/>
  <c r="J467" i="18"/>
  <c r="J466" i="18"/>
  <c r="J465" i="18"/>
  <c r="J464" i="18"/>
  <c r="J463" i="18"/>
  <c r="J462" i="18"/>
  <c r="J461" i="18"/>
  <c r="J460" i="18"/>
  <c r="J459" i="18"/>
  <c r="J458" i="18"/>
  <c r="J457" i="18"/>
  <c r="J456" i="18"/>
  <c r="J455" i="18"/>
  <c r="J454" i="18"/>
  <c r="J453" i="18"/>
  <c r="J452" i="18"/>
  <c r="J451" i="18"/>
  <c r="J450" i="18"/>
  <c r="J449" i="18"/>
  <c r="J448" i="18"/>
  <c r="J447" i="18"/>
  <c r="J446" i="18"/>
  <c r="J445" i="18"/>
  <c r="J444" i="18"/>
  <c r="J443" i="18"/>
  <c r="J442" i="18"/>
  <c r="J441" i="18"/>
  <c r="J440" i="18"/>
  <c r="J439" i="18"/>
  <c r="J438" i="18"/>
  <c r="J437" i="18"/>
  <c r="J436" i="18"/>
  <c r="J435" i="18"/>
  <c r="J434" i="18"/>
  <c r="J433" i="18"/>
  <c r="J432" i="18"/>
  <c r="J431" i="18"/>
  <c r="J430" i="18"/>
  <c r="J429" i="18"/>
  <c r="J428" i="18"/>
  <c r="J427" i="18"/>
  <c r="J426" i="18"/>
  <c r="J425" i="18"/>
  <c r="J424" i="18"/>
  <c r="J423" i="18"/>
  <c r="J422" i="18"/>
  <c r="J421" i="18"/>
  <c r="J420" i="18"/>
  <c r="J419" i="18"/>
  <c r="J418" i="18"/>
  <c r="J417" i="18"/>
  <c r="J416" i="18"/>
  <c r="J415" i="18"/>
  <c r="J414" i="18"/>
  <c r="J413" i="18"/>
  <c r="J412" i="18"/>
  <c r="J411" i="18"/>
  <c r="J410" i="18"/>
  <c r="J409" i="18"/>
  <c r="J408" i="18"/>
  <c r="J407" i="18"/>
  <c r="J406" i="18"/>
  <c r="J405" i="18"/>
  <c r="J404" i="18"/>
  <c r="J403" i="18"/>
  <c r="J402" i="18"/>
  <c r="J401" i="18"/>
  <c r="J400" i="18"/>
  <c r="J399" i="18"/>
  <c r="J398" i="18"/>
  <c r="J397" i="18"/>
  <c r="J396" i="18"/>
  <c r="J395" i="18"/>
  <c r="J394" i="18"/>
  <c r="J393" i="18"/>
  <c r="J392" i="18"/>
  <c r="J391" i="18"/>
  <c r="J390" i="18"/>
  <c r="J389" i="18"/>
  <c r="J388" i="18"/>
  <c r="J387" i="18"/>
  <c r="J386" i="18"/>
  <c r="J385" i="18"/>
  <c r="J384" i="18"/>
  <c r="J383" i="18"/>
  <c r="J382" i="18"/>
  <c r="J381" i="18"/>
  <c r="J380" i="18"/>
  <c r="J379" i="18"/>
  <c r="J378" i="18"/>
  <c r="J377" i="18"/>
  <c r="J376" i="18"/>
  <c r="J375" i="18"/>
  <c r="J374" i="18"/>
  <c r="J373" i="18"/>
  <c r="J372" i="18"/>
  <c r="J371" i="18"/>
  <c r="J370" i="18"/>
  <c r="J369" i="18"/>
  <c r="J368" i="18"/>
  <c r="J367" i="18"/>
  <c r="J366" i="18"/>
  <c r="J365" i="18"/>
  <c r="J364" i="18"/>
  <c r="J363" i="18"/>
  <c r="J362" i="18"/>
  <c r="J361" i="18"/>
  <c r="J360" i="18"/>
  <c r="J359" i="18"/>
  <c r="J358" i="18"/>
  <c r="J357" i="18"/>
  <c r="J356" i="18"/>
  <c r="J355" i="18"/>
  <c r="J354" i="18"/>
  <c r="J353" i="18"/>
  <c r="J352" i="18"/>
  <c r="J351" i="18"/>
  <c r="J350" i="18"/>
  <c r="J349" i="18"/>
  <c r="J348" i="18"/>
  <c r="J347" i="18"/>
  <c r="J346" i="18"/>
  <c r="J345" i="18"/>
  <c r="J344" i="18"/>
  <c r="J343" i="18"/>
  <c r="J342" i="18"/>
  <c r="J341" i="18"/>
  <c r="J340" i="18"/>
  <c r="J339" i="18"/>
  <c r="J338" i="18"/>
  <c r="J337" i="18"/>
  <c r="J336" i="18"/>
  <c r="J335" i="18"/>
  <c r="J334" i="18"/>
  <c r="J333" i="18"/>
  <c r="J332" i="18"/>
  <c r="J331" i="18"/>
  <c r="J330" i="18"/>
  <c r="J329" i="18"/>
  <c r="J328" i="18"/>
  <c r="J327" i="18"/>
  <c r="J326" i="18"/>
  <c r="J325" i="18"/>
  <c r="J324" i="18"/>
  <c r="J323" i="18"/>
  <c r="J322" i="18"/>
  <c r="J321" i="18"/>
  <c r="J320" i="18"/>
  <c r="J319" i="18"/>
  <c r="J318" i="18"/>
  <c r="J317" i="18"/>
  <c r="J316" i="18"/>
  <c r="J315" i="18"/>
  <c r="J314" i="18"/>
  <c r="J313" i="18"/>
  <c r="J312" i="18"/>
  <c r="J311" i="18"/>
  <c r="J310" i="18"/>
  <c r="J309" i="18"/>
  <c r="J308" i="18"/>
  <c r="J307" i="18"/>
  <c r="J306" i="18"/>
  <c r="J305" i="18"/>
  <c r="J304" i="18"/>
  <c r="J303" i="18"/>
  <c r="J302" i="18"/>
  <c r="J301" i="18"/>
  <c r="J300" i="18"/>
  <c r="J299" i="18"/>
  <c r="J298" i="18"/>
  <c r="J297" i="18"/>
  <c r="J296" i="18"/>
  <c r="J295" i="18"/>
  <c r="J294" i="18"/>
  <c r="J293" i="18"/>
  <c r="J292" i="18"/>
  <c r="J291" i="18"/>
  <c r="J290" i="18"/>
  <c r="J289" i="18"/>
  <c r="J288" i="18"/>
  <c r="J287" i="18"/>
  <c r="J286" i="18"/>
  <c r="J285" i="18"/>
  <c r="J284" i="18"/>
  <c r="J283" i="18"/>
  <c r="J282" i="18"/>
  <c r="J281" i="18"/>
  <c r="J280" i="18"/>
  <c r="J279" i="18"/>
  <c r="J278" i="18"/>
  <c r="J277" i="18"/>
  <c r="J276" i="18"/>
  <c r="J275" i="18"/>
  <c r="J274" i="18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J257" i="18"/>
  <c r="J256" i="18"/>
  <c r="J255" i="18"/>
  <c r="J254" i="18"/>
  <c r="J253" i="18"/>
  <c r="J252" i="18"/>
  <c r="J251" i="18"/>
  <c r="J250" i="18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J225" i="18"/>
  <c r="J224" i="18"/>
  <c r="J223" i="18"/>
  <c r="J222" i="18"/>
  <c r="J221" i="18"/>
  <c r="J220" i="18"/>
  <c r="J219" i="18"/>
  <c r="J218" i="18"/>
  <c r="J217" i="18"/>
  <c r="J216" i="18"/>
  <c r="J215" i="18"/>
  <c r="J214" i="18"/>
  <c r="J213" i="18"/>
  <c r="J212" i="18"/>
  <c r="J211" i="18"/>
  <c r="J210" i="18"/>
  <c r="J209" i="18"/>
  <c r="J208" i="18"/>
  <c r="J207" i="18"/>
  <c r="J206" i="18"/>
  <c r="J205" i="18"/>
  <c r="J204" i="18"/>
  <c r="J203" i="18"/>
  <c r="J202" i="18"/>
  <c r="J201" i="18"/>
  <c r="J200" i="18"/>
  <c r="J199" i="18"/>
  <c r="J198" i="18"/>
  <c r="J197" i="18"/>
  <c r="J196" i="18"/>
  <c r="J195" i="18"/>
  <c r="J194" i="18"/>
  <c r="J193" i="18"/>
  <c r="J192" i="18"/>
  <c r="J191" i="18"/>
  <c r="J190" i="18"/>
  <c r="J189" i="18"/>
  <c r="J188" i="18"/>
  <c r="J187" i="18"/>
  <c r="J186" i="18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J161" i="18"/>
  <c r="J160" i="18"/>
  <c r="J159" i="18"/>
  <c r="J158" i="18"/>
  <c r="J157" i="18"/>
  <c r="J156" i="18"/>
  <c r="J155" i="18"/>
  <c r="J154" i="18"/>
  <c r="J153" i="18"/>
  <c r="J152" i="18"/>
  <c r="J151" i="18"/>
  <c r="J150" i="18"/>
  <c r="J149" i="18"/>
  <c r="J148" i="18"/>
  <c r="J147" i="18"/>
  <c r="J146" i="18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J129" i="18"/>
  <c r="J128" i="18"/>
  <c r="J127" i="18"/>
  <c r="J126" i="18"/>
  <c r="J125" i="18"/>
  <c r="J124" i="18"/>
  <c r="J123" i="18"/>
  <c r="J122" i="18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J105" i="18"/>
  <c r="J104" i="18"/>
  <c r="J103" i="18"/>
  <c r="J102" i="18"/>
  <c r="J101" i="18"/>
  <c r="J100" i="18"/>
  <c r="J99" i="18"/>
  <c r="J98" i="18"/>
  <c r="J97" i="18"/>
  <c r="J96" i="18"/>
  <c r="J95" i="18"/>
  <c r="J94" i="18"/>
  <c r="J93" i="18"/>
  <c r="J92" i="18"/>
  <c r="J91" i="18"/>
  <c r="J90" i="18"/>
  <c r="J89" i="18"/>
  <c r="J88" i="18"/>
  <c r="J87" i="18"/>
  <c r="J86" i="18"/>
  <c r="J85" i="18"/>
  <c r="J84" i="18"/>
  <c r="J83" i="18"/>
  <c r="J82" i="18"/>
  <c r="J81" i="18"/>
  <c r="J80" i="18"/>
  <c r="J79" i="18"/>
  <c r="J78" i="18"/>
  <c r="J77" i="18"/>
  <c r="J76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7" i="18"/>
  <c r="J6" i="20"/>
  <c r="K6" i="20" s="1"/>
  <c r="J6" i="18"/>
  <c r="K6" i="18" s="1"/>
  <c r="AM16" i="31" l="1" a="1"/>
  <c r="AM16" i="31" s="1"/>
  <c r="AM26" i="31" a="1"/>
  <c r="AM26" i="31" s="1"/>
  <c r="AN14" i="31" a="1"/>
  <c r="AN14" i="31" s="1"/>
  <c r="AM28" i="31" a="1"/>
  <c r="AM28" i="31" s="1"/>
  <c r="AM13" i="31" a="1"/>
  <c r="AM13" i="31" s="1"/>
  <c r="AN17" i="31" a="1"/>
  <c r="AN17" i="31" s="1"/>
  <c r="AM11" i="31" a="1"/>
  <c r="AM11" i="31" s="1"/>
  <c r="AN10" i="31" a="1"/>
  <c r="AN10" i="31" s="1"/>
  <c r="AN13" i="31" a="1"/>
  <c r="AN13" i="31" s="1"/>
  <c r="AN21" i="31" a="1"/>
  <c r="AN21" i="31" s="1"/>
  <c r="AM23" i="31" a="1"/>
  <c r="AM23" i="31" s="1"/>
  <c r="AM10" i="31" a="1"/>
  <c r="AM10" i="31" s="1"/>
  <c r="AM19" i="31" a="1"/>
  <c r="AM19" i="31" s="1"/>
  <c r="AN19" i="31" a="1"/>
  <c r="AN19" i="31" s="1"/>
  <c r="AN23" i="31" a="1"/>
  <c r="AN23" i="31" s="1"/>
  <c r="AM17" i="31" a="1"/>
  <c r="AM17" i="31" s="1"/>
  <c r="AN28" i="31" a="1"/>
  <c r="AN28" i="31" s="1"/>
  <c r="AM21" i="31" a="1"/>
  <c r="AM21" i="31" s="1"/>
  <c r="AN11" i="31" a="1"/>
  <c r="AN11" i="31" s="1"/>
  <c r="AM14" i="31" a="1"/>
  <c r="AM14" i="31" s="1"/>
  <c r="AN26" i="31" a="1"/>
  <c r="AN26" i="31" s="1"/>
  <c r="AN16" i="31" a="1"/>
  <c r="AN16" i="31" s="1"/>
  <c r="AM29" i="31" a="1"/>
  <c r="AM29" i="31" s="1"/>
  <c r="AN29" i="31" a="1"/>
  <c r="AN29" i="31" s="1"/>
  <c r="L2" i="20"/>
  <c r="K305" i="20"/>
  <c r="I305" i="20"/>
  <c r="K304" i="20"/>
  <c r="I304" i="20"/>
  <c r="K303" i="20"/>
  <c r="I303" i="20"/>
  <c r="K302" i="20"/>
  <c r="I302" i="20"/>
  <c r="K301" i="20"/>
  <c r="I301" i="20"/>
  <c r="K300" i="20"/>
  <c r="I300" i="20"/>
  <c r="K299" i="20"/>
  <c r="I299" i="20"/>
  <c r="K298" i="20"/>
  <c r="I298" i="20"/>
  <c r="K297" i="20"/>
  <c r="I297" i="20"/>
  <c r="K296" i="20"/>
  <c r="I296" i="20"/>
  <c r="K295" i="20"/>
  <c r="I295" i="20"/>
  <c r="K294" i="20"/>
  <c r="I294" i="20"/>
  <c r="K293" i="20"/>
  <c r="I293" i="20"/>
  <c r="K292" i="20"/>
  <c r="I292" i="20"/>
  <c r="K291" i="20"/>
  <c r="I291" i="20"/>
  <c r="K290" i="20"/>
  <c r="I290" i="20"/>
  <c r="K289" i="20"/>
  <c r="I289" i="20"/>
  <c r="K288" i="20"/>
  <c r="I288" i="20"/>
  <c r="K287" i="20"/>
  <c r="I287" i="20"/>
  <c r="K286" i="20"/>
  <c r="I286" i="20"/>
  <c r="K285" i="20"/>
  <c r="I285" i="20"/>
  <c r="K284" i="20"/>
  <c r="I284" i="20"/>
  <c r="K283" i="20"/>
  <c r="I283" i="20"/>
  <c r="K282" i="20"/>
  <c r="I282" i="20"/>
  <c r="K281" i="20"/>
  <c r="I281" i="20"/>
  <c r="K280" i="20"/>
  <c r="I280" i="20"/>
  <c r="K279" i="20"/>
  <c r="I279" i="20"/>
  <c r="K278" i="20"/>
  <c r="I278" i="20"/>
  <c r="K277" i="20"/>
  <c r="I277" i="20"/>
  <c r="K276" i="20"/>
  <c r="I276" i="20"/>
  <c r="K275" i="20"/>
  <c r="I275" i="20"/>
  <c r="K274" i="20"/>
  <c r="I274" i="20"/>
  <c r="K273" i="20"/>
  <c r="I273" i="20"/>
  <c r="K272" i="20"/>
  <c r="I272" i="20"/>
  <c r="K271" i="20"/>
  <c r="I271" i="20"/>
  <c r="K270" i="20"/>
  <c r="I270" i="20"/>
  <c r="K269" i="20"/>
  <c r="I269" i="20"/>
  <c r="K268" i="20"/>
  <c r="I268" i="20"/>
  <c r="K267" i="20"/>
  <c r="I267" i="20"/>
  <c r="K266" i="20"/>
  <c r="I266" i="20"/>
  <c r="K265" i="20"/>
  <c r="I265" i="20"/>
  <c r="K264" i="20"/>
  <c r="I264" i="20"/>
  <c r="K263" i="20"/>
  <c r="I263" i="20"/>
  <c r="K262" i="20"/>
  <c r="I262" i="20"/>
  <c r="K261" i="20"/>
  <c r="I261" i="20"/>
  <c r="K260" i="20"/>
  <c r="I260" i="20"/>
  <c r="K259" i="20"/>
  <c r="I259" i="20"/>
  <c r="K258" i="20"/>
  <c r="I258" i="20"/>
  <c r="K257" i="20"/>
  <c r="I257" i="20"/>
  <c r="K256" i="20"/>
  <c r="I256" i="20"/>
  <c r="K255" i="20"/>
  <c r="I255" i="20"/>
  <c r="K254" i="20"/>
  <c r="I254" i="20"/>
  <c r="K253" i="20"/>
  <c r="I253" i="20"/>
  <c r="K252" i="20"/>
  <c r="I252" i="20"/>
  <c r="K251" i="20"/>
  <c r="I251" i="20"/>
  <c r="K250" i="20"/>
  <c r="I250" i="20"/>
  <c r="K249" i="20"/>
  <c r="I249" i="20"/>
  <c r="K248" i="20"/>
  <c r="I248" i="20"/>
  <c r="K247" i="20"/>
  <c r="I247" i="20"/>
  <c r="K246" i="20"/>
  <c r="I246" i="20"/>
  <c r="K245" i="20"/>
  <c r="I245" i="20"/>
  <c r="K244" i="20"/>
  <c r="I244" i="20"/>
  <c r="K243" i="20"/>
  <c r="I243" i="20"/>
  <c r="K242" i="20"/>
  <c r="I242" i="20"/>
  <c r="K241" i="20"/>
  <c r="I241" i="20"/>
  <c r="K240" i="20"/>
  <c r="I240" i="20"/>
  <c r="K239" i="20"/>
  <c r="I239" i="20"/>
  <c r="K238" i="20"/>
  <c r="I238" i="20"/>
  <c r="K237" i="20"/>
  <c r="I237" i="20"/>
  <c r="K236" i="20"/>
  <c r="I236" i="20"/>
  <c r="K235" i="20"/>
  <c r="I235" i="20"/>
  <c r="K234" i="20"/>
  <c r="I234" i="20"/>
  <c r="K233" i="20"/>
  <c r="I233" i="20"/>
  <c r="K232" i="20"/>
  <c r="I232" i="20"/>
  <c r="K231" i="20"/>
  <c r="I231" i="20"/>
  <c r="K230" i="20"/>
  <c r="I230" i="20"/>
  <c r="K229" i="20"/>
  <c r="I229" i="20"/>
  <c r="K228" i="20"/>
  <c r="I228" i="20"/>
  <c r="K227" i="20"/>
  <c r="I227" i="20"/>
  <c r="K226" i="20"/>
  <c r="I226" i="20"/>
  <c r="K225" i="20"/>
  <c r="I225" i="20"/>
  <c r="K224" i="20"/>
  <c r="I224" i="20"/>
  <c r="K223" i="20"/>
  <c r="I223" i="20"/>
  <c r="K222" i="20"/>
  <c r="I222" i="20"/>
  <c r="K221" i="20"/>
  <c r="I221" i="20"/>
  <c r="K220" i="20"/>
  <c r="I220" i="20"/>
  <c r="K219" i="20"/>
  <c r="I219" i="20"/>
  <c r="K218" i="20"/>
  <c r="I218" i="20"/>
  <c r="K217" i="20"/>
  <c r="I217" i="20"/>
  <c r="K216" i="20"/>
  <c r="I216" i="20"/>
  <c r="K215" i="20"/>
  <c r="I215" i="20"/>
  <c r="K214" i="20"/>
  <c r="I214" i="20"/>
  <c r="K213" i="20"/>
  <c r="I213" i="20"/>
  <c r="K212" i="20"/>
  <c r="I212" i="20"/>
  <c r="K211" i="20"/>
  <c r="I211" i="20"/>
  <c r="K210" i="20"/>
  <c r="I210" i="20"/>
  <c r="K209" i="20"/>
  <c r="I209" i="20"/>
  <c r="K208" i="20"/>
  <c r="I208" i="20"/>
  <c r="K207" i="20"/>
  <c r="I207" i="20"/>
  <c r="K206" i="20"/>
  <c r="I206" i="20"/>
  <c r="K205" i="20"/>
  <c r="I205" i="20"/>
  <c r="K204" i="20"/>
  <c r="I204" i="20"/>
  <c r="K203" i="20"/>
  <c r="I203" i="20"/>
  <c r="K202" i="20"/>
  <c r="I202" i="20"/>
  <c r="K201" i="20"/>
  <c r="I201" i="20"/>
  <c r="K200" i="20"/>
  <c r="I200" i="20"/>
  <c r="K199" i="20"/>
  <c r="I199" i="20"/>
  <c r="K198" i="20"/>
  <c r="I198" i="20"/>
  <c r="K197" i="20"/>
  <c r="I197" i="20"/>
  <c r="K196" i="20"/>
  <c r="I196" i="20"/>
  <c r="K195" i="20"/>
  <c r="I195" i="20"/>
  <c r="K194" i="20"/>
  <c r="I194" i="20"/>
  <c r="K193" i="20"/>
  <c r="I193" i="20"/>
  <c r="K192" i="20"/>
  <c r="I192" i="20"/>
  <c r="K191" i="20"/>
  <c r="I191" i="20"/>
  <c r="K190" i="20"/>
  <c r="I190" i="20"/>
  <c r="K189" i="20"/>
  <c r="I189" i="20"/>
  <c r="K188" i="20"/>
  <c r="I188" i="20"/>
  <c r="K187" i="20"/>
  <c r="I187" i="20"/>
  <c r="K186" i="20"/>
  <c r="I186" i="20"/>
  <c r="K185" i="20"/>
  <c r="I185" i="20"/>
  <c r="K184" i="20"/>
  <c r="I184" i="20"/>
  <c r="K183" i="20"/>
  <c r="I183" i="20"/>
  <c r="K182" i="20"/>
  <c r="I182" i="20"/>
  <c r="K181" i="20"/>
  <c r="I181" i="20"/>
  <c r="K180" i="20"/>
  <c r="I180" i="20"/>
  <c r="K179" i="20"/>
  <c r="I179" i="20"/>
  <c r="K178" i="20"/>
  <c r="I178" i="20"/>
  <c r="K177" i="20"/>
  <c r="I177" i="20"/>
  <c r="K176" i="20"/>
  <c r="I176" i="20"/>
  <c r="K175" i="20"/>
  <c r="I175" i="20"/>
  <c r="K174" i="20"/>
  <c r="I174" i="20"/>
  <c r="K173" i="20"/>
  <c r="I173" i="20"/>
  <c r="K172" i="20"/>
  <c r="I172" i="20"/>
  <c r="K171" i="20"/>
  <c r="I171" i="20"/>
  <c r="K170" i="20"/>
  <c r="I170" i="20"/>
  <c r="K169" i="20"/>
  <c r="I169" i="20"/>
  <c r="K168" i="20"/>
  <c r="I168" i="20"/>
  <c r="K167" i="20"/>
  <c r="I167" i="20"/>
  <c r="K166" i="20"/>
  <c r="I166" i="20"/>
  <c r="K165" i="20"/>
  <c r="I165" i="20"/>
  <c r="K164" i="20"/>
  <c r="I164" i="20"/>
  <c r="K163" i="20"/>
  <c r="I163" i="20"/>
  <c r="K162" i="20"/>
  <c r="I162" i="20"/>
  <c r="K161" i="20"/>
  <c r="I161" i="20"/>
  <c r="K160" i="20"/>
  <c r="I160" i="20"/>
  <c r="K159" i="20"/>
  <c r="I159" i="20"/>
  <c r="K158" i="20"/>
  <c r="I158" i="20"/>
  <c r="K157" i="20"/>
  <c r="I157" i="20"/>
  <c r="K156" i="20"/>
  <c r="I156" i="20"/>
  <c r="K155" i="20"/>
  <c r="I155" i="20"/>
  <c r="K154" i="20"/>
  <c r="I154" i="20"/>
  <c r="K153" i="20"/>
  <c r="I153" i="20"/>
  <c r="K152" i="20"/>
  <c r="I152" i="20"/>
  <c r="K151" i="20"/>
  <c r="I151" i="20"/>
  <c r="K150" i="20"/>
  <c r="I150" i="20"/>
  <c r="K149" i="20"/>
  <c r="I149" i="20"/>
  <c r="K148" i="20"/>
  <c r="I148" i="20"/>
  <c r="K147" i="20"/>
  <c r="I147" i="20"/>
  <c r="K146" i="20"/>
  <c r="I146" i="20"/>
  <c r="K145" i="20"/>
  <c r="I145" i="20"/>
  <c r="K144" i="20"/>
  <c r="I144" i="20"/>
  <c r="K143" i="20"/>
  <c r="I143" i="20"/>
  <c r="K142" i="20"/>
  <c r="I142" i="20"/>
  <c r="K141" i="20"/>
  <c r="I141" i="20"/>
  <c r="K140" i="20"/>
  <c r="I140" i="20"/>
  <c r="K139" i="20"/>
  <c r="I139" i="20"/>
  <c r="K138" i="20"/>
  <c r="I138" i="20"/>
  <c r="K137" i="20"/>
  <c r="I137" i="20"/>
  <c r="K136" i="20"/>
  <c r="I136" i="20"/>
  <c r="K135" i="20"/>
  <c r="I135" i="20"/>
  <c r="K134" i="20"/>
  <c r="I134" i="20"/>
  <c r="K133" i="20"/>
  <c r="I133" i="20"/>
  <c r="K132" i="20"/>
  <c r="I132" i="20"/>
  <c r="K131" i="20"/>
  <c r="I131" i="20"/>
  <c r="K130" i="20"/>
  <c r="I130" i="20"/>
  <c r="K129" i="20"/>
  <c r="I129" i="20"/>
  <c r="K128" i="20"/>
  <c r="I128" i="20"/>
  <c r="K127" i="20"/>
  <c r="I127" i="20"/>
  <c r="K126" i="20"/>
  <c r="I126" i="20"/>
  <c r="K125" i="20"/>
  <c r="I125" i="20"/>
  <c r="K124" i="20"/>
  <c r="I124" i="20"/>
  <c r="K123" i="20"/>
  <c r="I123" i="20"/>
  <c r="K122" i="20"/>
  <c r="I122" i="20"/>
  <c r="K121" i="20"/>
  <c r="I121" i="20"/>
  <c r="K120" i="20"/>
  <c r="I120" i="20"/>
  <c r="K119" i="20"/>
  <c r="I119" i="20"/>
  <c r="K118" i="20"/>
  <c r="I118" i="20"/>
  <c r="K117" i="20"/>
  <c r="I117" i="20"/>
  <c r="K116" i="20"/>
  <c r="I116" i="20"/>
  <c r="K115" i="20"/>
  <c r="I115" i="20"/>
  <c r="K114" i="20"/>
  <c r="I114" i="20"/>
  <c r="K113" i="20"/>
  <c r="I113" i="20"/>
  <c r="K112" i="20"/>
  <c r="I112" i="20"/>
  <c r="K111" i="20"/>
  <c r="I111" i="20"/>
  <c r="K110" i="20"/>
  <c r="I110" i="20"/>
  <c r="K109" i="20"/>
  <c r="I109" i="20"/>
  <c r="K108" i="20"/>
  <c r="I108" i="20"/>
  <c r="K107" i="20"/>
  <c r="I107" i="20"/>
  <c r="K106" i="20"/>
  <c r="I106" i="20"/>
  <c r="K105" i="20"/>
  <c r="I105" i="20"/>
  <c r="K104" i="20"/>
  <c r="I104" i="20"/>
  <c r="K103" i="20"/>
  <c r="I103" i="20"/>
  <c r="K102" i="20"/>
  <c r="I102" i="20"/>
  <c r="K101" i="20"/>
  <c r="I101" i="20"/>
  <c r="K100" i="20"/>
  <c r="I100" i="20"/>
  <c r="K99" i="20"/>
  <c r="I99" i="20"/>
  <c r="K98" i="20"/>
  <c r="I98" i="20"/>
  <c r="K97" i="20"/>
  <c r="I97" i="20"/>
  <c r="K96" i="20"/>
  <c r="I96" i="20"/>
  <c r="K95" i="20"/>
  <c r="I95" i="20"/>
  <c r="K94" i="20"/>
  <c r="I94" i="20"/>
  <c r="K93" i="20"/>
  <c r="I93" i="20"/>
  <c r="K92" i="20"/>
  <c r="I92" i="20"/>
  <c r="K91" i="20"/>
  <c r="I91" i="20"/>
  <c r="K90" i="20"/>
  <c r="I90" i="20"/>
  <c r="K89" i="20"/>
  <c r="I89" i="20"/>
  <c r="K88" i="20"/>
  <c r="I88" i="20"/>
  <c r="K87" i="20"/>
  <c r="I87" i="20"/>
  <c r="K86" i="20"/>
  <c r="I86" i="20"/>
  <c r="K85" i="20"/>
  <c r="I85" i="20"/>
  <c r="K84" i="20"/>
  <c r="I84" i="20"/>
  <c r="K83" i="20"/>
  <c r="I83" i="20"/>
  <c r="K82" i="20"/>
  <c r="I82" i="20"/>
  <c r="K81" i="20"/>
  <c r="I81" i="20"/>
  <c r="K80" i="20"/>
  <c r="I80" i="20"/>
  <c r="K79" i="20"/>
  <c r="I79" i="20"/>
  <c r="K78" i="20"/>
  <c r="I78" i="20"/>
  <c r="K77" i="20"/>
  <c r="I77" i="20"/>
  <c r="K76" i="20"/>
  <c r="I76" i="20"/>
  <c r="K75" i="20"/>
  <c r="I75" i="20"/>
  <c r="K74" i="20"/>
  <c r="I74" i="20"/>
  <c r="K73" i="20"/>
  <c r="I73" i="20"/>
  <c r="K72" i="20"/>
  <c r="I72" i="20"/>
  <c r="K71" i="20"/>
  <c r="I71" i="20"/>
  <c r="K70" i="20"/>
  <c r="I70" i="20"/>
  <c r="K69" i="20"/>
  <c r="I69" i="20"/>
  <c r="K68" i="20"/>
  <c r="I68" i="20"/>
  <c r="K67" i="20"/>
  <c r="I67" i="20"/>
  <c r="K66" i="20"/>
  <c r="I66" i="20"/>
  <c r="K65" i="20"/>
  <c r="I65" i="20"/>
  <c r="B65" i="20"/>
  <c r="K64" i="20"/>
  <c r="I64" i="20"/>
  <c r="B64" i="20"/>
  <c r="K63" i="20"/>
  <c r="I63" i="20"/>
  <c r="B63" i="20"/>
  <c r="K62" i="20"/>
  <c r="I62" i="20"/>
  <c r="B62" i="20"/>
  <c r="K61" i="20"/>
  <c r="I61" i="20"/>
  <c r="B61" i="20"/>
  <c r="K60" i="20"/>
  <c r="I60" i="20"/>
  <c r="B60" i="20"/>
  <c r="K59" i="20"/>
  <c r="I59" i="20"/>
  <c r="B59" i="20"/>
  <c r="K58" i="20"/>
  <c r="I58" i="20"/>
  <c r="B58" i="20"/>
  <c r="K57" i="20"/>
  <c r="I57" i="20"/>
  <c r="B57" i="20"/>
  <c r="K56" i="20"/>
  <c r="I56" i="20"/>
  <c r="B56" i="20"/>
  <c r="K55" i="20"/>
  <c r="I55" i="20"/>
  <c r="B55" i="20"/>
  <c r="K54" i="20"/>
  <c r="I54" i="20"/>
  <c r="B54" i="20"/>
  <c r="K53" i="20"/>
  <c r="I53" i="20"/>
  <c r="B53" i="20"/>
  <c r="K52" i="20"/>
  <c r="I52" i="20"/>
  <c r="B52" i="20"/>
  <c r="K51" i="20"/>
  <c r="I51" i="20"/>
  <c r="B51" i="20"/>
  <c r="K50" i="20"/>
  <c r="I50" i="20"/>
  <c r="B50" i="20"/>
  <c r="K49" i="20"/>
  <c r="I49" i="20"/>
  <c r="B49" i="20"/>
  <c r="K48" i="20"/>
  <c r="I48" i="20"/>
  <c r="B48" i="20"/>
  <c r="K47" i="20"/>
  <c r="I47" i="20"/>
  <c r="B47" i="20"/>
  <c r="K46" i="20"/>
  <c r="I46" i="20"/>
  <c r="B46" i="20"/>
  <c r="K45" i="20"/>
  <c r="I45" i="20"/>
  <c r="B45" i="20"/>
  <c r="K44" i="20"/>
  <c r="I44" i="20"/>
  <c r="B44" i="20"/>
  <c r="K43" i="20"/>
  <c r="I43" i="20"/>
  <c r="B43" i="20"/>
  <c r="K42" i="20"/>
  <c r="I42" i="20"/>
  <c r="B42" i="20"/>
  <c r="K41" i="20"/>
  <c r="I41" i="20"/>
  <c r="B41" i="20"/>
  <c r="K40" i="20"/>
  <c r="I40" i="20"/>
  <c r="B40" i="20"/>
  <c r="K39" i="20"/>
  <c r="I39" i="20"/>
  <c r="B39" i="20"/>
  <c r="K38" i="20"/>
  <c r="I38" i="20"/>
  <c r="B38" i="20"/>
  <c r="K37" i="20"/>
  <c r="I37" i="20"/>
  <c r="B37" i="20"/>
  <c r="K36" i="20"/>
  <c r="I36" i="20"/>
  <c r="B36" i="20"/>
  <c r="K35" i="20"/>
  <c r="I35" i="20"/>
  <c r="B35" i="20"/>
  <c r="K34" i="20"/>
  <c r="I34" i="20"/>
  <c r="M34" i="20" s="1"/>
  <c r="B34" i="20"/>
  <c r="K33" i="20"/>
  <c r="I33" i="20"/>
  <c r="B33" i="20"/>
  <c r="K32" i="20"/>
  <c r="I32" i="20"/>
  <c r="B32" i="20"/>
  <c r="K31" i="20"/>
  <c r="I31" i="20"/>
  <c r="B31" i="20"/>
  <c r="K30" i="20"/>
  <c r="I30" i="20"/>
  <c r="B30" i="20"/>
  <c r="K29" i="20"/>
  <c r="I29" i="20"/>
  <c r="B29" i="20"/>
  <c r="K28" i="20"/>
  <c r="I28" i="20"/>
  <c r="M28" i="20" s="1"/>
  <c r="B28" i="20"/>
  <c r="K27" i="20"/>
  <c r="I27" i="20"/>
  <c r="B27" i="20"/>
  <c r="K26" i="20"/>
  <c r="I26" i="20"/>
  <c r="B26" i="20"/>
  <c r="K25" i="20"/>
  <c r="I25" i="20"/>
  <c r="B25" i="20"/>
  <c r="K24" i="20"/>
  <c r="I24" i="20"/>
  <c r="B24" i="20"/>
  <c r="K23" i="20"/>
  <c r="I23" i="20"/>
  <c r="B23" i="20"/>
  <c r="K22" i="20"/>
  <c r="I22" i="20"/>
  <c r="B22" i="20"/>
  <c r="K21" i="20"/>
  <c r="I21" i="20"/>
  <c r="K19" i="20"/>
  <c r="I19" i="20"/>
  <c r="K18" i="20"/>
  <c r="I18" i="20"/>
  <c r="K17" i="20"/>
  <c r="I17" i="20"/>
  <c r="K16" i="20"/>
  <c r="I16" i="20"/>
  <c r="K15" i="20"/>
  <c r="I15" i="20"/>
  <c r="K14" i="20"/>
  <c r="I14" i="20"/>
  <c r="K13" i="20"/>
  <c r="I13" i="20"/>
  <c r="K12" i="20"/>
  <c r="I12" i="20"/>
  <c r="M12" i="20" s="1"/>
  <c r="K11" i="20"/>
  <c r="I11" i="20"/>
  <c r="K10" i="20"/>
  <c r="I10" i="20"/>
  <c r="K9" i="20"/>
  <c r="I9" i="20"/>
  <c r="K8" i="20"/>
  <c r="I8" i="20"/>
  <c r="K7" i="20"/>
  <c r="I7" i="20"/>
  <c r="K2" i="20"/>
  <c r="L8" i="20" s="1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K298" i="18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K290" i="18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K282" i="18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K274" i="18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K258" i="18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K250" i="18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K234" i="18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K226" i="18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K218" i="18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K210" i="18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K202" i="18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K194" i="18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K186" i="18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K162" i="18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K154" i="18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K146" i="18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K138" i="18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K130" i="18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K122" i="18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K106" i="18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K98" i="18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K90" i="18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K85" i="18"/>
  <c r="I85" i="18"/>
  <c r="M85" i="18" s="1"/>
  <c r="K84" i="18"/>
  <c r="I84" i="18"/>
  <c r="M84" i="18" s="1"/>
  <c r="K83" i="18"/>
  <c r="I83" i="18"/>
  <c r="M83" i="18" s="1"/>
  <c r="K82" i="18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K75" i="18"/>
  <c r="I75" i="18"/>
  <c r="M75" i="18" s="1"/>
  <c r="K74" i="18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K69" i="18"/>
  <c r="I69" i="18"/>
  <c r="M69" i="18" s="1"/>
  <c r="K68" i="18"/>
  <c r="I68" i="18"/>
  <c r="M68" i="18" s="1"/>
  <c r="K67" i="18"/>
  <c r="I67" i="18"/>
  <c r="M67" i="18" s="1"/>
  <c r="K66" i="18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K58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K50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K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K42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K35" i="18"/>
  <c r="I35" i="18"/>
  <c r="M35" i="18" s="1"/>
  <c r="A35" i="18" s="1"/>
  <c r="B35" i="18"/>
  <c r="K34" i="18"/>
  <c r="I34" i="18"/>
  <c r="M34" i="18" s="1"/>
  <c r="A34" i="18" s="1"/>
  <c r="B34" i="18"/>
  <c r="K33" i="18"/>
  <c r="I33" i="18"/>
  <c r="M33" i="18" s="1"/>
  <c r="A33" i="18" s="1"/>
  <c r="B33" i="18"/>
  <c r="K32" i="18"/>
  <c r="I32" i="18"/>
  <c r="M32" i="18" s="1"/>
  <c r="A32" i="18" s="1"/>
  <c r="B32" i="18"/>
  <c r="K31" i="18"/>
  <c r="I31" i="18"/>
  <c r="M31" i="18" s="1"/>
  <c r="A31" i="18" s="1"/>
  <c r="B31" i="18"/>
  <c r="K30" i="18"/>
  <c r="I30" i="18"/>
  <c r="M30" i="18" s="1"/>
  <c r="A30" i="18" s="1"/>
  <c r="B30" i="18"/>
  <c r="K29" i="18"/>
  <c r="I29" i="18"/>
  <c r="M29" i="18" s="1"/>
  <c r="A29" i="18" s="1"/>
  <c r="B29" i="18"/>
  <c r="K28" i="18"/>
  <c r="I28" i="18"/>
  <c r="M28" i="18" s="1"/>
  <c r="A28" i="18" s="1"/>
  <c r="B28" i="18"/>
  <c r="K27" i="18"/>
  <c r="I27" i="18"/>
  <c r="M27" i="18" s="1"/>
  <c r="A27" i="18" s="1"/>
  <c r="B27" i="18"/>
  <c r="K26" i="18"/>
  <c r="I26" i="18"/>
  <c r="M26" i="18" s="1"/>
  <c r="A26" i="18" s="1"/>
  <c r="B26" i="18"/>
  <c r="K25" i="18"/>
  <c r="I25" i="18"/>
  <c r="M25" i="18" s="1"/>
  <c r="A25" i="18" s="1"/>
  <c r="K24" i="18"/>
  <c r="I24" i="18"/>
  <c r="M24" i="18" s="1"/>
  <c r="A24" i="18" s="1"/>
  <c r="K23" i="18"/>
  <c r="I23" i="18"/>
  <c r="M23" i="18" s="1"/>
  <c r="A23" i="18" s="1"/>
  <c r="K22" i="18"/>
  <c r="I22" i="18"/>
  <c r="M22" i="18" s="1"/>
  <c r="A22" i="18"/>
  <c r="K21" i="18"/>
  <c r="I21" i="18"/>
  <c r="M21" i="18" s="1"/>
  <c r="A21" i="18" s="1"/>
  <c r="K20" i="18"/>
  <c r="I20" i="18"/>
  <c r="M20" i="18" s="1"/>
  <c r="A20" i="18" s="1"/>
  <c r="K19" i="18"/>
  <c r="I19" i="18"/>
  <c r="M19" i="18" s="1"/>
  <c r="A19" i="18" s="1"/>
  <c r="K18" i="18"/>
  <c r="I18" i="18"/>
  <c r="M18" i="18" s="1"/>
  <c r="K17" i="18"/>
  <c r="I17" i="18"/>
  <c r="M17" i="18" s="1"/>
  <c r="A17" i="18" s="1"/>
  <c r="K16" i="18"/>
  <c r="I16" i="18"/>
  <c r="K15" i="18"/>
  <c r="I15" i="18"/>
  <c r="M15" i="18" s="1"/>
  <c r="A15" i="18" s="1"/>
  <c r="K14" i="18"/>
  <c r="I14" i="18"/>
  <c r="K13" i="18"/>
  <c r="I13" i="18"/>
  <c r="K12" i="18"/>
  <c r="I12" i="18"/>
  <c r="K11" i="18"/>
  <c r="I11" i="18"/>
  <c r="K10" i="18"/>
  <c r="I10" i="18"/>
  <c r="K7" i="18"/>
  <c r="I7" i="18"/>
  <c r="K2" i="18"/>
  <c r="L8" i="18" s="1"/>
  <c r="M8" i="18" s="1"/>
  <c r="A8" i="18" s="1"/>
  <c r="M9" i="20" l="1"/>
  <c r="M10" i="20"/>
  <c r="M11" i="20"/>
  <c r="M8" i="20"/>
  <c r="M13" i="20"/>
  <c r="M14" i="20"/>
  <c r="M15" i="20"/>
  <c r="A15" i="20" s="1"/>
  <c r="M16" i="20"/>
  <c r="A16" i="20" s="1"/>
  <c r="M17" i="20"/>
  <c r="A17" i="20" s="1"/>
  <c r="M18" i="20"/>
  <c r="A18" i="20" s="1"/>
  <c r="M19" i="20"/>
  <c r="A21" i="20"/>
  <c r="M21" i="20"/>
  <c r="A22" i="20"/>
  <c r="M22" i="20"/>
  <c r="A23" i="20"/>
  <c r="M23" i="20"/>
  <c r="A24" i="20"/>
  <c r="M24" i="20"/>
  <c r="A25" i="20"/>
  <c r="M25" i="20"/>
  <c r="A26" i="20"/>
  <c r="M26" i="20"/>
  <c r="A27" i="20"/>
  <c r="M27" i="20"/>
  <c r="A29" i="20"/>
  <c r="M29" i="20"/>
  <c r="A30" i="20"/>
  <c r="M30" i="20"/>
  <c r="A31" i="20"/>
  <c r="M31" i="20"/>
  <c r="A32" i="20"/>
  <c r="M32" i="20"/>
  <c r="A33" i="20"/>
  <c r="M33" i="20"/>
  <c r="A35" i="20"/>
  <c r="M35" i="20"/>
  <c r="A36" i="20"/>
  <c r="M36" i="20"/>
  <c r="A37" i="20"/>
  <c r="M37" i="20"/>
  <c r="A38" i="20"/>
  <c r="M38" i="20"/>
  <c r="A39" i="20"/>
  <c r="M39" i="20"/>
  <c r="A40" i="20"/>
  <c r="M40" i="20"/>
  <c r="A41" i="20"/>
  <c r="M41" i="20"/>
  <c r="A42" i="20"/>
  <c r="M42" i="20"/>
  <c r="A43" i="20"/>
  <c r="M43" i="20"/>
  <c r="A44" i="20"/>
  <c r="M44" i="20"/>
  <c r="A45" i="20"/>
  <c r="M45" i="20"/>
  <c r="A46" i="20"/>
  <c r="M46" i="20"/>
  <c r="A47" i="20"/>
  <c r="M47" i="20"/>
  <c r="A48" i="20"/>
  <c r="M48" i="20"/>
  <c r="A49" i="20"/>
  <c r="M49" i="20"/>
  <c r="A50" i="20"/>
  <c r="M50" i="20"/>
  <c r="A51" i="20"/>
  <c r="M51" i="20"/>
  <c r="A52" i="20"/>
  <c r="M52" i="20"/>
  <c r="A53" i="20"/>
  <c r="M53" i="20"/>
  <c r="A54" i="20"/>
  <c r="M54" i="20"/>
  <c r="A55" i="20"/>
  <c r="M55" i="20"/>
  <c r="A56" i="20"/>
  <c r="M56" i="20"/>
  <c r="A57" i="20"/>
  <c r="M57" i="20"/>
  <c r="A58" i="20"/>
  <c r="M58" i="20"/>
  <c r="A59" i="20"/>
  <c r="M59" i="20"/>
  <c r="A60" i="20"/>
  <c r="M60" i="20"/>
  <c r="A61" i="20"/>
  <c r="M61" i="20"/>
  <c r="A62" i="20"/>
  <c r="M62" i="20"/>
  <c r="A63" i="20"/>
  <c r="M63" i="20"/>
  <c r="A64" i="20"/>
  <c r="M64" i="20"/>
  <c r="A65" i="20"/>
  <c r="M65" i="20"/>
  <c r="A66" i="20"/>
  <c r="M66" i="20"/>
  <c r="A67" i="20"/>
  <c r="M67" i="20"/>
  <c r="A68" i="20"/>
  <c r="M68" i="20"/>
  <c r="A69" i="20"/>
  <c r="M69" i="20"/>
  <c r="A70" i="20"/>
  <c r="M70" i="20"/>
  <c r="A71" i="20"/>
  <c r="M71" i="20"/>
  <c r="A72" i="20"/>
  <c r="M72" i="20"/>
  <c r="A73" i="20"/>
  <c r="M73" i="20"/>
  <c r="A74" i="20"/>
  <c r="M74" i="20"/>
  <c r="A75" i="20"/>
  <c r="M75" i="20"/>
  <c r="A76" i="20"/>
  <c r="M76" i="20"/>
  <c r="A77" i="20"/>
  <c r="M77" i="20"/>
  <c r="A78" i="20"/>
  <c r="M78" i="20"/>
  <c r="A79" i="20"/>
  <c r="M79" i="20"/>
  <c r="A80" i="20"/>
  <c r="M80" i="20"/>
  <c r="A81" i="20"/>
  <c r="M81" i="20"/>
  <c r="A82" i="20"/>
  <c r="M82" i="20"/>
  <c r="A83" i="20"/>
  <c r="M83" i="20"/>
  <c r="A84" i="20"/>
  <c r="M84" i="20"/>
  <c r="A85" i="20"/>
  <c r="M85" i="20"/>
  <c r="A86" i="20"/>
  <c r="M86" i="20"/>
  <c r="A87" i="20"/>
  <c r="M87" i="20"/>
  <c r="A88" i="20"/>
  <c r="M88" i="20"/>
  <c r="A89" i="20"/>
  <c r="M89" i="20"/>
  <c r="A90" i="20"/>
  <c r="M90" i="20"/>
  <c r="A91" i="20"/>
  <c r="M91" i="20"/>
  <c r="A92" i="20"/>
  <c r="M92" i="20"/>
  <c r="A93" i="20"/>
  <c r="M93" i="20"/>
  <c r="A94" i="20"/>
  <c r="M94" i="20"/>
  <c r="A95" i="20"/>
  <c r="M95" i="20"/>
  <c r="A96" i="20"/>
  <c r="M96" i="20"/>
  <c r="A97" i="20"/>
  <c r="M97" i="20"/>
  <c r="A98" i="20"/>
  <c r="M98" i="20"/>
  <c r="A99" i="20"/>
  <c r="M99" i="20"/>
  <c r="A100" i="20"/>
  <c r="M100" i="20"/>
  <c r="A101" i="20"/>
  <c r="M101" i="20"/>
  <c r="A102" i="20"/>
  <c r="M102" i="20"/>
  <c r="A103" i="20"/>
  <c r="M103" i="20"/>
  <c r="A104" i="20"/>
  <c r="M104" i="20"/>
  <c r="A105" i="20"/>
  <c r="M105" i="20"/>
  <c r="A106" i="20"/>
  <c r="M106" i="20"/>
  <c r="A107" i="20"/>
  <c r="M107" i="20"/>
  <c r="A108" i="20"/>
  <c r="M108" i="20"/>
  <c r="A109" i="20"/>
  <c r="M109" i="20"/>
  <c r="A110" i="20"/>
  <c r="M110" i="20"/>
  <c r="A111" i="20"/>
  <c r="M111" i="20"/>
  <c r="A112" i="20"/>
  <c r="M112" i="20"/>
  <c r="A113" i="20"/>
  <c r="M113" i="20"/>
  <c r="A114" i="20"/>
  <c r="M114" i="20"/>
  <c r="A115" i="20"/>
  <c r="M115" i="20"/>
  <c r="A116" i="20"/>
  <c r="M116" i="20"/>
  <c r="A117" i="20"/>
  <c r="M117" i="20"/>
  <c r="A118" i="20"/>
  <c r="M118" i="20"/>
  <c r="A119" i="20"/>
  <c r="M119" i="20"/>
  <c r="A120" i="20"/>
  <c r="M120" i="20"/>
  <c r="A121" i="20"/>
  <c r="M121" i="20"/>
  <c r="A122" i="20"/>
  <c r="M122" i="20"/>
  <c r="A123" i="20"/>
  <c r="M123" i="20"/>
  <c r="A124" i="20"/>
  <c r="M124" i="20"/>
  <c r="A125" i="20"/>
  <c r="M125" i="20"/>
  <c r="A126" i="20"/>
  <c r="M126" i="20"/>
  <c r="A127" i="20"/>
  <c r="M127" i="20"/>
  <c r="A128" i="20"/>
  <c r="M128" i="20"/>
  <c r="A129" i="20"/>
  <c r="M129" i="20"/>
  <c r="A130" i="20"/>
  <c r="M130" i="20"/>
  <c r="A131" i="20"/>
  <c r="M131" i="20"/>
  <c r="A132" i="20"/>
  <c r="M132" i="20"/>
  <c r="A133" i="20"/>
  <c r="M133" i="20"/>
  <c r="A134" i="20"/>
  <c r="M134" i="20"/>
  <c r="A135" i="20"/>
  <c r="M135" i="20"/>
  <c r="A136" i="20"/>
  <c r="M136" i="20"/>
  <c r="A137" i="20"/>
  <c r="M137" i="20"/>
  <c r="A138" i="20"/>
  <c r="M138" i="20"/>
  <c r="A139" i="20"/>
  <c r="M139" i="20"/>
  <c r="A140" i="20"/>
  <c r="M140" i="20"/>
  <c r="A141" i="20"/>
  <c r="M141" i="20"/>
  <c r="A142" i="20"/>
  <c r="M142" i="20"/>
  <c r="A143" i="20"/>
  <c r="M143" i="20"/>
  <c r="A144" i="20"/>
  <c r="M144" i="20"/>
  <c r="A145" i="20"/>
  <c r="M145" i="20"/>
  <c r="A146" i="20"/>
  <c r="M146" i="20"/>
  <c r="A147" i="20"/>
  <c r="M147" i="20"/>
  <c r="A148" i="20"/>
  <c r="M148" i="20"/>
  <c r="A149" i="20"/>
  <c r="M149" i="20"/>
  <c r="A150" i="20"/>
  <c r="M150" i="20"/>
  <c r="A151" i="20"/>
  <c r="M151" i="20"/>
  <c r="A152" i="20"/>
  <c r="M152" i="20"/>
  <c r="A153" i="20"/>
  <c r="M153" i="20"/>
  <c r="A154" i="20"/>
  <c r="M154" i="20"/>
  <c r="A155" i="20"/>
  <c r="M155" i="20"/>
  <c r="A156" i="20"/>
  <c r="M156" i="20"/>
  <c r="A157" i="20"/>
  <c r="M157" i="20"/>
  <c r="A158" i="20"/>
  <c r="M158" i="20"/>
  <c r="A159" i="20"/>
  <c r="M159" i="20"/>
  <c r="A160" i="20"/>
  <c r="M160" i="20"/>
  <c r="A161" i="20"/>
  <c r="M161" i="20"/>
  <c r="A162" i="20"/>
  <c r="M162" i="20"/>
  <c r="A163" i="20"/>
  <c r="M163" i="20"/>
  <c r="A164" i="20"/>
  <c r="M164" i="20"/>
  <c r="A165" i="20"/>
  <c r="M165" i="20"/>
  <c r="A166" i="20"/>
  <c r="M166" i="20"/>
  <c r="A167" i="20"/>
  <c r="M167" i="20"/>
  <c r="A168" i="20"/>
  <c r="M168" i="20"/>
  <c r="A169" i="20"/>
  <c r="M169" i="20"/>
  <c r="A170" i="20"/>
  <c r="M170" i="20"/>
  <c r="A171" i="20"/>
  <c r="M171" i="20"/>
  <c r="A172" i="20"/>
  <c r="M172" i="20"/>
  <c r="A173" i="20"/>
  <c r="M173" i="20"/>
  <c r="A174" i="20"/>
  <c r="M174" i="20"/>
  <c r="A175" i="20"/>
  <c r="M175" i="20"/>
  <c r="A176" i="20"/>
  <c r="M176" i="20"/>
  <c r="A177" i="20"/>
  <c r="M177" i="20"/>
  <c r="A178" i="20"/>
  <c r="M178" i="20"/>
  <c r="A179" i="20"/>
  <c r="M179" i="20"/>
  <c r="A180" i="20"/>
  <c r="M180" i="20"/>
  <c r="A181" i="20"/>
  <c r="M181" i="20"/>
  <c r="A182" i="20"/>
  <c r="M182" i="20"/>
  <c r="A183" i="20"/>
  <c r="M183" i="20"/>
  <c r="A184" i="20"/>
  <c r="M184" i="20"/>
  <c r="A185" i="20"/>
  <c r="M185" i="20"/>
  <c r="A186" i="20"/>
  <c r="M186" i="20"/>
  <c r="A187" i="20"/>
  <c r="M187" i="20"/>
  <c r="A188" i="20"/>
  <c r="M188" i="20"/>
  <c r="A189" i="20"/>
  <c r="M189" i="20"/>
  <c r="A190" i="20"/>
  <c r="M190" i="20"/>
  <c r="A191" i="20"/>
  <c r="M191" i="20"/>
  <c r="A192" i="20"/>
  <c r="M192" i="20"/>
  <c r="A193" i="20"/>
  <c r="M193" i="20"/>
  <c r="A194" i="20"/>
  <c r="M194" i="20"/>
  <c r="A195" i="20"/>
  <c r="M195" i="20"/>
  <c r="A196" i="20"/>
  <c r="M196" i="20"/>
  <c r="A197" i="20"/>
  <c r="M197" i="20"/>
  <c r="A198" i="20"/>
  <c r="M198" i="20"/>
  <c r="A199" i="20"/>
  <c r="M199" i="20"/>
  <c r="A200" i="20"/>
  <c r="M200" i="20"/>
  <c r="A201" i="20"/>
  <c r="M201" i="20"/>
  <c r="A202" i="20"/>
  <c r="M202" i="20"/>
  <c r="A203" i="20"/>
  <c r="M203" i="20"/>
  <c r="A204" i="20"/>
  <c r="M204" i="20"/>
  <c r="A205" i="20"/>
  <c r="M205" i="20"/>
  <c r="A206" i="20"/>
  <c r="M206" i="20"/>
  <c r="A207" i="20"/>
  <c r="M207" i="20"/>
  <c r="A208" i="20"/>
  <c r="M208" i="20"/>
  <c r="A209" i="20"/>
  <c r="M209" i="20"/>
  <c r="A210" i="20"/>
  <c r="M210" i="20"/>
  <c r="A211" i="20"/>
  <c r="M211" i="20"/>
  <c r="A212" i="20"/>
  <c r="M212" i="20"/>
  <c r="A213" i="20"/>
  <c r="M213" i="20"/>
  <c r="A214" i="20"/>
  <c r="M214" i="20"/>
  <c r="A215" i="20"/>
  <c r="M215" i="20"/>
  <c r="A216" i="20"/>
  <c r="M216" i="20"/>
  <c r="A217" i="20"/>
  <c r="M217" i="20"/>
  <c r="A218" i="20"/>
  <c r="M218" i="20"/>
  <c r="A219" i="20"/>
  <c r="M219" i="20"/>
  <c r="A220" i="20"/>
  <c r="M220" i="20"/>
  <c r="A221" i="20"/>
  <c r="M221" i="20"/>
  <c r="A222" i="20"/>
  <c r="M222" i="20"/>
  <c r="A223" i="20"/>
  <c r="M223" i="20"/>
  <c r="A224" i="20"/>
  <c r="M224" i="20"/>
  <c r="A225" i="20"/>
  <c r="M225" i="20"/>
  <c r="A226" i="20"/>
  <c r="M226" i="20"/>
  <c r="A227" i="20"/>
  <c r="M227" i="20"/>
  <c r="A228" i="20"/>
  <c r="M228" i="20"/>
  <c r="A229" i="20"/>
  <c r="M229" i="20"/>
  <c r="A230" i="20"/>
  <c r="M230" i="20"/>
  <c r="A231" i="20"/>
  <c r="M231" i="20"/>
  <c r="A232" i="20"/>
  <c r="M232" i="20"/>
  <c r="A233" i="20"/>
  <c r="M233" i="20"/>
  <c r="A234" i="20"/>
  <c r="M234" i="20"/>
  <c r="A235" i="20"/>
  <c r="M235" i="20"/>
  <c r="A236" i="20"/>
  <c r="M236" i="20"/>
  <c r="A237" i="20"/>
  <c r="M237" i="20"/>
  <c r="A238" i="20"/>
  <c r="M238" i="20"/>
  <c r="A239" i="20"/>
  <c r="M239" i="20"/>
  <c r="A240" i="20"/>
  <c r="M240" i="20"/>
  <c r="A241" i="20"/>
  <c r="M241" i="20"/>
  <c r="A242" i="20"/>
  <c r="M242" i="20"/>
  <c r="A243" i="20"/>
  <c r="M243" i="20"/>
  <c r="A244" i="20"/>
  <c r="M244" i="20"/>
  <c r="A245" i="20"/>
  <c r="M245" i="20"/>
  <c r="A246" i="20"/>
  <c r="M246" i="20"/>
  <c r="A247" i="20"/>
  <c r="M247" i="20"/>
  <c r="A248" i="20"/>
  <c r="M248" i="20"/>
  <c r="A249" i="20"/>
  <c r="M249" i="20"/>
  <c r="A250" i="20"/>
  <c r="M250" i="20"/>
  <c r="A251" i="20"/>
  <c r="M251" i="20"/>
  <c r="A252" i="20"/>
  <c r="M252" i="20"/>
  <c r="A253" i="20"/>
  <c r="M253" i="20"/>
  <c r="A254" i="20"/>
  <c r="M254" i="20"/>
  <c r="A255" i="20"/>
  <c r="M255" i="20"/>
  <c r="A256" i="20"/>
  <c r="M256" i="20"/>
  <c r="A257" i="20"/>
  <c r="M257" i="20"/>
  <c r="A258" i="20"/>
  <c r="M258" i="20"/>
  <c r="M259" i="20"/>
  <c r="A259" i="20"/>
  <c r="A260" i="20"/>
  <c r="M260" i="20"/>
  <c r="A261" i="20"/>
  <c r="M261" i="20"/>
  <c r="A262" i="20"/>
  <c r="M262" i="20"/>
  <c r="A263" i="20"/>
  <c r="M263" i="20"/>
  <c r="A264" i="20"/>
  <c r="M264" i="20"/>
  <c r="A265" i="20"/>
  <c r="M265" i="20"/>
  <c r="A266" i="20"/>
  <c r="M266" i="20"/>
  <c r="A267" i="20"/>
  <c r="M267" i="20"/>
  <c r="A268" i="20"/>
  <c r="M268" i="20"/>
  <c r="A269" i="20"/>
  <c r="M269" i="20"/>
  <c r="A270" i="20"/>
  <c r="M270" i="20"/>
  <c r="M271" i="20"/>
  <c r="A271" i="20"/>
  <c r="A272" i="20"/>
  <c r="M272" i="20"/>
  <c r="A273" i="20"/>
  <c r="M273" i="20"/>
  <c r="A274" i="20"/>
  <c r="M274" i="20"/>
  <c r="A275" i="20"/>
  <c r="M275" i="20"/>
  <c r="A276" i="20"/>
  <c r="M276" i="20"/>
  <c r="A277" i="20"/>
  <c r="M277" i="20"/>
  <c r="A278" i="20"/>
  <c r="M278" i="20"/>
  <c r="A279" i="20"/>
  <c r="M279" i="20"/>
  <c r="A280" i="20"/>
  <c r="M280" i="20"/>
  <c r="A281" i="20"/>
  <c r="M281" i="20"/>
  <c r="A282" i="20"/>
  <c r="M282" i="20"/>
  <c r="M283" i="20"/>
  <c r="A283" i="20"/>
  <c r="A284" i="20"/>
  <c r="M284" i="20"/>
  <c r="A285" i="20"/>
  <c r="M285" i="20"/>
  <c r="A286" i="20"/>
  <c r="M286" i="20"/>
  <c r="A287" i="20"/>
  <c r="M287" i="20"/>
  <c r="A288" i="20"/>
  <c r="M288" i="20"/>
  <c r="A289" i="20"/>
  <c r="M289" i="20"/>
  <c r="A290" i="20"/>
  <c r="M290" i="20"/>
  <c r="A291" i="20"/>
  <c r="M291" i="20"/>
  <c r="A292" i="20"/>
  <c r="M292" i="20"/>
  <c r="A293" i="20"/>
  <c r="M293" i="20"/>
  <c r="A294" i="20"/>
  <c r="M294" i="20"/>
  <c r="A295" i="20"/>
  <c r="M295" i="20"/>
  <c r="A296" i="20"/>
  <c r="M296" i="20"/>
  <c r="A297" i="20"/>
  <c r="M297" i="20"/>
  <c r="A298" i="20"/>
  <c r="M298" i="20"/>
  <c r="A299" i="20"/>
  <c r="M299" i="20"/>
  <c r="A300" i="20"/>
  <c r="M300" i="20"/>
  <c r="A301" i="20"/>
  <c r="M301" i="20"/>
  <c r="A302" i="20"/>
  <c r="M302" i="20"/>
  <c r="A303" i="20"/>
  <c r="M303" i="20"/>
  <c r="A304" i="20"/>
  <c r="M304" i="20"/>
  <c r="A305" i="20"/>
  <c r="M305" i="20"/>
  <c r="L7" i="18"/>
  <c r="L6" i="18"/>
  <c r="M6" i="18"/>
  <c r="A6" i="18" s="1"/>
  <c r="F8" i="31" s="1"/>
  <c r="M7" i="18"/>
  <c r="A7" i="18" s="1"/>
  <c r="F9" i="31" s="1"/>
  <c r="A9" i="18"/>
  <c r="F7" i="31" s="1"/>
  <c r="M10" i="18"/>
  <c r="A10" i="18" s="1"/>
  <c r="F21" i="31" s="1"/>
  <c r="M11" i="18"/>
  <c r="A11" i="18" s="1"/>
  <c r="F20" i="31" s="1"/>
  <c r="M12" i="18"/>
  <c r="A12" i="18" s="1"/>
  <c r="F6" i="31" s="1"/>
  <c r="M13" i="18"/>
  <c r="A13" i="18" s="1"/>
  <c r="F14" i="31" s="1"/>
  <c r="M14" i="18"/>
  <c r="A14" i="18" s="1"/>
  <c r="F28" i="31" s="1"/>
  <c r="M16" i="18"/>
  <c r="A16" i="18" s="1"/>
  <c r="L7" i="20"/>
  <c r="M7" i="20" s="1"/>
  <c r="A7" i="20" s="1"/>
  <c r="P9" i="31" s="1"/>
  <c r="A8" i="20"/>
  <c r="A9" i="20"/>
  <c r="A34" i="20"/>
  <c r="A11" i="20"/>
  <c r="A12" i="20"/>
  <c r="P11" i="31" s="1"/>
  <c r="A28" i="20"/>
  <c r="L6" i="20"/>
  <c r="M6" i="20" s="1"/>
  <c r="C9" i="31" l="1" a="1"/>
  <c r="C9" i="31" s="1"/>
  <c r="P21" i="31"/>
  <c r="C21" i="31" s="1" a="1"/>
  <c r="C21" i="31" s="1"/>
  <c r="AS9" i="31"/>
  <c r="AT9" i="31"/>
  <c r="AR9" i="31"/>
  <c r="AW9" i="31"/>
  <c r="AV9" i="31"/>
  <c r="AU9" i="31"/>
  <c r="P26" i="31"/>
  <c r="P12" i="31"/>
  <c r="A19" i="20"/>
  <c r="A10" i="20"/>
  <c r="F29" i="31"/>
  <c r="F15" i="31"/>
  <c r="F11" i="31"/>
  <c r="F19" i="31"/>
  <c r="F12" i="31"/>
  <c r="F13" i="31"/>
  <c r="F23" i="31"/>
  <c r="F26" i="31"/>
  <c r="F10" i="31"/>
  <c r="F30" i="31"/>
  <c r="F17" i="31"/>
  <c r="F16" i="31"/>
  <c r="P13" i="31"/>
  <c r="P23" i="31"/>
  <c r="P19" i="31"/>
  <c r="P20" i="31"/>
  <c r="C20" i="31" s="1" a="1"/>
  <c r="C20" i="31" s="1"/>
  <c r="P15" i="31"/>
  <c r="P14" i="31"/>
  <c r="C14" i="31" s="1" a="1"/>
  <c r="C14" i="31" s="1"/>
  <c r="P16" i="31"/>
  <c r="P28" i="31"/>
  <c r="C28" i="31" s="1" a="1"/>
  <c r="C28" i="31" s="1"/>
  <c r="P29" i="31"/>
  <c r="D13" i="1"/>
  <c r="P10" i="31"/>
  <c r="P6" i="31"/>
  <c r="C6" i="31" s="1" a="1"/>
  <c r="C6" i="31" s="1"/>
  <c r="P30" i="31"/>
  <c r="P17" i="31"/>
  <c r="C16" i="31" l="1" a="1"/>
  <c r="C16" i="31" s="1"/>
  <c r="C13" i="31" a="1"/>
  <c r="C13" i="31" s="1"/>
  <c r="C15" i="31" a="1"/>
  <c r="C15" i="31" s="1"/>
  <c r="C26" i="31" a="1"/>
  <c r="C26" i="31" s="1"/>
  <c r="C12" i="31" a="1"/>
  <c r="C12" i="31" s="1"/>
  <c r="C23" i="31" a="1"/>
  <c r="C23" i="31" s="1"/>
  <c r="C17" i="31" a="1"/>
  <c r="C17" i="31" s="1"/>
  <c r="C29" i="31" a="1"/>
  <c r="C29" i="31" s="1"/>
  <c r="C19" i="31" a="1"/>
  <c r="C19" i="31" s="1"/>
  <c r="C30" i="31" a="1"/>
  <c r="C30" i="31" s="1"/>
  <c r="C10" i="31" a="1"/>
  <c r="C10" i="31" s="1"/>
  <c r="AR11" i="31"/>
  <c r="C11" i="31" a="1"/>
  <c r="C11" i="31" s="1"/>
  <c r="AU11" i="31"/>
  <c r="AW11" i="31"/>
  <c r="AS11" i="31"/>
  <c r="AV11" i="31"/>
  <c r="AT11" i="31"/>
  <c r="AU15" i="31"/>
  <c r="AW15" i="31"/>
  <c r="AV15" i="31"/>
  <c r="AS15" i="31"/>
  <c r="AR15" i="31"/>
  <c r="AT15" i="31"/>
  <c r="AW29" i="31"/>
  <c r="AV29" i="31"/>
  <c r="AU29" i="31"/>
  <c r="AT29" i="31"/>
  <c r="AS29" i="31"/>
  <c r="AR29" i="31"/>
  <c r="AW6" i="31"/>
  <c r="AV6" i="31"/>
  <c r="AR6" i="31"/>
  <c r="AU6" i="31"/>
  <c r="AT6" i="31"/>
  <c r="AS6" i="31"/>
  <c r="AU28" i="31"/>
  <c r="AW28" i="31"/>
  <c r="AR28" i="31"/>
  <c r="AV28" i="31"/>
  <c r="AT28" i="31"/>
  <c r="AS28" i="31"/>
  <c r="AU20" i="31"/>
  <c r="AT20" i="31"/>
  <c r="AW20" i="31"/>
  <c r="AS20" i="31"/>
  <c r="AV20" i="31"/>
  <c r="AR20" i="31"/>
  <c r="AP9" i="31" a="1"/>
  <c r="AP9" i="31" s="1"/>
  <c r="AO9" i="31" a="1"/>
  <c r="AO9" i="31" s="1"/>
  <c r="AV26" i="31"/>
  <c r="AU26" i="31"/>
  <c r="AT26" i="31"/>
  <c r="AS26" i="31"/>
  <c r="AR26" i="31"/>
  <c r="AW26" i="31"/>
  <c r="AV17" i="31"/>
  <c r="AU17" i="31"/>
  <c r="AT17" i="31"/>
  <c r="AR17" i="31"/>
  <c r="AS17" i="31"/>
  <c r="AW17" i="31"/>
  <c r="AR30" i="31"/>
  <c r="AV30" i="31"/>
  <c r="AW30" i="31"/>
  <c r="AS30" i="31"/>
  <c r="AU30" i="31"/>
  <c r="AT30" i="31"/>
  <c r="AT10" i="31"/>
  <c r="AS10" i="31"/>
  <c r="AR10" i="31"/>
  <c r="AU10" i="31"/>
  <c r="AW10" i="31"/>
  <c r="AV10" i="31"/>
  <c r="AW14" i="31"/>
  <c r="AV14" i="31"/>
  <c r="AU14" i="31"/>
  <c r="AT14" i="31"/>
  <c r="AR14" i="31"/>
  <c r="AS14" i="31"/>
  <c r="AU19" i="31"/>
  <c r="AW19" i="31"/>
  <c r="AT19" i="31"/>
  <c r="AS19" i="31"/>
  <c r="AR19" i="31"/>
  <c r="AV19" i="31"/>
  <c r="AR13" i="31"/>
  <c r="AT13" i="31"/>
  <c r="AW13" i="31"/>
  <c r="AV13" i="31"/>
  <c r="AU13" i="31"/>
  <c r="AS13" i="31"/>
  <c r="AS16" i="31"/>
  <c r="AU16" i="31"/>
  <c r="AR16" i="31"/>
  <c r="AW16" i="31"/>
  <c r="AV16" i="31"/>
  <c r="AT16" i="31"/>
  <c r="AW23" i="31"/>
  <c r="AV23" i="31"/>
  <c r="AS23" i="31"/>
  <c r="AU23" i="31"/>
  <c r="AT23" i="31"/>
  <c r="AR23" i="31"/>
  <c r="AS12" i="31"/>
  <c r="AW12" i="31"/>
  <c r="AU12" i="31"/>
  <c r="AR12" i="31"/>
  <c r="AT12" i="31"/>
  <c r="AV12" i="31"/>
  <c r="AT21" i="31"/>
  <c r="AS21" i="31"/>
  <c r="AV21" i="31"/>
  <c r="AR21" i="31"/>
  <c r="AU21" i="31"/>
  <c r="AW21" i="31"/>
  <c r="D9" i="1"/>
  <c r="D19" i="1"/>
  <c r="P7" i="31"/>
  <c r="C7" i="31" s="1" a="1"/>
  <c r="C7" i="31" s="1"/>
  <c r="A6" i="20"/>
  <c r="D11" i="1"/>
  <c r="D14" i="1"/>
  <c r="D16" i="1"/>
  <c r="D22" i="1"/>
  <c r="D32" i="1"/>
  <c r="D17" i="1"/>
  <c r="D27" i="1"/>
  <c r="D18" i="1"/>
  <c r="D24" i="1"/>
  <c r="D20" i="1"/>
  <c r="D12" i="1"/>
  <c r="D26" i="1"/>
  <c r="D31" i="1"/>
  <c r="D23" i="1"/>
  <c r="D30" i="1"/>
  <c r="D15" i="1"/>
  <c r="D21" i="1"/>
  <c r="D8" i="1"/>
  <c r="D10" i="1"/>
  <c r="D6" i="1"/>
  <c r="D9" i="31" l="1"/>
  <c r="AP11" i="31" a="1"/>
  <c r="AP11" i="31" s="1"/>
  <c r="AP16" i="31" a="1"/>
  <c r="AP16" i="31" s="1"/>
  <c r="AO28" i="31" a="1"/>
  <c r="AO28" i="31" s="1"/>
  <c r="AP15" i="31" a="1"/>
  <c r="AP15" i="31" s="1"/>
  <c r="D15" i="31" s="1"/>
  <c r="AO11" i="31" a="1"/>
  <c r="AO11" i="31" s="1"/>
  <c r="D11" i="31" s="1"/>
  <c r="AP13" i="31" a="1"/>
  <c r="AP13" i="31" s="1"/>
  <c r="AO29" i="31" a="1"/>
  <c r="AO29" i="31" s="1"/>
  <c r="AO15" i="31" a="1"/>
  <c r="AO15" i="31" s="1"/>
  <c r="AO16" i="31" a="1"/>
  <c r="AO16" i="31" s="1"/>
  <c r="AP30" i="31" a="1"/>
  <c r="AP30" i="31" s="1"/>
  <c r="D30" i="31" s="1"/>
  <c r="AO19" i="31" a="1"/>
  <c r="AO19" i="31" s="1"/>
  <c r="AP14" i="31" a="1"/>
  <c r="AP14" i="31" s="1"/>
  <c r="AO14" i="31" a="1"/>
  <c r="AO14" i="31" s="1"/>
  <c r="D14" i="31" s="1"/>
  <c r="AP10" i="31" a="1"/>
  <c r="AP10" i="31" s="1"/>
  <c r="AO10" i="31" a="1"/>
  <c r="AO10" i="31" s="1"/>
  <c r="AP28" i="31" a="1"/>
  <c r="AP28" i="31" s="1"/>
  <c r="D28" i="31" s="1"/>
  <c r="AP29" i="31" a="1"/>
  <c r="AP29" i="31" s="1"/>
  <c r="D29" i="31" s="1"/>
  <c r="AO30" i="31" a="1"/>
  <c r="AO30" i="31" s="1"/>
  <c r="AP17" i="31" a="1"/>
  <c r="AP17" i="31" s="1"/>
  <c r="D17" i="31" s="1"/>
  <c r="AP20" i="31" a="1"/>
  <c r="AP20" i="31" s="1"/>
  <c r="D20" i="31" s="1"/>
  <c r="AO20" i="31" a="1"/>
  <c r="AO20" i="31" s="1"/>
  <c r="AO12" i="31" a="1"/>
  <c r="AO12" i="31" s="1"/>
  <c r="D12" i="31" s="1"/>
  <c r="AP12" i="31" a="1"/>
  <c r="AP12" i="31" s="1"/>
  <c r="AO26" i="31" a="1"/>
  <c r="AO26" i="31" s="1"/>
  <c r="AT7" i="31"/>
  <c r="AW7" i="31"/>
  <c r="AV7" i="31"/>
  <c r="AU7" i="31"/>
  <c r="AR7" i="31"/>
  <c r="AS7" i="31"/>
  <c r="AP26" i="31" a="1"/>
  <c r="AP26" i="31" s="1"/>
  <c r="AO21" i="31" a="1"/>
  <c r="AO21" i="31" s="1"/>
  <c r="AP21" i="31" a="1"/>
  <c r="AP21" i="31" s="1"/>
  <c r="AP6" i="31" a="1"/>
  <c r="AP6" i="31" s="1"/>
  <c r="AM6" i="31" a="1"/>
  <c r="AM6" i="31" s="1"/>
  <c r="D6" i="31" s="1"/>
  <c r="AN6" i="31" a="1"/>
  <c r="AN6" i="31" s="1"/>
  <c r="AO6" i="31" a="1"/>
  <c r="AO6" i="31" s="1"/>
  <c r="AO23" i="31" a="1"/>
  <c r="AO23" i="31" s="1"/>
  <c r="AP23" i="31" a="1"/>
  <c r="AP23" i="31" s="1"/>
  <c r="D23" i="31" s="1"/>
  <c r="AO13" i="31" a="1"/>
  <c r="AO13" i="31" s="1"/>
  <c r="D13" i="31" s="1"/>
  <c r="AP19" i="31" a="1"/>
  <c r="AP19" i="31" s="1"/>
  <c r="D19" i="31" s="1"/>
  <c r="AO17" i="31" a="1"/>
  <c r="AO17" i="31" s="1"/>
  <c r="P8" i="31"/>
  <c r="C8" i="31" s="1" a="1"/>
  <c r="C8" i="31" s="1"/>
  <c r="D7" i="1"/>
  <c r="AM7" i="31" l="1" a="1"/>
  <c r="AM7" i="31" s="1"/>
  <c r="D10" i="31"/>
  <c r="D16" i="31"/>
  <c r="D26" i="31"/>
  <c r="D21" i="31"/>
  <c r="AW8" i="31"/>
  <c r="AV8" i="31"/>
  <c r="AU8" i="31"/>
  <c r="AS8" i="31"/>
  <c r="AT8" i="31"/>
  <c r="AR8" i="31"/>
  <c r="AO7" i="31" a="1"/>
  <c r="AO7" i="31" s="1"/>
  <c r="AN7" i="31" a="1"/>
  <c r="AN7" i="31" s="1"/>
  <c r="AP7" i="31" a="1"/>
  <c r="AP7" i="31" s="1"/>
  <c r="D7" i="31" l="1"/>
  <c r="AO8" i="31" a="1"/>
  <c r="AO8" i="31" s="1"/>
  <c r="AP8" i="31" a="1"/>
  <c r="AP8" i="31" s="1"/>
  <c r="AN8" i="31" a="1"/>
  <c r="AN8" i="31" s="1"/>
  <c r="AM8" i="31" a="1"/>
  <c r="AM8" i="31" s="1"/>
  <c r="D8" i="3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<sst xmlns="http://schemas.openxmlformats.org/spreadsheetml/2006/main" count="1501" uniqueCount="411">
  <si>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</si>
  <si>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2025-2026</t>
    </r>
  </si>
  <si>
    <t>Na sumę punktów w rankingu skłąda się 4 najlePSzych wyników (z 5 możliwych) w turniejach PP Weteranów oraz wynik z Mistrzostw Polski Weteranów.</t>
  </si>
  <si>
    <t>Kat. 2</t>
  </si>
  <si>
    <t>L.P.</t>
  </si>
  <si>
    <t>NAZWISKO Imię</t>
  </si>
  <si>
    <t>KLUB</t>
  </si>
  <si>
    <t>PUNKTY</t>
  </si>
  <si>
    <t>I PP</t>
  </si>
  <si>
    <t>II PP</t>
  </si>
  <si>
    <t>III PP</t>
  </si>
  <si>
    <t>IV PP</t>
  </si>
  <si>
    <t>V PP</t>
  </si>
  <si>
    <t>MPW</t>
  </si>
  <si>
    <t>M</t>
  </si>
  <si>
    <t>P</t>
  </si>
  <si>
    <t>ZIELIŃSKI Dariusz</t>
  </si>
  <si>
    <t>ATANASSOW Aleksander</t>
  </si>
  <si>
    <t>KORONA Przemysław</t>
  </si>
  <si>
    <t>JENDRYŚ Marek</t>
  </si>
  <si>
    <t>DROBIŃSKI Leszek</t>
  </si>
  <si>
    <t>WASIOŁKA Sebastian</t>
  </si>
  <si>
    <t>ŻUKOWSKI Wojciech</t>
  </si>
  <si>
    <t>PILUTKIEWICZ Igor</t>
  </si>
  <si>
    <t>JASZCZAK Piotr</t>
  </si>
  <si>
    <t>LEAHEY John</t>
  </si>
  <si>
    <t>WOJTAS Bogusław</t>
  </si>
  <si>
    <t>OLSZEWSKI Mikołaj</t>
  </si>
  <si>
    <t>PARDUS Borys</t>
  </si>
  <si>
    <t>WIERZBICKI Jacek</t>
  </si>
  <si>
    <t>STANIEWICZ Witold</t>
  </si>
  <si>
    <t>ODOLAK Jarosław</t>
  </si>
  <si>
    <t>SKOCZEK Artur</t>
  </si>
  <si>
    <t>GERTSMAN Alex</t>
  </si>
  <si>
    <t>TOMCZAK Ireneusz</t>
  </si>
  <si>
    <t>SERWATKA Marek</t>
  </si>
  <si>
    <t>KOBIERSKI Krzysztof</t>
  </si>
  <si>
    <t>HEŁKA Jacek</t>
  </si>
  <si>
    <t>MCQUEEN Andy</t>
  </si>
  <si>
    <t>GOLD Oleg</t>
  </si>
  <si>
    <t>Liczba uczestników:</t>
  </si>
  <si>
    <t>GP Punkty</t>
  </si>
  <si>
    <t>Bonus za rundę</t>
  </si>
  <si>
    <t>Mnożnik za podium</t>
  </si>
  <si>
    <t>miejsce:</t>
  </si>
  <si>
    <t>OPOLE</t>
  </si>
  <si>
    <t xml:space="preserve"> data:</t>
  </si>
  <si>
    <t>28.09.2025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</si>
  <si>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</si>
  <si>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</si>
  <si>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</si>
  <si>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</si>
  <si>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</si>
  <si>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</si>
  <si>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</si>
  <si>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</si>
  <si>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liczba wygranych walk pucharowych</t>
  </si>
  <si>
    <t>bonus z rundy pucharowej</t>
  </si>
  <si>
    <t>punkty za podium</t>
  </si>
  <si>
    <t>Suma</t>
  </si>
  <si>
    <t>II Puchar Weteranów Poznań</t>
  </si>
  <si>
    <t>LINK</t>
  </si>
  <si>
    <t>turniej:</t>
  </si>
  <si>
    <t>SZPADA MĘŻCZYZN 2 WETERANI</t>
  </si>
  <si>
    <t>B</t>
  </si>
  <si>
    <t>Sunday, October 26, 2025 1:00 PM</t>
  </si>
  <si>
    <t>httPS://www.fencingtimelive.com/events/results/download/0387CC20A25B4EBA9BDAFAB148E8C12B</t>
  </si>
  <si>
    <t>AZS AWF WARSZAWA</t>
  </si>
  <si>
    <t>WARTA-MUSZKIETEROWIE POZNAŃ</t>
  </si>
  <si>
    <t>STOWARZYSZENIE POLSKICH WETERANÓW SZERMIERKI</t>
  </si>
  <si>
    <t>AZS KU POLITECHNIKI OPOLSKIEJ</t>
  </si>
  <si>
    <t>K.S. SZERMIERZ ŁOMIANKI</t>
  </si>
  <si>
    <t>Tomasz Motyka Team AZS Wratislavia</t>
  </si>
  <si>
    <t>ŚA WARTA ŚREM</t>
  </si>
  <si>
    <t>Warsaw Epee Open</t>
  </si>
  <si>
    <t>Szpada Mężczyzn kat. 2</t>
  </si>
  <si>
    <t>b</t>
  </si>
  <si>
    <t>Saturday, December 13, 2025 5:00 PM</t>
  </si>
  <si>
    <t>https://www.fencingtimelive.com/events/results/download/2034F718AC554C8D89A639B0EC0984DD</t>
  </si>
  <si>
    <t>KS AGH Kraków</t>
  </si>
  <si>
    <t>POL</t>
  </si>
  <si>
    <t>PIAST GLIWICE</t>
  </si>
  <si>
    <t>Malvern Hills</t>
  </si>
  <si>
    <t>GBR</t>
  </si>
  <si>
    <t>ST. POLSKICH WETERANÓW SZERMIERKI</t>
  </si>
  <si>
    <t>KSz WARSZAWIANKA</t>
  </si>
  <si>
    <t>Szczecińska Szkoła Szermiecza</t>
  </si>
  <si>
    <t>Maccabi Harish Fencing Club</t>
  </si>
  <si>
    <t>ISR</t>
  </si>
  <si>
    <t>NAUKA SZERMIERKI</t>
  </si>
  <si>
    <t>AKADEMIA SZERMIERKI W-WA</t>
  </si>
  <si>
    <t>Śremska Akademia Szermierki</t>
  </si>
  <si>
    <t>MKS ZORZA ŁOMŻA</t>
  </si>
  <si>
    <t>Lansdowne</t>
  </si>
  <si>
    <t>WARSZAWA</t>
  </si>
  <si>
    <t>22.02.2025</t>
  </si>
  <si>
    <t>awans do kolejnej rundy pucharowej</t>
  </si>
  <si>
    <t>bonus za rundy pucharowe</t>
  </si>
  <si>
    <t> POL</t>
  </si>
  <si>
    <t>x</t>
  </si>
  <si>
    <t>N</t>
  </si>
  <si>
    <t>MP</t>
  </si>
  <si>
    <t>MP-1</t>
  </si>
  <si>
    <t>WIERZBICKI JACEK</t>
  </si>
  <si>
    <t>log(x)</t>
  </si>
  <si>
    <t>Log(N)</t>
  </si>
  <si>
    <t>5k1</t>
  </si>
  <si>
    <t>MP - (MP-1)*LOG(x)/LOG(N)</t>
  </si>
  <si>
    <t>points</t>
  </si>
  <si>
    <t>6k1</t>
  </si>
  <si>
    <t>SZCZECIN</t>
  </si>
  <si>
    <t>26.04.2025</t>
  </si>
  <si>
    <t>ŚAS WARTA ŚREM</t>
  </si>
  <si>
    <t>SZCZECIŃSKA SZKOŁA SZERMIERCZA</t>
  </si>
  <si>
    <t>KLUB SZERMIERCZY WARSZAWIANKA</t>
  </si>
  <si>
    <t>AZS POLITECHNIKA OPOLSKA</t>
  </si>
  <si>
    <t>2k1</t>
  </si>
  <si>
    <t>Podium</t>
  </si>
  <si>
    <t>Współczynnik MPW</t>
  </si>
  <si>
    <t>PABIANICE</t>
  </si>
  <si>
    <t>7.06.2025</t>
  </si>
  <si>
    <t>Punkty MPW</t>
  </si>
  <si>
    <t>Stowarzyszenie Polskich Weteranów Szermierki</t>
  </si>
  <si>
    <t xml:space="preserve"> POL</t>
  </si>
  <si>
    <t>Piast Gliwice</t>
  </si>
  <si>
    <t>KKS Kraków</t>
  </si>
  <si>
    <t>Szczecińska Szkoła Szermiercza</t>
  </si>
  <si>
    <t>TRACZ Jerzy</t>
  </si>
  <si>
    <t>Nauka Szermierki</t>
  </si>
  <si>
    <t>KS Szermierz Łomianki</t>
  </si>
  <si>
    <t>Klasyfikacja będą podstawą do rekomendacji dla PZSZERM powołań do kadry na międzynarodowe zawody rangi mistrzowskiej.</t>
  </si>
  <si>
    <t>Zawody uwzględniane w punktacji zależą od przynależności zawodnika do Kadry A,B,C lub D.
Szczegóły w Regulaminie powoływania do drużyny na zawody międzynarodowe.</t>
  </si>
  <si>
    <t>MĘŻCZYŹNI Kat.2</t>
  </si>
  <si>
    <t>KADRA</t>
  </si>
  <si>
    <t>I PEW</t>
  </si>
  <si>
    <t>II PEW</t>
  </si>
  <si>
    <t>III PEW</t>
  </si>
  <si>
    <t>IV PEW</t>
  </si>
  <si>
    <t>V PEW</t>
  </si>
  <si>
    <t>VI PEW</t>
  </si>
  <si>
    <t>VII PEW</t>
  </si>
  <si>
    <t>PS</t>
  </si>
  <si>
    <t>IMEW</t>
  </si>
  <si>
    <t>IMSW</t>
  </si>
  <si>
    <t>kadra A</t>
  </si>
  <si>
    <t>kadra B</t>
  </si>
  <si>
    <t>Kadra C</t>
  </si>
  <si>
    <t>Kadra D</t>
  </si>
  <si>
    <t>SPWS1</t>
  </si>
  <si>
    <t>SPWS2</t>
  </si>
  <si>
    <t>SPWS3</t>
  </si>
  <si>
    <t>SPWS4</t>
  </si>
  <si>
    <t>SPWS5</t>
  </si>
  <si>
    <t>SPWS6</t>
  </si>
  <si>
    <t>PEVF1</t>
  </si>
  <si>
    <t>PEVF2</t>
  </si>
  <si>
    <t>PEVF3</t>
  </si>
  <si>
    <t>PEVF4</t>
  </si>
  <si>
    <t>PEVF5</t>
  </si>
  <si>
    <t>PEVF6</t>
  </si>
  <si>
    <t>PEVF7</t>
  </si>
  <si>
    <t>PEVF8</t>
  </si>
  <si>
    <t>PEVF9</t>
  </si>
  <si>
    <t>HAŚKO Sergiusz</t>
  </si>
  <si>
    <t>DUDEK Mariusz</t>
  </si>
  <si>
    <t>SZKODA Marek</t>
  </si>
  <si>
    <t>BISKUPSKI Marek</t>
  </si>
  <si>
    <t>BUDAPEST CUP 2025.09.20</t>
  </si>
  <si>
    <t>INTERNATIONAL VETERAN CHAMPIONSHIPS</t>
  </si>
  <si>
    <t>httPS://www.fencingtimelive.com/events/results/download/F335344201F74762AED57ADC339F65EF</t>
  </si>
  <si>
    <t>GOETZ Gregory</t>
  </si>
  <si>
    <t>FRA</t>
  </si>
  <si>
    <t>ASHRAFI Ehsan</t>
  </si>
  <si>
    <t>SWE</t>
  </si>
  <si>
    <t>PÖNISCH Thomas</t>
  </si>
  <si>
    <t>GER</t>
  </si>
  <si>
    <t>LYONS Michael James</t>
  </si>
  <si>
    <t>HUN</t>
  </si>
  <si>
    <t>HIRNER Wolfgang</t>
  </si>
  <si>
    <t>AUT</t>
  </si>
  <si>
    <t>SCHATTENFROH Sebastian Dr.</t>
  </si>
  <si>
    <t>STRAKA Tomas</t>
  </si>
  <si>
    <t>CZE</t>
  </si>
  <si>
    <t>BERGER Matthias</t>
  </si>
  <si>
    <t>DEGAUQUE Gilles</t>
  </si>
  <si>
    <t>BEL</t>
  </si>
  <si>
    <t>SOKOL Vratislav</t>
  </si>
  <si>
    <t>HAYEK Günter</t>
  </si>
  <si>
    <t>PILHÁL Zsolt</t>
  </si>
  <si>
    <t>GOETTMANN Jean-Julien</t>
  </si>
  <si>
    <t>SUI</t>
  </si>
  <si>
    <t>KÁMÁNY Roland</t>
  </si>
  <si>
    <t>KÁLLAI Ákos</t>
  </si>
  <si>
    <t>GACSAL Károly</t>
  </si>
  <si>
    <t>FEZARD Julien</t>
  </si>
  <si>
    <t>KOEMETS Sven</t>
  </si>
  <si>
    <t>EST</t>
  </si>
  <si>
    <t>CICOIRA Mario</t>
  </si>
  <si>
    <t>ITA</t>
  </si>
  <si>
    <t>KOUTSOUFLAKIS Stamatios</t>
  </si>
  <si>
    <t>RODARY Emmanuel</t>
  </si>
  <si>
    <t>KENESEI János</t>
  </si>
  <si>
    <t>LEE Ambrose</t>
  </si>
  <si>
    <t>CAN</t>
  </si>
  <si>
    <t>GYÖRGY Attila</t>
  </si>
  <si>
    <t>ROTA Carlo</t>
  </si>
  <si>
    <t>SZAKMÁRY Sándor</t>
  </si>
  <si>
    <t>LESNE Ludovic</t>
  </si>
  <si>
    <t>DR VITÉZY Péter László</t>
  </si>
  <si>
    <t>AUTZEN Olaf</t>
  </si>
  <si>
    <t>BERMAN Robert</t>
  </si>
  <si>
    <t>MÁTYÁS Pál</t>
  </si>
  <si>
    <t>FERKE Norbert</t>
  </si>
  <si>
    <t>TULUMELLO Carmelo</t>
  </si>
  <si>
    <t>PULEGA Roberto</t>
  </si>
  <si>
    <t>DEÁK István</t>
  </si>
  <si>
    <t>MAGHON Hans</t>
  </si>
  <si>
    <t>VICHI Tommaso</t>
  </si>
  <si>
    <t>ÓCSAI János</t>
  </si>
  <si>
    <t>ACIKEL Ugur</t>
  </si>
  <si>
    <t>TUR</t>
  </si>
  <si>
    <t>FÁBIÁN Gábor</t>
  </si>
  <si>
    <t>ERTÜN Müjdat</t>
  </si>
  <si>
    <t>BALLA Ádám</t>
  </si>
  <si>
    <t>MESTER György</t>
  </si>
  <si>
    <t>STUDENY Frantisek</t>
  </si>
  <si>
    <t>GERTSMAN Alexandr</t>
  </si>
  <si>
    <t>MÜLLER Ferenc</t>
  </si>
  <si>
    <t>SZABÓ Péter</t>
  </si>
  <si>
    <t>RUSIN Serghei</t>
  </si>
  <si>
    <t>MDA</t>
  </si>
  <si>
    <t>MAGLIOZZI Roberto</t>
  </si>
  <si>
    <t>NYÉKI Zsolt</t>
  </si>
  <si>
    <t>CSISZÁR Zoltán</t>
  </si>
  <si>
    <t>SÓS Csaba</t>
  </si>
  <si>
    <t>VARGA Gergely</t>
  </si>
  <si>
    <t>MADRID _x000D_</t>
  </si>
  <si>
    <t>VI Ciudad de Madrid CUP VETERANS FENCING</t>
  </si>
  <si>
    <t>2 - NOVIEMBRE -2025</t>
  </si>
  <si>
    <t>httPS://www.fencingtimelive.com/events/results/download/B62D97116A9A459796E0C76A590415A3</t>
  </si>
  <si>
    <t>ASHRAFI</t>
  </si>
  <si>
    <t>LAUGA</t>
  </si>
  <si>
    <t>LEAHEY</t>
  </si>
  <si>
    <t>BERGER</t>
  </si>
  <si>
    <t>GARCIA CALDERON</t>
  </si>
  <si>
    <t>ESP</t>
  </si>
  <si>
    <t>AUTZEN</t>
  </si>
  <si>
    <t>DE BURGH</t>
  </si>
  <si>
    <t>GOETTMANN</t>
  </si>
  <si>
    <t>PULEGA</t>
  </si>
  <si>
    <t>MOYA FERNÁNDEZ</t>
  </si>
  <si>
    <t>ALCÁZAR ROLDÁN</t>
  </si>
  <si>
    <t>DE BERNARDI</t>
  </si>
  <si>
    <t>SWENNING</t>
  </si>
  <si>
    <t>ZONNO</t>
  </si>
  <si>
    <t>NYÉKI</t>
  </si>
  <si>
    <t>JANET</t>
  </si>
  <si>
    <t>GARCIA FERNANDEZ</t>
  </si>
  <si>
    <t>ERTÜN</t>
  </si>
  <si>
    <t>AÇIKEL</t>
  </si>
  <si>
    <t>GÓMEZ PAZ</t>
  </si>
  <si>
    <t>POMELL</t>
  </si>
  <si>
    <t>FERNANDEZ RAMOS</t>
  </si>
  <si>
    <t>VARGA</t>
  </si>
  <si>
    <t>KAMANY</t>
  </si>
  <si>
    <t>DOMINGUEZ</t>
  </si>
  <si>
    <t>BERNEIS</t>
  </si>
  <si>
    <t>GONZÁLEZ DÍAZ</t>
  </si>
  <si>
    <t>RODRÍGUEZ</t>
  </si>
  <si>
    <t>MCQUEEN</t>
  </si>
  <si>
    <t>GALÁN ROCILLO</t>
  </si>
  <si>
    <t>SALCEDO PLAZA</t>
  </si>
  <si>
    <t>Bonus za podium</t>
  </si>
  <si>
    <t>Guildford</t>
  </si>
  <si>
    <t>04.01.2025</t>
  </si>
  <si>
    <t>3k1</t>
  </si>
  <si>
    <t>Terni</t>
  </si>
  <si>
    <t>01.02.2025</t>
  </si>
  <si>
    <t>Stockholm (SWE)</t>
  </si>
  <si>
    <t>15.03.2025</t>
  </si>
  <si>
    <t>11k1</t>
  </si>
  <si>
    <t>29.03.2025</t>
  </si>
  <si>
    <t> GER</t>
  </si>
  <si>
    <t> FRA</t>
  </si>
  <si>
    <t>LAMOTHE Olivier</t>
  </si>
  <si>
    <t>PEYRET LACOMBE Emmanuel</t>
  </si>
  <si>
    <t> GRE</t>
  </si>
  <si>
    <t> EST</t>
  </si>
  <si>
    <t> ITA</t>
  </si>
  <si>
    <t>GRAVES SMITH Geoffrey</t>
  </si>
  <si>
    <t> CAN</t>
  </si>
  <si>
    <t> GBR</t>
  </si>
  <si>
    <t>BABKA Taras</t>
  </si>
  <si>
    <t> UKR</t>
  </si>
  <si>
    <t>LE DEVEHAT Yannick</t>
  </si>
  <si>
    <t> HUN</t>
  </si>
  <si>
    <t>BENITAH Eliahu</t>
  </si>
  <si>
    <t> ISR</t>
  </si>
  <si>
    <t>NILISK Kenno</t>
  </si>
  <si>
    <t>SWENNING Joar</t>
  </si>
  <si>
    <t> SWE</t>
  </si>
  <si>
    <t>TRAKHTENBERG Valeri</t>
  </si>
  <si>
    <t>GRAEBE David</t>
  </si>
  <si>
    <t>DE BURGH Etienne</t>
  </si>
  <si>
    <t>CARRÉ DE MALBERG Alexandre</t>
  </si>
  <si>
    <t>KANASHENKOV Pavel</t>
  </si>
  <si>
    <t>CANIARD Herve</t>
  </si>
  <si>
    <t>TRIMMEL Johannes</t>
  </si>
  <si>
    <t> AUT</t>
  </si>
  <si>
    <t> CZE</t>
  </si>
  <si>
    <t>AÇIKEL Uğur</t>
  </si>
  <si>
    <t> TUR</t>
  </si>
  <si>
    <t>10k1</t>
  </si>
  <si>
    <t>21k1</t>
  </si>
  <si>
    <t>CHANIA</t>
  </si>
  <si>
    <t>3.05.2025</t>
  </si>
  <si>
    <t>Paryż</t>
  </si>
  <si>
    <t>05-07.07.2025</t>
  </si>
  <si>
    <t>8k1</t>
  </si>
  <si>
    <t>Płowdiw</t>
  </si>
  <si>
    <t>29.05.2025</t>
  </si>
  <si>
    <t>2025 Veteran World Championships</t>
  </si>
  <si>
    <t>Vet-50 Men's Épée</t>
  </si>
  <si>
    <t>Thursday, November 13, 2025 9:00 AM</t>
  </si>
  <si>
    <t>https://www.fencingtimelive.com/events/results/download/12C3BCD029104BA19426095D43A2233C</t>
  </si>
  <si>
    <t>COVANI Carlos Enrique</t>
  </si>
  <si>
    <t>ARG</t>
  </si>
  <si>
    <t>TRUETZSCHLER Alexander</t>
  </si>
  <si>
    <t>TEPEDELENLIOGLU Mehmet</t>
  </si>
  <si>
    <t>USA</t>
  </si>
  <si>
    <t>SCHATTENFROH Sebastian</t>
  </si>
  <si>
    <t>MARCHET Alexander</t>
  </si>
  <si>
    <t>ELLISON Alexander</t>
  </si>
  <si>
    <t>VINCENZI Gabriele</t>
  </si>
  <si>
    <t>DIMOV Dmitriy</t>
  </si>
  <si>
    <t>KAZ</t>
  </si>
  <si>
    <t>PRIHODKO Andrew</t>
  </si>
  <si>
    <t>WACQUEZ Francois</t>
  </si>
  <si>
    <t>KATASHIMA Akinori</t>
  </si>
  <si>
    <t>JPN</t>
  </si>
  <si>
    <t>ARKHIPOV Alexey</t>
  </si>
  <si>
    <t>AIN</t>
  </si>
  <si>
    <t>LICHTEN Keith H.</t>
  </si>
  <si>
    <t>East Bay Fencers Gym</t>
  </si>
  <si>
    <t>OHANESSIAN Sarkis</t>
  </si>
  <si>
    <t>SALAMANDRA Lev</t>
  </si>
  <si>
    <t>_AIN</t>
  </si>
  <si>
    <t>FERGUSON Darren</t>
  </si>
  <si>
    <t>AUS</t>
  </si>
  <si>
    <t>HESS Alexander</t>
  </si>
  <si>
    <t>ALITISZ Valentin Andres</t>
  </si>
  <si>
    <t>GRAVES-SMITH Geoff</t>
  </si>
  <si>
    <t>PIRANI Claudio</t>
  </si>
  <si>
    <t>AL-SUBAYEE WALEED</t>
  </si>
  <si>
    <t>IRQ</t>
  </si>
  <si>
    <t>CRANOR Erich L.</t>
  </si>
  <si>
    <t>Northwest Fencing Center</t>
  </si>
  <si>
    <t>RIASKIN Andrei</t>
  </si>
  <si>
    <t>MIKHEIKIN Aleksei</t>
  </si>
  <si>
    <t>KUWAHATA Takashi</t>
  </si>
  <si>
    <t>ALLEN Gregory</t>
  </si>
  <si>
    <t>LAUGA Eric</t>
  </si>
  <si>
    <t>COLLING Emile</t>
  </si>
  <si>
    <t>LUX</t>
  </si>
  <si>
    <t>DOI TAKEO</t>
  </si>
  <si>
    <t>TANTIPIRIYAPONGS Nipon</t>
  </si>
  <si>
    <t>THA</t>
  </si>
  <si>
    <t>SZAKMARY Sandor</t>
  </si>
  <si>
    <t>SALAMANDRA Paolo</t>
  </si>
  <si>
    <t>PENKIN Andrey</t>
  </si>
  <si>
    <t>VITEZY Peter Laszlo</t>
  </si>
  <si>
    <t>NOMURA Masahito</t>
  </si>
  <si>
    <t>GATES Darcy</t>
  </si>
  <si>
    <t>KHRIAKOV Dmitrii</t>
  </si>
  <si>
    <t>MACDONALD Leslie</t>
  </si>
  <si>
    <t>FENG Qiong</t>
  </si>
  <si>
    <t>CHN</t>
  </si>
  <si>
    <t>GRABHER Gernot</t>
  </si>
  <si>
    <t>BERNERON Guillaume</t>
  </si>
  <si>
    <t>BATTAGGI Augusto</t>
  </si>
  <si>
    <t>SAKHRANI Naresh</t>
  </si>
  <si>
    <t>ABASSI Wajdi</t>
  </si>
  <si>
    <t>TUN</t>
  </si>
  <si>
    <t>POUTSENKO Serguei</t>
  </si>
  <si>
    <t>KHALID ABDULRAHMAN</t>
  </si>
  <si>
    <t>BRN</t>
  </si>
  <si>
    <t>LAHTI Taneli</t>
  </si>
  <si>
    <t>FIN</t>
  </si>
  <si>
    <t>SANTOS Felipe</t>
  </si>
  <si>
    <t>Olympia Fencing Center</t>
  </si>
  <si>
    <t>MEX</t>
  </si>
  <si>
    <t>WU Bing Chi Patrick</t>
  </si>
  <si>
    <t>HKG</t>
  </si>
  <si>
    <t>KAMANY Roland</t>
  </si>
  <si>
    <t>ALATAWI KHALIFA</t>
  </si>
  <si>
    <t>PALTINISEANU Sorin</t>
  </si>
  <si>
    <t>TSANG Hin Kwong</t>
  </si>
  <si>
    <t>CHAN Wai Ching Jason</t>
  </si>
  <si>
    <t>MACKLEY Jay</t>
  </si>
  <si>
    <t>ALSABBAN Ahmed</t>
  </si>
  <si>
    <t>KSA</t>
  </si>
  <si>
    <t>ALMUTAIR Tariq</t>
  </si>
  <si>
    <t>PATEL Manish</t>
  </si>
  <si>
    <t>HOYER Martin</t>
  </si>
  <si>
    <t>ALI SALMAN</t>
  </si>
  <si>
    <t>ASAAD Abdulkareem</t>
  </si>
  <si>
    <t>ABED Hazem</t>
  </si>
  <si>
    <t>ESPARZA Mario</t>
  </si>
  <si>
    <t>MOHAMMEDAWI MOHAMMED</t>
  </si>
  <si>
    <t>AL-DARRAJI RAHEEM</t>
  </si>
  <si>
    <t>(start w kat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</si>
</sst>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;@"/>
  </numFmts>
  <fonts count="40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sz val="11"/>
      <color theme="0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b/>
      <sz val="10"/>
      <name val="Arial"/>
      <family val="2"/>
    </font>
    <font>
      <b/>
      <sz val="9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theme="4" tint="-0.499984740745262"/>
      <name val="Agency FB"/>
      <family val="2"/>
    </font>
    <font>
      <b/>
      <sz val="10"/>
      <color rgb="FFFFFFFF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10"/>
      <color theme="0"/>
      <name val="Arial"/>
      <family val="2"/>
    </font>
    <font>
      <sz val="10"/>
      <name val="Arial"/>
      <family val="2"/>
      <charset val="238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sz val="10"/>
      <color rgb="FFD9D9D9"/>
      <name val="Arial"/>
      <family val="2"/>
      <charset val="238"/>
    </font>
    <font>
      <b/>
      <sz val="9"/>
      <name val="Arial"/>
      <family val="2"/>
      <charset val="238"/>
    </font>
    <font>
      <u/>
      <sz val="11"/>
      <color theme="10"/>
      <name val="Arial"/>
      <family val="2"/>
      <charset val="238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</font>
    <font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5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" fillId="0" borderId="0"/>
    <xf numFmtId="0" fontId="10" fillId="0" borderId="0" applyNumberFormat="0" applyFill="0" applyBorder="0" applyAlignment="0" applyProtection="0"/>
    <xf numFmtId="0" fontId="2" fillId="0" borderId="0"/>
    <xf numFmtId="0" fontId="29" fillId="0" borderId="0"/>
    <xf numFmtId="0" fontId="3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" fillId="0" borderId="0"/>
  </cellStyleXfs>
  <cellXfs count="364">
    <xf numFmtId="0" fontId="0" fillId="0" borderId="0" xfId="0"/>
    <xf numFmtId="0" fontId="9" fillId="3" borderId="0" xfId="1" applyAlignment="1">
      <alignment horizontal="center" vertical="center" wrapText="1"/>
    </xf>
    <xf numFmtId="0" fontId="0" fillId="4" borderId="0" xfId="0" applyFill="1"/>
    <xf numFmtId="0" fontId="5" fillId="0" borderId="0" xfId="2"/>
    <xf numFmtId="164" fontId="5" fillId="0" borderId="0" xfId="2" applyNumberFormat="1" applyAlignment="1">
      <alignment horizontal="center"/>
    </xf>
    <xf numFmtId="0" fontId="5" fillId="7" borderId="0" xfId="2" applyFill="1"/>
    <xf numFmtId="0" fontId="16" fillId="7" borderId="0" xfId="0" applyFont="1" applyFill="1" applyAlignment="1">
      <alignment horizontal="right"/>
    </xf>
    <xf numFmtId="0" fontId="0" fillId="7" borderId="0" xfId="0" applyFill="1" applyAlignment="1">
      <alignment horizontal="center"/>
    </xf>
    <xf numFmtId="0" fontId="0" fillId="7" borderId="0" xfId="0" applyFill="1"/>
    <xf numFmtId="0" fontId="18" fillId="5" borderId="0" xfId="2" applyFont="1" applyFill="1" applyAlignment="1">
      <alignment horizontal="center" vertical="center"/>
    </xf>
    <xf numFmtId="0" fontId="18" fillId="5" borderId="0" xfId="2" applyFont="1" applyFill="1" applyAlignment="1">
      <alignment horizontal="center" vertical="center" wrapText="1"/>
    </xf>
    <xf numFmtId="1" fontId="18" fillId="5" borderId="0" xfId="2" applyNumberFormat="1" applyFont="1" applyFill="1" applyAlignment="1">
      <alignment horizontal="center" vertical="center" wrapText="1"/>
    </xf>
    <xf numFmtId="0" fontId="14" fillId="7" borderId="0" xfId="2" applyFont="1" applyFill="1" applyAlignment="1">
      <alignment horizontal="center" vertical="center"/>
    </xf>
    <xf numFmtId="0" fontId="5" fillId="7" borderId="0" xfId="2" applyFill="1" applyAlignment="1">
      <alignment horizontal="center" vertical="center"/>
    </xf>
    <xf numFmtId="0" fontId="11" fillId="6" borderId="0" xfId="2" applyFont="1" applyFill="1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17" fillId="7" borderId="0" xfId="2" applyFont="1" applyFill="1" applyAlignment="1">
      <alignment horizontal="center" vertical="center"/>
    </xf>
    <xf numFmtId="2" fontId="17" fillId="7" borderId="0" xfId="2" applyNumberFormat="1" applyFont="1" applyFill="1" applyAlignment="1">
      <alignment horizontal="center" vertical="center"/>
    </xf>
    <xf numFmtId="164" fontId="17" fillId="7" borderId="0" xfId="2" applyNumberFormat="1" applyFont="1" applyFill="1" applyAlignment="1">
      <alignment horizontal="center" vertical="center"/>
    </xf>
    <xf numFmtId="0" fontId="5" fillId="0" borderId="0" xfId="2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4" fillId="7" borderId="0" xfId="2" applyFont="1" applyFill="1" applyAlignment="1">
      <alignment horizontal="right" vertical="center"/>
    </xf>
    <xf numFmtId="1" fontId="15" fillId="7" borderId="0" xfId="2" applyNumberFormat="1" applyFont="1" applyFill="1" applyAlignment="1">
      <alignment horizontal="left"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5" fillId="8" borderId="0" xfId="2" applyFill="1"/>
    <xf numFmtId="0" fontId="12" fillId="8" borderId="0" xfId="2" applyFont="1" applyFill="1"/>
    <xf numFmtId="1" fontId="5" fillId="8" borderId="0" xfId="2" applyNumberFormat="1" applyFill="1"/>
    <xf numFmtId="0" fontId="5" fillId="8" borderId="0" xfId="2" applyFill="1" applyAlignment="1">
      <alignment horizontal="right"/>
    </xf>
    <xf numFmtId="0" fontId="11" fillId="8" borderId="0" xfId="2" applyFont="1" applyFill="1"/>
    <xf numFmtId="0" fontId="13" fillId="8" borderId="0" xfId="2" applyFont="1" applyFill="1"/>
    <xf numFmtId="164" fontId="5" fillId="8" borderId="0" xfId="2" applyNumberFormat="1" applyFill="1"/>
    <xf numFmtId="49" fontId="5" fillId="8" borderId="0" xfId="2" applyNumberFormat="1" applyFill="1"/>
    <xf numFmtId="164" fontId="11" fillId="8" borderId="0" xfId="2" applyNumberFormat="1" applyFont="1" applyFill="1"/>
    <xf numFmtId="0" fontId="19" fillId="9" borderId="3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9" fillId="3" borderId="4" xfId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" fontId="8" fillId="8" borderId="0" xfId="0" applyNumberFormat="1" applyFont="1" applyFill="1" applyAlignment="1">
      <alignment horizontal="center" vertical="center"/>
    </xf>
    <xf numFmtId="1" fontId="8" fillId="9" borderId="0" xfId="0" applyNumberFormat="1" applyFont="1" applyFill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" fontId="5" fillId="0" borderId="0" xfId="2" applyNumberFormat="1" applyAlignment="1">
      <alignment horizontal="center"/>
    </xf>
    <xf numFmtId="0" fontId="17" fillId="10" borderId="0" xfId="2" applyFont="1" applyFill="1" applyAlignment="1">
      <alignment horizontal="center" vertical="center"/>
    </xf>
    <xf numFmtId="2" fontId="17" fillId="10" borderId="0" xfId="2" applyNumberFormat="1" applyFont="1" applyFill="1" applyAlignment="1">
      <alignment horizontal="center" vertical="center"/>
    </xf>
    <xf numFmtId="164" fontId="17" fillId="10" borderId="0" xfId="2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right"/>
    </xf>
    <xf numFmtId="0" fontId="5" fillId="7" borderId="0" xfId="2" applyFill="1" applyAlignment="1">
      <alignment horizontal="right"/>
    </xf>
    <xf numFmtId="164" fontId="5" fillId="7" borderId="0" xfId="2" applyNumberFormat="1" applyFill="1"/>
    <xf numFmtId="0" fontId="11" fillId="7" borderId="0" xfId="2" applyFont="1" applyFill="1"/>
    <xf numFmtId="0" fontId="8" fillId="8" borderId="6" xfId="0" applyFont="1" applyFill="1" applyBorder="1" applyAlignment="1">
      <alignment horizontal="left"/>
    </xf>
    <xf numFmtId="0" fontId="8" fillId="8" borderId="8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0" fillId="8" borderId="0" xfId="0" applyFill="1"/>
    <xf numFmtId="0" fontId="0" fillId="11" borderId="0" xfId="0" applyFill="1"/>
    <xf numFmtId="0" fontId="20" fillId="11" borderId="0" xfId="0" applyFont="1" applyFill="1"/>
    <xf numFmtId="0" fontId="22" fillId="11" borderId="0" xfId="0" applyFont="1" applyFill="1"/>
    <xf numFmtId="0" fontId="11" fillId="8" borderId="0" xfId="2" applyFont="1" applyFill="1" applyAlignment="1">
      <alignment horizontal="center" vertical="center"/>
    </xf>
    <xf numFmtId="1" fontId="5" fillId="8" borderId="0" xfId="2" applyNumberFormat="1" applyFill="1" applyAlignment="1">
      <alignment horizontal="center" vertical="center"/>
    </xf>
    <xf numFmtId="164" fontId="5" fillId="8" borderId="0" xfId="2" applyNumberFormat="1" applyFill="1" applyAlignment="1">
      <alignment horizontal="center" vertical="center"/>
    </xf>
    <xf numFmtId="0" fontId="12" fillId="7" borderId="0" xfId="2" applyFont="1" applyFill="1" applyAlignment="1">
      <alignment horizontal="left" vertical="center"/>
    </xf>
    <xf numFmtId="0" fontId="23" fillId="8" borderId="7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5" fillId="11" borderId="0" xfId="0" applyFont="1" applyFill="1"/>
    <xf numFmtId="0" fontId="26" fillId="2" borderId="1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12" fillId="12" borderId="1" xfId="3" applyFont="1" applyBorder="1" applyAlignment="1">
      <alignment horizontal="center" vertical="center" wrapText="1"/>
    </xf>
    <xf numFmtId="0" fontId="12" fillId="12" borderId="15" xfId="3" applyFont="1" applyBorder="1" applyAlignment="1">
      <alignment horizontal="center" vertical="center" wrapText="1"/>
    </xf>
    <xf numFmtId="2" fontId="20" fillId="8" borderId="6" xfId="0" applyNumberFormat="1" applyFont="1" applyFill="1" applyBorder="1" applyAlignment="1">
      <alignment horizontal="center" vertical="center"/>
    </xf>
    <xf numFmtId="2" fontId="27" fillId="8" borderId="6" xfId="0" applyNumberFormat="1" applyFont="1" applyFill="1" applyBorder="1" applyAlignment="1">
      <alignment horizontal="center" vertical="center"/>
    </xf>
    <xf numFmtId="2" fontId="27" fillId="8" borderId="18" xfId="0" applyNumberFormat="1" applyFont="1" applyFill="1" applyBorder="1" applyAlignment="1">
      <alignment horizontal="center" vertical="center"/>
    </xf>
    <xf numFmtId="0" fontId="4" fillId="7" borderId="0" xfId="4" applyFill="1"/>
    <xf numFmtId="0" fontId="14" fillId="7" borderId="0" xfId="4" applyFont="1" applyFill="1" applyAlignment="1">
      <alignment horizontal="right" vertical="center"/>
    </xf>
    <xf numFmtId="0" fontId="14" fillId="7" borderId="0" xfId="4" applyFont="1" applyFill="1" applyAlignment="1">
      <alignment horizontal="center" vertical="center"/>
    </xf>
    <xf numFmtId="1" fontId="15" fillId="7" borderId="0" xfId="4" applyNumberFormat="1" applyFont="1" applyFill="1" applyAlignment="1">
      <alignment horizontal="left" vertical="center"/>
    </xf>
    <xf numFmtId="0" fontId="4" fillId="7" borderId="0" xfId="4" applyFill="1" applyAlignment="1">
      <alignment horizontal="center" vertical="center"/>
    </xf>
    <xf numFmtId="0" fontId="4" fillId="8" borderId="0" xfId="4" applyFill="1"/>
    <xf numFmtId="0" fontId="11" fillId="6" borderId="0" xfId="4" applyFont="1" applyFill="1" applyAlignment="1">
      <alignment horizontal="center" vertical="center"/>
    </xf>
    <xf numFmtId="0" fontId="11" fillId="8" borderId="0" xfId="4" applyFont="1" applyFill="1" applyAlignment="1">
      <alignment horizontal="center" vertical="center"/>
    </xf>
    <xf numFmtId="0" fontId="4" fillId="7" borderId="0" xfId="4" applyFill="1" applyAlignment="1">
      <alignment horizontal="right"/>
    </xf>
    <xf numFmtId="1" fontId="4" fillId="7" borderId="0" xfId="4" applyNumberFormat="1" applyFill="1" applyAlignment="1">
      <alignment horizontal="center" vertical="center"/>
    </xf>
    <xf numFmtId="0" fontId="18" fillId="5" borderId="0" xfId="4" applyFont="1" applyFill="1" applyAlignment="1">
      <alignment horizontal="center" vertical="center"/>
    </xf>
    <xf numFmtId="0" fontId="18" fillId="5" borderId="0" xfId="4" applyFont="1" applyFill="1" applyAlignment="1">
      <alignment horizontal="center" vertical="center" wrapText="1"/>
    </xf>
    <xf numFmtId="1" fontId="18" fillId="5" borderId="0" xfId="4" applyNumberFormat="1" applyFont="1" applyFill="1" applyAlignment="1">
      <alignment horizontal="center" vertical="center" wrapText="1"/>
    </xf>
    <xf numFmtId="2" fontId="8" fillId="8" borderId="0" xfId="0" applyNumberFormat="1" applyFont="1" applyFill="1" applyAlignment="1">
      <alignment horizontal="center" vertical="center"/>
    </xf>
    <xf numFmtId="0" fontId="17" fillId="7" borderId="0" xfId="4" applyFont="1" applyFill="1" applyAlignment="1">
      <alignment horizontal="center" vertical="center"/>
    </xf>
    <xf numFmtId="2" fontId="17" fillId="7" borderId="0" xfId="4" applyNumberFormat="1" applyFont="1" applyFill="1" applyAlignment="1">
      <alignment horizontal="center" vertical="center"/>
    </xf>
    <xf numFmtId="164" fontId="17" fillId="7" borderId="0" xfId="4" applyNumberFormat="1" applyFont="1" applyFill="1" applyAlignment="1">
      <alignment horizontal="center" vertical="center"/>
    </xf>
    <xf numFmtId="2" fontId="8" fillId="9" borderId="0" xfId="0" applyNumberFormat="1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2" fontId="17" fillId="10" borderId="0" xfId="4" applyNumberFormat="1" applyFont="1" applyFill="1" applyAlignment="1">
      <alignment horizontal="center" vertical="center"/>
    </xf>
    <xf numFmtId="164" fontId="17" fillId="10" borderId="0" xfId="4" applyNumberFormat="1" applyFont="1" applyFill="1" applyAlignment="1">
      <alignment horizontal="center" vertical="center"/>
    </xf>
    <xf numFmtId="0" fontId="12" fillId="8" borderId="0" xfId="4" applyFont="1" applyFill="1"/>
    <xf numFmtId="1" fontId="4" fillId="8" borderId="0" xfId="4" applyNumberFormat="1" applyFill="1"/>
    <xf numFmtId="0" fontId="4" fillId="8" borderId="0" xfId="4" applyFill="1" applyAlignment="1">
      <alignment horizontal="right"/>
    </xf>
    <xf numFmtId="0" fontId="11" fillId="8" borderId="0" xfId="4" applyFont="1" applyFill="1"/>
    <xf numFmtId="0" fontId="13" fillId="8" borderId="0" xfId="4" applyFont="1" applyFill="1"/>
    <xf numFmtId="164" fontId="4" fillId="7" borderId="0" xfId="4" applyNumberFormat="1" applyFill="1"/>
    <xf numFmtId="49" fontId="4" fillId="8" borderId="0" xfId="4" applyNumberFormat="1" applyFill="1"/>
    <xf numFmtId="0" fontId="11" fillId="7" borderId="0" xfId="4" applyFont="1" applyFill="1"/>
    <xf numFmtId="164" fontId="11" fillId="8" borderId="0" xfId="4" applyNumberFormat="1" applyFont="1" applyFill="1"/>
    <xf numFmtId="164" fontId="4" fillId="8" borderId="0" xfId="4" applyNumberFormat="1" applyFill="1"/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8" borderId="0" xfId="4" applyNumberFormat="1" applyFill="1" applyAlignment="1">
      <alignment horizontal="center" vertical="center"/>
    </xf>
    <xf numFmtId="0" fontId="12" fillId="7" borderId="0" xfId="4" applyFont="1" applyFill="1" applyAlignment="1">
      <alignment horizontal="left" vertical="center"/>
    </xf>
    <xf numFmtId="0" fontId="4" fillId="7" borderId="0" xfId="4" applyFill="1" applyAlignment="1">
      <alignment horizontal="left" vertical="center"/>
    </xf>
    <xf numFmtId="164" fontId="4" fillId="8" borderId="0" xfId="4" applyNumberFormat="1" applyFill="1" applyAlignment="1">
      <alignment horizontal="center" vertical="center"/>
    </xf>
    <xf numFmtId="1" fontId="23" fillId="8" borderId="7" xfId="0" applyNumberFormat="1" applyFont="1" applyFill="1" applyBorder="1" applyAlignment="1">
      <alignment horizontal="center" vertical="center"/>
    </xf>
    <xf numFmtId="1" fontId="23" fillId="8" borderId="9" xfId="0" applyNumberFormat="1" applyFont="1" applyFill="1" applyBorder="1" applyAlignment="1">
      <alignment horizontal="center" vertical="center"/>
    </xf>
    <xf numFmtId="2" fontId="21" fillId="8" borderId="6" xfId="0" applyNumberFormat="1" applyFont="1" applyFill="1" applyBorder="1" applyAlignment="1">
      <alignment horizontal="center" vertical="center"/>
    </xf>
    <xf numFmtId="2" fontId="21" fillId="8" borderId="8" xfId="0" applyNumberFormat="1" applyFont="1" applyFill="1" applyBorder="1" applyAlignment="1">
      <alignment horizontal="center" vertical="center"/>
    </xf>
    <xf numFmtId="2" fontId="21" fillId="8" borderId="17" xfId="0" applyNumberFormat="1" applyFont="1" applyFill="1" applyBorder="1" applyAlignment="1">
      <alignment horizontal="center" vertical="center"/>
    </xf>
    <xf numFmtId="2" fontId="21" fillId="8" borderId="18" xfId="0" applyNumberFormat="1" applyFont="1" applyFill="1" applyBorder="1" applyAlignment="1">
      <alignment horizontal="center" vertical="center"/>
    </xf>
    <xf numFmtId="0" fontId="4" fillId="7" borderId="0" xfId="5" applyFill="1"/>
    <xf numFmtId="0" fontId="14" fillId="7" borderId="0" xfId="5" applyFont="1" applyFill="1" applyAlignment="1">
      <alignment horizontal="right" vertical="center"/>
    </xf>
    <xf numFmtId="0" fontId="14" fillId="7" borderId="0" xfId="5" applyFont="1" applyFill="1" applyAlignment="1">
      <alignment horizontal="center" vertical="center"/>
    </xf>
    <xf numFmtId="1" fontId="15" fillId="7" borderId="0" xfId="5" applyNumberFormat="1" applyFont="1" applyFill="1" applyAlignment="1">
      <alignment horizontal="left" vertical="center"/>
    </xf>
    <xf numFmtId="0" fontId="4" fillId="7" borderId="0" xfId="5" applyFill="1" applyAlignment="1">
      <alignment horizontal="center" vertical="center"/>
    </xf>
    <xf numFmtId="0" fontId="4" fillId="8" borderId="0" xfId="5" applyFill="1"/>
    <xf numFmtId="0" fontId="11" fillId="6" borderId="0" xfId="5" applyFont="1" applyFill="1" applyAlignment="1">
      <alignment horizontal="center" vertical="center"/>
    </xf>
    <xf numFmtId="0" fontId="11" fillId="8" borderId="0" xfId="5" applyFont="1" applyFill="1" applyAlignment="1">
      <alignment horizontal="center" vertical="center"/>
    </xf>
    <xf numFmtId="1" fontId="4" fillId="8" borderId="0" xfId="5" applyNumberFormat="1" applyFill="1" applyAlignment="1">
      <alignment horizontal="center" vertical="center"/>
    </xf>
    <xf numFmtId="0" fontId="4" fillId="7" borderId="0" xfId="5" applyFill="1" applyAlignment="1">
      <alignment horizontal="right"/>
    </xf>
    <xf numFmtId="1" fontId="4" fillId="7" borderId="0" xfId="5" applyNumberFormat="1" applyFill="1" applyAlignment="1">
      <alignment horizontal="center" vertical="center"/>
    </xf>
    <xf numFmtId="0" fontId="18" fillId="5" borderId="0" xfId="5" applyFont="1" applyFill="1" applyAlignment="1">
      <alignment horizontal="center" vertical="center"/>
    </xf>
    <xf numFmtId="0" fontId="18" fillId="5" borderId="0" xfId="5" applyFont="1" applyFill="1" applyAlignment="1">
      <alignment horizontal="center" vertical="center" wrapText="1"/>
    </xf>
    <xf numFmtId="1" fontId="18" fillId="5" borderId="0" xfId="5" applyNumberFormat="1" applyFont="1" applyFill="1" applyAlignment="1">
      <alignment horizontal="center" vertical="center" wrapText="1"/>
    </xf>
    <xf numFmtId="0" fontId="17" fillId="7" borderId="0" xfId="5" applyFont="1" applyFill="1" applyAlignment="1">
      <alignment horizontal="center" vertical="center"/>
    </xf>
    <xf numFmtId="2" fontId="17" fillId="7" borderId="0" xfId="5" applyNumberFormat="1" applyFont="1" applyFill="1" applyAlignment="1">
      <alignment horizontal="center" vertical="center"/>
    </xf>
    <xf numFmtId="164" fontId="17" fillId="7" borderId="0" xfId="5" applyNumberFormat="1" applyFont="1" applyFill="1" applyAlignment="1">
      <alignment horizontal="center" vertical="center"/>
    </xf>
    <xf numFmtId="0" fontId="17" fillId="10" borderId="0" xfId="5" applyFont="1" applyFill="1" applyAlignment="1">
      <alignment horizontal="center" vertical="center"/>
    </xf>
    <xf numFmtId="2" fontId="17" fillId="10" borderId="0" xfId="5" applyNumberFormat="1" applyFont="1" applyFill="1" applyAlignment="1">
      <alignment horizontal="center" vertical="center"/>
    </xf>
    <xf numFmtId="164" fontId="17" fillId="10" borderId="0" xfId="5" applyNumberFormat="1" applyFont="1" applyFill="1" applyAlignment="1">
      <alignment horizontal="center" vertical="center"/>
    </xf>
    <xf numFmtId="0" fontId="12" fillId="8" borderId="0" xfId="5" applyFont="1" applyFill="1"/>
    <xf numFmtId="1" fontId="4" fillId="8" borderId="0" xfId="5" applyNumberFormat="1" applyFill="1"/>
    <xf numFmtId="0" fontId="4" fillId="8" borderId="0" xfId="5" applyFill="1" applyAlignment="1">
      <alignment horizontal="right"/>
    </xf>
    <xf numFmtId="0" fontId="11" fillId="8" borderId="0" xfId="5" applyFont="1" applyFill="1"/>
    <xf numFmtId="0" fontId="13" fillId="8" borderId="0" xfId="5" applyFont="1" applyFill="1"/>
    <xf numFmtId="164" fontId="4" fillId="7" borderId="0" xfId="5" applyNumberFormat="1" applyFill="1"/>
    <xf numFmtId="49" fontId="4" fillId="8" borderId="0" xfId="5" applyNumberFormat="1" applyFill="1"/>
    <xf numFmtId="0" fontId="11" fillId="7" borderId="0" xfId="5" applyFont="1" applyFill="1"/>
    <xf numFmtId="164" fontId="11" fillId="8" borderId="0" xfId="5" applyNumberFormat="1" applyFont="1" applyFill="1"/>
    <xf numFmtId="164" fontId="4" fillId="8" borderId="0" xfId="5" applyNumberFormat="1" applyFill="1"/>
    <xf numFmtId="1" fontId="4" fillId="0" borderId="0" xfId="5" applyNumberFormat="1" applyAlignment="1">
      <alignment horizontal="center"/>
    </xf>
    <xf numFmtId="0" fontId="4" fillId="0" borderId="0" xfId="5"/>
    <xf numFmtId="164" fontId="4" fillId="0" borderId="0" xfId="5" applyNumberFormat="1" applyAlignment="1">
      <alignment horizontal="center"/>
    </xf>
    <xf numFmtId="0" fontId="4" fillId="0" borderId="0" xfId="5" applyAlignment="1">
      <alignment horizontal="center" vertical="center"/>
    </xf>
    <xf numFmtId="1" fontId="4" fillId="0" borderId="0" xfId="5" applyNumberFormat="1" applyAlignment="1">
      <alignment horizontal="center" vertical="center"/>
    </xf>
    <xf numFmtId="164" fontId="4" fillId="0" borderId="0" xfId="5" applyNumberFormat="1" applyAlignment="1">
      <alignment horizontal="center" vertical="center"/>
    </xf>
    <xf numFmtId="0" fontId="4" fillId="7" borderId="0" xfId="6" applyFill="1"/>
    <xf numFmtId="0" fontId="14" fillId="7" borderId="0" xfId="6" applyFont="1" applyFill="1" applyAlignment="1">
      <alignment horizontal="right" vertical="center"/>
    </xf>
    <xf numFmtId="0" fontId="14" fillId="7" borderId="0" xfId="6" applyFont="1" applyFill="1" applyAlignment="1">
      <alignment horizontal="center" vertical="center"/>
    </xf>
    <xf numFmtId="1" fontId="15" fillId="7" borderId="0" xfId="6" applyNumberFormat="1" applyFont="1" applyFill="1" applyAlignment="1">
      <alignment horizontal="left" vertical="center"/>
    </xf>
    <xf numFmtId="0" fontId="4" fillId="7" borderId="0" xfId="6" applyFill="1" applyAlignment="1">
      <alignment horizontal="center" vertical="center"/>
    </xf>
    <xf numFmtId="0" fontId="4" fillId="8" borderId="0" xfId="6" applyFill="1"/>
    <xf numFmtId="0" fontId="11" fillId="6" borderId="0" xfId="6" applyFont="1" applyFill="1" applyAlignment="1">
      <alignment horizontal="center" vertical="center"/>
    </xf>
    <xf numFmtId="0" fontId="11" fillId="8" borderId="0" xfId="6" applyFont="1" applyFill="1" applyAlignment="1">
      <alignment horizontal="center" vertical="center"/>
    </xf>
    <xf numFmtId="1" fontId="4" fillId="8" borderId="0" xfId="6" applyNumberFormat="1" applyFill="1" applyAlignment="1">
      <alignment horizontal="center" vertical="center"/>
    </xf>
    <xf numFmtId="0" fontId="4" fillId="7" borderId="0" xfId="6" applyFill="1" applyAlignment="1">
      <alignment horizontal="right"/>
    </xf>
    <xf numFmtId="0" fontId="18" fillId="5" borderId="0" xfId="6" applyFont="1" applyFill="1" applyAlignment="1">
      <alignment horizontal="center" vertical="center"/>
    </xf>
    <xf numFmtId="0" fontId="18" fillId="5" borderId="0" xfId="6" applyFont="1" applyFill="1" applyAlignment="1">
      <alignment horizontal="center" vertical="center" wrapText="1"/>
    </xf>
    <xf numFmtId="0" fontId="17" fillId="7" borderId="0" xfId="6" applyFont="1" applyFill="1" applyAlignment="1">
      <alignment horizontal="center" vertical="center"/>
    </xf>
    <xf numFmtId="2" fontId="17" fillId="7" borderId="0" xfId="6" applyNumberFormat="1" applyFont="1" applyFill="1" applyAlignment="1">
      <alignment horizontal="center" vertical="center"/>
    </xf>
    <xf numFmtId="164" fontId="17" fillId="7" borderId="0" xfId="6" applyNumberFormat="1" applyFont="1" applyFill="1" applyAlignment="1">
      <alignment horizontal="center" vertical="center"/>
    </xf>
    <xf numFmtId="0" fontId="17" fillId="10" borderId="0" xfId="6" applyFont="1" applyFill="1" applyAlignment="1">
      <alignment horizontal="center" vertical="center"/>
    </xf>
    <xf numFmtId="2" fontId="17" fillId="10" borderId="0" xfId="6" applyNumberFormat="1" applyFont="1" applyFill="1" applyAlignment="1">
      <alignment horizontal="center" vertical="center"/>
    </xf>
    <xf numFmtId="164" fontId="17" fillId="10" borderId="0" xfId="6" applyNumberFormat="1" applyFont="1" applyFill="1" applyAlignment="1">
      <alignment horizontal="center" vertical="center"/>
    </xf>
    <xf numFmtId="0" fontId="12" fillId="8" borderId="0" xfId="6" applyFont="1" applyFill="1"/>
    <xf numFmtId="1" fontId="4" fillId="8" borderId="0" xfId="6" applyNumberFormat="1" applyFill="1"/>
    <xf numFmtId="0" fontId="4" fillId="8" borderId="0" xfId="6" applyFill="1" applyAlignment="1">
      <alignment horizontal="right"/>
    </xf>
    <xf numFmtId="0" fontId="11" fillId="8" borderId="0" xfId="6" applyFont="1" applyFill="1"/>
    <xf numFmtId="0" fontId="13" fillId="8" borderId="0" xfId="6" applyFont="1" applyFill="1"/>
    <xf numFmtId="164" fontId="4" fillId="7" borderId="0" xfId="6" applyNumberFormat="1" applyFill="1"/>
    <xf numFmtId="49" fontId="4" fillId="8" borderId="0" xfId="6" applyNumberFormat="1" applyFill="1"/>
    <xf numFmtId="0" fontId="11" fillId="7" borderId="0" xfId="6" applyFont="1" applyFill="1"/>
    <xf numFmtId="164" fontId="11" fillId="8" borderId="0" xfId="6" applyNumberFormat="1" applyFont="1" applyFill="1"/>
    <xf numFmtId="164" fontId="4" fillId="8" borderId="0" xfId="6" applyNumberFormat="1" applyFill="1"/>
    <xf numFmtId="0" fontId="4" fillId="0" borderId="0" xfId="6"/>
    <xf numFmtId="1" fontId="4" fillId="0" borderId="0" xfId="6" applyNumberFormat="1" applyAlignment="1">
      <alignment horizontal="center"/>
    </xf>
    <xf numFmtId="164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1" fontId="4" fillId="0" borderId="0" xfId="6" applyNumberFormat="1" applyAlignment="1">
      <alignment horizontal="center" vertical="center"/>
    </xf>
    <xf numFmtId="164" fontId="4" fillId="0" borderId="0" xfId="6" applyNumberFormat="1" applyAlignment="1">
      <alignment horizontal="center" vertical="center"/>
    </xf>
    <xf numFmtId="2" fontId="4" fillId="8" borderId="0" xfId="6" applyNumberFormat="1" applyFill="1" applyAlignment="1">
      <alignment horizontal="center" vertical="center"/>
    </xf>
    <xf numFmtId="1" fontId="4" fillId="7" borderId="0" xfId="6" applyNumberFormat="1" applyFill="1" applyAlignment="1">
      <alignment horizontal="center" vertical="center"/>
    </xf>
    <xf numFmtId="1" fontId="18" fillId="5" borderId="0" xfId="6" applyNumberFormat="1" applyFont="1" applyFill="1" applyAlignment="1">
      <alignment horizontal="center" vertical="center" wrapText="1"/>
    </xf>
    <xf numFmtId="2" fontId="4" fillId="0" borderId="0" xfId="6" applyNumberFormat="1" applyAlignment="1">
      <alignment horizontal="center"/>
    </xf>
    <xf numFmtId="0" fontId="10" fillId="7" borderId="0" xfId="8" applyFill="1"/>
    <xf numFmtId="0" fontId="8" fillId="4" borderId="0" xfId="0" applyFont="1" applyFill="1"/>
    <xf numFmtId="0" fontId="28" fillId="11" borderId="0" xfId="0" applyFont="1" applyFill="1"/>
    <xf numFmtId="0" fontId="8" fillId="8" borderId="6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10" fillId="7" borderId="0" xfId="8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14" fontId="10" fillId="7" borderId="0" xfId="8" applyNumberFormat="1" applyFill="1" applyAlignment="1">
      <alignment horizontal="left"/>
    </xf>
    <xf numFmtId="0" fontId="2" fillId="7" borderId="0" xfId="9" applyFill="1"/>
    <xf numFmtId="0" fontId="14" fillId="7" borderId="0" xfId="9" applyFont="1" applyFill="1" applyAlignment="1">
      <alignment horizontal="right" vertical="center"/>
    </xf>
    <xf numFmtId="0" fontId="14" fillId="7" borderId="0" xfId="9" applyFont="1" applyFill="1" applyAlignment="1">
      <alignment horizontal="center" vertical="center"/>
    </xf>
    <xf numFmtId="1" fontId="15" fillId="7" borderId="0" xfId="9" applyNumberFormat="1" applyFont="1" applyFill="1" applyAlignment="1">
      <alignment horizontal="left" vertical="center"/>
    </xf>
    <xf numFmtId="0" fontId="2" fillId="7" borderId="0" xfId="9" applyFill="1" applyAlignment="1">
      <alignment horizontal="center" vertical="center"/>
    </xf>
    <xf numFmtId="0" fontId="2" fillId="8" borderId="0" xfId="9" applyFill="1"/>
    <xf numFmtId="0" fontId="11" fillId="6" borderId="0" xfId="9" applyFont="1" applyFill="1" applyAlignment="1">
      <alignment horizontal="center" vertical="center"/>
    </xf>
    <xf numFmtId="0" fontId="11" fillId="8" borderId="0" xfId="9" applyFont="1" applyFill="1" applyAlignment="1">
      <alignment horizontal="center" vertical="center"/>
    </xf>
    <xf numFmtId="1" fontId="2" fillId="8" borderId="0" xfId="9" applyNumberFormat="1" applyFill="1" applyAlignment="1">
      <alignment horizontal="center" vertical="center"/>
    </xf>
    <xf numFmtId="0" fontId="2" fillId="7" borderId="0" xfId="9" applyFill="1" applyAlignment="1">
      <alignment horizontal="right"/>
    </xf>
    <xf numFmtId="1" fontId="2" fillId="7" borderId="0" xfId="9" applyNumberFormat="1" applyFill="1" applyAlignment="1">
      <alignment horizontal="center" vertical="center"/>
    </xf>
    <xf numFmtId="0" fontId="18" fillId="5" borderId="0" xfId="9" applyFont="1" applyFill="1" applyAlignment="1">
      <alignment horizontal="center" vertical="center"/>
    </xf>
    <xf numFmtId="0" fontId="18" fillId="5" borderId="0" xfId="9" applyFont="1" applyFill="1" applyAlignment="1">
      <alignment horizontal="center" vertical="center" wrapText="1"/>
    </xf>
    <xf numFmtId="1" fontId="18" fillId="5" borderId="0" xfId="9" applyNumberFormat="1" applyFont="1" applyFill="1" applyAlignment="1">
      <alignment horizontal="center" vertical="center" wrapText="1"/>
    </xf>
    <xf numFmtId="0" fontId="17" fillId="7" borderId="0" xfId="9" applyFont="1" applyFill="1" applyAlignment="1">
      <alignment horizontal="center" vertical="center"/>
    </xf>
    <xf numFmtId="2" fontId="17" fillId="7" borderId="0" xfId="9" applyNumberFormat="1" applyFont="1" applyFill="1" applyAlignment="1">
      <alignment horizontal="center" vertical="center"/>
    </xf>
    <xf numFmtId="164" fontId="17" fillId="7" borderId="0" xfId="9" applyNumberFormat="1" applyFont="1" applyFill="1" applyAlignment="1">
      <alignment horizontal="center" vertical="center"/>
    </xf>
    <xf numFmtId="0" fontId="17" fillId="10" borderId="0" xfId="9" applyFont="1" applyFill="1" applyAlignment="1">
      <alignment horizontal="center" vertical="center"/>
    </xf>
    <xf numFmtId="2" fontId="17" fillId="10" borderId="0" xfId="9" applyNumberFormat="1" applyFont="1" applyFill="1" applyAlignment="1">
      <alignment horizontal="center" vertical="center"/>
    </xf>
    <xf numFmtId="164" fontId="17" fillId="10" borderId="0" xfId="9" applyNumberFormat="1" applyFont="1" applyFill="1" applyAlignment="1">
      <alignment horizontal="center" vertical="center"/>
    </xf>
    <xf numFmtId="0" fontId="12" fillId="8" borderId="0" xfId="9" applyFont="1" applyFill="1"/>
    <xf numFmtId="1" fontId="2" fillId="8" borderId="0" xfId="9" applyNumberFormat="1" applyFill="1"/>
    <xf numFmtId="0" fontId="2" fillId="8" borderId="0" xfId="9" applyFill="1" applyAlignment="1">
      <alignment horizontal="right"/>
    </xf>
    <xf numFmtId="0" fontId="11" fillId="8" borderId="0" xfId="9" applyFont="1" applyFill="1"/>
    <xf numFmtId="0" fontId="13" fillId="8" borderId="0" xfId="9" applyFont="1" applyFill="1"/>
    <xf numFmtId="164" fontId="2" fillId="7" borderId="0" xfId="9" applyNumberFormat="1" applyFill="1"/>
    <xf numFmtId="49" fontId="2" fillId="8" borderId="0" xfId="9" applyNumberFormat="1" applyFill="1"/>
    <xf numFmtId="0" fontId="11" fillId="7" borderId="0" xfId="9" applyFont="1" applyFill="1"/>
    <xf numFmtId="164" fontId="11" fillId="8" borderId="0" xfId="9" applyNumberFormat="1" applyFont="1" applyFill="1"/>
    <xf numFmtId="164" fontId="2" fillId="8" borderId="0" xfId="9" applyNumberFormat="1" applyFill="1"/>
    <xf numFmtId="0" fontId="2" fillId="0" borderId="0" xfId="9"/>
    <xf numFmtId="1" fontId="2" fillId="0" borderId="0" xfId="9" applyNumberFormat="1" applyAlignment="1">
      <alignment horizontal="center"/>
    </xf>
    <xf numFmtId="164" fontId="2" fillId="0" borderId="0" xfId="9" applyNumberFormat="1" applyAlignment="1">
      <alignment horizontal="center"/>
    </xf>
    <xf numFmtId="0" fontId="2" fillId="0" borderId="0" xfId="9" applyAlignment="1">
      <alignment horizontal="center" vertical="center"/>
    </xf>
    <xf numFmtId="1" fontId="2" fillId="0" borderId="0" xfId="9" applyNumberFormat="1" applyAlignment="1">
      <alignment horizontal="center" vertical="center"/>
    </xf>
    <xf numFmtId="164" fontId="2" fillId="0" borderId="0" xfId="9" applyNumberFormat="1" applyAlignment="1">
      <alignment horizontal="center" vertical="center"/>
    </xf>
    <xf numFmtId="0" fontId="8" fillId="0" borderId="6" xfId="0" applyFont="1" applyBorder="1"/>
    <xf numFmtId="1" fontId="0" fillId="4" borderId="0" xfId="0" applyNumberFormat="1" applyFill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0" fillId="4" borderId="0" xfId="0" applyFill="1" applyAlignment="1">
      <alignment vertical="center" wrapText="1"/>
    </xf>
    <xf numFmtId="1" fontId="8" fillId="4" borderId="0" xfId="0" applyNumberFormat="1" applyFont="1" applyFill="1" applyAlignment="1">
      <alignment horizontal="center" vertical="center"/>
    </xf>
    <xf numFmtId="0" fontId="8" fillId="4" borderId="6" xfId="0" applyFont="1" applyFill="1" applyBorder="1" applyAlignment="1">
      <alignment horizontal="left"/>
    </xf>
    <xf numFmtId="2" fontId="8" fillId="4" borderId="0" xfId="0" applyNumberFormat="1" applyFont="1" applyFill="1" applyAlignment="1">
      <alignment horizontal="center" vertical="center"/>
    </xf>
    <xf numFmtId="0" fontId="4" fillId="4" borderId="0" xfId="4" applyFill="1"/>
    <xf numFmtId="0" fontId="19" fillId="10" borderId="3" xfId="0" applyFont="1" applyFill="1" applyBorder="1" applyAlignment="1">
      <alignment horizontal="center" vertical="center"/>
    </xf>
    <xf numFmtId="0" fontId="0" fillId="10" borderId="0" xfId="0" applyFill="1" applyAlignment="1">
      <alignment vertical="center" wrapText="1"/>
    </xf>
    <xf numFmtId="1" fontId="8" fillId="10" borderId="0" xfId="0" applyNumberFormat="1" applyFont="1" applyFill="1" applyAlignment="1">
      <alignment horizontal="center" vertical="center"/>
    </xf>
    <xf numFmtId="2" fontId="8" fillId="10" borderId="0" xfId="0" applyNumberFormat="1" applyFont="1" applyFill="1" applyAlignment="1">
      <alignment horizontal="center" vertical="center"/>
    </xf>
    <xf numFmtId="0" fontId="7" fillId="7" borderId="0" xfId="10" applyFont="1" applyFill="1" applyAlignment="1">
      <alignment horizontal="right"/>
    </xf>
    <xf numFmtId="0" fontId="30" fillId="7" borderId="0" xfId="9" applyFont="1" applyFill="1"/>
    <xf numFmtId="0" fontId="31" fillId="7" borderId="0" xfId="11" applyFill="1"/>
    <xf numFmtId="165" fontId="32" fillId="7" borderId="0" xfId="10" applyNumberFormat="1" applyFont="1" applyFill="1"/>
    <xf numFmtId="0" fontId="10" fillId="7" borderId="0" xfId="12" applyFill="1" applyAlignment="1">
      <alignment vertical="center"/>
    </xf>
    <xf numFmtId="0" fontId="16" fillId="7" borderId="0" xfId="10" applyFont="1" applyFill="1" applyAlignment="1">
      <alignment horizontal="right"/>
    </xf>
    <xf numFmtId="0" fontId="33" fillId="7" borderId="0" xfId="9" applyFont="1" applyFill="1"/>
    <xf numFmtId="0" fontId="12" fillId="7" borderId="0" xfId="9" applyFont="1" applyFill="1" applyAlignment="1">
      <alignment horizontal="right"/>
    </xf>
    <xf numFmtId="0" fontId="29" fillId="7" borderId="0" xfId="10" applyFill="1" applyAlignment="1">
      <alignment horizontal="center"/>
    </xf>
    <xf numFmtId="0" fontId="29" fillId="7" borderId="0" xfId="10" applyFill="1"/>
    <xf numFmtId="0" fontId="34" fillId="7" borderId="0" xfId="10" applyFont="1" applyFill="1"/>
    <xf numFmtId="0" fontId="9" fillId="3" borderId="0" xfId="13" applyAlignment="1">
      <alignment horizontal="center" vertical="center" wrapText="1"/>
    </xf>
    <xf numFmtId="0" fontId="9" fillId="3" borderId="4" xfId="13" applyBorder="1" applyAlignment="1">
      <alignment horizontal="center" vertical="center" wrapText="1"/>
    </xf>
    <xf numFmtId="1" fontId="8" fillId="8" borderId="0" xfId="10" applyNumberFormat="1" applyFont="1" applyFill="1" applyAlignment="1">
      <alignment horizontal="center" vertical="center"/>
    </xf>
    <xf numFmtId="0" fontId="19" fillId="8" borderId="3" xfId="10" applyFont="1" applyFill="1" applyBorder="1" applyAlignment="1">
      <alignment horizontal="center" vertical="center"/>
    </xf>
    <xf numFmtId="0" fontId="29" fillId="8" borderId="0" xfId="10" applyFill="1" applyAlignment="1">
      <alignment vertical="center" wrapText="1"/>
    </xf>
    <xf numFmtId="1" fontId="8" fillId="9" borderId="0" xfId="10" applyNumberFormat="1" applyFont="1" applyFill="1" applyAlignment="1">
      <alignment horizontal="center" vertical="center"/>
    </xf>
    <xf numFmtId="0" fontId="19" fillId="9" borderId="3" xfId="10" applyFont="1" applyFill="1" applyBorder="1" applyAlignment="1">
      <alignment horizontal="center" vertical="center"/>
    </xf>
    <xf numFmtId="0" fontId="29" fillId="9" borderId="0" xfId="10" applyFill="1" applyAlignment="1">
      <alignment vertical="center" wrapText="1"/>
    </xf>
    <xf numFmtId="1" fontId="29" fillId="9" borderId="0" xfId="10" applyNumberFormat="1" applyFill="1" applyAlignment="1">
      <alignment horizontal="center" vertical="center"/>
    </xf>
    <xf numFmtId="1" fontId="29" fillId="8" borderId="0" xfId="10" applyNumberFormat="1" applyFill="1" applyAlignment="1">
      <alignment horizontal="center" vertical="center"/>
    </xf>
    <xf numFmtId="0" fontId="35" fillId="8" borderId="8" xfId="0" applyFont="1" applyFill="1" applyBorder="1" applyAlignment="1">
      <alignment horizontal="center"/>
    </xf>
    <xf numFmtId="2" fontId="7" fillId="8" borderId="6" xfId="0" applyNumberFormat="1" applyFont="1" applyFill="1" applyBorder="1" applyAlignment="1">
      <alignment horizontal="center" vertical="center"/>
    </xf>
    <xf numFmtId="0" fontId="12" fillId="12" borderId="0" xfId="3" applyFont="1" applyBorder="1" applyAlignment="1">
      <alignment horizontal="center" vertical="center" wrapText="1"/>
    </xf>
    <xf numFmtId="2" fontId="0" fillId="0" borderId="0" xfId="0" applyNumberFormat="1"/>
    <xf numFmtId="0" fontId="1" fillId="7" borderId="0" xfId="14" applyFill="1"/>
    <xf numFmtId="0" fontId="30" fillId="7" borderId="0" xfId="14" applyFont="1" applyFill="1"/>
    <xf numFmtId="0" fontId="14" fillId="7" borderId="0" xfId="14" applyFont="1" applyFill="1" applyAlignment="1">
      <alignment horizontal="right" vertical="center"/>
    </xf>
    <xf numFmtId="0" fontId="14" fillId="7" borderId="0" xfId="14" applyFont="1" applyFill="1" applyAlignment="1">
      <alignment horizontal="center" vertical="center"/>
    </xf>
    <xf numFmtId="1" fontId="15" fillId="7" borderId="0" xfId="14" applyNumberFormat="1" applyFont="1" applyFill="1" applyAlignment="1">
      <alignment horizontal="left" vertical="center"/>
    </xf>
    <xf numFmtId="0" fontId="1" fillId="7" borderId="0" xfId="14" applyFill="1" applyAlignment="1">
      <alignment horizontal="center" vertical="center"/>
    </xf>
    <xf numFmtId="0" fontId="1" fillId="8" borderId="0" xfId="14" applyFill="1"/>
    <xf numFmtId="0" fontId="36" fillId="7" borderId="0" xfId="12" applyFont="1" applyFill="1" applyAlignment="1">
      <alignment vertical="center"/>
    </xf>
    <xf numFmtId="0" fontId="11" fillId="6" borderId="0" xfId="14" applyFont="1" applyFill="1" applyAlignment="1">
      <alignment horizontal="center" vertical="center"/>
    </xf>
    <xf numFmtId="0" fontId="11" fillId="8" borderId="0" xfId="14" applyFont="1" applyFill="1" applyAlignment="1">
      <alignment horizontal="center" vertical="center"/>
    </xf>
    <xf numFmtId="1" fontId="1" fillId="8" borderId="0" xfId="14" applyNumberFormat="1" applyFill="1" applyAlignment="1">
      <alignment horizontal="center" vertical="center"/>
    </xf>
    <xf numFmtId="0" fontId="37" fillId="7" borderId="0" xfId="14" applyFont="1" applyFill="1"/>
    <xf numFmtId="0" fontId="12" fillId="7" borderId="0" xfId="14" applyFont="1" applyFill="1" applyAlignment="1">
      <alignment horizontal="right"/>
    </xf>
    <xf numFmtId="1" fontId="1" fillId="7" borderId="0" xfId="14" applyNumberFormat="1" applyFill="1" applyAlignment="1">
      <alignment horizontal="center" vertical="center"/>
    </xf>
    <xf numFmtId="0" fontId="18" fillId="5" borderId="0" xfId="14" applyFont="1" applyFill="1" applyAlignment="1">
      <alignment horizontal="center" vertical="center"/>
    </xf>
    <xf numFmtId="0" fontId="18" fillId="5" borderId="0" xfId="14" applyFont="1" applyFill="1" applyAlignment="1">
      <alignment horizontal="center" vertical="center" wrapText="1"/>
    </xf>
    <xf numFmtId="1" fontId="18" fillId="5" borderId="0" xfId="14" applyNumberFormat="1" applyFont="1" applyFill="1" applyAlignment="1">
      <alignment horizontal="center" vertical="center" wrapText="1"/>
    </xf>
    <xf numFmtId="0" fontId="38" fillId="13" borderId="0" xfId="0" applyFont="1" applyFill="1"/>
    <xf numFmtId="0" fontId="39" fillId="13" borderId="0" xfId="0" applyFont="1" applyFill="1" applyAlignment="1">
      <alignment vertical="center"/>
    </xf>
    <xf numFmtId="0" fontId="17" fillId="7" borderId="0" xfId="14" applyFont="1" applyFill="1" applyAlignment="1">
      <alignment horizontal="center" vertical="center"/>
    </xf>
    <xf numFmtId="2" fontId="17" fillId="7" borderId="0" xfId="14" applyNumberFormat="1" applyFont="1" applyFill="1" applyAlignment="1">
      <alignment horizontal="center" vertical="center"/>
    </xf>
    <xf numFmtId="164" fontId="17" fillId="7" borderId="0" xfId="14" applyNumberFormat="1" applyFont="1" applyFill="1" applyAlignment="1">
      <alignment horizontal="center" vertical="center"/>
    </xf>
    <xf numFmtId="0" fontId="39" fillId="13" borderId="0" xfId="0" applyFont="1" applyFill="1"/>
    <xf numFmtId="0" fontId="39" fillId="13" borderId="0" xfId="0" applyFont="1" applyFill="1" applyAlignment="1">
      <alignment horizontal="left" vertical="center"/>
    </xf>
    <xf numFmtId="0" fontId="39" fillId="13" borderId="0" xfId="0" applyFont="1" applyFill="1" applyAlignment="1">
      <alignment horizontal="center" vertical="center"/>
    </xf>
    <xf numFmtId="0" fontId="17" fillId="10" borderId="0" xfId="14" applyFont="1" applyFill="1" applyAlignment="1">
      <alignment horizontal="center" vertical="center"/>
    </xf>
    <xf numFmtId="2" fontId="17" fillId="10" borderId="0" xfId="14" applyNumberFormat="1" applyFont="1" applyFill="1" applyAlignment="1">
      <alignment horizontal="center" vertical="center"/>
    </xf>
    <xf numFmtId="164" fontId="17" fillId="10" borderId="0" xfId="14" applyNumberFormat="1" applyFont="1" applyFill="1" applyAlignment="1">
      <alignment horizontal="center" vertical="center"/>
    </xf>
    <xf numFmtId="0" fontId="12" fillId="8" borderId="0" xfId="14" applyFont="1" applyFill="1"/>
    <xf numFmtId="1" fontId="1" fillId="8" borderId="0" xfId="14" applyNumberFormat="1" applyFill="1"/>
    <xf numFmtId="0" fontId="1" fillId="8" borderId="0" xfId="14" applyFill="1" applyAlignment="1">
      <alignment horizontal="right"/>
    </xf>
    <xf numFmtId="0" fontId="11" fillId="8" borderId="0" xfId="14" applyFont="1" applyFill="1"/>
    <xf numFmtId="0" fontId="13" fillId="8" borderId="0" xfId="14" applyFont="1" applyFill="1"/>
    <xf numFmtId="164" fontId="1" fillId="7" borderId="0" xfId="14" applyNumberFormat="1" applyFill="1"/>
    <xf numFmtId="49" fontId="1" fillId="8" borderId="0" xfId="14" applyNumberFormat="1" applyFill="1"/>
    <xf numFmtId="0" fontId="11" fillId="7" borderId="0" xfId="14" applyFont="1" applyFill="1"/>
    <xf numFmtId="164" fontId="11" fillId="8" borderId="0" xfId="14" applyNumberFormat="1" applyFont="1" applyFill="1"/>
    <xf numFmtId="164" fontId="1" fillId="8" borderId="0" xfId="14" applyNumberFormat="1" applyFill="1"/>
    <xf numFmtId="1" fontId="1" fillId="0" borderId="0" xfId="14" applyNumberFormat="1" applyAlignment="1">
      <alignment horizontal="center"/>
    </xf>
    <xf numFmtId="0" fontId="1" fillId="0" borderId="0" xfId="14"/>
    <xf numFmtId="164" fontId="1" fillId="0" borderId="0" xfId="14" applyNumberFormat="1" applyAlignment="1">
      <alignment horizontal="center"/>
    </xf>
    <xf numFmtId="0" fontId="1" fillId="0" borderId="0" xfId="14" applyAlignment="1">
      <alignment horizontal="center" vertical="center"/>
    </xf>
    <xf numFmtId="1" fontId="1" fillId="0" borderId="0" xfId="14" applyNumberFormat="1" applyAlignment="1">
      <alignment horizontal="center" vertical="center"/>
    </xf>
    <xf numFmtId="164" fontId="1" fillId="0" borderId="0" xfId="14" applyNumberFormat="1" applyAlignment="1">
      <alignment horizontal="center" vertical="center"/>
    </xf>
    <xf numFmtId="0" fontId="8" fillId="8" borderId="8" xfId="0" applyFont="1" applyFill="1" applyBorder="1" applyAlignment="1">
      <alignment vertical="center" wrapText="1"/>
    </xf>
    <xf numFmtId="0" fontId="1" fillId="7" borderId="0" xfId="2" applyFont="1" applyFill="1" applyAlignment="1">
      <alignment horizontal="left" vertical="center"/>
    </xf>
    <xf numFmtId="0" fontId="8" fillId="4" borderId="8" xfId="0" applyFont="1" applyFill="1" applyBorder="1" applyAlignment="1">
      <alignment horizontal="left"/>
    </xf>
    <xf numFmtId="0" fontId="8" fillId="8" borderId="0" xfId="0" applyFont="1" applyFill="1" applyAlignment="1">
      <alignment horizontal="left"/>
    </xf>
    <xf numFmtId="0" fontId="0" fillId="9" borderId="19" xfId="0" applyFill="1" applyBorder="1" applyAlignment="1">
      <alignment horizontal="center" vertical="center" wrapText="1"/>
    </xf>
    <xf numFmtId="0" fontId="0" fillId="9" borderId="20" xfId="0" applyFill="1" applyBorder="1" applyAlignment="1">
      <alignment horizontal="center" vertical="center" wrapText="1"/>
    </xf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7" borderId="0" xfId="8" applyFill="1" applyAlignment="1">
      <alignment horizontal="left" vertical="center"/>
    </xf>
    <xf numFmtId="14" fontId="0" fillId="7" borderId="0" xfId="0" applyNumberFormat="1" applyFill="1" applyAlignment="1">
      <alignment horizontal="left"/>
    </xf>
    <xf numFmtId="0" fontId="10" fillId="13" borderId="0" xfId="8" applyFill="1" applyAlignment="1">
      <alignment horizontal="left" vertical="center"/>
    </xf>
    <xf numFmtId="0" fontId="0" fillId="13" borderId="0" xfId="0" applyFill="1" applyAlignment="1">
      <alignment horizontal="left"/>
    </xf>
    <xf numFmtId="0" fontId="26" fillId="2" borderId="10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12" fillId="12" borderId="27" xfId="3" applyFont="1" applyBorder="1" applyAlignment="1">
      <alignment horizontal="center" vertical="center"/>
    </xf>
    <xf numFmtId="0" fontId="12" fillId="12" borderId="28" xfId="3" applyFont="1" applyBorder="1" applyAlignment="1">
      <alignment horizontal="center" vertical="center"/>
    </xf>
    <xf numFmtId="0" fontId="0" fillId="14" borderId="1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22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0" fillId="14" borderId="32" xfId="0" applyFill="1" applyBorder="1" applyAlignment="1">
      <alignment horizontal="center" vertical="center" wrapText="1"/>
    </xf>
    <xf numFmtId="0" fontId="0" fillId="14" borderId="33" xfId="0" applyFill="1" applyBorder="1" applyAlignment="1">
      <alignment horizontal="center" vertical="center" wrapText="1"/>
    </xf>
    <xf numFmtId="0" fontId="24" fillId="11" borderId="0" xfId="0" applyFont="1" applyFill="1" applyAlignment="1">
      <alignment horizontal="center" vertical="center" wrapText="1"/>
    </xf>
    <xf numFmtId="0" fontId="26" fillId="2" borderId="12" xfId="0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14" fontId="10" fillId="7" borderId="0" xfId="8" applyNumberFormat="1" applyFill="1" applyAlignment="1">
      <alignment horizontal="left"/>
    </xf>
  </cellXfs>
  <cellStyles count="15">
    <cellStyle name="20% — akcent 1" xfId="3" builtinId="30"/>
    <cellStyle name="Accent1 2" xfId="13" xr:uid="{5C850F1D-4DF5-44D2-AA43-E599D563C881}"/>
    <cellStyle name="Akcent 1" xfId="1" builtinId="29"/>
    <cellStyle name="Hiperłącze" xfId="8" builtinId="8"/>
    <cellStyle name="Hiperłącze 2" xfId="11" xr:uid="{3121B174-07A6-4DDA-B7FD-FE9BD2CFAC7F}"/>
    <cellStyle name="Hyperlink 2" xfId="12" xr:uid="{16BDC498-39BC-4317-A95C-2561B1F1AF62}"/>
    <cellStyle name="Normal 2" xfId="2" xr:uid="{E6D76357-EFED-411E-9BE2-64F7993DD5ED}"/>
    <cellStyle name="Normal 2 2" xfId="4" xr:uid="{DF3EBC8F-3E56-4691-9453-36968B8848D7}"/>
    <cellStyle name="Normal 2 2 2" xfId="5" xr:uid="{2BDC1B1A-8475-4626-934A-25BDE96E4313}"/>
    <cellStyle name="Normal 2 2 2 2" xfId="6" xr:uid="{9457E5F1-D940-4E35-851C-A65C9FF854FF}"/>
    <cellStyle name="Normal 2 2 2 2 2 2" xfId="9" xr:uid="{751EE1C5-F2E7-476E-932E-374BB845FFFC}"/>
    <cellStyle name="Normal 2 2 2 3" xfId="7" xr:uid="{92B7BE7E-08FB-451F-8FF5-546628D8355F}"/>
    <cellStyle name="Normal 2 6" xfId="14" xr:uid="{89675E27-611C-44E3-8232-21D93CB6F040}"/>
    <cellStyle name="Normal 3" xfId="10" xr:uid="{CDD575A2-381C-49E1-B48A-903F44C78D0D}"/>
    <cellStyle name="Normalny" xfId="0" builtinId="0"/>
  </cellStyles>
  <dxfs count="40">
    <dxf>
      <font>
        <color theme="0" tint="-0.24994659260841701"/>
      </font>
    </dxf>
    <dxf>
      <fill>
        <patternFill>
          <bgColor theme="7" tint="0.79998168889431442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7" tint="0.79998168889431442"/>
        </patternFill>
      </fill>
    </dxf>
    <dxf>
      <font>
        <color theme="0" tint="-0.24994659260841701"/>
      </font>
    </dxf>
    <dxf>
      <fill>
        <patternFill>
          <bgColor theme="7" tint="0.79998168889431442"/>
        </patternFill>
      </fill>
    </dxf>
    <dxf>
      <font>
        <color theme="2"/>
      </font>
    </dxf>
    <dxf>
      <font>
        <color theme="2"/>
      </font>
    </dxf>
    <dxf>
      <font>
        <color theme="3" tint="-0.499984740745262"/>
      </font>
      <fill>
        <patternFill>
          <bgColor theme="3" tint="0.3999450666829432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3" tint="-0.499984740745262"/>
      </font>
      <fill>
        <patternFill>
          <bgColor theme="0" tint="-4.9989318521683403E-2"/>
        </patternFill>
      </fill>
    </dxf>
    <dxf>
      <font>
        <color theme="3" tint="-0.499984740745262"/>
      </font>
      <fill>
        <patternFill>
          <bgColor theme="3" tint="0.39994506668294322"/>
        </patternFill>
      </fill>
    </dxf>
    <dxf>
      <font>
        <color theme="3" tint="-0.499984740745262"/>
      </font>
      <fill>
        <patternFill>
          <bgColor theme="3" tint="0.79998168889431442"/>
        </patternFill>
      </fill>
    </dxf>
    <dxf>
      <font>
        <color theme="3" tint="-0.499984740745262"/>
      </font>
      <fill>
        <patternFill>
          <bgColor theme="0" tint="-4.9989318521683403E-2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ill>
        <patternFill>
          <bgColor theme="7" tint="0.79998168889431442"/>
        </patternFill>
      </fill>
    </dxf>
    <dxf>
      <font>
        <color theme="0" tint="-0.24994659260841701"/>
      </font>
    </dxf>
    <dxf>
      <fill>
        <patternFill>
          <bgColor theme="7" tint="0.79998168889431442"/>
        </patternFill>
      </fill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38100</xdr:rowOff>
        </xdr:from>
        <xdr:to>
          <xdr:col>0</xdr:col>
          <xdr:colOff>514350</xdr:colOff>
          <xdr:row>1</xdr:row>
          <xdr:rowOff>19050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02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l-P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import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38100</xdr:rowOff>
        </xdr:from>
        <xdr:to>
          <xdr:col>0</xdr:col>
          <xdr:colOff>514350</xdr:colOff>
          <xdr:row>1</xdr:row>
          <xdr:rowOff>19050</xdr:rowOff>
        </xdr:to>
        <xdr:sp macro="" textlink="">
          <xdr:nvSpPr>
            <xdr:cNvPr id="24577" name="Button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3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l-P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import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38100</xdr:rowOff>
        </xdr:from>
        <xdr:to>
          <xdr:col>0</xdr:col>
          <xdr:colOff>514350</xdr:colOff>
          <xdr:row>1</xdr:row>
          <xdr:rowOff>19050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8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l-P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import 1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38100</xdr:rowOff>
        </xdr:from>
        <xdr:to>
          <xdr:col>0</xdr:col>
          <xdr:colOff>514350</xdr:colOff>
          <xdr:row>1</xdr:row>
          <xdr:rowOff>19050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09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l-P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import 1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38100</xdr:rowOff>
        </xdr:from>
        <xdr:to>
          <xdr:col>0</xdr:col>
          <xdr:colOff>514350</xdr:colOff>
          <xdr:row>1</xdr:row>
          <xdr:rowOff>19050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11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l-PL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import 1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dow\Downloads\SPWS_ranking_template.xlsm" TargetMode="External"/><Relationship Id="rId1" Type="http://schemas.openxmlformats.org/officeDocument/2006/relationships/externalLinkPath" Target="file:///C:\Users\sadow\Downloads\SPWS_ranking_template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lgorzata.sadowska\Downloads\SPWS_ranking_template.xlsm" TargetMode="External"/><Relationship Id="rId1" Type="http://schemas.openxmlformats.org/officeDocument/2006/relationships/externalLinkPath" Target="file:///C:\Users\malgorzata.sadowska\Downloads\SPWS_ranking_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king"/>
      <sheetName val="PP1"/>
      <sheetName val="PP2"/>
      <sheetName val="PP3"/>
      <sheetName val="PP4"/>
      <sheetName val="PP5"/>
      <sheetName val="MPW"/>
      <sheetName val="notes"/>
      <sheetName val="SPWS_ranking_template"/>
    </sheetNames>
    <definedNames>
      <definedName name="IMP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king"/>
      <sheetName val="PP1"/>
      <sheetName val="PP2"/>
      <sheetName val="PP3"/>
      <sheetName val="PP4"/>
      <sheetName val="PP5"/>
      <sheetName val="MPW"/>
      <sheetName val="notes"/>
      <sheetName val="SPWS_ranking_template"/>
    </sheetNames>
    <definedNames>
      <definedName name="IMPOR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0387CC20A25B4EBA9BDAFAB148E8C12B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2034F718AC554C8D89A639B0EC0984DD" TargetMode="External"/><Relationship Id="rId5" Type="http://schemas.openxmlformats.org/officeDocument/2006/relationships/ctrlProp" Target="../ctrlProps/ctrlProp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2277992D25F6460485EE1A52BBFCB13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93817953DF94EE2BD3A86CEEF94CEF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8F6BDF11C6344222A0DCEBCA8D22EFA7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competition/hunfencing/2025_09_20_pbt/me50" TargetMode="External"/><Relationship Id="rId5" Type="http://schemas.openxmlformats.org/officeDocument/2006/relationships/ctrlProp" Target="../ctrlProps/ctrlProp3.xml"/><Relationship Id="rId4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5/em-2" TargetMode="External"/><Relationship Id="rId5" Type="http://schemas.openxmlformats.org/officeDocument/2006/relationships/ctrlProp" Target="../ctrlProps/ctrlProp4.xml"/><Relationship Id="rId4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timelive.com/events/results/EEC7379682834E588E5B267447C7266A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4fence.it/FIS/Risultati/2025-02-02-01_Terni_(TR)_-_4_Prova_Naz.le_Master_-_EVF_Circuit/index.php?a=SP&amp;s=M&amp;c=7&amp;f=clafinal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fencing.ophardt.online/en/search/results/30279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1DAD5541330547AC9204125523A0C1A9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worldwide.com/en/920972-2024/results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ehv2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www.fencingtimelive.com/events/results/F335344201F74762AED57ADC339F65EF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timelive.com/events/results/12C3BCD029104BA19426095D43A2233C" TargetMode="External"/><Relationship Id="rId5" Type="http://schemas.openxmlformats.org/officeDocument/2006/relationships/ctrlProp" Target="../ctrlProps/ctrlProp5.xml"/><Relationship Id="rId4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zoomScaleNormal="100" workbookViewId="0">
      <selection activeCell="B6" sqref="B6"/>
    </sheetView>
  </sheetViews>
  <sheetFormatPr defaultColWidth="11.42578125" defaultRowHeight="12.75" customHeight="1"/>
  <cols>
    <col min="1" max="1" width="6" customWidth="1"/>
    <col min="2" max="2" width="29.28515625" customWidth="1"/>
    <col min="3" max="3" width="13.85546875" customWidth="1"/>
    <col min="5" max="5" width="3.7109375" customWidth="1"/>
    <col min="6" max="6" width="6.7109375" bestFit="1" customWidth="1"/>
    <col min="7" max="7" width="3.7109375" customWidth="1"/>
    <col min="8" max="8" width="6.7109375" bestFit="1" customWidth="1"/>
    <col min="9" max="9" width="6" customWidth="1"/>
    <col min="10" max="10" width="6.7109375" bestFit="1" customWidth="1"/>
    <col min="11" max="14" width="6" customWidth="1"/>
    <col min="15" max="15" width="3.7109375" customWidth="1"/>
    <col min="16" max="16" width="7.28515625" customWidth="1"/>
    <col min="17" max="17" width="2.42578125" customWidth="1"/>
  </cols>
  <sheetData>
    <row r="1" spans="1:21" ht="13.5" thickBot="1">
      <c r="A1" s="56"/>
      <c r="B1" s="56"/>
      <c r="C1" s="56"/>
      <c r="D1" s="58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</row>
    <row r="2" spans="1:21" ht="12.75" customHeight="1" thickTop="1">
      <c r="A2" s="56"/>
      <c r="B2" s="2" t="s">
        <v>0</v>
      </c>
      <c r="C2" s="56"/>
      <c r="D2" s="196" t="s">
        <v>1</v>
      </c>
      <c r="E2" s="57"/>
      <c r="F2" s="57"/>
      <c r="G2" s="57"/>
      <c r="H2" s="56"/>
      <c r="I2" s="56"/>
      <c r="J2" s="56"/>
      <c r="K2" s="56"/>
      <c r="L2" s="56"/>
      <c r="M2" s="56"/>
      <c r="N2" s="56"/>
      <c r="O2" s="56"/>
      <c r="P2" s="56"/>
      <c r="R2" s="324" t="s">
        <v>2</v>
      </c>
      <c r="S2" s="325"/>
      <c r="T2" s="325"/>
      <c r="U2" s="326"/>
    </row>
    <row r="3" spans="1:21">
      <c r="A3" s="56"/>
      <c r="B3" s="56"/>
      <c r="C3" s="56"/>
      <c r="D3" s="58" t="s">
        <v>3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R3" s="327"/>
      <c r="S3" s="328"/>
      <c r="T3" s="328"/>
      <c r="U3" s="329"/>
    </row>
    <row r="4" spans="1:21" ht="24.75" customHeight="1" thickBot="1">
      <c r="A4" s="335" t="s">
        <v>4</v>
      </c>
      <c r="B4" s="337" t="s">
        <v>5</v>
      </c>
      <c r="C4" s="337" t="s">
        <v>6</v>
      </c>
      <c r="D4" s="337" t="s">
        <v>7</v>
      </c>
      <c r="E4" s="333" t="s">
        <v>8</v>
      </c>
      <c r="F4" s="334"/>
      <c r="G4" s="333" t="s">
        <v>9</v>
      </c>
      <c r="H4" s="334"/>
      <c r="I4" s="333" t="s">
        <v>10</v>
      </c>
      <c r="J4" s="334"/>
      <c r="K4" s="333" t="s">
        <v>11</v>
      </c>
      <c r="L4" s="334"/>
      <c r="M4" s="333" t="s">
        <v>12</v>
      </c>
      <c r="N4" s="334"/>
      <c r="O4" s="333" t="s">
        <v>13</v>
      </c>
      <c r="P4" s="334"/>
      <c r="R4" s="330"/>
      <c r="S4" s="331"/>
      <c r="T4" s="331"/>
      <c r="U4" s="332"/>
    </row>
    <row r="5" spans="1:21" ht="18" customHeight="1" thickTop="1">
      <c r="A5" s="336"/>
      <c r="B5" s="338"/>
      <c r="C5" s="338"/>
      <c r="D5" s="339"/>
      <c r="E5" s="38" t="s">
        <v>14</v>
      </c>
      <c r="F5" s="38" t="s">
        <v>15</v>
      </c>
      <c r="G5" s="38" t="s">
        <v>14</v>
      </c>
      <c r="H5" s="53" t="s">
        <v>15</v>
      </c>
      <c r="I5" s="38" t="s">
        <v>14</v>
      </c>
      <c r="J5" s="53" t="s">
        <v>15</v>
      </c>
      <c r="K5" s="38" t="s">
        <v>14</v>
      </c>
      <c r="L5" s="53" t="s">
        <v>15</v>
      </c>
      <c r="M5" s="38" t="s">
        <v>14</v>
      </c>
      <c r="N5" s="53" t="s">
        <v>15</v>
      </c>
      <c r="O5" s="38" t="s">
        <v>14</v>
      </c>
      <c r="P5" s="53" t="s">
        <v>15</v>
      </c>
    </row>
    <row r="6" spans="1:21" ht="14.85" customHeight="1">
      <c r="A6" s="54">
        <f>ROW()-5</f>
        <v>1</v>
      </c>
      <c r="B6" s="197" t="s">
        <v>16</v>
      </c>
      <c r="C6" s="198"/>
      <c r="D6" s="70">
        <f>SUM(F6,H6,J6,L6,N6,P6)-MIN(F6,H6,J6,L6,N6)</f>
        <v>322.50804315234154</v>
      </c>
      <c r="E6" s="114">
        <f>_xlfn.XLOOKUP($B6,'PP1'!$C$6:$C$150,'PP1'!$B$6:$B$150,"")</f>
        <v>1</v>
      </c>
      <c r="F6" s="116">
        <f>_xlfn.XLOOKUP(E6,'PP1'!$B$6:$B$150,'PP1'!$A$6:$A$150,0)</f>
        <v>98</v>
      </c>
      <c r="G6" s="114" t="str">
        <f>_xlfn.XLOOKUP($B6,'PP2'!$C$6:$C$150,'PP2'!$B$6:$B$150,"")</f>
        <v/>
      </c>
      <c r="H6" s="118">
        <f>_xlfn.XLOOKUP(G6,'PP2'!$B$6:$B$150,'PP2'!$A$6:$A$150,0)</f>
        <v>0</v>
      </c>
      <c r="I6" s="114">
        <f>_xlfn.XLOOKUP($B6,'PP3'!$C$6:$C$150,'PP3'!$B$6:$B$150,"")</f>
        <v>5</v>
      </c>
      <c r="J6" s="118">
        <f>_xlfn.XLOOKUP(I6,'PP3'!$B$6:$B$150,'PP3'!$A$6:$A$150,0)</f>
        <v>43.216474083087775</v>
      </c>
      <c r="K6" s="114">
        <f>_xlfn.XLOOKUP($B6,'PP4'!$C$6:$C$150,'PP4'!$B$6:$B$150,"")</f>
        <v>2</v>
      </c>
      <c r="L6" s="118">
        <f>_xlfn.XLOOKUP(K6,'PP4'!$B$6:$B$150,'PP4'!$A$6:$A$150,0)</f>
        <v>65.666666666666657</v>
      </c>
      <c r="M6" s="114" t="str">
        <f>_xlfn.XLOOKUP($B6,'PP5'!$C$6:$C$150,'PP5'!$B$6:$B$150,"")</f>
        <v/>
      </c>
      <c r="N6" s="118">
        <f>_xlfn.XLOOKUP(M6,'PP5'!$B$6:$B$150,'PP5'!$A$6:$A$150,0)</f>
        <v>0</v>
      </c>
      <c r="O6" s="114">
        <f>_xlfn.XLOOKUP(B6,MPW!C$6:C$150,MPW!B$6:B$150,"")</f>
        <v>1</v>
      </c>
      <c r="P6" s="118">
        <f>_xlfn.XLOOKUP(O6,MPW!B$6:B$150,MPW!A$6:A$150,0)</f>
        <v>115.62490240258711</v>
      </c>
    </row>
    <row r="7" spans="1:21" ht="14.85" customHeight="1">
      <c r="A7" s="54">
        <f>ROW()-5</f>
        <v>2</v>
      </c>
      <c r="B7" s="51" t="s">
        <v>17</v>
      </c>
      <c r="C7" s="199"/>
      <c r="D7" s="70">
        <f>SUM(F7,H7,J7,L7,N7,P7)-MIN(F7,H7,J7,L7,N7)</f>
        <v>287.68228150516416</v>
      </c>
      <c r="E7" s="115">
        <f>_xlfn.XLOOKUP($B7,'PP1'!$C$6:$C$150,'PP1'!$B$6:$B$150,"")</f>
        <v>2</v>
      </c>
      <c r="F7" s="117">
        <f>_xlfn.XLOOKUP(E7,'PP1'!$B$6:$B$150,'PP1'!$A$6:$A$150,0)</f>
        <v>65.666666666666657</v>
      </c>
      <c r="G7" s="115" t="str">
        <f>_xlfn.XLOOKUP($B7,'PP2'!$C$6:$C$150,'PP2'!$B$6:$B$150,"")</f>
        <v/>
      </c>
      <c r="H7" s="119">
        <f>_xlfn.XLOOKUP(G7,'PP2'!$B$6:$B$150,'PP2'!$A$6:$A$150,0)</f>
        <v>0</v>
      </c>
      <c r="I7" s="115">
        <f>_xlfn.XLOOKUP($B7,'PP3'!$C$6:$C$150,'PP3'!$B$6:$B$150,"")</f>
        <v>1</v>
      </c>
      <c r="J7" s="119">
        <f>_xlfn.XLOOKUP(I7,'PP3'!$B$6:$B$150,'PP3'!$A$6:$A$150,0)</f>
        <v>124.0156148384975</v>
      </c>
      <c r="K7" s="115">
        <f>_xlfn.XLOOKUP($B7,'PP4'!$C$6:$C$150,'PP4'!$B$6:$B$150,"")</f>
        <v>1</v>
      </c>
      <c r="L7" s="119">
        <f>_xlfn.XLOOKUP(K7,'PP4'!$B$6:$B$150,'PP4'!$A$6:$A$150,0)</f>
        <v>98</v>
      </c>
      <c r="M7" s="115" t="str">
        <f>_xlfn.XLOOKUP($B7,'PP5'!$C$6:$C$150,'PP5'!$B$6:$B$150,"")</f>
        <v/>
      </c>
      <c r="N7" s="119">
        <f>_xlfn.XLOOKUP(M7,'PP5'!$B$6:$B$150,'PP5'!$A$6:$A$150,0)</f>
        <v>0</v>
      </c>
      <c r="O7" s="115" t="str">
        <f>_xlfn.XLOOKUP(B7,MPW!C$6:C$150,MPW!B$6:B$150,"")</f>
        <v/>
      </c>
      <c r="P7" s="119">
        <f>_xlfn.XLOOKUP(O7,MPW!B$6:B$150,MPW!A$6:A$150,0)</f>
        <v>0</v>
      </c>
    </row>
    <row r="8" spans="1:21" ht="15.75" customHeight="1">
      <c r="A8" s="54">
        <f>ROW()-5</f>
        <v>3</v>
      </c>
      <c r="B8" s="244" t="s">
        <v>18</v>
      </c>
      <c r="C8" s="52"/>
      <c r="D8" s="70">
        <f>SUM(F8,H8,J8,L8,N8,P8)-MIN(F8,H8,J8,L8,N8)</f>
        <v>239.66527283010313</v>
      </c>
      <c r="E8" s="115">
        <f>_xlfn.XLOOKUP($B8,'PP1'!$C$6:$C$150,'PP1'!$B$6:$B$150,"")</f>
        <v>4</v>
      </c>
      <c r="F8" s="117">
        <f>_xlfn.XLOOKUP(E8,'PP1'!$B$6:$B$150,'PP1'!$A$6:$A$150,0)</f>
        <v>27.333333333333329</v>
      </c>
      <c r="G8" s="115">
        <f>_xlfn.XLOOKUP($B8,'PP2'!$C$6:$C$150,'PP2'!$B$6:$B$150,"")</f>
        <v>1</v>
      </c>
      <c r="H8" s="119">
        <f>_xlfn.XLOOKUP(G8,'PP2'!$B$6:$B$150,'PP2'!$A$6:$A$150,0)</f>
        <v>98</v>
      </c>
      <c r="I8" s="115">
        <f>_xlfn.XLOOKUP($B8,'PP3'!$C$6:$C$150,'PP3'!$B$6:$B$150,"")</f>
        <v>3</v>
      </c>
      <c r="J8" s="119">
        <f>_xlfn.XLOOKUP(I8,'PP3'!$B$6:$B$150,'PP3'!$A$6:$A$150,0)</f>
        <v>69.722604245105629</v>
      </c>
      <c r="K8" s="115" t="str">
        <f>_xlfn.XLOOKUP($B8,'PP4'!$C$6:$C$150,'PP4'!$B$6:$B$150,"")</f>
        <v>5k1</v>
      </c>
      <c r="L8" s="119">
        <f>_xlfn.XLOOKUP(K8,'PP4'!$B$6:$B$150,'PP4'!$A$6:$A$150,0)</f>
        <v>12.07517445017308</v>
      </c>
      <c r="M8" s="115" t="str">
        <f>_xlfn.XLOOKUP($B8,'PP5'!$C$6:$C$150,'PP5'!$B$6:$B$150,"")</f>
        <v/>
      </c>
      <c r="N8" s="119">
        <f>_xlfn.XLOOKUP(M8,'PP5'!$B$6:$B$150,'PP5'!$A$6:$A$150,0)</f>
        <v>0</v>
      </c>
      <c r="O8" s="115" t="str">
        <f>_xlfn.XLOOKUP(B8,MPW!C$6:C$150,MPW!B$6:B$150,"")</f>
        <v>5k1</v>
      </c>
      <c r="P8" s="119">
        <f>_xlfn.XLOOKUP(O8,MPW!B$6:B$150,MPW!A$6:A$150,0)</f>
        <v>32.534160801491105</v>
      </c>
    </row>
    <row r="9" spans="1:21" ht="14.85" customHeight="1">
      <c r="A9" s="54">
        <f>ROW()-5</f>
        <v>4</v>
      </c>
      <c r="B9" s="51" t="s">
        <v>19</v>
      </c>
      <c r="C9" s="52"/>
      <c r="D9" s="70">
        <f>SUM(F9,H9,J9,L9,N9,P9)-MIN(F9,H9,J9,L9,N9)</f>
        <v>208.92397549525452</v>
      </c>
      <c r="E9" s="115">
        <f>_xlfn.XLOOKUP($B9,'PP1'!$C$6:$C$150,'PP1'!$B$6:$B$150,"")</f>
        <v>3</v>
      </c>
      <c r="F9" s="117">
        <f>_xlfn.XLOOKUP(E9,'PP1'!$B$6:$B$150,'PP1'!$A$6:$A$150,0)</f>
        <v>40.112279154887787</v>
      </c>
      <c r="G9" s="115" t="str">
        <f>_xlfn.XLOOKUP($B9,'PP2'!$C$6:$C$150,'PP2'!$B$6:$B$150,"")</f>
        <v/>
      </c>
      <c r="H9" s="119">
        <f>_xlfn.XLOOKUP(G9,'PP2'!$B$6:$B$150,'PP2'!$A$6:$A$150,0)</f>
        <v>0</v>
      </c>
      <c r="I9" s="115">
        <f>_xlfn.XLOOKUP($B9,'PP3'!$C$6:$C$150,'PP3'!$B$6:$B$150,"")</f>
        <v>2</v>
      </c>
      <c r="J9" s="119">
        <f>_xlfn.XLOOKUP(I9,'PP3'!$B$6:$B$150,'PP3'!$A$6:$A$150,0)</f>
        <v>94.47537313736639</v>
      </c>
      <c r="K9" s="115" t="str">
        <f>_xlfn.XLOOKUP($B9,'PP4'!$C$6:$C$150,'PP4'!$B$6:$B$150,"")</f>
        <v/>
      </c>
      <c r="L9" s="119">
        <f>_xlfn.XLOOKUP(K9,'PP4'!$B$6:$B$150,'PP4'!$A$6:$A$150,0)</f>
        <v>0</v>
      </c>
      <c r="M9" s="115" t="str">
        <f>_xlfn.XLOOKUP($B9,'PP5'!$C$6:$C$150,'PP5'!$B$6:$B$150,"")</f>
        <v/>
      </c>
      <c r="N9" s="119">
        <f>_xlfn.XLOOKUP(M9,'PP5'!$B$6:$B$150,'PP5'!$A$6:$A$150,0)</f>
        <v>0</v>
      </c>
      <c r="O9" s="115">
        <f>_xlfn.XLOOKUP(B9,MPW!C$6:C$150,MPW!B$6:B$150,"")</f>
        <v>2</v>
      </c>
      <c r="P9" s="119">
        <f>_xlfn.XLOOKUP(O9,MPW!B$6:B$150,MPW!A$6:A$150,0)</f>
        <v>74.336323203000362</v>
      </c>
    </row>
    <row r="10" spans="1:21" ht="14.85" customHeight="1">
      <c r="A10" s="54">
        <f>ROW()-5</f>
        <v>5</v>
      </c>
      <c r="B10" s="51" t="s">
        <v>20</v>
      </c>
      <c r="C10" s="52"/>
      <c r="D10" s="70">
        <f>SUM(F10,H10,J10,L10,N10,P10)-MIN(F10,H10,J10,L10,N10)</f>
        <v>185.46324918243312</v>
      </c>
      <c r="E10" s="115">
        <f>_xlfn.XLOOKUP($B10,'PP1'!$C$6:$C$150,'PP1'!$B$6:$B$150,"")</f>
        <v>5</v>
      </c>
      <c r="F10" s="117">
        <f>_xlfn.XLOOKUP(E10,'PP1'!$B$6:$B$150,'PP1'!$A$6:$A$150,0)</f>
        <v>12.07517445017308</v>
      </c>
      <c r="G10" s="115">
        <f>_xlfn.XLOOKUP($B10,'PP2'!$C$6:$C$150,'PP2'!$B$6:$B$150,"")</f>
        <v>2</v>
      </c>
      <c r="H10" s="119">
        <f>_xlfn.XLOOKUP(G10,'PP2'!$B$6:$B$150,'PP2'!$A$6:$A$150,0)</f>
        <v>65.666666666666657</v>
      </c>
      <c r="I10" s="115">
        <f>_xlfn.XLOOKUP($B10,'PP3'!$C$6:$C$150,'PP3'!$B$6:$B$150,"")</f>
        <v>9</v>
      </c>
      <c r="J10" s="119">
        <f>_xlfn.XLOOKUP(I10,'PP3'!$B$6:$B$150,'PP3'!$A$6:$A$150,0)</f>
        <v>23.434798597879578</v>
      </c>
      <c r="K10" s="115" t="str">
        <f>_xlfn.XLOOKUP($B10,'PP4'!$C$6:$C$150,'PP4'!$B$6:$B$150,"")</f>
        <v/>
      </c>
      <c r="L10" s="119">
        <f>_xlfn.XLOOKUP(K10,'PP4'!$B$6:$B$150,'PP4'!$A$6:$A$150,0)</f>
        <v>0</v>
      </c>
      <c r="M10" s="115">
        <f>_xlfn.XLOOKUP($B10,'PP5'!$C$6:$C$150,'PP5'!$B$6:$B$150,"")</f>
        <v>1</v>
      </c>
      <c r="N10" s="119">
        <f>_xlfn.XLOOKUP(M10,'PP5'!$B$6:$B$150,'PP5'!$A$6:$A$150,0)</f>
        <v>84.286609467713788</v>
      </c>
      <c r="O10" s="115" t="str">
        <f>_xlfn.XLOOKUP(B10,MPW!C$6:C$150,MPW!B$6:B$150,"")</f>
        <v/>
      </c>
      <c r="P10" s="119">
        <f>_xlfn.XLOOKUP(O10,MPW!B$6:B$150,MPW!A$6:A$150,0)</f>
        <v>0</v>
      </c>
    </row>
    <row r="11" spans="1:21" ht="14.85" customHeight="1">
      <c r="A11" s="54">
        <f>ROW()-5</f>
        <v>6</v>
      </c>
      <c r="B11" s="244" t="s">
        <v>21</v>
      </c>
      <c r="C11" s="52"/>
      <c r="D11" s="70">
        <f>SUM(F11,H11,J11,L11,N11,P11)-MIN(F11,H11,J11,L11,N11)</f>
        <v>156.96258086710756</v>
      </c>
      <c r="E11" s="115" t="str">
        <f>_xlfn.XLOOKUP($B11,'PP1'!$C$6:$C$150,'PP1'!$B$6:$B$150,"")</f>
        <v/>
      </c>
      <c r="F11" s="117">
        <f>_xlfn.XLOOKUP(E11,'PP1'!$B$6:$B$150,'PP1'!$A$6:$A$150,0)</f>
        <v>0</v>
      </c>
      <c r="G11" s="115" t="str">
        <f>_xlfn.XLOOKUP($B11,'PP2'!$C$6:$C$150,'PP2'!$B$6:$B$150,"")</f>
        <v/>
      </c>
      <c r="H11" s="119">
        <f>_xlfn.XLOOKUP(G11,'PP2'!$B$6:$B$150,'PP2'!$A$6:$A$150,0)</f>
        <v>0</v>
      </c>
      <c r="I11" s="115" t="str">
        <f>_xlfn.XLOOKUP($B11,'PP3'!$C$6:$C$150,'PP3'!$B$6:$B$150,"")</f>
        <v/>
      </c>
      <c r="J11" s="119">
        <f>_xlfn.XLOOKUP(I11,'PP3'!$B$6:$B$150,'PP3'!$A$6:$A$150,0)</f>
        <v>0</v>
      </c>
      <c r="K11" s="115" t="str">
        <f>_xlfn.XLOOKUP($B11,'PP4'!$C$6:$C$150,'PP4'!$B$6:$B$150,"")</f>
        <v/>
      </c>
      <c r="L11" s="119">
        <f>_xlfn.XLOOKUP(K11,'PP4'!$B$6:$B$150,'PP4'!$A$6:$A$150,0)</f>
        <v>0</v>
      </c>
      <c r="M11" s="115" t="str">
        <f>_xlfn.XLOOKUP($B11,'PP5'!$C$6:$C$150,'PP5'!$B$6:$B$150,"")</f>
        <v>2k1</v>
      </c>
      <c r="N11" s="119">
        <f>_xlfn.XLOOKUP(M11,'PP5'!$B$6:$B$150,'PP5'!$A$6:$A$150,0)</f>
        <v>61.946936002500301</v>
      </c>
      <c r="O11" s="115" t="str">
        <f>_xlfn.XLOOKUP(B11,MPW!C$6:C$150,MPW!B$6:B$150,"")</f>
        <v>2k1</v>
      </c>
      <c r="P11" s="119">
        <f>_xlfn.XLOOKUP(O11,MPW!B$6:B$150,MPW!A$6:A$150,0)</f>
        <v>95.015644864607268</v>
      </c>
    </row>
    <row r="12" spans="1:21" ht="14.85" customHeight="1">
      <c r="A12" s="54">
        <f>ROW()-5</f>
        <v>7</v>
      </c>
      <c r="B12" s="197" t="s">
        <v>22</v>
      </c>
      <c r="C12" s="52"/>
      <c r="D12" s="70">
        <f>SUM(F12,H12,J12,L12,N12,P12)-MIN(F12,H12,J12,L12,N12)</f>
        <v>133.3242326640374</v>
      </c>
      <c r="E12" s="115" t="str">
        <f>_xlfn.XLOOKUP($B12,'PP1'!$C$6:$C$150,'PP1'!$B$6:$B$150,"")</f>
        <v/>
      </c>
      <c r="F12" s="117">
        <f>_xlfn.XLOOKUP(E12,'PP1'!$B$6:$B$150,'PP1'!$A$6:$A$150,0)</f>
        <v>0</v>
      </c>
      <c r="G12" s="115">
        <f>_xlfn.XLOOKUP($B12,'PP2'!$C$6:$C$150,'PP2'!$B$6:$B$150,"")</f>
        <v>3</v>
      </c>
      <c r="H12" s="119">
        <f>_xlfn.XLOOKUP(G12,'PP2'!$B$6:$B$150,'PP2'!$A$6:$A$150,0)</f>
        <v>40.112279154887787</v>
      </c>
      <c r="I12" s="115">
        <f>_xlfn.XLOOKUP($B12,'PP3'!$C$6:$C$150,'PP3'!$B$6:$B$150,"")</f>
        <v>10</v>
      </c>
      <c r="J12" s="119">
        <f>_xlfn.XLOOKUP(I12,'PP3'!$B$6:$B$150,'PP3'!$A$6:$A$150,0)</f>
        <v>21.681437328122506</v>
      </c>
      <c r="K12" s="115" t="str">
        <f>_xlfn.XLOOKUP($B12,'PP4'!$C$6:$C$150,'PP4'!$B$6:$B$150,"")</f>
        <v/>
      </c>
      <c r="L12" s="119">
        <f>_xlfn.XLOOKUP(K12,'PP4'!$B$6:$B$150,'PP4'!$A$6:$A$150,0)</f>
        <v>0</v>
      </c>
      <c r="M12" s="115">
        <f>_xlfn.XLOOKUP($B12,'PP5'!$C$6:$C$150,'PP5'!$B$6:$B$150,"")</f>
        <v>2</v>
      </c>
      <c r="N12" s="119">
        <f>_xlfn.XLOOKUP(M12,'PP5'!$B$6:$B$150,'PP5'!$A$6:$A$150,0)</f>
        <v>45.024406311809194</v>
      </c>
      <c r="O12" s="115">
        <f>_xlfn.XLOOKUP(B12,MPW!C$6:C$150,MPW!B$6:B$150,"")</f>
        <v>4</v>
      </c>
      <c r="P12" s="119">
        <f>_xlfn.XLOOKUP(O12,MPW!B$6:B$150,MPW!A$6:A$150,0)</f>
        <v>26.506109869217909</v>
      </c>
    </row>
    <row r="13" spans="1:21" ht="14.85" customHeight="1">
      <c r="A13" s="54">
        <f>ROW()-5</f>
        <v>8</v>
      </c>
      <c r="B13" s="239" t="s">
        <v>23</v>
      </c>
      <c r="C13" s="52"/>
      <c r="D13" s="70">
        <f>SUM(F13,H13,J13,L13,N13,P13)-MIN(F13,H13,J13,L13,N13)</f>
        <v>91.437790778228234</v>
      </c>
      <c r="E13" s="115" t="str">
        <f>_xlfn.XLOOKUP($B13,'PP1'!$C$6:$C$150,'PP1'!$B$6:$B$150,"")</f>
        <v/>
      </c>
      <c r="F13" s="117">
        <f>_xlfn.XLOOKUP(E13,'PP1'!$B$6:$B$150,'PP1'!$A$6:$A$150,0)</f>
        <v>0</v>
      </c>
      <c r="G13" s="115" t="str">
        <f>_xlfn.XLOOKUP($B13,'PP2'!$C$6:$C$150,'PP2'!$B$6:$B$150,"")</f>
        <v/>
      </c>
      <c r="H13" s="119">
        <f>_xlfn.XLOOKUP(G13,'PP2'!$B$6:$B$150,'PP2'!$A$6:$A$150,0)</f>
        <v>0</v>
      </c>
      <c r="I13" s="115">
        <f>_xlfn.XLOOKUP($B13,'PP3'!$C$6:$C$150,'PP3'!$B$6:$B$150,"")</f>
        <v>8</v>
      </c>
      <c r="J13" s="119">
        <f>_xlfn.XLOOKUP(I13,'PP3'!$B$6:$B$150,'PP3'!$A$6:$A$150,0)</f>
        <v>35.394889735104179</v>
      </c>
      <c r="K13" s="115">
        <f>_xlfn.XLOOKUP($B13,'PP4'!$C$6:$C$150,'PP4'!$B$6:$B$150,"")</f>
        <v>3</v>
      </c>
      <c r="L13" s="119">
        <f>_xlfn.XLOOKUP(K13,'PP4'!$B$6:$B$150,'PP4'!$A$6:$A$150,0)</f>
        <v>40.112279154887787</v>
      </c>
      <c r="M13" s="115">
        <f>_xlfn.XLOOKUP($B13,'PP5'!$C$6:$C$150,'PP5'!$B$6:$B$150,"")</f>
        <v>3</v>
      </c>
      <c r="N13" s="119">
        <f>_xlfn.XLOOKUP(M13,'PP5'!$B$6:$B$150,'PP5'!$A$6:$A$150,0)</f>
        <v>15.930621888236271</v>
      </c>
      <c r="O13" s="115" t="str">
        <f>_xlfn.XLOOKUP(B13,MPW!C$6:C$150,MPW!B$6:B$150,"")</f>
        <v/>
      </c>
      <c r="P13" s="119">
        <f>_xlfn.XLOOKUP(O13,MPW!B$6:B$150,MPW!A$6:A$150,0)</f>
        <v>0</v>
      </c>
    </row>
    <row r="14" spans="1:21" ht="14.85" customHeight="1">
      <c r="A14" s="54">
        <f>ROW()-5</f>
        <v>9</v>
      </c>
      <c r="B14" s="51" t="s">
        <v>24</v>
      </c>
      <c r="C14" s="52"/>
      <c r="D14" s="70">
        <f>SUM(F14,H14,J14,L14,N14,P14)-MIN(F14,H14,J14,L14,N14)</f>
        <v>67.515695877307849</v>
      </c>
      <c r="E14" s="115" t="str">
        <f>_xlfn.XLOOKUP($B14,'PP1'!$C$6:$C$150,'PP1'!$B$6:$B$150,"")</f>
        <v/>
      </c>
      <c r="F14" s="117">
        <f>_xlfn.XLOOKUP(E14,'PP1'!$B$6:$B$150,'PP1'!$A$6:$A$150,0)</f>
        <v>0</v>
      </c>
      <c r="G14" s="115" t="str">
        <f>_xlfn.XLOOKUP($B14,'PP2'!$C$6:$C$150,'PP2'!$B$6:$B$150,"")</f>
        <v/>
      </c>
      <c r="H14" s="119">
        <f>_xlfn.XLOOKUP(G14,'PP2'!$B$6:$B$150,'PP2'!$A$6:$A$150,0)</f>
        <v>0</v>
      </c>
      <c r="I14" s="115">
        <f>_xlfn.XLOOKUP($B14,'PP3'!$C$6:$C$150,'PP3'!$B$6:$B$150,"")</f>
        <v>6</v>
      </c>
      <c r="J14" s="119">
        <f>_xlfn.XLOOKUP(I14,'PP3'!$B$6:$B$150,'PP3'!$A$6:$A$150,0)</f>
        <v>40.18236254397452</v>
      </c>
      <c r="K14" s="115">
        <f>_xlfn.XLOOKUP($B14,'PP4'!$C$6:$C$150,'PP4'!$B$6:$B$150,"")</f>
        <v>4</v>
      </c>
      <c r="L14" s="119">
        <f>_xlfn.XLOOKUP(K14,'PP4'!$B$6:$B$150,'PP4'!$A$6:$A$150,0)</f>
        <v>27.333333333333329</v>
      </c>
      <c r="M14" s="115" t="str">
        <f>_xlfn.XLOOKUP($B14,'PP5'!$C$6:$C$150,'PP5'!$B$6:$B$150,"")</f>
        <v/>
      </c>
      <c r="N14" s="119">
        <f>_xlfn.XLOOKUP(M14,'PP5'!$B$6:$B$150,'PP5'!$A$6:$A$150,0)</f>
        <v>0</v>
      </c>
      <c r="O14" s="115" t="str">
        <f>_xlfn.XLOOKUP(B14,MPW!C$6:C$150,MPW!B$6:B$150,"")</f>
        <v/>
      </c>
      <c r="P14" s="119">
        <f>_xlfn.XLOOKUP(O14,MPW!B$6:B$150,MPW!A$6:A$150,0)</f>
        <v>0</v>
      </c>
    </row>
    <row r="15" spans="1:21" ht="14.85" customHeight="1">
      <c r="A15" s="54">
        <f>ROW()-5</f>
        <v>10</v>
      </c>
      <c r="B15" s="197" t="s">
        <v>25</v>
      </c>
      <c r="C15" s="52"/>
      <c r="D15" s="70">
        <f>SUM(F15,H15,J15,L15,N15,P15)-MIN(F15,H15,J15,L15,N15)</f>
        <v>56.929926490069448</v>
      </c>
      <c r="E15" s="115" t="str">
        <f>_xlfn.XLOOKUP($B15,'PP1'!$C$6:$C$150,'PP1'!$B$6:$B$150,"")</f>
        <v/>
      </c>
      <c r="F15" s="117">
        <f>_xlfn.XLOOKUP(E15,'PP1'!$B$6:$B$150,'PP1'!$A$6:$A$150,0)</f>
        <v>0</v>
      </c>
      <c r="G15" s="115" t="str">
        <f>_xlfn.XLOOKUP($B15,'PP2'!$C$6:$C$150,'PP2'!$B$6:$B$150,"")</f>
        <v/>
      </c>
      <c r="H15" s="119">
        <f>_xlfn.XLOOKUP(G15,'PP2'!$B$6:$B$150,'PP2'!$A$6:$A$150,0)</f>
        <v>0</v>
      </c>
      <c r="I15" s="115">
        <f>_xlfn.XLOOKUP($B15,'PP3'!$C$6:$C$150,'PP3'!$B$6:$B$150,"")</f>
        <v>4</v>
      </c>
      <c r="J15" s="119">
        <f>_xlfn.XLOOKUP(I15,'PP3'!$B$6:$B$150,'PP3'!$A$6:$A$150,0)</f>
        <v>56.929926490069448</v>
      </c>
      <c r="K15" s="115" t="str">
        <f>_xlfn.XLOOKUP($B15,'PP4'!$C$6:$C$150,'PP4'!$B$6:$B$150,"")</f>
        <v/>
      </c>
      <c r="L15" s="119">
        <f>_xlfn.XLOOKUP(K15,'PP4'!$B$6:$B$150,'PP4'!$A$6:$A$150,0)</f>
        <v>0</v>
      </c>
      <c r="M15" s="115" t="str">
        <f>_xlfn.XLOOKUP($B15,'PP5'!$C$6:$C$150,'PP5'!$B$6:$B$150,"")</f>
        <v/>
      </c>
      <c r="N15" s="119">
        <f>_xlfn.XLOOKUP(M15,'PP5'!$B$6:$B$150,'PP5'!$A$6:$A$150,0)</f>
        <v>0</v>
      </c>
      <c r="O15" s="115" t="str">
        <f>_xlfn.XLOOKUP(B15,MPW!C$6:C$150,MPW!B$6:B$150,"")</f>
        <v/>
      </c>
      <c r="P15" s="119">
        <f>_xlfn.XLOOKUP(O15,MPW!B$6:B$150,MPW!A$6:A$150,0)</f>
        <v>0</v>
      </c>
    </row>
    <row r="16" spans="1:21" ht="14.85" customHeight="1">
      <c r="A16" s="54">
        <f>ROW()-5</f>
        <v>11</v>
      </c>
      <c r="B16" s="197" t="s">
        <v>26</v>
      </c>
      <c r="C16" s="52"/>
      <c r="D16" s="70">
        <f>SUM(F16,H16,J16,L16,N16,P16)-MIN(F16,H16,J16,L16,N16)</f>
        <v>42.488579199586745</v>
      </c>
      <c r="E16" s="115" t="str">
        <f>_xlfn.XLOOKUP($B16,'PP1'!$C$6:$C$150,'PP1'!$B$6:$B$150,"")</f>
        <v/>
      </c>
      <c r="F16" s="117">
        <f>_xlfn.XLOOKUP(E16,'PP1'!$B$6:$B$150,'PP1'!$A$6:$A$150,0)</f>
        <v>0</v>
      </c>
      <c r="G16" s="115" t="str">
        <f>_xlfn.XLOOKUP($B16,'PP2'!$C$6:$C$150,'PP2'!$B$6:$B$150,"")</f>
        <v/>
      </c>
      <c r="H16" s="119">
        <f>_xlfn.XLOOKUP(G16,'PP2'!$B$6:$B$150,'PP2'!$A$6:$A$150,0)</f>
        <v>0</v>
      </c>
      <c r="I16" s="115" t="str">
        <f>_xlfn.XLOOKUP($B16,'PP3'!$C$6:$C$150,'PP3'!$B$6:$B$150,"")</f>
        <v/>
      </c>
      <c r="J16" s="119">
        <f>_xlfn.XLOOKUP(I16,'PP3'!$B$6:$B$150,'PP3'!$A$6:$A$150,0)</f>
        <v>0</v>
      </c>
      <c r="K16" s="115" t="str">
        <f>_xlfn.XLOOKUP($B16,'PP4'!$C$6:$C$150,'PP4'!$B$6:$B$150,"")</f>
        <v/>
      </c>
      <c r="L16" s="119">
        <f>_xlfn.XLOOKUP(K16,'PP4'!$B$6:$B$150,'PP4'!$A$6:$A$150,0)</f>
        <v>0</v>
      </c>
      <c r="M16" s="115" t="str">
        <f>_xlfn.XLOOKUP($B16,'PP5'!$C$6:$C$150,'PP5'!$B$6:$B$150,"")</f>
        <v/>
      </c>
      <c r="N16" s="119">
        <f>_xlfn.XLOOKUP(M16,'PP5'!$B$6:$B$150,'PP5'!$A$6:$A$150,0)</f>
        <v>0</v>
      </c>
      <c r="O16" s="115">
        <f>_xlfn.XLOOKUP(B16,MPW!C$6:C$150,MPW!B$6:B$150,"")</f>
        <v>3</v>
      </c>
      <c r="P16" s="119">
        <f>_xlfn.XLOOKUP(O16,MPW!B$6:B$150,MPW!A$6:A$150,0)</f>
        <v>42.488579199586745</v>
      </c>
    </row>
    <row r="17" spans="1:16" ht="14.85" customHeight="1">
      <c r="A17" s="54">
        <f>ROW()-5</f>
        <v>12</v>
      </c>
      <c r="B17" s="197" t="s">
        <v>27</v>
      </c>
      <c r="C17" s="52"/>
      <c r="D17" s="70">
        <f>SUM(F17,H17,J17,L17,N17,P17)-MIN(F17,H17,J17,L17,N17)</f>
        <v>37.617057789832863</v>
      </c>
      <c r="E17" s="115" t="str">
        <f>_xlfn.XLOOKUP($B17,'PP1'!$C$6:$C$150,'PP1'!$B$6:$B$150,"")</f>
        <v/>
      </c>
      <c r="F17" s="117">
        <f>_xlfn.XLOOKUP(E17,'PP1'!$B$6:$B$150,'PP1'!$A$6:$A$150,0)</f>
        <v>0</v>
      </c>
      <c r="G17" s="115" t="str">
        <f>_xlfn.XLOOKUP($B17,'PP2'!$C$6:$C$150,'PP2'!$B$6:$B$150,"")</f>
        <v/>
      </c>
      <c r="H17" s="119">
        <f>_xlfn.XLOOKUP(G17,'PP2'!$B$6:$B$150,'PP2'!$A$6:$A$150,0)</f>
        <v>0</v>
      </c>
      <c r="I17" s="115">
        <f>_xlfn.XLOOKUP($B17,'PP3'!$C$6:$C$150,'PP3'!$B$6:$B$150,"")</f>
        <v>7</v>
      </c>
      <c r="J17" s="119">
        <f>_xlfn.XLOOKUP(I17,'PP3'!$B$6:$B$150,'PP3'!$A$6:$A$150,0)</f>
        <v>37.617057789832863</v>
      </c>
      <c r="K17" s="115" t="str">
        <f>_xlfn.XLOOKUP($B17,'PP4'!$C$6:$C$150,'PP4'!$B$6:$B$150,"")</f>
        <v/>
      </c>
      <c r="L17" s="119">
        <f>_xlfn.XLOOKUP(K17,'PP4'!$B$6:$B$150,'PP4'!$A$6:$A$150,0)</f>
        <v>0</v>
      </c>
      <c r="M17" s="115" t="str">
        <f>_xlfn.XLOOKUP($B17,'PP5'!$C$6:$C$150,'PP5'!$B$6:$B$150,"")</f>
        <v/>
      </c>
      <c r="N17" s="119">
        <f>_xlfn.XLOOKUP(M17,'PP5'!$B$6:$B$150,'PP5'!$A$6:$A$150,0)</f>
        <v>0</v>
      </c>
      <c r="O17" s="115" t="str">
        <f>_xlfn.XLOOKUP(B17,MPW!C$6:C$150,MPW!B$6:B$150,"")</f>
        <v/>
      </c>
      <c r="P17" s="119">
        <f>_xlfn.XLOOKUP(O17,MPW!B$6:B$150,MPW!A$6:A$150,0)</f>
        <v>0</v>
      </c>
    </row>
    <row r="18" spans="1:16" ht="14.85" customHeight="1">
      <c r="A18" s="54">
        <f>ROW()-5</f>
        <v>13</v>
      </c>
      <c r="B18" s="51" t="s">
        <v>28</v>
      </c>
      <c r="C18" s="52"/>
      <c r="D18" s="70">
        <f>SUM(F18,H18,J18,L18,N18,P18)-MIN(F18,H18,J18,L18,N18)</f>
        <v>31.684031984904511</v>
      </c>
      <c r="E18" s="115">
        <f>_xlfn.XLOOKUP($B18,'PP1'!$C$6:$C$150,'PP1'!$B$6:$B$150,"")</f>
        <v>6</v>
      </c>
      <c r="F18" s="117">
        <f>_xlfn.XLOOKUP(E18,'PP1'!$B$6:$B$150,'PP1'!$A$6:$A$150,0)</f>
        <v>7.7789458215544443</v>
      </c>
      <c r="G18" s="115">
        <f>_xlfn.XLOOKUP($B18,'PP2'!$C$6:$C$150,'PP2'!$B$6:$B$150,"")</f>
        <v>6</v>
      </c>
      <c r="H18" s="119">
        <f>_xlfn.XLOOKUP(G18,'PP2'!$B$6:$B$150,'PP2'!$A$6:$A$150,0)</f>
        <v>7.7789458215544443</v>
      </c>
      <c r="I18" s="115">
        <f>_xlfn.XLOOKUP($B18,'PP3'!$C$6:$C$150,'PP3'!$B$6:$B$150,"")</f>
        <v>17</v>
      </c>
      <c r="J18" s="119">
        <f>_xlfn.XLOOKUP(I18,'PP3'!$B$6:$B$150,'PP3'!$A$6:$A$150,0)</f>
        <v>2.8509658916225433</v>
      </c>
      <c r="K18" s="115">
        <f>_xlfn.XLOOKUP($B18,'PP4'!$C$6:$C$150,'PP4'!$B$6:$B$150,"")</f>
        <v>5</v>
      </c>
      <c r="L18" s="119">
        <f>_xlfn.XLOOKUP(K18,'PP4'!$B$6:$B$150,'PP4'!$A$6:$A$150,0)</f>
        <v>12.07517445017308</v>
      </c>
      <c r="M18" s="115" t="str">
        <f>_xlfn.XLOOKUP($B18,'PP5'!$C$6:$C$150,'PP5'!$B$6:$B$150,"")</f>
        <v/>
      </c>
      <c r="N18" s="119">
        <f>_xlfn.XLOOKUP(M18,'PP5'!$B$6:$B$150,'PP5'!$A$6:$A$150,0)</f>
        <v>0</v>
      </c>
      <c r="O18" s="115">
        <f>_xlfn.XLOOKUP(B18,MPW!C$6:C$150,MPW!B$6:B$150,"")</f>
        <v>6</v>
      </c>
      <c r="P18" s="119">
        <f>_xlfn.XLOOKUP(O18,MPW!B$6:B$150,MPW!A$6:A$150,0)</f>
        <v>1.2</v>
      </c>
    </row>
    <row r="19" spans="1:16" ht="14.85" customHeight="1">
      <c r="A19" s="54">
        <f>ROW()-5</f>
        <v>14</v>
      </c>
      <c r="B19" s="51" t="s">
        <v>29</v>
      </c>
      <c r="C19" s="52"/>
      <c r="D19" s="70">
        <f>SUM(F19,H19,J19,L19,N19,P19)-MIN(F19,H19,J19,L19,N19)</f>
        <v>31.081563703371117</v>
      </c>
      <c r="E19" s="115">
        <f>_xlfn.XLOOKUP($B19,'PP1'!$C$6:$C$150,'PP1'!$B$6:$B$150,"")</f>
        <v>7</v>
      </c>
      <c r="F19" s="117">
        <f>_xlfn.XLOOKUP(E19,'PP1'!$B$6:$B$150,'PP1'!$A$6:$A$150,0)</f>
        <v>4.1465362730591337</v>
      </c>
      <c r="G19" s="115">
        <f>_xlfn.XLOOKUP($B19,'PP2'!$C$6:$C$150,'PP2'!$B$6:$B$150,"")</f>
        <v>5</v>
      </c>
      <c r="H19" s="119">
        <f>_xlfn.XLOOKUP(G19,'PP2'!$B$6:$B$150,'PP2'!$A$6:$A$150,0)</f>
        <v>12.07517445017308</v>
      </c>
      <c r="I19" s="115">
        <f>_xlfn.XLOOKUP($B19,'PP3'!$C$6:$C$150,'PP3'!$B$6:$B$150,"")</f>
        <v>16</v>
      </c>
      <c r="J19" s="119">
        <f>_xlfn.XLOOKUP(I19,'PP3'!$B$6:$B$150,'PP3'!$A$6:$A$150,0)</f>
        <v>13.859852980138903</v>
      </c>
      <c r="K19" s="115">
        <f>_xlfn.XLOOKUP($B19,'PP4'!$C$6:$C$150,'PP4'!$B$6:$B$150,"")</f>
        <v>8</v>
      </c>
      <c r="L19" s="119">
        <f>_xlfn.XLOOKUP(K19,'PP4'!$B$6:$B$150,'PP4'!$A$6:$A$150,0)</f>
        <v>1</v>
      </c>
      <c r="M19" s="115">
        <f>_xlfn.XLOOKUP($B19,'PP5'!$C$6:$C$150,'PP5'!$B$6:$B$150,"")</f>
        <v>4</v>
      </c>
      <c r="N19" s="119">
        <f>_xlfn.XLOOKUP(M19,'PP5'!$B$6:$B$150,'PP5'!$A$6:$A$150,0)</f>
        <v>1</v>
      </c>
      <c r="O19" s="115" t="str">
        <f>_xlfn.XLOOKUP(B19,MPW!C$6:C$150,MPW!B$6:B$150,"")</f>
        <v/>
      </c>
      <c r="P19" s="119">
        <f>_xlfn.XLOOKUP(O19,MPW!B$6:B$150,MPW!A$6:A$150,0)</f>
        <v>0</v>
      </c>
    </row>
    <row r="20" spans="1:16" ht="14.85" customHeight="1">
      <c r="A20" s="54">
        <f>ROW()-5</f>
        <v>15</v>
      </c>
      <c r="B20" s="197" t="s">
        <v>30</v>
      </c>
      <c r="C20" s="52"/>
      <c r="D20" s="70">
        <f>SUM(F20,H20,J20,L20,N20,P20)-MIN(F20,H20,J20,L20,N20)</f>
        <v>27.333333333333329</v>
      </c>
      <c r="E20" s="115" t="str">
        <f>_xlfn.XLOOKUP($B20,'PP1'!$C$6:$C$150,'PP1'!$B$6:$B$150,"")</f>
        <v/>
      </c>
      <c r="F20" s="117">
        <f>_xlfn.XLOOKUP(E20,'PP1'!$B$6:$B$150,'PP1'!$A$6:$A$150,0)</f>
        <v>0</v>
      </c>
      <c r="G20" s="115">
        <f>_xlfn.XLOOKUP($B20,'PP2'!$C$6:$C$150,'PP2'!$B$6:$B$150,"")</f>
        <v>4</v>
      </c>
      <c r="H20" s="119">
        <f>_xlfn.XLOOKUP(G20,'PP2'!$B$6:$B$150,'PP2'!$A$6:$A$150,0)</f>
        <v>27.333333333333329</v>
      </c>
      <c r="I20" s="115" t="str">
        <f>_xlfn.XLOOKUP($B20,'PP3'!$C$6:$C$150,'PP3'!$B$6:$B$150,"")</f>
        <v/>
      </c>
      <c r="J20" s="119">
        <f>_xlfn.XLOOKUP(I20,'PP3'!$B$6:$B$150,'PP3'!$A$6:$A$150,0)</f>
        <v>0</v>
      </c>
      <c r="K20" s="115" t="str">
        <f>_xlfn.XLOOKUP($B20,'PP4'!$C$6:$C$150,'PP4'!$B$6:$B$150,"")</f>
        <v/>
      </c>
      <c r="L20" s="119">
        <f>_xlfn.XLOOKUP(K20,'PP4'!$B$6:$B$150,'PP4'!$A$6:$A$150,0)</f>
        <v>0</v>
      </c>
      <c r="M20" s="115" t="str">
        <f>_xlfn.XLOOKUP($B20,'PP5'!$C$6:$C$150,'PP5'!$B$6:$B$150,"")</f>
        <v/>
      </c>
      <c r="N20" s="119">
        <f>_xlfn.XLOOKUP(M20,'PP5'!$B$6:$B$150,'PP5'!$A$6:$A$150,0)</f>
        <v>0</v>
      </c>
      <c r="O20" s="115" t="str">
        <f>_xlfn.XLOOKUP(B20,MPW!C$6:C$150,MPW!B$6:B$150,"")</f>
        <v/>
      </c>
      <c r="P20" s="119">
        <f>_xlfn.XLOOKUP(O20,MPW!B$6:B$150,MPW!A$6:A$150,0)</f>
        <v>0</v>
      </c>
    </row>
    <row r="21" spans="1:16" ht="14.85" customHeight="1">
      <c r="A21" s="54">
        <f>ROW()-5</f>
        <v>16</v>
      </c>
      <c r="B21" s="51" t="s">
        <v>31</v>
      </c>
      <c r="C21" s="52"/>
      <c r="D21" s="70">
        <f>SUM(F21,H21,J21,L21,N21,P21)-MIN(F21,H21,J21,L21,N21)</f>
        <v>25.094237663263605</v>
      </c>
      <c r="E21" s="115" t="str">
        <f>_xlfn.XLOOKUP($B21,'PP1'!$C$6:$C$150,'PP1'!$B$6:$B$150,"")</f>
        <v/>
      </c>
      <c r="F21" s="117">
        <f>_xlfn.XLOOKUP(E21,'PP1'!$B$6:$B$150,'PP1'!$A$6:$A$150,0)</f>
        <v>0</v>
      </c>
      <c r="G21" s="115" t="str">
        <f>_xlfn.XLOOKUP($B21,'PP2'!$C$6:$C$150,'PP2'!$B$6:$B$150,"")</f>
        <v/>
      </c>
      <c r="H21" s="119">
        <f>_xlfn.XLOOKUP(G21,'PP2'!$B$6:$B$150,'PP2'!$A$6:$A$150,0)</f>
        <v>0</v>
      </c>
      <c r="I21" s="115">
        <f>_xlfn.XLOOKUP($B21,'PP3'!$C$6:$C$150,'PP3'!$B$6:$B$150,"")</f>
        <v>13</v>
      </c>
      <c r="J21" s="119">
        <f>_xlfn.XLOOKUP(I21,'PP3'!$B$6:$B$150,'PP3'!$A$6:$A$150,0)</f>
        <v>17.315291841709161</v>
      </c>
      <c r="K21" s="115">
        <f>_xlfn.XLOOKUP($B21,'PP4'!$C$6:$C$150,'PP4'!$B$6:$B$150,"")</f>
        <v>6</v>
      </c>
      <c r="L21" s="119">
        <f>_xlfn.XLOOKUP(K21,'PP4'!$B$6:$B$150,'PP4'!$A$6:$A$150,0)</f>
        <v>7.7789458215544443</v>
      </c>
      <c r="M21" s="115" t="str">
        <f>_xlfn.XLOOKUP($B21,'PP5'!$C$6:$C$150,'PP5'!$B$6:$B$150,"")</f>
        <v/>
      </c>
      <c r="N21" s="119">
        <f>_xlfn.XLOOKUP(M21,'PP5'!$B$6:$B$150,'PP5'!$A$6:$A$150,0)</f>
        <v>0</v>
      </c>
      <c r="O21" s="115" t="str">
        <f>_xlfn.XLOOKUP(B21,MPW!C$6:C$150,MPW!B$6:B$150,"")</f>
        <v/>
      </c>
      <c r="P21" s="119">
        <f>_xlfn.XLOOKUP(O21,MPW!B$6:B$150,MPW!A$6:A$150,0)</f>
        <v>0</v>
      </c>
    </row>
    <row r="22" spans="1:16" ht="14.85" customHeight="1">
      <c r="A22" s="54">
        <f>ROW()-5</f>
        <v>17</v>
      </c>
      <c r="B22" s="51" t="s">
        <v>32</v>
      </c>
      <c r="C22" s="52"/>
      <c r="D22" s="70">
        <f>SUM(F22,H22,J22,L22,N22,P22)-MIN(F22,H22,J22,L22,N22)</f>
        <v>22.793862062068371</v>
      </c>
      <c r="E22" s="115" t="str">
        <f>_xlfn.XLOOKUP($B22,'PP1'!$C$6:$C$150,'PP1'!$B$6:$B$150,"")</f>
        <v/>
      </c>
      <c r="F22" s="117">
        <f>_xlfn.XLOOKUP(E22,'PP1'!$B$6:$B$150,'PP1'!$A$6:$A$150,0)</f>
        <v>0</v>
      </c>
      <c r="G22" s="115" t="str">
        <f>_xlfn.XLOOKUP($B22,'PP2'!$C$6:$C$150,'PP2'!$B$6:$B$150,"")</f>
        <v/>
      </c>
      <c r="H22" s="119">
        <f>_xlfn.XLOOKUP(G22,'PP2'!$B$6:$B$150,'PP2'!$A$6:$A$150,0)</f>
        <v>0</v>
      </c>
      <c r="I22" s="115">
        <f>_xlfn.XLOOKUP($B22,'PP3'!$C$6:$C$150,'PP3'!$B$6:$B$150,"")</f>
        <v>12</v>
      </c>
      <c r="J22" s="119">
        <f>_xlfn.XLOOKUP(I22,'PP3'!$B$6:$B$150,'PP3'!$A$6:$A$150,0)</f>
        <v>18.647325789009237</v>
      </c>
      <c r="K22" s="115">
        <f>_xlfn.XLOOKUP($B22,'PP4'!$C$6:$C$150,'PP4'!$B$6:$B$150,"")</f>
        <v>7</v>
      </c>
      <c r="L22" s="119">
        <f>_xlfn.XLOOKUP(K22,'PP4'!$B$6:$B$150,'PP4'!$A$6:$A$150,0)</f>
        <v>4.1465362730591337</v>
      </c>
      <c r="M22" s="115" t="str">
        <f>_xlfn.XLOOKUP($B22,'PP5'!$C$6:$C$150,'PP5'!$B$6:$B$150,"")</f>
        <v/>
      </c>
      <c r="N22" s="119">
        <f>_xlfn.XLOOKUP(M22,'PP5'!$B$6:$B$150,'PP5'!$A$6:$A$150,0)</f>
        <v>0</v>
      </c>
      <c r="O22" s="115" t="str">
        <f>_xlfn.XLOOKUP(B22,MPW!C$6:C$150,MPW!B$6:B$150,"")</f>
        <v/>
      </c>
      <c r="P22" s="119">
        <f>_xlfn.XLOOKUP(O22,MPW!B$6:B$150,MPW!A$6:A$150,0)</f>
        <v>0</v>
      </c>
    </row>
    <row r="23" spans="1:16" ht="14.85" customHeight="1">
      <c r="A23" s="54">
        <f>ROW()-5</f>
        <v>18</v>
      </c>
      <c r="B23" s="197" t="s">
        <v>33</v>
      </c>
      <c r="C23" s="52"/>
      <c r="D23" s="70">
        <f>SUM(F23,H23,J23,L23,N23,P23)-MIN(F23,H23,J23,L23,N23)</f>
        <v>20.095329127729762</v>
      </c>
      <c r="E23" s="115" t="str">
        <f>_xlfn.XLOOKUP($B23,'PP1'!$C$6:$C$150,'PP1'!$B$6:$B$150,"")</f>
        <v/>
      </c>
      <c r="F23" s="117">
        <f>_xlfn.XLOOKUP(E23,'PP1'!$B$6:$B$150,'PP1'!$A$6:$A$150,0)</f>
        <v>0</v>
      </c>
      <c r="G23" s="115" t="str">
        <f>_xlfn.XLOOKUP($B23,'PP2'!$C$6:$C$150,'PP2'!$B$6:$B$150,"")</f>
        <v/>
      </c>
      <c r="H23" s="119">
        <f>_xlfn.XLOOKUP(G23,'PP2'!$B$6:$B$150,'PP2'!$A$6:$A$150,0)</f>
        <v>0</v>
      </c>
      <c r="I23" s="115">
        <f>_xlfn.XLOOKUP($B23,'PP3'!$C$6:$C$150,'PP3'!$B$6:$B$150,"")</f>
        <v>11</v>
      </c>
      <c r="J23" s="119">
        <f>_xlfn.XLOOKUP(I23,'PP3'!$B$6:$B$150,'PP3'!$A$6:$A$150,0)</f>
        <v>20.095329127729762</v>
      </c>
      <c r="K23" s="115" t="str">
        <f>_xlfn.XLOOKUP($B23,'PP4'!$C$6:$C$150,'PP4'!$B$6:$B$150,"")</f>
        <v/>
      </c>
      <c r="L23" s="119">
        <f>_xlfn.XLOOKUP(K23,'PP4'!$B$6:$B$150,'PP4'!$A$6:$A$150,0)</f>
        <v>0</v>
      </c>
      <c r="M23" s="115" t="str">
        <f>_xlfn.XLOOKUP($B23,'PP5'!$C$6:$C$150,'PP5'!$B$6:$B$150,"")</f>
        <v/>
      </c>
      <c r="N23" s="119">
        <f>_xlfn.XLOOKUP(M23,'PP5'!$B$6:$B$150,'PP5'!$A$6:$A$150,0)</f>
        <v>0</v>
      </c>
      <c r="O23" s="115" t="str">
        <f>_xlfn.XLOOKUP(B23,MPW!C$6:C$150,MPW!B$6:B$150,"")</f>
        <v/>
      </c>
      <c r="P23" s="119">
        <f>_xlfn.XLOOKUP(O23,MPW!B$6:B$150,MPW!A$6:A$150,0)</f>
        <v>0</v>
      </c>
    </row>
    <row r="24" spans="1:16" ht="14.85" customHeight="1">
      <c r="A24" s="54">
        <f>ROW()-5</f>
        <v>19</v>
      </c>
      <c r="B24" s="197" t="s">
        <v>34</v>
      </c>
      <c r="C24" s="52"/>
      <c r="D24" s="70">
        <f>SUM(F24,H24,J24,L24,N24,P24)-MIN(F24,H24,J24,L24,N24)</f>
        <v>17.082021034867594</v>
      </c>
      <c r="E24" s="115" t="str">
        <f>_xlfn.XLOOKUP($B24,'PP1'!$C$6:$C$150,'PP1'!$B$6:$B$150,"")</f>
        <v/>
      </c>
      <c r="F24" s="117">
        <f>_xlfn.XLOOKUP(E24,'PP1'!$B$6:$B$150,'PP1'!$A$6:$A$150,0)</f>
        <v>0</v>
      </c>
      <c r="G24" s="115">
        <f>_xlfn.XLOOKUP($B24,'PP2'!$C$6:$C$150,'PP2'!$B$6:$B$150,"")</f>
        <v>8</v>
      </c>
      <c r="H24" s="119">
        <f>_xlfn.XLOOKUP(G24,'PP2'!$B$6:$B$150,'PP2'!$A$6:$A$150,0)</f>
        <v>1</v>
      </c>
      <c r="I24" s="115">
        <f>_xlfn.XLOOKUP($B24,'PP3'!$C$6:$C$150,'PP3'!$B$6:$B$150,"")</f>
        <v>14</v>
      </c>
      <c r="J24" s="119">
        <f>_xlfn.XLOOKUP(I24,'PP3'!$B$6:$B$150,'PP3'!$A$6:$A$150,0)</f>
        <v>16.082021034867594</v>
      </c>
      <c r="K24" s="115" t="str">
        <f>_xlfn.XLOOKUP($B24,'PP4'!$C$6:$C$150,'PP4'!$B$6:$B$150,"")</f>
        <v/>
      </c>
      <c r="L24" s="119">
        <f>_xlfn.XLOOKUP(K24,'PP4'!$B$6:$B$150,'PP4'!$A$6:$A$150,0)</f>
        <v>0</v>
      </c>
      <c r="M24" s="115" t="str">
        <f>_xlfn.XLOOKUP($B24,'PP5'!$C$6:$C$150,'PP5'!$B$6:$B$150,"")</f>
        <v/>
      </c>
      <c r="N24" s="119">
        <f>_xlfn.XLOOKUP(M24,'PP5'!$B$6:$B$150,'PP5'!$A$6:$A$150,0)</f>
        <v>0</v>
      </c>
      <c r="O24" s="115" t="str">
        <f>_xlfn.XLOOKUP(B24,MPW!C$6:C$150,MPW!B$6:B$150,"")</f>
        <v/>
      </c>
      <c r="P24" s="119">
        <f>_xlfn.XLOOKUP(O24,MPW!B$6:B$150,MPW!A$6:A$150,0)</f>
        <v>0</v>
      </c>
    </row>
    <row r="25" spans="1:16" ht="14.85" customHeight="1">
      <c r="A25" s="54">
        <f>ROW()-5</f>
        <v>20</v>
      </c>
      <c r="B25" s="197" t="s">
        <v>35</v>
      </c>
      <c r="C25" s="52"/>
      <c r="D25" s="70">
        <f>SUM(F25,H25,J25,L25,N25,P25)-MIN(F25,H25,J25,L25,N25)</f>
        <v>14.933873382027564</v>
      </c>
      <c r="E25" s="115" t="str">
        <f>_xlfn.XLOOKUP($B25,'PP1'!$C$6:$C$150,'PP1'!$B$6:$B$150,"")</f>
        <v/>
      </c>
      <c r="F25" s="117">
        <f>_xlfn.XLOOKUP(E25,'PP1'!$B$6:$B$150,'PP1'!$A$6:$A$150,0)</f>
        <v>0</v>
      </c>
      <c r="G25" s="115" t="str">
        <f>_xlfn.XLOOKUP($B25,'PP2'!$C$6:$C$150,'PP2'!$B$6:$B$150,"")</f>
        <v/>
      </c>
      <c r="H25" s="119">
        <f>_xlfn.XLOOKUP(G25,'PP2'!$B$6:$B$150,'PP2'!$A$6:$A$150,0)</f>
        <v>0</v>
      </c>
      <c r="I25" s="115">
        <f>_xlfn.XLOOKUP($B25,'PP3'!$C$6:$C$150,'PP3'!$B$6:$B$150,"")</f>
        <v>15</v>
      </c>
      <c r="J25" s="119">
        <f>_xlfn.XLOOKUP(I25,'PP3'!$B$6:$B$150,'PP3'!$A$6:$A$150,0)</f>
        <v>14.933873382027564</v>
      </c>
      <c r="K25" s="115" t="str">
        <f>_xlfn.XLOOKUP($B25,'PP4'!$C$6:$C$150,'PP4'!$B$6:$B$150,"")</f>
        <v/>
      </c>
      <c r="L25" s="119">
        <f>_xlfn.XLOOKUP(K25,'PP4'!$B$6:$B$150,'PP4'!$A$6:$A$150,0)</f>
        <v>0</v>
      </c>
      <c r="M25" s="115" t="str">
        <f>_xlfn.XLOOKUP($B25,'PP5'!$C$6:$C$150,'PP5'!$B$6:$B$150,"")</f>
        <v/>
      </c>
      <c r="N25" s="119">
        <f>_xlfn.XLOOKUP(M25,'PP5'!$B$6:$B$150,'PP5'!$A$6:$A$150,0)</f>
        <v>0</v>
      </c>
      <c r="O25" s="115" t="str">
        <f>_xlfn.XLOOKUP(B25,MPW!C$6:C$150,MPW!B$6:B$150,"")</f>
        <v/>
      </c>
      <c r="P25" s="119">
        <f>_xlfn.XLOOKUP(O25,MPW!B$6:B$150,MPW!A$6:A$150,0)</f>
        <v>0</v>
      </c>
    </row>
    <row r="26" spans="1:16" ht="14.85" customHeight="1">
      <c r="A26" s="54">
        <f>ROW()-5</f>
        <v>21</v>
      </c>
      <c r="B26" s="244" t="s">
        <v>36</v>
      </c>
      <c r="C26" s="52"/>
      <c r="D26" s="70">
        <f>SUM(F26,H26,J26,L26,N26,P26)-MIN(F26,H26,J26,L26,N26)</f>
        <v>7.7789458215544443</v>
      </c>
      <c r="E26" s="115" t="str">
        <f>_xlfn.XLOOKUP($B26,'PP1'!$C$6:$C$150,'PP1'!$B$6:$B$150,"")</f>
        <v/>
      </c>
      <c r="F26" s="117">
        <f>_xlfn.XLOOKUP(E26,'PP1'!$B$6:$B$150,'PP1'!$A$6:$A$150,0)</f>
        <v>0</v>
      </c>
      <c r="G26" s="115" t="str">
        <f>_xlfn.XLOOKUP($B26,'PP2'!$C$6:$C$150,'PP2'!$B$6:$B$150,"")</f>
        <v/>
      </c>
      <c r="H26" s="119">
        <f>_xlfn.XLOOKUP(G26,'PP2'!$B$6:$B$150,'PP2'!$A$6:$A$150,0)</f>
        <v>0</v>
      </c>
      <c r="I26" s="115" t="str">
        <f>_xlfn.XLOOKUP($B26,'PP3'!$C$6:$C$150,'PP3'!$B$6:$B$150,"")</f>
        <v/>
      </c>
      <c r="J26" s="119">
        <f>_xlfn.XLOOKUP(I26,'PP3'!$B$6:$B$150,'PP3'!$A$6:$A$150,0)</f>
        <v>0</v>
      </c>
      <c r="K26" s="115" t="str">
        <f>_xlfn.XLOOKUP($B26,'PP4'!$C$6:$C$150,'PP4'!$B$6:$B$150,"")</f>
        <v>6k1</v>
      </c>
      <c r="L26" s="119">
        <f>_xlfn.XLOOKUP(K26,'PP4'!$B$6:$B$150,'PP4'!$A$6:$A$150,0)</f>
        <v>7.7789458215544443</v>
      </c>
      <c r="M26" s="115" t="str">
        <f>_xlfn.XLOOKUP($B26,'PP5'!$C$6:$C$150,'PP5'!$B$6:$B$150,"")</f>
        <v/>
      </c>
      <c r="N26" s="119">
        <f>_xlfn.XLOOKUP(M26,'PP5'!$B$6:$B$150,'PP5'!$A$6:$A$150,0)</f>
        <v>0</v>
      </c>
      <c r="O26" s="115" t="str">
        <f>_xlfn.XLOOKUP(B26,MPW!C$6:C$150,MPW!B$6:B$150,"")</f>
        <v/>
      </c>
      <c r="P26" s="119">
        <f>_xlfn.XLOOKUP(O26,MPW!B$6:B$150,MPW!A$6:A$150,0)</f>
        <v>0</v>
      </c>
    </row>
    <row r="27" spans="1:16" ht="14.85" customHeight="1">
      <c r="A27" s="54">
        <f>ROW()-5</f>
        <v>22</v>
      </c>
      <c r="B27" s="197" t="s">
        <v>37</v>
      </c>
      <c r="C27" s="52"/>
      <c r="D27" s="70">
        <f>SUM(F27,H27,J27,L27,N27,P27)-MIN(F27,H27,J27,L27,N27)</f>
        <v>5.1465362730591337</v>
      </c>
      <c r="E27" s="115">
        <f>_xlfn.XLOOKUP($B27,'PP1'!$C$6:$C$150,'PP1'!$B$6:$B$150,"")</f>
        <v>8</v>
      </c>
      <c r="F27" s="117">
        <f>_xlfn.XLOOKUP(E27,'PP1'!$B$6:$B$150,'PP1'!$A$6:$A$150,0)</f>
        <v>1</v>
      </c>
      <c r="G27" s="115">
        <f>_xlfn.XLOOKUP($B27,'PP2'!$C$6:$C$150,'PP2'!$B$6:$B$150,"")</f>
        <v>7</v>
      </c>
      <c r="H27" s="119">
        <f>_xlfn.XLOOKUP(G27,'PP2'!$B$6:$B$150,'PP2'!$A$6:$A$150,0)</f>
        <v>4.1465362730591337</v>
      </c>
      <c r="I27" s="115" t="str">
        <f>_xlfn.XLOOKUP($B27,'PP3'!$C$6:$C$150,'PP3'!$B$6:$B$150,"")</f>
        <v/>
      </c>
      <c r="J27" s="119">
        <f>_xlfn.XLOOKUP(I27,'PP3'!$B$6:$B$150,'PP3'!$A$6:$A$150,0)</f>
        <v>0</v>
      </c>
      <c r="K27" s="115" t="str">
        <f>_xlfn.XLOOKUP($B27,'PP4'!$C$6:$C$150,'PP4'!$B$6:$B$150,"")</f>
        <v/>
      </c>
      <c r="L27" s="119">
        <f>_xlfn.XLOOKUP(K27,'PP4'!$B$6:$B$150,'PP4'!$A$6:$A$150,0)</f>
        <v>0</v>
      </c>
      <c r="M27" s="115" t="str">
        <f>_xlfn.XLOOKUP($B27,'PP5'!$C$6:$C$150,'PP5'!$B$6:$B$150,"")</f>
        <v/>
      </c>
      <c r="N27" s="119">
        <f>_xlfn.XLOOKUP(M27,'PP5'!$B$6:$B$150,'PP5'!$A$6:$A$150,0)</f>
        <v>0</v>
      </c>
      <c r="O27" s="115" t="str">
        <f>_xlfn.XLOOKUP(B27,MPW!C$6:C$150,MPW!B$6:B$150,"")</f>
        <v/>
      </c>
      <c r="P27" s="119">
        <f>_xlfn.XLOOKUP(O27,MPW!B$6:B$150,MPW!A$6:A$150,0)</f>
        <v>0</v>
      </c>
    </row>
    <row r="28" spans="1:16" ht="14.85" customHeight="1">
      <c r="A28" s="54">
        <f>ROW()-5</f>
        <v>23</v>
      </c>
      <c r="B28" s="197" t="s">
        <v>38</v>
      </c>
      <c r="C28" s="52"/>
      <c r="D28" s="70">
        <f>SUM(F28,H28,J28,L28,N28,P28)-MIN(F28,H28,J28,L28,N28)</f>
        <v>1.8997618429143088</v>
      </c>
      <c r="E28" s="115" t="str">
        <f>_xlfn.XLOOKUP($B28,'PP1'!$C$6:$C$150,'PP1'!$B$6:$B$150,"")</f>
        <v/>
      </c>
      <c r="F28" s="117">
        <f>_xlfn.XLOOKUP(E28,'PP1'!$B$6:$B$150,'PP1'!$A$6:$A$150,0)</f>
        <v>0</v>
      </c>
      <c r="G28" s="115" t="str">
        <f>_xlfn.XLOOKUP($B28,'PP2'!$C$6:$C$150,'PP2'!$B$6:$B$150,"")</f>
        <v/>
      </c>
      <c r="H28" s="119">
        <f>_xlfn.XLOOKUP(G28,'PP2'!$B$6:$B$150,'PP2'!$A$6:$A$150,0)</f>
        <v>0</v>
      </c>
      <c r="I28" s="115">
        <f>_xlfn.XLOOKUP($B28,'PP3'!$C$6:$C$150,'PP3'!$B$6:$B$150,"")</f>
        <v>18</v>
      </c>
      <c r="J28" s="119">
        <f>_xlfn.XLOOKUP(I28,'PP3'!$B$6:$B$150,'PP3'!$A$6:$A$150,0)</f>
        <v>1.8997618429143088</v>
      </c>
      <c r="K28" s="115" t="str">
        <f>_xlfn.XLOOKUP($B28,'PP4'!$C$6:$C$150,'PP4'!$B$6:$B$150,"")</f>
        <v/>
      </c>
      <c r="L28" s="119">
        <f>_xlfn.XLOOKUP(K28,'PP4'!$B$6:$B$150,'PP4'!$A$6:$A$150,0)</f>
        <v>0</v>
      </c>
      <c r="M28" s="115" t="str">
        <f>_xlfn.XLOOKUP($B28,'PP5'!$C$6:$C$150,'PP5'!$B$6:$B$150,"")</f>
        <v/>
      </c>
      <c r="N28" s="119">
        <f>_xlfn.XLOOKUP(M28,'PP5'!$B$6:$B$150,'PP5'!$A$6:$A$150,0)</f>
        <v>0</v>
      </c>
      <c r="O28" s="115" t="str">
        <f>_xlfn.XLOOKUP(B28,MPW!C$6:C$150,MPW!B$6:B$150,"")</f>
        <v/>
      </c>
      <c r="P28" s="119">
        <f>_xlfn.XLOOKUP(O28,MPW!B$6:B$150,MPW!A$6:A$150,0)</f>
        <v>0</v>
      </c>
    </row>
    <row r="29" spans="1:16" ht="14.85" customHeight="1">
      <c r="A29" s="54">
        <f>ROW()-5</f>
        <v>24</v>
      </c>
      <c r="B29" s="197" t="s">
        <v>39</v>
      </c>
      <c r="C29" s="52"/>
      <c r="D29" s="70">
        <f>SUM(F29,H29,J29,L29,N29,P29)-MIN(F29,H29,J29,L29,N29)</f>
        <v>1</v>
      </c>
      <c r="E29" s="115" t="str">
        <f>_xlfn.XLOOKUP($B29,'PP1'!$C$6:$C$150,'PP1'!$B$6:$B$150,"")</f>
        <v/>
      </c>
      <c r="F29" s="117">
        <f>_xlfn.XLOOKUP(E29,'PP1'!$B$6:$B$150,'PP1'!$A$6:$A$150,0)</f>
        <v>0</v>
      </c>
      <c r="G29" s="115" t="str">
        <f>_xlfn.XLOOKUP($B29,'PP2'!$C$6:$C$150,'PP2'!$B$6:$B$150,"")</f>
        <v/>
      </c>
      <c r="H29" s="119">
        <f>_xlfn.XLOOKUP(G29,'PP2'!$B$6:$B$150,'PP2'!$A$6:$A$150,0)</f>
        <v>0</v>
      </c>
      <c r="I29" s="115">
        <f>_xlfn.XLOOKUP($B29,'PP3'!$C$6:$C$150,'PP3'!$B$6:$B$150,"")</f>
        <v>19</v>
      </c>
      <c r="J29" s="119">
        <f>_xlfn.XLOOKUP(I29,'PP3'!$B$6:$B$150,'PP3'!$A$6:$A$150,0)</f>
        <v>1</v>
      </c>
      <c r="K29" s="115" t="str">
        <f>_xlfn.XLOOKUP($B29,'PP4'!$C$6:$C$150,'PP4'!$B$6:$B$150,"")</f>
        <v/>
      </c>
      <c r="L29" s="119">
        <f>_xlfn.XLOOKUP(K29,'PP4'!$B$6:$B$150,'PP4'!$A$6:$A$150,0)</f>
        <v>0</v>
      </c>
      <c r="M29" s="115" t="str">
        <f>_xlfn.XLOOKUP($B29,'PP5'!$C$6:$C$150,'PP5'!$B$6:$B$150,"")</f>
        <v/>
      </c>
      <c r="N29" s="119">
        <f>_xlfn.XLOOKUP(M29,'PP5'!$B$6:$B$150,'PP5'!$A$6:$A$150,0)</f>
        <v>0</v>
      </c>
      <c r="O29" s="115" t="str">
        <f>_xlfn.XLOOKUP(B29,MPW!C$6:C$150,MPW!B$6:B$150,"")</f>
        <v/>
      </c>
      <c r="P29" s="119">
        <f>_xlfn.XLOOKUP(O29,MPW!B$6:B$150,MPW!A$6:A$150,0)</f>
        <v>0</v>
      </c>
    </row>
    <row r="30" spans="1:16" ht="14.85" customHeight="1">
      <c r="A30" s="54">
        <f>ROW()-5</f>
        <v>25</v>
      </c>
      <c r="B30" s="51"/>
      <c r="C30" s="52"/>
      <c r="D30" s="70">
        <f>SUM(F30,H30,J30,L30,N30,P30)-MIN(F30,H30,J30,L30,N30)</f>
        <v>0</v>
      </c>
      <c r="E30" s="115" t="str">
        <f>_xlfn.XLOOKUP($B30,'PP1'!$C$6:$C$150,'PP1'!$B$6:$B$150,"")</f>
        <v/>
      </c>
      <c r="F30" s="117">
        <f>_xlfn.XLOOKUP(E30,'PP1'!$B$6:$B$150,'PP1'!$A$6:$A$150,0)</f>
        <v>0</v>
      </c>
      <c r="G30" s="115" t="str">
        <f>_xlfn.XLOOKUP($B30,'PP2'!$C$6:$C$150,'PP2'!$B$6:$B$150,"")</f>
        <v/>
      </c>
      <c r="H30" s="119">
        <f>_xlfn.XLOOKUP(G30,'PP2'!$B$6:$B$150,'PP2'!$A$6:$A$150,0)</f>
        <v>0</v>
      </c>
      <c r="I30" s="115" t="str">
        <f>_xlfn.XLOOKUP($B30,'PP3'!$C$6:$C$150,'PP3'!$B$6:$B$150,"")</f>
        <v/>
      </c>
      <c r="J30" s="119">
        <f>_xlfn.XLOOKUP(I30,'PP3'!$B$6:$B$150,'PP3'!$A$6:$A$150,0)</f>
        <v>0</v>
      </c>
      <c r="K30" s="115" t="str">
        <f>_xlfn.XLOOKUP($B30,'PP4'!$C$6:$C$150,'PP4'!$B$6:$B$150,"")</f>
        <v/>
      </c>
      <c r="L30" s="119">
        <f>_xlfn.XLOOKUP(K30,'PP4'!$B$6:$B$150,'PP4'!$A$6:$A$150,0)</f>
        <v>0</v>
      </c>
      <c r="M30" s="115" t="str">
        <f>_xlfn.XLOOKUP($B30,'PP5'!$C$6:$C$150,'PP5'!$B$6:$B$150,"")</f>
        <v/>
      </c>
      <c r="N30" s="119">
        <f>_xlfn.XLOOKUP(M30,'PP5'!$B$6:$B$150,'PP5'!$A$6:$A$150,0)</f>
        <v>0</v>
      </c>
      <c r="O30" s="115" t="str">
        <f>_xlfn.XLOOKUP(B30,MPW!C$6:C$150,MPW!B$6:B$150,"")</f>
        <v/>
      </c>
      <c r="P30" s="119">
        <f>_xlfn.XLOOKUP(O30,MPW!B$6:B$150,MPW!A$6:A$150,0)</f>
        <v>0</v>
      </c>
    </row>
    <row r="31" spans="1:16" ht="14.85" customHeight="1">
      <c r="A31" s="54">
        <f>ROW()-5</f>
        <v>26</v>
      </c>
      <c r="B31" s="51"/>
      <c r="C31" s="52"/>
      <c r="D31" s="70">
        <f>SUM(F31,H31,J31,L31,N31,P31)-MIN(F31,H31,J31,L31,N31)</f>
        <v>0</v>
      </c>
      <c r="E31" s="115" t="str">
        <f>_xlfn.XLOOKUP($B31,'PP1'!$C$6:$C$150,'PP1'!$B$6:$B$150,"")</f>
        <v/>
      </c>
      <c r="F31" s="117">
        <f>_xlfn.XLOOKUP(E31,'PP1'!$B$6:$B$150,'PP1'!$A$6:$A$150,0)</f>
        <v>0</v>
      </c>
      <c r="G31" s="115" t="str">
        <f>_xlfn.XLOOKUP($B31,'PP2'!$C$6:$C$150,'PP2'!$B$6:$B$150,"")</f>
        <v/>
      </c>
      <c r="H31" s="119">
        <f>_xlfn.XLOOKUP(G31,'PP2'!$B$6:$B$150,'PP2'!$A$6:$A$150,0)</f>
        <v>0</v>
      </c>
      <c r="I31" s="115" t="str">
        <f>_xlfn.XLOOKUP($B31,'PP3'!$C$6:$C$150,'PP3'!$B$6:$B$150,"")</f>
        <v/>
      </c>
      <c r="J31" s="119">
        <f>_xlfn.XLOOKUP(I31,'PP3'!$B$6:$B$150,'PP3'!$A$6:$A$150,0)</f>
        <v>0</v>
      </c>
      <c r="K31" s="115" t="str">
        <f>_xlfn.XLOOKUP($B31,'PP4'!$C$6:$C$150,'PP4'!$B$6:$B$150,"")</f>
        <v/>
      </c>
      <c r="L31" s="119">
        <f>_xlfn.XLOOKUP(K31,'PP4'!$B$6:$B$150,'PP4'!$A$6:$A$150,0)</f>
        <v>0</v>
      </c>
      <c r="M31" s="115" t="str">
        <f>_xlfn.XLOOKUP($B31,'PP5'!$C$6:$C$150,'PP5'!$B$6:$B$150,"")</f>
        <v/>
      </c>
      <c r="N31" s="119">
        <f>_xlfn.XLOOKUP(M31,'PP5'!$B$6:$B$150,'PP5'!$A$6:$A$150,0)</f>
        <v>0</v>
      </c>
      <c r="O31" s="115" t="str">
        <f>_xlfn.XLOOKUP(B31,MPW!C$6:C$150,MPW!B$6:B$150,"")</f>
        <v/>
      </c>
      <c r="P31" s="119">
        <f>_xlfn.XLOOKUP(O31,MPW!B$6:B$150,MPW!A$6:A$150,0)</f>
        <v>0</v>
      </c>
    </row>
    <row r="32" spans="1:16" ht="14.85" customHeight="1">
      <c r="A32" s="54">
        <f>ROW()-5</f>
        <v>27</v>
      </c>
      <c r="B32" s="197"/>
      <c r="C32" s="52"/>
      <c r="D32" s="70">
        <f>SUM(F32,H32,J32,L32,N32,P32)-MIN(F32,H32,J32,L32,N32)</f>
        <v>0</v>
      </c>
      <c r="E32" s="115" t="str">
        <f>_xlfn.XLOOKUP($B32,'PP1'!$C$6:$C$150,'PP1'!$B$6:$B$150,"")</f>
        <v/>
      </c>
      <c r="F32" s="117">
        <f>_xlfn.XLOOKUP(E32,'PP1'!$B$6:$B$150,'PP1'!$A$6:$A$150,0)</f>
        <v>0</v>
      </c>
      <c r="G32" s="115" t="str">
        <f>_xlfn.XLOOKUP($B32,'PP2'!$C$6:$C$150,'PP2'!$B$6:$B$150,"")</f>
        <v/>
      </c>
      <c r="H32" s="119">
        <f>_xlfn.XLOOKUP(G32,'PP2'!$B$6:$B$150,'PP2'!$A$6:$A$150,0)</f>
        <v>0</v>
      </c>
      <c r="I32" s="115" t="str">
        <f>_xlfn.XLOOKUP($B32,'PP3'!$C$6:$C$150,'PP3'!$B$6:$B$150,"")</f>
        <v/>
      </c>
      <c r="J32" s="119">
        <f>_xlfn.XLOOKUP(I32,'PP3'!$B$6:$B$150,'PP3'!$A$6:$A$150,0)</f>
        <v>0</v>
      </c>
      <c r="K32" s="115" t="str">
        <f>_xlfn.XLOOKUP($B32,'PP4'!$C$6:$C$150,'PP4'!$B$6:$B$150,"")</f>
        <v/>
      </c>
      <c r="L32" s="119">
        <f>_xlfn.XLOOKUP(K32,'PP4'!$B$6:$B$150,'PP4'!$A$6:$A$150,0)</f>
        <v>0</v>
      </c>
      <c r="M32" s="115" t="str">
        <f>_xlfn.XLOOKUP($B32,'PP5'!$C$6:$C$150,'PP5'!$B$6:$B$150,"")</f>
        <v/>
      </c>
      <c r="N32" s="119">
        <f>_xlfn.XLOOKUP(M32,'PP5'!$B$6:$B$150,'PP5'!$A$6:$A$150,0)</f>
        <v>0</v>
      </c>
      <c r="O32" s="115" t="str">
        <f>_xlfn.XLOOKUP(B32,MPW!C$6:C$150,MPW!B$6:B$150,"")</f>
        <v/>
      </c>
      <c r="P32" s="119">
        <f>_xlfn.XLOOKUP(O32,MPW!B$6:B$150,MPW!A$6:A$150,0)</f>
        <v>0</v>
      </c>
    </row>
    <row r="33" spans="1:16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</row>
    <row r="34" spans="1:16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</row>
    <row r="35" spans="1:16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</row>
    <row r="36" spans="1:1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</row>
    <row r="37" spans="1:16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</row>
  </sheetData>
  <sheetProtection selectLockedCells="1" selectUnlockedCells="1"/>
  <autoFilter ref="A5:P5" xr:uid="{00000000-0001-0000-0000-000000000000}">
    <sortState xmlns:xlrd2="http://schemas.microsoft.com/office/spreadsheetml/2017/richdata2" ref="A7:P32">
      <sortCondition descending="1" ref="D5"/>
    </sortState>
  </autoFilter>
  <sortState xmlns:xlrd2="http://schemas.microsoft.com/office/spreadsheetml/2017/richdata2" ref="B7:D23">
    <sortCondition descending="1" ref="D6:D23"/>
  </sortState>
  <mergeCells count="11">
    <mergeCell ref="R2:U4"/>
    <mergeCell ref="O4:P4"/>
    <mergeCell ref="A4:A5"/>
    <mergeCell ref="B4:B5"/>
    <mergeCell ref="C4:C5"/>
    <mergeCell ref="D4:D5"/>
    <mergeCell ref="E4:F4"/>
    <mergeCell ref="G4:H4"/>
    <mergeCell ref="I4:J4"/>
    <mergeCell ref="K4:L4"/>
    <mergeCell ref="M4:N4"/>
  </mergeCells>
  <conditionalFormatting sqref="A6:A32">
    <cfRule type="cellIs" dxfId="39" priority="21" operator="equal">
      <formula>3</formula>
    </cfRule>
    <cfRule type="cellIs" dxfId="38" priority="26" operator="equal">
      <formula>2</formula>
    </cfRule>
    <cfRule type="cellIs" dxfId="37" priority="27" operator="equal">
      <formula>1</formula>
    </cfRule>
  </conditionalFormatting>
  <conditionalFormatting sqref="D6:P32">
    <cfRule type="cellIs" dxfId="3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93B7-8166-4983-A8BD-169E123F5A07}">
  <sheetPr>
    <tabColor rgb="FF92D050"/>
  </sheetPr>
  <dimension ref="A1:AL687"/>
  <sheetViews>
    <sheetView workbookViewId="0">
      <selection activeCell="C13" sqref="C13"/>
    </sheetView>
  </sheetViews>
  <sheetFormatPr defaultColWidth="8.85546875" defaultRowHeight="1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2.28515625" style="15" customWidth="1"/>
    <col min="14" max="15" width="13.85546875" style="5" customWidth="1"/>
    <col min="16" max="18" width="8.85546875" style="5"/>
    <col min="19" max="20" width="8.85546875" style="26"/>
    <col min="21" max="21" width="12.140625" style="26" customWidth="1"/>
    <col min="22" max="22" width="27.42578125" style="26" customWidth="1"/>
    <col min="23" max="38" width="8.85546875" style="26"/>
    <col min="39" max="16384" width="8.85546875" style="3"/>
  </cols>
  <sheetData>
    <row r="1" spans="1:34">
      <c r="A1" s="5"/>
      <c r="B1" s="5"/>
      <c r="C1" s="5"/>
      <c r="D1" s="5"/>
      <c r="E1" s="5"/>
      <c r="F1" s="5"/>
      <c r="G1" s="5"/>
      <c r="H1" s="22" t="s">
        <v>40</v>
      </c>
      <c r="I1" s="12" t="s">
        <v>41</v>
      </c>
      <c r="J1" s="12" t="s">
        <v>42</v>
      </c>
      <c r="K1" s="23" t="s">
        <v>43</v>
      </c>
      <c r="L1" s="13"/>
      <c r="M1" s="13"/>
    </row>
    <row r="2" spans="1:34" ht="14.45" customHeight="1">
      <c r="A2" s="5"/>
      <c r="B2" s="47" t="s">
        <v>44</v>
      </c>
      <c r="C2" s="340" t="s">
        <v>45</v>
      </c>
      <c r="D2" s="340"/>
      <c r="E2" s="6"/>
      <c r="F2" s="6"/>
      <c r="G2" s="6"/>
      <c r="H2" s="14">
        <v>8</v>
      </c>
      <c r="I2" s="59">
        <v>50</v>
      </c>
      <c r="J2" s="59">
        <v>10</v>
      </c>
      <c r="K2" s="60">
        <f>3*H2^(1/3)</f>
        <v>5.9999999999999991</v>
      </c>
      <c r="L2" s="13"/>
      <c r="M2" s="13"/>
    </row>
    <row r="3" spans="1:34" ht="14.45" customHeight="1">
      <c r="A3" s="5"/>
      <c r="B3" s="48" t="s">
        <v>46</v>
      </c>
      <c r="C3" s="341" t="s">
        <v>47</v>
      </c>
      <c r="D3" s="341"/>
      <c r="E3" s="7"/>
      <c r="F3" s="7"/>
      <c r="G3" s="7"/>
      <c r="H3" s="13"/>
      <c r="I3" s="13"/>
      <c r="J3" s="16"/>
      <c r="K3" s="13"/>
      <c r="L3" s="13"/>
      <c r="M3" s="13"/>
    </row>
    <row r="4" spans="1:34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</row>
    <row r="5" spans="1:34" ht="48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9" t="s">
        <v>54</v>
      </c>
      <c r="I5" s="10" t="s">
        <v>55</v>
      </c>
      <c r="J5" s="11" t="s">
        <v>56</v>
      </c>
      <c r="K5" s="10" t="s">
        <v>57</v>
      </c>
      <c r="L5" s="10" t="s">
        <v>58</v>
      </c>
      <c r="M5" s="9" t="s">
        <v>59</v>
      </c>
    </row>
    <row r="6" spans="1:34" ht="14.45" customHeight="1">
      <c r="A6" s="39">
        <f>M6</f>
        <v>98</v>
      </c>
      <c r="B6" s="36">
        <f t="shared" ref="B6:B25" si="0">IF(H6&gt;$H$2,"",(ROW()-5))</f>
        <v>1</v>
      </c>
      <c r="C6" s="24" t="s">
        <v>16</v>
      </c>
      <c r="D6" s="24"/>
      <c r="E6" s="24"/>
      <c r="F6" s="24"/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3</v>
      </c>
      <c r="K6" s="17">
        <f t="shared" ref="K6" si="1">J6*$J$2</f>
        <v>30</v>
      </c>
      <c r="L6" s="19">
        <f>3*K2</f>
        <v>17.999999999999996</v>
      </c>
      <c r="M6" s="19">
        <f t="shared" ref="M6:M69" si="2">IF(I6&lt;&gt;"",K6+I6+L6,0)</f>
        <v>98</v>
      </c>
    </row>
    <row r="7" spans="1:34" ht="14.45" customHeight="1">
      <c r="A7" s="40">
        <f t="shared" ref="A7:A37" si="3">M7</f>
        <v>65.666666666666657</v>
      </c>
      <c r="B7" s="35">
        <f t="shared" si="0"/>
        <v>2</v>
      </c>
      <c r="C7" s="25" t="s">
        <v>17</v>
      </c>
      <c r="D7" s="25"/>
      <c r="E7" s="25"/>
      <c r="F7" s="25"/>
      <c r="G7" s="8"/>
      <c r="H7" s="44">
        <v>2</v>
      </c>
      <c r="I7" s="45">
        <f t="shared" ref="I7:I69" si="4">IF(H7&lt;$H$2+1,($I$2-($I$2-1)*(LOG(H7)/LOG($H$2))),"")</f>
        <v>33.666666666666664</v>
      </c>
      <c r="J7" s="44">
        <f t="shared" ref="J7:J70" si="5">INT(LOG($H$2,2))-ROUNDUP(LOG(H7,2),0)+IF(OR($H$2=1,$H$2=2,$H$2=4,$H$2=8,$H$2=16,$H$2=32,$H$2=64,$H$2=128,$H$2=256),0,1)</f>
        <v>2</v>
      </c>
      <c r="K7" s="44">
        <f t="shared" ref="K7:K69" si="6">J7*$J$2</f>
        <v>20</v>
      </c>
      <c r="L7" s="46">
        <f>2*K2</f>
        <v>11.999999999999998</v>
      </c>
      <c r="M7" s="46">
        <f t="shared" si="2"/>
        <v>65.666666666666657</v>
      </c>
    </row>
    <row r="8" spans="1:34" ht="14.45" customHeight="1">
      <c r="A8" s="39">
        <f t="shared" si="3"/>
        <v>40.112279154887787</v>
      </c>
      <c r="B8" s="36">
        <f t="shared" si="0"/>
        <v>3</v>
      </c>
      <c r="C8" s="24" t="s">
        <v>19</v>
      </c>
      <c r="D8" s="24"/>
      <c r="E8" s="24"/>
      <c r="F8" s="24"/>
      <c r="G8" s="8"/>
      <c r="H8" s="17">
        <v>3</v>
      </c>
      <c r="I8" s="18">
        <f t="shared" si="4"/>
        <v>24.112279154887784</v>
      </c>
      <c r="J8" s="17">
        <f t="shared" si="5"/>
        <v>1</v>
      </c>
      <c r="K8" s="17">
        <f t="shared" si="6"/>
        <v>10</v>
      </c>
      <c r="L8" s="19">
        <f>K2</f>
        <v>5.9999999999999991</v>
      </c>
      <c r="M8" s="19">
        <f t="shared" si="2"/>
        <v>40.112279154887787</v>
      </c>
    </row>
    <row r="9" spans="1:34" ht="14.45" customHeight="1">
      <c r="A9" s="40">
        <f t="shared" si="3"/>
        <v>27.333333333333329</v>
      </c>
      <c r="B9" s="35">
        <f t="shared" si="0"/>
        <v>4</v>
      </c>
      <c r="C9" s="25" t="s">
        <v>18</v>
      </c>
      <c r="D9" s="25"/>
      <c r="E9" s="25"/>
      <c r="F9" s="25"/>
      <c r="G9" s="8"/>
      <c r="H9" s="44">
        <v>4</v>
      </c>
      <c r="I9" s="45">
        <f t="shared" si="4"/>
        <v>17.333333333333329</v>
      </c>
      <c r="J9" s="44">
        <f t="shared" si="5"/>
        <v>1</v>
      </c>
      <c r="K9" s="44">
        <f t="shared" si="6"/>
        <v>10</v>
      </c>
      <c r="L9" s="46"/>
      <c r="M9" s="46">
        <f t="shared" si="2"/>
        <v>27.333333333333329</v>
      </c>
      <c r="V9" s="27"/>
      <c r="Z9" s="28"/>
      <c r="AA9" s="28"/>
      <c r="AG9" s="29"/>
    </row>
    <row r="10" spans="1:34" ht="14.45" customHeight="1">
      <c r="A10" s="39">
        <f t="shared" si="3"/>
        <v>12.07517445017308</v>
      </c>
      <c r="B10" s="36">
        <f t="shared" si="0"/>
        <v>5</v>
      </c>
      <c r="C10" s="24" t="s">
        <v>20</v>
      </c>
      <c r="D10" s="24"/>
      <c r="E10" s="24"/>
      <c r="F10" s="24"/>
      <c r="G10" s="8"/>
      <c r="H10" s="17">
        <v>5</v>
      </c>
      <c r="I10" s="18">
        <f t="shared" si="4"/>
        <v>12.07517445017308</v>
      </c>
      <c r="J10" s="17">
        <f t="shared" si="5"/>
        <v>0</v>
      </c>
      <c r="K10" s="17">
        <f t="shared" si="6"/>
        <v>0</v>
      </c>
      <c r="L10" s="17"/>
      <c r="M10" s="19">
        <f t="shared" si="2"/>
        <v>12.07517445017308</v>
      </c>
      <c r="V10" s="27"/>
      <c r="Z10" s="28"/>
      <c r="AA10" s="28"/>
      <c r="AG10" s="29"/>
    </row>
    <row r="11" spans="1:34" ht="14.45" customHeight="1">
      <c r="A11" s="40">
        <f t="shared" si="3"/>
        <v>7.7789458215544443</v>
      </c>
      <c r="B11" s="35">
        <f t="shared" si="0"/>
        <v>6</v>
      </c>
      <c r="C11" s="25" t="s">
        <v>28</v>
      </c>
      <c r="D11" s="25"/>
      <c r="E11" s="25"/>
      <c r="F11" s="25"/>
      <c r="G11" s="8"/>
      <c r="H11" s="44">
        <v>6</v>
      </c>
      <c r="I11" s="45">
        <f t="shared" si="4"/>
        <v>7.7789458215544443</v>
      </c>
      <c r="J11" s="44">
        <f t="shared" si="5"/>
        <v>0</v>
      </c>
      <c r="K11" s="44">
        <f t="shared" si="6"/>
        <v>0</v>
      </c>
      <c r="L11" s="44"/>
      <c r="M11" s="46">
        <f t="shared" si="2"/>
        <v>7.7789458215544443</v>
      </c>
      <c r="V11" s="30"/>
      <c r="Z11" s="28"/>
      <c r="AA11" s="28"/>
      <c r="AG11" s="29"/>
    </row>
    <row r="12" spans="1:34" ht="14.45" customHeight="1">
      <c r="A12" s="39">
        <f t="shared" si="3"/>
        <v>4.1465362730591337</v>
      </c>
      <c r="B12" s="36">
        <f t="shared" si="0"/>
        <v>7</v>
      </c>
      <c r="C12" s="24" t="s">
        <v>29</v>
      </c>
      <c r="D12" s="24"/>
      <c r="E12" s="24"/>
      <c r="F12" s="24"/>
      <c r="G12" s="8"/>
      <c r="H12" s="17">
        <v>7</v>
      </c>
      <c r="I12" s="18">
        <f t="shared" si="4"/>
        <v>4.1465362730591337</v>
      </c>
      <c r="J12" s="17">
        <f t="shared" si="5"/>
        <v>0</v>
      </c>
      <c r="K12" s="17">
        <f t="shared" si="6"/>
        <v>0</v>
      </c>
      <c r="L12" s="17"/>
      <c r="M12" s="19">
        <f t="shared" si="2"/>
        <v>4.1465362730591337</v>
      </c>
      <c r="Z12" s="28"/>
      <c r="AA12" s="28"/>
      <c r="AG12" s="29"/>
    </row>
    <row r="13" spans="1:34" ht="14.45" customHeight="1">
      <c r="A13" s="41">
        <f t="shared" si="3"/>
        <v>1</v>
      </c>
      <c r="B13" s="35">
        <f t="shared" si="0"/>
        <v>8</v>
      </c>
      <c r="C13" s="25" t="s">
        <v>37</v>
      </c>
      <c r="D13" s="25"/>
      <c r="E13" s="25"/>
      <c r="F13" s="25"/>
      <c r="G13" s="8"/>
      <c r="H13" s="44">
        <v>8</v>
      </c>
      <c r="I13" s="45">
        <f t="shared" si="4"/>
        <v>1</v>
      </c>
      <c r="J13" s="44">
        <f t="shared" si="5"/>
        <v>0</v>
      </c>
      <c r="K13" s="44">
        <f t="shared" si="6"/>
        <v>0</v>
      </c>
      <c r="L13" s="44"/>
      <c r="M13" s="46">
        <f t="shared" si="2"/>
        <v>1</v>
      </c>
      <c r="X13" s="27"/>
      <c r="AG13" s="29"/>
    </row>
    <row r="14" spans="1:34">
      <c r="A14" s="42">
        <f t="shared" si="3"/>
        <v>0</v>
      </c>
      <c r="B14" s="36" t="str">
        <f t="shared" si="0"/>
        <v/>
      </c>
      <c r="C14" s="24"/>
      <c r="D14" s="24"/>
      <c r="E14" s="24"/>
      <c r="F14" s="24"/>
      <c r="G14" s="8"/>
      <c r="H14" s="17">
        <v>9</v>
      </c>
      <c r="I14" s="18" t="str">
        <f t="shared" si="4"/>
        <v/>
      </c>
      <c r="J14" s="17">
        <f t="shared" si="5"/>
        <v>-1</v>
      </c>
      <c r="K14" s="17">
        <f t="shared" si="6"/>
        <v>-10</v>
      </c>
      <c r="L14" s="17"/>
      <c r="M14" s="19">
        <f t="shared" si="2"/>
        <v>0</v>
      </c>
      <c r="X14" s="31"/>
      <c r="Z14" s="28"/>
      <c r="AA14" s="28"/>
      <c r="AG14" s="29"/>
    </row>
    <row r="15" spans="1:34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44">
        <v>10</v>
      </c>
      <c r="I15" s="45" t="str">
        <f t="shared" si="4"/>
        <v/>
      </c>
      <c r="J15" s="44">
        <f t="shared" si="5"/>
        <v>-1</v>
      </c>
      <c r="K15" s="44">
        <f t="shared" si="6"/>
        <v>-10</v>
      </c>
      <c r="L15" s="44"/>
      <c r="M15" s="46">
        <f t="shared" si="2"/>
        <v>0</v>
      </c>
      <c r="X15" s="27"/>
      <c r="Z15" s="28"/>
      <c r="AA15" s="28"/>
    </row>
    <row r="16" spans="1:34">
      <c r="A16" s="42">
        <f t="shared" si="3"/>
        <v>0</v>
      </c>
      <c r="B16" s="36" t="str">
        <f t="shared" si="0"/>
        <v/>
      </c>
      <c r="C16" s="24"/>
      <c r="D16" s="24"/>
      <c r="E16" s="24"/>
      <c r="F16" s="24"/>
      <c r="G16" s="8"/>
      <c r="H16" s="17">
        <v>11</v>
      </c>
      <c r="I16" s="18" t="str">
        <f t="shared" si="4"/>
        <v/>
      </c>
      <c r="J16" s="17">
        <f t="shared" si="5"/>
        <v>-1</v>
      </c>
      <c r="K16" s="17">
        <f t="shared" si="6"/>
        <v>-10</v>
      </c>
      <c r="L16" s="17"/>
      <c r="M16" s="19">
        <f t="shared" si="2"/>
        <v>0</v>
      </c>
      <c r="R16" s="49"/>
      <c r="Z16" s="28"/>
      <c r="AA16" s="28"/>
      <c r="AH16" s="33"/>
    </row>
    <row r="17" spans="1:19">
      <c r="A17" s="41">
        <f t="shared" si="3"/>
        <v>0</v>
      </c>
      <c r="B17" s="35" t="str">
        <f t="shared" si="0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-1</v>
      </c>
      <c r="K17" s="44">
        <f t="shared" si="6"/>
        <v>-10</v>
      </c>
      <c r="L17" s="44"/>
      <c r="M17" s="46">
        <f t="shared" si="2"/>
        <v>0</v>
      </c>
    </row>
    <row r="18" spans="1:19">
      <c r="A18" s="42">
        <f t="shared" si="3"/>
        <v>0</v>
      </c>
      <c r="B18" s="36" t="str">
        <f t="shared" si="0"/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-1</v>
      </c>
      <c r="K18" s="17">
        <f t="shared" si="6"/>
        <v>-10</v>
      </c>
      <c r="L18" s="17"/>
      <c r="M18" s="19">
        <f t="shared" si="2"/>
        <v>0</v>
      </c>
    </row>
    <row r="19" spans="1:19">
      <c r="A19" s="4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-1</v>
      </c>
      <c r="K19" s="44">
        <f t="shared" si="6"/>
        <v>-10</v>
      </c>
      <c r="L19" s="44"/>
      <c r="M19" s="46">
        <f t="shared" si="2"/>
        <v>0</v>
      </c>
    </row>
    <row r="20" spans="1:19">
      <c r="A20" s="42">
        <f t="shared" si="3"/>
        <v>0</v>
      </c>
      <c r="B20" s="36" t="str">
        <f t="shared" si="0"/>
        <v/>
      </c>
      <c r="C20" s="24"/>
      <c r="D20" s="24"/>
      <c r="E20" s="24"/>
      <c r="F20" s="24"/>
      <c r="G20" s="8"/>
      <c r="H20" s="17">
        <v>15</v>
      </c>
      <c r="I20" s="18" t="str">
        <f t="shared" si="4"/>
        <v/>
      </c>
      <c r="J20" s="17">
        <f t="shared" si="5"/>
        <v>-1</v>
      </c>
      <c r="K20" s="17">
        <f t="shared" si="6"/>
        <v>-10</v>
      </c>
      <c r="L20" s="17"/>
      <c r="M20" s="19">
        <f t="shared" si="2"/>
        <v>0</v>
      </c>
      <c r="R20" s="50"/>
      <c r="S20" s="34"/>
    </row>
    <row r="21" spans="1:19">
      <c r="A21" s="41">
        <f t="shared" si="3"/>
        <v>0</v>
      </c>
      <c r="B21" s="35" t="str">
        <f t="shared" si="0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-1</v>
      </c>
      <c r="K21" s="44">
        <f t="shared" si="6"/>
        <v>-10</v>
      </c>
      <c r="L21" s="44"/>
      <c r="M21" s="46">
        <f t="shared" si="2"/>
        <v>0</v>
      </c>
    </row>
    <row r="22" spans="1:19">
      <c r="A22" s="42">
        <f t="shared" si="3"/>
        <v>0</v>
      </c>
      <c r="B22" s="36" t="str">
        <f t="shared" si="0"/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-2</v>
      </c>
      <c r="K22" s="17">
        <f t="shared" si="6"/>
        <v>-20</v>
      </c>
      <c r="L22" s="17"/>
      <c r="M22" s="19">
        <f t="shared" si="2"/>
        <v>0</v>
      </c>
    </row>
    <row r="23" spans="1:19">
      <c r="A23" s="41">
        <f t="shared" si="3"/>
        <v>0</v>
      </c>
      <c r="B23" s="35" t="str">
        <f t="shared" si="0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-2</v>
      </c>
      <c r="K23" s="44">
        <f t="shared" si="6"/>
        <v>-20</v>
      </c>
      <c r="L23" s="44"/>
      <c r="M23" s="46">
        <f t="shared" si="2"/>
        <v>0</v>
      </c>
    </row>
    <row r="24" spans="1:19">
      <c r="A24" s="42">
        <f t="shared" si="3"/>
        <v>0</v>
      </c>
      <c r="B24" s="36" t="str">
        <f t="shared" si="0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-2</v>
      </c>
      <c r="K24" s="17">
        <f t="shared" si="6"/>
        <v>-20</v>
      </c>
      <c r="L24" s="17"/>
      <c r="M24" s="19">
        <f t="shared" si="2"/>
        <v>0</v>
      </c>
      <c r="R24" s="50"/>
      <c r="S24" s="34"/>
    </row>
    <row r="25" spans="1:19">
      <c r="A25" s="41">
        <f t="shared" si="3"/>
        <v>0</v>
      </c>
      <c r="B25" s="35" t="str">
        <f t="shared" si="0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-2</v>
      </c>
      <c r="K25" s="44">
        <f t="shared" si="6"/>
        <v>-20</v>
      </c>
      <c r="L25" s="44"/>
      <c r="M25" s="46">
        <f t="shared" si="2"/>
        <v>0</v>
      </c>
    </row>
    <row r="26" spans="1:19">
      <c r="A26" s="42">
        <f t="shared" si="3"/>
        <v>0</v>
      </c>
      <c r="B26" s="36" t="str">
        <f t="shared" ref="B26:B65" si="7">IF(H26&gt;$H$2,"",(ROW()-5))</f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-2</v>
      </c>
      <c r="K26" s="17">
        <f t="shared" si="6"/>
        <v>-20</v>
      </c>
      <c r="L26" s="17"/>
      <c r="M26" s="19">
        <f t="shared" si="2"/>
        <v>0</v>
      </c>
    </row>
    <row r="27" spans="1:19">
      <c r="A27" s="41">
        <f t="shared" si="3"/>
        <v>0</v>
      </c>
      <c r="B27" s="35" t="str">
        <f t="shared" si="7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-2</v>
      </c>
      <c r="K27" s="44">
        <f t="shared" si="6"/>
        <v>-20</v>
      </c>
      <c r="L27" s="44"/>
      <c r="M27" s="46">
        <f t="shared" si="2"/>
        <v>0</v>
      </c>
    </row>
    <row r="28" spans="1:19">
      <c r="A28" s="42">
        <f t="shared" si="3"/>
        <v>0</v>
      </c>
      <c r="B28" s="36" t="str">
        <f t="shared" si="7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-2</v>
      </c>
      <c r="K28" s="17">
        <f t="shared" si="6"/>
        <v>-20</v>
      </c>
      <c r="L28" s="17"/>
      <c r="M28" s="19">
        <f t="shared" si="2"/>
        <v>0</v>
      </c>
      <c r="R28" s="50"/>
      <c r="S28" s="34"/>
    </row>
    <row r="29" spans="1:19">
      <c r="A29" s="41">
        <f t="shared" si="3"/>
        <v>0</v>
      </c>
      <c r="B29" s="35" t="str">
        <f t="shared" si="7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-2</v>
      </c>
      <c r="K29" s="44">
        <f t="shared" si="6"/>
        <v>-20</v>
      </c>
      <c r="L29" s="44"/>
      <c r="M29" s="46">
        <f t="shared" si="2"/>
        <v>0</v>
      </c>
    </row>
    <row r="30" spans="1:19">
      <c r="A30" s="42">
        <f t="shared" si="3"/>
        <v>0</v>
      </c>
      <c r="B30" s="36" t="str">
        <f t="shared" si="7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-2</v>
      </c>
      <c r="K30" s="17">
        <f t="shared" si="6"/>
        <v>-20</v>
      </c>
      <c r="L30" s="17"/>
      <c r="M30" s="19">
        <f t="shared" si="2"/>
        <v>0</v>
      </c>
    </row>
    <row r="31" spans="1:19">
      <c r="A31" s="41">
        <f t="shared" si="3"/>
        <v>0</v>
      </c>
      <c r="B31" s="35" t="str">
        <f t="shared" si="7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-2</v>
      </c>
      <c r="K31" s="44">
        <f t="shared" si="6"/>
        <v>-20</v>
      </c>
      <c r="L31" s="44"/>
      <c r="M31" s="46">
        <f t="shared" si="2"/>
        <v>0</v>
      </c>
    </row>
    <row r="32" spans="1:19">
      <c r="A32" s="42">
        <f t="shared" si="3"/>
        <v>0</v>
      </c>
      <c r="B32" s="36" t="str">
        <f t="shared" si="7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-2</v>
      </c>
      <c r="K32" s="17">
        <f t="shared" si="6"/>
        <v>-20</v>
      </c>
      <c r="L32" s="17"/>
      <c r="M32" s="19">
        <f t="shared" si="2"/>
        <v>0</v>
      </c>
      <c r="R32" s="50"/>
      <c r="S32" s="34"/>
    </row>
    <row r="33" spans="1:19">
      <c r="A33" s="41">
        <f t="shared" si="3"/>
        <v>0</v>
      </c>
      <c r="B33" s="35" t="str">
        <f t="shared" si="7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-2</v>
      </c>
      <c r="K33" s="44">
        <f t="shared" si="6"/>
        <v>-20</v>
      </c>
      <c r="L33" s="44"/>
      <c r="M33" s="46">
        <f t="shared" si="2"/>
        <v>0</v>
      </c>
    </row>
    <row r="34" spans="1:19">
      <c r="A34" s="42">
        <f t="shared" si="3"/>
        <v>0</v>
      </c>
      <c r="B34" s="36" t="str">
        <f t="shared" si="7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-2</v>
      </c>
      <c r="K34" s="17">
        <f t="shared" si="6"/>
        <v>-20</v>
      </c>
      <c r="L34" s="17"/>
      <c r="M34" s="19">
        <f t="shared" si="2"/>
        <v>0</v>
      </c>
    </row>
    <row r="35" spans="1:19">
      <c r="A35" s="41">
        <f t="shared" si="3"/>
        <v>0</v>
      </c>
      <c r="B35" s="35" t="str">
        <f t="shared" si="7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-2</v>
      </c>
      <c r="K35" s="44">
        <f t="shared" si="6"/>
        <v>-20</v>
      </c>
      <c r="L35" s="44"/>
      <c r="M35" s="46">
        <f t="shared" si="2"/>
        <v>0</v>
      </c>
    </row>
    <row r="36" spans="1:19">
      <c r="A36" s="42">
        <f t="shared" si="3"/>
        <v>0</v>
      </c>
      <c r="B36" s="36" t="str">
        <f t="shared" si="7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-2</v>
      </c>
      <c r="K36" s="17">
        <f t="shared" si="6"/>
        <v>-20</v>
      </c>
      <c r="L36" s="17"/>
      <c r="M36" s="19">
        <f t="shared" si="2"/>
        <v>0</v>
      </c>
      <c r="R36" s="50"/>
      <c r="S36" s="34"/>
    </row>
    <row r="37" spans="1:19">
      <c r="A37" s="41">
        <f t="shared" si="3"/>
        <v>0</v>
      </c>
      <c r="B37" s="35" t="str">
        <f t="shared" si="7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-2</v>
      </c>
      <c r="K37" s="44">
        <f t="shared" si="6"/>
        <v>-20</v>
      </c>
      <c r="L37" s="44"/>
      <c r="M37" s="46">
        <f t="shared" si="2"/>
        <v>0</v>
      </c>
    </row>
    <row r="38" spans="1:19">
      <c r="A38" s="42"/>
      <c r="B38" s="36" t="str">
        <f t="shared" si="7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-3</v>
      </c>
      <c r="K38" s="17">
        <f t="shared" si="6"/>
        <v>-30</v>
      </c>
      <c r="L38" s="17"/>
      <c r="M38" s="19">
        <f t="shared" si="2"/>
        <v>0</v>
      </c>
    </row>
    <row r="39" spans="1:19">
      <c r="A39" s="41"/>
      <c r="B39" s="35" t="str">
        <f t="shared" si="7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-3</v>
      </c>
      <c r="K39" s="44">
        <f t="shared" si="6"/>
        <v>-30</v>
      </c>
      <c r="L39" s="44"/>
      <c r="M39" s="46">
        <f t="shared" si="2"/>
        <v>0</v>
      </c>
    </row>
    <row r="40" spans="1:19">
      <c r="A40" s="42"/>
      <c r="B40" s="36" t="str">
        <f t="shared" si="7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-3</v>
      </c>
      <c r="K40" s="17">
        <f t="shared" si="6"/>
        <v>-30</v>
      </c>
      <c r="L40" s="17"/>
      <c r="M40" s="19">
        <f t="shared" si="2"/>
        <v>0</v>
      </c>
    </row>
    <row r="41" spans="1:19">
      <c r="A41" s="41"/>
      <c r="B41" s="35" t="str">
        <f t="shared" si="7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-3</v>
      </c>
      <c r="K41" s="44">
        <f t="shared" si="6"/>
        <v>-30</v>
      </c>
      <c r="L41" s="44"/>
      <c r="M41" s="46">
        <f t="shared" si="2"/>
        <v>0</v>
      </c>
      <c r="S41" s="32"/>
    </row>
    <row r="42" spans="1:19">
      <c r="A42" s="42"/>
      <c r="B42" s="36" t="str">
        <f t="shared" si="7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-3</v>
      </c>
      <c r="K42" s="17">
        <f t="shared" si="6"/>
        <v>-30</v>
      </c>
      <c r="L42" s="17"/>
      <c r="M42" s="19">
        <f t="shared" si="2"/>
        <v>0</v>
      </c>
    </row>
    <row r="43" spans="1:19">
      <c r="A43" s="41"/>
      <c r="B43" s="35" t="str">
        <f t="shared" si="7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-3</v>
      </c>
      <c r="K43" s="44">
        <f t="shared" si="6"/>
        <v>-30</v>
      </c>
      <c r="L43" s="44"/>
      <c r="M43" s="46">
        <f t="shared" si="2"/>
        <v>0</v>
      </c>
    </row>
    <row r="44" spans="1:19">
      <c r="A44" s="42"/>
      <c r="B44" s="36" t="str">
        <f t="shared" si="7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-3</v>
      </c>
      <c r="K44" s="17">
        <f t="shared" si="6"/>
        <v>-30</v>
      </c>
      <c r="L44" s="17"/>
      <c r="M44" s="19">
        <f t="shared" si="2"/>
        <v>0</v>
      </c>
    </row>
    <row r="45" spans="1:19">
      <c r="A45" s="41"/>
      <c r="B45" s="35" t="str">
        <f t="shared" si="7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-3</v>
      </c>
      <c r="K45" s="44">
        <f t="shared" si="6"/>
        <v>-30</v>
      </c>
      <c r="L45" s="44"/>
      <c r="M45" s="46">
        <f t="shared" si="2"/>
        <v>0</v>
      </c>
    </row>
    <row r="46" spans="1:19">
      <c r="A46" s="42"/>
      <c r="B46" s="36" t="str">
        <f t="shared" si="7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-3</v>
      </c>
      <c r="K46" s="17">
        <f t="shared" si="6"/>
        <v>-30</v>
      </c>
      <c r="L46" s="17"/>
      <c r="M46" s="19">
        <f t="shared" si="2"/>
        <v>0</v>
      </c>
    </row>
    <row r="47" spans="1:19">
      <c r="A47" s="41"/>
      <c r="B47" s="35" t="str">
        <f t="shared" si="7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-3</v>
      </c>
      <c r="K47" s="44">
        <f t="shared" si="6"/>
        <v>-30</v>
      </c>
      <c r="L47" s="44"/>
      <c r="M47" s="46">
        <f t="shared" si="2"/>
        <v>0</v>
      </c>
    </row>
    <row r="48" spans="1:19">
      <c r="A48" s="42"/>
      <c r="B48" s="36" t="str">
        <f t="shared" si="7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-3</v>
      </c>
      <c r="K48" s="17">
        <f t="shared" si="6"/>
        <v>-30</v>
      </c>
      <c r="L48" s="17"/>
      <c r="M48" s="19">
        <f t="shared" si="2"/>
        <v>0</v>
      </c>
    </row>
    <row r="49" spans="1:13">
      <c r="A49" s="41"/>
      <c r="B49" s="35" t="str">
        <f t="shared" si="7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-3</v>
      </c>
      <c r="K49" s="44">
        <f t="shared" si="6"/>
        <v>-30</v>
      </c>
      <c r="L49" s="44"/>
      <c r="M49" s="46">
        <f t="shared" si="2"/>
        <v>0</v>
      </c>
    </row>
    <row r="50" spans="1:13">
      <c r="A50" s="42"/>
      <c r="B50" s="36" t="str">
        <f t="shared" si="7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-3</v>
      </c>
      <c r="K50" s="17">
        <f t="shared" si="6"/>
        <v>-30</v>
      </c>
      <c r="L50" s="17"/>
      <c r="M50" s="19">
        <f t="shared" si="2"/>
        <v>0</v>
      </c>
    </row>
    <row r="51" spans="1:13">
      <c r="A51" s="41"/>
      <c r="B51" s="35" t="str">
        <f t="shared" si="7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-3</v>
      </c>
      <c r="K51" s="44">
        <f t="shared" si="6"/>
        <v>-30</v>
      </c>
      <c r="L51" s="44"/>
      <c r="M51" s="46">
        <f t="shared" si="2"/>
        <v>0</v>
      </c>
    </row>
    <row r="52" spans="1:13">
      <c r="A52" s="42"/>
      <c r="B52" s="36" t="str">
        <f t="shared" si="7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-3</v>
      </c>
      <c r="K52" s="17">
        <f t="shared" si="6"/>
        <v>-30</v>
      </c>
      <c r="L52" s="17"/>
      <c r="M52" s="19">
        <f t="shared" si="2"/>
        <v>0</v>
      </c>
    </row>
    <row r="53" spans="1:13">
      <c r="A53" s="41"/>
      <c r="B53" s="35" t="str">
        <f t="shared" si="7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-3</v>
      </c>
      <c r="K53" s="44">
        <f t="shared" si="6"/>
        <v>-30</v>
      </c>
      <c r="L53" s="44"/>
      <c r="M53" s="46">
        <f t="shared" si="2"/>
        <v>0</v>
      </c>
    </row>
    <row r="54" spans="1:13">
      <c r="A54" s="42"/>
      <c r="B54" s="36" t="str">
        <f t="shared" si="7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-3</v>
      </c>
      <c r="K54" s="17">
        <f t="shared" si="6"/>
        <v>-30</v>
      </c>
      <c r="L54" s="17"/>
      <c r="M54" s="19">
        <f t="shared" si="2"/>
        <v>0</v>
      </c>
    </row>
    <row r="55" spans="1:13">
      <c r="A55" s="41"/>
      <c r="B55" s="35" t="str">
        <f t="shared" si="7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-3</v>
      </c>
      <c r="K55" s="44">
        <f t="shared" si="6"/>
        <v>-30</v>
      </c>
      <c r="L55" s="44"/>
      <c r="M55" s="46">
        <f t="shared" si="2"/>
        <v>0</v>
      </c>
    </row>
    <row r="56" spans="1:13">
      <c r="A56" s="42"/>
      <c r="B56" s="36" t="str">
        <f t="shared" si="7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-3</v>
      </c>
      <c r="K56" s="17">
        <f t="shared" si="6"/>
        <v>-30</v>
      </c>
      <c r="L56" s="17"/>
      <c r="M56" s="19">
        <f t="shared" si="2"/>
        <v>0</v>
      </c>
    </row>
    <row r="57" spans="1:13">
      <c r="A57" s="41"/>
      <c r="B57" s="35" t="str">
        <f t="shared" si="7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-3</v>
      </c>
      <c r="K57" s="44">
        <f t="shared" si="6"/>
        <v>-30</v>
      </c>
      <c r="L57" s="44"/>
      <c r="M57" s="46">
        <f t="shared" si="2"/>
        <v>0</v>
      </c>
    </row>
    <row r="58" spans="1:13">
      <c r="A58" s="42"/>
      <c r="B58" s="36" t="str">
        <f t="shared" si="7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-3</v>
      </c>
      <c r="K58" s="17">
        <f t="shared" si="6"/>
        <v>-30</v>
      </c>
      <c r="L58" s="17"/>
      <c r="M58" s="19">
        <f t="shared" si="2"/>
        <v>0</v>
      </c>
    </row>
    <row r="59" spans="1:13">
      <c r="A59" s="41"/>
      <c r="B59" s="35" t="str">
        <f t="shared" si="7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-3</v>
      </c>
      <c r="K59" s="44">
        <f t="shared" si="6"/>
        <v>-30</v>
      </c>
      <c r="L59" s="44"/>
      <c r="M59" s="46">
        <f t="shared" si="2"/>
        <v>0</v>
      </c>
    </row>
    <row r="60" spans="1:13">
      <c r="A60" s="42"/>
      <c r="B60" s="36" t="str">
        <f t="shared" si="7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-3</v>
      </c>
      <c r="K60" s="17">
        <f t="shared" si="6"/>
        <v>-30</v>
      </c>
      <c r="L60" s="17"/>
      <c r="M60" s="19">
        <f t="shared" si="2"/>
        <v>0</v>
      </c>
    </row>
    <row r="61" spans="1:13">
      <c r="A61" s="41"/>
      <c r="B61" s="35" t="str">
        <f t="shared" si="7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-3</v>
      </c>
      <c r="K61" s="44">
        <f t="shared" si="6"/>
        <v>-30</v>
      </c>
      <c r="L61" s="44"/>
      <c r="M61" s="46">
        <f t="shared" si="2"/>
        <v>0</v>
      </c>
    </row>
    <row r="62" spans="1:13">
      <c r="A62" s="42"/>
      <c r="B62" s="36" t="str">
        <f t="shared" si="7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-3</v>
      </c>
      <c r="K62" s="17">
        <f t="shared" si="6"/>
        <v>-30</v>
      </c>
      <c r="L62" s="17"/>
      <c r="M62" s="19">
        <f t="shared" si="2"/>
        <v>0</v>
      </c>
    </row>
    <row r="63" spans="1:13">
      <c r="A63" s="41"/>
      <c r="B63" s="35" t="str">
        <f t="shared" si="7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-3</v>
      </c>
      <c r="K63" s="44">
        <f t="shared" si="6"/>
        <v>-30</v>
      </c>
      <c r="L63" s="44"/>
      <c r="M63" s="46">
        <f t="shared" si="2"/>
        <v>0</v>
      </c>
    </row>
    <row r="64" spans="1:13">
      <c r="A64" s="42"/>
      <c r="B64" s="36" t="str">
        <f t="shared" si="7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-3</v>
      </c>
      <c r="K64" s="17">
        <f t="shared" si="6"/>
        <v>-30</v>
      </c>
      <c r="L64" s="17"/>
      <c r="M64" s="19">
        <f t="shared" si="2"/>
        <v>0</v>
      </c>
    </row>
    <row r="65" spans="1:13">
      <c r="A65" s="41"/>
      <c r="B65" s="35" t="str">
        <f t="shared" si="7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-3</v>
      </c>
      <c r="K65" s="44">
        <f t="shared" si="6"/>
        <v>-30</v>
      </c>
      <c r="L65" s="44"/>
      <c r="M65" s="46">
        <f t="shared" si="2"/>
        <v>0</v>
      </c>
    </row>
    <row r="66" spans="1:13">
      <c r="A66" s="43"/>
      <c r="B66" s="36"/>
      <c r="G66" s="5"/>
      <c r="H66" s="17">
        <v>61</v>
      </c>
      <c r="I66" s="18" t="str">
        <f t="shared" si="4"/>
        <v/>
      </c>
      <c r="J66" s="17">
        <f t="shared" si="5"/>
        <v>-3</v>
      </c>
      <c r="K66" s="17">
        <f t="shared" si="6"/>
        <v>-30</v>
      </c>
      <c r="L66" s="17"/>
      <c r="M66" s="19">
        <f t="shared" si="2"/>
        <v>0</v>
      </c>
    </row>
    <row r="67" spans="1:13">
      <c r="A67" s="43"/>
      <c r="B67" s="35"/>
      <c r="G67" s="5"/>
      <c r="H67" s="17">
        <v>62</v>
      </c>
      <c r="I67" s="18" t="str">
        <f t="shared" si="4"/>
        <v/>
      </c>
      <c r="J67" s="17">
        <f t="shared" si="5"/>
        <v>-3</v>
      </c>
      <c r="K67" s="17">
        <f t="shared" si="6"/>
        <v>-30</v>
      </c>
      <c r="L67" s="17"/>
      <c r="M67" s="19">
        <f t="shared" si="2"/>
        <v>0</v>
      </c>
    </row>
    <row r="68" spans="1:13">
      <c r="A68" s="43"/>
      <c r="B68" s="36"/>
      <c r="G68" s="5"/>
      <c r="H68" s="17">
        <v>63</v>
      </c>
      <c r="I68" s="18" t="str">
        <f t="shared" si="4"/>
        <v/>
      </c>
      <c r="J68" s="17">
        <f t="shared" si="5"/>
        <v>-3</v>
      </c>
      <c r="K68" s="17">
        <f t="shared" si="6"/>
        <v>-30</v>
      </c>
      <c r="L68" s="17"/>
      <c r="M68" s="19">
        <f t="shared" si="2"/>
        <v>0</v>
      </c>
    </row>
    <row r="69" spans="1:13">
      <c r="A69" s="43"/>
      <c r="B69" s="35"/>
      <c r="G69" s="5"/>
      <c r="H69" s="17">
        <v>64</v>
      </c>
      <c r="I69" s="18" t="str">
        <f t="shared" si="4"/>
        <v/>
      </c>
      <c r="J69" s="17">
        <f t="shared" si="5"/>
        <v>-3</v>
      </c>
      <c r="K69" s="17">
        <f t="shared" si="6"/>
        <v>-30</v>
      </c>
      <c r="L69" s="17"/>
      <c r="M69" s="19">
        <f t="shared" si="2"/>
        <v>0</v>
      </c>
    </row>
    <row r="70" spans="1:13">
      <c r="A70" s="43"/>
      <c r="G70" s="5"/>
      <c r="H70" s="17">
        <v>65</v>
      </c>
      <c r="I70" s="18" t="str">
        <f t="shared" ref="I70:I133" si="8">IF(H70&lt;$H$2+1,($I$2-($I$2-1)*(LOG(H70)/LOG($H$2))),"")</f>
        <v/>
      </c>
      <c r="J70" s="17">
        <f t="shared" si="5"/>
        <v>-4</v>
      </c>
      <c r="K70" s="17">
        <f t="shared" ref="K70:K133" si="9">J70*$J$2</f>
        <v>-40</v>
      </c>
      <c r="L70" s="17"/>
      <c r="M70" s="19">
        <f t="shared" ref="M70:M133" si="10">IF(I70&lt;&gt;"",K70+I70+L70,0)</f>
        <v>0</v>
      </c>
    </row>
    <row r="71" spans="1:13">
      <c r="A71" s="43"/>
      <c r="G71" s="5"/>
      <c r="H71" s="17">
        <v>66</v>
      </c>
      <c r="I71" s="18" t="str">
        <f t="shared" si="8"/>
        <v/>
      </c>
      <c r="J71" s="17">
        <f t="shared" ref="J71:J134" si="11">INT(LOG($H$2,2))-ROUNDUP(LOG(H71,2),0)+IF(OR($H$2=1,$H$2=2,$H$2=4,$H$2=8,$H$2=16,$H$2=32,$H$2=64,$H$2=128,$H$2=256),0,1)</f>
        <v>-4</v>
      </c>
      <c r="K71" s="17">
        <f t="shared" si="9"/>
        <v>-40</v>
      </c>
      <c r="L71" s="17"/>
      <c r="M71" s="19">
        <f t="shared" si="10"/>
        <v>0</v>
      </c>
    </row>
    <row r="72" spans="1:13">
      <c r="A72" s="43"/>
      <c r="G72" s="5"/>
      <c r="H72" s="17">
        <v>67</v>
      </c>
      <c r="I72" s="18" t="str">
        <f t="shared" si="8"/>
        <v/>
      </c>
      <c r="J72" s="17">
        <f t="shared" si="11"/>
        <v>-4</v>
      </c>
      <c r="K72" s="17">
        <f t="shared" si="9"/>
        <v>-40</v>
      </c>
      <c r="L72" s="17"/>
      <c r="M72" s="19">
        <f t="shared" si="10"/>
        <v>0</v>
      </c>
    </row>
    <row r="73" spans="1:13">
      <c r="A73" s="43"/>
      <c r="G73" s="5"/>
      <c r="H73" s="17">
        <v>68</v>
      </c>
      <c r="I73" s="18" t="str">
        <f t="shared" si="8"/>
        <v/>
      </c>
      <c r="J73" s="17">
        <f t="shared" si="11"/>
        <v>-4</v>
      </c>
      <c r="K73" s="17">
        <f t="shared" si="9"/>
        <v>-40</v>
      </c>
      <c r="L73" s="17"/>
      <c r="M73" s="19">
        <f t="shared" si="10"/>
        <v>0</v>
      </c>
    </row>
    <row r="74" spans="1:13">
      <c r="A74" s="43"/>
      <c r="G74" s="5"/>
      <c r="H74" s="17">
        <v>69</v>
      </c>
      <c r="I74" s="18" t="str">
        <f t="shared" si="8"/>
        <v/>
      </c>
      <c r="J74" s="17">
        <f t="shared" si="11"/>
        <v>-4</v>
      </c>
      <c r="K74" s="17">
        <f t="shared" si="9"/>
        <v>-40</v>
      </c>
      <c r="L74" s="17"/>
      <c r="M74" s="19">
        <f t="shared" si="10"/>
        <v>0</v>
      </c>
    </row>
    <row r="75" spans="1:13">
      <c r="A75" s="43"/>
      <c r="G75" s="5"/>
      <c r="H75" s="17">
        <v>70</v>
      </c>
      <c r="I75" s="18" t="str">
        <f t="shared" si="8"/>
        <v/>
      </c>
      <c r="J75" s="17">
        <f t="shared" si="11"/>
        <v>-4</v>
      </c>
      <c r="K75" s="17">
        <f t="shared" si="9"/>
        <v>-40</v>
      </c>
      <c r="L75" s="17"/>
      <c r="M75" s="19">
        <f t="shared" si="10"/>
        <v>0</v>
      </c>
    </row>
    <row r="76" spans="1:13">
      <c r="A76" s="43"/>
      <c r="G76" s="5"/>
      <c r="H76" s="17">
        <v>71</v>
      </c>
      <c r="I76" s="18" t="str">
        <f t="shared" si="8"/>
        <v/>
      </c>
      <c r="J76" s="17">
        <f t="shared" si="11"/>
        <v>-4</v>
      </c>
      <c r="K76" s="17">
        <f t="shared" si="9"/>
        <v>-40</v>
      </c>
      <c r="L76" s="17"/>
      <c r="M76" s="19">
        <f t="shared" si="10"/>
        <v>0</v>
      </c>
    </row>
    <row r="77" spans="1:13">
      <c r="A77" s="43"/>
      <c r="G77" s="5"/>
      <c r="H77" s="17">
        <v>72</v>
      </c>
      <c r="I77" s="18" t="str">
        <f t="shared" si="8"/>
        <v/>
      </c>
      <c r="J77" s="17">
        <f t="shared" si="11"/>
        <v>-4</v>
      </c>
      <c r="K77" s="17">
        <f t="shared" si="9"/>
        <v>-40</v>
      </c>
      <c r="L77" s="17"/>
      <c r="M77" s="19">
        <f t="shared" si="10"/>
        <v>0</v>
      </c>
    </row>
    <row r="78" spans="1:13">
      <c r="A78" s="43"/>
      <c r="G78" s="5"/>
      <c r="H78" s="17">
        <v>73</v>
      </c>
      <c r="I78" s="18" t="str">
        <f t="shared" si="8"/>
        <v/>
      </c>
      <c r="J78" s="17">
        <f t="shared" si="11"/>
        <v>-4</v>
      </c>
      <c r="K78" s="17">
        <f t="shared" si="9"/>
        <v>-40</v>
      </c>
      <c r="L78" s="17"/>
      <c r="M78" s="19">
        <f t="shared" si="10"/>
        <v>0</v>
      </c>
    </row>
    <row r="79" spans="1:13">
      <c r="A79" s="43"/>
      <c r="G79" s="5"/>
      <c r="H79" s="17">
        <v>74</v>
      </c>
      <c r="I79" s="18" t="str">
        <f t="shared" si="8"/>
        <v/>
      </c>
      <c r="J79" s="17">
        <f t="shared" si="11"/>
        <v>-4</v>
      </c>
      <c r="K79" s="17">
        <f t="shared" si="9"/>
        <v>-40</v>
      </c>
      <c r="L79" s="17"/>
      <c r="M79" s="19">
        <f t="shared" si="10"/>
        <v>0</v>
      </c>
    </row>
    <row r="80" spans="1:13">
      <c r="A80" s="43"/>
      <c r="G80" s="5"/>
      <c r="H80" s="17">
        <v>75</v>
      </c>
      <c r="I80" s="18" t="str">
        <f t="shared" si="8"/>
        <v/>
      </c>
      <c r="J80" s="17">
        <f t="shared" si="11"/>
        <v>-4</v>
      </c>
      <c r="K80" s="17">
        <f t="shared" si="9"/>
        <v>-40</v>
      </c>
      <c r="L80" s="17"/>
      <c r="M80" s="19">
        <f t="shared" si="10"/>
        <v>0</v>
      </c>
    </row>
    <row r="81" spans="1:13">
      <c r="A81" s="43"/>
      <c r="G81" s="5"/>
      <c r="H81" s="17">
        <v>76</v>
      </c>
      <c r="I81" s="18" t="str">
        <f t="shared" si="8"/>
        <v/>
      </c>
      <c r="J81" s="17">
        <f t="shared" si="11"/>
        <v>-4</v>
      </c>
      <c r="K81" s="17">
        <f t="shared" si="9"/>
        <v>-40</v>
      </c>
      <c r="L81" s="17"/>
      <c r="M81" s="19">
        <f t="shared" si="10"/>
        <v>0</v>
      </c>
    </row>
    <row r="82" spans="1:13">
      <c r="A82" s="43"/>
      <c r="G82" s="5"/>
      <c r="H82" s="17">
        <v>77</v>
      </c>
      <c r="I82" s="18" t="str">
        <f t="shared" si="8"/>
        <v/>
      </c>
      <c r="J82" s="17">
        <f t="shared" si="11"/>
        <v>-4</v>
      </c>
      <c r="K82" s="17">
        <f t="shared" si="9"/>
        <v>-40</v>
      </c>
      <c r="L82" s="17"/>
      <c r="M82" s="19">
        <f t="shared" si="10"/>
        <v>0</v>
      </c>
    </row>
    <row r="83" spans="1:13">
      <c r="A83" s="43"/>
      <c r="G83" s="5"/>
      <c r="H83" s="17">
        <v>78</v>
      </c>
      <c r="I83" s="18" t="str">
        <f t="shared" si="8"/>
        <v/>
      </c>
      <c r="J83" s="17">
        <f t="shared" si="11"/>
        <v>-4</v>
      </c>
      <c r="K83" s="17">
        <f t="shared" si="9"/>
        <v>-40</v>
      </c>
      <c r="L83" s="17"/>
      <c r="M83" s="19">
        <f t="shared" si="10"/>
        <v>0</v>
      </c>
    </row>
    <row r="84" spans="1:13">
      <c r="A84" s="43"/>
      <c r="G84" s="5"/>
      <c r="H84" s="17">
        <v>79</v>
      </c>
      <c r="I84" s="18" t="str">
        <f t="shared" si="8"/>
        <v/>
      </c>
      <c r="J84" s="17">
        <f t="shared" si="11"/>
        <v>-4</v>
      </c>
      <c r="K84" s="17">
        <f t="shared" si="9"/>
        <v>-40</v>
      </c>
      <c r="L84" s="17"/>
      <c r="M84" s="19">
        <f t="shared" si="10"/>
        <v>0</v>
      </c>
    </row>
    <row r="85" spans="1:13">
      <c r="A85" s="43"/>
      <c r="G85" s="5"/>
      <c r="H85" s="17">
        <v>80</v>
      </c>
      <c r="I85" s="18" t="str">
        <f t="shared" si="8"/>
        <v/>
      </c>
      <c r="J85" s="17">
        <f t="shared" si="11"/>
        <v>-4</v>
      </c>
      <c r="K85" s="17">
        <f t="shared" si="9"/>
        <v>-40</v>
      </c>
      <c r="L85" s="17"/>
      <c r="M85" s="19">
        <f t="shared" si="10"/>
        <v>0</v>
      </c>
    </row>
    <row r="86" spans="1:13">
      <c r="A86" s="43"/>
      <c r="G86" s="5"/>
      <c r="H86" s="17">
        <v>81</v>
      </c>
      <c r="I86" s="18" t="str">
        <f t="shared" si="8"/>
        <v/>
      </c>
      <c r="J86" s="17">
        <f t="shared" si="11"/>
        <v>-4</v>
      </c>
      <c r="K86" s="17">
        <f t="shared" si="9"/>
        <v>-40</v>
      </c>
      <c r="L86" s="17"/>
      <c r="M86" s="19">
        <f t="shared" si="10"/>
        <v>0</v>
      </c>
    </row>
    <row r="87" spans="1:13">
      <c r="A87" s="43"/>
      <c r="G87" s="5"/>
      <c r="H87" s="17">
        <v>82</v>
      </c>
      <c r="I87" s="18" t="str">
        <f t="shared" si="8"/>
        <v/>
      </c>
      <c r="J87" s="17">
        <f t="shared" si="11"/>
        <v>-4</v>
      </c>
      <c r="K87" s="17">
        <f t="shared" si="9"/>
        <v>-40</v>
      </c>
      <c r="L87" s="17"/>
      <c r="M87" s="19">
        <f t="shared" si="10"/>
        <v>0</v>
      </c>
    </row>
    <row r="88" spans="1:13">
      <c r="A88" s="43"/>
      <c r="G88" s="5"/>
      <c r="H88" s="17">
        <v>83</v>
      </c>
      <c r="I88" s="18" t="str">
        <f t="shared" si="8"/>
        <v/>
      </c>
      <c r="J88" s="17">
        <f t="shared" si="11"/>
        <v>-4</v>
      </c>
      <c r="K88" s="17">
        <f t="shared" si="9"/>
        <v>-40</v>
      </c>
      <c r="L88" s="17"/>
      <c r="M88" s="19">
        <f t="shared" si="10"/>
        <v>0</v>
      </c>
    </row>
    <row r="89" spans="1:13">
      <c r="A89" s="43"/>
      <c r="G89" s="5"/>
      <c r="H89" s="17">
        <v>84</v>
      </c>
      <c r="I89" s="18" t="str">
        <f t="shared" si="8"/>
        <v/>
      </c>
      <c r="J89" s="17">
        <f t="shared" si="11"/>
        <v>-4</v>
      </c>
      <c r="K89" s="17">
        <f t="shared" si="9"/>
        <v>-40</v>
      </c>
      <c r="L89" s="17"/>
      <c r="M89" s="19">
        <f t="shared" si="10"/>
        <v>0</v>
      </c>
    </row>
    <row r="90" spans="1:13">
      <c r="A90" s="43"/>
      <c r="G90" s="5"/>
      <c r="H90" s="17">
        <v>85</v>
      </c>
      <c r="I90" s="18" t="str">
        <f t="shared" si="8"/>
        <v/>
      </c>
      <c r="J90" s="17">
        <f t="shared" si="11"/>
        <v>-4</v>
      </c>
      <c r="K90" s="17">
        <f t="shared" si="9"/>
        <v>-40</v>
      </c>
      <c r="L90" s="17"/>
      <c r="M90" s="19">
        <f t="shared" si="10"/>
        <v>0</v>
      </c>
    </row>
    <row r="91" spans="1:13">
      <c r="A91" s="43"/>
      <c r="G91" s="5"/>
      <c r="H91" s="17">
        <v>86</v>
      </c>
      <c r="I91" s="18" t="str">
        <f t="shared" si="8"/>
        <v/>
      </c>
      <c r="J91" s="17">
        <f t="shared" si="11"/>
        <v>-4</v>
      </c>
      <c r="K91" s="17">
        <f t="shared" si="9"/>
        <v>-40</v>
      </c>
      <c r="L91" s="17"/>
      <c r="M91" s="19">
        <f t="shared" si="10"/>
        <v>0</v>
      </c>
    </row>
    <row r="92" spans="1:13">
      <c r="A92" s="43"/>
      <c r="G92" s="5"/>
      <c r="H92" s="17">
        <v>87</v>
      </c>
      <c r="I92" s="18" t="str">
        <f t="shared" si="8"/>
        <v/>
      </c>
      <c r="J92" s="17">
        <f t="shared" si="11"/>
        <v>-4</v>
      </c>
      <c r="K92" s="17">
        <f t="shared" si="9"/>
        <v>-40</v>
      </c>
      <c r="L92" s="17"/>
      <c r="M92" s="19">
        <f t="shared" si="10"/>
        <v>0</v>
      </c>
    </row>
    <row r="93" spans="1:13">
      <c r="A93" s="43"/>
      <c r="G93" s="5"/>
      <c r="H93" s="17">
        <v>88</v>
      </c>
      <c r="I93" s="18" t="str">
        <f t="shared" si="8"/>
        <v/>
      </c>
      <c r="J93" s="17">
        <f t="shared" si="11"/>
        <v>-4</v>
      </c>
      <c r="K93" s="17">
        <f t="shared" si="9"/>
        <v>-40</v>
      </c>
      <c r="L93" s="17"/>
      <c r="M93" s="19">
        <f t="shared" si="10"/>
        <v>0</v>
      </c>
    </row>
    <row r="94" spans="1:13">
      <c r="A94" s="43"/>
      <c r="G94" s="5"/>
      <c r="H94" s="17">
        <v>89</v>
      </c>
      <c r="I94" s="18" t="str">
        <f t="shared" si="8"/>
        <v/>
      </c>
      <c r="J94" s="17">
        <f t="shared" si="11"/>
        <v>-4</v>
      </c>
      <c r="K94" s="17">
        <f t="shared" si="9"/>
        <v>-40</v>
      </c>
      <c r="L94" s="17"/>
      <c r="M94" s="19">
        <f t="shared" si="10"/>
        <v>0</v>
      </c>
    </row>
    <row r="95" spans="1:13">
      <c r="A95" s="43"/>
      <c r="G95" s="5"/>
      <c r="H95" s="17">
        <v>90</v>
      </c>
      <c r="I95" s="18" t="str">
        <f t="shared" si="8"/>
        <v/>
      </c>
      <c r="J95" s="17">
        <f t="shared" si="11"/>
        <v>-4</v>
      </c>
      <c r="K95" s="17">
        <f t="shared" si="9"/>
        <v>-40</v>
      </c>
      <c r="L95" s="17"/>
      <c r="M95" s="19">
        <f t="shared" si="10"/>
        <v>0</v>
      </c>
    </row>
    <row r="96" spans="1:13">
      <c r="A96" s="43"/>
      <c r="G96" s="5"/>
      <c r="H96" s="17">
        <v>91</v>
      </c>
      <c r="I96" s="18" t="str">
        <f t="shared" si="8"/>
        <v/>
      </c>
      <c r="J96" s="17">
        <f t="shared" si="11"/>
        <v>-4</v>
      </c>
      <c r="K96" s="17">
        <f t="shared" si="9"/>
        <v>-40</v>
      </c>
      <c r="L96" s="17"/>
      <c r="M96" s="19">
        <f t="shared" si="10"/>
        <v>0</v>
      </c>
    </row>
    <row r="97" spans="1:13">
      <c r="A97" s="43"/>
      <c r="G97" s="5"/>
      <c r="H97" s="17">
        <v>92</v>
      </c>
      <c r="I97" s="18" t="str">
        <f t="shared" si="8"/>
        <v/>
      </c>
      <c r="J97" s="17">
        <f t="shared" si="11"/>
        <v>-4</v>
      </c>
      <c r="K97" s="17">
        <f t="shared" si="9"/>
        <v>-40</v>
      </c>
      <c r="L97" s="17"/>
      <c r="M97" s="19">
        <f t="shared" si="10"/>
        <v>0</v>
      </c>
    </row>
    <row r="98" spans="1:13">
      <c r="A98" s="43"/>
      <c r="G98" s="5"/>
      <c r="H98" s="17">
        <v>93</v>
      </c>
      <c r="I98" s="18" t="str">
        <f t="shared" si="8"/>
        <v/>
      </c>
      <c r="J98" s="17">
        <f t="shared" si="11"/>
        <v>-4</v>
      </c>
      <c r="K98" s="17">
        <f t="shared" si="9"/>
        <v>-40</v>
      </c>
      <c r="L98" s="17"/>
      <c r="M98" s="19">
        <f t="shared" si="10"/>
        <v>0</v>
      </c>
    </row>
    <row r="99" spans="1:13">
      <c r="A99" s="43"/>
      <c r="G99" s="5"/>
      <c r="H99" s="17">
        <v>94</v>
      </c>
      <c r="I99" s="18" t="str">
        <f t="shared" si="8"/>
        <v/>
      </c>
      <c r="J99" s="17">
        <f t="shared" si="11"/>
        <v>-4</v>
      </c>
      <c r="K99" s="17">
        <f t="shared" si="9"/>
        <v>-40</v>
      </c>
      <c r="L99" s="17"/>
      <c r="M99" s="19">
        <f t="shared" si="10"/>
        <v>0</v>
      </c>
    </row>
    <row r="100" spans="1:13">
      <c r="A100" s="43"/>
      <c r="G100" s="5"/>
      <c r="H100" s="17">
        <v>95</v>
      </c>
      <c r="I100" s="18" t="str">
        <f t="shared" si="8"/>
        <v/>
      </c>
      <c r="J100" s="17">
        <f t="shared" si="11"/>
        <v>-4</v>
      </c>
      <c r="K100" s="17">
        <f t="shared" si="9"/>
        <v>-40</v>
      </c>
      <c r="L100" s="17"/>
      <c r="M100" s="19">
        <f t="shared" si="10"/>
        <v>0</v>
      </c>
    </row>
    <row r="101" spans="1:13">
      <c r="A101" s="43"/>
      <c r="G101" s="5"/>
      <c r="H101" s="17">
        <v>96</v>
      </c>
      <c r="I101" s="18" t="str">
        <f t="shared" si="8"/>
        <v/>
      </c>
      <c r="J101" s="17">
        <f t="shared" si="11"/>
        <v>-4</v>
      </c>
      <c r="K101" s="17">
        <f t="shared" si="9"/>
        <v>-40</v>
      </c>
      <c r="L101" s="17"/>
      <c r="M101" s="19">
        <f t="shared" si="10"/>
        <v>0</v>
      </c>
    </row>
    <row r="102" spans="1:13">
      <c r="A102" s="43"/>
      <c r="G102" s="5"/>
      <c r="H102" s="17">
        <v>97</v>
      </c>
      <c r="I102" s="18" t="str">
        <f t="shared" si="8"/>
        <v/>
      </c>
      <c r="J102" s="17">
        <f t="shared" si="11"/>
        <v>-4</v>
      </c>
      <c r="K102" s="17">
        <f t="shared" si="9"/>
        <v>-40</v>
      </c>
      <c r="L102" s="17"/>
      <c r="M102" s="19">
        <f t="shared" si="10"/>
        <v>0</v>
      </c>
    </row>
    <row r="103" spans="1:13">
      <c r="A103" s="43"/>
      <c r="G103" s="5"/>
      <c r="H103" s="17">
        <v>98</v>
      </c>
      <c r="I103" s="18" t="str">
        <f t="shared" si="8"/>
        <v/>
      </c>
      <c r="J103" s="17">
        <f t="shared" si="11"/>
        <v>-4</v>
      </c>
      <c r="K103" s="17">
        <f t="shared" si="9"/>
        <v>-40</v>
      </c>
      <c r="L103" s="17"/>
      <c r="M103" s="19">
        <f t="shared" si="10"/>
        <v>0</v>
      </c>
    </row>
    <row r="104" spans="1:13">
      <c r="A104" s="43"/>
      <c r="G104" s="5"/>
      <c r="H104" s="17">
        <v>99</v>
      </c>
      <c r="I104" s="18" t="str">
        <f t="shared" si="8"/>
        <v/>
      </c>
      <c r="J104" s="17">
        <f t="shared" si="11"/>
        <v>-4</v>
      </c>
      <c r="K104" s="17">
        <f t="shared" si="9"/>
        <v>-40</v>
      </c>
      <c r="L104" s="17"/>
      <c r="M104" s="19">
        <f t="shared" si="10"/>
        <v>0</v>
      </c>
    </row>
    <row r="105" spans="1:13">
      <c r="A105" s="43"/>
      <c r="G105" s="5"/>
      <c r="H105" s="17">
        <v>100</v>
      </c>
      <c r="I105" s="18" t="str">
        <f t="shared" si="8"/>
        <v/>
      </c>
      <c r="J105" s="17">
        <f t="shared" si="11"/>
        <v>-4</v>
      </c>
      <c r="K105" s="17">
        <f t="shared" si="9"/>
        <v>-40</v>
      </c>
      <c r="L105" s="17"/>
      <c r="M105" s="19">
        <f t="shared" si="10"/>
        <v>0</v>
      </c>
    </row>
    <row r="106" spans="1:13">
      <c r="A106" s="43"/>
      <c r="G106" s="5"/>
      <c r="H106" s="17">
        <v>101</v>
      </c>
      <c r="I106" s="18" t="str">
        <f t="shared" si="8"/>
        <v/>
      </c>
      <c r="J106" s="17">
        <f t="shared" si="11"/>
        <v>-4</v>
      </c>
      <c r="K106" s="17">
        <f t="shared" si="9"/>
        <v>-40</v>
      </c>
      <c r="L106" s="17"/>
      <c r="M106" s="19">
        <f t="shared" si="10"/>
        <v>0</v>
      </c>
    </row>
    <row r="107" spans="1:13">
      <c r="A107" s="43"/>
      <c r="G107" s="5"/>
      <c r="H107" s="17">
        <v>102</v>
      </c>
      <c r="I107" s="18" t="str">
        <f t="shared" si="8"/>
        <v/>
      </c>
      <c r="J107" s="17">
        <f t="shared" si="11"/>
        <v>-4</v>
      </c>
      <c r="K107" s="17">
        <f t="shared" si="9"/>
        <v>-40</v>
      </c>
      <c r="L107" s="17"/>
      <c r="M107" s="19">
        <f t="shared" si="10"/>
        <v>0</v>
      </c>
    </row>
    <row r="108" spans="1:13">
      <c r="A108" s="43"/>
      <c r="G108" s="5"/>
      <c r="H108" s="17">
        <v>103</v>
      </c>
      <c r="I108" s="18" t="str">
        <f t="shared" si="8"/>
        <v/>
      </c>
      <c r="J108" s="17">
        <f t="shared" si="11"/>
        <v>-4</v>
      </c>
      <c r="K108" s="17">
        <f t="shared" si="9"/>
        <v>-40</v>
      </c>
      <c r="L108" s="17"/>
      <c r="M108" s="19">
        <f t="shared" si="10"/>
        <v>0</v>
      </c>
    </row>
    <row r="109" spans="1:13">
      <c r="A109" s="43"/>
      <c r="G109" s="5"/>
      <c r="H109" s="17">
        <v>104</v>
      </c>
      <c r="I109" s="18" t="str">
        <f t="shared" si="8"/>
        <v/>
      </c>
      <c r="J109" s="17">
        <f t="shared" si="11"/>
        <v>-4</v>
      </c>
      <c r="K109" s="17">
        <f t="shared" si="9"/>
        <v>-40</v>
      </c>
      <c r="L109" s="17"/>
      <c r="M109" s="19">
        <f t="shared" si="10"/>
        <v>0</v>
      </c>
    </row>
    <row r="110" spans="1:13">
      <c r="A110" s="43"/>
      <c r="G110" s="5"/>
      <c r="H110" s="17">
        <v>105</v>
      </c>
      <c r="I110" s="18" t="str">
        <f t="shared" si="8"/>
        <v/>
      </c>
      <c r="J110" s="17">
        <f t="shared" si="11"/>
        <v>-4</v>
      </c>
      <c r="K110" s="17">
        <f t="shared" si="9"/>
        <v>-40</v>
      </c>
      <c r="L110" s="17"/>
      <c r="M110" s="19">
        <f t="shared" si="10"/>
        <v>0</v>
      </c>
    </row>
    <row r="111" spans="1:13">
      <c r="A111" s="43"/>
      <c r="G111" s="5"/>
      <c r="H111" s="17">
        <v>106</v>
      </c>
      <c r="I111" s="18" t="str">
        <f t="shared" si="8"/>
        <v/>
      </c>
      <c r="J111" s="17">
        <f t="shared" si="11"/>
        <v>-4</v>
      </c>
      <c r="K111" s="17">
        <f t="shared" si="9"/>
        <v>-40</v>
      </c>
      <c r="L111" s="17"/>
      <c r="M111" s="19">
        <f t="shared" si="10"/>
        <v>0</v>
      </c>
    </row>
    <row r="112" spans="1:13">
      <c r="A112" s="43"/>
      <c r="G112" s="5"/>
      <c r="H112" s="17">
        <v>107</v>
      </c>
      <c r="I112" s="18" t="str">
        <f t="shared" si="8"/>
        <v/>
      </c>
      <c r="J112" s="17">
        <f t="shared" si="11"/>
        <v>-4</v>
      </c>
      <c r="K112" s="17">
        <f t="shared" si="9"/>
        <v>-40</v>
      </c>
      <c r="L112" s="17"/>
      <c r="M112" s="19">
        <f t="shared" si="10"/>
        <v>0</v>
      </c>
    </row>
    <row r="113" spans="1:13">
      <c r="A113" s="43"/>
      <c r="G113" s="5"/>
      <c r="H113" s="17">
        <v>108</v>
      </c>
      <c r="I113" s="18" t="str">
        <f t="shared" si="8"/>
        <v/>
      </c>
      <c r="J113" s="17">
        <f t="shared" si="11"/>
        <v>-4</v>
      </c>
      <c r="K113" s="17">
        <f t="shared" si="9"/>
        <v>-40</v>
      </c>
      <c r="L113" s="17"/>
      <c r="M113" s="19">
        <f t="shared" si="10"/>
        <v>0</v>
      </c>
    </row>
    <row r="114" spans="1:13">
      <c r="A114" s="43"/>
      <c r="G114" s="5"/>
      <c r="H114" s="17">
        <v>109</v>
      </c>
      <c r="I114" s="18" t="str">
        <f t="shared" si="8"/>
        <v/>
      </c>
      <c r="J114" s="17">
        <f t="shared" si="11"/>
        <v>-4</v>
      </c>
      <c r="K114" s="17">
        <f t="shared" si="9"/>
        <v>-40</v>
      </c>
      <c r="L114" s="17"/>
      <c r="M114" s="19">
        <f t="shared" si="10"/>
        <v>0</v>
      </c>
    </row>
    <row r="115" spans="1:13">
      <c r="A115" s="43"/>
      <c r="G115" s="5"/>
      <c r="H115" s="17">
        <v>110</v>
      </c>
      <c r="I115" s="18" t="str">
        <f t="shared" si="8"/>
        <v/>
      </c>
      <c r="J115" s="17">
        <f t="shared" si="11"/>
        <v>-4</v>
      </c>
      <c r="K115" s="17">
        <f t="shared" si="9"/>
        <v>-40</v>
      </c>
      <c r="L115" s="17"/>
      <c r="M115" s="19">
        <f t="shared" si="10"/>
        <v>0</v>
      </c>
    </row>
    <row r="116" spans="1:13">
      <c r="A116" s="43"/>
      <c r="G116" s="5"/>
      <c r="H116" s="17">
        <v>111</v>
      </c>
      <c r="I116" s="18" t="str">
        <f t="shared" si="8"/>
        <v/>
      </c>
      <c r="J116" s="17">
        <f t="shared" si="11"/>
        <v>-4</v>
      </c>
      <c r="K116" s="17">
        <f t="shared" si="9"/>
        <v>-40</v>
      </c>
      <c r="L116" s="17"/>
      <c r="M116" s="19">
        <f t="shared" si="10"/>
        <v>0</v>
      </c>
    </row>
    <row r="117" spans="1:13">
      <c r="A117" s="43"/>
      <c r="G117" s="5"/>
      <c r="H117" s="17">
        <v>112</v>
      </c>
      <c r="I117" s="18" t="str">
        <f t="shared" si="8"/>
        <v/>
      </c>
      <c r="J117" s="17">
        <f t="shared" si="11"/>
        <v>-4</v>
      </c>
      <c r="K117" s="17">
        <f t="shared" si="9"/>
        <v>-40</v>
      </c>
      <c r="L117" s="17"/>
      <c r="M117" s="19">
        <f t="shared" si="10"/>
        <v>0</v>
      </c>
    </row>
    <row r="118" spans="1:13">
      <c r="A118" s="43"/>
      <c r="G118" s="5"/>
      <c r="H118" s="17">
        <v>113</v>
      </c>
      <c r="I118" s="18" t="str">
        <f t="shared" si="8"/>
        <v/>
      </c>
      <c r="J118" s="17">
        <f t="shared" si="11"/>
        <v>-4</v>
      </c>
      <c r="K118" s="17">
        <f t="shared" si="9"/>
        <v>-40</v>
      </c>
      <c r="L118" s="17"/>
      <c r="M118" s="19">
        <f t="shared" si="10"/>
        <v>0</v>
      </c>
    </row>
    <row r="119" spans="1:13">
      <c r="A119" s="43"/>
      <c r="G119" s="5"/>
      <c r="H119" s="17">
        <v>114</v>
      </c>
      <c r="I119" s="18" t="str">
        <f t="shared" si="8"/>
        <v/>
      </c>
      <c r="J119" s="17">
        <f t="shared" si="11"/>
        <v>-4</v>
      </c>
      <c r="K119" s="17">
        <f t="shared" si="9"/>
        <v>-40</v>
      </c>
      <c r="L119" s="17"/>
      <c r="M119" s="19">
        <f t="shared" si="10"/>
        <v>0</v>
      </c>
    </row>
    <row r="120" spans="1:13">
      <c r="A120" s="43"/>
      <c r="G120" s="5"/>
      <c r="H120" s="17">
        <v>115</v>
      </c>
      <c r="I120" s="18" t="str">
        <f t="shared" si="8"/>
        <v/>
      </c>
      <c r="J120" s="17">
        <f t="shared" si="11"/>
        <v>-4</v>
      </c>
      <c r="K120" s="17">
        <f t="shared" si="9"/>
        <v>-40</v>
      </c>
      <c r="L120" s="17"/>
      <c r="M120" s="19">
        <f t="shared" si="10"/>
        <v>0</v>
      </c>
    </row>
    <row r="121" spans="1:13">
      <c r="A121" s="43"/>
      <c r="G121" s="5"/>
      <c r="H121" s="17">
        <v>116</v>
      </c>
      <c r="I121" s="18" t="str">
        <f t="shared" si="8"/>
        <v/>
      </c>
      <c r="J121" s="17">
        <f t="shared" si="11"/>
        <v>-4</v>
      </c>
      <c r="K121" s="17">
        <f t="shared" si="9"/>
        <v>-40</v>
      </c>
      <c r="L121" s="17"/>
      <c r="M121" s="19">
        <f t="shared" si="10"/>
        <v>0</v>
      </c>
    </row>
    <row r="122" spans="1:13">
      <c r="A122" s="43"/>
      <c r="G122" s="5"/>
      <c r="H122" s="17">
        <v>117</v>
      </c>
      <c r="I122" s="18" t="str">
        <f t="shared" si="8"/>
        <v/>
      </c>
      <c r="J122" s="17">
        <f t="shared" si="11"/>
        <v>-4</v>
      </c>
      <c r="K122" s="17">
        <f t="shared" si="9"/>
        <v>-40</v>
      </c>
      <c r="L122" s="17"/>
      <c r="M122" s="19">
        <f t="shared" si="10"/>
        <v>0</v>
      </c>
    </row>
    <row r="123" spans="1:13">
      <c r="A123" s="43"/>
      <c r="G123" s="5"/>
      <c r="H123" s="17">
        <v>118</v>
      </c>
      <c r="I123" s="18" t="str">
        <f t="shared" si="8"/>
        <v/>
      </c>
      <c r="J123" s="17">
        <f t="shared" si="11"/>
        <v>-4</v>
      </c>
      <c r="K123" s="17">
        <f t="shared" si="9"/>
        <v>-40</v>
      </c>
      <c r="L123" s="17"/>
      <c r="M123" s="19">
        <f t="shared" si="10"/>
        <v>0</v>
      </c>
    </row>
    <row r="124" spans="1:13">
      <c r="A124" s="43"/>
      <c r="G124" s="5"/>
      <c r="H124" s="17">
        <v>119</v>
      </c>
      <c r="I124" s="18" t="str">
        <f t="shared" si="8"/>
        <v/>
      </c>
      <c r="J124" s="17">
        <f t="shared" si="11"/>
        <v>-4</v>
      </c>
      <c r="K124" s="17">
        <f t="shared" si="9"/>
        <v>-40</v>
      </c>
      <c r="L124" s="17"/>
      <c r="M124" s="19">
        <f t="shared" si="10"/>
        <v>0</v>
      </c>
    </row>
    <row r="125" spans="1:13">
      <c r="A125" s="43"/>
      <c r="G125" s="5"/>
      <c r="H125" s="17">
        <v>120</v>
      </c>
      <c r="I125" s="18" t="str">
        <f t="shared" si="8"/>
        <v/>
      </c>
      <c r="J125" s="17">
        <f t="shared" si="11"/>
        <v>-4</v>
      </c>
      <c r="K125" s="17">
        <f t="shared" si="9"/>
        <v>-40</v>
      </c>
      <c r="L125" s="17"/>
      <c r="M125" s="19">
        <f t="shared" si="10"/>
        <v>0</v>
      </c>
    </row>
    <row r="126" spans="1:13">
      <c r="A126" s="43"/>
      <c r="G126" s="5"/>
      <c r="H126" s="17">
        <v>121</v>
      </c>
      <c r="I126" s="18" t="str">
        <f t="shared" si="8"/>
        <v/>
      </c>
      <c r="J126" s="17">
        <f t="shared" si="11"/>
        <v>-4</v>
      </c>
      <c r="K126" s="17">
        <f t="shared" si="9"/>
        <v>-40</v>
      </c>
      <c r="L126" s="17"/>
      <c r="M126" s="19">
        <f t="shared" si="10"/>
        <v>0</v>
      </c>
    </row>
    <row r="127" spans="1:13">
      <c r="A127" s="43"/>
      <c r="G127" s="5"/>
      <c r="H127" s="17">
        <v>122</v>
      </c>
      <c r="I127" s="18" t="str">
        <f t="shared" si="8"/>
        <v/>
      </c>
      <c r="J127" s="17">
        <f t="shared" si="11"/>
        <v>-4</v>
      </c>
      <c r="K127" s="17">
        <f t="shared" si="9"/>
        <v>-40</v>
      </c>
      <c r="L127" s="17"/>
      <c r="M127" s="19">
        <f t="shared" si="10"/>
        <v>0</v>
      </c>
    </row>
    <row r="128" spans="1:13">
      <c r="A128" s="43"/>
      <c r="G128" s="5"/>
      <c r="H128" s="17">
        <v>123</v>
      </c>
      <c r="I128" s="18" t="str">
        <f t="shared" si="8"/>
        <v/>
      </c>
      <c r="J128" s="17">
        <f t="shared" si="11"/>
        <v>-4</v>
      </c>
      <c r="K128" s="17">
        <f t="shared" si="9"/>
        <v>-40</v>
      </c>
      <c r="L128" s="17"/>
      <c r="M128" s="19">
        <f t="shared" si="10"/>
        <v>0</v>
      </c>
    </row>
    <row r="129" spans="1:13">
      <c r="A129" s="43"/>
      <c r="G129" s="5"/>
      <c r="H129" s="17">
        <v>124</v>
      </c>
      <c r="I129" s="18" t="str">
        <f t="shared" si="8"/>
        <v/>
      </c>
      <c r="J129" s="17">
        <f t="shared" si="11"/>
        <v>-4</v>
      </c>
      <c r="K129" s="17">
        <f t="shared" si="9"/>
        <v>-40</v>
      </c>
      <c r="L129" s="17"/>
      <c r="M129" s="19">
        <f t="shared" si="10"/>
        <v>0</v>
      </c>
    </row>
    <row r="130" spans="1:13">
      <c r="A130" s="43"/>
      <c r="G130" s="5"/>
      <c r="H130" s="17">
        <v>125</v>
      </c>
      <c r="I130" s="18" t="str">
        <f t="shared" si="8"/>
        <v/>
      </c>
      <c r="J130" s="17">
        <f t="shared" si="11"/>
        <v>-4</v>
      </c>
      <c r="K130" s="17">
        <f t="shared" si="9"/>
        <v>-40</v>
      </c>
      <c r="L130" s="17"/>
      <c r="M130" s="19">
        <f t="shared" si="10"/>
        <v>0</v>
      </c>
    </row>
    <row r="131" spans="1:13">
      <c r="A131" s="43"/>
      <c r="G131" s="5"/>
      <c r="H131" s="17">
        <v>126</v>
      </c>
      <c r="I131" s="18" t="str">
        <f t="shared" si="8"/>
        <v/>
      </c>
      <c r="J131" s="17">
        <f t="shared" si="11"/>
        <v>-4</v>
      </c>
      <c r="K131" s="17">
        <f t="shared" si="9"/>
        <v>-40</v>
      </c>
      <c r="L131" s="17"/>
      <c r="M131" s="19">
        <f t="shared" si="10"/>
        <v>0</v>
      </c>
    </row>
    <row r="132" spans="1:13">
      <c r="A132" s="43"/>
      <c r="G132" s="5"/>
      <c r="H132" s="17">
        <v>127</v>
      </c>
      <c r="I132" s="18" t="str">
        <f t="shared" si="8"/>
        <v/>
      </c>
      <c r="J132" s="17">
        <f t="shared" si="11"/>
        <v>-4</v>
      </c>
      <c r="K132" s="17">
        <f t="shared" si="9"/>
        <v>-40</v>
      </c>
      <c r="L132" s="17"/>
      <c r="M132" s="19">
        <f t="shared" si="10"/>
        <v>0</v>
      </c>
    </row>
    <row r="133" spans="1:13">
      <c r="A133" s="43"/>
      <c r="G133" s="5"/>
      <c r="H133" s="17">
        <v>128</v>
      </c>
      <c r="I133" s="18" t="str">
        <f t="shared" si="8"/>
        <v/>
      </c>
      <c r="J133" s="17">
        <f t="shared" si="11"/>
        <v>-4</v>
      </c>
      <c r="K133" s="17">
        <f t="shared" si="9"/>
        <v>-40</v>
      </c>
      <c r="L133" s="17"/>
      <c r="M133" s="19">
        <f t="shared" si="10"/>
        <v>0</v>
      </c>
    </row>
    <row r="134" spans="1:13">
      <c r="A134" s="43"/>
      <c r="G134" s="5"/>
      <c r="H134" s="17">
        <v>129</v>
      </c>
      <c r="I134" s="18" t="str">
        <f t="shared" ref="I134:I197" si="12">IF(H134&lt;$H$2+1,($I$2-($I$2-1)*(LOG(H134)/LOG($H$2))),"")</f>
        <v/>
      </c>
      <c r="J134" s="17">
        <f t="shared" si="11"/>
        <v>-5</v>
      </c>
      <c r="K134" s="17">
        <f t="shared" ref="K134:K197" si="13">J134*$J$2</f>
        <v>-50</v>
      </c>
      <c r="L134" s="17"/>
      <c r="M134" s="19">
        <f t="shared" ref="M134:M197" si="14">IF(I134&lt;&gt;"",K134+I134+L134,0)</f>
        <v>0</v>
      </c>
    </row>
    <row r="135" spans="1:13">
      <c r="A135" s="43"/>
      <c r="G135" s="5"/>
      <c r="H135" s="17">
        <v>130</v>
      </c>
      <c r="I135" s="18" t="str">
        <f t="shared" si="12"/>
        <v/>
      </c>
      <c r="J135" s="17">
        <f t="shared" ref="J135:J198" si="15">INT(LOG($H$2,2))-ROUNDUP(LOG(H135,2),0)+IF(OR($H$2=1,$H$2=2,$H$2=4,$H$2=8,$H$2=16,$H$2=32,$H$2=64,$H$2=128,$H$2=256),0,1)</f>
        <v>-5</v>
      </c>
      <c r="K135" s="17">
        <f t="shared" si="13"/>
        <v>-50</v>
      </c>
      <c r="L135" s="17"/>
      <c r="M135" s="19">
        <f t="shared" si="14"/>
        <v>0</v>
      </c>
    </row>
    <row r="136" spans="1:13">
      <c r="A136" s="43"/>
      <c r="G136" s="5"/>
      <c r="H136" s="17">
        <v>131</v>
      </c>
      <c r="I136" s="18" t="str">
        <f t="shared" si="12"/>
        <v/>
      </c>
      <c r="J136" s="17">
        <f t="shared" si="15"/>
        <v>-5</v>
      </c>
      <c r="K136" s="17">
        <f t="shared" si="13"/>
        <v>-50</v>
      </c>
      <c r="L136" s="17"/>
      <c r="M136" s="19">
        <f t="shared" si="14"/>
        <v>0</v>
      </c>
    </row>
    <row r="137" spans="1:13">
      <c r="A137" s="43"/>
      <c r="G137" s="5"/>
      <c r="H137" s="17">
        <v>132</v>
      </c>
      <c r="I137" s="18" t="str">
        <f t="shared" si="12"/>
        <v/>
      </c>
      <c r="J137" s="17">
        <f t="shared" si="15"/>
        <v>-5</v>
      </c>
      <c r="K137" s="17">
        <f t="shared" si="13"/>
        <v>-50</v>
      </c>
      <c r="L137" s="17"/>
      <c r="M137" s="19">
        <f t="shared" si="14"/>
        <v>0</v>
      </c>
    </row>
    <row r="138" spans="1:13">
      <c r="A138" s="43"/>
      <c r="G138" s="5"/>
      <c r="H138" s="17">
        <v>133</v>
      </c>
      <c r="I138" s="18" t="str">
        <f t="shared" si="12"/>
        <v/>
      </c>
      <c r="J138" s="17">
        <f t="shared" si="15"/>
        <v>-5</v>
      </c>
      <c r="K138" s="17">
        <f t="shared" si="13"/>
        <v>-50</v>
      </c>
      <c r="L138" s="17"/>
      <c r="M138" s="19">
        <f t="shared" si="14"/>
        <v>0</v>
      </c>
    </row>
    <row r="139" spans="1:13">
      <c r="A139" s="43"/>
      <c r="G139" s="5"/>
      <c r="H139" s="17">
        <v>134</v>
      </c>
      <c r="I139" s="18" t="str">
        <f t="shared" si="12"/>
        <v/>
      </c>
      <c r="J139" s="17">
        <f t="shared" si="15"/>
        <v>-5</v>
      </c>
      <c r="K139" s="17">
        <f t="shared" si="13"/>
        <v>-50</v>
      </c>
      <c r="L139" s="17"/>
      <c r="M139" s="19">
        <f t="shared" si="14"/>
        <v>0</v>
      </c>
    </row>
    <row r="140" spans="1:13">
      <c r="A140" s="43"/>
      <c r="G140" s="5"/>
      <c r="H140" s="17">
        <v>135</v>
      </c>
      <c r="I140" s="18" t="str">
        <f t="shared" si="12"/>
        <v/>
      </c>
      <c r="J140" s="17">
        <f t="shared" si="15"/>
        <v>-5</v>
      </c>
      <c r="K140" s="17">
        <f t="shared" si="13"/>
        <v>-50</v>
      </c>
      <c r="L140" s="17"/>
      <c r="M140" s="19">
        <f t="shared" si="14"/>
        <v>0</v>
      </c>
    </row>
    <row r="141" spans="1:13">
      <c r="A141" s="43"/>
      <c r="G141" s="5"/>
      <c r="H141" s="17">
        <v>136</v>
      </c>
      <c r="I141" s="18" t="str">
        <f t="shared" si="12"/>
        <v/>
      </c>
      <c r="J141" s="17">
        <f t="shared" si="15"/>
        <v>-5</v>
      </c>
      <c r="K141" s="17">
        <f t="shared" si="13"/>
        <v>-50</v>
      </c>
      <c r="L141" s="17"/>
      <c r="M141" s="19">
        <f t="shared" si="14"/>
        <v>0</v>
      </c>
    </row>
    <row r="142" spans="1:13">
      <c r="A142" s="43"/>
      <c r="G142" s="5"/>
      <c r="H142" s="17">
        <v>137</v>
      </c>
      <c r="I142" s="18" t="str">
        <f t="shared" si="12"/>
        <v/>
      </c>
      <c r="J142" s="17">
        <f t="shared" si="15"/>
        <v>-5</v>
      </c>
      <c r="K142" s="17">
        <f t="shared" si="13"/>
        <v>-50</v>
      </c>
      <c r="L142" s="17"/>
      <c r="M142" s="19">
        <f t="shared" si="14"/>
        <v>0</v>
      </c>
    </row>
    <row r="143" spans="1:13">
      <c r="A143" s="43"/>
      <c r="G143" s="5"/>
      <c r="H143" s="17">
        <v>138</v>
      </c>
      <c r="I143" s="18" t="str">
        <f t="shared" si="12"/>
        <v/>
      </c>
      <c r="J143" s="17">
        <f t="shared" si="15"/>
        <v>-5</v>
      </c>
      <c r="K143" s="17">
        <f t="shared" si="13"/>
        <v>-50</v>
      </c>
      <c r="L143" s="17"/>
      <c r="M143" s="19">
        <f t="shared" si="14"/>
        <v>0</v>
      </c>
    </row>
    <row r="144" spans="1:13">
      <c r="A144" s="43"/>
      <c r="G144" s="5"/>
      <c r="H144" s="17">
        <v>139</v>
      </c>
      <c r="I144" s="18" t="str">
        <f t="shared" si="12"/>
        <v/>
      </c>
      <c r="J144" s="17">
        <f t="shared" si="15"/>
        <v>-5</v>
      </c>
      <c r="K144" s="17">
        <f t="shared" si="13"/>
        <v>-50</v>
      </c>
      <c r="L144" s="17"/>
      <c r="M144" s="19">
        <f t="shared" si="14"/>
        <v>0</v>
      </c>
    </row>
    <row r="145" spans="1:13">
      <c r="A145" s="43"/>
      <c r="G145" s="5"/>
      <c r="H145" s="17">
        <v>140</v>
      </c>
      <c r="I145" s="18" t="str">
        <f t="shared" si="12"/>
        <v/>
      </c>
      <c r="J145" s="17">
        <f t="shared" si="15"/>
        <v>-5</v>
      </c>
      <c r="K145" s="17">
        <f t="shared" si="13"/>
        <v>-50</v>
      </c>
      <c r="L145" s="17"/>
      <c r="M145" s="19">
        <f t="shared" si="14"/>
        <v>0</v>
      </c>
    </row>
    <row r="146" spans="1:13">
      <c r="A146" s="43"/>
      <c r="G146" s="5"/>
      <c r="H146" s="17">
        <v>141</v>
      </c>
      <c r="I146" s="18" t="str">
        <f t="shared" si="12"/>
        <v/>
      </c>
      <c r="J146" s="17">
        <f t="shared" si="15"/>
        <v>-5</v>
      </c>
      <c r="K146" s="17">
        <f t="shared" si="13"/>
        <v>-50</v>
      </c>
      <c r="L146" s="17"/>
      <c r="M146" s="19">
        <f t="shared" si="14"/>
        <v>0</v>
      </c>
    </row>
    <row r="147" spans="1:13">
      <c r="A147" s="43"/>
      <c r="G147" s="5"/>
      <c r="H147" s="17">
        <v>142</v>
      </c>
      <c r="I147" s="18" t="str">
        <f t="shared" si="12"/>
        <v/>
      </c>
      <c r="J147" s="17">
        <f t="shared" si="15"/>
        <v>-5</v>
      </c>
      <c r="K147" s="17">
        <f t="shared" si="13"/>
        <v>-50</v>
      </c>
      <c r="L147" s="17"/>
      <c r="M147" s="19">
        <f t="shared" si="14"/>
        <v>0</v>
      </c>
    </row>
    <row r="148" spans="1:13">
      <c r="A148" s="43"/>
      <c r="G148" s="5"/>
      <c r="H148" s="17">
        <v>143</v>
      </c>
      <c r="I148" s="18" t="str">
        <f t="shared" si="12"/>
        <v/>
      </c>
      <c r="J148" s="17">
        <f t="shared" si="15"/>
        <v>-5</v>
      </c>
      <c r="K148" s="17">
        <f t="shared" si="13"/>
        <v>-50</v>
      </c>
      <c r="L148" s="17"/>
      <c r="M148" s="19">
        <f t="shared" si="14"/>
        <v>0</v>
      </c>
    </row>
    <row r="149" spans="1:13">
      <c r="A149" s="43"/>
      <c r="G149" s="5"/>
      <c r="H149" s="17">
        <v>144</v>
      </c>
      <c r="I149" s="18" t="str">
        <f t="shared" si="12"/>
        <v/>
      </c>
      <c r="J149" s="17">
        <f t="shared" si="15"/>
        <v>-5</v>
      </c>
      <c r="K149" s="17">
        <f t="shared" si="13"/>
        <v>-50</v>
      </c>
      <c r="L149" s="17"/>
      <c r="M149" s="19">
        <f t="shared" si="14"/>
        <v>0</v>
      </c>
    </row>
    <row r="150" spans="1:13">
      <c r="A150" s="43"/>
      <c r="G150" s="5"/>
      <c r="H150" s="17">
        <v>145</v>
      </c>
      <c r="I150" s="18" t="str">
        <f t="shared" si="12"/>
        <v/>
      </c>
      <c r="J150" s="17">
        <f t="shared" si="15"/>
        <v>-5</v>
      </c>
      <c r="K150" s="17">
        <f t="shared" si="13"/>
        <v>-50</v>
      </c>
      <c r="L150" s="17"/>
      <c r="M150" s="19">
        <f t="shared" si="14"/>
        <v>0</v>
      </c>
    </row>
    <row r="151" spans="1:13">
      <c r="A151" s="43"/>
      <c r="G151" s="5"/>
      <c r="H151" s="17">
        <v>146</v>
      </c>
      <c r="I151" s="18" t="str">
        <f t="shared" si="12"/>
        <v/>
      </c>
      <c r="J151" s="17">
        <f t="shared" si="15"/>
        <v>-5</v>
      </c>
      <c r="K151" s="17">
        <f t="shared" si="13"/>
        <v>-50</v>
      </c>
      <c r="L151" s="17"/>
      <c r="M151" s="19">
        <f t="shared" si="14"/>
        <v>0</v>
      </c>
    </row>
    <row r="152" spans="1:13">
      <c r="A152" s="43"/>
      <c r="G152" s="5"/>
      <c r="H152" s="17">
        <v>147</v>
      </c>
      <c r="I152" s="18" t="str">
        <f t="shared" si="12"/>
        <v/>
      </c>
      <c r="J152" s="17">
        <f t="shared" si="15"/>
        <v>-5</v>
      </c>
      <c r="K152" s="17">
        <f t="shared" si="13"/>
        <v>-50</v>
      </c>
      <c r="L152" s="17"/>
      <c r="M152" s="19">
        <f t="shared" si="14"/>
        <v>0</v>
      </c>
    </row>
    <row r="153" spans="1:13">
      <c r="A153" s="43"/>
      <c r="G153" s="5"/>
      <c r="H153" s="17">
        <v>148</v>
      </c>
      <c r="I153" s="18" t="str">
        <f t="shared" si="12"/>
        <v/>
      </c>
      <c r="J153" s="17">
        <f t="shared" si="15"/>
        <v>-5</v>
      </c>
      <c r="K153" s="17">
        <f t="shared" si="13"/>
        <v>-50</v>
      </c>
      <c r="L153" s="17"/>
      <c r="M153" s="19">
        <f t="shared" si="14"/>
        <v>0</v>
      </c>
    </row>
    <row r="154" spans="1:13">
      <c r="A154" s="43"/>
      <c r="G154" s="5"/>
      <c r="H154" s="17">
        <v>149</v>
      </c>
      <c r="I154" s="18" t="str">
        <f t="shared" si="12"/>
        <v/>
      </c>
      <c r="J154" s="17">
        <f t="shared" si="15"/>
        <v>-5</v>
      </c>
      <c r="K154" s="17">
        <f t="shared" si="13"/>
        <v>-50</v>
      </c>
      <c r="L154" s="17"/>
      <c r="M154" s="19">
        <f t="shared" si="14"/>
        <v>0</v>
      </c>
    </row>
    <row r="155" spans="1:13">
      <c r="A155" s="43"/>
      <c r="G155" s="5"/>
      <c r="H155" s="17">
        <v>150</v>
      </c>
      <c r="I155" s="18" t="str">
        <f t="shared" si="12"/>
        <v/>
      </c>
      <c r="J155" s="17">
        <f t="shared" si="15"/>
        <v>-5</v>
      </c>
      <c r="K155" s="17">
        <f t="shared" si="13"/>
        <v>-50</v>
      </c>
      <c r="L155" s="17"/>
      <c r="M155" s="19">
        <f t="shared" si="14"/>
        <v>0</v>
      </c>
    </row>
    <row r="156" spans="1:13">
      <c r="A156" s="43"/>
      <c r="G156" s="5"/>
      <c r="H156" s="17">
        <v>151</v>
      </c>
      <c r="I156" s="18" t="str">
        <f t="shared" si="12"/>
        <v/>
      </c>
      <c r="J156" s="17">
        <f t="shared" si="15"/>
        <v>-5</v>
      </c>
      <c r="K156" s="17">
        <f t="shared" si="13"/>
        <v>-50</v>
      </c>
      <c r="L156" s="17"/>
      <c r="M156" s="19">
        <f t="shared" si="14"/>
        <v>0</v>
      </c>
    </row>
    <row r="157" spans="1:13">
      <c r="A157" s="43"/>
      <c r="G157" s="5"/>
      <c r="H157" s="17">
        <v>152</v>
      </c>
      <c r="I157" s="18" t="str">
        <f t="shared" si="12"/>
        <v/>
      </c>
      <c r="J157" s="17">
        <f t="shared" si="15"/>
        <v>-5</v>
      </c>
      <c r="K157" s="17">
        <f t="shared" si="13"/>
        <v>-50</v>
      </c>
      <c r="L157" s="17"/>
      <c r="M157" s="19">
        <f t="shared" si="14"/>
        <v>0</v>
      </c>
    </row>
    <row r="158" spans="1:13">
      <c r="A158" s="43"/>
      <c r="G158" s="5"/>
      <c r="H158" s="17">
        <v>153</v>
      </c>
      <c r="I158" s="18" t="str">
        <f t="shared" si="12"/>
        <v/>
      </c>
      <c r="J158" s="17">
        <f t="shared" si="15"/>
        <v>-5</v>
      </c>
      <c r="K158" s="17">
        <f t="shared" si="13"/>
        <v>-50</v>
      </c>
      <c r="L158" s="17"/>
      <c r="M158" s="19">
        <f t="shared" si="14"/>
        <v>0</v>
      </c>
    </row>
    <row r="159" spans="1:13">
      <c r="A159" s="43"/>
      <c r="G159" s="5"/>
      <c r="H159" s="17">
        <v>154</v>
      </c>
      <c r="I159" s="18" t="str">
        <f t="shared" si="12"/>
        <v/>
      </c>
      <c r="J159" s="17">
        <f t="shared" si="15"/>
        <v>-5</v>
      </c>
      <c r="K159" s="17">
        <f t="shared" si="13"/>
        <v>-50</v>
      </c>
      <c r="L159" s="17"/>
      <c r="M159" s="19">
        <f t="shared" si="14"/>
        <v>0</v>
      </c>
    </row>
    <row r="160" spans="1:13">
      <c r="A160" s="43"/>
      <c r="G160" s="5"/>
      <c r="H160" s="17">
        <v>155</v>
      </c>
      <c r="I160" s="18" t="str">
        <f t="shared" si="12"/>
        <v/>
      </c>
      <c r="J160" s="17">
        <f t="shared" si="15"/>
        <v>-5</v>
      </c>
      <c r="K160" s="17">
        <f t="shared" si="13"/>
        <v>-50</v>
      </c>
      <c r="L160" s="17"/>
      <c r="M160" s="19">
        <f t="shared" si="14"/>
        <v>0</v>
      </c>
    </row>
    <row r="161" spans="1:13">
      <c r="A161" s="43"/>
      <c r="G161" s="5"/>
      <c r="H161" s="17">
        <v>156</v>
      </c>
      <c r="I161" s="18" t="str">
        <f t="shared" si="12"/>
        <v/>
      </c>
      <c r="J161" s="17">
        <f t="shared" si="15"/>
        <v>-5</v>
      </c>
      <c r="K161" s="17">
        <f t="shared" si="13"/>
        <v>-50</v>
      </c>
      <c r="L161" s="17"/>
      <c r="M161" s="19">
        <f t="shared" si="14"/>
        <v>0</v>
      </c>
    </row>
    <row r="162" spans="1:13">
      <c r="A162" s="43"/>
      <c r="G162" s="5"/>
      <c r="H162" s="17">
        <v>157</v>
      </c>
      <c r="I162" s="18" t="str">
        <f t="shared" si="12"/>
        <v/>
      </c>
      <c r="J162" s="17">
        <f t="shared" si="15"/>
        <v>-5</v>
      </c>
      <c r="K162" s="17">
        <f t="shared" si="13"/>
        <v>-50</v>
      </c>
      <c r="L162" s="17"/>
      <c r="M162" s="19">
        <f t="shared" si="14"/>
        <v>0</v>
      </c>
    </row>
    <row r="163" spans="1:13">
      <c r="A163" s="43"/>
      <c r="G163" s="5"/>
      <c r="H163" s="17">
        <v>158</v>
      </c>
      <c r="I163" s="18" t="str">
        <f t="shared" si="12"/>
        <v/>
      </c>
      <c r="J163" s="17">
        <f t="shared" si="15"/>
        <v>-5</v>
      </c>
      <c r="K163" s="17">
        <f t="shared" si="13"/>
        <v>-50</v>
      </c>
      <c r="L163" s="17"/>
      <c r="M163" s="19">
        <f t="shared" si="14"/>
        <v>0</v>
      </c>
    </row>
    <row r="164" spans="1:13">
      <c r="A164" s="43"/>
      <c r="G164" s="5"/>
      <c r="H164" s="17">
        <v>159</v>
      </c>
      <c r="I164" s="18" t="str">
        <f t="shared" si="12"/>
        <v/>
      </c>
      <c r="J164" s="17">
        <f t="shared" si="15"/>
        <v>-5</v>
      </c>
      <c r="K164" s="17">
        <f t="shared" si="13"/>
        <v>-50</v>
      </c>
      <c r="L164" s="17"/>
      <c r="M164" s="19">
        <f t="shared" si="14"/>
        <v>0</v>
      </c>
    </row>
    <row r="165" spans="1:13">
      <c r="A165" s="43"/>
      <c r="G165" s="5"/>
      <c r="H165" s="17">
        <v>160</v>
      </c>
      <c r="I165" s="18" t="str">
        <f t="shared" si="12"/>
        <v/>
      </c>
      <c r="J165" s="17">
        <f t="shared" si="15"/>
        <v>-5</v>
      </c>
      <c r="K165" s="17">
        <f t="shared" si="13"/>
        <v>-50</v>
      </c>
      <c r="L165" s="17"/>
      <c r="M165" s="19">
        <f t="shared" si="14"/>
        <v>0</v>
      </c>
    </row>
    <row r="166" spans="1:13">
      <c r="A166" s="43"/>
      <c r="G166" s="5"/>
      <c r="H166" s="17">
        <v>161</v>
      </c>
      <c r="I166" s="18" t="str">
        <f t="shared" si="12"/>
        <v/>
      </c>
      <c r="J166" s="17">
        <f t="shared" si="15"/>
        <v>-5</v>
      </c>
      <c r="K166" s="17">
        <f t="shared" si="13"/>
        <v>-50</v>
      </c>
      <c r="L166" s="17"/>
      <c r="M166" s="19">
        <f t="shared" si="14"/>
        <v>0</v>
      </c>
    </row>
    <row r="167" spans="1:13">
      <c r="A167" s="43"/>
      <c r="G167" s="5"/>
      <c r="H167" s="17">
        <v>162</v>
      </c>
      <c r="I167" s="18" t="str">
        <f t="shared" si="12"/>
        <v/>
      </c>
      <c r="J167" s="17">
        <f t="shared" si="15"/>
        <v>-5</v>
      </c>
      <c r="K167" s="17">
        <f t="shared" si="13"/>
        <v>-50</v>
      </c>
      <c r="L167" s="17"/>
      <c r="M167" s="19">
        <f t="shared" si="14"/>
        <v>0</v>
      </c>
    </row>
    <row r="168" spans="1:13">
      <c r="A168" s="43"/>
      <c r="G168" s="5"/>
      <c r="H168" s="17">
        <v>163</v>
      </c>
      <c r="I168" s="18" t="str">
        <f t="shared" si="12"/>
        <v/>
      </c>
      <c r="J168" s="17">
        <f t="shared" si="15"/>
        <v>-5</v>
      </c>
      <c r="K168" s="17">
        <f t="shared" si="13"/>
        <v>-50</v>
      </c>
      <c r="L168" s="17"/>
      <c r="M168" s="19">
        <f t="shared" si="14"/>
        <v>0</v>
      </c>
    </row>
    <row r="169" spans="1:13">
      <c r="A169" s="43"/>
      <c r="G169" s="5"/>
      <c r="H169" s="17">
        <v>164</v>
      </c>
      <c r="I169" s="18" t="str">
        <f t="shared" si="12"/>
        <v/>
      </c>
      <c r="J169" s="17">
        <f t="shared" si="15"/>
        <v>-5</v>
      </c>
      <c r="K169" s="17">
        <f t="shared" si="13"/>
        <v>-50</v>
      </c>
      <c r="L169" s="17"/>
      <c r="M169" s="19">
        <f t="shared" si="14"/>
        <v>0</v>
      </c>
    </row>
    <row r="170" spans="1:13">
      <c r="A170" s="43"/>
      <c r="G170" s="5"/>
      <c r="H170" s="17">
        <v>165</v>
      </c>
      <c r="I170" s="18" t="str">
        <f t="shared" si="12"/>
        <v/>
      </c>
      <c r="J170" s="17">
        <f t="shared" si="15"/>
        <v>-5</v>
      </c>
      <c r="K170" s="17">
        <f t="shared" si="13"/>
        <v>-50</v>
      </c>
      <c r="L170" s="17"/>
      <c r="M170" s="19">
        <f t="shared" si="14"/>
        <v>0</v>
      </c>
    </row>
    <row r="171" spans="1:13">
      <c r="A171" s="43"/>
      <c r="G171" s="5"/>
      <c r="H171" s="17">
        <v>166</v>
      </c>
      <c r="I171" s="18" t="str">
        <f t="shared" si="12"/>
        <v/>
      </c>
      <c r="J171" s="17">
        <f t="shared" si="15"/>
        <v>-5</v>
      </c>
      <c r="K171" s="17">
        <f t="shared" si="13"/>
        <v>-50</v>
      </c>
      <c r="L171" s="17"/>
      <c r="M171" s="19">
        <f t="shared" si="14"/>
        <v>0</v>
      </c>
    </row>
    <row r="172" spans="1:13">
      <c r="A172" s="43"/>
      <c r="G172" s="5"/>
      <c r="H172" s="17">
        <v>167</v>
      </c>
      <c r="I172" s="18" t="str">
        <f t="shared" si="12"/>
        <v/>
      </c>
      <c r="J172" s="17">
        <f t="shared" si="15"/>
        <v>-5</v>
      </c>
      <c r="K172" s="17">
        <f t="shared" si="13"/>
        <v>-50</v>
      </c>
      <c r="L172" s="17"/>
      <c r="M172" s="19">
        <f t="shared" si="14"/>
        <v>0</v>
      </c>
    </row>
    <row r="173" spans="1:13">
      <c r="A173" s="43"/>
      <c r="G173" s="5"/>
      <c r="H173" s="17">
        <v>168</v>
      </c>
      <c r="I173" s="18" t="str">
        <f t="shared" si="12"/>
        <v/>
      </c>
      <c r="J173" s="17">
        <f t="shared" si="15"/>
        <v>-5</v>
      </c>
      <c r="K173" s="17">
        <f t="shared" si="13"/>
        <v>-50</v>
      </c>
      <c r="L173" s="17"/>
      <c r="M173" s="19">
        <f t="shared" si="14"/>
        <v>0</v>
      </c>
    </row>
    <row r="174" spans="1:13">
      <c r="A174" s="43"/>
      <c r="G174" s="5"/>
      <c r="H174" s="17">
        <v>169</v>
      </c>
      <c r="I174" s="18" t="str">
        <f t="shared" si="12"/>
        <v/>
      </c>
      <c r="J174" s="17">
        <f t="shared" si="15"/>
        <v>-5</v>
      </c>
      <c r="K174" s="17">
        <f t="shared" si="13"/>
        <v>-50</v>
      </c>
      <c r="L174" s="17"/>
      <c r="M174" s="19">
        <f t="shared" si="14"/>
        <v>0</v>
      </c>
    </row>
    <row r="175" spans="1:13">
      <c r="A175" s="43"/>
      <c r="G175" s="5"/>
      <c r="H175" s="17">
        <v>170</v>
      </c>
      <c r="I175" s="18" t="str">
        <f t="shared" si="12"/>
        <v/>
      </c>
      <c r="J175" s="17">
        <f t="shared" si="15"/>
        <v>-5</v>
      </c>
      <c r="K175" s="17">
        <f t="shared" si="13"/>
        <v>-50</v>
      </c>
      <c r="L175" s="17"/>
      <c r="M175" s="19">
        <f t="shared" si="14"/>
        <v>0</v>
      </c>
    </row>
    <row r="176" spans="1:13">
      <c r="A176" s="43"/>
      <c r="G176" s="5"/>
      <c r="H176" s="17">
        <v>171</v>
      </c>
      <c r="I176" s="18" t="str">
        <f t="shared" si="12"/>
        <v/>
      </c>
      <c r="J176" s="17">
        <f t="shared" si="15"/>
        <v>-5</v>
      </c>
      <c r="K176" s="17">
        <f t="shared" si="13"/>
        <v>-50</v>
      </c>
      <c r="L176" s="17"/>
      <c r="M176" s="19">
        <f t="shared" si="14"/>
        <v>0</v>
      </c>
    </row>
    <row r="177" spans="1:13">
      <c r="A177" s="43"/>
      <c r="G177" s="5"/>
      <c r="H177" s="17">
        <v>172</v>
      </c>
      <c r="I177" s="18" t="str">
        <f t="shared" si="12"/>
        <v/>
      </c>
      <c r="J177" s="17">
        <f t="shared" si="15"/>
        <v>-5</v>
      </c>
      <c r="K177" s="17">
        <f t="shared" si="13"/>
        <v>-50</v>
      </c>
      <c r="L177" s="17"/>
      <c r="M177" s="19">
        <f t="shared" si="14"/>
        <v>0</v>
      </c>
    </row>
    <row r="178" spans="1:13">
      <c r="A178" s="43"/>
      <c r="G178" s="5"/>
      <c r="H178" s="17">
        <v>173</v>
      </c>
      <c r="I178" s="18" t="str">
        <f t="shared" si="12"/>
        <v/>
      </c>
      <c r="J178" s="17">
        <f t="shared" si="15"/>
        <v>-5</v>
      </c>
      <c r="K178" s="17">
        <f t="shared" si="13"/>
        <v>-50</v>
      </c>
      <c r="L178" s="17"/>
      <c r="M178" s="19">
        <f t="shared" si="14"/>
        <v>0</v>
      </c>
    </row>
    <row r="179" spans="1:13">
      <c r="A179" s="43"/>
      <c r="G179" s="5"/>
      <c r="H179" s="17">
        <v>174</v>
      </c>
      <c r="I179" s="18" t="str">
        <f t="shared" si="12"/>
        <v/>
      </c>
      <c r="J179" s="17">
        <f t="shared" si="15"/>
        <v>-5</v>
      </c>
      <c r="K179" s="17">
        <f t="shared" si="13"/>
        <v>-50</v>
      </c>
      <c r="L179" s="17"/>
      <c r="M179" s="19">
        <f t="shared" si="14"/>
        <v>0</v>
      </c>
    </row>
    <row r="180" spans="1:13">
      <c r="A180" s="43"/>
      <c r="G180" s="5"/>
      <c r="H180" s="17">
        <v>175</v>
      </c>
      <c r="I180" s="18" t="str">
        <f t="shared" si="12"/>
        <v/>
      </c>
      <c r="J180" s="17">
        <f t="shared" si="15"/>
        <v>-5</v>
      </c>
      <c r="K180" s="17">
        <f t="shared" si="13"/>
        <v>-50</v>
      </c>
      <c r="L180" s="17"/>
      <c r="M180" s="19">
        <f t="shared" si="14"/>
        <v>0</v>
      </c>
    </row>
    <row r="181" spans="1:13">
      <c r="A181" s="43"/>
      <c r="G181" s="5"/>
      <c r="H181" s="17">
        <v>176</v>
      </c>
      <c r="I181" s="18" t="str">
        <f t="shared" si="12"/>
        <v/>
      </c>
      <c r="J181" s="17">
        <f t="shared" si="15"/>
        <v>-5</v>
      </c>
      <c r="K181" s="17">
        <f t="shared" si="13"/>
        <v>-50</v>
      </c>
      <c r="L181" s="17"/>
      <c r="M181" s="19">
        <f t="shared" si="14"/>
        <v>0</v>
      </c>
    </row>
    <row r="182" spans="1:13">
      <c r="A182" s="43"/>
      <c r="G182" s="5"/>
      <c r="H182" s="17">
        <v>177</v>
      </c>
      <c r="I182" s="18" t="str">
        <f t="shared" si="12"/>
        <v/>
      </c>
      <c r="J182" s="17">
        <f t="shared" si="15"/>
        <v>-5</v>
      </c>
      <c r="K182" s="17">
        <f t="shared" si="13"/>
        <v>-50</v>
      </c>
      <c r="L182" s="17"/>
      <c r="M182" s="19">
        <f t="shared" si="14"/>
        <v>0</v>
      </c>
    </row>
    <row r="183" spans="1:13">
      <c r="A183" s="43"/>
      <c r="G183" s="5"/>
      <c r="H183" s="17">
        <v>178</v>
      </c>
      <c r="I183" s="18" t="str">
        <f t="shared" si="12"/>
        <v/>
      </c>
      <c r="J183" s="17">
        <f t="shared" si="15"/>
        <v>-5</v>
      </c>
      <c r="K183" s="17">
        <f t="shared" si="13"/>
        <v>-50</v>
      </c>
      <c r="L183" s="17"/>
      <c r="M183" s="19">
        <f t="shared" si="14"/>
        <v>0</v>
      </c>
    </row>
    <row r="184" spans="1:13">
      <c r="A184" s="43"/>
      <c r="G184" s="5"/>
      <c r="H184" s="17">
        <v>179</v>
      </c>
      <c r="I184" s="18" t="str">
        <f t="shared" si="12"/>
        <v/>
      </c>
      <c r="J184" s="17">
        <f t="shared" si="15"/>
        <v>-5</v>
      </c>
      <c r="K184" s="17">
        <f t="shared" si="13"/>
        <v>-50</v>
      </c>
      <c r="L184" s="17"/>
      <c r="M184" s="19">
        <f t="shared" si="14"/>
        <v>0</v>
      </c>
    </row>
    <row r="185" spans="1:13">
      <c r="A185" s="43"/>
      <c r="G185" s="5"/>
      <c r="H185" s="17">
        <v>180</v>
      </c>
      <c r="I185" s="18" t="str">
        <f t="shared" si="12"/>
        <v/>
      </c>
      <c r="J185" s="17">
        <f t="shared" si="15"/>
        <v>-5</v>
      </c>
      <c r="K185" s="17">
        <f t="shared" si="13"/>
        <v>-50</v>
      </c>
      <c r="L185" s="17"/>
      <c r="M185" s="19">
        <f t="shared" si="14"/>
        <v>0</v>
      </c>
    </row>
    <row r="186" spans="1:13">
      <c r="A186" s="43"/>
      <c r="G186" s="5"/>
      <c r="H186" s="17">
        <v>181</v>
      </c>
      <c r="I186" s="18" t="str">
        <f t="shared" si="12"/>
        <v/>
      </c>
      <c r="J186" s="17">
        <f t="shared" si="15"/>
        <v>-5</v>
      </c>
      <c r="K186" s="17">
        <f t="shared" si="13"/>
        <v>-50</v>
      </c>
      <c r="L186" s="17"/>
      <c r="M186" s="19">
        <f t="shared" si="14"/>
        <v>0</v>
      </c>
    </row>
    <row r="187" spans="1:13">
      <c r="A187" s="43"/>
      <c r="G187" s="5"/>
      <c r="H187" s="17">
        <v>182</v>
      </c>
      <c r="I187" s="18" t="str">
        <f t="shared" si="12"/>
        <v/>
      </c>
      <c r="J187" s="17">
        <f t="shared" si="15"/>
        <v>-5</v>
      </c>
      <c r="K187" s="17">
        <f t="shared" si="13"/>
        <v>-50</v>
      </c>
      <c r="L187" s="17"/>
      <c r="M187" s="19">
        <f t="shared" si="14"/>
        <v>0</v>
      </c>
    </row>
    <row r="188" spans="1:13">
      <c r="A188" s="43"/>
      <c r="G188" s="5"/>
      <c r="H188" s="17">
        <v>183</v>
      </c>
      <c r="I188" s="18" t="str">
        <f t="shared" si="12"/>
        <v/>
      </c>
      <c r="J188" s="17">
        <f t="shared" si="15"/>
        <v>-5</v>
      </c>
      <c r="K188" s="17">
        <f t="shared" si="13"/>
        <v>-50</v>
      </c>
      <c r="L188" s="17"/>
      <c r="M188" s="19">
        <f t="shared" si="14"/>
        <v>0</v>
      </c>
    </row>
    <row r="189" spans="1:13">
      <c r="A189" s="43"/>
      <c r="G189" s="5"/>
      <c r="H189" s="17">
        <v>184</v>
      </c>
      <c r="I189" s="18" t="str">
        <f t="shared" si="12"/>
        <v/>
      </c>
      <c r="J189" s="17">
        <f t="shared" si="15"/>
        <v>-5</v>
      </c>
      <c r="K189" s="17">
        <f t="shared" si="13"/>
        <v>-50</v>
      </c>
      <c r="L189" s="17"/>
      <c r="M189" s="19">
        <f t="shared" si="14"/>
        <v>0</v>
      </c>
    </row>
    <row r="190" spans="1:13">
      <c r="A190" s="43"/>
      <c r="G190" s="5"/>
      <c r="H190" s="17">
        <v>185</v>
      </c>
      <c r="I190" s="18" t="str">
        <f t="shared" si="12"/>
        <v/>
      </c>
      <c r="J190" s="17">
        <f t="shared" si="15"/>
        <v>-5</v>
      </c>
      <c r="K190" s="17">
        <f t="shared" si="13"/>
        <v>-50</v>
      </c>
      <c r="L190" s="17"/>
      <c r="M190" s="19">
        <f t="shared" si="14"/>
        <v>0</v>
      </c>
    </row>
    <row r="191" spans="1:13">
      <c r="A191" s="43"/>
      <c r="G191" s="5"/>
      <c r="H191" s="17">
        <v>186</v>
      </c>
      <c r="I191" s="18" t="str">
        <f t="shared" si="12"/>
        <v/>
      </c>
      <c r="J191" s="17">
        <f t="shared" si="15"/>
        <v>-5</v>
      </c>
      <c r="K191" s="17">
        <f t="shared" si="13"/>
        <v>-50</v>
      </c>
      <c r="L191" s="17"/>
      <c r="M191" s="19">
        <f t="shared" si="14"/>
        <v>0</v>
      </c>
    </row>
    <row r="192" spans="1:13">
      <c r="A192" s="43"/>
      <c r="G192" s="5"/>
      <c r="H192" s="17">
        <v>187</v>
      </c>
      <c r="I192" s="18" t="str">
        <f t="shared" si="12"/>
        <v/>
      </c>
      <c r="J192" s="17">
        <f t="shared" si="15"/>
        <v>-5</v>
      </c>
      <c r="K192" s="17">
        <f t="shared" si="13"/>
        <v>-50</v>
      </c>
      <c r="L192" s="17"/>
      <c r="M192" s="19">
        <f t="shared" si="14"/>
        <v>0</v>
      </c>
    </row>
    <row r="193" spans="1:13">
      <c r="A193" s="43"/>
      <c r="G193" s="5"/>
      <c r="H193" s="17">
        <v>188</v>
      </c>
      <c r="I193" s="18" t="str">
        <f t="shared" si="12"/>
        <v/>
      </c>
      <c r="J193" s="17">
        <f t="shared" si="15"/>
        <v>-5</v>
      </c>
      <c r="K193" s="17">
        <f t="shared" si="13"/>
        <v>-50</v>
      </c>
      <c r="L193" s="17"/>
      <c r="M193" s="19">
        <f t="shared" si="14"/>
        <v>0</v>
      </c>
    </row>
    <row r="194" spans="1:13">
      <c r="A194" s="43"/>
      <c r="G194" s="5"/>
      <c r="H194" s="17">
        <v>189</v>
      </c>
      <c r="I194" s="18" t="str">
        <f t="shared" si="12"/>
        <v/>
      </c>
      <c r="J194" s="17">
        <f t="shared" si="15"/>
        <v>-5</v>
      </c>
      <c r="K194" s="17">
        <f t="shared" si="13"/>
        <v>-50</v>
      </c>
      <c r="L194" s="17"/>
      <c r="M194" s="19">
        <f t="shared" si="14"/>
        <v>0</v>
      </c>
    </row>
    <row r="195" spans="1:13">
      <c r="A195" s="43"/>
      <c r="G195" s="5"/>
      <c r="H195" s="17">
        <v>190</v>
      </c>
      <c r="I195" s="18" t="str">
        <f t="shared" si="12"/>
        <v/>
      </c>
      <c r="J195" s="17">
        <f t="shared" si="15"/>
        <v>-5</v>
      </c>
      <c r="K195" s="17">
        <f t="shared" si="13"/>
        <v>-50</v>
      </c>
      <c r="L195" s="17"/>
      <c r="M195" s="19">
        <f t="shared" si="14"/>
        <v>0</v>
      </c>
    </row>
    <row r="196" spans="1:13">
      <c r="A196" s="43"/>
      <c r="G196" s="5"/>
      <c r="H196" s="17">
        <v>191</v>
      </c>
      <c r="I196" s="18" t="str">
        <f t="shared" si="12"/>
        <v/>
      </c>
      <c r="J196" s="17">
        <f t="shared" si="15"/>
        <v>-5</v>
      </c>
      <c r="K196" s="17">
        <f t="shared" si="13"/>
        <v>-50</v>
      </c>
      <c r="L196" s="17"/>
      <c r="M196" s="19">
        <f t="shared" si="14"/>
        <v>0</v>
      </c>
    </row>
    <row r="197" spans="1:13">
      <c r="A197" s="43"/>
      <c r="G197" s="5"/>
      <c r="H197" s="17">
        <v>192</v>
      </c>
      <c r="I197" s="18" t="str">
        <f t="shared" si="12"/>
        <v/>
      </c>
      <c r="J197" s="17">
        <f t="shared" si="15"/>
        <v>-5</v>
      </c>
      <c r="K197" s="17">
        <f t="shared" si="13"/>
        <v>-50</v>
      </c>
      <c r="L197" s="17"/>
      <c r="M197" s="19">
        <f t="shared" si="14"/>
        <v>0</v>
      </c>
    </row>
    <row r="198" spans="1:13">
      <c r="A198" s="43"/>
      <c r="G198" s="5"/>
      <c r="H198" s="17">
        <v>193</v>
      </c>
      <c r="I198" s="18" t="str">
        <f t="shared" ref="I198:I261" si="16">IF(H198&lt;$H$2+1,($I$2-($I$2-1)*(LOG(H198)/LOG($H$2))),"")</f>
        <v/>
      </c>
      <c r="J198" s="17">
        <f t="shared" si="15"/>
        <v>-5</v>
      </c>
      <c r="K198" s="17">
        <f t="shared" ref="K198:K261" si="17">J198*$J$2</f>
        <v>-50</v>
      </c>
      <c r="L198" s="17"/>
      <c r="M198" s="19">
        <f t="shared" ref="M198:M261" si="18">IF(I198&lt;&gt;"",K198+I198+L198,0)</f>
        <v>0</v>
      </c>
    </row>
    <row r="199" spans="1:13">
      <c r="A199" s="43"/>
      <c r="G199" s="5"/>
      <c r="H199" s="17">
        <v>194</v>
      </c>
      <c r="I199" s="18" t="str">
        <f t="shared" si="16"/>
        <v/>
      </c>
      <c r="J199" s="17">
        <f t="shared" ref="J199:J262" si="19">INT(LOG($H$2,2))-ROUNDUP(LOG(H199,2),0)+IF(OR($H$2=1,$H$2=2,$H$2=4,$H$2=8,$H$2=16,$H$2=32,$H$2=64,$H$2=128,$H$2=256),0,1)</f>
        <v>-5</v>
      </c>
      <c r="K199" s="17">
        <f t="shared" si="17"/>
        <v>-50</v>
      </c>
      <c r="L199" s="17"/>
      <c r="M199" s="19">
        <f t="shared" si="18"/>
        <v>0</v>
      </c>
    </row>
    <row r="200" spans="1:13">
      <c r="A200" s="43"/>
      <c r="G200" s="5"/>
      <c r="H200" s="17">
        <v>195</v>
      </c>
      <c r="I200" s="18" t="str">
        <f t="shared" si="16"/>
        <v/>
      </c>
      <c r="J200" s="17">
        <f t="shared" si="19"/>
        <v>-5</v>
      </c>
      <c r="K200" s="17">
        <f t="shared" si="17"/>
        <v>-50</v>
      </c>
      <c r="L200" s="17"/>
      <c r="M200" s="19">
        <f t="shared" si="18"/>
        <v>0</v>
      </c>
    </row>
    <row r="201" spans="1:13">
      <c r="A201" s="43"/>
      <c r="G201" s="5"/>
      <c r="H201" s="17">
        <v>196</v>
      </c>
      <c r="I201" s="18" t="str">
        <f t="shared" si="16"/>
        <v/>
      </c>
      <c r="J201" s="17">
        <f t="shared" si="19"/>
        <v>-5</v>
      </c>
      <c r="K201" s="17">
        <f t="shared" si="17"/>
        <v>-50</v>
      </c>
      <c r="L201" s="17"/>
      <c r="M201" s="19">
        <f t="shared" si="18"/>
        <v>0</v>
      </c>
    </row>
    <row r="202" spans="1:13">
      <c r="A202" s="43"/>
      <c r="G202" s="5"/>
      <c r="H202" s="17">
        <v>197</v>
      </c>
      <c r="I202" s="18" t="str">
        <f t="shared" si="16"/>
        <v/>
      </c>
      <c r="J202" s="17">
        <f t="shared" si="19"/>
        <v>-5</v>
      </c>
      <c r="K202" s="17">
        <f t="shared" si="17"/>
        <v>-50</v>
      </c>
      <c r="L202" s="17"/>
      <c r="M202" s="19">
        <f t="shared" si="18"/>
        <v>0</v>
      </c>
    </row>
    <row r="203" spans="1:13">
      <c r="A203" s="43"/>
      <c r="G203" s="5"/>
      <c r="H203" s="17">
        <v>198</v>
      </c>
      <c r="I203" s="18" t="str">
        <f t="shared" si="16"/>
        <v/>
      </c>
      <c r="J203" s="17">
        <f t="shared" si="19"/>
        <v>-5</v>
      </c>
      <c r="K203" s="17">
        <f t="shared" si="17"/>
        <v>-50</v>
      </c>
      <c r="L203" s="17"/>
      <c r="M203" s="19">
        <f t="shared" si="18"/>
        <v>0</v>
      </c>
    </row>
    <row r="204" spans="1:13">
      <c r="A204" s="43"/>
      <c r="G204" s="5"/>
      <c r="H204" s="17">
        <v>199</v>
      </c>
      <c r="I204" s="18" t="str">
        <f t="shared" si="16"/>
        <v/>
      </c>
      <c r="J204" s="17">
        <f t="shared" si="19"/>
        <v>-5</v>
      </c>
      <c r="K204" s="17">
        <f t="shared" si="17"/>
        <v>-50</v>
      </c>
      <c r="L204" s="17"/>
      <c r="M204" s="19">
        <f t="shared" si="18"/>
        <v>0</v>
      </c>
    </row>
    <row r="205" spans="1:13">
      <c r="A205" s="43"/>
      <c r="G205" s="5"/>
      <c r="H205" s="17">
        <v>200</v>
      </c>
      <c r="I205" s="18" t="str">
        <f t="shared" si="16"/>
        <v/>
      </c>
      <c r="J205" s="17">
        <f t="shared" si="19"/>
        <v>-5</v>
      </c>
      <c r="K205" s="17">
        <f t="shared" si="17"/>
        <v>-50</v>
      </c>
      <c r="L205" s="17"/>
      <c r="M205" s="19">
        <f t="shared" si="18"/>
        <v>0</v>
      </c>
    </row>
    <row r="206" spans="1:13">
      <c r="A206" s="43"/>
      <c r="G206" s="5"/>
      <c r="H206" s="17">
        <v>201</v>
      </c>
      <c r="I206" s="18" t="str">
        <f t="shared" si="16"/>
        <v/>
      </c>
      <c r="J206" s="17">
        <f t="shared" si="19"/>
        <v>-5</v>
      </c>
      <c r="K206" s="17">
        <f t="shared" si="17"/>
        <v>-50</v>
      </c>
      <c r="L206" s="17"/>
      <c r="M206" s="19">
        <f t="shared" si="18"/>
        <v>0</v>
      </c>
    </row>
    <row r="207" spans="1:13">
      <c r="A207" s="43"/>
      <c r="G207" s="5"/>
      <c r="H207" s="17">
        <v>202</v>
      </c>
      <c r="I207" s="18" t="str">
        <f t="shared" si="16"/>
        <v/>
      </c>
      <c r="J207" s="17">
        <f t="shared" si="19"/>
        <v>-5</v>
      </c>
      <c r="K207" s="17">
        <f t="shared" si="17"/>
        <v>-50</v>
      </c>
      <c r="L207" s="17"/>
      <c r="M207" s="19">
        <f t="shared" si="18"/>
        <v>0</v>
      </c>
    </row>
    <row r="208" spans="1:13">
      <c r="A208" s="43"/>
      <c r="G208" s="5"/>
      <c r="H208" s="17">
        <v>203</v>
      </c>
      <c r="I208" s="18" t="str">
        <f t="shared" si="16"/>
        <v/>
      </c>
      <c r="J208" s="17">
        <f t="shared" si="19"/>
        <v>-5</v>
      </c>
      <c r="K208" s="17">
        <f t="shared" si="17"/>
        <v>-50</v>
      </c>
      <c r="L208" s="17"/>
      <c r="M208" s="19">
        <f t="shared" si="18"/>
        <v>0</v>
      </c>
    </row>
    <row r="209" spans="1:13">
      <c r="A209" s="43"/>
      <c r="G209" s="5"/>
      <c r="H209" s="17">
        <v>204</v>
      </c>
      <c r="I209" s="18" t="str">
        <f t="shared" si="16"/>
        <v/>
      </c>
      <c r="J209" s="17">
        <f t="shared" si="19"/>
        <v>-5</v>
      </c>
      <c r="K209" s="17">
        <f t="shared" si="17"/>
        <v>-50</v>
      </c>
      <c r="L209" s="17"/>
      <c r="M209" s="19">
        <f t="shared" si="18"/>
        <v>0</v>
      </c>
    </row>
    <row r="210" spans="1:13">
      <c r="A210" s="43"/>
      <c r="G210" s="5"/>
      <c r="H210" s="17">
        <v>205</v>
      </c>
      <c r="I210" s="18" t="str">
        <f t="shared" si="16"/>
        <v/>
      </c>
      <c r="J210" s="17">
        <f t="shared" si="19"/>
        <v>-5</v>
      </c>
      <c r="K210" s="17">
        <f t="shared" si="17"/>
        <v>-50</v>
      </c>
      <c r="L210" s="17"/>
      <c r="M210" s="19">
        <f t="shared" si="18"/>
        <v>0</v>
      </c>
    </row>
    <row r="211" spans="1:13">
      <c r="A211" s="43"/>
      <c r="G211" s="5"/>
      <c r="H211" s="17">
        <v>206</v>
      </c>
      <c r="I211" s="18" t="str">
        <f t="shared" si="16"/>
        <v/>
      </c>
      <c r="J211" s="17">
        <f t="shared" si="19"/>
        <v>-5</v>
      </c>
      <c r="K211" s="17">
        <f t="shared" si="17"/>
        <v>-50</v>
      </c>
      <c r="L211" s="17"/>
      <c r="M211" s="19">
        <f t="shared" si="18"/>
        <v>0</v>
      </c>
    </row>
    <row r="212" spans="1:13">
      <c r="A212" s="43"/>
      <c r="G212" s="5"/>
      <c r="H212" s="17">
        <v>207</v>
      </c>
      <c r="I212" s="18" t="str">
        <f t="shared" si="16"/>
        <v/>
      </c>
      <c r="J212" s="17">
        <f t="shared" si="19"/>
        <v>-5</v>
      </c>
      <c r="K212" s="17">
        <f t="shared" si="17"/>
        <v>-50</v>
      </c>
      <c r="L212" s="17"/>
      <c r="M212" s="19">
        <f t="shared" si="18"/>
        <v>0</v>
      </c>
    </row>
    <row r="213" spans="1:13">
      <c r="A213" s="43"/>
      <c r="G213" s="5"/>
      <c r="H213" s="17">
        <v>208</v>
      </c>
      <c r="I213" s="18" t="str">
        <f t="shared" si="16"/>
        <v/>
      </c>
      <c r="J213" s="17">
        <f t="shared" si="19"/>
        <v>-5</v>
      </c>
      <c r="K213" s="17">
        <f t="shared" si="17"/>
        <v>-50</v>
      </c>
      <c r="L213" s="17"/>
      <c r="M213" s="19">
        <f t="shared" si="18"/>
        <v>0</v>
      </c>
    </row>
    <row r="214" spans="1:13">
      <c r="A214" s="43"/>
      <c r="G214" s="5"/>
      <c r="H214" s="17">
        <v>209</v>
      </c>
      <c r="I214" s="18" t="str">
        <f t="shared" si="16"/>
        <v/>
      </c>
      <c r="J214" s="17">
        <f t="shared" si="19"/>
        <v>-5</v>
      </c>
      <c r="K214" s="17">
        <f t="shared" si="17"/>
        <v>-50</v>
      </c>
      <c r="L214" s="17"/>
      <c r="M214" s="19">
        <f t="shared" si="18"/>
        <v>0</v>
      </c>
    </row>
    <row r="215" spans="1:13">
      <c r="A215" s="43"/>
      <c r="G215" s="5"/>
      <c r="H215" s="17">
        <v>210</v>
      </c>
      <c r="I215" s="18" t="str">
        <f t="shared" si="16"/>
        <v/>
      </c>
      <c r="J215" s="17">
        <f t="shared" si="19"/>
        <v>-5</v>
      </c>
      <c r="K215" s="17">
        <f t="shared" si="17"/>
        <v>-50</v>
      </c>
      <c r="L215" s="17"/>
      <c r="M215" s="19">
        <f t="shared" si="18"/>
        <v>0</v>
      </c>
    </row>
    <row r="216" spans="1:13">
      <c r="A216" s="43"/>
      <c r="G216" s="5"/>
      <c r="H216" s="17">
        <v>211</v>
      </c>
      <c r="I216" s="18" t="str">
        <f t="shared" si="16"/>
        <v/>
      </c>
      <c r="J216" s="17">
        <f t="shared" si="19"/>
        <v>-5</v>
      </c>
      <c r="K216" s="17">
        <f t="shared" si="17"/>
        <v>-50</v>
      </c>
      <c r="L216" s="17"/>
      <c r="M216" s="19">
        <f t="shared" si="18"/>
        <v>0</v>
      </c>
    </row>
    <row r="217" spans="1:13">
      <c r="A217" s="43"/>
      <c r="G217" s="5"/>
      <c r="H217" s="17">
        <v>212</v>
      </c>
      <c r="I217" s="18" t="str">
        <f t="shared" si="16"/>
        <v/>
      </c>
      <c r="J217" s="17">
        <f t="shared" si="19"/>
        <v>-5</v>
      </c>
      <c r="K217" s="17">
        <f t="shared" si="17"/>
        <v>-50</v>
      </c>
      <c r="L217" s="17"/>
      <c r="M217" s="19">
        <f t="shared" si="18"/>
        <v>0</v>
      </c>
    </row>
    <row r="218" spans="1:13">
      <c r="A218" s="43"/>
      <c r="G218" s="5"/>
      <c r="H218" s="17">
        <v>213</v>
      </c>
      <c r="I218" s="18" t="str">
        <f t="shared" si="16"/>
        <v/>
      </c>
      <c r="J218" s="17">
        <f t="shared" si="19"/>
        <v>-5</v>
      </c>
      <c r="K218" s="17">
        <f t="shared" si="17"/>
        <v>-50</v>
      </c>
      <c r="L218" s="17"/>
      <c r="M218" s="19">
        <f t="shared" si="18"/>
        <v>0</v>
      </c>
    </row>
    <row r="219" spans="1:13">
      <c r="A219" s="43"/>
      <c r="G219" s="5"/>
      <c r="H219" s="17">
        <v>214</v>
      </c>
      <c r="I219" s="18" t="str">
        <f t="shared" si="16"/>
        <v/>
      </c>
      <c r="J219" s="17">
        <f t="shared" si="19"/>
        <v>-5</v>
      </c>
      <c r="K219" s="17">
        <f t="shared" si="17"/>
        <v>-50</v>
      </c>
      <c r="L219" s="17"/>
      <c r="M219" s="19">
        <f t="shared" si="18"/>
        <v>0</v>
      </c>
    </row>
    <row r="220" spans="1:13">
      <c r="A220" s="43"/>
      <c r="G220" s="5"/>
      <c r="H220" s="17">
        <v>215</v>
      </c>
      <c r="I220" s="18" t="str">
        <f t="shared" si="16"/>
        <v/>
      </c>
      <c r="J220" s="17">
        <f t="shared" si="19"/>
        <v>-5</v>
      </c>
      <c r="K220" s="17">
        <f t="shared" si="17"/>
        <v>-50</v>
      </c>
      <c r="L220" s="17"/>
      <c r="M220" s="19">
        <f t="shared" si="18"/>
        <v>0</v>
      </c>
    </row>
    <row r="221" spans="1:13">
      <c r="A221" s="43"/>
      <c r="G221" s="5"/>
      <c r="H221" s="17">
        <v>216</v>
      </c>
      <c r="I221" s="18" t="str">
        <f t="shared" si="16"/>
        <v/>
      </c>
      <c r="J221" s="17">
        <f t="shared" si="19"/>
        <v>-5</v>
      </c>
      <c r="K221" s="17">
        <f t="shared" si="17"/>
        <v>-50</v>
      </c>
      <c r="L221" s="17"/>
      <c r="M221" s="19">
        <f t="shared" si="18"/>
        <v>0</v>
      </c>
    </row>
    <row r="222" spans="1:13">
      <c r="A222" s="43"/>
      <c r="G222" s="5"/>
      <c r="H222" s="17">
        <v>217</v>
      </c>
      <c r="I222" s="18" t="str">
        <f t="shared" si="16"/>
        <v/>
      </c>
      <c r="J222" s="17">
        <f t="shared" si="19"/>
        <v>-5</v>
      </c>
      <c r="K222" s="17">
        <f t="shared" si="17"/>
        <v>-50</v>
      </c>
      <c r="L222" s="17"/>
      <c r="M222" s="19">
        <f t="shared" si="18"/>
        <v>0</v>
      </c>
    </row>
    <row r="223" spans="1:13">
      <c r="A223" s="43"/>
      <c r="G223" s="5"/>
      <c r="H223" s="17">
        <v>218</v>
      </c>
      <c r="I223" s="18" t="str">
        <f t="shared" si="16"/>
        <v/>
      </c>
      <c r="J223" s="17">
        <f t="shared" si="19"/>
        <v>-5</v>
      </c>
      <c r="K223" s="17">
        <f t="shared" si="17"/>
        <v>-50</v>
      </c>
      <c r="L223" s="17"/>
      <c r="M223" s="19">
        <f t="shared" si="18"/>
        <v>0</v>
      </c>
    </row>
    <row r="224" spans="1:13">
      <c r="A224" s="43"/>
      <c r="G224" s="5"/>
      <c r="H224" s="17">
        <v>219</v>
      </c>
      <c r="I224" s="18" t="str">
        <f t="shared" si="16"/>
        <v/>
      </c>
      <c r="J224" s="17">
        <f t="shared" si="19"/>
        <v>-5</v>
      </c>
      <c r="K224" s="17">
        <f t="shared" si="17"/>
        <v>-50</v>
      </c>
      <c r="L224" s="17"/>
      <c r="M224" s="19">
        <f t="shared" si="18"/>
        <v>0</v>
      </c>
    </row>
    <row r="225" spans="1:13">
      <c r="A225" s="43"/>
      <c r="G225" s="5"/>
      <c r="H225" s="17">
        <v>220</v>
      </c>
      <c r="I225" s="18" t="str">
        <f t="shared" si="16"/>
        <v/>
      </c>
      <c r="J225" s="17">
        <f t="shared" si="19"/>
        <v>-5</v>
      </c>
      <c r="K225" s="17">
        <f t="shared" si="17"/>
        <v>-50</v>
      </c>
      <c r="L225" s="17"/>
      <c r="M225" s="19">
        <f t="shared" si="18"/>
        <v>0</v>
      </c>
    </row>
    <row r="226" spans="1:13">
      <c r="A226" s="43"/>
      <c r="G226" s="5"/>
      <c r="H226" s="17">
        <v>221</v>
      </c>
      <c r="I226" s="18" t="str">
        <f t="shared" si="16"/>
        <v/>
      </c>
      <c r="J226" s="17">
        <f t="shared" si="19"/>
        <v>-5</v>
      </c>
      <c r="K226" s="17">
        <f t="shared" si="17"/>
        <v>-50</v>
      </c>
      <c r="L226" s="17"/>
      <c r="M226" s="19">
        <f t="shared" si="18"/>
        <v>0</v>
      </c>
    </row>
    <row r="227" spans="1:13">
      <c r="A227" s="43"/>
      <c r="G227" s="5"/>
      <c r="H227" s="17">
        <v>222</v>
      </c>
      <c r="I227" s="18" t="str">
        <f t="shared" si="16"/>
        <v/>
      </c>
      <c r="J227" s="17">
        <f t="shared" si="19"/>
        <v>-5</v>
      </c>
      <c r="K227" s="17">
        <f t="shared" si="17"/>
        <v>-50</v>
      </c>
      <c r="L227" s="17"/>
      <c r="M227" s="19">
        <f t="shared" si="18"/>
        <v>0</v>
      </c>
    </row>
    <row r="228" spans="1:13">
      <c r="A228" s="43"/>
      <c r="G228" s="5"/>
      <c r="H228" s="17">
        <v>223</v>
      </c>
      <c r="I228" s="18" t="str">
        <f t="shared" si="16"/>
        <v/>
      </c>
      <c r="J228" s="17">
        <f t="shared" si="19"/>
        <v>-5</v>
      </c>
      <c r="K228" s="17">
        <f t="shared" si="17"/>
        <v>-50</v>
      </c>
      <c r="L228" s="17"/>
      <c r="M228" s="19">
        <f t="shared" si="18"/>
        <v>0</v>
      </c>
    </row>
    <row r="229" spans="1:13">
      <c r="A229" s="43"/>
      <c r="G229" s="5"/>
      <c r="H229" s="17">
        <v>224</v>
      </c>
      <c r="I229" s="18" t="str">
        <f t="shared" si="16"/>
        <v/>
      </c>
      <c r="J229" s="17">
        <f t="shared" si="19"/>
        <v>-5</v>
      </c>
      <c r="K229" s="17">
        <f t="shared" si="17"/>
        <v>-50</v>
      </c>
      <c r="L229" s="17"/>
      <c r="M229" s="19">
        <f t="shared" si="18"/>
        <v>0</v>
      </c>
    </row>
    <row r="230" spans="1:13">
      <c r="A230" s="43"/>
      <c r="G230" s="5"/>
      <c r="H230" s="17">
        <v>225</v>
      </c>
      <c r="I230" s="18" t="str">
        <f t="shared" si="16"/>
        <v/>
      </c>
      <c r="J230" s="17">
        <f t="shared" si="19"/>
        <v>-5</v>
      </c>
      <c r="K230" s="17">
        <f t="shared" si="17"/>
        <v>-50</v>
      </c>
      <c r="L230" s="17"/>
      <c r="M230" s="19">
        <f t="shared" si="18"/>
        <v>0</v>
      </c>
    </row>
    <row r="231" spans="1:13">
      <c r="A231" s="43"/>
      <c r="G231" s="5"/>
      <c r="H231" s="17">
        <v>226</v>
      </c>
      <c r="I231" s="18" t="str">
        <f t="shared" si="16"/>
        <v/>
      </c>
      <c r="J231" s="17">
        <f t="shared" si="19"/>
        <v>-5</v>
      </c>
      <c r="K231" s="17">
        <f t="shared" si="17"/>
        <v>-50</v>
      </c>
      <c r="L231" s="17"/>
      <c r="M231" s="19">
        <f t="shared" si="18"/>
        <v>0</v>
      </c>
    </row>
    <row r="232" spans="1:13">
      <c r="A232" s="43"/>
      <c r="G232" s="5"/>
      <c r="H232" s="17">
        <v>227</v>
      </c>
      <c r="I232" s="18" t="str">
        <f t="shared" si="16"/>
        <v/>
      </c>
      <c r="J232" s="17">
        <f t="shared" si="19"/>
        <v>-5</v>
      </c>
      <c r="K232" s="17">
        <f t="shared" si="17"/>
        <v>-50</v>
      </c>
      <c r="L232" s="17"/>
      <c r="M232" s="19">
        <f t="shared" si="18"/>
        <v>0</v>
      </c>
    </row>
    <row r="233" spans="1:13">
      <c r="A233" s="43"/>
      <c r="G233" s="5"/>
      <c r="H233" s="17">
        <v>228</v>
      </c>
      <c r="I233" s="18" t="str">
        <f t="shared" si="16"/>
        <v/>
      </c>
      <c r="J233" s="17">
        <f t="shared" si="19"/>
        <v>-5</v>
      </c>
      <c r="K233" s="17">
        <f t="shared" si="17"/>
        <v>-50</v>
      </c>
      <c r="L233" s="17"/>
      <c r="M233" s="19">
        <f t="shared" si="18"/>
        <v>0</v>
      </c>
    </row>
    <row r="234" spans="1:13">
      <c r="A234" s="43"/>
      <c r="G234" s="5"/>
      <c r="H234" s="17">
        <v>229</v>
      </c>
      <c r="I234" s="18" t="str">
        <f t="shared" si="16"/>
        <v/>
      </c>
      <c r="J234" s="17">
        <f t="shared" si="19"/>
        <v>-5</v>
      </c>
      <c r="K234" s="17">
        <f t="shared" si="17"/>
        <v>-50</v>
      </c>
      <c r="L234" s="17"/>
      <c r="M234" s="19">
        <f t="shared" si="18"/>
        <v>0</v>
      </c>
    </row>
    <row r="235" spans="1:13">
      <c r="A235" s="43"/>
      <c r="G235" s="5"/>
      <c r="H235" s="17">
        <v>230</v>
      </c>
      <c r="I235" s="18" t="str">
        <f t="shared" si="16"/>
        <v/>
      </c>
      <c r="J235" s="17">
        <f t="shared" si="19"/>
        <v>-5</v>
      </c>
      <c r="K235" s="17">
        <f t="shared" si="17"/>
        <v>-50</v>
      </c>
      <c r="L235" s="17"/>
      <c r="M235" s="19">
        <f t="shared" si="18"/>
        <v>0</v>
      </c>
    </row>
    <row r="236" spans="1:13">
      <c r="A236" s="43"/>
      <c r="G236" s="5"/>
      <c r="H236" s="17">
        <v>231</v>
      </c>
      <c r="I236" s="18" t="str">
        <f t="shared" si="16"/>
        <v/>
      </c>
      <c r="J236" s="17">
        <f t="shared" si="19"/>
        <v>-5</v>
      </c>
      <c r="K236" s="17">
        <f t="shared" si="17"/>
        <v>-50</v>
      </c>
      <c r="L236" s="17"/>
      <c r="M236" s="19">
        <f t="shared" si="18"/>
        <v>0</v>
      </c>
    </row>
    <row r="237" spans="1:13">
      <c r="A237" s="43"/>
      <c r="G237" s="5"/>
      <c r="H237" s="17">
        <v>232</v>
      </c>
      <c r="I237" s="18" t="str">
        <f t="shared" si="16"/>
        <v/>
      </c>
      <c r="J237" s="17">
        <f t="shared" si="19"/>
        <v>-5</v>
      </c>
      <c r="K237" s="17">
        <f t="shared" si="17"/>
        <v>-50</v>
      </c>
      <c r="L237" s="17"/>
      <c r="M237" s="19">
        <f t="shared" si="18"/>
        <v>0</v>
      </c>
    </row>
    <row r="238" spans="1:13">
      <c r="A238" s="43"/>
      <c r="G238" s="5"/>
      <c r="H238" s="17">
        <v>233</v>
      </c>
      <c r="I238" s="18" t="str">
        <f t="shared" si="16"/>
        <v/>
      </c>
      <c r="J238" s="17">
        <f t="shared" si="19"/>
        <v>-5</v>
      </c>
      <c r="K238" s="17">
        <f t="shared" si="17"/>
        <v>-50</v>
      </c>
      <c r="L238" s="17"/>
      <c r="M238" s="19">
        <f t="shared" si="18"/>
        <v>0</v>
      </c>
    </row>
    <row r="239" spans="1:13">
      <c r="A239" s="43"/>
      <c r="G239" s="5"/>
      <c r="H239" s="17">
        <v>234</v>
      </c>
      <c r="I239" s="18" t="str">
        <f t="shared" si="16"/>
        <v/>
      </c>
      <c r="J239" s="17">
        <f t="shared" si="19"/>
        <v>-5</v>
      </c>
      <c r="K239" s="17">
        <f t="shared" si="17"/>
        <v>-50</v>
      </c>
      <c r="L239" s="17"/>
      <c r="M239" s="19">
        <f t="shared" si="18"/>
        <v>0</v>
      </c>
    </row>
    <row r="240" spans="1:13">
      <c r="A240" s="43"/>
      <c r="G240" s="5"/>
      <c r="H240" s="17">
        <v>235</v>
      </c>
      <c r="I240" s="18" t="str">
        <f t="shared" si="16"/>
        <v/>
      </c>
      <c r="J240" s="17">
        <f t="shared" si="19"/>
        <v>-5</v>
      </c>
      <c r="K240" s="17">
        <f t="shared" si="17"/>
        <v>-50</v>
      </c>
      <c r="L240" s="17"/>
      <c r="M240" s="19">
        <f t="shared" si="18"/>
        <v>0</v>
      </c>
    </row>
    <row r="241" spans="1:13">
      <c r="A241" s="43"/>
      <c r="G241" s="5"/>
      <c r="H241" s="17">
        <v>236</v>
      </c>
      <c r="I241" s="18" t="str">
        <f t="shared" si="16"/>
        <v/>
      </c>
      <c r="J241" s="17">
        <f t="shared" si="19"/>
        <v>-5</v>
      </c>
      <c r="K241" s="17">
        <f t="shared" si="17"/>
        <v>-50</v>
      </c>
      <c r="L241" s="17"/>
      <c r="M241" s="19">
        <f t="shared" si="18"/>
        <v>0</v>
      </c>
    </row>
    <row r="242" spans="1:13">
      <c r="A242" s="43"/>
      <c r="G242" s="5"/>
      <c r="H242" s="17">
        <v>237</v>
      </c>
      <c r="I242" s="18" t="str">
        <f t="shared" si="16"/>
        <v/>
      </c>
      <c r="J242" s="17">
        <f t="shared" si="19"/>
        <v>-5</v>
      </c>
      <c r="K242" s="17">
        <f t="shared" si="17"/>
        <v>-50</v>
      </c>
      <c r="L242" s="17"/>
      <c r="M242" s="19">
        <f t="shared" si="18"/>
        <v>0</v>
      </c>
    </row>
    <row r="243" spans="1:13">
      <c r="A243" s="43"/>
      <c r="G243" s="5"/>
      <c r="H243" s="17">
        <v>238</v>
      </c>
      <c r="I243" s="18" t="str">
        <f t="shared" si="16"/>
        <v/>
      </c>
      <c r="J243" s="17">
        <f t="shared" si="19"/>
        <v>-5</v>
      </c>
      <c r="K243" s="17">
        <f t="shared" si="17"/>
        <v>-50</v>
      </c>
      <c r="L243" s="17"/>
      <c r="M243" s="19">
        <f t="shared" si="18"/>
        <v>0</v>
      </c>
    </row>
    <row r="244" spans="1:13">
      <c r="A244" s="43"/>
      <c r="G244" s="5"/>
      <c r="H244" s="17">
        <v>239</v>
      </c>
      <c r="I244" s="18" t="str">
        <f t="shared" si="16"/>
        <v/>
      </c>
      <c r="J244" s="17">
        <f t="shared" si="19"/>
        <v>-5</v>
      </c>
      <c r="K244" s="17">
        <f t="shared" si="17"/>
        <v>-50</v>
      </c>
      <c r="L244" s="17"/>
      <c r="M244" s="19">
        <f t="shared" si="18"/>
        <v>0</v>
      </c>
    </row>
    <row r="245" spans="1:13">
      <c r="A245" s="43"/>
      <c r="G245" s="5"/>
      <c r="H245" s="17">
        <v>240</v>
      </c>
      <c r="I245" s="18" t="str">
        <f t="shared" si="16"/>
        <v/>
      </c>
      <c r="J245" s="17">
        <f t="shared" si="19"/>
        <v>-5</v>
      </c>
      <c r="K245" s="17">
        <f t="shared" si="17"/>
        <v>-50</v>
      </c>
      <c r="L245" s="17"/>
      <c r="M245" s="19">
        <f t="shared" si="18"/>
        <v>0</v>
      </c>
    </row>
    <row r="246" spans="1:13">
      <c r="A246" s="43"/>
      <c r="G246" s="5"/>
      <c r="H246" s="17">
        <v>241</v>
      </c>
      <c r="I246" s="18" t="str">
        <f t="shared" si="16"/>
        <v/>
      </c>
      <c r="J246" s="17">
        <f t="shared" si="19"/>
        <v>-5</v>
      </c>
      <c r="K246" s="17">
        <f t="shared" si="17"/>
        <v>-50</v>
      </c>
      <c r="L246" s="17"/>
      <c r="M246" s="19">
        <f t="shared" si="18"/>
        <v>0</v>
      </c>
    </row>
    <row r="247" spans="1:13">
      <c r="A247" s="43"/>
      <c r="G247" s="5"/>
      <c r="H247" s="17">
        <v>242</v>
      </c>
      <c r="I247" s="18" t="str">
        <f t="shared" si="16"/>
        <v/>
      </c>
      <c r="J247" s="17">
        <f t="shared" si="19"/>
        <v>-5</v>
      </c>
      <c r="K247" s="17">
        <f t="shared" si="17"/>
        <v>-50</v>
      </c>
      <c r="L247" s="17"/>
      <c r="M247" s="19">
        <f t="shared" si="18"/>
        <v>0</v>
      </c>
    </row>
    <row r="248" spans="1:13">
      <c r="A248" s="43"/>
      <c r="G248" s="5"/>
      <c r="H248" s="17">
        <v>243</v>
      </c>
      <c r="I248" s="18" t="str">
        <f t="shared" si="16"/>
        <v/>
      </c>
      <c r="J248" s="17">
        <f t="shared" si="19"/>
        <v>-5</v>
      </c>
      <c r="K248" s="17">
        <f t="shared" si="17"/>
        <v>-50</v>
      </c>
      <c r="L248" s="17"/>
      <c r="M248" s="19">
        <f t="shared" si="18"/>
        <v>0</v>
      </c>
    </row>
    <row r="249" spans="1:13">
      <c r="A249" s="43"/>
      <c r="G249" s="5"/>
      <c r="H249" s="17">
        <v>244</v>
      </c>
      <c r="I249" s="18" t="str">
        <f t="shared" si="16"/>
        <v/>
      </c>
      <c r="J249" s="17">
        <f t="shared" si="19"/>
        <v>-5</v>
      </c>
      <c r="K249" s="17">
        <f t="shared" si="17"/>
        <v>-50</v>
      </c>
      <c r="L249" s="17"/>
      <c r="M249" s="19">
        <f t="shared" si="18"/>
        <v>0</v>
      </c>
    </row>
    <row r="250" spans="1:13">
      <c r="A250" s="43"/>
      <c r="G250" s="5"/>
      <c r="H250" s="17">
        <v>245</v>
      </c>
      <c r="I250" s="18" t="str">
        <f t="shared" si="16"/>
        <v/>
      </c>
      <c r="J250" s="17">
        <f t="shared" si="19"/>
        <v>-5</v>
      </c>
      <c r="K250" s="17">
        <f t="shared" si="17"/>
        <v>-50</v>
      </c>
      <c r="L250" s="17"/>
      <c r="M250" s="19">
        <f t="shared" si="18"/>
        <v>0</v>
      </c>
    </row>
    <row r="251" spans="1:13">
      <c r="A251" s="43"/>
      <c r="G251" s="5"/>
      <c r="H251" s="17">
        <v>246</v>
      </c>
      <c r="I251" s="18" t="str">
        <f t="shared" si="16"/>
        <v/>
      </c>
      <c r="J251" s="17">
        <f t="shared" si="19"/>
        <v>-5</v>
      </c>
      <c r="K251" s="17">
        <f t="shared" si="17"/>
        <v>-50</v>
      </c>
      <c r="L251" s="17"/>
      <c r="M251" s="19">
        <f t="shared" si="18"/>
        <v>0</v>
      </c>
    </row>
    <row r="252" spans="1:13">
      <c r="A252" s="43"/>
      <c r="G252" s="5"/>
      <c r="H252" s="17">
        <v>247</v>
      </c>
      <c r="I252" s="18" t="str">
        <f t="shared" si="16"/>
        <v/>
      </c>
      <c r="J252" s="17">
        <f t="shared" si="19"/>
        <v>-5</v>
      </c>
      <c r="K252" s="17">
        <f t="shared" si="17"/>
        <v>-50</v>
      </c>
      <c r="L252" s="17"/>
      <c r="M252" s="19">
        <f t="shared" si="18"/>
        <v>0</v>
      </c>
    </row>
    <row r="253" spans="1:13">
      <c r="A253" s="43"/>
      <c r="G253" s="5"/>
      <c r="H253" s="17">
        <v>248</v>
      </c>
      <c r="I253" s="18" t="str">
        <f t="shared" si="16"/>
        <v/>
      </c>
      <c r="J253" s="17">
        <f t="shared" si="19"/>
        <v>-5</v>
      </c>
      <c r="K253" s="17">
        <f t="shared" si="17"/>
        <v>-50</v>
      </c>
      <c r="L253" s="17"/>
      <c r="M253" s="19">
        <f t="shared" si="18"/>
        <v>0</v>
      </c>
    </row>
    <row r="254" spans="1:13">
      <c r="A254" s="43"/>
      <c r="G254" s="5"/>
      <c r="H254" s="17">
        <v>249</v>
      </c>
      <c r="I254" s="18" t="str">
        <f t="shared" si="16"/>
        <v/>
      </c>
      <c r="J254" s="17">
        <f t="shared" si="19"/>
        <v>-5</v>
      </c>
      <c r="K254" s="17">
        <f t="shared" si="17"/>
        <v>-50</v>
      </c>
      <c r="L254" s="17"/>
      <c r="M254" s="19">
        <f t="shared" si="18"/>
        <v>0</v>
      </c>
    </row>
    <row r="255" spans="1:13">
      <c r="A255" s="43"/>
      <c r="G255" s="5"/>
      <c r="H255" s="17">
        <v>250</v>
      </c>
      <c r="I255" s="18" t="str">
        <f t="shared" si="16"/>
        <v/>
      </c>
      <c r="J255" s="17">
        <f t="shared" si="19"/>
        <v>-5</v>
      </c>
      <c r="K255" s="17">
        <f t="shared" si="17"/>
        <v>-50</v>
      </c>
      <c r="L255" s="17"/>
      <c r="M255" s="19">
        <f t="shared" si="18"/>
        <v>0</v>
      </c>
    </row>
    <row r="256" spans="1:13">
      <c r="A256" s="43"/>
      <c r="G256" s="5"/>
      <c r="H256" s="17">
        <v>251</v>
      </c>
      <c r="I256" s="18" t="str">
        <f t="shared" si="16"/>
        <v/>
      </c>
      <c r="J256" s="17">
        <f t="shared" si="19"/>
        <v>-5</v>
      </c>
      <c r="K256" s="17">
        <f t="shared" si="17"/>
        <v>-50</v>
      </c>
      <c r="L256" s="17"/>
      <c r="M256" s="19">
        <f t="shared" si="18"/>
        <v>0</v>
      </c>
    </row>
    <row r="257" spans="1:13">
      <c r="A257" s="43"/>
      <c r="G257" s="5"/>
      <c r="H257" s="17">
        <v>252</v>
      </c>
      <c r="I257" s="18" t="str">
        <f t="shared" si="16"/>
        <v/>
      </c>
      <c r="J257" s="17">
        <f t="shared" si="19"/>
        <v>-5</v>
      </c>
      <c r="K257" s="17">
        <f t="shared" si="17"/>
        <v>-50</v>
      </c>
      <c r="L257" s="17"/>
      <c r="M257" s="19">
        <f t="shared" si="18"/>
        <v>0</v>
      </c>
    </row>
    <row r="258" spans="1:13">
      <c r="A258" s="43"/>
      <c r="G258" s="5"/>
      <c r="H258" s="17">
        <v>253</v>
      </c>
      <c r="I258" s="18" t="str">
        <f t="shared" si="16"/>
        <v/>
      </c>
      <c r="J258" s="17">
        <f t="shared" si="19"/>
        <v>-5</v>
      </c>
      <c r="K258" s="17">
        <f t="shared" si="17"/>
        <v>-50</v>
      </c>
      <c r="L258" s="17"/>
      <c r="M258" s="19">
        <f t="shared" si="18"/>
        <v>0</v>
      </c>
    </row>
    <row r="259" spans="1:13">
      <c r="A259" s="43"/>
      <c r="G259" s="5"/>
      <c r="H259" s="17">
        <v>254</v>
      </c>
      <c r="I259" s="18" t="str">
        <f t="shared" si="16"/>
        <v/>
      </c>
      <c r="J259" s="17">
        <f t="shared" si="19"/>
        <v>-5</v>
      </c>
      <c r="K259" s="17">
        <f t="shared" si="17"/>
        <v>-50</v>
      </c>
      <c r="L259" s="17"/>
      <c r="M259" s="19">
        <f t="shared" si="18"/>
        <v>0</v>
      </c>
    </row>
    <row r="260" spans="1:13">
      <c r="A260" s="43"/>
      <c r="G260" s="5"/>
      <c r="H260" s="17">
        <v>255</v>
      </c>
      <c r="I260" s="18" t="str">
        <f t="shared" si="16"/>
        <v/>
      </c>
      <c r="J260" s="17">
        <f t="shared" si="19"/>
        <v>-5</v>
      </c>
      <c r="K260" s="17">
        <f t="shared" si="17"/>
        <v>-50</v>
      </c>
      <c r="L260" s="17"/>
      <c r="M260" s="19">
        <f t="shared" si="18"/>
        <v>0</v>
      </c>
    </row>
    <row r="261" spans="1:13">
      <c r="A261" s="43"/>
      <c r="G261" s="5"/>
      <c r="H261" s="17">
        <v>256</v>
      </c>
      <c r="I261" s="18" t="str">
        <f t="shared" si="16"/>
        <v/>
      </c>
      <c r="J261" s="17">
        <f t="shared" si="19"/>
        <v>-5</v>
      </c>
      <c r="K261" s="17">
        <f t="shared" si="17"/>
        <v>-50</v>
      </c>
      <c r="L261" s="17"/>
      <c r="M261" s="19">
        <f t="shared" si="18"/>
        <v>0</v>
      </c>
    </row>
    <row r="262" spans="1:13">
      <c r="A262" s="43"/>
      <c r="G262" s="5"/>
      <c r="H262" s="17">
        <v>257</v>
      </c>
      <c r="I262" s="18" t="str">
        <f t="shared" ref="I262:I305" si="20">IF(H262&lt;$H$2+1,($I$2-($I$2-1)*(LOG(H262)/LOG($H$2))),"")</f>
        <v/>
      </c>
      <c r="J262" s="17">
        <f t="shared" si="19"/>
        <v>-6</v>
      </c>
      <c r="K262" s="17">
        <f t="shared" ref="K262:K305" si="21">J262*$J$2</f>
        <v>-60</v>
      </c>
      <c r="L262" s="17"/>
      <c r="M262" s="19">
        <f t="shared" ref="M262:M305" si="22">IF(I262&lt;&gt;"",K262+I262+L262,0)</f>
        <v>0</v>
      </c>
    </row>
    <row r="263" spans="1:13">
      <c r="A263" s="43"/>
      <c r="G263" s="5"/>
      <c r="H263" s="17">
        <v>258</v>
      </c>
      <c r="I263" s="18" t="str">
        <f t="shared" si="20"/>
        <v/>
      </c>
      <c r="J263" s="17">
        <f t="shared" ref="J263:J326" si="23">INT(LOG($H$2,2))-ROUNDUP(LOG(H263,2),0)+IF(OR($H$2=1,$H$2=2,$H$2=4,$H$2=8,$H$2=16,$H$2=32,$H$2=64,$H$2=128,$H$2=256),0,1)</f>
        <v>-6</v>
      </c>
      <c r="K263" s="17">
        <f t="shared" si="21"/>
        <v>-60</v>
      </c>
      <c r="L263" s="17"/>
      <c r="M263" s="19">
        <f t="shared" si="22"/>
        <v>0</v>
      </c>
    </row>
    <row r="264" spans="1:13">
      <c r="A264" s="43"/>
      <c r="G264" s="5"/>
      <c r="H264" s="17">
        <v>259</v>
      </c>
      <c r="I264" s="18" t="str">
        <f t="shared" si="20"/>
        <v/>
      </c>
      <c r="J264" s="17">
        <f t="shared" si="23"/>
        <v>-6</v>
      </c>
      <c r="K264" s="17">
        <f t="shared" si="21"/>
        <v>-60</v>
      </c>
      <c r="L264" s="17"/>
      <c r="M264" s="19">
        <f t="shared" si="22"/>
        <v>0</v>
      </c>
    </row>
    <row r="265" spans="1:13">
      <c r="A265" s="43"/>
      <c r="G265" s="5"/>
      <c r="H265" s="17">
        <v>260</v>
      </c>
      <c r="I265" s="18" t="str">
        <f t="shared" si="20"/>
        <v/>
      </c>
      <c r="J265" s="17">
        <f t="shared" si="23"/>
        <v>-6</v>
      </c>
      <c r="K265" s="17">
        <f t="shared" si="21"/>
        <v>-60</v>
      </c>
      <c r="L265" s="17"/>
      <c r="M265" s="19">
        <f t="shared" si="22"/>
        <v>0</v>
      </c>
    </row>
    <row r="266" spans="1:13">
      <c r="A266" s="43"/>
      <c r="G266" s="5"/>
      <c r="H266" s="17">
        <v>261</v>
      </c>
      <c r="I266" s="18" t="str">
        <f t="shared" si="20"/>
        <v/>
      </c>
      <c r="J266" s="17">
        <f t="shared" si="23"/>
        <v>-6</v>
      </c>
      <c r="K266" s="17">
        <f t="shared" si="21"/>
        <v>-60</v>
      </c>
      <c r="L266" s="17"/>
      <c r="M266" s="19">
        <f t="shared" si="22"/>
        <v>0</v>
      </c>
    </row>
    <row r="267" spans="1:13">
      <c r="A267" s="43"/>
      <c r="G267" s="5"/>
      <c r="H267" s="17">
        <v>262</v>
      </c>
      <c r="I267" s="18" t="str">
        <f t="shared" si="20"/>
        <v/>
      </c>
      <c r="J267" s="17">
        <f t="shared" si="23"/>
        <v>-6</v>
      </c>
      <c r="K267" s="17">
        <f t="shared" si="21"/>
        <v>-60</v>
      </c>
      <c r="L267" s="17"/>
      <c r="M267" s="19">
        <f t="shared" si="22"/>
        <v>0</v>
      </c>
    </row>
    <row r="268" spans="1:13">
      <c r="A268" s="43"/>
      <c r="G268" s="5"/>
      <c r="H268" s="17">
        <v>263</v>
      </c>
      <c r="I268" s="18" t="str">
        <f t="shared" si="20"/>
        <v/>
      </c>
      <c r="J268" s="17">
        <f t="shared" si="23"/>
        <v>-6</v>
      </c>
      <c r="K268" s="17">
        <f t="shared" si="21"/>
        <v>-60</v>
      </c>
      <c r="L268" s="17"/>
      <c r="M268" s="19">
        <f t="shared" si="22"/>
        <v>0</v>
      </c>
    </row>
    <row r="269" spans="1:13">
      <c r="A269" s="43"/>
      <c r="G269" s="5"/>
      <c r="H269" s="17">
        <v>264</v>
      </c>
      <c r="I269" s="18" t="str">
        <f t="shared" si="20"/>
        <v/>
      </c>
      <c r="J269" s="17">
        <f t="shared" si="23"/>
        <v>-6</v>
      </c>
      <c r="K269" s="17">
        <f t="shared" si="21"/>
        <v>-60</v>
      </c>
      <c r="L269" s="17"/>
      <c r="M269" s="19">
        <f t="shared" si="22"/>
        <v>0</v>
      </c>
    </row>
    <row r="270" spans="1:13">
      <c r="A270" s="43"/>
      <c r="G270" s="5"/>
      <c r="H270" s="17">
        <v>265</v>
      </c>
      <c r="I270" s="18" t="str">
        <f t="shared" si="20"/>
        <v/>
      </c>
      <c r="J270" s="17">
        <f t="shared" si="23"/>
        <v>-6</v>
      </c>
      <c r="K270" s="17">
        <f t="shared" si="21"/>
        <v>-60</v>
      </c>
      <c r="L270" s="17"/>
      <c r="M270" s="19">
        <f t="shared" si="22"/>
        <v>0</v>
      </c>
    </row>
    <row r="271" spans="1:13">
      <c r="A271" s="43"/>
      <c r="G271" s="5"/>
      <c r="H271" s="17">
        <v>266</v>
      </c>
      <c r="I271" s="18" t="str">
        <f t="shared" si="20"/>
        <v/>
      </c>
      <c r="J271" s="17">
        <f t="shared" si="23"/>
        <v>-6</v>
      </c>
      <c r="K271" s="17">
        <f t="shared" si="21"/>
        <v>-60</v>
      </c>
      <c r="L271" s="17"/>
      <c r="M271" s="19">
        <f t="shared" si="22"/>
        <v>0</v>
      </c>
    </row>
    <row r="272" spans="1:13">
      <c r="A272" s="43"/>
      <c r="G272" s="5"/>
      <c r="H272" s="17">
        <v>267</v>
      </c>
      <c r="I272" s="18" t="str">
        <f t="shared" si="20"/>
        <v/>
      </c>
      <c r="J272" s="17">
        <f t="shared" si="23"/>
        <v>-6</v>
      </c>
      <c r="K272" s="17">
        <f t="shared" si="21"/>
        <v>-60</v>
      </c>
      <c r="L272" s="17"/>
      <c r="M272" s="19">
        <f t="shared" si="22"/>
        <v>0</v>
      </c>
    </row>
    <row r="273" spans="1:13">
      <c r="A273" s="43"/>
      <c r="G273" s="5"/>
      <c r="H273" s="17">
        <v>268</v>
      </c>
      <c r="I273" s="18" t="str">
        <f t="shared" si="20"/>
        <v/>
      </c>
      <c r="J273" s="17">
        <f t="shared" si="23"/>
        <v>-6</v>
      </c>
      <c r="K273" s="17">
        <f t="shared" si="21"/>
        <v>-60</v>
      </c>
      <c r="L273" s="17"/>
      <c r="M273" s="19">
        <f t="shared" si="22"/>
        <v>0</v>
      </c>
    </row>
    <row r="274" spans="1:13">
      <c r="A274" s="43"/>
      <c r="G274" s="5"/>
      <c r="H274" s="17">
        <v>269</v>
      </c>
      <c r="I274" s="18" t="str">
        <f t="shared" si="20"/>
        <v/>
      </c>
      <c r="J274" s="17">
        <f t="shared" si="23"/>
        <v>-6</v>
      </c>
      <c r="K274" s="17">
        <f t="shared" si="21"/>
        <v>-60</v>
      </c>
      <c r="L274" s="17"/>
      <c r="M274" s="19">
        <f t="shared" si="22"/>
        <v>0</v>
      </c>
    </row>
    <row r="275" spans="1:13">
      <c r="A275" s="43"/>
      <c r="G275" s="5"/>
      <c r="H275" s="17">
        <v>270</v>
      </c>
      <c r="I275" s="18" t="str">
        <f t="shared" si="20"/>
        <v/>
      </c>
      <c r="J275" s="17">
        <f t="shared" si="23"/>
        <v>-6</v>
      </c>
      <c r="K275" s="17">
        <f t="shared" si="21"/>
        <v>-60</v>
      </c>
      <c r="L275" s="17"/>
      <c r="M275" s="19">
        <f t="shared" si="22"/>
        <v>0</v>
      </c>
    </row>
    <row r="276" spans="1:13">
      <c r="A276" s="43"/>
      <c r="G276" s="5"/>
      <c r="H276" s="17">
        <v>271</v>
      </c>
      <c r="I276" s="18" t="str">
        <f t="shared" si="20"/>
        <v/>
      </c>
      <c r="J276" s="17">
        <f t="shared" si="23"/>
        <v>-6</v>
      </c>
      <c r="K276" s="17">
        <f t="shared" si="21"/>
        <v>-60</v>
      </c>
      <c r="L276" s="17"/>
      <c r="M276" s="19">
        <f t="shared" si="22"/>
        <v>0</v>
      </c>
    </row>
    <row r="277" spans="1:13">
      <c r="A277" s="43"/>
      <c r="G277" s="5"/>
      <c r="H277" s="17">
        <v>272</v>
      </c>
      <c r="I277" s="18" t="str">
        <f t="shared" si="20"/>
        <v/>
      </c>
      <c r="J277" s="17">
        <f t="shared" si="23"/>
        <v>-6</v>
      </c>
      <c r="K277" s="17">
        <f t="shared" si="21"/>
        <v>-60</v>
      </c>
      <c r="L277" s="17"/>
      <c r="M277" s="19">
        <f t="shared" si="22"/>
        <v>0</v>
      </c>
    </row>
    <row r="278" spans="1:13">
      <c r="A278" s="43"/>
      <c r="G278" s="5"/>
      <c r="H278" s="17">
        <v>273</v>
      </c>
      <c r="I278" s="18" t="str">
        <f t="shared" si="20"/>
        <v/>
      </c>
      <c r="J278" s="17">
        <f t="shared" si="23"/>
        <v>-6</v>
      </c>
      <c r="K278" s="17">
        <f t="shared" si="21"/>
        <v>-60</v>
      </c>
      <c r="L278" s="17"/>
      <c r="M278" s="19">
        <f t="shared" si="22"/>
        <v>0</v>
      </c>
    </row>
    <row r="279" spans="1:13">
      <c r="A279" s="43"/>
      <c r="G279" s="5"/>
      <c r="H279" s="17">
        <v>274</v>
      </c>
      <c r="I279" s="18" t="str">
        <f t="shared" si="20"/>
        <v/>
      </c>
      <c r="J279" s="17">
        <f t="shared" si="23"/>
        <v>-6</v>
      </c>
      <c r="K279" s="17">
        <f t="shared" si="21"/>
        <v>-60</v>
      </c>
      <c r="L279" s="17"/>
      <c r="M279" s="19">
        <f t="shared" si="22"/>
        <v>0</v>
      </c>
    </row>
    <row r="280" spans="1:13">
      <c r="A280" s="43"/>
      <c r="G280" s="5"/>
      <c r="H280" s="17">
        <v>275</v>
      </c>
      <c r="I280" s="18" t="str">
        <f t="shared" si="20"/>
        <v/>
      </c>
      <c r="J280" s="17">
        <f t="shared" si="23"/>
        <v>-6</v>
      </c>
      <c r="K280" s="17">
        <f t="shared" si="21"/>
        <v>-60</v>
      </c>
      <c r="L280" s="17"/>
      <c r="M280" s="19">
        <f t="shared" si="22"/>
        <v>0</v>
      </c>
    </row>
    <row r="281" spans="1:13">
      <c r="A281" s="43"/>
      <c r="G281" s="5"/>
      <c r="H281" s="17">
        <v>276</v>
      </c>
      <c r="I281" s="18" t="str">
        <f t="shared" si="20"/>
        <v/>
      </c>
      <c r="J281" s="17">
        <f t="shared" si="23"/>
        <v>-6</v>
      </c>
      <c r="K281" s="17">
        <f t="shared" si="21"/>
        <v>-60</v>
      </c>
      <c r="L281" s="17"/>
      <c r="M281" s="19">
        <f t="shared" si="22"/>
        <v>0</v>
      </c>
    </row>
    <row r="282" spans="1:13">
      <c r="A282" s="43"/>
      <c r="G282" s="5"/>
      <c r="H282" s="17">
        <v>277</v>
      </c>
      <c r="I282" s="18" t="str">
        <f t="shared" si="20"/>
        <v/>
      </c>
      <c r="J282" s="17">
        <f t="shared" si="23"/>
        <v>-6</v>
      </c>
      <c r="K282" s="17">
        <f t="shared" si="21"/>
        <v>-60</v>
      </c>
      <c r="L282" s="17"/>
      <c r="M282" s="19">
        <f t="shared" si="22"/>
        <v>0</v>
      </c>
    </row>
    <row r="283" spans="1:13">
      <c r="A283" s="43"/>
      <c r="G283" s="5"/>
      <c r="H283" s="17">
        <v>278</v>
      </c>
      <c r="I283" s="18" t="str">
        <f t="shared" si="20"/>
        <v/>
      </c>
      <c r="J283" s="17">
        <f t="shared" si="23"/>
        <v>-6</v>
      </c>
      <c r="K283" s="17">
        <f t="shared" si="21"/>
        <v>-60</v>
      </c>
      <c r="L283" s="17"/>
      <c r="M283" s="19">
        <f t="shared" si="22"/>
        <v>0</v>
      </c>
    </row>
    <row r="284" spans="1:13">
      <c r="A284" s="43"/>
      <c r="G284" s="5"/>
      <c r="H284" s="17">
        <v>279</v>
      </c>
      <c r="I284" s="18" t="str">
        <f t="shared" si="20"/>
        <v/>
      </c>
      <c r="J284" s="17">
        <f t="shared" si="23"/>
        <v>-6</v>
      </c>
      <c r="K284" s="17">
        <f t="shared" si="21"/>
        <v>-60</v>
      </c>
      <c r="L284" s="17"/>
      <c r="M284" s="19">
        <f t="shared" si="22"/>
        <v>0</v>
      </c>
    </row>
    <row r="285" spans="1:13">
      <c r="A285" s="43"/>
      <c r="G285" s="5"/>
      <c r="H285" s="17">
        <v>280</v>
      </c>
      <c r="I285" s="18" t="str">
        <f t="shared" si="20"/>
        <v/>
      </c>
      <c r="J285" s="17">
        <f t="shared" si="23"/>
        <v>-6</v>
      </c>
      <c r="K285" s="17">
        <f t="shared" si="21"/>
        <v>-60</v>
      </c>
      <c r="L285" s="17"/>
      <c r="M285" s="19">
        <f t="shared" si="22"/>
        <v>0</v>
      </c>
    </row>
    <row r="286" spans="1:13">
      <c r="A286" s="43"/>
      <c r="G286" s="5"/>
      <c r="H286" s="17">
        <v>281</v>
      </c>
      <c r="I286" s="18" t="str">
        <f t="shared" si="20"/>
        <v/>
      </c>
      <c r="J286" s="17">
        <f t="shared" si="23"/>
        <v>-6</v>
      </c>
      <c r="K286" s="17">
        <f t="shared" si="21"/>
        <v>-60</v>
      </c>
      <c r="L286" s="17"/>
      <c r="M286" s="19">
        <f t="shared" si="22"/>
        <v>0</v>
      </c>
    </row>
    <row r="287" spans="1:13">
      <c r="A287" s="43"/>
      <c r="G287" s="5"/>
      <c r="H287" s="17">
        <v>282</v>
      </c>
      <c r="I287" s="18" t="str">
        <f t="shared" si="20"/>
        <v/>
      </c>
      <c r="J287" s="17">
        <f t="shared" si="23"/>
        <v>-6</v>
      </c>
      <c r="K287" s="17">
        <f t="shared" si="21"/>
        <v>-60</v>
      </c>
      <c r="L287" s="17"/>
      <c r="M287" s="19">
        <f t="shared" si="22"/>
        <v>0</v>
      </c>
    </row>
    <row r="288" spans="1:13">
      <c r="A288" s="43"/>
      <c r="G288" s="5"/>
      <c r="H288" s="17">
        <v>283</v>
      </c>
      <c r="I288" s="18" t="str">
        <f t="shared" si="20"/>
        <v/>
      </c>
      <c r="J288" s="17">
        <f t="shared" si="23"/>
        <v>-6</v>
      </c>
      <c r="K288" s="17">
        <f t="shared" si="21"/>
        <v>-60</v>
      </c>
      <c r="L288" s="17"/>
      <c r="M288" s="19">
        <f t="shared" si="22"/>
        <v>0</v>
      </c>
    </row>
    <row r="289" spans="1:13">
      <c r="A289" s="43"/>
      <c r="G289" s="5"/>
      <c r="H289" s="17">
        <v>284</v>
      </c>
      <c r="I289" s="18" t="str">
        <f t="shared" si="20"/>
        <v/>
      </c>
      <c r="J289" s="17">
        <f t="shared" si="23"/>
        <v>-6</v>
      </c>
      <c r="K289" s="17">
        <f t="shared" si="21"/>
        <v>-60</v>
      </c>
      <c r="L289" s="17"/>
      <c r="M289" s="19">
        <f t="shared" si="22"/>
        <v>0</v>
      </c>
    </row>
    <row r="290" spans="1:13">
      <c r="A290" s="43"/>
      <c r="G290" s="5"/>
      <c r="H290" s="17">
        <v>285</v>
      </c>
      <c r="I290" s="18" t="str">
        <f t="shared" si="20"/>
        <v/>
      </c>
      <c r="J290" s="17">
        <f t="shared" si="23"/>
        <v>-6</v>
      </c>
      <c r="K290" s="17">
        <f t="shared" si="21"/>
        <v>-60</v>
      </c>
      <c r="L290" s="17"/>
      <c r="M290" s="19">
        <f t="shared" si="22"/>
        <v>0</v>
      </c>
    </row>
    <row r="291" spans="1:13">
      <c r="A291" s="43"/>
      <c r="G291" s="5"/>
      <c r="H291" s="17">
        <v>286</v>
      </c>
      <c r="I291" s="18" t="str">
        <f t="shared" si="20"/>
        <v/>
      </c>
      <c r="J291" s="17">
        <f t="shared" si="23"/>
        <v>-6</v>
      </c>
      <c r="K291" s="17">
        <f t="shared" si="21"/>
        <v>-60</v>
      </c>
      <c r="L291" s="17"/>
      <c r="M291" s="19">
        <f t="shared" si="22"/>
        <v>0</v>
      </c>
    </row>
    <row r="292" spans="1:13">
      <c r="A292" s="43"/>
      <c r="G292" s="5"/>
      <c r="H292" s="17">
        <v>287</v>
      </c>
      <c r="I292" s="18" t="str">
        <f t="shared" si="20"/>
        <v/>
      </c>
      <c r="J292" s="17">
        <f t="shared" si="23"/>
        <v>-6</v>
      </c>
      <c r="K292" s="17">
        <f t="shared" si="21"/>
        <v>-60</v>
      </c>
      <c r="L292" s="17"/>
      <c r="M292" s="19">
        <f t="shared" si="22"/>
        <v>0</v>
      </c>
    </row>
    <row r="293" spans="1:13">
      <c r="A293" s="43"/>
      <c r="G293" s="5"/>
      <c r="H293" s="17">
        <v>288</v>
      </c>
      <c r="I293" s="18" t="str">
        <f t="shared" si="20"/>
        <v/>
      </c>
      <c r="J293" s="17">
        <f t="shared" si="23"/>
        <v>-6</v>
      </c>
      <c r="K293" s="17">
        <f t="shared" si="21"/>
        <v>-60</v>
      </c>
      <c r="L293" s="17"/>
      <c r="M293" s="19">
        <f t="shared" si="22"/>
        <v>0</v>
      </c>
    </row>
    <row r="294" spans="1:13">
      <c r="A294" s="43"/>
      <c r="G294" s="5"/>
      <c r="H294" s="17">
        <v>289</v>
      </c>
      <c r="I294" s="18" t="str">
        <f t="shared" si="20"/>
        <v/>
      </c>
      <c r="J294" s="17">
        <f t="shared" si="23"/>
        <v>-6</v>
      </c>
      <c r="K294" s="17">
        <f t="shared" si="21"/>
        <v>-60</v>
      </c>
      <c r="L294" s="17"/>
      <c r="M294" s="19">
        <f t="shared" si="22"/>
        <v>0</v>
      </c>
    </row>
    <row r="295" spans="1:13">
      <c r="A295" s="43"/>
      <c r="G295" s="5"/>
      <c r="H295" s="17">
        <v>290</v>
      </c>
      <c r="I295" s="18" t="str">
        <f t="shared" si="20"/>
        <v/>
      </c>
      <c r="J295" s="17">
        <f t="shared" si="23"/>
        <v>-6</v>
      </c>
      <c r="K295" s="17">
        <f t="shared" si="21"/>
        <v>-60</v>
      </c>
      <c r="L295" s="17"/>
      <c r="M295" s="19">
        <f t="shared" si="22"/>
        <v>0</v>
      </c>
    </row>
    <row r="296" spans="1:13">
      <c r="A296" s="43"/>
      <c r="G296" s="5"/>
      <c r="H296" s="17">
        <v>291</v>
      </c>
      <c r="I296" s="18" t="str">
        <f t="shared" si="20"/>
        <v/>
      </c>
      <c r="J296" s="17">
        <f t="shared" si="23"/>
        <v>-6</v>
      </c>
      <c r="K296" s="17">
        <f t="shared" si="21"/>
        <v>-60</v>
      </c>
      <c r="L296" s="17"/>
      <c r="M296" s="19">
        <f t="shared" si="22"/>
        <v>0</v>
      </c>
    </row>
    <row r="297" spans="1:13">
      <c r="A297" s="43"/>
      <c r="G297" s="5"/>
      <c r="H297" s="17">
        <v>292</v>
      </c>
      <c r="I297" s="18" t="str">
        <f t="shared" si="20"/>
        <v/>
      </c>
      <c r="J297" s="17">
        <f t="shared" si="23"/>
        <v>-6</v>
      </c>
      <c r="K297" s="17">
        <f t="shared" si="21"/>
        <v>-60</v>
      </c>
      <c r="L297" s="17"/>
      <c r="M297" s="19">
        <f t="shared" si="22"/>
        <v>0</v>
      </c>
    </row>
    <row r="298" spans="1:13">
      <c r="A298" s="43"/>
      <c r="G298" s="5"/>
      <c r="H298" s="17">
        <v>293</v>
      </c>
      <c r="I298" s="18" t="str">
        <f t="shared" si="20"/>
        <v/>
      </c>
      <c r="J298" s="17">
        <f t="shared" si="23"/>
        <v>-6</v>
      </c>
      <c r="K298" s="17">
        <f t="shared" si="21"/>
        <v>-60</v>
      </c>
      <c r="L298" s="17"/>
      <c r="M298" s="19">
        <f t="shared" si="22"/>
        <v>0</v>
      </c>
    </row>
    <row r="299" spans="1:13">
      <c r="A299" s="43"/>
      <c r="G299" s="5"/>
      <c r="H299" s="17">
        <v>294</v>
      </c>
      <c r="I299" s="18" t="str">
        <f t="shared" si="20"/>
        <v/>
      </c>
      <c r="J299" s="17">
        <f t="shared" si="23"/>
        <v>-6</v>
      </c>
      <c r="K299" s="17">
        <f t="shared" si="21"/>
        <v>-60</v>
      </c>
      <c r="L299" s="17"/>
      <c r="M299" s="19">
        <f t="shared" si="22"/>
        <v>0</v>
      </c>
    </row>
    <row r="300" spans="1:13">
      <c r="A300" s="43"/>
      <c r="G300" s="5"/>
      <c r="H300" s="17">
        <v>295</v>
      </c>
      <c r="I300" s="18" t="str">
        <f t="shared" si="20"/>
        <v/>
      </c>
      <c r="J300" s="17">
        <f t="shared" si="23"/>
        <v>-6</v>
      </c>
      <c r="K300" s="17">
        <f t="shared" si="21"/>
        <v>-60</v>
      </c>
      <c r="L300" s="17"/>
      <c r="M300" s="19">
        <f t="shared" si="22"/>
        <v>0</v>
      </c>
    </row>
    <row r="301" spans="1:13">
      <c r="A301" s="43"/>
      <c r="G301" s="5"/>
      <c r="H301" s="17">
        <v>296</v>
      </c>
      <c r="I301" s="18" t="str">
        <f t="shared" si="20"/>
        <v/>
      </c>
      <c r="J301" s="17">
        <f t="shared" si="23"/>
        <v>-6</v>
      </c>
      <c r="K301" s="17">
        <f t="shared" si="21"/>
        <v>-60</v>
      </c>
      <c r="L301" s="17"/>
      <c r="M301" s="19">
        <f t="shared" si="22"/>
        <v>0</v>
      </c>
    </row>
    <row r="302" spans="1:13">
      <c r="A302" s="43"/>
      <c r="G302" s="5"/>
      <c r="H302" s="17">
        <v>297</v>
      </c>
      <c r="I302" s="18" t="str">
        <f t="shared" si="20"/>
        <v/>
      </c>
      <c r="J302" s="17">
        <f t="shared" si="23"/>
        <v>-6</v>
      </c>
      <c r="K302" s="17">
        <f t="shared" si="21"/>
        <v>-60</v>
      </c>
      <c r="L302" s="17"/>
      <c r="M302" s="19">
        <f t="shared" si="22"/>
        <v>0</v>
      </c>
    </row>
    <row r="303" spans="1:13">
      <c r="A303" s="43"/>
      <c r="G303" s="5"/>
      <c r="H303" s="17">
        <v>298</v>
      </c>
      <c r="I303" s="18" t="str">
        <f t="shared" si="20"/>
        <v/>
      </c>
      <c r="J303" s="17">
        <f t="shared" si="23"/>
        <v>-6</v>
      </c>
      <c r="K303" s="17">
        <f t="shared" si="21"/>
        <v>-60</v>
      </c>
      <c r="L303" s="17"/>
      <c r="M303" s="19">
        <f t="shared" si="22"/>
        <v>0</v>
      </c>
    </row>
    <row r="304" spans="1:13">
      <c r="A304" s="43"/>
      <c r="G304" s="5"/>
      <c r="H304" s="17">
        <v>299</v>
      </c>
      <c r="I304" s="18" t="str">
        <f t="shared" si="20"/>
        <v/>
      </c>
      <c r="J304" s="17">
        <f t="shared" si="23"/>
        <v>-6</v>
      </c>
      <c r="K304" s="17">
        <f t="shared" si="21"/>
        <v>-60</v>
      </c>
      <c r="L304" s="17"/>
      <c r="M304" s="19">
        <f t="shared" si="22"/>
        <v>0</v>
      </c>
    </row>
    <row r="305" spans="1:16">
      <c r="A305" s="43"/>
      <c r="G305" s="5"/>
      <c r="H305" s="17">
        <v>300</v>
      </c>
      <c r="I305" s="18" t="str">
        <f t="shared" si="20"/>
        <v/>
      </c>
      <c r="J305" s="17">
        <f t="shared" si="23"/>
        <v>-6</v>
      </c>
      <c r="K305" s="17">
        <f t="shared" si="21"/>
        <v>-60</v>
      </c>
      <c r="L305" s="17"/>
      <c r="M305" s="19">
        <f t="shared" si="22"/>
        <v>0</v>
      </c>
    </row>
    <row r="306" spans="1:16">
      <c r="A306" s="4"/>
      <c r="J306" s="20" t="e">
        <f t="shared" si="23"/>
        <v>#NUM!</v>
      </c>
    </row>
    <row r="307" spans="1:16">
      <c r="J307" s="20" t="e">
        <f t="shared" si="23"/>
        <v>#NUM!</v>
      </c>
    </row>
    <row r="308" spans="1:16">
      <c r="J308" s="20" t="e">
        <f t="shared" si="23"/>
        <v>#NUM!</v>
      </c>
    </row>
    <row r="309" spans="1:16">
      <c r="J309" s="20" t="e">
        <f t="shared" si="23"/>
        <v>#NUM!</v>
      </c>
    </row>
    <row r="310" spans="1:16">
      <c r="J310" s="20" t="e">
        <f t="shared" si="23"/>
        <v>#NUM!</v>
      </c>
    </row>
    <row r="311" spans="1:16">
      <c r="J311" s="20" t="e">
        <f t="shared" si="23"/>
        <v>#NUM!</v>
      </c>
    </row>
    <row r="312" spans="1:16">
      <c r="J312" s="20" t="e">
        <f t="shared" si="23"/>
        <v>#NUM!</v>
      </c>
    </row>
    <row r="313" spans="1:16">
      <c r="J313" s="20" t="e">
        <f t="shared" si="23"/>
        <v>#NUM!</v>
      </c>
    </row>
    <row r="314" spans="1:16">
      <c r="J314" s="20" t="e">
        <f t="shared" si="23"/>
        <v>#NUM!</v>
      </c>
      <c r="L314" s="21"/>
      <c r="P314" s="49"/>
    </row>
    <row r="315" spans="1:16">
      <c r="J315" s="20" t="e">
        <f t="shared" si="23"/>
        <v>#NUM!</v>
      </c>
      <c r="L315" s="21"/>
      <c r="P315" s="49"/>
    </row>
    <row r="316" spans="1:16">
      <c r="J316" s="20" t="e">
        <f t="shared" si="23"/>
        <v>#NUM!</v>
      </c>
      <c r="L316" s="21"/>
      <c r="P316" s="49"/>
    </row>
    <row r="317" spans="1:16">
      <c r="J317" s="20" t="e">
        <f t="shared" si="23"/>
        <v>#NUM!</v>
      </c>
      <c r="L317" s="21"/>
      <c r="P317" s="49"/>
    </row>
    <row r="318" spans="1:16">
      <c r="J318" s="20" t="e">
        <f t="shared" si="23"/>
        <v>#NUM!</v>
      </c>
    </row>
    <row r="319" spans="1:16">
      <c r="J319" s="20" t="e">
        <f t="shared" si="23"/>
        <v>#NUM!</v>
      </c>
    </row>
    <row r="320" spans="1:16">
      <c r="J320" s="20" t="e">
        <f t="shared" si="23"/>
        <v>#NUM!</v>
      </c>
    </row>
    <row r="321" spans="10:10">
      <c r="J321" s="20" t="e">
        <f t="shared" si="23"/>
        <v>#NUM!</v>
      </c>
    </row>
    <row r="322" spans="10:10">
      <c r="J322" s="20" t="e">
        <f t="shared" si="23"/>
        <v>#NUM!</v>
      </c>
    </row>
    <row r="323" spans="10:10">
      <c r="J323" s="20" t="e">
        <f t="shared" si="23"/>
        <v>#NUM!</v>
      </c>
    </row>
    <row r="324" spans="10:10">
      <c r="J324" s="20" t="e">
        <f t="shared" si="23"/>
        <v>#NUM!</v>
      </c>
    </row>
    <row r="325" spans="10:10">
      <c r="J325" s="20" t="e">
        <f t="shared" si="23"/>
        <v>#NUM!</v>
      </c>
    </row>
    <row r="326" spans="10:10">
      <c r="J326" s="20" t="e">
        <f t="shared" si="23"/>
        <v>#NUM!</v>
      </c>
    </row>
    <row r="327" spans="10:10">
      <c r="J327" s="20" t="e">
        <f t="shared" ref="J327:J390" si="24">INT(LOG($H$2,2))-ROUNDUP(LOG(H327,2),0)+IF(OR($H$2=1,$H$2=2,$H$2=4,$H$2=8,$H$2=16,$H$2=32,$H$2=64,$H$2=128,$H$2=256),0,1)</f>
        <v>#NUM!</v>
      </c>
    </row>
    <row r="328" spans="10:10">
      <c r="J328" s="20" t="e">
        <f t="shared" si="24"/>
        <v>#NUM!</v>
      </c>
    </row>
    <row r="329" spans="10:10">
      <c r="J329" s="20" t="e">
        <f t="shared" si="24"/>
        <v>#NUM!</v>
      </c>
    </row>
    <row r="330" spans="10:10">
      <c r="J330" s="20" t="e">
        <f t="shared" si="24"/>
        <v>#NUM!</v>
      </c>
    </row>
    <row r="331" spans="10:10">
      <c r="J331" s="20" t="e">
        <f t="shared" si="24"/>
        <v>#NUM!</v>
      </c>
    </row>
    <row r="332" spans="10:10">
      <c r="J332" s="20" t="e">
        <f t="shared" si="24"/>
        <v>#NUM!</v>
      </c>
    </row>
    <row r="333" spans="10:10">
      <c r="J333" s="20" t="e">
        <f t="shared" si="24"/>
        <v>#NUM!</v>
      </c>
    </row>
    <row r="334" spans="10:10">
      <c r="J334" s="20" t="e">
        <f t="shared" si="24"/>
        <v>#NUM!</v>
      </c>
    </row>
    <row r="335" spans="10:10">
      <c r="J335" s="20" t="e">
        <f t="shared" si="24"/>
        <v>#NUM!</v>
      </c>
    </row>
    <row r="336" spans="10:10">
      <c r="J336" s="20" t="e">
        <f t="shared" si="24"/>
        <v>#NUM!</v>
      </c>
    </row>
    <row r="337" spans="10:10">
      <c r="J337" s="20" t="e">
        <f t="shared" si="24"/>
        <v>#NUM!</v>
      </c>
    </row>
    <row r="338" spans="10:10">
      <c r="J338" s="20" t="e">
        <f t="shared" si="24"/>
        <v>#NUM!</v>
      </c>
    </row>
    <row r="339" spans="10:10">
      <c r="J339" s="20" t="e">
        <f t="shared" si="24"/>
        <v>#NUM!</v>
      </c>
    </row>
    <row r="340" spans="10:10">
      <c r="J340" s="20" t="e">
        <f t="shared" si="24"/>
        <v>#NUM!</v>
      </c>
    </row>
    <row r="341" spans="10:10">
      <c r="J341" s="20" t="e">
        <f t="shared" si="24"/>
        <v>#NUM!</v>
      </c>
    </row>
    <row r="342" spans="10:10">
      <c r="J342" s="20" t="e">
        <f t="shared" si="24"/>
        <v>#NUM!</v>
      </c>
    </row>
    <row r="343" spans="10:10">
      <c r="J343" s="20" t="e">
        <f t="shared" si="24"/>
        <v>#NUM!</v>
      </c>
    </row>
    <row r="344" spans="10:10">
      <c r="J344" s="20" t="e">
        <f t="shared" si="24"/>
        <v>#NUM!</v>
      </c>
    </row>
    <row r="345" spans="10:10">
      <c r="J345" s="20" t="e">
        <f t="shared" si="24"/>
        <v>#NUM!</v>
      </c>
    </row>
    <row r="346" spans="10:10">
      <c r="J346" s="20" t="e">
        <f t="shared" si="24"/>
        <v>#NUM!</v>
      </c>
    </row>
    <row r="347" spans="10:10">
      <c r="J347" s="20" t="e">
        <f t="shared" si="24"/>
        <v>#NUM!</v>
      </c>
    </row>
    <row r="348" spans="10:10">
      <c r="J348" s="20" t="e">
        <f t="shared" si="24"/>
        <v>#NUM!</v>
      </c>
    </row>
    <row r="349" spans="10:10">
      <c r="J349" s="20" t="e">
        <f t="shared" si="24"/>
        <v>#NUM!</v>
      </c>
    </row>
    <row r="350" spans="10:10">
      <c r="J350" s="20" t="e">
        <f t="shared" si="24"/>
        <v>#NUM!</v>
      </c>
    </row>
    <row r="351" spans="10:10">
      <c r="J351" s="20" t="e">
        <f t="shared" si="24"/>
        <v>#NUM!</v>
      </c>
    </row>
    <row r="352" spans="10:10">
      <c r="J352" s="20" t="e">
        <f t="shared" si="24"/>
        <v>#NUM!</v>
      </c>
    </row>
    <row r="353" spans="10:10">
      <c r="J353" s="20" t="e">
        <f t="shared" si="24"/>
        <v>#NUM!</v>
      </c>
    </row>
    <row r="354" spans="10:10">
      <c r="J354" s="20" t="e">
        <f t="shared" si="24"/>
        <v>#NUM!</v>
      </c>
    </row>
    <row r="355" spans="10:10">
      <c r="J355" s="20" t="e">
        <f t="shared" si="24"/>
        <v>#NUM!</v>
      </c>
    </row>
    <row r="356" spans="10:10">
      <c r="J356" s="20" t="e">
        <f t="shared" si="24"/>
        <v>#NUM!</v>
      </c>
    </row>
    <row r="357" spans="10:10">
      <c r="J357" s="20" t="e">
        <f t="shared" si="24"/>
        <v>#NUM!</v>
      </c>
    </row>
    <row r="358" spans="10:10">
      <c r="J358" s="20" t="e">
        <f t="shared" si="24"/>
        <v>#NUM!</v>
      </c>
    </row>
    <row r="359" spans="10:10">
      <c r="J359" s="20" t="e">
        <f t="shared" si="24"/>
        <v>#NUM!</v>
      </c>
    </row>
    <row r="360" spans="10:10">
      <c r="J360" s="20" t="e">
        <f t="shared" si="24"/>
        <v>#NUM!</v>
      </c>
    </row>
    <row r="361" spans="10:10">
      <c r="J361" s="20" t="e">
        <f t="shared" si="24"/>
        <v>#NUM!</v>
      </c>
    </row>
    <row r="362" spans="10:10">
      <c r="J362" s="20" t="e">
        <f t="shared" si="24"/>
        <v>#NUM!</v>
      </c>
    </row>
    <row r="363" spans="10:10">
      <c r="J363" s="20" t="e">
        <f t="shared" si="24"/>
        <v>#NUM!</v>
      </c>
    </row>
    <row r="364" spans="10:10">
      <c r="J364" s="20" t="e">
        <f t="shared" si="24"/>
        <v>#NUM!</v>
      </c>
    </row>
    <row r="365" spans="10:10">
      <c r="J365" s="20" t="e">
        <f t="shared" si="24"/>
        <v>#NUM!</v>
      </c>
    </row>
    <row r="366" spans="10:10">
      <c r="J366" s="20" t="e">
        <f t="shared" si="24"/>
        <v>#NUM!</v>
      </c>
    </row>
    <row r="367" spans="10:10">
      <c r="J367" s="20" t="e">
        <f t="shared" si="24"/>
        <v>#NUM!</v>
      </c>
    </row>
    <row r="368" spans="10:10">
      <c r="J368" s="20" t="e">
        <f t="shared" si="24"/>
        <v>#NUM!</v>
      </c>
    </row>
    <row r="369" spans="10:10">
      <c r="J369" s="20" t="e">
        <f t="shared" si="24"/>
        <v>#NUM!</v>
      </c>
    </row>
    <row r="370" spans="10:10">
      <c r="J370" s="20" t="e">
        <f t="shared" si="24"/>
        <v>#NUM!</v>
      </c>
    </row>
    <row r="371" spans="10:10">
      <c r="J371" s="20" t="e">
        <f t="shared" si="24"/>
        <v>#NUM!</v>
      </c>
    </row>
    <row r="372" spans="10:10">
      <c r="J372" s="20" t="e">
        <f t="shared" si="24"/>
        <v>#NUM!</v>
      </c>
    </row>
    <row r="373" spans="10:10">
      <c r="J373" s="20" t="e">
        <f t="shared" si="24"/>
        <v>#NUM!</v>
      </c>
    </row>
    <row r="374" spans="10:10">
      <c r="J374" s="20" t="e">
        <f t="shared" si="24"/>
        <v>#NUM!</v>
      </c>
    </row>
    <row r="375" spans="10:10">
      <c r="J375" s="20" t="e">
        <f t="shared" si="24"/>
        <v>#NUM!</v>
      </c>
    </row>
    <row r="376" spans="10:10">
      <c r="J376" s="20" t="e">
        <f t="shared" si="24"/>
        <v>#NUM!</v>
      </c>
    </row>
    <row r="377" spans="10:10">
      <c r="J377" s="20" t="e">
        <f t="shared" si="24"/>
        <v>#NUM!</v>
      </c>
    </row>
    <row r="378" spans="10:10">
      <c r="J378" s="20" t="e">
        <f t="shared" si="24"/>
        <v>#NUM!</v>
      </c>
    </row>
    <row r="379" spans="10:10">
      <c r="J379" s="20" t="e">
        <f t="shared" si="24"/>
        <v>#NUM!</v>
      </c>
    </row>
    <row r="380" spans="10:10">
      <c r="J380" s="20" t="e">
        <f t="shared" si="24"/>
        <v>#NUM!</v>
      </c>
    </row>
    <row r="381" spans="10:10">
      <c r="J381" s="20" t="e">
        <f t="shared" si="24"/>
        <v>#NUM!</v>
      </c>
    </row>
    <row r="382" spans="10:10">
      <c r="J382" s="20" t="e">
        <f t="shared" si="24"/>
        <v>#NUM!</v>
      </c>
    </row>
    <row r="383" spans="10:10">
      <c r="J383" s="20" t="e">
        <f t="shared" si="24"/>
        <v>#NUM!</v>
      </c>
    </row>
    <row r="384" spans="10:10">
      <c r="J384" s="20" t="e">
        <f t="shared" si="24"/>
        <v>#NUM!</v>
      </c>
    </row>
    <row r="385" spans="10:10">
      <c r="J385" s="20" t="e">
        <f t="shared" si="24"/>
        <v>#NUM!</v>
      </c>
    </row>
    <row r="386" spans="10:10">
      <c r="J386" s="20" t="e">
        <f t="shared" si="24"/>
        <v>#NUM!</v>
      </c>
    </row>
    <row r="387" spans="10:10">
      <c r="J387" s="20" t="e">
        <f t="shared" si="24"/>
        <v>#NUM!</v>
      </c>
    </row>
    <row r="388" spans="10:10">
      <c r="J388" s="20" t="e">
        <f t="shared" si="24"/>
        <v>#NUM!</v>
      </c>
    </row>
    <row r="389" spans="10:10">
      <c r="J389" s="20" t="e">
        <f t="shared" si="24"/>
        <v>#NUM!</v>
      </c>
    </row>
    <row r="390" spans="10:10">
      <c r="J390" s="20" t="e">
        <f t="shared" si="24"/>
        <v>#NUM!</v>
      </c>
    </row>
    <row r="391" spans="10:10">
      <c r="J391" s="20" t="e">
        <f t="shared" ref="J391:J454" si="25">INT(LOG($H$2,2))-ROUNDUP(LOG(H391,2),0)+IF(OR($H$2=1,$H$2=2,$H$2=4,$H$2=8,$H$2=16,$H$2=32,$H$2=64,$H$2=128,$H$2=256),0,1)</f>
        <v>#NUM!</v>
      </c>
    </row>
    <row r="392" spans="10:10">
      <c r="J392" s="20" t="e">
        <f t="shared" si="25"/>
        <v>#NUM!</v>
      </c>
    </row>
    <row r="393" spans="10:10">
      <c r="J393" s="20" t="e">
        <f t="shared" si="25"/>
        <v>#NUM!</v>
      </c>
    </row>
    <row r="394" spans="10:10">
      <c r="J394" s="20" t="e">
        <f t="shared" si="25"/>
        <v>#NUM!</v>
      </c>
    </row>
    <row r="395" spans="10:10">
      <c r="J395" s="20" t="e">
        <f t="shared" si="25"/>
        <v>#NUM!</v>
      </c>
    </row>
    <row r="396" spans="10:10">
      <c r="J396" s="20" t="e">
        <f t="shared" si="25"/>
        <v>#NUM!</v>
      </c>
    </row>
    <row r="397" spans="10:10">
      <c r="J397" s="20" t="e">
        <f t="shared" si="25"/>
        <v>#NUM!</v>
      </c>
    </row>
    <row r="398" spans="10:10">
      <c r="J398" s="20" t="e">
        <f t="shared" si="25"/>
        <v>#NUM!</v>
      </c>
    </row>
    <row r="399" spans="10:10">
      <c r="J399" s="20" t="e">
        <f t="shared" si="25"/>
        <v>#NUM!</v>
      </c>
    </row>
    <row r="400" spans="10:10">
      <c r="J400" s="20" t="e">
        <f t="shared" si="25"/>
        <v>#NUM!</v>
      </c>
    </row>
    <row r="401" spans="10:10">
      <c r="J401" s="20" t="e">
        <f t="shared" si="25"/>
        <v>#NUM!</v>
      </c>
    </row>
    <row r="402" spans="10:10">
      <c r="J402" s="20" t="e">
        <f t="shared" si="25"/>
        <v>#NUM!</v>
      </c>
    </row>
    <row r="403" spans="10:10">
      <c r="J403" s="20" t="e">
        <f t="shared" si="25"/>
        <v>#NUM!</v>
      </c>
    </row>
    <row r="404" spans="10:10">
      <c r="J404" s="20" t="e">
        <f t="shared" si="25"/>
        <v>#NUM!</v>
      </c>
    </row>
    <row r="405" spans="10:10">
      <c r="J405" s="20" t="e">
        <f t="shared" si="25"/>
        <v>#NUM!</v>
      </c>
    </row>
    <row r="406" spans="10:10">
      <c r="J406" s="20" t="e">
        <f t="shared" si="25"/>
        <v>#NUM!</v>
      </c>
    </row>
    <row r="407" spans="10:10">
      <c r="J407" s="20" t="e">
        <f t="shared" si="25"/>
        <v>#NUM!</v>
      </c>
    </row>
    <row r="408" spans="10:10">
      <c r="J408" s="20" t="e">
        <f t="shared" si="25"/>
        <v>#NUM!</v>
      </c>
    </row>
    <row r="409" spans="10:10">
      <c r="J409" s="20" t="e">
        <f t="shared" si="25"/>
        <v>#NUM!</v>
      </c>
    </row>
    <row r="410" spans="10:10">
      <c r="J410" s="20" t="e">
        <f t="shared" si="25"/>
        <v>#NUM!</v>
      </c>
    </row>
    <row r="411" spans="10:10">
      <c r="J411" s="20" t="e">
        <f t="shared" si="25"/>
        <v>#NUM!</v>
      </c>
    </row>
    <row r="412" spans="10:10">
      <c r="J412" s="20" t="e">
        <f t="shared" si="25"/>
        <v>#NUM!</v>
      </c>
    </row>
    <row r="413" spans="10:10">
      <c r="J413" s="20" t="e">
        <f t="shared" si="25"/>
        <v>#NUM!</v>
      </c>
    </row>
    <row r="414" spans="10:10">
      <c r="J414" s="20" t="e">
        <f t="shared" si="25"/>
        <v>#NUM!</v>
      </c>
    </row>
    <row r="415" spans="10:10">
      <c r="J415" s="20" t="e">
        <f t="shared" si="25"/>
        <v>#NUM!</v>
      </c>
    </row>
    <row r="416" spans="10:10">
      <c r="J416" s="20" t="e">
        <f t="shared" si="25"/>
        <v>#NUM!</v>
      </c>
    </row>
    <row r="417" spans="10:10">
      <c r="J417" s="20" t="e">
        <f t="shared" si="25"/>
        <v>#NUM!</v>
      </c>
    </row>
    <row r="418" spans="10:10">
      <c r="J418" s="20" t="e">
        <f t="shared" si="25"/>
        <v>#NUM!</v>
      </c>
    </row>
    <row r="419" spans="10:10">
      <c r="J419" s="20" t="e">
        <f t="shared" si="25"/>
        <v>#NUM!</v>
      </c>
    </row>
    <row r="420" spans="10:10">
      <c r="J420" s="20" t="e">
        <f t="shared" si="25"/>
        <v>#NUM!</v>
      </c>
    </row>
    <row r="421" spans="10:10">
      <c r="J421" s="20" t="e">
        <f t="shared" si="25"/>
        <v>#NUM!</v>
      </c>
    </row>
    <row r="422" spans="10:10">
      <c r="J422" s="20" t="e">
        <f t="shared" si="25"/>
        <v>#NUM!</v>
      </c>
    </row>
    <row r="423" spans="10:10">
      <c r="J423" s="20" t="e">
        <f t="shared" si="25"/>
        <v>#NUM!</v>
      </c>
    </row>
    <row r="424" spans="10:10">
      <c r="J424" s="20" t="e">
        <f t="shared" si="25"/>
        <v>#NUM!</v>
      </c>
    </row>
    <row r="425" spans="10:10">
      <c r="J425" s="20" t="e">
        <f t="shared" si="25"/>
        <v>#NUM!</v>
      </c>
    </row>
    <row r="426" spans="10:10">
      <c r="J426" s="20" t="e">
        <f t="shared" si="25"/>
        <v>#NUM!</v>
      </c>
    </row>
    <row r="427" spans="10:10">
      <c r="J427" s="20" t="e">
        <f t="shared" si="25"/>
        <v>#NUM!</v>
      </c>
    </row>
    <row r="428" spans="10:10">
      <c r="J428" s="20" t="e">
        <f t="shared" si="25"/>
        <v>#NUM!</v>
      </c>
    </row>
    <row r="429" spans="10:10">
      <c r="J429" s="20" t="e">
        <f t="shared" si="25"/>
        <v>#NUM!</v>
      </c>
    </row>
    <row r="430" spans="10:10">
      <c r="J430" s="20" t="e">
        <f t="shared" si="25"/>
        <v>#NUM!</v>
      </c>
    </row>
    <row r="431" spans="10:10">
      <c r="J431" s="20" t="e">
        <f t="shared" si="25"/>
        <v>#NUM!</v>
      </c>
    </row>
    <row r="432" spans="10:10">
      <c r="J432" s="20" t="e">
        <f t="shared" si="25"/>
        <v>#NUM!</v>
      </c>
    </row>
    <row r="433" spans="10:10">
      <c r="J433" s="20" t="e">
        <f t="shared" si="25"/>
        <v>#NUM!</v>
      </c>
    </row>
    <row r="434" spans="10:10">
      <c r="J434" s="20" t="e">
        <f t="shared" si="25"/>
        <v>#NUM!</v>
      </c>
    </row>
    <row r="435" spans="10:10">
      <c r="J435" s="20" t="e">
        <f t="shared" si="25"/>
        <v>#NUM!</v>
      </c>
    </row>
    <row r="436" spans="10:10">
      <c r="J436" s="20" t="e">
        <f t="shared" si="25"/>
        <v>#NUM!</v>
      </c>
    </row>
    <row r="437" spans="10:10">
      <c r="J437" s="20" t="e">
        <f t="shared" si="25"/>
        <v>#NUM!</v>
      </c>
    </row>
    <row r="438" spans="10:10">
      <c r="J438" s="20" t="e">
        <f t="shared" si="25"/>
        <v>#NUM!</v>
      </c>
    </row>
    <row r="439" spans="10:10">
      <c r="J439" s="20" t="e">
        <f t="shared" si="25"/>
        <v>#NUM!</v>
      </c>
    </row>
    <row r="440" spans="10:10">
      <c r="J440" s="20" t="e">
        <f t="shared" si="25"/>
        <v>#NUM!</v>
      </c>
    </row>
    <row r="441" spans="10:10">
      <c r="J441" s="20" t="e">
        <f t="shared" si="25"/>
        <v>#NUM!</v>
      </c>
    </row>
    <row r="442" spans="10:10">
      <c r="J442" s="20" t="e">
        <f t="shared" si="25"/>
        <v>#NUM!</v>
      </c>
    </row>
    <row r="443" spans="10:10">
      <c r="J443" s="20" t="e">
        <f t="shared" si="25"/>
        <v>#NUM!</v>
      </c>
    </row>
    <row r="444" spans="10:10">
      <c r="J444" s="20" t="e">
        <f t="shared" si="25"/>
        <v>#NUM!</v>
      </c>
    </row>
    <row r="445" spans="10:10">
      <c r="J445" s="20" t="e">
        <f t="shared" si="25"/>
        <v>#NUM!</v>
      </c>
    </row>
    <row r="446" spans="10:10">
      <c r="J446" s="20" t="e">
        <f t="shared" si="25"/>
        <v>#NUM!</v>
      </c>
    </row>
    <row r="447" spans="10:10">
      <c r="J447" s="20" t="e">
        <f t="shared" si="25"/>
        <v>#NUM!</v>
      </c>
    </row>
    <row r="448" spans="10:10">
      <c r="J448" s="20" t="e">
        <f t="shared" si="25"/>
        <v>#NUM!</v>
      </c>
    </row>
    <row r="449" spans="10:10">
      <c r="J449" s="20" t="e">
        <f t="shared" si="25"/>
        <v>#NUM!</v>
      </c>
    </row>
    <row r="450" spans="10:10">
      <c r="J450" s="20" t="e">
        <f t="shared" si="25"/>
        <v>#NUM!</v>
      </c>
    </row>
    <row r="451" spans="10:10">
      <c r="J451" s="20" t="e">
        <f t="shared" si="25"/>
        <v>#NUM!</v>
      </c>
    </row>
    <row r="452" spans="10:10">
      <c r="J452" s="20" t="e">
        <f t="shared" si="25"/>
        <v>#NUM!</v>
      </c>
    </row>
    <row r="453" spans="10:10">
      <c r="J453" s="20" t="e">
        <f t="shared" si="25"/>
        <v>#NUM!</v>
      </c>
    </row>
    <row r="454" spans="10:10">
      <c r="J454" s="20" t="e">
        <f t="shared" si="25"/>
        <v>#NUM!</v>
      </c>
    </row>
    <row r="455" spans="10:10">
      <c r="J455" s="20" t="e">
        <f t="shared" ref="J455:J518" si="26">INT(LOG($H$2,2))-ROUNDUP(LOG(H455,2),0)+IF(OR($H$2=1,$H$2=2,$H$2=4,$H$2=8,$H$2=16,$H$2=32,$H$2=64,$H$2=128,$H$2=256),0,1)</f>
        <v>#NUM!</v>
      </c>
    </row>
    <row r="456" spans="10:10">
      <c r="J456" s="20" t="e">
        <f t="shared" si="26"/>
        <v>#NUM!</v>
      </c>
    </row>
    <row r="457" spans="10:10">
      <c r="J457" s="20" t="e">
        <f t="shared" si="26"/>
        <v>#NUM!</v>
      </c>
    </row>
    <row r="458" spans="10:10">
      <c r="J458" s="20" t="e">
        <f t="shared" si="26"/>
        <v>#NUM!</v>
      </c>
    </row>
    <row r="459" spans="10:10">
      <c r="J459" s="20" t="e">
        <f t="shared" si="26"/>
        <v>#NUM!</v>
      </c>
    </row>
    <row r="460" spans="10:10">
      <c r="J460" s="20" t="e">
        <f t="shared" si="26"/>
        <v>#NUM!</v>
      </c>
    </row>
    <row r="461" spans="10:10">
      <c r="J461" s="20" t="e">
        <f t="shared" si="26"/>
        <v>#NUM!</v>
      </c>
    </row>
    <row r="462" spans="10:10">
      <c r="J462" s="20" t="e">
        <f t="shared" si="26"/>
        <v>#NUM!</v>
      </c>
    </row>
    <row r="463" spans="10:10">
      <c r="J463" s="20" t="e">
        <f t="shared" si="26"/>
        <v>#NUM!</v>
      </c>
    </row>
    <row r="464" spans="10:10">
      <c r="J464" s="20" t="e">
        <f t="shared" si="26"/>
        <v>#NUM!</v>
      </c>
    </row>
    <row r="465" spans="10:10">
      <c r="J465" s="20" t="e">
        <f t="shared" si="26"/>
        <v>#NUM!</v>
      </c>
    </row>
    <row r="466" spans="10:10">
      <c r="J466" s="20" t="e">
        <f t="shared" si="26"/>
        <v>#NUM!</v>
      </c>
    </row>
    <row r="467" spans="10:10">
      <c r="J467" s="20" t="e">
        <f t="shared" si="26"/>
        <v>#NUM!</v>
      </c>
    </row>
    <row r="468" spans="10:10">
      <c r="J468" s="20" t="e">
        <f t="shared" si="26"/>
        <v>#NUM!</v>
      </c>
    </row>
    <row r="469" spans="10:10">
      <c r="J469" s="20" t="e">
        <f t="shared" si="26"/>
        <v>#NUM!</v>
      </c>
    </row>
    <row r="470" spans="10:10">
      <c r="J470" s="20" t="e">
        <f t="shared" si="26"/>
        <v>#NUM!</v>
      </c>
    </row>
    <row r="471" spans="10:10">
      <c r="J471" s="20" t="e">
        <f t="shared" si="26"/>
        <v>#NUM!</v>
      </c>
    </row>
    <row r="472" spans="10:10">
      <c r="J472" s="20" t="e">
        <f t="shared" si="26"/>
        <v>#NUM!</v>
      </c>
    </row>
    <row r="473" spans="10:10">
      <c r="J473" s="20" t="e">
        <f t="shared" si="26"/>
        <v>#NUM!</v>
      </c>
    </row>
    <row r="474" spans="10:10">
      <c r="J474" s="20" t="e">
        <f t="shared" si="26"/>
        <v>#NUM!</v>
      </c>
    </row>
    <row r="475" spans="10:10">
      <c r="J475" s="20" t="e">
        <f t="shared" si="26"/>
        <v>#NUM!</v>
      </c>
    </row>
    <row r="476" spans="10:10">
      <c r="J476" s="20" t="e">
        <f t="shared" si="26"/>
        <v>#NUM!</v>
      </c>
    </row>
    <row r="477" spans="10:10">
      <c r="J477" s="20" t="e">
        <f t="shared" si="26"/>
        <v>#NUM!</v>
      </c>
    </row>
    <row r="478" spans="10:10">
      <c r="J478" s="20" t="e">
        <f t="shared" si="26"/>
        <v>#NUM!</v>
      </c>
    </row>
    <row r="479" spans="10:10">
      <c r="J479" s="20" t="e">
        <f t="shared" si="26"/>
        <v>#NUM!</v>
      </c>
    </row>
    <row r="480" spans="10:10">
      <c r="J480" s="20" t="e">
        <f t="shared" si="26"/>
        <v>#NUM!</v>
      </c>
    </row>
    <row r="481" spans="10:10">
      <c r="J481" s="20" t="e">
        <f t="shared" si="26"/>
        <v>#NUM!</v>
      </c>
    </row>
    <row r="482" spans="10:10">
      <c r="J482" s="20" t="e">
        <f t="shared" si="26"/>
        <v>#NUM!</v>
      </c>
    </row>
    <row r="483" spans="10:10">
      <c r="J483" s="20" t="e">
        <f t="shared" si="26"/>
        <v>#NUM!</v>
      </c>
    </row>
    <row r="484" spans="10:10">
      <c r="J484" s="20" t="e">
        <f t="shared" si="26"/>
        <v>#NUM!</v>
      </c>
    </row>
    <row r="485" spans="10:10">
      <c r="J485" s="20" t="e">
        <f t="shared" si="26"/>
        <v>#NUM!</v>
      </c>
    </row>
    <row r="486" spans="10:10">
      <c r="J486" s="20" t="e">
        <f t="shared" si="26"/>
        <v>#NUM!</v>
      </c>
    </row>
    <row r="487" spans="10:10">
      <c r="J487" s="20" t="e">
        <f t="shared" si="26"/>
        <v>#NUM!</v>
      </c>
    </row>
    <row r="488" spans="10:10">
      <c r="J488" s="20" t="e">
        <f t="shared" si="26"/>
        <v>#NUM!</v>
      </c>
    </row>
    <row r="489" spans="10:10">
      <c r="J489" s="20" t="e">
        <f t="shared" si="26"/>
        <v>#NUM!</v>
      </c>
    </row>
    <row r="490" spans="10:10">
      <c r="J490" s="20" t="e">
        <f t="shared" si="26"/>
        <v>#NUM!</v>
      </c>
    </row>
    <row r="491" spans="10:10">
      <c r="J491" s="20" t="e">
        <f t="shared" si="26"/>
        <v>#NUM!</v>
      </c>
    </row>
    <row r="492" spans="10:10">
      <c r="J492" s="20" t="e">
        <f t="shared" si="26"/>
        <v>#NUM!</v>
      </c>
    </row>
    <row r="493" spans="10:10">
      <c r="J493" s="20" t="e">
        <f t="shared" si="26"/>
        <v>#NUM!</v>
      </c>
    </row>
    <row r="494" spans="10:10">
      <c r="J494" s="20" t="e">
        <f t="shared" si="26"/>
        <v>#NUM!</v>
      </c>
    </row>
    <row r="495" spans="10:10">
      <c r="J495" s="20" t="e">
        <f t="shared" si="26"/>
        <v>#NUM!</v>
      </c>
    </row>
    <row r="496" spans="10:10">
      <c r="J496" s="20" t="e">
        <f t="shared" si="26"/>
        <v>#NUM!</v>
      </c>
    </row>
    <row r="497" spans="10:10">
      <c r="J497" s="20" t="e">
        <f t="shared" si="26"/>
        <v>#NUM!</v>
      </c>
    </row>
    <row r="498" spans="10:10">
      <c r="J498" s="20" t="e">
        <f t="shared" si="26"/>
        <v>#NUM!</v>
      </c>
    </row>
    <row r="499" spans="10:10">
      <c r="J499" s="20" t="e">
        <f t="shared" si="26"/>
        <v>#NUM!</v>
      </c>
    </row>
    <row r="500" spans="10:10">
      <c r="J500" s="20" t="e">
        <f t="shared" si="26"/>
        <v>#NUM!</v>
      </c>
    </row>
    <row r="501" spans="10:10">
      <c r="J501" s="20" t="e">
        <f t="shared" si="26"/>
        <v>#NUM!</v>
      </c>
    </row>
    <row r="502" spans="10:10">
      <c r="J502" s="20" t="e">
        <f t="shared" si="26"/>
        <v>#NUM!</v>
      </c>
    </row>
    <row r="503" spans="10:10">
      <c r="J503" s="20" t="e">
        <f t="shared" si="26"/>
        <v>#NUM!</v>
      </c>
    </row>
    <row r="504" spans="10:10">
      <c r="J504" s="20" t="e">
        <f t="shared" si="26"/>
        <v>#NUM!</v>
      </c>
    </row>
    <row r="505" spans="10:10">
      <c r="J505" s="20" t="e">
        <f t="shared" si="26"/>
        <v>#NUM!</v>
      </c>
    </row>
    <row r="506" spans="10:10">
      <c r="J506" s="20" t="e">
        <f t="shared" si="26"/>
        <v>#NUM!</v>
      </c>
    </row>
    <row r="507" spans="10:10">
      <c r="J507" s="20" t="e">
        <f t="shared" si="26"/>
        <v>#NUM!</v>
      </c>
    </row>
    <row r="508" spans="10:10">
      <c r="J508" s="20" t="e">
        <f t="shared" si="26"/>
        <v>#NUM!</v>
      </c>
    </row>
    <row r="509" spans="10:10">
      <c r="J509" s="20" t="e">
        <f t="shared" si="26"/>
        <v>#NUM!</v>
      </c>
    </row>
    <row r="510" spans="10:10">
      <c r="J510" s="20" t="e">
        <f t="shared" si="26"/>
        <v>#NUM!</v>
      </c>
    </row>
    <row r="511" spans="10:10">
      <c r="J511" s="20" t="e">
        <f t="shared" si="26"/>
        <v>#NUM!</v>
      </c>
    </row>
    <row r="512" spans="10:10">
      <c r="J512" s="20" t="e">
        <f t="shared" si="26"/>
        <v>#NUM!</v>
      </c>
    </row>
    <row r="513" spans="10:10">
      <c r="J513" s="20" t="e">
        <f t="shared" si="26"/>
        <v>#NUM!</v>
      </c>
    </row>
    <row r="514" spans="10:10">
      <c r="J514" s="20" t="e">
        <f t="shared" si="26"/>
        <v>#NUM!</v>
      </c>
    </row>
    <row r="515" spans="10:10">
      <c r="J515" s="20" t="e">
        <f t="shared" si="26"/>
        <v>#NUM!</v>
      </c>
    </row>
    <row r="516" spans="10:10">
      <c r="J516" s="20" t="e">
        <f t="shared" si="26"/>
        <v>#NUM!</v>
      </c>
    </row>
    <row r="517" spans="10:10">
      <c r="J517" s="20" t="e">
        <f t="shared" si="26"/>
        <v>#NUM!</v>
      </c>
    </row>
    <row r="518" spans="10:10">
      <c r="J518" s="20" t="e">
        <f t="shared" si="26"/>
        <v>#NUM!</v>
      </c>
    </row>
    <row r="519" spans="10:10">
      <c r="J519" s="20" t="e">
        <f t="shared" ref="J519:J582" si="27">INT(LOG($H$2,2))-ROUNDUP(LOG(H519,2),0)+IF(OR($H$2=1,$H$2=2,$H$2=4,$H$2=8,$H$2=16,$H$2=32,$H$2=64,$H$2=128,$H$2=256),0,1)</f>
        <v>#NUM!</v>
      </c>
    </row>
    <row r="520" spans="10:10">
      <c r="J520" s="20" t="e">
        <f t="shared" si="27"/>
        <v>#NUM!</v>
      </c>
    </row>
    <row r="521" spans="10:10">
      <c r="J521" s="20" t="e">
        <f t="shared" si="27"/>
        <v>#NUM!</v>
      </c>
    </row>
    <row r="522" spans="10:10">
      <c r="J522" s="20" t="e">
        <f t="shared" si="27"/>
        <v>#NUM!</v>
      </c>
    </row>
    <row r="523" spans="10:10">
      <c r="J523" s="20" t="e">
        <f t="shared" si="27"/>
        <v>#NUM!</v>
      </c>
    </row>
    <row r="524" spans="10:10">
      <c r="J524" s="20" t="e">
        <f t="shared" si="27"/>
        <v>#NUM!</v>
      </c>
    </row>
    <row r="525" spans="10:10">
      <c r="J525" s="20" t="e">
        <f t="shared" si="27"/>
        <v>#NUM!</v>
      </c>
    </row>
    <row r="526" spans="10:10">
      <c r="J526" s="20" t="e">
        <f t="shared" si="27"/>
        <v>#NUM!</v>
      </c>
    </row>
    <row r="527" spans="10:10">
      <c r="J527" s="20" t="e">
        <f t="shared" si="27"/>
        <v>#NUM!</v>
      </c>
    </row>
    <row r="528" spans="10:10">
      <c r="J528" s="20" t="e">
        <f t="shared" si="27"/>
        <v>#NUM!</v>
      </c>
    </row>
    <row r="529" spans="10:10">
      <c r="J529" s="20" t="e">
        <f t="shared" si="27"/>
        <v>#NUM!</v>
      </c>
    </row>
    <row r="530" spans="10:10">
      <c r="J530" s="20" t="e">
        <f t="shared" si="27"/>
        <v>#NUM!</v>
      </c>
    </row>
    <row r="531" spans="10:10">
      <c r="J531" s="20" t="e">
        <f t="shared" si="27"/>
        <v>#NUM!</v>
      </c>
    </row>
    <row r="532" spans="10:10">
      <c r="J532" s="20" t="e">
        <f t="shared" si="27"/>
        <v>#NUM!</v>
      </c>
    </row>
    <row r="533" spans="10:10">
      <c r="J533" s="20" t="e">
        <f t="shared" si="27"/>
        <v>#NUM!</v>
      </c>
    </row>
    <row r="534" spans="10:10">
      <c r="J534" s="20" t="e">
        <f t="shared" si="27"/>
        <v>#NUM!</v>
      </c>
    </row>
    <row r="535" spans="10:10">
      <c r="J535" s="20" t="e">
        <f t="shared" si="27"/>
        <v>#NUM!</v>
      </c>
    </row>
    <row r="536" spans="10:10">
      <c r="J536" s="20" t="e">
        <f t="shared" si="27"/>
        <v>#NUM!</v>
      </c>
    </row>
    <row r="537" spans="10:10">
      <c r="J537" s="20" t="e">
        <f t="shared" si="27"/>
        <v>#NUM!</v>
      </c>
    </row>
    <row r="538" spans="10:10">
      <c r="J538" s="20" t="e">
        <f t="shared" si="27"/>
        <v>#NUM!</v>
      </c>
    </row>
    <row r="539" spans="10:10">
      <c r="J539" s="20" t="e">
        <f t="shared" si="27"/>
        <v>#NUM!</v>
      </c>
    </row>
    <row r="540" spans="10:10">
      <c r="J540" s="20" t="e">
        <f t="shared" si="27"/>
        <v>#NUM!</v>
      </c>
    </row>
    <row r="541" spans="10:10">
      <c r="J541" s="20" t="e">
        <f t="shared" si="27"/>
        <v>#NUM!</v>
      </c>
    </row>
    <row r="542" spans="10:10">
      <c r="J542" s="20" t="e">
        <f t="shared" si="27"/>
        <v>#NUM!</v>
      </c>
    </row>
    <row r="543" spans="10:10">
      <c r="J543" s="20" t="e">
        <f t="shared" si="27"/>
        <v>#NUM!</v>
      </c>
    </row>
    <row r="544" spans="10:10">
      <c r="J544" s="20" t="e">
        <f t="shared" si="27"/>
        <v>#NUM!</v>
      </c>
    </row>
    <row r="545" spans="10:10">
      <c r="J545" s="20" t="e">
        <f t="shared" si="27"/>
        <v>#NUM!</v>
      </c>
    </row>
    <row r="546" spans="10:10">
      <c r="J546" s="20" t="e">
        <f t="shared" si="27"/>
        <v>#NUM!</v>
      </c>
    </row>
    <row r="547" spans="10:10">
      <c r="J547" s="20" t="e">
        <f t="shared" si="27"/>
        <v>#NUM!</v>
      </c>
    </row>
    <row r="548" spans="10:10">
      <c r="J548" s="20" t="e">
        <f t="shared" si="27"/>
        <v>#NUM!</v>
      </c>
    </row>
    <row r="549" spans="10:10">
      <c r="J549" s="20" t="e">
        <f t="shared" si="27"/>
        <v>#NUM!</v>
      </c>
    </row>
    <row r="550" spans="10:10">
      <c r="J550" s="20" t="e">
        <f t="shared" si="27"/>
        <v>#NUM!</v>
      </c>
    </row>
    <row r="551" spans="10:10">
      <c r="J551" s="20" t="e">
        <f t="shared" si="27"/>
        <v>#NUM!</v>
      </c>
    </row>
    <row r="552" spans="10:10">
      <c r="J552" s="20" t="e">
        <f t="shared" si="27"/>
        <v>#NUM!</v>
      </c>
    </row>
    <row r="553" spans="10:10">
      <c r="J553" s="20" t="e">
        <f t="shared" si="27"/>
        <v>#NUM!</v>
      </c>
    </row>
    <row r="554" spans="10:10">
      <c r="J554" s="20" t="e">
        <f t="shared" si="27"/>
        <v>#NUM!</v>
      </c>
    </row>
    <row r="555" spans="10:10">
      <c r="J555" s="20" t="e">
        <f t="shared" si="27"/>
        <v>#NUM!</v>
      </c>
    </row>
    <row r="556" spans="10:10">
      <c r="J556" s="20" t="e">
        <f t="shared" si="27"/>
        <v>#NUM!</v>
      </c>
    </row>
    <row r="557" spans="10:10">
      <c r="J557" s="20" t="e">
        <f t="shared" si="27"/>
        <v>#NUM!</v>
      </c>
    </row>
    <row r="558" spans="10:10">
      <c r="J558" s="20" t="e">
        <f t="shared" si="27"/>
        <v>#NUM!</v>
      </c>
    </row>
    <row r="559" spans="10:10">
      <c r="J559" s="20" t="e">
        <f t="shared" si="27"/>
        <v>#NUM!</v>
      </c>
    </row>
    <row r="560" spans="10:10">
      <c r="J560" s="20" t="e">
        <f t="shared" si="27"/>
        <v>#NUM!</v>
      </c>
    </row>
    <row r="561" spans="10:10">
      <c r="J561" s="20" t="e">
        <f t="shared" si="27"/>
        <v>#NUM!</v>
      </c>
    </row>
    <row r="562" spans="10:10">
      <c r="J562" s="20" t="e">
        <f t="shared" si="27"/>
        <v>#NUM!</v>
      </c>
    </row>
    <row r="563" spans="10:10">
      <c r="J563" s="20" t="e">
        <f t="shared" si="27"/>
        <v>#NUM!</v>
      </c>
    </row>
    <row r="564" spans="10:10">
      <c r="J564" s="20" t="e">
        <f t="shared" si="27"/>
        <v>#NUM!</v>
      </c>
    </row>
    <row r="565" spans="10:10">
      <c r="J565" s="20" t="e">
        <f t="shared" si="27"/>
        <v>#NUM!</v>
      </c>
    </row>
    <row r="566" spans="10:10">
      <c r="J566" s="20" t="e">
        <f t="shared" si="27"/>
        <v>#NUM!</v>
      </c>
    </row>
    <row r="567" spans="10:10">
      <c r="J567" s="20" t="e">
        <f t="shared" si="27"/>
        <v>#NUM!</v>
      </c>
    </row>
    <row r="568" spans="10:10">
      <c r="J568" s="20" t="e">
        <f t="shared" si="27"/>
        <v>#NUM!</v>
      </c>
    </row>
    <row r="569" spans="10:10">
      <c r="J569" s="20" t="e">
        <f t="shared" si="27"/>
        <v>#NUM!</v>
      </c>
    </row>
    <row r="570" spans="10:10">
      <c r="J570" s="20" t="e">
        <f t="shared" si="27"/>
        <v>#NUM!</v>
      </c>
    </row>
    <row r="571" spans="10:10">
      <c r="J571" s="20" t="e">
        <f t="shared" si="27"/>
        <v>#NUM!</v>
      </c>
    </row>
    <row r="572" spans="10:10">
      <c r="J572" s="20" t="e">
        <f t="shared" si="27"/>
        <v>#NUM!</v>
      </c>
    </row>
    <row r="573" spans="10:10">
      <c r="J573" s="20" t="e">
        <f t="shared" si="27"/>
        <v>#NUM!</v>
      </c>
    </row>
    <row r="574" spans="10:10">
      <c r="J574" s="20" t="e">
        <f t="shared" si="27"/>
        <v>#NUM!</v>
      </c>
    </row>
    <row r="575" spans="10:10">
      <c r="J575" s="20" t="e">
        <f t="shared" si="27"/>
        <v>#NUM!</v>
      </c>
    </row>
    <row r="576" spans="10:10">
      <c r="J576" s="20" t="e">
        <f t="shared" si="27"/>
        <v>#NUM!</v>
      </c>
    </row>
    <row r="577" spans="10:10">
      <c r="J577" s="20" t="e">
        <f t="shared" si="27"/>
        <v>#NUM!</v>
      </c>
    </row>
    <row r="578" spans="10:10">
      <c r="J578" s="20" t="e">
        <f t="shared" si="27"/>
        <v>#NUM!</v>
      </c>
    </row>
    <row r="579" spans="10:10">
      <c r="J579" s="20" t="e">
        <f t="shared" si="27"/>
        <v>#NUM!</v>
      </c>
    </row>
    <row r="580" spans="10:10">
      <c r="J580" s="20" t="e">
        <f t="shared" si="27"/>
        <v>#NUM!</v>
      </c>
    </row>
    <row r="581" spans="10:10">
      <c r="J581" s="20" t="e">
        <f t="shared" si="27"/>
        <v>#NUM!</v>
      </c>
    </row>
    <row r="582" spans="10:10">
      <c r="J582" s="20" t="e">
        <f t="shared" si="27"/>
        <v>#NUM!</v>
      </c>
    </row>
    <row r="583" spans="10:10">
      <c r="J583" s="20" t="e">
        <f t="shared" ref="J583:J646" si="28">INT(LOG($H$2,2))-ROUNDUP(LOG(H583,2),0)+IF(OR($H$2=1,$H$2=2,$H$2=4,$H$2=8,$H$2=16,$H$2=32,$H$2=64,$H$2=128,$H$2=256),0,1)</f>
        <v>#NUM!</v>
      </c>
    </row>
    <row r="584" spans="10:10">
      <c r="J584" s="20" t="e">
        <f t="shared" si="28"/>
        <v>#NUM!</v>
      </c>
    </row>
    <row r="585" spans="10:10">
      <c r="J585" s="20" t="e">
        <f t="shared" si="28"/>
        <v>#NUM!</v>
      </c>
    </row>
    <row r="586" spans="10:10">
      <c r="J586" s="20" t="e">
        <f t="shared" si="28"/>
        <v>#NUM!</v>
      </c>
    </row>
    <row r="587" spans="10:10">
      <c r="J587" s="20" t="e">
        <f t="shared" si="28"/>
        <v>#NUM!</v>
      </c>
    </row>
    <row r="588" spans="10:10">
      <c r="J588" s="20" t="e">
        <f t="shared" si="28"/>
        <v>#NUM!</v>
      </c>
    </row>
    <row r="589" spans="10:10">
      <c r="J589" s="20" t="e">
        <f t="shared" si="28"/>
        <v>#NUM!</v>
      </c>
    </row>
    <row r="590" spans="10:10">
      <c r="J590" s="20" t="e">
        <f t="shared" si="28"/>
        <v>#NUM!</v>
      </c>
    </row>
    <row r="591" spans="10:10">
      <c r="J591" s="20" t="e">
        <f t="shared" si="28"/>
        <v>#NUM!</v>
      </c>
    </row>
    <row r="592" spans="10:10">
      <c r="J592" s="20" t="e">
        <f t="shared" si="28"/>
        <v>#NUM!</v>
      </c>
    </row>
    <row r="593" spans="10:10">
      <c r="J593" s="20" t="e">
        <f t="shared" si="28"/>
        <v>#NUM!</v>
      </c>
    </row>
    <row r="594" spans="10:10">
      <c r="J594" s="20" t="e">
        <f t="shared" si="28"/>
        <v>#NUM!</v>
      </c>
    </row>
    <row r="595" spans="10:10">
      <c r="J595" s="20" t="e">
        <f t="shared" si="28"/>
        <v>#NUM!</v>
      </c>
    </row>
    <row r="596" spans="10:10">
      <c r="J596" s="20" t="e">
        <f t="shared" si="28"/>
        <v>#NUM!</v>
      </c>
    </row>
    <row r="597" spans="10:10">
      <c r="J597" s="20" t="e">
        <f t="shared" si="28"/>
        <v>#NUM!</v>
      </c>
    </row>
    <row r="598" spans="10:10">
      <c r="J598" s="20" t="e">
        <f t="shared" si="28"/>
        <v>#NUM!</v>
      </c>
    </row>
    <row r="599" spans="10:10">
      <c r="J599" s="20" t="e">
        <f t="shared" si="28"/>
        <v>#NUM!</v>
      </c>
    </row>
    <row r="600" spans="10:10">
      <c r="J600" s="20" t="e">
        <f t="shared" si="28"/>
        <v>#NUM!</v>
      </c>
    </row>
    <row r="601" spans="10:10">
      <c r="J601" s="20" t="e">
        <f t="shared" si="28"/>
        <v>#NUM!</v>
      </c>
    </row>
    <row r="602" spans="10:10">
      <c r="J602" s="20" t="e">
        <f t="shared" si="28"/>
        <v>#NUM!</v>
      </c>
    </row>
    <row r="603" spans="10:10">
      <c r="J603" s="20" t="e">
        <f t="shared" si="28"/>
        <v>#NUM!</v>
      </c>
    </row>
    <row r="604" spans="10:10">
      <c r="J604" s="20" t="e">
        <f t="shared" si="28"/>
        <v>#NUM!</v>
      </c>
    </row>
    <row r="605" spans="10:10">
      <c r="J605" s="20" t="e">
        <f t="shared" si="28"/>
        <v>#NUM!</v>
      </c>
    </row>
    <row r="606" spans="10:10">
      <c r="J606" s="20" t="e">
        <f t="shared" si="28"/>
        <v>#NUM!</v>
      </c>
    </row>
    <row r="607" spans="10:10">
      <c r="J607" s="20" t="e">
        <f t="shared" si="28"/>
        <v>#NUM!</v>
      </c>
    </row>
    <row r="608" spans="10:10">
      <c r="J608" s="20" t="e">
        <f t="shared" si="28"/>
        <v>#NUM!</v>
      </c>
    </row>
    <row r="609" spans="10:10">
      <c r="J609" s="20" t="e">
        <f t="shared" si="28"/>
        <v>#NUM!</v>
      </c>
    </row>
    <row r="610" spans="10:10">
      <c r="J610" s="20" t="e">
        <f t="shared" si="28"/>
        <v>#NUM!</v>
      </c>
    </row>
    <row r="611" spans="10:10">
      <c r="J611" s="20" t="e">
        <f t="shared" si="28"/>
        <v>#NUM!</v>
      </c>
    </row>
    <row r="612" spans="10:10">
      <c r="J612" s="20" t="e">
        <f t="shared" si="28"/>
        <v>#NUM!</v>
      </c>
    </row>
    <row r="613" spans="10:10">
      <c r="J613" s="20" t="e">
        <f t="shared" si="28"/>
        <v>#NUM!</v>
      </c>
    </row>
    <row r="614" spans="10:10">
      <c r="J614" s="20" t="e">
        <f t="shared" si="28"/>
        <v>#NUM!</v>
      </c>
    </row>
    <row r="615" spans="10:10">
      <c r="J615" s="20" t="e">
        <f t="shared" si="28"/>
        <v>#NUM!</v>
      </c>
    </row>
    <row r="616" spans="10:10">
      <c r="J616" s="20" t="e">
        <f t="shared" si="28"/>
        <v>#NUM!</v>
      </c>
    </row>
    <row r="617" spans="10:10">
      <c r="J617" s="20" t="e">
        <f t="shared" si="28"/>
        <v>#NUM!</v>
      </c>
    </row>
    <row r="618" spans="10:10">
      <c r="J618" s="20" t="e">
        <f t="shared" si="28"/>
        <v>#NUM!</v>
      </c>
    </row>
    <row r="619" spans="10:10">
      <c r="J619" s="20" t="e">
        <f t="shared" si="28"/>
        <v>#NUM!</v>
      </c>
    </row>
    <row r="620" spans="10:10">
      <c r="J620" s="20" t="e">
        <f t="shared" si="28"/>
        <v>#NUM!</v>
      </c>
    </row>
    <row r="621" spans="10:10">
      <c r="J621" s="20" t="e">
        <f t="shared" si="28"/>
        <v>#NUM!</v>
      </c>
    </row>
    <row r="622" spans="10:10">
      <c r="J622" s="20" t="e">
        <f t="shared" si="28"/>
        <v>#NUM!</v>
      </c>
    </row>
    <row r="623" spans="10:10">
      <c r="J623" s="20" t="e">
        <f t="shared" si="28"/>
        <v>#NUM!</v>
      </c>
    </row>
    <row r="624" spans="10:10">
      <c r="J624" s="20" t="e">
        <f t="shared" si="28"/>
        <v>#NUM!</v>
      </c>
    </row>
    <row r="625" spans="10:10">
      <c r="J625" s="20" t="e">
        <f t="shared" si="28"/>
        <v>#NUM!</v>
      </c>
    </row>
    <row r="626" spans="10:10">
      <c r="J626" s="20" t="e">
        <f t="shared" si="28"/>
        <v>#NUM!</v>
      </c>
    </row>
    <row r="627" spans="10:10">
      <c r="J627" s="20" t="e">
        <f t="shared" si="28"/>
        <v>#NUM!</v>
      </c>
    </row>
    <row r="628" spans="10:10">
      <c r="J628" s="20" t="e">
        <f t="shared" si="28"/>
        <v>#NUM!</v>
      </c>
    </row>
    <row r="629" spans="10:10">
      <c r="J629" s="20" t="e">
        <f t="shared" si="28"/>
        <v>#NUM!</v>
      </c>
    </row>
    <row r="630" spans="10:10">
      <c r="J630" s="20" t="e">
        <f t="shared" si="28"/>
        <v>#NUM!</v>
      </c>
    </row>
    <row r="631" spans="10:10">
      <c r="J631" s="20" t="e">
        <f t="shared" si="28"/>
        <v>#NUM!</v>
      </c>
    </row>
    <row r="632" spans="10:10">
      <c r="J632" s="20" t="e">
        <f t="shared" si="28"/>
        <v>#NUM!</v>
      </c>
    </row>
    <row r="633" spans="10:10">
      <c r="J633" s="20" t="e">
        <f t="shared" si="28"/>
        <v>#NUM!</v>
      </c>
    </row>
    <row r="634" spans="10:10">
      <c r="J634" s="20" t="e">
        <f t="shared" si="28"/>
        <v>#NUM!</v>
      </c>
    </row>
    <row r="635" spans="10:10">
      <c r="J635" s="20" t="e">
        <f t="shared" si="28"/>
        <v>#NUM!</v>
      </c>
    </row>
    <row r="636" spans="10:10">
      <c r="J636" s="20" t="e">
        <f t="shared" si="28"/>
        <v>#NUM!</v>
      </c>
    </row>
    <row r="637" spans="10:10">
      <c r="J637" s="20" t="e">
        <f t="shared" si="28"/>
        <v>#NUM!</v>
      </c>
    </row>
    <row r="638" spans="10:10">
      <c r="J638" s="20" t="e">
        <f t="shared" si="28"/>
        <v>#NUM!</v>
      </c>
    </row>
    <row r="639" spans="10:10">
      <c r="J639" s="20" t="e">
        <f t="shared" si="28"/>
        <v>#NUM!</v>
      </c>
    </row>
    <row r="640" spans="10:10">
      <c r="J640" s="20" t="e">
        <f t="shared" si="28"/>
        <v>#NUM!</v>
      </c>
    </row>
    <row r="641" spans="10:10">
      <c r="J641" s="20" t="e">
        <f t="shared" si="28"/>
        <v>#NUM!</v>
      </c>
    </row>
    <row r="642" spans="10:10">
      <c r="J642" s="20" t="e">
        <f t="shared" si="28"/>
        <v>#NUM!</v>
      </c>
    </row>
    <row r="643" spans="10:10">
      <c r="J643" s="20" t="e">
        <f t="shared" si="28"/>
        <v>#NUM!</v>
      </c>
    </row>
    <row r="644" spans="10:10">
      <c r="J644" s="20" t="e">
        <f t="shared" si="28"/>
        <v>#NUM!</v>
      </c>
    </row>
    <row r="645" spans="10:10">
      <c r="J645" s="20" t="e">
        <f t="shared" si="28"/>
        <v>#NUM!</v>
      </c>
    </row>
    <row r="646" spans="10:10">
      <c r="J646" s="20" t="e">
        <f t="shared" si="28"/>
        <v>#NUM!</v>
      </c>
    </row>
    <row r="647" spans="10:10">
      <c r="J647" s="20" t="e">
        <f t="shared" ref="J647:J687" si="29">INT(LOG($H$2,2))-ROUNDUP(LOG(H647,2),0)+IF(OR($H$2=1,$H$2=2,$H$2=4,$H$2=8,$H$2=16,$H$2=32,$H$2=64,$H$2=128,$H$2=256),0,1)</f>
        <v>#NUM!</v>
      </c>
    </row>
    <row r="648" spans="10:10">
      <c r="J648" s="20" t="e">
        <f t="shared" si="29"/>
        <v>#NUM!</v>
      </c>
    </row>
    <row r="649" spans="10:10">
      <c r="J649" s="20" t="e">
        <f t="shared" si="29"/>
        <v>#NUM!</v>
      </c>
    </row>
    <row r="650" spans="10:10">
      <c r="J650" s="20" t="e">
        <f t="shared" si="29"/>
        <v>#NUM!</v>
      </c>
    </row>
    <row r="651" spans="10:10">
      <c r="J651" s="20" t="e">
        <f t="shared" si="29"/>
        <v>#NUM!</v>
      </c>
    </row>
    <row r="652" spans="10:10">
      <c r="J652" s="20" t="e">
        <f t="shared" si="29"/>
        <v>#NUM!</v>
      </c>
    </row>
    <row r="653" spans="10:10">
      <c r="J653" s="20" t="e">
        <f t="shared" si="29"/>
        <v>#NUM!</v>
      </c>
    </row>
    <row r="654" spans="10:10">
      <c r="J654" s="20" t="e">
        <f t="shared" si="29"/>
        <v>#NUM!</v>
      </c>
    </row>
    <row r="655" spans="10:10">
      <c r="J655" s="20" t="e">
        <f t="shared" si="29"/>
        <v>#NUM!</v>
      </c>
    </row>
    <row r="656" spans="10:10">
      <c r="J656" s="20" t="e">
        <f t="shared" si="29"/>
        <v>#NUM!</v>
      </c>
    </row>
    <row r="657" spans="10:10">
      <c r="J657" s="20" t="e">
        <f t="shared" si="29"/>
        <v>#NUM!</v>
      </c>
    </row>
    <row r="658" spans="10:10">
      <c r="J658" s="20" t="e">
        <f t="shared" si="29"/>
        <v>#NUM!</v>
      </c>
    </row>
    <row r="659" spans="10:10">
      <c r="J659" s="20" t="e">
        <f t="shared" si="29"/>
        <v>#NUM!</v>
      </c>
    </row>
    <row r="660" spans="10:10">
      <c r="J660" s="20" t="e">
        <f t="shared" si="29"/>
        <v>#NUM!</v>
      </c>
    </row>
    <row r="661" spans="10:10">
      <c r="J661" s="20" t="e">
        <f t="shared" si="29"/>
        <v>#NUM!</v>
      </c>
    </row>
    <row r="662" spans="10:10">
      <c r="J662" s="20" t="e">
        <f t="shared" si="29"/>
        <v>#NUM!</v>
      </c>
    </row>
    <row r="663" spans="10:10">
      <c r="J663" s="20" t="e">
        <f t="shared" si="29"/>
        <v>#NUM!</v>
      </c>
    </row>
    <row r="664" spans="10:10">
      <c r="J664" s="20" t="e">
        <f t="shared" si="29"/>
        <v>#NUM!</v>
      </c>
    </row>
    <row r="665" spans="10:10">
      <c r="J665" s="20" t="e">
        <f t="shared" si="29"/>
        <v>#NUM!</v>
      </c>
    </row>
    <row r="666" spans="10:10">
      <c r="J666" s="20" t="e">
        <f t="shared" si="29"/>
        <v>#NUM!</v>
      </c>
    </row>
    <row r="667" spans="10:10">
      <c r="J667" s="20" t="e">
        <f t="shared" si="29"/>
        <v>#NUM!</v>
      </c>
    </row>
    <row r="668" spans="10:10">
      <c r="J668" s="20" t="e">
        <f t="shared" si="29"/>
        <v>#NUM!</v>
      </c>
    </row>
    <row r="669" spans="10:10">
      <c r="J669" s="20" t="e">
        <f t="shared" si="29"/>
        <v>#NUM!</v>
      </c>
    </row>
    <row r="670" spans="10:10">
      <c r="J670" s="20" t="e">
        <f t="shared" si="29"/>
        <v>#NUM!</v>
      </c>
    </row>
    <row r="671" spans="10:10">
      <c r="J671" s="20" t="e">
        <f t="shared" si="29"/>
        <v>#NUM!</v>
      </c>
    </row>
    <row r="672" spans="10:10">
      <c r="J672" s="20" t="e">
        <f t="shared" si="29"/>
        <v>#NUM!</v>
      </c>
    </row>
    <row r="673" spans="10:10">
      <c r="J673" s="20" t="e">
        <f t="shared" si="29"/>
        <v>#NUM!</v>
      </c>
    </row>
    <row r="674" spans="10:10">
      <c r="J674" s="20" t="e">
        <f t="shared" si="29"/>
        <v>#NUM!</v>
      </c>
    </row>
    <row r="675" spans="10:10">
      <c r="J675" s="20" t="e">
        <f t="shared" si="29"/>
        <v>#NUM!</v>
      </c>
    </row>
    <row r="676" spans="10:10">
      <c r="J676" s="20" t="e">
        <f t="shared" si="29"/>
        <v>#NUM!</v>
      </c>
    </row>
    <row r="677" spans="10:10">
      <c r="J677" s="20" t="e">
        <f t="shared" si="29"/>
        <v>#NUM!</v>
      </c>
    </row>
    <row r="678" spans="10:10">
      <c r="J678" s="20" t="e">
        <f t="shared" si="29"/>
        <v>#NUM!</v>
      </c>
    </row>
    <row r="679" spans="10:10">
      <c r="J679" s="20" t="e">
        <f t="shared" si="29"/>
        <v>#NUM!</v>
      </c>
    </row>
    <row r="680" spans="10:10">
      <c r="J680" s="20" t="e">
        <f t="shared" si="29"/>
        <v>#NUM!</v>
      </c>
    </row>
    <row r="681" spans="10:10">
      <c r="J681" s="20" t="e">
        <f t="shared" si="29"/>
        <v>#NUM!</v>
      </c>
    </row>
    <row r="682" spans="10:10">
      <c r="J682" s="20" t="e">
        <f t="shared" si="29"/>
        <v>#NUM!</v>
      </c>
    </row>
    <row r="683" spans="10:10">
      <c r="J683" s="20" t="e">
        <f t="shared" si="29"/>
        <v>#NUM!</v>
      </c>
    </row>
    <row r="684" spans="10:10">
      <c r="J684" s="20" t="e">
        <f t="shared" si="29"/>
        <v>#NUM!</v>
      </c>
    </row>
    <row r="685" spans="10:10">
      <c r="J685" s="20" t="e">
        <f t="shared" si="29"/>
        <v>#NUM!</v>
      </c>
    </row>
    <row r="686" spans="10:10">
      <c r="J686" s="20" t="e">
        <f t="shared" si="29"/>
        <v>#NUM!</v>
      </c>
    </row>
    <row r="687" spans="10:10">
      <c r="J687" s="20" t="e">
        <f t="shared" si="29"/>
        <v>#NUM!</v>
      </c>
    </row>
  </sheetData>
  <mergeCells count="2">
    <mergeCell ref="C2:D2"/>
    <mergeCell ref="C3:D3"/>
  </mergeCells>
  <conditionalFormatting sqref="J7:K305">
    <cfRule type="cellIs" dxfId="35" priority="1" operator="lessThanOrEqual">
      <formula>0</formula>
    </cfRule>
  </conditionalFormatting>
  <dataValidations count="1">
    <dataValidation type="list" allowBlank="1" showInputMessage="1" showErrorMessage="1" sqref="C38:C69" xr:uid="{D284F17E-95A2-4CB0-8E54-3E3A0B85F19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A6EA-7DD2-47D7-8892-57C850D33240}">
  <sheetPr>
    <tabColor rgb="FF92D050"/>
  </sheetPr>
  <dimension ref="A1:AL373"/>
  <sheetViews>
    <sheetView workbookViewId="0">
      <selection activeCell="C13" sqref="C13"/>
    </sheetView>
  </sheetViews>
  <sheetFormatPr defaultColWidth="8.85546875" defaultRowHeight="15"/>
  <cols>
    <col min="1" max="1" width="8" style="315" customWidth="1"/>
    <col min="2" max="2" width="8.28515625" style="315" customWidth="1"/>
    <col min="3" max="3" width="34.7109375" style="315" customWidth="1"/>
    <col min="4" max="4" width="52.140625" style="315" customWidth="1"/>
    <col min="5" max="6" width="8.85546875" style="315"/>
    <col min="7" max="7" width="2.7109375" style="315" customWidth="1"/>
    <col min="8" max="8" width="8.85546875" style="317"/>
    <col min="9" max="9" width="11" style="317" customWidth="1"/>
    <col min="10" max="10" width="15.28515625" style="317" customWidth="1"/>
    <col min="11" max="11" width="8.7109375" style="317" customWidth="1"/>
    <col min="12" max="12" width="11" style="317" customWidth="1"/>
    <col min="13" max="13" width="11.7109375" style="318" customWidth="1"/>
    <col min="14" max="15" width="13.85546875" style="276" customWidth="1"/>
    <col min="16" max="18" width="8.85546875" style="276"/>
    <col min="19" max="20" width="8.85546875" style="282"/>
    <col min="21" max="21" width="12.140625" style="282" customWidth="1"/>
    <col min="22" max="22" width="27.42578125" style="282" customWidth="1"/>
    <col min="23" max="38" width="8.85546875" style="282"/>
    <col min="39" max="16384" width="8.85546875" style="315"/>
  </cols>
  <sheetData>
    <row r="1" spans="1:34" ht="18.75">
      <c r="A1" s="276"/>
      <c r="B1" s="251" t="s">
        <v>44</v>
      </c>
      <c r="C1" s="277" t="s">
        <v>60</v>
      </c>
      <c r="D1" s="253"/>
      <c r="E1" s="276"/>
      <c r="F1" s="276"/>
      <c r="G1" s="276"/>
      <c r="H1" s="278" t="s">
        <v>40</v>
      </c>
      <c r="I1" s="279" t="s">
        <v>41</v>
      </c>
      <c r="J1" s="279" t="s">
        <v>42</v>
      </c>
      <c r="K1" s="280" t="s">
        <v>43</v>
      </c>
      <c r="L1" s="281"/>
      <c r="M1" s="281"/>
    </row>
    <row r="2" spans="1:34">
      <c r="A2" s="194" t="s">
        <v>61</v>
      </c>
      <c r="B2" s="251" t="s">
        <v>62</v>
      </c>
      <c r="C2" s="283" t="s">
        <v>63</v>
      </c>
      <c r="D2" s="255"/>
      <c r="E2" s="256"/>
      <c r="F2" s="256"/>
      <c r="G2" s="256"/>
      <c r="H2" s="284">
        <v>8</v>
      </c>
      <c r="I2" s="285">
        <v>50</v>
      </c>
      <c r="J2" s="285">
        <v>10</v>
      </c>
      <c r="K2" s="286">
        <f>3*H2^(1/3)</f>
        <v>5.9999999999999991</v>
      </c>
      <c r="L2" s="281"/>
      <c r="M2" s="281"/>
    </row>
    <row r="3" spans="1:34" ht="14.25" customHeight="1">
      <c r="A3" s="287" t="s">
        <v>64</v>
      </c>
      <c r="B3" s="288" t="s">
        <v>46</v>
      </c>
      <c r="C3" s="254" t="s">
        <v>65</v>
      </c>
      <c r="D3" s="255"/>
      <c r="E3" s="259"/>
      <c r="F3" s="259"/>
      <c r="G3" s="259"/>
      <c r="H3" s="281"/>
      <c r="I3" s="281"/>
      <c r="J3" s="289"/>
      <c r="K3" s="281"/>
      <c r="L3" s="281"/>
      <c r="M3" s="281"/>
    </row>
    <row r="4" spans="1:34" ht="10.35" customHeight="1">
      <c r="A4" s="260"/>
      <c r="B4" s="259"/>
      <c r="C4" s="261" t="s">
        <v>66</v>
      </c>
      <c r="D4" s="260"/>
      <c r="E4" s="260"/>
      <c r="F4" s="260"/>
      <c r="G4" s="260"/>
      <c r="H4" s="281"/>
      <c r="I4" s="281"/>
      <c r="J4" s="289"/>
      <c r="K4" s="281"/>
      <c r="L4" s="281"/>
      <c r="M4" s="281"/>
    </row>
    <row r="5" spans="1:34" ht="48">
      <c r="A5" s="262" t="s">
        <v>48</v>
      </c>
      <c r="B5" s="263" t="s">
        <v>49</v>
      </c>
      <c r="C5" s="262" t="s">
        <v>50</v>
      </c>
      <c r="D5" s="262" t="s">
        <v>51</v>
      </c>
      <c r="E5" s="262" t="s">
        <v>52</v>
      </c>
      <c r="F5" s="262" t="s">
        <v>53</v>
      </c>
      <c r="G5" s="260"/>
      <c r="H5" s="290" t="s">
        <v>54</v>
      </c>
      <c r="I5" s="291" t="s">
        <v>55</v>
      </c>
      <c r="J5" s="292" t="s">
        <v>56</v>
      </c>
      <c r="K5" s="291" t="s">
        <v>57</v>
      </c>
      <c r="L5" s="291" t="s">
        <v>58</v>
      </c>
      <c r="M5" s="290" t="s">
        <v>59</v>
      </c>
      <c r="O5" s="293"/>
      <c r="P5" s="294"/>
      <c r="Q5" s="294"/>
      <c r="R5" s="294"/>
    </row>
    <row r="6" spans="1:34" s="282" customFormat="1" ht="14.45" customHeight="1">
      <c r="A6" s="264">
        <f>M6</f>
        <v>98</v>
      </c>
      <c r="B6" s="265">
        <f t="shared" ref="B6:B69" si="0">IF(H6&gt;$H$2,"",(ROW()-5))</f>
        <v>1</v>
      </c>
      <c r="C6" s="266" t="s">
        <v>18</v>
      </c>
      <c r="D6" s="266" t="s">
        <v>67</v>
      </c>
      <c r="E6" s="266"/>
      <c r="F6" s="266"/>
      <c r="G6" s="260"/>
      <c r="H6" s="295">
        <v>1</v>
      </c>
      <c r="I6" s="296">
        <f>IF(H2=1,50,IF(H6&lt;$H$2+1,($I$2-($I$2-1)*(LOG(H6)/LOG($H$2))),""))</f>
        <v>50</v>
      </c>
      <c r="J6" s="295">
        <f>INT(LOG($H$2,2))-ROUNDUP(LOG(H6,2),0)+IF(OR($H$2=1,$H$2=2,$H$2=4,$H$2=8,$H$2=16,$H$2=32,$H$2=64,$H$2=128,$H$2=256),0,1)</f>
        <v>3</v>
      </c>
      <c r="K6" s="295">
        <f t="shared" ref="K6:K69" si="1">J6*$J$2</f>
        <v>30</v>
      </c>
      <c r="L6" s="297">
        <f>3*K2</f>
        <v>17.999999999999996</v>
      </c>
      <c r="M6" s="297">
        <f t="shared" ref="M6:M69" si="2">IF(I6&lt;&gt;"",K6+I6+L6,0)</f>
        <v>98</v>
      </c>
      <c r="N6" s="276"/>
      <c r="O6" s="298"/>
      <c r="P6" s="299"/>
      <c r="Q6" s="300"/>
      <c r="R6" s="300"/>
    </row>
    <row r="7" spans="1:34" s="282" customFormat="1" ht="14.45" customHeight="1">
      <c r="A7" s="267">
        <f t="shared" ref="A7:A70" si="3">M7</f>
        <v>65.666666666666657</v>
      </c>
      <c r="B7" s="268">
        <f t="shared" si="0"/>
        <v>2</v>
      </c>
      <c r="C7" s="269" t="s">
        <v>20</v>
      </c>
      <c r="D7" s="269" t="s">
        <v>68</v>
      </c>
      <c r="E7" s="269"/>
      <c r="F7" s="269"/>
      <c r="G7" s="260"/>
      <c r="H7" s="301">
        <v>2</v>
      </c>
      <c r="I7" s="302">
        <f t="shared" ref="I7:I70" si="4">IF(H7&lt;$H$2+1,($I$2-($I$2-1)*(LOG(H7)/LOG($H$2))),"")</f>
        <v>33.666666666666664</v>
      </c>
      <c r="J7" s="301">
        <f t="shared" ref="J7:J70" si="5">INT(LOG($H$2,2))-ROUNDUP(LOG(H7,2),0)+IF(OR($H$2=1,$H$2=2,$H$2=4,$H$2=8,$H$2=16,$H$2=32,$H$2=64,$H$2=128,$H$2=256),0,1)</f>
        <v>2</v>
      </c>
      <c r="K7" s="301">
        <f t="shared" si="1"/>
        <v>20</v>
      </c>
      <c r="L7" s="303">
        <f>2*K2</f>
        <v>11.999999999999998</v>
      </c>
      <c r="M7" s="303">
        <f t="shared" si="2"/>
        <v>65.666666666666657</v>
      </c>
      <c r="N7" s="276"/>
      <c r="O7" s="298"/>
      <c r="P7" s="299"/>
      <c r="Q7" s="300"/>
      <c r="R7" s="300"/>
    </row>
    <row r="8" spans="1:34" s="282" customFormat="1" ht="14.45" customHeight="1">
      <c r="A8" s="264">
        <f t="shared" si="3"/>
        <v>40.112279154887787</v>
      </c>
      <c r="B8" s="265">
        <f t="shared" si="0"/>
        <v>3</v>
      </c>
      <c r="C8" s="266" t="s">
        <v>22</v>
      </c>
      <c r="D8" s="266" t="s">
        <v>69</v>
      </c>
      <c r="E8" s="266"/>
      <c r="F8" s="266"/>
      <c r="G8" s="260"/>
      <c r="H8" s="295">
        <v>3</v>
      </c>
      <c r="I8" s="296">
        <f t="shared" si="4"/>
        <v>24.112279154887784</v>
      </c>
      <c r="J8" s="295">
        <f t="shared" si="5"/>
        <v>1</v>
      </c>
      <c r="K8" s="295">
        <f t="shared" si="1"/>
        <v>10</v>
      </c>
      <c r="L8" s="297">
        <f>K2</f>
        <v>5.9999999999999991</v>
      </c>
      <c r="M8" s="297">
        <f t="shared" si="2"/>
        <v>40.112279154887787</v>
      </c>
      <c r="N8" s="276"/>
      <c r="O8" s="298"/>
      <c r="P8" s="299"/>
      <c r="Q8" s="300"/>
      <c r="R8" s="300"/>
    </row>
    <row r="9" spans="1:34" s="282" customFormat="1" ht="14.45" customHeight="1">
      <c r="A9" s="267">
        <f t="shared" si="3"/>
        <v>27.333333333333329</v>
      </c>
      <c r="B9" s="268">
        <f t="shared" si="0"/>
        <v>4</v>
      </c>
      <c r="C9" s="269" t="s">
        <v>30</v>
      </c>
      <c r="D9" s="269" t="s">
        <v>68</v>
      </c>
      <c r="E9" s="269"/>
      <c r="F9" s="269"/>
      <c r="G9" s="260"/>
      <c r="H9" s="301">
        <v>4</v>
      </c>
      <c r="I9" s="302">
        <f t="shared" si="4"/>
        <v>17.333333333333329</v>
      </c>
      <c r="J9" s="301">
        <f t="shared" si="5"/>
        <v>1</v>
      </c>
      <c r="K9" s="301">
        <f t="shared" si="1"/>
        <v>10</v>
      </c>
      <c r="L9" s="303"/>
      <c r="M9" s="303">
        <f t="shared" si="2"/>
        <v>27.333333333333329</v>
      </c>
      <c r="N9" s="276"/>
      <c r="O9" s="298"/>
      <c r="P9" s="299"/>
      <c r="Q9" s="300"/>
      <c r="R9" s="300"/>
      <c r="V9" s="304"/>
      <c r="Z9" s="305"/>
      <c r="AA9" s="305"/>
      <c r="AG9" s="306"/>
    </row>
    <row r="10" spans="1:34" s="282" customFormat="1" ht="14.45" customHeight="1">
      <c r="A10" s="264">
        <f t="shared" si="3"/>
        <v>12.07517445017308</v>
      </c>
      <c r="B10" s="265">
        <f t="shared" si="0"/>
        <v>5</v>
      </c>
      <c r="C10" s="266" t="s">
        <v>29</v>
      </c>
      <c r="D10" s="266" t="s">
        <v>70</v>
      </c>
      <c r="E10" s="266"/>
      <c r="F10" s="266"/>
      <c r="G10" s="260"/>
      <c r="H10" s="295">
        <v>5</v>
      </c>
      <c r="I10" s="296">
        <f t="shared" si="4"/>
        <v>12.07517445017308</v>
      </c>
      <c r="J10" s="295">
        <f t="shared" si="5"/>
        <v>0</v>
      </c>
      <c r="K10" s="295">
        <f t="shared" si="1"/>
        <v>0</v>
      </c>
      <c r="L10" s="295"/>
      <c r="M10" s="297">
        <f t="shared" si="2"/>
        <v>12.07517445017308</v>
      </c>
      <c r="N10" s="276"/>
      <c r="O10" s="298"/>
      <c r="P10" s="299"/>
      <c r="Q10" s="300"/>
      <c r="R10" s="300"/>
      <c r="V10" s="304"/>
      <c r="Z10" s="305"/>
      <c r="AA10" s="305"/>
      <c r="AG10" s="306"/>
    </row>
    <row r="11" spans="1:34" s="282" customFormat="1" ht="14.45" customHeight="1">
      <c r="A11" s="267">
        <f t="shared" si="3"/>
        <v>7.7789458215544443</v>
      </c>
      <c r="B11" s="268">
        <f t="shared" si="0"/>
        <v>6</v>
      </c>
      <c r="C11" s="269" t="s">
        <v>28</v>
      </c>
      <c r="D11" s="269" t="s">
        <v>71</v>
      </c>
      <c r="E11" s="269"/>
      <c r="F11" s="269"/>
      <c r="G11" s="260"/>
      <c r="H11" s="301">
        <v>6</v>
      </c>
      <c r="I11" s="302">
        <f t="shared" si="4"/>
        <v>7.7789458215544443</v>
      </c>
      <c r="J11" s="301">
        <f t="shared" si="5"/>
        <v>0</v>
      </c>
      <c r="K11" s="301">
        <f t="shared" si="1"/>
        <v>0</v>
      </c>
      <c r="L11" s="301"/>
      <c r="M11" s="303">
        <f t="shared" si="2"/>
        <v>7.7789458215544443</v>
      </c>
      <c r="N11" s="276"/>
      <c r="O11" s="298"/>
      <c r="P11" s="299"/>
      <c r="Q11" s="300"/>
      <c r="R11" s="300"/>
      <c r="V11" s="307"/>
      <c r="Z11" s="305"/>
      <c r="AA11" s="305"/>
      <c r="AG11" s="306"/>
    </row>
    <row r="12" spans="1:34" s="282" customFormat="1" ht="14.45" customHeight="1">
      <c r="A12" s="264">
        <f t="shared" si="3"/>
        <v>4.1465362730591337</v>
      </c>
      <c r="B12" s="265">
        <f t="shared" si="0"/>
        <v>7</v>
      </c>
      <c r="C12" s="266" t="s">
        <v>37</v>
      </c>
      <c r="D12" s="266" t="s">
        <v>72</v>
      </c>
      <c r="E12" s="266"/>
      <c r="F12" s="266"/>
      <c r="G12" s="260"/>
      <c r="H12" s="295">
        <v>7</v>
      </c>
      <c r="I12" s="296">
        <f t="shared" si="4"/>
        <v>4.1465362730591337</v>
      </c>
      <c r="J12" s="295">
        <f t="shared" si="5"/>
        <v>0</v>
      </c>
      <c r="K12" s="295">
        <f t="shared" si="1"/>
        <v>0</v>
      </c>
      <c r="L12" s="295"/>
      <c r="M12" s="297">
        <f t="shared" si="2"/>
        <v>4.1465362730591337</v>
      </c>
      <c r="N12" s="276"/>
      <c r="O12" s="298"/>
      <c r="P12" s="299"/>
      <c r="Q12" s="300"/>
      <c r="R12" s="300"/>
      <c r="Z12" s="305"/>
      <c r="AA12" s="305"/>
      <c r="AG12" s="306"/>
    </row>
    <row r="13" spans="1:34" s="282" customFormat="1" ht="14.45" customHeight="1">
      <c r="A13" s="270">
        <f t="shared" si="3"/>
        <v>1</v>
      </c>
      <c r="B13" s="268">
        <f t="shared" si="0"/>
        <v>8</v>
      </c>
      <c r="C13" s="269" t="s">
        <v>34</v>
      </c>
      <c r="D13" s="269" t="s">
        <v>73</v>
      </c>
      <c r="E13" s="269"/>
      <c r="F13" s="269"/>
      <c r="G13" s="260"/>
      <c r="H13" s="301">
        <v>8</v>
      </c>
      <c r="I13" s="302">
        <f t="shared" si="4"/>
        <v>1</v>
      </c>
      <c r="J13" s="301">
        <f t="shared" si="5"/>
        <v>0</v>
      </c>
      <c r="K13" s="301">
        <f t="shared" si="1"/>
        <v>0</v>
      </c>
      <c r="L13" s="301"/>
      <c r="M13" s="303">
        <f t="shared" si="2"/>
        <v>1</v>
      </c>
      <c r="N13" s="276"/>
      <c r="O13" s="276"/>
      <c r="P13" s="276"/>
      <c r="Q13" s="276"/>
      <c r="R13" s="276"/>
      <c r="X13" s="304"/>
      <c r="AG13" s="306"/>
    </row>
    <row r="14" spans="1:34" s="282" customFormat="1" ht="15.75" customHeight="1">
      <c r="A14" s="271">
        <f t="shared" si="3"/>
        <v>0</v>
      </c>
      <c r="B14" s="265" t="str">
        <f t="shared" si="0"/>
        <v/>
      </c>
      <c r="C14" s="266"/>
      <c r="D14" s="266"/>
      <c r="E14" s="266"/>
      <c r="F14" s="266"/>
      <c r="G14" s="260"/>
      <c r="H14" s="295">
        <v>9</v>
      </c>
      <c r="I14" s="296" t="str">
        <f t="shared" si="4"/>
        <v/>
      </c>
      <c r="J14" s="295">
        <f t="shared" si="5"/>
        <v>-1</v>
      </c>
      <c r="K14" s="295">
        <f t="shared" si="1"/>
        <v>-10</v>
      </c>
      <c r="L14" s="295"/>
      <c r="M14" s="297">
        <f t="shared" si="2"/>
        <v>0</v>
      </c>
      <c r="N14" s="276"/>
      <c r="O14" s="276"/>
      <c r="P14" s="276"/>
      <c r="Q14" s="276"/>
      <c r="R14" s="276"/>
      <c r="X14" s="308"/>
      <c r="Z14" s="305"/>
      <c r="AA14" s="305"/>
      <c r="AG14" s="306"/>
    </row>
    <row r="15" spans="1:34" s="282" customFormat="1">
      <c r="A15" s="270">
        <f t="shared" si="3"/>
        <v>0</v>
      </c>
      <c r="B15" s="268" t="str">
        <f t="shared" si="0"/>
        <v/>
      </c>
      <c r="C15" s="269"/>
      <c r="D15" s="269"/>
      <c r="E15" s="269"/>
      <c r="F15" s="269"/>
      <c r="G15" s="260"/>
      <c r="H15" s="301">
        <v>10</v>
      </c>
      <c r="I15" s="302" t="str">
        <f t="shared" si="4"/>
        <v/>
      </c>
      <c r="J15" s="301">
        <f t="shared" si="5"/>
        <v>-1</v>
      </c>
      <c r="K15" s="301">
        <f t="shared" si="1"/>
        <v>-10</v>
      </c>
      <c r="L15" s="301"/>
      <c r="M15" s="303">
        <f t="shared" si="2"/>
        <v>0</v>
      </c>
      <c r="N15" s="276"/>
      <c r="O15" s="276"/>
      <c r="P15" s="276"/>
      <c r="Q15" s="276"/>
      <c r="R15" s="276"/>
      <c r="X15" s="304"/>
      <c r="Z15" s="305"/>
      <c r="AA15" s="305"/>
    </row>
    <row r="16" spans="1:34" s="282" customFormat="1">
      <c r="A16" s="271">
        <f t="shared" si="3"/>
        <v>0</v>
      </c>
      <c r="B16" s="265" t="str">
        <f t="shared" si="0"/>
        <v/>
      </c>
      <c r="C16" s="266"/>
      <c r="D16" s="266"/>
      <c r="E16" s="266"/>
      <c r="F16" s="266"/>
      <c r="G16" s="260"/>
      <c r="H16" s="295">
        <v>11</v>
      </c>
      <c r="I16" s="296" t="str">
        <f t="shared" si="4"/>
        <v/>
      </c>
      <c r="J16" s="295">
        <f t="shared" si="5"/>
        <v>-1</v>
      </c>
      <c r="K16" s="295">
        <f t="shared" si="1"/>
        <v>-10</v>
      </c>
      <c r="L16" s="295"/>
      <c r="M16" s="297">
        <f t="shared" si="2"/>
        <v>0</v>
      </c>
      <c r="N16" s="276"/>
      <c r="O16" s="276"/>
      <c r="P16" s="276"/>
      <c r="Q16" s="276"/>
      <c r="R16" s="309"/>
      <c r="Z16" s="305"/>
      <c r="AA16" s="305"/>
      <c r="AH16" s="310"/>
    </row>
    <row r="17" spans="1:19" s="282" customFormat="1">
      <c r="A17" s="270">
        <f t="shared" si="3"/>
        <v>0</v>
      </c>
      <c r="B17" s="268" t="str">
        <f t="shared" si="0"/>
        <v/>
      </c>
      <c r="C17" s="269"/>
      <c r="D17" s="269"/>
      <c r="E17" s="269"/>
      <c r="F17" s="269"/>
      <c r="G17" s="260"/>
      <c r="H17" s="301">
        <v>12</v>
      </c>
      <c r="I17" s="302" t="str">
        <f t="shared" si="4"/>
        <v/>
      </c>
      <c r="J17" s="301">
        <f t="shared" si="5"/>
        <v>-1</v>
      </c>
      <c r="K17" s="301">
        <f t="shared" si="1"/>
        <v>-10</v>
      </c>
      <c r="L17" s="301"/>
      <c r="M17" s="303">
        <f t="shared" si="2"/>
        <v>0</v>
      </c>
      <c r="N17" s="276"/>
      <c r="O17" s="276"/>
      <c r="P17" s="276"/>
      <c r="Q17" s="276"/>
      <c r="R17" s="276"/>
    </row>
    <row r="18" spans="1:19" s="282" customFormat="1">
      <c r="A18" s="271">
        <f t="shared" si="3"/>
        <v>0</v>
      </c>
      <c r="B18" s="265" t="str">
        <f t="shared" si="0"/>
        <v/>
      </c>
      <c r="C18" s="266"/>
      <c r="D18" s="266"/>
      <c r="E18" s="266"/>
      <c r="F18" s="266"/>
      <c r="G18" s="260"/>
      <c r="H18" s="295">
        <v>13</v>
      </c>
      <c r="I18" s="296" t="str">
        <f t="shared" si="4"/>
        <v/>
      </c>
      <c r="J18" s="295">
        <f t="shared" si="5"/>
        <v>-1</v>
      </c>
      <c r="K18" s="295">
        <f t="shared" si="1"/>
        <v>-10</v>
      </c>
      <c r="L18" s="295"/>
      <c r="M18" s="297">
        <f t="shared" si="2"/>
        <v>0</v>
      </c>
      <c r="N18" s="276"/>
      <c r="O18" s="276"/>
      <c r="P18" s="276"/>
      <c r="Q18" s="276"/>
      <c r="R18" s="276"/>
    </row>
    <row r="19" spans="1:19" s="282" customFormat="1">
      <c r="A19" s="270">
        <f t="shared" si="3"/>
        <v>0</v>
      </c>
      <c r="B19" s="268" t="str">
        <f t="shared" si="0"/>
        <v/>
      </c>
      <c r="C19" s="269"/>
      <c r="D19" s="269"/>
      <c r="E19" s="269"/>
      <c r="F19" s="269"/>
      <c r="G19" s="260"/>
      <c r="H19" s="301">
        <v>14</v>
      </c>
      <c r="I19" s="302" t="str">
        <f t="shared" si="4"/>
        <v/>
      </c>
      <c r="J19" s="301">
        <f t="shared" si="5"/>
        <v>-1</v>
      </c>
      <c r="K19" s="301">
        <f t="shared" si="1"/>
        <v>-10</v>
      </c>
      <c r="L19" s="301"/>
      <c r="M19" s="303">
        <f t="shared" si="2"/>
        <v>0</v>
      </c>
      <c r="N19" s="276"/>
      <c r="O19" s="276"/>
      <c r="P19" s="276"/>
      <c r="Q19" s="276"/>
      <c r="R19" s="276"/>
    </row>
    <row r="20" spans="1:19" s="282" customFormat="1">
      <c r="A20" s="271">
        <f t="shared" si="3"/>
        <v>0</v>
      </c>
      <c r="B20" s="265" t="str">
        <f t="shared" si="0"/>
        <v/>
      </c>
      <c r="C20" s="266"/>
      <c r="D20" s="266"/>
      <c r="E20" s="266"/>
      <c r="F20" s="266"/>
      <c r="G20" s="260"/>
      <c r="H20" s="295">
        <v>15</v>
      </c>
      <c r="I20" s="296" t="str">
        <f t="shared" si="4"/>
        <v/>
      </c>
      <c r="J20" s="295">
        <f t="shared" si="5"/>
        <v>-1</v>
      </c>
      <c r="K20" s="295">
        <f t="shared" si="1"/>
        <v>-10</v>
      </c>
      <c r="L20" s="295"/>
      <c r="M20" s="297">
        <f t="shared" si="2"/>
        <v>0</v>
      </c>
      <c r="N20" s="276"/>
      <c r="O20" s="276"/>
      <c r="P20" s="276"/>
      <c r="Q20" s="276"/>
      <c r="R20" s="311"/>
      <c r="S20" s="312"/>
    </row>
    <row r="21" spans="1:19" s="282" customFormat="1">
      <c r="A21" s="270">
        <f t="shared" si="3"/>
        <v>0</v>
      </c>
      <c r="B21" s="268" t="str">
        <f t="shared" si="0"/>
        <v/>
      </c>
      <c r="C21" s="269"/>
      <c r="D21" s="269"/>
      <c r="E21" s="269"/>
      <c r="F21" s="269"/>
      <c r="G21" s="260"/>
      <c r="H21" s="301">
        <v>16</v>
      </c>
      <c r="I21" s="302" t="str">
        <f t="shared" si="4"/>
        <v/>
      </c>
      <c r="J21" s="301">
        <f t="shared" si="5"/>
        <v>-1</v>
      </c>
      <c r="K21" s="301">
        <f t="shared" si="1"/>
        <v>-10</v>
      </c>
      <c r="L21" s="301"/>
      <c r="M21" s="303">
        <f t="shared" si="2"/>
        <v>0</v>
      </c>
      <c r="N21" s="276"/>
      <c r="O21" s="276"/>
      <c r="P21" s="276"/>
      <c r="Q21" s="276"/>
      <c r="R21" s="276"/>
    </row>
    <row r="22" spans="1:19" s="282" customFormat="1">
      <c r="A22" s="271">
        <f t="shared" si="3"/>
        <v>0</v>
      </c>
      <c r="B22" s="265" t="str">
        <f t="shared" si="0"/>
        <v/>
      </c>
      <c r="C22" s="266"/>
      <c r="D22" s="266"/>
      <c r="E22" s="266"/>
      <c r="F22" s="266"/>
      <c r="G22" s="260"/>
      <c r="H22" s="295">
        <v>17</v>
      </c>
      <c r="I22" s="296" t="str">
        <f t="shared" si="4"/>
        <v/>
      </c>
      <c r="J22" s="295">
        <f t="shared" si="5"/>
        <v>-2</v>
      </c>
      <c r="K22" s="295">
        <f t="shared" si="1"/>
        <v>-20</v>
      </c>
      <c r="L22" s="295"/>
      <c r="M22" s="297">
        <f t="shared" si="2"/>
        <v>0</v>
      </c>
      <c r="N22" s="276"/>
      <c r="O22" s="276"/>
      <c r="P22" s="276"/>
      <c r="Q22" s="276"/>
      <c r="R22" s="276"/>
    </row>
    <row r="23" spans="1:19" s="282" customFormat="1">
      <c r="A23" s="270">
        <f t="shared" si="3"/>
        <v>0</v>
      </c>
      <c r="B23" s="268" t="str">
        <f t="shared" si="0"/>
        <v/>
      </c>
      <c r="C23" s="269"/>
      <c r="D23" s="269"/>
      <c r="E23" s="269"/>
      <c r="F23" s="269"/>
      <c r="G23" s="260"/>
      <c r="H23" s="301">
        <v>18</v>
      </c>
      <c r="I23" s="302" t="str">
        <f t="shared" si="4"/>
        <v/>
      </c>
      <c r="J23" s="301">
        <f t="shared" si="5"/>
        <v>-2</v>
      </c>
      <c r="K23" s="301">
        <f t="shared" si="1"/>
        <v>-20</v>
      </c>
      <c r="L23" s="301"/>
      <c r="M23" s="303">
        <f t="shared" si="2"/>
        <v>0</v>
      </c>
      <c r="N23" s="276"/>
      <c r="O23" s="276"/>
      <c r="P23" s="276"/>
      <c r="Q23" s="276"/>
      <c r="R23" s="276"/>
    </row>
    <row r="24" spans="1:19" s="282" customFormat="1">
      <c r="A24" s="271">
        <f t="shared" si="3"/>
        <v>0</v>
      </c>
      <c r="B24" s="265" t="str">
        <f t="shared" si="0"/>
        <v/>
      </c>
      <c r="C24" s="266"/>
      <c r="D24" s="266"/>
      <c r="E24" s="266"/>
      <c r="F24" s="266"/>
      <c r="G24" s="260"/>
      <c r="H24" s="295">
        <v>19</v>
      </c>
      <c r="I24" s="296" t="str">
        <f t="shared" si="4"/>
        <v/>
      </c>
      <c r="J24" s="295">
        <f t="shared" si="5"/>
        <v>-2</v>
      </c>
      <c r="K24" s="295">
        <f t="shared" si="1"/>
        <v>-20</v>
      </c>
      <c r="L24" s="295"/>
      <c r="M24" s="297">
        <f t="shared" si="2"/>
        <v>0</v>
      </c>
      <c r="N24" s="276"/>
      <c r="O24" s="276"/>
      <c r="P24" s="276"/>
      <c r="Q24" s="276"/>
      <c r="R24" s="311"/>
      <c r="S24" s="312"/>
    </row>
    <row r="25" spans="1:19" s="282" customFormat="1">
      <c r="A25" s="270">
        <f t="shared" si="3"/>
        <v>0</v>
      </c>
      <c r="B25" s="268" t="str">
        <f t="shared" si="0"/>
        <v/>
      </c>
      <c r="C25" s="269"/>
      <c r="D25" s="269"/>
      <c r="E25" s="269"/>
      <c r="F25" s="269"/>
      <c r="G25" s="260"/>
      <c r="H25" s="301">
        <v>20</v>
      </c>
      <c r="I25" s="302" t="str">
        <f t="shared" si="4"/>
        <v/>
      </c>
      <c r="J25" s="301">
        <f t="shared" si="5"/>
        <v>-2</v>
      </c>
      <c r="K25" s="301">
        <f t="shared" si="1"/>
        <v>-20</v>
      </c>
      <c r="L25" s="301"/>
      <c r="M25" s="303">
        <f t="shared" si="2"/>
        <v>0</v>
      </c>
      <c r="N25" s="276"/>
      <c r="O25" s="276"/>
      <c r="P25" s="276"/>
      <c r="Q25" s="276"/>
      <c r="R25" s="276"/>
    </row>
    <row r="26" spans="1:19" s="282" customFormat="1">
      <c r="A26" s="271">
        <f t="shared" si="3"/>
        <v>0</v>
      </c>
      <c r="B26" s="265" t="str">
        <f t="shared" si="0"/>
        <v/>
      </c>
      <c r="C26" s="266"/>
      <c r="D26" s="266"/>
      <c r="E26" s="266"/>
      <c r="F26" s="266"/>
      <c r="G26" s="260"/>
      <c r="H26" s="295">
        <v>21</v>
      </c>
      <c r="I26" s="296" t="str">
        <f t="shared" si="4"/>
        <v/>
      </c>
      <c r="J26" s="295">
        <f t="shared" si="5"/>
        <v>-2</v>
      </c>
      <c r="K26" s="295">
        <f t="shared" si="1"/>
        <v>-20</v>
      </c>
      <c r="L26" s="295"/>
      <c r="M26" s="297">
        <f t="shared" si="2"/>
        <v>0</v>
      </c>
      <c r="N26" s="276"/>
      <c r="O26" s="276"/>
      <c r="P26" s="276"/>
      <c r="Q26" s="276"/>
      <c r="R26" s="276"/>
    </row>
    <row r="27" spans="1:19" s="282" customFormat="1">
      <c r="A27" s="270">
        <f t="shared" si="3"/>
        <v>0</v>
      </c>
      <c r="B27" s="268" t="str">
        <f t="shared" si="0"/>
        <v/>
      </c>
      <c r="C27" s="269"/>
      <c r="D27" s="269"/>
      <c r="E27" s="269"/>
      <c r="F27" s="269"/>
      <c r="G27" s="260"/>
      <c r="H27" s="301">
        <v>22</v>
      </c>
      <c r="I27" s="302" t="str">
        <f t="shared" si="4"/>
        <v/>
      </c>
      <c r="J27" s="301">
        <f t="shared" si="5"/>
        <v>-2</v>
      </c>
      <c r="K27" s="301">
        <f t="shared" si="1"/>
        <v>-20</v>
      </c>
      <c r="L27" s="301"/>
      <c r="M27" s="303">
        <f t="shared" si="2"/>
        <v>0</v>
      </c>
      <c r="N27" s="276"/>
      <c r="O27" s="276"/>
      <c r="P27" s="276"/>
      <c r="Q27" s="276"/>
      <c r="R27" s="276"/>
    </row>
    <row r="28" spans="1:19" s="282" customFormat="1">
      <c r="A28" s="271">
        <f t="shared" si="3"/>
        <v>0</v>
      </c>
      <c r="B28" s="265" t="str">
        <f t="shared" si="0"/>
        <v/>
      </c>
      <c r="C28" s="266"/>
      <c r="D28" s="266"/>
      <c r="E28" s="266"/>
      <c r="F28" s="266"/>
      <c r="G28" s="260"/>
      <c r="H28" s="295">
        <v>23</v>
      </c>
      <c r="I28" s="296" t="str">
        <f t="shared" si="4"/>
        <v/>
      </c>
      <c r="J28" s="295">
        <f t="shared" si="5"/>
        <v>-2</v>
      </c>
      <c r="K28" s="295">
        <f t="shared" si="1"/>
        <v>-20</v>
      </c>
      <c r="L28" s="295"/>
      <c r="M28" s="297">
        <f t="shared" si="2"/>
        <v>0</v>
      </c>
      <c r="N28" s="276"/>
      <c r="O28" s="276"/>
      <c r="P28" s="276"/>
      <c r="Q28" s="276"/>
      <c r="R28" s="311"/>
      <c r="S28" s="312"/>
    </row>
    <row r="29" spans="1:19" s="282" customFormat="1">
      <c r="A29" s="270">
        <f t="shared" si="3"/>
        <v>0</v>
      </c>
      <c r="B29" s="268" t="str">
        <f t="shared" si="0"/>
        <v/>
      </c>
      <c r="C29" s="269"/>
      <c r="D29" s="269"/>
      <c r="E29" s="269"/>
      <c r="F29" s="269"/>
      <c r="G29" s="276"/>
      <c r="H29" s="301">
        <v>24</v>
      </c>
      <c r="I29" s="302" t="str">
        <f t="shared" si="4"/>
        <v/>
      </c>
      <c r="J29" s="301">
        <f t="shared" si="5"/>
        <v>-2</v>
      </c>
      <c r="K29" s="301">
        <f t="shared" si="1"/>
        <v>-20</v>
      </c>
      <c r="L29" s="301"/>
      <c r="M29" s="303">
        <f t="shared" si="2"/>
        <v>0</v>
      </c>
      <c r="N29" s="276"/>
      <c r="O29" s="276"/>
      <c r="P29" s="276"/>
      <c r="Q29" s="276"/>
      <c r="R29" s="276"/>
    </row>
    <row r="30" spans="1:19" s="282" customFormat="1">
      <c r="A30" s="271">
        <f t="shared" si="3"/>
        <v>0</v>
      </c>
      <c r="B30" s="265" t="str">
        <f t="shared" si="0"/>
        <v/>
      </c>
      <c r="C30" s="266"/>
      <c r="D30" s="266"/>
      <c r="E30" s="266"/>
      <c r="F30" s="266"/>
      <c r="G30" s="276"/>
      <c r="H30" s="295">
        <v>25</v>
      </c>
      <c r="I30" s="296" t="str">
        <f t="shared" si="4"/>
        <v/>
      </c>
      <c r="J30" s="295">
        <f t="shared" si="5"/>
        <v>-2</v>
      </c>
      <c r="K30" s="295">
        <f t="shared" si="1"/>
        <v>-20</v>
      </c>
      <c r="L30" s="295"/>
      <c r="M30" s="297">
        <f t="shared" si="2"/>
        <v>0</v>
      </c>
      <c r="N30" s="276"/>
      <c r="O30" s="276"/>
      <c r="P30" s="276"/>
      <c r="Q30" s="276"/>
      <c r="R30" s="276"/>
    </row>
    <row r="31" spans="1:19" s="282" customFormat="1">
      <c r="A31" s="270">
        <f t="shared" si="3"/>
        <v>0</v>
      </c>
      <c r="B31" s="268" t="str">
        <f t="shared" si="0"/>
        <v/>
      </c>
      <c r="C31" s="269"/>
      <c r="D31" s="269"/>
      <c r="E31" s="269"/>
      <c r="F31" s="269"/>
      <c r="G31" s="276"/>
      <c r="H31" s="301">
        <v>26</v>
      </c>
      <c r="I31" s="302" t="str">
        <f t="shared" si="4"/>
        <v/>
      </c>
      <c r="J31" s="301">
        <f t="shared" si="5"/>
        <v>-2</v>
      </c>
      <c r="K31" s="301">
        <f t="shared" si="1"/>
        <v>-20</v>
      </c>
      <c r="L31" s="301"/>
      <c r="M31" s="303">
        <f t="shared" si="2"/>
        <v>0</v>
      </c>
      <c r="N31" s="276"/>
      <c r="O31" s="276"/>
      <c r="P31" s="276"/>
      <c r="Q31" s="276"/>
      <c r="R31" s="276"/>
    </row>
    <row r="32" spans="1:19" s="282" customFormat="1">
      <c r="A32" s="271">
        <f t="shared" si="3"/>
        <v>0</v>
      </c>
      <c r="B32" s="265" t="str">
        <f t="shared" si="0"/>
        <v/>
      </c>
      <c r="C32" s="266"/>
      <c r="D32" s="266"/>
      <c r="E32" s="266"/>
      <c r="F32" s="266"/>
      <c r="G32" s="276"/>
      <c r="H32" s="295">
        <v>27</v>
      </c>
      <c r="I32" s="296" t="str">
        <f t="shared" si="4"/>
        <v/>
      </c>
      <c r="J32" s="295">
        <f t="shared" si="5"/>
        <v>-2</v>
      </c>
      <c r="K32" s="295">
        <f t="shared" si="1"/>
        <v>-20</v>
      </c>
      <c r="L32" s="295"/>
      <c r="M32" s="297">
        <f t="shared" si="2"/>
        <v>0</v>
      </c>
      <c r="N32" s="276"/>
      <c r="O32" s="276"/>
      <c r="P32" s="276"/>
      <c r="Q32" s="276"/>
      <c r="R32" s="311"/>
      <c r="S32" s="312"/>
    </row>
    <row r="33" spans="1:19" s="282" customFormat="1">
      <c r="A33" s="270">
        <f t="shared" si="3"/>
        <v>0</v>
      </c>
      <c r="B33" s="268" t="str">
        <f t="shared" si="0"/>
        <v/>
      </c>
      <c r="C33" s="269"/>
      <c r="D33" s="269"/>
      <c r="E33" s="269"/>
      <c r="F33" s="269"/>
      <c r="G33" s="276"/>
      <c r="H33" s="301">
        <v>28</v>
      </c>
      <c r="I33" s="302" t="str">
        <f t="shared" si="4"/>
        <v/>
      </c>
      <c r="J33" s="301">
        <f t="shared" si="5"/>
        <v>-2</v>
      </c>
      <c r="K33" s="301">
        <f t="shared" si="1"/>
        <v>-20</v>
      </c>
      <c r="L33" s="301"/>
      <c r="M33" s="303">
        <f t="shared" si="2"/>
        <v>0</v>
      </c>
      <c r="N33" s="276"/>
      <c r="O33" s="276"/>
      <c r="P33" s="276"/>
      <c r="Q33" s="276"/>
      <c r="R33" s="276"/>
    </row>
    <row r="34" spans="1:19" s="282" customFormat="1">
      <c r="A34" s="271">
        <f t="shared" si="3"/>
        <v>0</v>
      </c>
      <c r="B34" s="265" t="str">
        <f t="shared" si="0"/>
        <v/>
      </c>
      <c r="C34" s="266"/>
      <c r="D34" s="266"/>
      <c r="E34" s="266"/>
      <c r="F34" s="266"/>
      <c r="G34" s="276"/>
      <c r="H34" s="295">
        <v>29</v>
      </c>
      <c r="I34" s="296" t="str">
        <f t="shared" si="4"/>
        <v/>
      </c>
      <c r="J34" s="295">
        <f t="shared" si="5"/>
        <v>-2</v>
      </c>
      <c r="K34" s="295">
        <f t="shared" si="1"/>
        <v>-20</v>
      </c>
      <c r="L34" s="295"/>
      <c r="M34" s="297">
        <f t="shared" si="2"/>
        <v>0</v>
      </c>
      <c r="N34" s="276"/>
      <c r="O34" s="276"/>
      <c r="P34" s="276"/>
      <c r="Q34" s="276"/>
      <c r="R34" s="276"/>
    </row>
    <row r="35" spans="1:19" s="282" customFormat="1">
      <c r="A35" s="270">
        <f t="shared" si="3"/>
        <v>0</v>
      </c>
      <c r="B35" s="268" t="str">
        <f t="shared" si="0"/>
        <v/>
      </c>
      <c r="C35" s="269"/>
      <c r="D35" s="269"/>
      <c r="E35" s="269"/>
      <c r="F35" s="269"/>
      <c r="G35" s="276"/>
      <c r="H35" s="301">
        <v>30</v>
      </c>
      <c r="I35" s="302" t="str">
        <f t="shared" si="4"/>
        <v/>
      </c>
      <c r="J35" s="301">
        <f t="shared" si="5"/>
        <v>-2</v>
      </c>
      <c r="K35" s="301">
        <f t="shared" si="1"/>
        <v>-20</v>
      </c>
      <c r="L35" s="301"/>
      <c r="M35" s="303">
        <f t="shared" si="2"/>
        <v>0</v>
      </c>
      <c r="N35" s="276"/>
      <c r="O35" s="276"/>
      <c r="P35" s="276"/>
      <c r="Q35" s="276"/>
      <c r="R35" s="276"/>
    </row>
    <row r="36" spans="1:19" s="282" customFormat="1">
      <c r="A36" s="271">
        <f t="shared" si="3"/>
        <v>0</v>
      </c>
      <c r="B36" s="265" t="str">
        <f t="shared" si="0"/>
        <v/>
      </c>
      <c r="C36" s="266"/>
      <c r="D36" s="266"/>
      <c r="E36" s="266"/>
      <c r="F36" s="266"/>
      <c r="G36" s="276"/>
      <c r="H36" s="295">
        <v>31</v>
      </c>
      <c r="I36" s="296" t="str">
        <f t="shared" si="4"/>
        <v/>
      </c>
      <c r="J36" s="295">
        <f t="shared" si="5"/>
        <v>-2</v>
      </c>
      <c r="K36" s="295">
        <f t="shared" si="1"/>
        <v>-20</v>
      </c>
      <c r="L36" s="295"/>
      <c r="M36" s="297">
        <f t="shared" si="2"/>
        <v>0</v>
      </c>
      <c r="N36" s="276"/>
      <c r="O36" s="276"/>
      <c r="P36" s="276"/>
      <c r="Q36" s="276"/>
      <c r="R36" s="311"/>
      <c r="S36" s="312"/>
    </row>
    <row r="37" spans="1:19" s="282" customFormat="1">
      <c r="A37" s="270">
        <f t="shared" si="3"/>
        <v>0</v>
      </c>
      <c r="B37" s="268" t="str">
        <f t="shared" si="0"/>
        <v/>
      </c>
      <c r="C37" s="269"/>
      <c r="D37" s="269"/>
      <c r="E37" s="269"/>
      <c r="F37" s="269"/>
      <c r="G37" s="276"/>
      <c r="H37" s="301">
        <v>32</v>
      </c>
      <c r="I37" s="302" t="str">
        <f t="shared" si="4"/>
        <v/>
      </c>
      <c r="J37" s="301">
        <f t="shared" si="5"/>
        <v>-2</v>
      </c>
      <c r="K37" s="301">
        <f t="shared" si="1"/>
        <v>-20</v>
      </c>
      <c r="L37" s="301"/>
      <c r="M37" s="303">
        <f t="shared" si="2"/>
        <v>0</v>
      </c>
      <c r="N37" s="276"/>
      <c r="O37" s="276"/>
      <c r="P37" s="276"/>
      <c r="Q37" s="276"/>
      <c r="R37" s="276"/>
    </row>
    <row r="38" spans="1:19" s="282" customFormat="1">
      <c r="A38" s="271">
        <f t="shared" si="3"/>
        <v>0</v>
      </c>
      <c r="B38" s="265" t="str">
        <f t="shared" si="0"/>
        <v/>
      </c>
      <c r="C38" s="266"/>
      <c r="D38" s="266"/>
      <c r="E38" s="266"/>
      <c r="F38" s="266"/>
      <c r="G38" s="276"/>
      <c r="H38" s="295">
        <v>33</v>
      </c>
      <c r="I38" s="296" t="str">
        <f t="shared" si="4"/>
        <v/>
      </c>
      <c r="J38" s="295">
        <f t="shared" si="5"/>
        <v>-3</v>
      </c>
      <c r="K38" s="295">
        <f t="shared" si="1"/>
        <v>-30</v>
      </c>
      <c r="L38" s="295"/>
      <c r="M38" s="297">
        <f t="shared" si="2"/>
        <v>0</v>
      </c>
      <c r="N38" s="276"/>
      <c r="O38" s="276"/>
      <c r="P38" s="276"/>
      <c r="Q38" s="276"/>
      <c r="R38" s="276"/>
    </row>
    <row r="39" spans="1:19" s="282" customFormat="1">
      <c r="A39" s="270">
        <f t="shared" si="3"/>
        <v>0</v>
      </c>
      <c r="B39" s="268" t="str">
        <f t="shared" si="0"/>
        <v/>
      </c>
      <c r="C39" s="269"/>
      <c r="D39" s="269"/>
      <c r="E39" s="269"/>
      <c r="F39" s="269"/>
      <c r="G39" s="276"/>
      <c r="H39" s="301">
        <v>34</v>
      </c>
      <c r="I39" s="302" t="str">
        <f t="shared" si="4"/>
        <v/>
      </c>
      <c r="J39" s="301">
        <f t="shared" si="5"/>
        <v>-3</v>
      </c>
      <c r="K39" s="301">
        <f t="shared" si="1"/>
        <v>-30</v>
      </c>
      <c r="L39" s="301"/>
      <c r="M39" s="303">
        <f t="shared" si="2"/>
        <v>0</v>
      </c>
      <c r="N39" s="276"/>
      <c r="O39" s="276"/>
      <c r="P39" s="276"/>
      <c r="Q39" s="276"/>
      <c r="R39" s="276"/>
    </row>
    <row r="40" spans="1:19" s="282" customFormat="1">
      <c r="A40" s="271">
        <f t="shared" si="3"/>
        <v>0</v>
      </c>
      <c r="B40" s="265" t="str">
        <f t="shared" si="0"/>
        <v/>
      </c>
      <c r="C40" s="266"/>
      <c r="D40" s="266"/>
      <c r="E40" s="266"/>
      <c r="F40" s="266"/>
      <c r="G40" s="276"/>
      <c r="H40" s="295">
        <v>35</v>
      </c>
      <c r="I40" s="296" t="str">
        <f t="shared" si="4"/>
        <v/>
      </c>
      <c r="J40" s="295">
        <f t="shared" si="5"/>
        <v>-3</v>
      </c>
      <c r="K40" s="295">
        <f t="shared" si="1"/>
        <v>-30</v>
      </c>
      <c r="L40" s="295"/>
      <c r="M40" s="297">
        <f t="shared" si="2"/>
        <v>0</v>
      </c>
      <c r="N40" s="276"/>
      <c r="O40" s="276"/>
      <c r="P40" s="276"/>
      <c r="Q40" s="276"/>
      <c r="R40" s="276"/>
    </row>
    <row r="41" spans="1:19" s="282" customFormat="1">
      <c r="A41" s="270">
        <f t="shared" si="3"/>
        <v>0</v>
      </c>
      <c r="B41" s="268" t="str">
        <f t="shared" si="0"/>
        <v/>
      </c>
      <c r="C41" s="269"/>
      <c r="D41" s="269"/>
      <c r="E41" s="269"/>
      <c r="F41" s="269"/>
      <c r="G41" s="276"/>
      <c r="H41" s="301">
        <v>36</v>
      </c>
      <c r="I41" s="302" t="str">
        <f t="shared" si="4"/>
        <v/>
      </c>
      <c r="J41" s="301">
        <f t="shared" si="5"/>
        <v>-3</v>
      </c>
      <c r="K41" s="301">
        <f t="shared" si="1"/>
        <v>-30</v>
      </c>
      <c r="L41" s="301"/>
      <c r="M41" s="303">
        <f t="shared" si="2"/>
        <v>0</v>
      </c>
      <c r="N41" s="276"/>
      <c r="O41" s="276"/>
      <c r="P41" s="276"/>
      <c r="Q41" s="276"/>
      <c r="R41" s="276"/>
      <c r="S41" s="313"/>
    </row>
    <row r="42" spans="1:19" s="282" customFormat="1">
      <c r="A42" s="271">
        <f t="shared" si="3"/>
        <v>0</v>
      </c>
      <c r="B42" s="265" t="str">
        <f t="shared" si="0"/>
        <v/>
      </c>
      <c r="C42" s="266"/>
      <c r="D42" s="266"/>
      <c r="E42" s="266"/>
      <c r="F42" s="266"/>
      <c r="G42" s="276"/>
      <c r="H42" s="295">
        <v>37</v>
      </c>
      <c r="I42" s="296" t="str">
        <f t="shared" si="4"/>
        <v/>
      </c>
      <c r="J42" s="295">
        <f t="shared" si="5"/>
        <v>-3</v>
      </c>
      <c r="K42" s="295">
        <f t="shared" si="1"/>
        <v>-30</v>
      </c>
      <c r="L42" s="295"/>
      <c r="M42" s="297">
        <f t="shared" si="2"/>
        <v>0</v>
      </c>
      <c r="N42" s="276"/>
      <c r="O42" s="276"/>
      <c r="P42" s="276"/>
      <c r="Q42" s="276"/>
      <c r="R42" s="276"/>
    </row>
    <row r="43" spans="1:19" s="282" customFormat="1">
      <c r="A43" s="270">
        <f t="shared" si="3"/>
        <v>0</v>
      </c>
      <c r="B43" s="268" t="str">
        <f t="shared" si="0"/>
        <v/>
      </c>
      <c r="C43" s="269"/>
      <c r="D43" s="269"/>
      <c r="E43" s="269"/>
      <c r="F43" s="269"/>
      <c r="G43" s="276"/>
      <c r="H43" s="301">
        <v>38</v>
      </c>
      <c r="I43" s="302" t="str">
        <f t="shared" si="4"/>
        <v/>
      </c>
      <c r="J43" s="301">
        <f t="shared" si="5"/>
        <v>-3</v>
      </c>
      <c r="K43" s="301">
        <f t="shared" si="1"/>
        <v>-30</v>
      </c>
      <c r="L43" s="301"/>
      <c r="M43" s="303">
        <f t="shared" si="2"/>
        <v>0</v>
      </c>
      <c r="N43" s="276"/>
      <c r="O43" s="276"/>
      <c r="P43" s="276"/>
      <c r="Q43" s="276"/>
      <c r="R43" s="276"/>
    </row>
    <row r="44" spans="1:19" s="282" customFormat="1">
      <c r="A44" s="271">
        <f t="shared" si="3"/>
        <v>0</v>
      </c>
      <c r="B44" s="265" t="str">
        <f t="shared" si="0"/>
        <v/>
      </c>
      <c r="C44" s="266"/>
      <c r="D44" s="266"/>
      <c r="E44" s="266"/>
      <c r="F44" s="266"/>
      <c r="G44" s="276"/>
      <c r="H44" s="295">
        <v>39</v>
      </c>
      <c r="I44" s="296" t="str">
        <f t="shared" si="4"/>
        <v/>
      </c>
      <c r="J44" s="295">
        <f t="shared" si="5"/>
        <v>-3</v>
      </c>
      <c r="K44" s="295">
        <f t="shared" si="1"/>
        <v>-30</v>
      </c>
      <c r="L44" s="295"/>
      <c r="M44" s="297">
        <f t="shared" si="2"/>
        <v>0</v>
      </c>
      <c r="N44" s="276"/>
      <c r="O44" s="276"/>
      <c r="P44" s="276"/>
      <c r="Q44" s="276"/>
      <c r="R44" s="276"/>
    </row>
    <row r="45" spans="1:19" s="282" customFormat="1">
      <c r="A45" s="270">
        <f t="shared" si="3"/>
        <v>0</v>
      </c>
      <c r="B45" s="268" t="str">
        <f t="shared" si="0"/>
        <v/>
      </c>
      <c r="C45" s="269"/>
      <c r="D45" s="269"/>
      <c r="E45" s="269"/>
      <c r="F45" s="269"/>
      <c r="G45" s="276"/>
      <c r="H45" s="301">
        <v>40</v>
      </c>
      <c r="I45" s="302" t="str">
        <f t="shared" si="4"/>
        <v/>
      </c>
      <c r="J45" s="301">
        <f t="shared" si="5"/>
        <v>-3</v>
      </c>
      <c r="K45" s="301">
        <f t="shared" si="1"/>
        <v>-30</v>
      </c>
      <c r="L45" s="301"/>
      <c r="M45" s="303">
        <f t="shared" si="2"/>
        <v>0</v>
      </c>
      <c r="N45" s="276"/>
      <c r="O45" s="276"/>
      <c r="P45" s="276"/>
      <c r="Q45" s="276"/>
      <c r="R45" s="276"/>
    </row>
    <row r="46" spans="1:19" s="282" customFormat="1">
      <c r="A46" s="271">
        <f t="shared" si="3"/>
        <v>0</v>
      </c>
      <c r="B46" s="265" t="str">
        <f t="shared" si="0"/>
        <v/>
      </c>
      <c r="C46" s="266"/>
      <c r="D46" s="266"/>
      <c r="E46" s="266"/>
      <c r="F46" s="266"/>
      <c r="G46" s="276"/>
      <c r="H46" s="295">
        <v>41</v>
      </c>
      <c r="I46" s="296" t="str">
        <f t="shared" si="4"/>
        <v/>
      </c>
      <c r="J46" s="295">
        <f t="shared" si="5"/>
        <v>-3</v>
      </c>
      <c r="K46" s="295">
        <f t="shared" si="1"/>
        <v>-30</v>
      </c>
      <c r="L46" s="295"/>
      <c r="M46" s="297">
        <f t="shared" si="2"/>
        <v>0</v>
      </c>
      <c r="N46" s="276"/>
      <c r="O46" s="276"/>
      <c r="P46" s="276"/>
      <c r="Q46" s="276"/>
      <c r="R46" s="276"/>
    </row>
    <row r="47" spans="1:19" s="282" customFormat="1">
      <c r="A47" s="270">
        <f t="shared" si="3"/>
        <v>0</v>
      </c>
      <c r="B47" s="268" t="str">
        <f t="shared" si="0"/>
        <v/>
      </c>
      <c r="C47" s="269"/>
      <c r="D47" s="269"/>
      <c r="E47" s="269"/>
      <c r="F47" s="269"/>
      <c r="G47" s="276"/>
      <c r="H47" s="301">
        <v>42</v>
      </c>
      <c r="I47" s="302" t="str">
        <f t="shared" si="4"/>
        <v/>
      </c>
      <c r="J47" s="301">
        <f t="shared" si="5"/>
        <v>-3</v>
      </c>
      <c r="K47" s="301">
        <f t="shared" si="1"/>
        <v>-30</v>
      </c>
      <c r="L47" s="301"/>
      <c r="M47" s="303">
        <f t="shared" si="2"/>
        <v>0</v>
      </c>
      <c r="N47" s="276"/>
      <c r="O47" s="276"/>
      <c r="P47" s="276"/>
      <c r="Q47" s="276"/>
      <c r="R47" s="276"/>
    </row>
    <row r="48" spans="1:19" s="282" customFormat="1">
      <c r="A48" s="271">
        <f t="shared" si="3"/>
        <v>0</v>
      </c>
      <c r="B48" s="265" t="str">
        <f t="shared" si="0"/>
        <v/>
      </c>
      <c r="C48" s="266"/>
      <c r="D48" s="266"/>
      <c r="E48" s="266"/>
      <c r="F48" s="266"/>
      <c r="G48" s="276"/>
      <c r="H48" s="295">
        <v>43</v>
      </c>
      <c r="I48" s="296" t="str">
        <f t="shared" si="4"/>
        <v/>
      </c>
      <c r="J48" s="295">
        <f t="shared" si="5"/>
        <v>-3</v>
      </c>
      <c r="K48" s="295">
        <f t="shared" si="1"/>
        <v>-30</v>
      </c>
      <c r="L48" s="295"/>
      <c r="M48" s="297">
        <f t="shared" si="2"/>
        <v>0</v>
      </c>
      <c r="N48" s="276"/>
      <c r="O48" s="276"/>
      <c r="P48" s="276"/>
      <c r="Q48" s="276"/>
      <c r="R48" s="276"/>
    </row>
    <row r="49" spans="1:38" s="276" customFormat="1">
      <c r="A49" s="270">
        <f t="shared" si="3"/>
        <v>0</v>
      </c>
      <c r="B49" s="268" t="str">
        <f t="shared" si="0"/>
        <v/>
      </c>
      <c r="C49" s="269"/>
      <c r="D49" s="269"/>
      <c r="E49" s="269"/>
      <c r="F49" s="269"/>
      <c r="H49" s="301">
        <v>44</v>
      </c>
      <c r="I49" s="302" t="str">
        <f t="shared" si="4"/>
        <v/>
      </c>
      <c r="J49" s="301">
        <f t="shared" si="5"/>
        <v>-3</v>
      </c>
      <c r="K49" s="301">
        <f t="shared" si="1"/>
        <v>-30</v>
      </c>
      <c r="L49" s="301"/>
      <c r="M49" s="303">
        <f t="shared" si="2"/>
        <v>0</v>
      </c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</row>
    <row r="50" spans="1:38" s="276" customFormat="1">
      <c r="A50" s="271">
        <f t="shared" si="3"/>
        <v>0</v>
      </c>
      <c r="B50" s="265" t="str">
        <f t="shared" si="0"/>
        <v/>
      </c>
      <c r="C50" s="266"/>
      <c r="D50" s="266"/>
      <c r="E50" s="266"/>
      <c r="F50" s="266"/>
      <c r="H50" s="295">
        <v>45</v>
      </c>
      <c r="I50" s="296" t="str">
        <f t="shared" si="4"/>
        <v/>
      </c>
      <c r="J50" s="295">
        <f t="shared" si="5"/>
        <v>-3</v>
      </c>
      <c r="K50" s="295">
        <f t="shared" si="1"/>
        <v>-30</v>
      </c>
      <c r="L50" s="295"/>
      <c r="M50" s="297">
        <f t="shared" si="2"/>
        <v>0</v>
      </c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</row>
    <row r="51" spans="1:38" s="276" customFormat="1">
      <c r="A51" s="270">
        <f t="shared" si="3"/>
        <v>0</v>
      </c>
      <c r="B51" s="268" t="str">
        <f t="shared" si="0"/>
        <v/>
      </c>
      <c r="C51" s="269"/>
      <c r="D51" s="269"/>
      <c r="E51" s="269"/>
      <c r="F51" s="269"/>
      <c r="H51" s="301">
        <v>46</v>
      </c>
      <c r="I51" s="302" t="str">
        <f t="shared" si="4"/>
        <v/>
      </c>
      <c r="J51" s="301">
        <f t="shared" si="5"/>
        <v>-3</v>
      </c>
      <c r="K51" s="301">
        <f t="shared" si="1"/>
        <v>-30</v>
      </c>
      <c r="L51" s="301"/>
      <c r="M51" s="303">
        <f t="shared" si="2"/>
        <v>0</v>
      </c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</row>
    <row r="52" spans="1:38" s="276" customFormat="1">
      <c r="A52" s="271">
        <f t="shared" si="3"/>
        <v>0</v>
      </c>
      <c r="B52" s="265" t="str">
        <f t="shared" si="0"/>
        <v/>
      </c>
      <c r="C52" s="266"/>
      <c r="D52" s="266"/>
      <c r="E52" s="266"/>
      <c r="F52" s="266"/>
      <c r="H52" s="295">
        <v>47</v>
      </c>
      <c r="I52" s="296" t="str">
        <f t="shared" si="4"/>
        <v/>
      </c>
      <c r="J52" s="295">
        <f t="shared" si="5"/>
        <v>-3</v>
      </c>
      <c r="K52" s="295">
        <f t="shared" si="1"/>
        <v>-30</v>
      </c>
      <c r="L52" s="295"/>
      <c r="M52" s="297">
        <f t="shared" si="2"/>
        <v>0</v>
      </c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  <c r="AK52" s="282"/>
      <c r="AL52" s="282"/>
    </row>
    <row r="53" spans="1:38" s="276" customFormat="1">
      <c r="A53" s="270">
        <f t="shared" si="3"/>
        <v>0</v>
      </c>
      <c r="B53" s="268" t="str">
        <f t="shared" si="0"/>
        <v/>
      </c>
      <c r="C53" s="269"/>
      <c r="D53" s="269"/>
      <c r="E53" s="269"/>
      <c r="F53" s="269"/>
      <c r="H53" s="301">
        <v>48</v>
      </c>
      <c r="I53" s="302" t="str">
        <f t="shared" si="4"/>
        <v/>
      </c>
      <c r="J53" s="301">
        <f t="shared" si="5"/>
        <v>-3</v>
      </c>
      <c r="K53" s="301">
        <f t="shared" si="1"/>
        <v>-30</v>
      </c>
      <c r="L53" s="301"/>
      <c r="M53" s="303">
        <f t="shared" si="2"/>
        <v>0</v>
      </c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</row>
    <row r="54" spans="1:38" s="276" customFormat="1">
      <c r="A54" s="271">
        <f t="shared" si="3"/>
        <v>0</v>
      </c>
      <c r="B54" s="265" t="str">
        <f t="shared" si="0"/>
        <v/>
      </c>
      <c r="C54" s="266"/>
      <c r="D54" s="266"/>
      <c r="E54" s="266"/>
      <c r="F54" s="266"/>
      <c r="H54" s="295">
        <v>49</v>
      </c>
      <c r="I54" s="296" t="str">
        <f t="shared" si="4"/>
        <v/>
      </c>
      <c r="J54" s="295">
        <f t="shared" si="5"/>
        <v>-3</v>
      </c>
      <c r="K54" s="295">
        <f t="shared" si="1"/>
        <v>-30</v>
      </c>
      <c r="L54" s="295"/>
      <c r="M54" s="297">
        <f t="shared" si="2"/>
        <v>0</v>
      </c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</row>
    <row r="55" spans="1:38" s="276" customFormat="1">
      <c r="A55" s="270">
        <f t="shared" si="3"/>
        <v>0</v>
      </c>
      <c r="B55" s="268" t="str">
        <f t="shared" si="0"/>
        <v/>
      </c>
      <c r="C55" s="269"/>
      <c r="D55" s="269"/>
      <c r="E55" s="269"/>
      <c r="F55" s="269"/>
      <c r="H55" s="301">
        <v>50</v>
      </c>
      <c r="I55" s="302" t="str">
        <f t="shared" si="4"/>
        <v/>
      </c>
      <c r="J55" s="301">
        <f t="shared" si="5"/>
        <v>-3</v>
      </c>
      <c r="K55" s="301">
        <f t="shared" si="1"/>
        <v>-30</v>
      </c>
      <c r="L55" s="301"/>
      <c r="M55" s="303">
        <f t="shared" si="2"/>
        <v>0</v>
      </c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</row>
    <row r="56" spans="1:38" s="276" customFormat="1">
      <c r="A56" s="271">
        <f t="shared" si="3"/>
        <v>0</v>
      </c>
      <c r="B56" s="265" t="str">
        <f t="shared" si="0"/>
        <v/>
      </c>
      <c r="C56" s="266"/>
      <c r="D56" s="266"/>
      <c r="E56" s="266"/>
      <c r="F56" s="266"/>
      <c r="H56" s="295">
        <v>51</v>
      </c>
      <c r="I56" s="296" t="str">
        <f t="shared" si="4"/>
        <v/>
      </c>
      <c r="J56" s="295">
        <f t="shared" si="5"/>
        <v>-3</v>
      </c>
      <c r="K56" s="295">
        <f t="shared" si="1"/>
        <v>-30</v>
      </c>
      <c r="L56" s="295"/>
      <c r="M56" s="297">
        <f t="shared" si="2"/>
        <v>0</v>
      </c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</row>
    <row r="57" spans="1:38" s="276" customFormat="1">
      <c r="A57" s="270">
        <f t="shared" si="3"/>
        <v>0</v>
      </c>
      <c r="B57" s="268" t="str">
        <f t="shared" si="0"/>
        <v/>
      </c>
      <c r="C57" s="269"/>
      <c r="D57" s="269"/>
      <c r="E57" s="269"/>
      <c r="F57" s="269"/>
      <c r="H57" s="301">
        <v>52</v>
      </c>
      <c r="I57" s="302" t="str">
        <f t="shared" si="4"/>
        <v/>
      </c>
      <c r="J57" s="301">
        <f t="shared" si="5"/>
        <v>-3</v>
      </c>
      <c r="K57" s="301">
        <f t="shared" si="1"/>
        <v>-30</v>
      </c>
      <c r="L57" s="301"/>
      <c r="M57" s="303">
        <f t="shared" si="2"/>
        <v>0</v>
      </c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</row>
    <row r="58" spans="1:38" s="276" customFormat="1">
      <c r="A58" s="271">
        <f t="shared" si="3"/>
        <v>0</v>
      </c>
      <c r="B58" s="265" t="str">
        <f t="shared" si="0"/>
        <v/>
      </c>
      <c r="C58" s="266"/>
      <c r="D58" s="266"/>
      <c r="E58" s="266"/>
      <c r="F58" s="266"/>
      <c r="H58" s="295">
        <v>53</v>
      </c>
      <c r="I58" s="296" t="str">
        <f t="shared" si="4"/>
        <v/>
      </c>
      <c r="J58" s="295">
        <f t="shared" si="5"/>
        <v>-3</v>
      </c>
      <c r="K58" s="295">
        <f t="shared" si="1"/>
        <v>-30</v>
      </c>
      <c r="L58" s="295"/>
      <c r="M58" s="297">
        <f t="shared" si="2"/>
        <v>0</v>
      </c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</row>
    <row r="59" spans="1:38" s="276" customFormat="1">
      <c r="A59" s="270">
        <f t="shared" si="3"/>
        <v>0</v>
      </c>
      <c r="B59" s="268" t="str">
        <f t="shared" si="0"/>
        <v/>
      </c>
      <c r="C59" s="269"/>
      <c r="D59" s="269"/>
      <c r="E59" s="269"/>
      <c r="F59" s="269"/>
      <c r="H59" s="301">
        <v>54</v>
      </c>
      <c r="I59" s="302" t="str">
        <f t="shared" si="4"/>
        <v/>
      </c>
      <c r="J59" s="301">
        <f t="shared" si="5"/>
        <v>-3</v>
      </c>
      <c r="K59" s="301">
        <f t="shared" si="1"/>
        <v>-30</v>
      </c>
      <c r="L59" s="301"/>
      <c r="M59" s="303">
        <f t="shared" si="2"/>
        <v>0</v>
      </c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/>
      <c r="AE59" s="282"/>
      <c r="AF59" s="282"/>
      <c r="AG59" s="282"/>
      <c r="AH59" s="282"/>
      <c r="AI59" s="282"/>
      <c r="AJ59" s="282"/>
      <c r="AK59" s="282"/>
      <c r="AL59" s="282"/>
    </row>
    <row r="60" spans="1:38" s="276" customFormat="1">
      <c r="A60" s="271">
        <f t="shared" si="3"/>
        <v>0</v>
      </c>
      <c r="B60" s="265" t="str">
        <f t="shared" si="0"/>
        <v/>
      </c>
      <c r="C60" s="266"/>
      <c r="D60" s="266"/>
      <c r="E60" s="266"/>
      <c r="F60" s="266"/>
      <c r="H60" s="295">
        <v>55</v>
      </c>
      <c r="I60" s="296" t="str">
        <f t="shared" si="4"/>
        <v/>
      </c>
      <c r="J60" s="295">
        <f t="shared" si="5"/>
        <v>-3</v>
      </c>
      <c r="K60" s="295">
        <f t="shared" si="1"/>
        <v>-30</v>
      </c>
      <c r="L60" s="295"/>
      <c r="M60" s="297">
        <f t="shared" si="2"/>
        <v>0</v>
      </c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</row>
    <row r="61" spans="1:38" s="276" customFormat="1">
      <c r="A61" s="270">
        <f t="shared" si="3"/>
        <v>0</v>
      </c>
      <c r="B61" s="268" t="str">
        <f t="shared" si="0"/>
        <v/>
      </c>
      <c r="C61" s="269"/>
      <c r="D61" s="269"/>
      <c r="E61" s="269"/>
      <c r="F61" s="269"/>
      <c r="H61" s="301">
        <v>56</v>
      </c>
      <c r="I61" s="302" t="str">
        <f t="shared" si="4"/>
        <v/>
      </c>
      <c r="J61" s="301">
        <f t="shared" si="5"/>
        <v>-3</v>
      </c>
      <c r="K61" s="301">
        <f t="shared" si="1"/>
        <v>-30</v>
      </c>
      <c r="L61" s="301"/>
      <c r="M61" s="303">
        <f t="shared" si="2"/>
        <v>0</v>
      </c>
      <c r="S61" s="282"/>
      <c r="T61" s="282"/>
      <c r="U61" s="282"/>
      <c r="V61" s="282"/>
      <c r="W61" s="282"/>
      <c r="X61" s="282"/>
      <c r="Y61" s="282"/>
      <c r="Z61" s="282"/>
      <c r="AA61" s="282"/>
      <c r="AB61" s="282"/>
      <c r="AC61" s="282"/>
      <c r="AD61" s="282"/>
      <c r="AE61" s="282"/>
      <c r="AF61" s="282"/>
      <c r="AG61" s="282"/>
      <c r="AH61" s="282"/>
      <c r="AI61" s="282"/>
      <c r="AJ61" s="282"/>
      <c r="AK61" s="282"/>
      <c r="AL61" s="282"/>
    </row>
    <row r="62" spans="1:38" s="276" customFormat="1">
      <c r="A62" s="271">
        <f t="shared" si="3"/>
        <v>0</v>
      </c>
      <c r="B62" s="265" t="str">
        <f t="shared" si="0"/>
        <v/>
      </c>
      <c r="C62" s="266"/>
      <c r="D62" s="266"/>
      <c r="E62" s="266"/>
      <c r="F62" s="266"/>
      <c r="H62" s="295">
        <v>57</v>
      </c>
      <c r="I62" s="296" t="str">
        <f t="shared" si="4"/>
        <v/>
      </c>
      <c r="J62" s="295">
        <f t="shared" si="5"/>
        <v>-3</v>
      </c>
      <c r="K62" s="295">
        <f t="shared" si="1"/>
        <v>-30</v>
      </c>
      <c r="L62" s="295"/>
      <c r="M62" s="297">
        <f t="shared" si="2"/>
        <v>0</v>
      </c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</row>
    <row r="63" spans="1:38" s="276" customFormat="1">
      <c r="A63" s="270">
        <f t="shared" si="3"/>
        <v>0</v>
      </c>
      <c r="B63" s="268" t="str">
        <f t="shared" si="0"/>
        <v/>
      </c>
      <c r="C63" s="269"/>
      <c r="D63" s="269"/>
      <c r="E63" s="269"/>
      <c r="F63" s="269"/>
      <c r="H63" s="301">
        <v>58</v>
      </c>
      <c r="I63" s="302" t="str">
        <f t="shared" si="4"/>
        <v/>
      </c>
      <c r="J63" s="301">
        <f t="shared" si="5"/>
        <v>-3</v>
      </c>
      <c r="K63" s="301">
        <f t="shared" si="1"/>
        <v>-30</v>
      </c>
      <c r="L63" s="301"/>
      <c r="M63" s="303">
        <f t="shared" si="2"/>
        <v>0</v>
      </c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</row>
    <row r="64" spans="1:38" s="276" customFormat="1">
      <c r="A64" s="271">
        <f t="shared" si="3"/>
        <v>0</v>
      </c>
      <c r="B64" s="265" t="str">
        <f t="shared" si="0"/>
        <v/>
      </c>
      <c r="C64" s="266"/>
      <c r="D64" s="266"/>
      <c r="E64" s="266"/>
      <c r="F64" s="266"/>
      <c r="H64" s="295">
        <v>59</v>
      </c>
      <c r="I64" s="296" t="str">
        <f t="shared" si="4"/>
        <v/>
      </c>
      <c r="J64" s="295">
        <f t="shared" si="5"/>
        <v>-3</v>
      </c>
      <c r="K64" s="295">
        <f t="shared" si="1"/>
        <v>-30</v>
      </c>
      <c r="L64" s="295"/>
      <c r="M64" s="297">
        <f t="shared" si="2"/>
        <v>0</v>
      </c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</row>
    <row r="65" spans="1:38" s="276" customFormat="1">
      <c r="A65" s="270">
        <f t="shared" si="3"/>
        <v>0</v>
      </c>
      <c r="B65" s="268" t="str">
        <f t="shared" si="0"/>
        <v/>
      </c>
      <c r="C65" s="269"/>
      <c r="D65" s="269"/>
      <c r="E65" s="269"/>
      <c r="F65" s="269"/>
      <c r="H65" s="301">
        <v>60</v>
      </c>
      <c r="I65" s="302" t="str">
        <f t="shared" si="4"/>
        <v/>
      </c>
      <c r="J65" s="301">
        <f t="shared" si="5"/>
        <v>-3</v>
      </c>
      <c r="K65" s="301">
        <f t="shared" si="1"/>
        <v>-30</v>
      </c>
      <c r="L65" s="301"/>
      <c r="M65" s="303">
        <f t="shared" si="2"/>
        <v>0</v>
      </c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</row>
    <row r="66" spans="1:38" s="282" customFormat="1" ht="14.45" customHeight="1">
      <c r="A66" s="264">
        <f t="shared" si="3"/>
        <v>0</v>
      </c>
      <c r="B66" s="265" t="str">
        <f t="shared" si="0"/>
        <v/>
      </c>
      <c r="C66" s="266"/>
      <c r="D66" s="266"/>
      <c r="E66" s="266"/>
      <c r="F66" s="266"/>
      <c r="G66" s="260"/>
      <c r="H66" s="295">
        <v>61</v>
      </c>
      <c r="I66" s="296" t="str">
        <f t="shared" si="4"/>
        <v/>
      </c>
      <c r="J66" s="295">
        <f t="shared" si="5"/>
        <v>-3</v>
      </c>
      <c r="K66" s="295">
        <f t="shared" si="1"/>
        <v>-30</v>
      </c>
      <c r="L66" s="297"/>
      <c r="M66" s="297">
        <f t="shared" si="2"/>
        <v>0</v>
      </c>
      <c r="N66" s="276"/>
      <c r="O66" s="276"/>
      <c r="P66" s="276"/>
      <c r="Q66" s="276"/>
      <c r="R66" s="276"/>
    </row>
    <row r="67" spans="1:38" s="282" customFormat="1" ht="14.45" customHeight="1">
      <c r="A67" s="267">
        <f t="shared" si="3"/>
        <v>0</v>
      </c>
      <c r="B67" s="268" t="str">
        <f t="shared" si="0"/>
        <v/>
      </c>
      <c r="C67" s="269"/>
      <c r="D67" s="269"/>
      <c r="E67" s="269"/>
      <c r="F67" s="269"/>
      <c r="G67" s="260"/>
      <c r="H67" s="301">
        <v>62</v>
      </c>
      <c r="I67" s="302" t="str">
        <f t="shared" si="4"/>
        <v/>
      </c>
      <c r="J67" s="301">
        <f t="shared" si="5"/>
        <v>-3</v>
      </c>
      <c r="K67" s="301">
        <f t="shared" si="1"/>
        <v>-30</v>
      </c>
      <c r="L67" s="303"/>
      <c r="M67" s="303">
        <f t="shared" si="2"/>
        <v>0</v>
      </c>
      <c r="N67" s="276"/>
      <c r="O67" s="276"/>
      <c r="P67" s="276"/>
      <c r="Q67" s="276"/>
      <c r="R67" s="276"/>
    </row>
    <row r="68" spans="1:38" s="282" customFormat="1" ht="14.45" customHeight="1">
      <c r="A68" s="264">
        <f t="shared" si="3"/>
        <v>0</v>
      </c>
      <c r="B68" s="265" t="str">
        <f t="shared" si="0"/>
        <v/>
      </c>
      <c r="C68" s="266"/>
      <c r="D68" s="266"/>
      <c r="E68" s="266"/>
      <c r="F68" s="266"/>
      <c r="G68" s="260"/>
      <c r="H68" s="295">
        <v>63</v>
      </c>
      <c r="I68" s="296" t="str">
        <f t="shared" si="4"/>
        <v/>
      </c>
      <c r="J68" s="295">
        <f t="shared" si="5"/>
        <v>-3</v>
      </c>
      <c r="K68" s="295">
        <f t="shared" si="1"/>
        <v>-30</v>
      </c>
      <c r="L68" s="297"/>
      <c r="M68" s="297">
        <f t="shared" si="2"/>
        <v>0</v>
      </c>
      <c r="N68" s="276"/>
      <c r="O68" s="276"/>
      <c r="P68" s="276"/>
      <c r="Q68" s="276"/>
      <c r="R68" s="276"/>
    </row>
    <row r="69" spans="1:38" s="282" customFormat="1" ht="14.45" customHeight="1">
      <c r="A69" s="267">
        <f t="shared" si="3"/>
        <v>0</v>
      </c>
      <c r="B69" s="268" t="str">
        <f t="shared" si="0"/>
        <v/>
      </c>
      <c r="C69" s="269"/>
      <c r="D69" s="269"/>
      <c r="E69" s="269"/>
      <c r="F69" s="269"/>
      <c r="G69" s="260"/>
      <c r="H69" s="301">
        <v>64</v>
      </c>
      <c r="I69" s="302" t="str">
        <f t="shared" si="4"/>
        <v/>
      </c>
      <c r="J69" s="301">
        <f t="shared" si="5"/>
        <v>-3</v>
      </c>
      <c r="K69" s="301">
        <f t="shared" si="1"/>
        <v>-30</v>
      </c>
      <c r="L69" s="303"/>
      <c r="M69" s="303">
        <f t="shared" si="2"/>
        <v>0</v>
      </c>
      <c r="N69" s="276"/>
      <c r="O69" s="276"/>
      <c r="P69" s="276"/>
      <c r="Q69" s="276"/>
      <c r="R69" s="276"/>
      <c r="V69" s="304"/>
      <c r="Z69" s="305"/>
      <c r="AA69" s="305"/>
      <c r="AG69" s="306"/>
    </row>
    <row r="70" spans="1:38" s="282" customFormat="1" ht="14.45" customHeight="1">
      <c r="A70" s="264">
        <f t="shared" si="3"/>
        <v>0</v>
      </c>
      <c r="B70" s="265" t="str">
        <f t="shared" ref="B70:B133" si="6">IF(H70&gt;$H$2,"",(ROW()-5))</f>
        <v/>
      </c>
      <c r="C70" s="266"/>
      <c r="D70" s="266"/>
      <c r="E70" s="266"/>
      <c r="F70" s="266"/>
      <c r="G70" s="260"/>
      <c r="H70" s="295">
        <v>65</v>
      </c>
      <c r="I70" s="296" t="str">
        <f t="shared" si="4"/>
        <v/>
      </c>
      <c r="J70" s="295">
        <f t="shared" si="5"/>
        <v>-4</v>
      </c>
      <c r="K70" s="295">
        <f t="shared" ref="K70:K133" si="7">J70*$J$2</f>
        <v>-40</v>
      </c>
      <c r="L70" s="295"/>
      <c r="M70" s="297">
        <f t="shared" ref="M70:M133" si="8">IF(I70&lt;&gt;"",K70+I70+L70,0)</f>
        <v>0</v>
      </c>
      <c r="N70" s="276"/>
      <c r="O70" s="276"/>
      <c r="P70" s="276"/>
      <c r="Q70" s="276"/>
      <c r="R70" s="276"/>
      <c r="V70" s="304"/>
      <c r="Z70" s="305"/>
      <c r="AA70" s="305"/>
      <c r="AG70" s="306"/>
    </row>
    <row r="71" spans="1:38" s="282" customFormat="1" ht="14.45" customHeight="1">
      <c r="A71" s="267">
        <f t="shared" ref="A71:A134" si="9">M71</f>
        <v>0</v>
      </c>
      <c r="B71" s="268" t="str">
        <f t="shared" si="6"/>
        <v/>
      </c>
      <c r="C71" s="269"/>
      <c r="D71" s="269"/>
      <c r="E71" s="269"/>
      <c r="F71" s="269"/>
      <c r="G71" s="260"/>
      <c r="H71" s="301">
        <v>66</v>
      </c>
      <c r="I71" s="302" t="str">
        <f t="shared" ref="I71:I134" si="10">IF(H71&lt;$H$2+1,($I$2-($I$2-1)*(LOG(H71)/LOG($H$2))),"")</f>
        <v/>
      </c>
      <c r="J71" s="301">
        <f t="shared" ref="J71:J134" si="11">INT(LOG($H$2,2))-ROUNDUP(LOG(H71,2),0)+IF(OR($H$2=1,$H$2=2,$H$2=4,$H$2=8,$H$2=16,$H$2=32,$H$2=64,$H$2=128,$H$2=256),0,1)</f>
        <v>-4</v>
      </c>
      <c r="K71" s="301">
        <f t="shared" si="7"/>
        <v>-40</v>
      </c>
      <c r="L71" s="301"/>
      <c r="M71" s="303">
        <f t="shared" si="8"/>
        <v>0</v>
      </c>
      <c r="N71" s="276"/>
      <c r="O71" s="276"/>
      <c r="P71" s="276"/>
      <c r="Q71" s="276"/>
      <c r="R71" s="276"/>
      <c r="V71" s="307"/>
      <c r="Z71" s="305"/>
      <c r="AA71" s="305"/>
      <c r="AG71" s="306"/>
    </row>
    <row r="72" spans="1:38" s="282" customFormat="1" ht="14.45" customHeight="1">
      <c r="A72" s="264">
        <f t="shared" si="9"/>
        <v>0</v>
      </c>
      <c r="B72" s="265" t="str">
        <f t="shared" si="6"/>
        <v/>
      </c>
      <c r="C72" s="266"/>
      <c r="D72" s="266"/>
      <c r="E72" s="266"/>
      <c r="F72" s="266"/>
      <c r="G72" s="260"/>
      <c r="H72" s="295">
        <v>67</v>
      </c>
      <c r="I72" s="296" t="str">
        <f t="shared" si="10"/>
        <v/>
      </c>
      <c r="J72" s="295">
        <f t="shared" si="11"/>
        <v>-4</v>
      </c>
      <c r="K72" s="295">
        <f t="shared" si="7"/>
        <v>-40</v>
      </c>
      <c r="L72" s="295"/>
      <c r="M72" s="297">
        <f t="shared" si="8"/>
        <v>0</v>
      </c>
      <c r="N72" s="276"/>
      <c r="O72" s="276"/>
      <c r="P72" s="276"/>
      <c r="Q72" s="276"/>
      <c r="R72" s="276"/>
      <c r="Z72" s="305"/>
      <c r="AA72" s="305"/>
      <c r="AG72" s="306"/>
    </row>
    <row r="73" spans="1:38" s="282" customFormat="1" ht="14.45" customHeight="1">
      <c r="A73" s="270">
        <f t="shared" si="9"/>
        <v>0</v>
      </c>
      <c r="B73" s="268" t="str">
        <f t="shared" si="6"/>
        <v/>
      </c>
      <c r="C73" s="269"/>
      <c r="D73" s="269"/>
      <c r="E73" s="269"/>
      <c r="F73" s="269"/>
      <c r="G73" s="260"/>
      <c r="H73" s="301">
        <v>68</v>
      </c>
      <c r="I73" s="302" t="str">
        <f t="shared" si="10"/>
        <v/>
      </c>
      <c r="J73" s="301">
        <f t="shared" si="11"/>
        <v>-4</v>
      </c>
      <c r="K73" s="301">
        <f t="shared" si="7"/>
        <v>-40</v>
      </c>
      <c r="L73" s="301"/>
      <c r="M73" s="303">
        <f t="shared" si="8"/>
        <v>0</v>
      </c>
      <c r="N73" s="276"/>
      <c r="O73" s="276"/>
      <c r="P73" s="276"/>
      <c r="Q73" s="276"/>
      <c r="R73" s="276"/>
      <c r="X73" s="304"/>
      <c r="AG73" s="306"/>
    </row>
    <row r="74" spans="1:38" s="282" customFormat="1" ht="15.75" customHeight="1">
      <c r="A74" s="271">
        <f t="shared" si="9"/>
        <v>0</v>
      </c>
      <c r="B74" s="265" t="str">
        <f t="shared" si="6"/>
        <v/>
      </c>
      <c r="C74" s="266"/>
      <c r="D74" s="266"/>
      <c r="E74" s="266"/>
      <c r="F74" s="266"/>
      <c r="G74" s="260"/>
      <c r="H74" s="295">
        <v>69</v>
      </c>
      <c r="I74" s="296" t="str">
        <f t="shared" si="10"/>
        <v/>
      </c>
      <c r="J74" s="295">
        <f t="shared" si="11"/>
        <v>-4</v>
      </c>
      <c r="K74" s="295">
        <f t="shared" si="7"/>
        <v>-40</v>
      </c>
      <c r="L74" s="295"/>
      <c r="M74" s="297">
        <f t="shared" si="8"/>
        <v>0</v>
      </c>
      <c r="N74" s="276"/>
      <c r="O74" s="276"/>
      <c r="P74" s="276"/>
      <c r="Q74" s="276"/>
      <c r="R74" s="276"/>
      <c r="X74" s="308"/>
      <c r="Z74" s="305"/>
      <c r="AA74" s="305"/>
      <c r="AG74" s="306"/>
    </row>
    <row r="75" spans="1:38" s="282" customFormat="1">
      <c r="A75" s="270">
        <f t="shared" si="9"/>
        <v>0</v>
      </c>
      <c r="B75" s="268" t="str">
        <f t="shared" si="6"/>
        <v/>
      </c>
      <c r="C75" s="269"/>
      <c r="D75" s="269"/>
      <c r="E75" s="269"/>
      <c r="F75" s="269"/>
      <c r="G75" s="260"/>
      <c r="H75" s="301">
        <v>70</v>
      </c>
      <c r="I75" s="302" t="str">
        <f t="shared" si="10"/>
        <v/>
      </c>
      <c r="J75" s="301">
        <f t="shared" si="11"/>
        <v>-4</v>
      </c>
      <c r="K75" s="301">
        <f t="shared" si="7"/>
        <v>-40</v>
      </c>
      <c r="L75" s="301"/>
      <c r="M75" s="303">
        <f t="shared" si="8"/>
        <v>0</v>
      </c>
      <c r="N75" s="276"/>
      <c r="O75" s="276"/>
      <c r="P75" s="276"/>
      <c r="Q75" s="276"/>
      <c r="R75" s="276"/>
      <c r="X75" s="304"/>
      <c r="Z75" s="305"/>
      <c r="AA75" s="305"/>
    </row>
    <row r="76" spans="1:38" s="282" customFormat="1">
      <c r="A76" s="271">
        <f t="shared" si="9"/>
        <v>0</v>
      </c>
      <c r="B76" s="265" t="str">
        <f t="shared" si="6"/>
        <v/>
      </c>
      <c r="C76" s="266"/>
      <c r="D76" s="266"/>
      <c r="E76" s="266"/>
      <c r="F76" s="266"/>
      <c r="G76" s="260"/>
      <c r="H76" s="295">
        <v>71</v>
      </c>
      <c r="I76" s="296" t="str">
        <f t="shared" si="10"/>
        <v/>
      </c>
      <c r="J76" s="295">
        <f t="shared" si="11"/>
        <v>-4</v>
      </c>
      <c r="K76" s="295">
        <f t="shared" si="7"/>
        <v>-40</v>
      </c>
      <c r="L76" s="295"/>
      <c r="M76" s="297">
        <f t="shared" si="8"/>
        <v>0</v>
      </c>
      <c r="N76" s="276"/>
      <c r="O76" s="276"/>
      <c r="P76" s="276"/>
      <c r="Q76" s="276"/>
      <c r="R76" s="309"/>
      <c r="Z76" s="305"/>
      <c r="AA76" s="305"/>
      <c r="AH76" s="310"/>
    </row>
    <row r="77" spans="1:38" s="282" customFormat="1">
      <c r="A77" s="270">
        <f t="shared" si="9"/>
        <v>0</v>
      </c>
      <c r="B77" s="268" t="str">
        <f t="shared" si="6"/>
        <v/>
      </c>
      <c r="C77" s="269"/>
      <c r="D77" s="269"/>
      <c r="E77" s="269"/>
      <c r="F77" s="269"/>
      <c r="G77" s="260"/>
      <c r="H77" s="301">
        <v>72</v>
      </c>
      <c r="I77" s="302" t="str">
        <f t="shared" si="10"/>
        <v/>
      </c>
      <c r="J77" s="301">
        <f t="shared" si="11"/>
        <v>-4</v>
      </c>
      <c r="K77" s="301">
        <f t="shared" si="7"/>
        <v>-40</v>
      </c>
      <c r="L77" s="301"/>
      <c r="M77" s="303">
        <f t="shared" si="8"/>
        <v>0</v>
      </c>
      <c r="N77" s="276"/>
      <c r="O77" s="276"/>
      <c r="P77" s="276"/>
      <c r="Q77" s="276"/>
      <c r="R77" s="276"/>
    </row>
    <row r="78" spans="1:38" s="282" customFormat="1">
      <c r="A78" s="271">
        <f t="shared" si="9"/>
        <v>0</v>
      </c>
      <c r="B78" s="265" t="str">
        <f t="shared" si="6"/>
        <v/>
      </c>
      <c r="C78" s="266"/>
      <c r="D78" s="266"/>
      <c r="E78" s="266"/>
      <c r="F78" s="266"/>
      <c r="G78" s="260"/>
      <c r="H78" s="295">
        <v>73</v>
      </c>
      <c r="I78" s="296" t="str">
        <f t="shared" si="10"/>
        <v/>
      </c>
      <c r="J78" s="295">
        <f t="shared" si="11"/>
        <v>-4</v>
      </c>
      <c r="K78" s="295">
        <f t="shared" si="7"/>
        <v>-40</v>
      </c>
      <c r="L78" s="295"/>
      <c r="M78" s="297">
        <f t="shared" si="8"/>
        <v>0</v>
      </c>
      <c r="N78" s="276"/>
      <c r="O78" s="276"/>
      <c r="P78" s="276"/>
      <c r="Q78" s="276"/>
      <c r="R78" s="276"/>
    </row>
    <row r="79" spans="1:38" s="282" customFormat="1">
      <c r="A79" s="270">
        <f t="shared" si="9"/>
        <v>0</v>
      </c>
      <c r="B79" s="268" t="str">
        <f t="shared" si="6"/>
        <v/>
      </c>
      <c r="C79" s="269"/>
      <c r="D79" s="269"/>
      <c r="E79" s="269"/>
      <c r="F79" s="269"/>
      <c r="G79" s="260"/>
      <c r="H79" s="301">
        <v>74</v>
      </c>
      <c r="I79" s="302" t="str">
        <f t="shared" si="10"/>
        <v/>
      </c>
      <c r="J79" s="301">
        <f t="shared" si="11"/>
        <v>-4</v>
      </c>
      <c r="K79" s="301">
        <f t="shared" si="7"/>
        <v>-40</v>
      </c>
      <c r="L79" s="301"/>
      <c r="M79" s="303">
        <f t="shared" si="8"/>
        <v>0</v>
      </c>
      <c r="N79" s="276"/>
      <c r="O79" s="276"/>
      <c r="P79" s="276"/>
      <c r="Q79" s="276"/>
      <c r="R79" s="276"/>
    </row>
    <row r="80" spans="1:38" s="282" customFormat="1">
      <c r="A80" s="271">
        <f t="shared" si="9"/>
        <v>0</v>
      </c>
      <c r="B80" s="265" t="str">
        <f t="shared" si="6"/>
        <v/>
      </c>
      <c r="C80" s="266"/>
      <c r="D80" s="266"/>
      <c r="E80" s="266"/>
      <c r="F80" s="266"/>
      <c r="G80" s="260"/>
      <c r="H80" s="295">
        <v>75</v>
      </c>
      <c r="I80" s="296" t="str">
        <f t="shared" si="10"/>
        <v/>
      </c>
      <c r="J80" s="295">
        <f t="shared" si="11"/>
        <v>-4</v>
      </c>
      <c r="K80" s="295">
        <f t="shared" si="7"/>
        <v>-40</v>
      </c>
      <c r="L80" s="295"/>
      <c r="M80" s="297">
        <f t="shared" si="8"/>
        <v>0</v>
      </c>
      <c r="N80" s="276"/>
      <c r="O80" s="276"/>
      <c r="P80" s="276"/>
      <c r="Q80" s="276"/>
      <c r="R80" s="311"/>
      <c r="S80" s="312"/>
    </row>
    <row r="81" spans="1:19" s="282" customFormat="1">
      <c r="A81" s="270">
        <f t="shared" si="9"/>
        <v>0</v>
      </c>
      <c r="B81" s="268" t="str">
        <f t="shared" si="6"/>
        <v/>
      </c>
      <c r="C81" s="269"/>
      <c r="D81" s="269"/>
      <c r="E81" s="269"/>
      <c r="F81" s="269"/>
      <c r="G81" s="260"/>
      <c r="H81" s="301">
        <v>76</v>
      </c>
      <c r="I81" s="302" t="str">
        <f t="shared" si="10"/>
        <v/>
      </c>
      <c r="J81" s="301">
        <f t="shared" si="11"/>
        <v>-4</v>
      </c>
      <c r="K81" s="301">
        <f t="shared" si="7"/>
        <v>-40</v>
      </c>
      <c r="L81" s="301"/>
      <c r="M81" s="303">
        <f t="shared" si="8"/>
        <v>0</v>
      </c>
      <c r="N81" s="276"/>
      <c r="O81" s="276"/>
      <c r="P81" s="276"/>
      <c r="Q81" s="276"/>
      <c r="R81" s="276"/>
    </row>
    <row r="82" spans="1:19" s="282" customFormat="1">
      <c r="A82" s="271">
        <f t="shared" si="9"/>
        <v>0</v>
      </c>
      <c r="B82" s="265" t="str">
        <f t="shared" si="6"/>
        <v/>
      </c>
      <c r="C82" s="266"/>
      <c r="D82" s="266"/>
      <c r="E82" s="266"/>
      <c r="F82" s="266"/>
      <c r="G82" s="260"/>
      <c r="H82" s="295">
        <v>77</v>
      </c>
      <c r="I82" s="296" t="str">
        <f t="shared" si="10"/>
        <v/>
      </c>
      <c r="J82" s="295">
        <f t="shared" si="11"/>
        <v>-4</v>
      </c>
      <c r="K82" s="295">
        <f t="shared" si="7"/>
        <v>-40</v>
      </c>
      <c r="L82" s="295"/>
      <c r="M82" s="297">
        <f t="shared" si="8"/>
        <v>0</v>
      </c>
      <c r="N82" s="276"/>
      <c r="O82" s="276"/>
      <c r="P82" s="276"/>
      <c r="Q82" s="276"/>
      <c r="R82" s="276"/>
    </row>
    <row r="83" spans="1:19" s="282" customFormat="1">
      <c r="A83" s="270">
        <f t="shared" si="9"/>
        <v>0</v>
      </c>
      <c r="B83" s="268" t="str">
        <f t="shared" si="6"/>
        <v/>
      </c>
      <c r="C83" s="269"/>
      <c r="D83" s="269"/>
      <c r="E83" s="269"/>
      <c r="F83" s="269"/>
      <c r="G83" s="260"/>
      <c r="H83" s="301">
        <v>78</v>
      </c>
      <c r="I83" s="302" t="str">
        <f t="shared" si="10"/>
        <v/>
      </c>
      <c r="J83" s="301">
        <f t="shared" si="11"/>
        <v>-4</v>
      </c>
      <c r="K83" s="301">
        <f t="shared" si="7"/>
        <v>-40</v>
      </c>
      <c r="L83" s="301"/>
      <c r="M83" s="303">
        <f t="shared" si="8"/>
        <v>0</v>
      </c>
      <c r="N83" s="276"/>
      <c r="O83" s="276"/>
      <c r="P83" s="276"/>
      <c r="Q83" s="276"/>
      <c r="R83" s="276"/>
    </row>
    <row r="84" spans="1:19" s="282" customFormat="1">
      <c r="A84" s="271">
        <f t="shared" si="9"/>
        <v>0</v>
      </c>
      <c r="B84" s="265" t="str">
        <f t="shared" si="6"/>
        <v/>
      </c>
      <c r="C84" s="266"/>
      <c r="D84" s="266"/>
      <c r="E84" s="266"/>
      <c r="F84" s="266"/>
      <c r="G84" s="260"/>
      <c r="H84" s="295">
        <v>79</v>
      </c>
      <c r="I84" s="296" t="str">
        <f t="shared" si="10"/>
        <v/>
      </c>
      <c r="J84" s="295">
        <f t="shared" si="11"/>
        <v>-4</v>
      </c>
      <c r="K84" s="295">
        <f t="shared" si="7"/>
        <v>-40</v>
      </c>
      <c r="L84" s="295"/>
      <c r="M84" s="297">
        <f t="shared" si="8"/>
        <v>0</v>
      </c>
      <c r="N84" s="276"/>
      <c r="O84" s="276"/>
      <c r="P84" s="276"/>
      <c r="Q84" s="276"/>
      <c r="R84" s="311"/>
      <c r="S84" s="312"/>
    </row>
    <row r="85" spans="1:19" s="282" customFormat="1">
      <c r="A85" s="270">
        <f t="shared" si="9"/>
        <v>0</v>
      </c>
      <c r="B85" s="268" t="str">
        <f t="shared" si="6"/>
        <v/>
      </c>
      <c r="C85" s="269"/>
      <c r="D85" s="269"/>
      <c r="E85" s="269"/>
      <c r="F85" s="269"/>
      <c r="G85" s="260"/>
      <c r="H85" s="301">
        <v>80</v>
      </c>
      <c r="I85" s="302" t="str">
        <f t="shared" si="10"/>
        <v/>
      </c>
      <c r="J85" s="301">
        <f t="shared" si="11"/>
        <v>-4</v>
      </c>
      <c r="K85" s="301">
        <f t="shared" si="7"/>
        <v>-40</v>
      </c>
      <c r="L85" s="301"/>
      <c r="M85" s="303">
        <f t="shared" si="8"/>
        <v>0</v>
      </c>
      <c r="N85" s="276"/>
      <c r="O85" s="276"/>
      <c r="P85" s="276"/>
      <c r="Q85" s="276"/>
      <c r="R85" s="276"/>
    </row>
    <row r="86" spans="1:19" s="282" customFormat="1">
      <c r="A86" s="271">
        <f t="shared" si="9"/>
        <v>0</v>
      </c>
      <c r="B86" s="265" t="str">
        <f t="shared" si="6"/>
        <v/>
      </c>
      <c r="C86" s="266"/>
      <c r="D86" s="266"/>
      <c r="E86" s="266"/>
      <c r="F86" s="266"/>
      <c r="G86" s="260"/>
      <c r="H86" s="295">
        <v>81</v>
      </c>
      <c r="I86" s="296" t="str">
        <f t="shared" si="10"/>
        <v/>
      </c>
      <c r="J86" s="295">
        <f t="shared" si="11"/>
        <v>-4</v>
      </c>
      <c r="K86" s="295">
        <f t="shared" si="7"/>
        <v>-40</v>
      </c>
      <c r="L86" s="295"/>
      <c r="M86" s="297">
        <f t="shared" si="8"/>
        <v>0</v>
      </c>
      <c r="N86" s="276"/>
      <c r="O86" s="276"/>
      <c r="P86" s="276"/>
      <c r="Q86" s="276"/>
      <c r="R86" s="276"/>
    </row>
    <row r="87" spans="1:19" s="282" customFormat="1">
      <c r="A87" s="270">
        <f t="shared" si="9"/>
        <v>0</v>
      </c>
      <c r="B87" s="268" t="str">
        <f t="shared" si="6"/>
        <v/>
      </c>
      <c r="C87" s="269"/>
      <c r="D87" s="269"/>
      <c r="E87" s="269"/>
      <c r="F87" s="269"/>
      <c r="G87" s="260"/>
      <c r="H87" s="301">
        <v>82</v>
      </c>
      <c r="I87" s="302" t="str">
        <f t="shared" si="10"/>
        <v/>
      </c>
      <c r="J87" s="301">
        <f t="shared" si="11"/>
        <v>-4</v>
      </c>
      <c r="K87" s="301">
        <f t="shared" si="7"/>
        <v>-40</v>
      </c>
      <c r="L87" s="301"/>
      <c r="M87" s="303">
        <f t="shared" si="8"/>
        <v>0</v>
      </c>
      <c r="N87" s="276"/>
      <c r="O87" s="276"/>
      <c r="P87" s="276"/>
      <c r="Q87" s="276"/>
      <c r="R87" s="276"/>
    </row>
    <row r="88" spans="1:19" s="282" customFormat="1">
      <c r="A88" s="271">
        <f t="shared" si="9"/>
        <v>0</v>
      </c>
      <c r="B88" s="265" t="str">
        <f t="shared" si="6"/>
        <v/>
      </c>
      <c r="C88" s="266"/>
      <c r="D88" s="266"/>
      <c r="E88" s="266"/>
      <c r="F88" s="266"/>
      <c r="G88" s="260"/>
      <c r="H88" s="295">
        <v>83</v>
      </c>
      <c r="I88" s="296" t="str">
        <f t="shared" si="10"/>
        <v/>
      </c>
      <c r="J88" s="295">
        <f t="shared" si="11"/>
        <v>-4</v>
      </c>
      <c r="K88" s="295">
        <f t="shared" si="7"/>
        <v>-40</v>
      </c>
      <c r="L88" s="295"/>
      <c r="M88" s="297">
        <f t="shared" si="8"/>
        <v>0</v>
      </c>
      <c r="N88" s="276"/>
      <c r="O88" s="276"/>
      <c r="P88" s="276"/>
      <c r="Q88" s="276"/>
      <c r="R88" s="311"/>
      <c r="S88" s="312"/>
    </row>
    <row r="89" spans="1:19" s="282" customFormat="1">
      <c r="A89" s="270">
        <f t="shared" si="9"/>
        <v>0</v>
      </c>
      <c r="B89" s="268" t="str">
        <f t="shared" si="6"/>
        <v/>
      </c>
      <c r="C89" s="269"/>
      <c r="D89" s="269"/>
      <c r="E89" s="269"/>
      <c r="F89" s="269"/>
      <c r="G89" s="276"/>
      <c r="H89" s="301">
        <v>84</v>
      </c>
      <c r="I89" s="302" t="str">
        <f t="shared" si="10"/>
        <v/>
      </c>
      <c r="J89" s="301">
        <f t="shared" si="11"/>
        <v>-4</v>
      </c>
      <c r="K89" s="301">
        <f t="shared" si="7"/>
        <v>-40</v>
      </c>
      <c r="L89" s="301"/>
      <c r="M89" s="303">
        <f t="shared" si="8"/>
        <v>0</v>
      </c>
      <c r="N89" s="276"/>
      <c r="O89" s="276"/>
      <c r="P89" s="276"/>
      <c r="Q89" s="276"/>
      <c r="R89" s="276"/>
    </row>
    <row r="90" spans="1:19" s="282" customFormat="1">
      <c r="A90" s="271">
        <f t="shared" si="9"/>
        <v>0</v>
      </c>
      <c r="B90" s="265" t="str">
        <f t="shared" si="6"/>
        <v/>
      </c>
      <c r="C90" s="266"/>
      <c r="D90" s="266"/>
      <c r="E90" s="266"/>
      <c r="F90" s="266"/>
      <c r="G90" s="276"/>
      <c r="H90" s="295">
        <v>85</v>
      </c>
      <c r="I90" s="296" t="str">
        <f t="shared" si="10"/>
        <v/>
      </c>
      <c r="J90" s="295">
        <f t="shared" si="11"/>
        <v>-4</v>
      </c>
      <c r="K90" s="295">
        <f t="shared" si="7"/>
        <v>-40</v>
      </c>
      <c r="L90" s="295"/>
      <c r="M90" s="297">
        <f t="shared" si="8"/>
        <v>0</v>
      </c>
      <c r="N90" s="276"/>
      <c r="O90" s="276"/>
      <c r="P90" s="276"/>
      <c r="Q90" s="276"/>
      <c r="R90" s="276"/>
    </row>
    <row r="91" spans="1:19" s="282" customFormat="1">
      <c r="A91" s="270">
        <f t="shared" si="9"/>
        <v>0</v>
      </c>
      <c r="B91" s="268" t="str">
        <f t="shared" si="6"/>
        <v/>
      </c>
      <c r="C91" s="269"/>
      <c r="D91" s="269"/>
      <c r="E91" s="269"/>
      <c r="F91" s="269"/>
      <c r="G91" s="276"/>
      <c r="H91" s="301">
        <v>86</v>
      </c>
      <c r="I91" s="302" t="str">
        <f t="shared" si="10"/>
        <v/>
      </c>
      <c r="J91" s="301">
        <f t="shared" si="11"/>
        <v>-4</v>
      </c>
      <c r="K91" s="301">
        <f t="shared" si="7"/>
        <v>-40</v>
      </c>
      <c r="L91" s="301"/>
      <c r="M91" s="303">
        <f t="shared" si="8"/>
        <v>0</v>
      </c>
      <c r="N91" s="276"/>
      <c r="O91" s="276"/>
      <c r="P91" s="276"/>
      <c r="Q91" s="276"/>
      <c r="R91" s="276"/>
    </row>
    <row r="92" spans="1:19" s="282" customFormat="1">
      <c r="A92" s="271">
        <f t="shared" si="9"/>
        <v>0</v>
      </c>
      <c r="B92" s="265" t="str">
        <f t="shared" si="6"/>
        <v/>
      </c>
      <c r="C92" s="266"/>
      <c r="D92" s="266"/>
      <c r="E92" s="266"/>
      <c r="F92" s="266"/>
      <c r="G92" s="276"/>
      <c r="H92" s="295">
        <v>87</v>
      </c>
      <c r="I92" s="296" t="str">
        <f t="shared" si="10"/>
        <v/>
      </c>
      <c r="J92" s="295">
        <f t="shared" si="11"/>
        <v>-4</v>
      </c>
      <c r="K92" s="295">
        <f t="shared" si="7"/>
        <v>-40</v>
      </c>
      <c r="L92" s="295"/>
      <c r="M92" s="297">
        <f t="shared" si="8"/>
        <v>0</v>
      </c>
      <c r="N92" s="276"/>
      <c r="O92" s="276"/>
      <c r="P92" s="276"/>
      <c r="Q92" s="276"/>
      <c r="R92" s="311"/>
      <c r="S92" s="312"/>
    </row>
    <row r="93" spans="1:19" s="282" customFormat="1">
      <c r="A93" s="270">
        <f t="shared" si="9"/>
        <v>0</v>
      </c>
      <c r="B93" s="268" t="str">
        <f t="shared" si="6"/>
        <v/>
      </c>
      <c r="C93" s="269"/>
      <c r="D93" s="269"/>
      <c r="E93" s="269"/>
      <c r="F93" s="269"/>
      <c r="G93" s="276"/>
      <c r="H93" s="301">
        <v>88</v>
      </c>
      <c r="I93" s="302" t="str">
        <f t="shared" si="10"/>
        <v/>
      </c>
      <c r="J93" s="301">
        <f t="shared" si="11"/>
        <v>-4</v>
      </c>
      <c r="K93" s="301">
        <f t="shared" si="7"/>
        <v>-40</v>
      </c>
      <c r="L93" s="301"/>
      <c r="M93" s="303">
        <f t="shared" si="8"/>
        <v>0</v>
      </c>
      <c r="N93" s="276"/>
      <c r="O93" s="276"/>
      <c r="P93" s="276"/>
      <c r="Q93" s="276"/>
      <c r="R93" s="276"/>
    </row>
    <row r="94" spans="1:19" s="282" customFormat="1">
      <c r="A94" s="271">
        <f t="shared" si="9"/>
        <v>0</v>
      </c>
      <c r="B94" s="265" t="str">
        <f t="shared" si="6"/>
        <v/>
      </c>
      <c r="C94" s="266"/>
      <c r="D94" s="266"/>
      <c r="E94" s="266"/>
      <c r="F94" s="266"/>
      <c r="G94" s="276"/>
      <c r="H94" s="295">
        <v>89</v>
      </c>
      <c r="I94" s="296" t="str">
        <f t="shared" si="10"/>
        <v/>
      </c>
      <c r="J94" s="295">
        <f t="shared" si="11"/>
        <v>-4</v>
      </c>
      <c r="K94" s="295">
        <f t="shared" si="7"/>
        <v>-40</v>
      </c>
      <c r="L94" s="295"/>
      <c r="M94" s="297">
        <f t="shared" si="8"/>
        <v>0</v>
      </c>
      <c r="N94" s="276"/>
      <c r="O94" s="276"/>
      <c r="P94" s="276"/>
      <c r="Q94" s="276"/>
      <c r="R94" s="276"/>
    </row>
    <row r="95" spans="1:19" s="282" customFormat="1">
      <c r="A95" s="270">
        <f t="shared" si="9"/>
        <v>0</v>
      </c>
      <c r="B95" s="268" t="str">
        <f t="shared" si="6"/>
        <v/>
      </c>
      <c r="C95" s="269"/>
      <c r="D95" s="269"/>
      <c r="E95" s="269"/>
      <c r="F95" s="269"/>
      <c r="G95" s="276"/>
      <c r="H95" s="301">
        <v>90</v>
      </c>
      <c r="I95" s="302" t="str">
        <f t="shared" si="10"/>
        <v/>
      </c>
      <c r="J95" s="301">
        <f t="shared" si="11"/>
        <v>-4</v>
      </c>
      <c r="K95" s="301">
        <f t="shared" si="7"/>
        <v>-40</v>
      </c>
      <c r="L95" s="301"/>
      <c r="M95" s="303">
        <f t="shared" si="8"/>
        <v>0</v>
      </c>
      <c r="N95" s="276"/>
      <c r="O95" s="276"/>
      <c r="P95" s="276"/>
      <c r="Q95" s="276"/>
      <c r="R95" s="276"/>
    </row>
    <row r="96" spans="1:19" s="282" customFormat="1">
      <c r="A96" s="271">
        <f t="shared" si="9"/>
        <v>0</v>
      </c>
      <c r="B96" s="265" t="str">
        <f t="shared" si="6"/>
        <v/>
      </c>
      <c r="C96" s="266"/>
      <c r="D96" s="266"/>
      <c r="E96" s="266"/>
      <c r="F96" s="266"/>
      <c r="G96" s="276"/>
      <c r="H96" s="295">
        <v>91</v>
      </c>
      <c r="I96" s="296" t="str">
        <f t="shared" si="10"/>
        <v/>
      </c>
      <c r="J96" s="295">
        <f t="shared" si="11"/>
        <v>-4</v>
      </c>
      <c r="K96" s="295">
        <f t="shared" si="7"/>
        <v>-40</v>
      </c>
      <c r="L96" s="295"/>
      <c r="M96" s="297">
        <f t="shared" si="8"/>
        <v>0</v>
      </c>
      <c r="N96" s="276"/>
      <c r="O96" s="276"/>
      <c r="P96" s="276"/>
      <c r="Q96" s="276"/>
      <c r="R96" s="311"/>
      <c r="S96" s="312"/>
    </row>
    <row r="97" spans="1:38" s="282" customFormat="1">
      <c r="A97" s="270">
        <f t="shared" si="9"/>
        <v>0</v>
      </c>
      <c r="B97" s="268" t="str">
        <f t="shared" si="6"/>
        <v/>
      </c>
      <c r="C97" s="269"/>
      <c r="D97" s="269"/>
      <c r="E97" s="269"/>
      <c r="F97" s="269"/>
      <c r="G97" s="276"/>
      <c r="H97" s="301">
        <v>92</v>
      </c>
      <c r="I97" s="302" t="str">
        <f t="shared" si="10"/>
        <v/>
      </c>
      <c r="J97" s="301">
        <f t="shared" si="11"/>
        <v>-4</v>
      </c>
      <c r="K97" s="301">
        <f t="shared" si="7"/>
        <v>-40</v>
      </c>
      <c r="L97" s="301"/>
      <c r="M97" s="303">
        <f t="shared" si="8"/>
        <v>0</v>
      </c>
      <c r="N97" s="276"/>
      <c r="O97" s="276"/>
      <c r="P97" s="276"/>
      <c r="Q97" s="276"/>
      <c r="R97" s="276"/>
    </row>
    <row r="98" spans="1:38" s="282" customFormat="1">
      <c r="A98" s="271">
        <f t="shared" si="9"/>
        <v>0</v>
      </c>
      <c r="B98" s="265" t="str">
        <f t="shared" si="6"/>
        <v/>
      </c>
      <c r="C98" s="266"/>
      <c r="D98" s="266"/>
      <c r="E98" s="266"/>
      <c r="F98" s="266"/>
      <c r="G98" s="276"/>
      <c r="H98" s="295">
        <v>93</v>
      </c>
      <c r="I98" s="296" t="str">
        <f t="shared" si="10"/>
        <v/>
      </c>
      <c r="J98" s="295">
        <f t="shared" si="11"/>
        <v>-4</v>
      </c>
      <c r="K98" s="295">
        <f t="shared" si="7"/>
        <v>-40</v>
      </c>
      <c r="L98" s="295"/>
      <c r="M98" s="297">
        <f t="shared" si="8"/>
        <v>0</v>
      </c>
      <c r="N98" s="276"/>
      <c r="O98" s="276"/>
      <c r="P98" s="276"/>
      <c r="Q98" s="276"/>
      <c r="R98" s="276"/>
    </row>
    <row r="99" spans="1:38" s="282" customFormat="1">
      <c r="A99" s="270">
        <f t="shared" si="9"/>
        <v>0</v>
      </c>
      <c r="B99" s="268" t="str">
        <f t="shared" si="6"/>
        <v/>
      </c>
      <c r="C99" s="269"/>
      <c r="D99" s="269"/>
      <c r="E99" s="269"/>
      <c r="F99" s="269"/>
      <c r="G99" s="276"/>
      <c r="H99" s="301">
        <v>94</v>
      </c>
      <c r="I99" s="302" t="str">
        <f t="shared" si="10"/>
        <v/>
      </c>
      <c r="J99" s="301">
        <f t="shared" si="11"/>
        <v>-4</v>
      </c>
      <c r="K99" s="301">
        <f t="shared" si="7"/>
        <v>-40</v>
      </c>
      <c r="L99" s="301"/>
      <c r="M99" s="303">
        <f t="shared" si="8"/>
        <v>0</v>
      </c>
      <c r="N99" s="276"/>
      <c r="O99" s="276"/>
      <c r="P99" s="276"/>
      <c r="Q99" s="276"/>
      <c r="R99" s="276"/>
    </row>
    <row r="100" spans="1:38" s="282" customFormat="1">
      <c r="A100" s="271">
        <f t="shared" si="9"/>
        <v>0</v>
      </c>
      <c r="B100" s="265" t="str">
        <f t="shared" si="6"/>
        <v/>
      </c>
      <c r="C100" s="266"/>
      <c r="D100" s="266"/>
      <c r="E100" s="266"/>
      <c r="F100" s="266"/>
      <c r="G100" s="276"/>
      <c r="H100" s="295">
        <v>95</v>
      </c>
      <c r="I100" s="296" t="str">
        <f t="shared" si="10"/>
        <v/>
      </c>
      <c r="J100" s="295">
        <f t="shared" si="11"/>
        <v>-4</v>
      </c>
      <c r="K100" s="295">
        <f t="shared" si="7"/>
        <v>-40</v>
      </c>
      <c r="L100" s="295"/>
      <c r="M100" s="297">
        <f t="shared" si="8"/>
        <v>0</v>
      </c>
      <c r="N100" s="276"/>
      <c r="O100" s="276"/>
      <c r="P100" s="276"/>
      <c r="Q100" s="276"/>
      <c r="R100" s="276"/>
    </row>
    <row r="101" spans="1:38" s="282" customFormat="1">
      <c r="A101" s="270">
        <f t="shared" si="9"/>
        <v>0</v>
      </c>
      <c r="B101" s="268" t="str">
        <f t="shared" si="6"/>
        <v/>
      </c>
      <c r="C101" s="269"/>
      <c r="D101" s="269"/>
      <c r="E101" s="269"/>
      <c r="F101" s="269"/>
      <c r="G101" s="276"/>
      <c r="H101" s="301">
        <v>96</v>
      </c>
      <c r="I101" s="302" t="str">
        <f t="shared" si="10"/>
        <v/>
      </c>
      <c r="J101" s="301">
        <f t="shared" si="11"/>
        <v>-4</v>
      </c>
      <c r="K101" s="301">
        <f t="shared" si="7"/>
        <v>-40</v>
      </c>
      <c r="L101" s="301"/>
      <c r="M101" s="303">
        <f t="shared" si="8"/>
        <v>0</v>
      </c>
      <c r="N101" s="276"/>
      <c r="O101" s="276"/>
      <c r="P101" s="276"/>
      <c r="Q101" s="276"/>
      <c r="R101" s="276"/>
      <c r="S101" s="313"/>
    </row>
    <row r="102" spans="1:38" s="282" customFormat="1">
      <c r="A102" s="271">
        <f t="shared" si="9"/>
        <v>0</v>
      </c>
      <c r="B102" s="265" t="str">
        <f t="shared" si="6"/>
        <v/>
      </c>
      <c r="C102" s="266"/>
      <c r="D102" s="266"/>
      <c r="E102" s="266"/>
      <c r="F102" s="266"/>
      <c r="G102" s="276"/>
      <c r="H102" s="295">
        <v>97</v>
      </c>
      <c r="I102" s="296" t="str">
        <f t="shared" si="10"/>
        <v/>
      </c>
      <c r="J102" s="295">
        <f t="shared" si="11"/>
        <v>-4</v>
      </c>
      <c r="K102" s="295">
        <f t="shared" si="7"/>
        <v>-40</v>
      </c>
      <c r="L102" s="295"/>
      <c r="M102" s="297">
        <f t="shared" si="8"/>
        <v>0</v>
      </c>
      <c r="N102" s="276"/>
      <c r="O102" s="276"/>
      <c r="P102" s="276"/>
      <c r="Q102" s="276"/>
      <c r="R102" s="276"/>
    </row>
    <row r="103" spans="1:38" s="282" customFormat="1">
      <c r="A103" s="270">
        <f t="shared" si="9"/>
        <v>0</v>
      </c>
      <c r="B103" s="268" t="str">
        <f t="shared" si="6"/>
        <v/>
      </c>
      <c r="C103" s="269"/>
      <c r="D103" s="269"/>
      <c r="E103" s="269"/>
      <c r="F103" s="269"/>
      <c r="G103" s="276"/>
      <c r="H103" s="301">
        <v>98</v>
      </c>
      <c r="I103" s="302" t="str">
        <f t="shared" si="10"/>
        <v/>
      </c>
      <c r="J103" s="301">
        <f t="shared" si="11"/>
        <v>-4</v>
      </c>
      <c r="K103" s="301">
        <f t="shared" si="7"/>
        <v>-40</v>
      </c>
      <c r="L103" s="301"/>
      <c r="M103" s="303">
        <f t="shared" si="8"/>
        <v>0</v>
      </c>
      <c r="N103" s="276"/>
      <c r="O103" s="276"/>
      <c r="P103" s="276"/>
      <c r="Q103" s="276"/>
      <c r="R103" s="276"/>
    </row>
    <row r="104" spans="1:38" s="282" customFormat="1">
      <c r="A104" s="271">
        <f t="shared" si="9"/>
        <v>0</v>
      </c>
      <c r="B104" s="265" t="str">
        <f t="shared" si="6"/>
        <v/>
      </c>
      <c r="C104" s="266"/>
      <c r="D104" s="266"/>
      <c r="E104" s="266"/>
      <c r="F104" s="266"/>
      <c r="G104" s="276"/>
      <c r="H104" s="295">
        <v>99</v>
      </c>
      <c r="I104" s="296" t="str">
        <f t="shared" si="10"/>
        <v/>
      </c>
      <c r="J104" s="295">
        <f t="shared" si="11"/>
        <v>-4</v>
      </c>
      <c r="K104" s="295">
        <f t="shared" si="7"/>
        <v>-40</v>
      </c>
      <c r="L104" s="295"/>
      <c r="M104" s="297">
        <f t="shared" si="8"/>
        <v>0</v>
      </c>
      <c r="N104" s="276"/>
      <c r="O104" s="276"/>
      <c r="P104" s="276"/>
      <c r="Q104" s="276"/>
      <c r="R104" s="276"/>
    </row>
    <row r="105" spans="1:38" s="282" customFormat="1">
      <c r="A105" s="270">
        <f t="shared" si="9"/>
        <v>0</v>
      </c>
      <c r="B105" s="268" t="str">
        <f t="shared" si="6"/>
        <v/>
      </c>
      <c r="C105" s="269"/>
      <c r="D105" s="269"/>
      <c r="E105" s="269"/>
      <c r="F105" s="269"/>
      <c r="G105" s="276"/>
      <c r="H105" s="301">
        <v>100</v>
      </c>
      <c r="I105" s="302" t="str">
        <f t="shared" si="10"/>
        <v/>
      </c>
      <c r="J105" s="301">
        <f t="shared" si="11"/>
        <v>-4</v>
      </c>
      <c r="K105" s="301">
        <f t="shared" si="7"/>
        <v>-40</v>
      </c>
      <c r="L105" s="301"/>
      <c r="M105" s="303">
        <f t="shared" si="8"/>
        <v>0</v>
      </c>
      <c r="N105" s="276"/>
      <c r="O105" s="276"/>
      <c r="P105" s="276"/>
      <c r="Q105" s="276"/>
      <c r="R105" s="276"/>
    </row>
    <row r="106" spans="1:38" s="282" customFormat="1">
      <c r="A106" s="271">
        <f t="shared" si="9"/>
        <v>0</v>
      </c>
      <c r="B106" s="265" t="str">
        <f t="shared" si="6"/>
        <v/>
      </c>
      <c r="C106" s="266"/>
      <c r="D106" s="266"/>
      <c r="E106" s="266"/>
      <c r="F106" s="266"/>
      <c r="G106" s="276"/>
      <c r="H106" s="295">
        <v>101</v>
      </c>
      <c r="I106" s="296" t="str">
        <f t="shared" si="10"/>
        <v/>
      </c>
      <c r="J106" s="295">
        <f t="shared" si="11"/>
        <v>-4</v>
      </c>
      <c r="K106" s="295">
        <f t="shared" si="7"/>
        <v>-40</v>
      </c>
      <c r="L106" s="295"/>
      <c r="M106" s="297">
        <f t="shared" si="8"/>
        <v>0</v>
      </c>
      <c r="N106" s="276"/>
      <c r="O106" s="276"/>
      <c r="P106" s="276"/>
      <c r="Q106" s="276"/>
      <c r="R106" s="276"/>
    </row>
    <row r="107" spans="1:38" s="282" customFormat="1">
      <c r="A107" s="270">
        <f t="shared" si="9"/>
        <v>0</v>
      </c>
      <c r="B107" s="268" t="str">
        <f t="shared" si="6"/>
        <v/>
      </c>
      <c r="C107" s="269"/>
      <c r="D107" s="269"/>
      <c r="E107" s="269"/>
      <c r="F107" s="269"/>
      <c r="G107" s="276"/>
      <c r="H107" s="301">
        <v>102</v>
      </c>
      <c r="I107" s="302" t="str">
        <f t="shared" si="10"/>
        <v/>
      </c>
      <c r="J107" s="301">
        <f t="shared" si="11"/>
        <v>-4</v>
      </c>
      <c r="K107" s="301">
        <f t="shared" si="7"/>
        <v>-40</v>
      </c>
      <c r="L107" s="301"/>
      <c r="M107" s="303">
        <f t="shared" si="8"/>
        <v>0</v>
      </c>
      <c r="N107" s="276"/>
      <c r="O107" s="276"/>
      <c r="P107" s="276"/>
      <c r="Q107" s="276"/>
      <c r="R107" s="276"/>
    </row>
    <row r="108" spans="1:38" s="282" customFormat="1">
      <c r="A108" s="271">
        <f t="shared" si="9"/>
        <v>0</v>
      </c>
      <c r="B108" s="265" t="str">
        <f t="shared" si="6"/>
        <v/>
      </c>
      <c r="C108" s="266"/>
      <c r="D108" s="266"/>
      <c r="E108" s="266"/>
      <c r="F108" s="266"/>
      <c r="G108" s="276"/>
      <c r="H108" s="295">
        <v>103</v>
      </c>
      <c r="I108" s="296" t="str">
        <f t="shared" si="10"/>
        <v/>
      </c>
      <c r="J108" s="295">
        <f t="shared" si="11"/>
        <v>-4</v>
      </c>
      <c r="K108" s="295">
        <f t="shared" si="7"/>
        <v>-40</v>
      </c>
      <c r="L108" s="295"/>
      <c r="M108" s="297">
        <f t="shared" si="8"/>
        <v>0</v>
      </c>
      <c r="N108" s="276"/>
      <c r="O108" s="276"/>
      <c r="P108" s="276"/>
      <c r="Q108" s="276"/>
      <c r="R108" s="276"/>
    </row>
    <row r="109" spans="1:38" s="276" customFormat="1">
      <c r="A109" s="270">
        <f t="shared" si="9"/>
        <v>0</v>
      </c>
      <c r="B109" s="268" t="str">
        <f t="shared" si="6"/>
        <v/>
      </c>
      <c r="C109" s="269"/>
      <c r="D109" s="269"/>
      <c r="E109" s="269"/>
      <c r="F109" s="269"/>
      <c r="H109" s="301">
        <v>104</v>
      </c>
      <c r="I109" s="302" t="str">
        <f t="shared" si="10"/>
        <v/>
      </c>
      <c r="J109" s="301">
        <f t="shared" si="11"/>
        <v>-4</v>
      </c>
      <c r="K109" s="301">
        <f t="shared" si="7"/>
        <v>-40</v>
      </c>
      <c r="L109" s="301"/>
      <c r="M109" s="303">
        <f t="shared" si="8"/>
        <v>0</v>
      </c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</row>
    <row r="110" spans="1:38" s="276" customFormat="1">
      <c r="A110" s="271">
        <f t="shared" si="9"/>
        <v>0</v>
      </c>
      <c r="B110" s="265" t="str">
        <f t="shared" si="6"/>
        <v/>
      </c>
      <c r="C110" s="266"/>
      <c r="D110" s="266"/>
      <c r="E110" s="266"/>
      <c r="F110" s="266"/>
      <c r="H110" s="295">
        <v>105</v>
      </c>
      <c r="I110" s="296" t="str">
        <f t="shared" si="10"/>
        <v/>
      </c>
      <c r="J110" s="295">
        <f t="shared" si="11"/>
        <v>-4</v>
      </c>
      <c r="K110" s="295">
        <f t="shared" si="7"/>
        <v>-40</v>
      </c>
      <c r="L110" s="295"/>
      <c r="M110" s="297">
        <f t="shared" si="8"/>
        <v>0</v>
      </c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</row>
    <row r="111" spans="1:38" s="276" customFormat="1">
      <c r="A111" s="270">
        <f t="shared" si="9"/>
        <v>0</v>
      </c>
      <c r="B111" s="268" t="str">
        <f t="shared" si="6"/>
        <v/>
      </c>
      <c r="C111" s="269"/>
      <c r="D111" s="269"/>
      <c r="E111" s="269"/>
      <c r="F111" s="269"/>
      <c r="H111" s="301">
        <v>106</v>
      </c>
      <c r="I111" s="302" t="str">
        <f t="shared" si="10"/>
        <v/>
      </c>
      <c r="J111" s="301">
        <f t="shared" si="11"/>
        <v>-4</v>
      </c>
      <c r="K111" s="301">
        <f t="shared" si="7"/>
        <v>-40</v>
      </c>
      <c r="L111" s="301"/>
      <c r="M111" s="303">
        <f t="shared" si="8"/>
        <v>0</v>
      </c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</row>
    <row r="112" spans="1:38" s="276" customFormat="1">
      <c r="A112" s="271">
        <f t="shared" si="9"/>
        <v>0</v>
      </c>
      <c r="B112" s="265" t="str">
        <f t="shared" si="6"/>
        <v/>
      </c>
      <c r="C112" s="266"/>
      <c r="D112" s="266"/>
      <c r="E112" s="266"/>
      <c r="F112" s="266"/>
      <c r="H112" s="295">
        <v>107</v>
      </c>
      <c r="I112" s="296" t="str">
        <f t="shared" si="10"/>
        <v/>
      </c>
      <c r="J112" s="295">
        <f t="shared" si="11"/>
        <v>-4</v>
      </c>
      <c r="K112" s="295">
        <f t="shared" si="7"/>
        <v>-40</v>
      </c>
      <c r="L112" s="295"/>
      <c r="M112" s="297">
        <f t="shared" si="8"/>
        <v>0</v>
      </c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</row>
    <row r="113" spans="1:38" s="276" customFormat="1">
      <c r="A113" s="270">
        <f t="shared" si="9"/>
        <v>0</v>
      </c>
      <c r="B113" s="268" t="str">
        <f t="shared" si="6"/>
        <v/>
      </c>
      <c r="C113" s="269"/>
      <c r="D113" s="269"/>
      <c r="E113" s="269"/>
      <c r="F113" s="269"/>
      <c r="H113" s="301">
        <v>108</v>
      </c>
      <c r="I113" s="302" t="str">
        <f t="shared" si="10"/>
        <v/>
      </c>
      <c r="J113" s="301">
        <f t="shared" si="11"/>
        <v>-4</v>
      </c>
      <c r="K113" s="301">
        <f t="shared" si="7"/>
        <v>-40</v>
      </c>
      <c r="L113" s="301"/>
      <c r="M113" s="303">
        <f t="shared" si="8"/>
        <v>0</v>
      </c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</row>
    <row r="114" spans="1:38" s="276" customFormat="1">
      <c r="A114" s="271">
        <f t="shared" si="9"/>
        <v>0</v>
      </c>
      <c r="B114" s="265" t="str">
        <f t="shared" si="6"/>
        <v/>
      </c>
      <c r="C114" s="266"/>
      <c r="D114" s="266"/>
      <c r="E114" s="266"/>
      <c r="F114" s="266"/>
      <c r="H114" s="295">
        <v>109</v>
      </c>
      <c r="I114" s="296" t="str">
        <f t="shared" si="10"/>
        <v/>
      </c>
      <c r="J114" s="295">
        <f t="shared" si="11"/>
        <v>-4</v>
      </c>
      <c r="K114" s="295">
        <f t="shared" si="7"/>
        <v>-40</v>
      </c>
      <c r="L114" s="295"/>
      <c r="M114" s="297">
        <f t="shared" si="8"/>
        <v>0</v>
      </c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</row>
    <row r="115" spans="1:38" s="276" customFormat="1">
      <c r="A115" s="270">
        <f t="shared" si="9"/>
        <v>0</v>
      </c>
      <c r="B115" s="268" t="str">
        <f t="shared" si="6"/>
        <v/>
      </c>
      <c r="C115" s="269"/>
      <c r="D115" s="269"/>
      <c r="E115" s="269"/>
      <c r="F115" s="269"/>
      <c r="H115" s="301">
        <v>110</v>
      </c>
      <c r="I115" s="302" t="str">
        <f t="shared" si="10"/>
        <v/>
      </c>
      <c r="J115" s="301">
        <f t="shared" si="11"/>
        <v>-4</v>
      </c>
      <c r="K115" s="301">
        <f t="shared" si="7"/>
        <v>-40</v>
      </c>
      <c r="L115" s="301"/>
      <c r="M115" s="303">
        <f t="shared" si="8"/>
        <v>0</v>
      </c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</row>
    <row r="116" spans="1:38" s="276" customFormat="1">
      <c r="A116" s="271">
        <f t="shared" si="9"/>
        <v>0</v>
      </c>
      <c r="B116" s="265" t="str">
        <f t="shared" si="6"/>
        <v/>
      </c>
      <c r="C116" s="266"/>
      <c r="D116" s="266"/>
      <c r="E116" s="266"/>
      <c r="F116" s="266"/>
      <c r="H116" s="295">
        <v>111</v>
      </c>
      <c r="I116" s="296" t="str">
        <f t="shared" si="10"/>
        <v/>
      </c>
      <c r="J116" s="295">
        <f t="shared" si="11"/>
        <v>-4</v>
      </c>
      <c r="K116" s="295">
        <f t="shared" si="7"/>
        <v>-40</v>
      </c>
      <c r="L116" s="295"/>
      <c r="M116" s="297">
        <f t="shared" si="8"/>
        <v>0</v>
      </c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</row>
    <row r="117" spans="1:38" s="276" customFormat="1">
      <c r="A117" s="270">
        <f t="shared" si="9"/>
        <v>0</v>
      </c>
      <c r="B117" s="268" t="str">
        <f t="shared" si="6"/>
        <v/>
      </c>
      <c r="C117" s="269"/>
      <c r="D117" s="269"/>
      <c r="E117" s="269"/>
      <c r="F117" s="269"/>
      <c r="H117" s="301">
        <v>112</v>
      </c>
      <c r="I117" s="302" t="str">
        <f t="shared" si="10"/>
        <v/>
      </c>
      <c r="J117" s="301">
        <f t="shared" si="11"/>
        <v>-4</v>
      </c>
      <c r="K117" s="301">
        <f t="shared" si="7"/>
        <v>-40</v>
      </c>
      <c r="L117" s="301"/>
      <c r="M117" s="303">
        <f t="shared" si="8"/>
        <v>0</v>
      </c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</row>
    <row r="118" spans="1:38" s="276" customFormat="1">
      <c r="A118" s="271">
        <f t="shared" si="9"/>
        <v>0</v>
      </c>
      <c r="B118" s="265" t="str">
        <f t="shared" si="6"/>
        <v/>
      </c>
      <c r="C118" s="266"/>
      <c r="D118" s="266"/>
      <c r="E118" s="266"/>
      <c r="F118" s="266"/>
      <c r="H118" s="295">
        <v>113</v>
      </c>
      <c r="I118" s="296" t="str">
        <f t="shared" si="10"/>
        <v/>
      </c>
      <c r="J118" s="295">
        <f t="shared" si="11"/>
        <v>-4</v>
      </c>
      <c r="K118" s="295">
        <f t="shared" si="7"/>
        <v>-40</v>
      </c>
      <c r="L118" s="295"/>
      <c r="M118" s="297">
        <f t="shared" si="8"/>
        <v>0</v>
      </c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</row>
    <row r="119" spans="1:38" s="276" customFormat="1">
      <c r="A119" s="270">
        <f t="shared" si="9"/>
        <v>0</v>
      </c>
      <c r="B119" s="268" t="str">
        <f t="shared" si="6"/>
        <v/>
      </c>
      <c r="C119" s="269"/>
      <c r="D119" s="269"/>
      <c r="E119" s="269"/>
      <c r="F119" s="269"/>
      <c r="H119" s="301">
        <v>114</v>
      </c>
      <c r="I119" s="302" t="str">
        <f t="shared" si="10"/>
        <v/>
      </c>
      <c r="J119" s="301">
        <f t="shared" si="11"/>
        <v>-4</v>
      </c>
      <c r="K119" s="301">
        <f t="shared" si="7"/>
        <v>-40</v>
      </c>
      <c r="L119" s="301"/>
      <c r="M119" s="303">
        <f t="shared" si="8"/>
        <v>0</v>
      </c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</row>
    <row r="120" spans="1:38" s="276" customFormat="1">
      <c r="A120" s="271">
        <f t="shared" si="9"/>
        <v>0</v>
      </c>
      <c r="B120" s="265" t="str">
        <f t="shared" si="6"/>
        <v/>
      </c>
      <c r="C120" s="266"/>
      <c r="D120" s="266"/>
      <c r="E120" s="266"/>
      <c r="F120" s="266"/>
      <c r="H120" s="295">
        <v>115</v>
      </c>
      <c r="I120" s="296" t="str">
        <f t="shared" si="10"/>
        <v/>
      </c>
      <c r="J120" s="295">
        <f t="shared" si="11"/>
        <v>-4</v>
      </c>
      <c r="K120" s="295">
        <f t="shared" si="7"/>
        <v>-40</v>
      </c>
      <c r="L120" s="295"/>
      <c r="M120" s="297">
        <f t="shared" si="8"/>
        <v>0</v>
      </c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</row>
    <row r="121" spans="1:38" s="276" customFormat="1">
      <c r="A121" s="270">
        <f t="shared" si="9"/>
        <v>0</v>
      </c>
      <c r="B121" s="268" t="str">
        <f t="shared" si="6"/>
        <v/>
      </c>
      <c r="C121" s="269"/>
      <c r="D121" s="269"/>
      <c r="E121" s="269"/>
      <c r="F121" s="269"/>
      <c r="H121" s="301">
        <v>116</v>
      </c>
      <c r="I121" s="302" t="str">
        <f t="shared" si="10"/>
        <v/>
      </c>
      <c r="J121" s="301">
        <f t="shared" si="11"/>
        <v>-4</v>
      </c>
      <c r="K121" s="301">
        <f t="shared" si="7"/>
        <v>-40</v>
      </c>
      <c r="L121" s="301"/>
      <c r="M121" s="303">
        <f t="shared" si="8"/>
        <v>0</v>
      </c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</row>
    <row r="122" spans="1:38" s="276" customFormat="1">
      <c r="A122" s="271">
        <f t="shared" si="9"/>
        <v>0</v>
      </c>
      <c r="B122" s="265" t="str">
        <f t="shared" si="6"/>
        <v/>
      </c>
      <c r="C122" s="266"/>
      <c r="D122" s="266"/>
      <c r="E122" s="266"/>
      <c r="F122" s="266"/>
      <c r="H122" s="295">
        <v>117</v>
      </c>
      <c r="I122" s="296" t="str">
        <f t="shared" si="10"/>
        <v/>
      </c>
      <c r="J122" s="295">
        <f t="shared" si="11"/>
        <v>-4</v>
      </c>
      <c r="K122" s="295">
        <f t="shared" si="7"/>
        <v>-40</v>
      </c>
      <c r="L122" s="295"/>
      <c r="M122" s="297">
        <f t="shared" si="8"/>
        <v>0</v>
      </c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</row>
    <row r="123" spans="1:38" s="276" customFormat="1">
      <c r="A123" s="270">
        <f t="shared" si="9"/>
        <v>0</v>
      </c>
      <c r="B123" s="268" t="str">
        <f t="shared" si="6"/>
        <v/>
      </c>
      <c r="C123" s="269"/>
      <c r="D123" s="269"/>
      <c r="E123" s="269"/>
      <c r="F123" s="269"/>
      <c r="H123" s="301">
        <v>118</v>
      </c>
      <c r="I123" s="302" t="str">
        <f t="shared" si="10"/>
        <v/>
      </c>
      <c r="J123" s="301">
        <f t="shared" si="11"/>
        <v>-4</v>
      </c>
      <c r="K123" s="301">
        <f t="shared" si="7"/>
        <v>-40</v>
      </c>
      <c r="L123" s="301"/>
      <c r="M123" s="303">
        <f t="shared" si="8"/>
        <v>0</v>
      </c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</row>
    <row r="124" spans="1:38" s="276" customFormat="1">
      <c r="A124" s="271">
        <f t="shared" si="9"/>
        <v>0</v>
      </c>
      <c r="B124" s="265" t="str">
        <f t="shared" si="6"/>
        <v/>
      </c>
      <c r="C124" s="266"/>
      <c r="D124" s="266"/>
      <c r="E124" s="266"/>
      <c r="F124" s="266"/>
      <c r="H124" s="295">
        <v>119</v>
      </c>
      <c r="I124" s="296" t="str">
        <f t="shared" si="10"/>
        <v/>
      </c>
      <c r="J124" s="295">
        <f t="shared" si="11"/>
        <v>-4</v>
      </c>
      <c r="K124" s="295">
        <f t="shared" si="7"/>
        <v>-40</v>
      </c>
      <c r="L124" s="295"/>
      <c r="M124" s="297">
        <f t="shared" si="8"/>
        <v>0</v>
      </c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</row>
    <row r="125" spans="1:38" s="276" customFormat="1">
      <c r="A125" s="270">
        <f t="shared" si="9"/>
        <v>0</v>
      </c>
      <c r="B125" s="268" t="str">
        <f t="shared" si="6"/>
        <v/>
      </c>
      <c r="C125" s="269"/>
      <c r="D125" s="269"/>
      <c r="E125" s="269"/>
      <c r="F125" s="269"/>
      <c r="H125" s="301">
        <v>120</v>
      </c>
      <c r="I125" s="302" t="str">
        <f t="shared" si="10"/>
        <v/>
      </c>
      <c r="J125" s="301">
        <f t="shared" si="11"/>
        <v>-4</v>
      </c>
      <c r="K125" s="301">
        <f t="shared" si="7"/>
        <v>-40</v>
      </c>
      <c r="L125" s="301"/>
      <c r="M125" s="303">
        <f t="shared" si="8"/>
        <v>0</v>
      </c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</row>
    <row r="126" spans="1:38" s="282" customFormat="1" ht="14.45" customHeight="1">
      <c r="A126" s="264">
        <f t="shared" si="9"/>
        <v>0</v>
      </c>
      <c r="B126" s="265" t="str">
        <f t="shared" si="6"/>
        <v/>
      </c>
      <c r="C126" s="266"/>
      <c r="D126" s="266"/>
      <c r="E126" s="266"/>
      <c r="F126" s="266"/>
      <c r="G126" s="260"/>
      <c r="H126" s="295">
        <v>121</v>
      </c>
      <c r="I126" s="296" t="str">
        <f t="shared" si="10"/>
        <v/>
      </c>
      <c r="J126" s="295">
        <f t="shared" si="11"/>
        <v>-4</v>
      </c>
      <c r="K126" s="295">
        <f t="shared" si="7"/>
        <v>-40</v>
      </c>
      <c r="L126" s="297"/>
      <c r="M126" s="297">
        <f t="shared" si="8"/>
        <v>0</v>
      </c>
      <c r="N126" s="276"/>
      <c r="O126" s="276"/>
      <c r="P126" s="276"/>
      <c r="Q126" s="276"/>
      <c r="R126" s="276"/>
    </row>
    <row r="127" spans="1:38" s="282" customFormat="1" ht="14.45" customHeight="1">
      <c r="A127" s="267">
        <f t="shared" si="9"/>
        <v>0</v>
      </c>
      <c r="B127" s="268" t="str">
        <f t="shared" si="6"/>
        <v/>
      </c>
      <c r="C127" s="269"/>
      <c r="D127" s="269"/>
      <c r="E127" s="269"/>
      <c r="F127" s="269"/>
      <c r="G127" s="260"/>
      <c r="H127" s="301">
        <v>122</v>
      </c>
      <c r="I127" s="302" t="str">
        <f t="shared" si="10"/>
        <v/>
      </c>
      <c r="J127" s="301">
        <f t="shared" si="11"/>
        <v>-4</v>
      </c>
      <c r="K127" s="301">
        <f t="shared" si="7"/>
        <v>-40</v>
      </c>
      <c r="L127" s="303"/>
      <c r="M127" s="303">
        <f t="shared" si="8"/>
        <v>0</v>
      </c>
      <c r="N127" s="276"/>
      <c r="O127" s="276"/>
      <c r="P127" s="276"/>
      <c r="Q127" s="276"/>
      <c r="R127" s="276"/>
    </row>
    <row r="128" spans="1:38" s="282" customFormat="1" ht="14.45" customHeight="1">
      <c r="A128" s="264">
        <f t="shared" si="9"/>
        <v>0</v>
      </c>
      <c r="B128" s="265" t="str">
        <f t="shared" si="6"/>
        <v/>
      </c>
      <c r="C128" s="266"/>
      <c r="D128" s="266"/>
      <c r="E128" s="266"/>
      <c r="F128" s="266"/>
      <c r="G128" s="260"/>
      <c r="H128" s="295">
        <v>123</v>
      </c>
      <c r="I128" s="296" t="str">
        <f t="shared" si="10"/>
        <v/>
      </c>
      <c r="J128" s="295">
        <f t="shared" si="11"/>
        <v>-4</v>
      </c>
      <c r="K128" s="295">
        <f t="shared" si="7"/>
        <v>-40</v>
      </c>
      <c r="L128" s="297"/>
      <c r="M128" s="297">
        <f t="shared" si="8"/>
        <v>0</v>
      </c>
      <c r="N128" s="276"/>
      <c r="O128" s="276"/>
      <c r="P128" s="276"/>
      <c r="Q128" s="276"/>
      <c r="R128" s="276"/>
    </row>
    <row r="129" spans="1:34" s="282" customFormat="1" ht="14.45" customHeight="1">
      <c r="A129" s="267">
        <f t="shared" si="9"/>
        <v>0</v>
      </c>
      <c r="B129" s="268" t="str">
        <f t="shared" si="6"/>
        <v/>
      </c>
      <c r="C129" s="269"/>
      <c r="D129" s="269"/>
      <c r="E129" s="269"/>
      <c r="F129" s="269"/>
      <c r="G129" s="260"/>
      <c r="H129" s="301">
        <v>124</v>
      </c>
      <c r="I129" s="302" t="str">
        <f t="shared" si="10"/>
        <v/>
      </c>
      <c r="J129" s="301">
        <f t="shared" si="11"/>
        <v>-4</v>
      </c>
      <c r="K129" s="301">
        <f t="shared" si="7"/>
        <v>-40</v>
      </c>
      <c r="L129" s="303"/>
      <c r="M129" s="303">
        <f t="shared" si="8"/>
        <v>0</v>
      </c>
      <c r="N129" s="276"/>
      <c r="O129" s="276"/>
      <c r="P129" s="276"/>
      <c r="Q129" s="276"/>
      <c r="R129" s="276"/>
      <c r="V129" s="304"/>
      <c r="Z129" s="305"/>
      <c r="AA129" s="305"/>
      <c r="AG129" s="306"/>
    </row>
    <row r="130" spans="1:34" s="282" customFormat="1" ht="14.45" customHeight="1">
      <c r="A130" s="264">
        <f t="shared" si="9"/>
        <v>0</v>
      </c>
      <c r="B130" s="265" t="str">
        <f t="shared" si="6"/>
        <v/>
      </c>
      <c r="C130" s="266"/>
      <c r="D130" s="266"/>
      <c r="E130" s="266"/>
      <c r="F130" s="266"/>
      <c r="G130" s="260"/>
      <c r="H130" s="295">
        <v>125</v>
      </c>
      <c r="I130" s="296" t="str">
        <f t="shared" si="10"/>
        <v/>
      </c>
      <c r="J130" s="295">
        <f t="shared" si="11"/>
        <v>-4</v>
      </c>
      <c r="K130" s="295">
        <f t="shared" si="7"/>
        <v>-40</v>
      </c>
      <c r="L130" s="295"/>
      <c r="M130" s="297">
        <f t="shared" si="8"/>
        <v>0</v>
      </c>
      <c r="N130" s="276"/>
      <c r="O130" s="276"/>
      <c r="P130" s="276"/>
      <c r="Q130" s="276"/>
      <c r="R130" s="276"/>
      <c r="V130" s="304"/>
      <c r="Z130" s="305"/>
      <c r="AA130" s="305"/>
      <c r="AG130" s="306"/>
    </row>
    <row r="131" spans="1:34" s="282" customFormat="1" ht="14.45" customHeight="1">
      <c r="A131" s="267">
        <f t="shared" si="9"/>
        <v>0</v>
      </c>
      <c r="B131" s="268" t="str">
        <f t="shared" si="6"/>
        <v/>
      </c>
      <c r="C131" s="269"/>
      <c r="D131" s="269"/>
      <c r="E131" s="269"/>
      <c r="F131" s="269"/>
      <c r="G131" s="260"/>
      <c r="H131" s="301">
        <v>126</v>
      </c>
      <c r="I131" s="302" t="str">
        <f t="shared" si="10"/>
        <v/>
      </c>
      <c r="J131" s="301">
        <f t="shared" si="11"/>
        <v>-4</v>
      </c>
      <c r="K131" s="301">
        <f t="shared" si="7"/>
        <v>-40</v>
      </c>
      <c r="L131" s="301"/>
      <c r="M131" s="303">
        <f t="shared" si="8"/>
        <v>0</v>
      </c>
      <c r="N131" s="276"/>
      <c r="O131" s="276"/>
      <c r="P131" s="276"/>
      <c r="Q131" s="276"/>
      <c r="R131" s="276"/>
      <c r="V131" s="307"/>
      <c r="Z131" s="305"/>
      <c r="AA131" s="305"/>
      <c r="AG131" s="306"/>
    </row>
    <row r="132" spans="1:34" s="282" customFormat="1" ht="14.45" customHeight="1">
      <c r="A132" s="264">
        <f t="shared" si="9"/>
        <v>0</v>
      </c>
      <c r="B132" s="265" t="str">
        <f t="shared" si="6"/>
        <v/>
      </c>
      <c r="C132" s="266"/>
      <c r="D132" s="266"/>
      <c r="E132" s="266"/>
      <c r="F132" s="266"/>
      <c r="G132" s="260"/>
      <c r="H132" s="295">
        <v>127</v>
      </c>
      <c r="I132" s="296" t="str">
        <f t="shared" si="10"/>
        <v/>
      </c>
      <c r="J132" s="295">
        <f t="shared" si="11"/>
        <v>-4</v>
      </c>
      <c r="K132" s="295">
        <f t="shared" si="7"/>
        <v>-40</v>
      </c>
      <c r="L132" s="295"/>
      <c r="M132" s="297">
        <f t="shared" si="8"/>
        <v>0</v>
      </c>
      <c r="N132" s="276"/>
      <c r="O132" s="276"/>
      <c r="P132" s="276"/>
      <c r="Q132" s="276"/>
      <c r="R132" s="276"/>
      <c r="Z132" s="305"/>
      <c r="AA132" s="305"/>
      <c r="AG132" s="306"/>
    </row>
    <row r="133" spans="1:34" s="282" customFormat="1" ht="14.45" customHeight="1">
      <c r="A133" s="270">
        <f t="shared" si="9"/>
        <v>0</v>
      </c>
      <c r="B133" s="268" t="str">
        <f t="shared" si="6"/>
        <v/>
      </c>
      <c r="C133" s="269"/>
      <c r="D133" s="269"/>
      <c r="E133" s="269"/>
      <c r="F133" s="269"/>
      <c r="G133" s="260"/>
      <c r="H133" s="301">
        <v>128</v>
      </c>
      <c r="I133" s="302" t="str">
        <f t="shared" si="10"/>
        <v/>
      </c>
      <c r="J133" s="301">
        <f t="shared" si="11"/>
        <v>-4</v>
      </c>
      <c r="K133" s="301">
        <f t="shared" si="7"/>
        <v>-40</v>
      </c>
      <c r="L133" s="301"/>
      <c r="M133" s="303">
        <f t="shared" si="8"/>
        <v>0</v>
      </c>
      <c r="N133" s="276"/>
      <c r="O133" s="276"/>
      <c r="P133" s="276"/>
      <c r="Q133" s="276"/>
      <c r="R133" s="276"/>
      <c r="X133" s="304"/>
      <c r="AG133" s="306"/>
    </row>
    <row r="134" spans="1:34" s="282" customFormat="1" ht="15.75" customHeight="1">
      <c r="A134" s="271">
        <f t="shared" si="9"/>
        <v>0</v>
      </c>
      <c r="B134" s="265" t="str">
        <f t="shared" ref="B134:B197" si="12">IF(H134&gt;$H$2,"",(ROW()-5))</f>
        <v/>
      </c>
      <c r="C134" s="266"/>
      <c r="D134" s="266"/>
      <c r="E134" s="266"/>
      <c r="F134" s="266"/>
      <c r="G134" s="260"/>
      <c r="H134" s="295">
        <v>129</v>
      </c>
      <c r="I134" s="296" t="str">
        <f t="shared" si="10"/>
        <v/>
      </c>
      <c r="J134" s="295">
        <f t="shared" si="11"/>
        <v>-5</v>
      </c>
      <c r="K134" s="295">
        <f t="shared" ref="K134:K197" si="13">J134*$J$2</f>
        <v>-50</v>
      </c>
      <c r="L134" s="295"/>
      <c r="M134" s="297">
        <f t="shared" ref="M134:M197" si="14">IF(I134&lt;&gt;"",K134+I134+L134,0)</f>
        <v>0</v>
      </c>
      <c r="N134" s="276"/>
      <c r="O134" s="276"/>
      <c r="P134" s="276"/>
      <c r="Q134" s="276"/>
      <c r="R134" s="276"/>
      <c r="X134" s="308"/>
      <c r="Z134" s="305"/>
      <c r="AA134" s="305"/>
      <c r="AG134" s="306"/>
    </row>
    <row r="135" spans="1:34" s="282" customFormat="1">
      <c r="A135" s="270">
        <f t="shared" ref="A135:A198" si="15">M135</f>
        <v>0</v>
      </c>
      <c r="B135" s="268" t="str">
        <f t="shared" si="12"/>
        <v/>
      </c>
      <c r="C135" s="269"/>
      <c r="D135" s="269"/>
      <c r="E135" s="269"/>
      <c r="F135" s="269"/>
      <c r="G135" s="260"/>
      <c r="H135" s="301">
        <v>130</v>
      </c>
      <c r="I135" s="302" t="str">
        <f t="shared" ref="I135:I198" si="16">IF(H135&lt;$H$2+1,($I$2-($I$2-1)*(LOG(H135)/LOG($H$2))),"")</f>
        <v/>
      </c>
      <c r="J135" s="301">
        <f t="shared" ref="J135:J198" si="17">INT(LOG($H$2,2))-ROUNDUP(LOG(H135,2),0)+IF(OR($H$2=1,$H$2=2,$H$2=4,$H$2=8,$H$2=16,$H$2=32,$H$2=64,$H$2=128,$H$2=256),0,1)</f>
        <v>-5</v>
      </c>
      <c r="K135" s="301">
        <f t="shared" si="13"/>
        <v>-50</v>
      </c>
      <c r="L135" s="301"/>
      <c r="M135" s="303">
        <f t="shared" si="14"/>
        <v>0</v>
      </c>
      <c r="N135" s="276"/>
      <c r="O135" s="276"/>
      <c r="P135" s="276"/>
      <c r="Q135" s="276"/>
      <c r="R135" s="276"/>
      <c r="X135" s="304"/>
      <c r="Z135" s="305"/>
      <c r="AA135" s="305"/>
    </row>
    <row r="136" spans="1:34" s="282" customFormat="1">
      <c r="A136" s="271">
        <f t="shared" si="15"/>
        <v>0</v>
      </c>
      <c r="B136" s="265" t="str">
        <f t="shared" si="12"/>
        <v/>
      </c>
      <c r="C136" s="266"/>
      <c r="D136" s="266"/>
      <c r="E136" s="266"/>
      <c r="F136" s="266"/>
      <c r="G136" s="260"/>
      <c r="H136" s="295">
        <v>131</v>
      </c>
      <c r="I136" s="296" t="str">
        <f t="shared" si="16"/>
        <v/>
      </c>
      <c r="J136" s="295">
        <f t="shared" si="17"/>
        <v>-5</v>
      </c>
      <c r="K136" s="295">
        <f t="shared" si="13"/>
        <v>-50</v>
      </c>
      <c r="L136" s="295"/>
      <c r="M136" s="297">
        <f t="shared" si="14"/>
        <v>0</v>
      </c>
      <c r="N136" s="276"/>
      <c r="O136" s="276"/>
      <c r="P136" s="276"/>
      <c r="Q136" s="276"/>
      <c r="R136" s="309"/>
      <c r="Z136" s="305"/>
      <c r="AA136" s="305"/>
      <c r="AH136" s="310"/>
    </row>
    <row r="137" spans="1:34" s="282" customFormat="1">
      <c r="A137" s="270">
        <f t="shared" si="15"/>
        <v>0</v>
      </c>
      <c r="B137" s="268" t="str">
        <f t="shared" si="12"/>
        <v/>
      </c>
      <c r="C137" s="269"/>
      <c r="D137" s="269"/>
      <c r="E137" s="269"/>
      <c r="F137" s="269"/>
      <c r="G137" s="260"/>
      <c r="H137" s="301">
        <v>132</v>
      </c>
      <c r="I137" s="302" t="str">
        <f t="shared" si="16"/>
        <v/>
      </c>
      <c r="J137" s="301">
        <f t="shared" si="17"/>
        <v>-5</v>
      </c>
      <c r="K137" s="301">
        <f t="shared" si="13"/>
        <v>-50</v>
      </c>
      <c r="L137" s="301"/>
      <c r="M137" s="303">
        <f t="shared" si="14"/>
        <v>0</v>
      </c>
      <c r="N137" s="276"/>
      <c r="O137" s="276"/>
      <c r="P137" s="276"/>
      <c r="Q137" s="276"/>
      <c r="R137" s="276"/>
    </row>
    <row r="138" spans="1:34" s="282" customFormat="1">
      <c r="A138" s="271">
        <f t="shared" si="15"/>
        <v>0</v>
      </c>
      <c r="B138" s="265" t="str">
        <f t="shared" si="12"/>
        <v/>
      </c>
      <c r="C138" s="266"/>
      <c r="D138" s="266"/>
      <c r="E138" s="266"/>
      <c r="F138" s="266"/>
      <c r="G138" s="260"/>
      <c r="H138" s="295">
        <v>133</v>
      </c>
      <c r="I138" s="296" t="str">
        <f t="shared" si="16"/>
        <v/>
      </c>
      <c r="J138" s="295">
        <f t="shared" si="17"/>
        <v>-5</v>
      </c>
      <c r="K138" s="295">
        <f t="shared" si="13"/>
        <v>-50</v>
      </c>
      <c r="L138" s="295"/>
      <c r="M138" s="297">
        <f t="shared" si="14"/>
        <v>0</v>
      </c>
      <c r="N138" s="276"/>
      <c r="O138" s="276"/>
      <c r="P138" s="276"/>
      <c r="Q138" s="276"/>
      <c r="R138" s="276"/>
    </row>
    <row r="139" spans="1:34" s="282" customFormat="1">
      <c r="A139" s="270">
        <f t="shared" si="15"/>
        <v>0</v>
      </c>
      <c r="B139" s="268" t="str">
        <f t="shared" si="12"/>
        <v/>
      </c>
      <c r="C139" s="269"/>
      <c r="D139" s="269"/>
      <c r="E139" s="269"/>
      <c r="F139" s="269"/>
      <c r="G139" s="260"/>
      <c r="H139" s="301">
        <v>134</v>
      </c>
      <c r="I139" s="302" t="str">
        <f t="shared" si="16"/>
        <v/>
      </c>
      <c r="J139" s="301">
        <f t="shared" si="17"/>
        <v>-5</v>
      </c>
      <c r="K139" s="301">
        <f t="shared" si="13"/>
        <v>-50</v>
      </c>
      <c r="L139" s="301"/>
      <c r="M139" s="303">
        <f t="shared" si="14"/>
        <v>0</v>
      </c>
      <c r="N139" s="276"/>
      <c r="O139" s="276"/>
      <c r="P139" s="276"/>
      <c r="Q139" s="276"/>
      <c r="R139" s="276"/>
    </row>
    <row r="140" spans="1:34" s="282" customFormat="1">
      <c r="A140" s="271">
        <f t="shared" si="15"/>
        <v>0</v>
      </c>
      <c r="B140" s="265" t="str">
        <f t="shared" si="12"/>
        <v/>
      </c>
      <c r="C140" s="266"/>
      <c r="D140" s="266"/>
      <c r="E140" s="266"/>
      <c r="F140" s="266"/>
      <c r="G140" s="260"/>
      <c r="H140" s="295">
        <v>135</v>
      </c>
      <c r="I140" s="296" t="str">
        <f t="shared" si="16"/>
        <v/>
      </c>
      <c r="J140" s="295">
        <f t="shared" si="17"/>
        <v>-5</v>
      </c>
      <c r="K140" s="295">
        <f t="shared" si="13"/>
        <v>-50</v>
      </c>
      <c r="L140" s="295"/>
      <c r="M140" s="297">
        <f t="shared" si="14"/>
        <v>0</v>
      </c>
      <c r="N140" s="276"/>
      <c r="O140" s="276"/>
      <c r="P140" s="276"/>
      <c r="Q140" s="276"/>
      <c r="R140" s="311"/>
      <c r="S140" s="312"/>
    </row>
    <row r="141" spans="1:34" s="282" customFormat="1">
      <c r="A141" s="270">
        <f t="shared" si="15"/>
        <v>0</v>
      </c>
      <c r="B141" s="268" t="str">
        <f t="shared" si="12"/>
        <v/>
      </c>
      <c r="C141" s="269"/>
      <c r="D141" s="269"/>
      <c r="E141" s="269"/>
      <c r="F141" s="269"/>
      <c r="G141" s="260"/>
      <c r="H141" s="301">
        <v>136</v>
      </c>
      <c r="I141" s="302" t="str">
        <f t="shared" si="16"/>
        <v/>
      </c>
      <c r="J141" s="301">
        <f t="shared" si="17"/>
        <v>-5</v>
      </c>
      <c r="K141" s="301">
        <f t="shared" si="13"/>
        <v>-50</v>
      </c>
      <c r="L141" s="301"/>
      <c r="M141" s="303">
        <f t="shared" si="14"/>
        <v>0</v>
      </c>
      <c r="N141" s="276"/>
      <c r="O141" s="276"/>
      <c r="P141" s="276"/>
      <c r="Q141" s="276"/>
      <c r="R141" s="276"/>
    </row>
    <row r="142" spans="1:34" s="282" customFormat="1">
      <c r="A142" s="271">
        <f t="shared" si="15"/>
        <v>0</v>
      </c>
      <c r="B142" s="265" t="str">
        <f t="shared" si="12"/>
        <v/>
      </c>
      <c r="C142" s="266"/>
      <c r="D142" s="266"/>
      <c r="E142" s="266"/>
      <c r="F142" s="266"/>
      <c r="G142" s="260"/>
      <c r="H142" s="295">
        <v>137</v>
      </c>
      <c r="I142" s="296" t="str">
        <f t="shared" si="16"/>
        <v/>
      </c>
      <c r="J142" s="295">
        <f t="shared" si="17"/>
        <v>-5</v>
      </c>
      <c r="K142" s="295">
        <f t="shared" si="13"/>
        <v>-50</v>
      </c>
      <c r="L142" s="295"/>
      <c r="M142" s="297">
        <f t="shared" si="14"/>
        <v>0</v>
      </c>
      <c r="N142" s="276"/>
      <c r="O142" s="276"/>
      <c r="P142" s="276"/>
      <c r="Q142" s="276"/>
      <c r="R142" s="276"/>
    </row>
    <row r="143" spans="1:34" s="282" customFormat="1">
      <c r="A143" s="270">
        <f t="shared" si="15"/>
        <v>0</v>
      </c>
      <c r="B143" s="268" t="str">
        <f t="shared" si="12"/>
        <v/>
      </c>
      <c r="C143" s="269"/>
      <c r="D143" s="269"/>
      <c r="E143" s="269"/>
      <c r="F143" s="269"/>
      <c r="G143" s="260"/>
      <c r="H143" s="301">
        <v>138</v>
      </c>
      <c r="I143" s="302" t="str">
        <f t="shared" si="16"/>
        <v/>
      </c>
      <c r="J143" s="301">
        <f t="shared" si="17"/>
        <v>-5</v>
      </c>
      <c r="K143" s="301">
        <f t="shared" si="13"/>
        <v>-50</v>
      </c>
      <c r="L143" s="301"/>
      <c r="M143" s="303">
        <f t="shared" si="14"/>
        <v>0</v>
      </c>
      <c r="N143" s="276"/>
      <c r="O143" s="276"/>
      <c r="P143" s="276"/>
      <c r="Q143" s="276"/>
      <c r="R143" s="276"/>
    </row>
    <row r="144" spans="1:34" s="282" customFormat="1">
      <c r="A144" s="271">
        <f t="shared" si="15"/>
        <v>0</v>
      </c>
      <c r="B144" s="265" t="str">
        <f t="shared" si="12"/>
        <v/>
      </c>
      <c r="C144" s="266"/>
      <c r="D144" s="266"/>
      <c r="E144" s="266"/>
      <c r="F144" s="266"/>
      <c r="G144" s="260"/>
      <c r="H144" s="295">
        <v>139</v>
      </c>
      <c r="I144" s="296" t="str">
        <f t="shared" si="16"/>
        <v/>
      </c>
      <c r="J144" s="295">
        <f t="shared" si="17"/>
        <v>-5</v>
      </c>
      <c r="K144" s="295">
        <f t="shared" si="13"/>
        <v>-50</v>
      </c>
      <c r="L144" s="295"/>
      <c r="M144" s="297">
        <f t="shared" si="14"/>
        <v>0</v>
      </c>
      <c r="N144" s="276"/>
      <c r="O144" s="276"/>
      <c r="P144" s="276"/>
      <c r="Q144" s="276"/>
      <c r="R144" s="311"/>
      <c r="S144" s="312"/>
    </row>
    <row r="145" spans="1:19" s="282" customFormat="1">
      <c r="A145" s="270">
        <f t="shared" si="15"/>
        <v>0</v>
      </c>
      <c r="B145" s="268" t="str">
        <f t="shared" si="12"/>
        <v/>
      </c>
      <c r="C145" s="269"/>
      <c r="D145" s="269"/>
      <c r="E145" s="269"/>
      <c r="F145" s="269"/>
      <c r="G145" s="260"/>
      <c r="H145" s="301">
        <v>140</v>
      </c>
      <c r="I145" s="302" t="str">
        <f t="shared" si="16"/>
        <v/>
      </c>
      <c r="J145" s="301">
        <f t="shared" si="17"/>
        <v>-5</v>
      </c>
      <c r="K145" s="301">
        <f t="shared" si="13"/>
        <v>-50</v>
      </c>
      <c r="L145" s="301"/>
      <c r="M145" s="303">
        <f t="shared" si="14"/>
        <v>0</v>
      </c>
      <c r="N145" s="276"/>
      <c r="O145" s="276"/>
      <c r="P145" s="276"/>
      <c r="Q145" s="276"/>
      <c r="R145" s="276"/>
    </row>
    <row r="146" spans="1:19" s="282" customFormat="1">
      <c r="A146" s="271">
        <f t="shared" si="15"/>
        <v>0</v>
      </c>
      <c r="B146" s="265" t="str">
        <f t="shared" si="12"/>
        <v/>
      </c>
      <c r="C146" s="266"/>
      <c r="D146" s="266"/>
      <c r="E146" s="266"/>
      <c r="F146" s="266"/>
      <c r="G146" s="260"/>
      <c r="H146" s="295">
        <v>141</v>
      </c>
      <c r="I146" s="296" t="str">
        <f t="shared" si="16"/>
        <v/>
      </c>
      <c r="J146" s="295">
        <f t="shared" si="17"/>
        <v>-5</v>
      </c>
      <c r="K146" s="295">
        <f t="shared" si="13"/>
        <v>-50</v>
      </c>
      <c r="L146" s="295"/>
      <c r="M146" s="297">
        <f t="shared" si="14"/>
        <v>0</v>
      </c>
      <c r="N146" s="276"/>
      <c r="O146" s="276"/>
      <c r="P146" s="276"/>
      <c r="Q146" s="276"/>
      <c r="R146" s="276"/>
    </row>
    <row r="147" spans="1:19" s="282" customFormat="1">
      <c r="A147" s="270">
        <f t="shared" si="15"/>
        <v>0</v>
      </c>
      <c r="B147" s="268" t="str">
        <f t="shared" si="12"/>
        <v/>
      </c>
      <c r="C147" s="269"/>
      <c r="D147" s="269"/>
      <c r="E147" s="269"/>
      <c r="F147" s="269"/>
      <c r="G147" s="260"/>
      <c r="H147" s="301">
        <v>142</v>
      </c>
      <c r="I147" s="302" t="str">
        <f t="shared" si="16"/>
        <v/>
      </c>
      <c r="J147" s="301">
        <f t="shared" si="17"/>
        <v>-5</v>
      </c>
      <c r="K147" s="301">
        <f t="shared" si="13"/>
        <v>-50</v>
      </c>
      <c r="L147" s="301"/>
      <c r="M147" s="303">
        <f t="shared" si="14"/>
        <v>0</v>
      </c>
      <c r="N147" s="276"/>
      <c r="O147" s="276"/>
      <c r="P147" s="276"/>
      <c r="Q147" s="276"/>
      <c r="R147" s="276"/>
    </row>
    <row r="148" spans="1:19" s="282" customFormat="1">
      <c r="A148" s="271">
        <f t="shared" si="15"/>
        <v>0</v>
      </c>
      <c r="B148" s="265" t="str">
        <f t="shared" si="12"/>
        <v/>
      </c>
      <c r="C148" s="266"/>
      <c r="D148" s="266"/>
      <c r="E148" s="266"/>
      <c r="F148" s="266"/>
      <c r="G148" s="260"/>
      <c r="H148" s="295">
        <v>143</v>
      </c>
      <c r="I148" s="296" t="str">
        <f t="shared" si="16"/>
        <v/>
      </c>
      <c r="J148" s="295">
        <f t="shared" si="17"/>
        <v>-5</v>
      </c>
      <c r="K148" s="295">
        <f t="shared" si="13"/>
        <v>-50</v>
      </c>
      <c r="L148" s="295"/>
      <c r="M148" s="297">
        <f t="shared" si="14"/>
        <v>0</v>
      </c>
      <c r="N148" s="276"/>
      <c r="O148" s="276"/>
      <c r="P148" s="276"/>
      <c r="Q148" s="276"/>
      <c r="R148" s="311"/>
      <c r="S148" s="312"/>
    </row>
    <row r="149" spans="1:19" s="282" customFormat="1">
      <c r="A149" s="270">
        <f t="shared" si="15"/>
        <v>0</v>
      </c>
      <c r="B149" s="268" t="str">
        <f t="shared" si="12"/>
        <v/>
      </c>
      <c r="C149" s="269"/>
      <c r="D149" s="269"/>
      <c r="E149" s="269"/>
      <c r="F149" s="269"/>
      <c r="G149" s="276"/>
      <c r="H149" s="301">
        <v>144</v>
      </c>
      <c r="I149" s="302" t="str">
        <f t="shared" si="16"/>
        <v/>
      </c>
      <c r="J149" s="301">
        <f t="shared" si="17"/>
        <v>-5</v>
      </c>
      <c r="K149" s="301">
        <f t="shared" si="13"/>
        <v>-50</v>
      </c>
      <c r="L149" s="301"/>
      <c r="M149" s="303">
        <f t="shared" si="14"/>
        <v>0</v>
      </c>
      <c r="N149" s="276"/>
      <c r="O149" s="276"/>
      <c r="P149" s="276"/>
      <c r="Q149" s="276"/>
      <c r="R149" s="276"/>
    </row>
    <row r="150" spans="1:19" s="282" customFormat="1">
      <c r="A150" s="271">
        <f t="shared" si="15"/>
        <v>0</v>
      </c>
      <c r="B150" s="265" t="str">
        <f t="shared" si="12"/>
        <v/>
      </c>
      <c r="C150" s="266"/>
      <c r="D150" s="266"/>
      <c r="E150" s="266"/>
      <c r="F150" s="266"/>
      <c r="G150" s="276"/>
      <c r="H150" s="295">
        <v>145</v>
      </c>
      <c r="I150" s="296" t="str">
        <f t="shared" si="16"/>
        <v/>
      </c>
      <c r="J150" s="295">
        <f t="shared" si="17"/>
        <v>-5</v>
      </c>
      <c r="K150" s="295">
        <f t="shared" si="13"/>
        <v>-50</v>
      </c>
      <c r="L150" s="295"/>
      <c r="M150" s="297">
        <f t="shared" si="14"/>
        <v>0</v>
      </c>
      <c r="N150" s="276"/>
      <c r="O150" s="276"/>
      <c r="P150" s="276"/>
      <c r="Q150" s="276"/>
      <c r="R150" s="276"/>
    </row>
    <row r="151" spans="1:19" s="282" customFormat="1">
      <c r="A151" s="270">
        <f t="shared" si="15"/>
        <v>0</v>
      </c>
      <c r="B151" s="268" t="str">
        <f t="shared" si="12"/>
        <v/>
      </c>
      <c r="C151" s="269"/>
      <c r="D151" s="269"/>
      <c r="E151" s="269"/>
      <c r="F151" s="269"/>
      <c r="G151" s="276"/>
      <c r="H151" s="301">
        <v>146</v>
      </c>
      <c r="I151" s="302" t="str">
        <f t="shared" si="16"/>
        <v/>
      </c>
      <c r="J151" s="301">
        <f t="shared" si="17"/>
        <v>-5</v>
      </c>
      <c r="K151" s="301">
        <f t="shared" si="13"/>
        <v>-50</v>
      </c>
      <c r="L151" s="301"/>
      <c r="M151" s="303">
        <f t="shared" si="14"/>
        <v>0</v>
      </c>
      <c r="N151" s="276"/>
      <c r="O151" s="276"/>
      <c r="P151" s="276"/>
      <c r="Q151" s="276"/>
      <c r="R151" s="276"/>
    </row>
    <row r="152" spans="1:19" s="282" customFormat="1">
      <c r="A152" s="271">
        <f t="shared" si="15"/>
        <v>0</v>
      </c>
      <c r="B152" s="265" t="str">
        <f t="shared" si="12"/>
        <v/>
      </c>
      <c r="C152" s="266"/>
      <c r="D152" s="266"/>
      <c r="E152" s="266"/>
      <c r="F152" s="266"/>
      <c r="G152" s="276"/>
      <c r="H152" s="295">
        <v>147</v>
      </c>
      <c r="I152" s="296" t="str">
        <f t="shared" si="16"/>
        <v/>
      </c>
      <c r="J152" s="295">
        <f t="shared" si="17"/>
        <v>-5</v>
      </c>
      <c r="K152" s="295">
        <f t="shared" si="13"/>
        <v>-50</v>
      </c>
      <c r="L152" s="295"/>
      <c r="M152" s="297">
        <f t="shared" si="14"/>
        <v>0</v>
      </c>
      <c r="N152" s="276"/>
      <c r="O152" s="276"/>
      <c r="P152" s="276"/>
      <c r="Q152" s="276"/>
      <c r="R152" s="311"/>
      <c r="S152" s="312"/>
    </row>
    <row r="153" spans="1:19" s="282" customFormat="1">
      <c r="A153" s="270">
        <f t="shared" si="15"/>
        <v>0</v>
      </c>
      <c r="B153" s="268" t="str">
        <f t="shared" si="12"/>
        <v/>
      </c>
      <c r="C153" s="269"/>
      <c r="D153" s="269"/>
      <c r="E153" s="269"/>
      <c r="F153" s="269"/>
      <c r="G153" s="276"/>
      <c r="H153" s="301">
        <v>148</v>
      </c>
      <c r="I153" s="302" t="str">
        <f t="shared" si="16"/>
        <v/>
      </c>
      <c r="J153" s="301">
        <f t="shared" si="17"/>
        <v>-5</v>
      </c>
      <c r="K153" s="301">
        <f t="shared" si="13"/>
        <v>-50</v>
      </c>
      <c r="L153" s="301"/>
      <c r="M153" s="303">
        <f t="shared" si="14"/>
        <v>0</v>
      </c>
      <c r="N153" s="276"/>
      <c r="O153" s="276"/>
      <c r="P153" s="276"/>
      <c r="Q153" s="276"/>
      <c r="R153" s="276"/>
    </row>
    <row r="154" spans="1:19" s="282" customFormat="1">
      <c r="A154" s="271">
        <f t="shared" si="15"/>
        <v>0</v>
      </c>
      <c r="B154" s="265" t="str">
        <f t="shared" si="12"/>
        <v/>
      </c>
      <c r="C154" s="266"/>
      <c r="D154" s="266"/>
      <c r="E154" s="266"/>
      <c r="F154" s="266"/>
      <c r="G154" s="276"/>
      <c r="H154" s="295">
        <v>149</v>
      </c>
      <c r="I154" s="296" t="str">
        <f t="shared" si="16"/>
        <v/>
      </c>
      <c r="J154" s="295">
        <f t="shared" si="17"/>
        <v>-5</v>
      </c>
      <c r="K154" s="295">
        <f t="shared" si="13"/>
        <v>-50</v>
      </c>
      <c r="L154" s="295"/>
      <c r="M154" s="297">
        <f t="shared" si="14"/>
        <v>0</v>
      </c>
      <c r="N154" s="276"/>
      <c r="O154" s="276"/>
      <c r="P154" s="276"/>
      <c r="Q154" s="276"/>
      <c r="R154" s="276"/>
    </row>
    <row r="155" spans="1:19" s="282" customFormat="1">
      <c r="A155" s="270">
        <f t="shared" si="15"/>
        <v>0</v>
      </c>
      <c r="B155" s="268" t="str">
        <f t="shared" si="12"/>
        <v/>
      </c>
      <c r="C155" s="269"/>
      <c r="D155" s="269"/>
      <c r="E155" s="269"/>
      <c r="F155" s="269"/>
      <c r="G155" s="276"/>
      <c r="H155" s="301">
        <v>150</v>
      </c>
      <c r="I155" s="302" t="str">
        <f t="shared" si="16"/>
        <v/>
      </c>
      <c r="J155" s="301">
        <f t="shared" si="17"/>
        <v>-5</v>
      </c>
      <c r="K155" s="301">
        <f t="shared" si="13"/>
        <v>-50</v>
      </c>
      <c r="L155" s="301"/>
      <c r="M155" s="303">
        <f t="shared" si="14"/>
        <v>0</v>
      </c>
      <c r="N155" s="276"/>
      <c r="O155" s="276"/>
      <c r="P155" s="276"/>
      <c r="Q155" s="276"/>
      <c r="R155" s="276"/>
    </row>
    <row r="156" spans="1:19" s="282" customFormat="1">
      <c r="A156" s="271">
        <f t="shared" si="15"/>
        <v>0</v>
      </c>
      <c r="B156" s="265" t="str">
        <f t="shared" si="12"/>
        <v/>
      </c>
      <c r="C156" s="266"/>
      <c r="D156" s="266"/>
      <c r="E156" s="266"/>
      <c r="F156" s="266"/>
      <c r="G156" s="276"/>
      <c r="H156" s="295">
        <v>151</v>
      </c>
      <c r="I156" s="296" t="str">
        <f t="shared" si="16"/>
        <v/>
      </c>
      <c r="J156" s="295">
        <f t="shared" si="17"/>
        <v>-5</v>
      </c>
      <c r="K156" s="295">
        <f t="shared" si="13"/>
        <v>-50</v>
      </c>
      <c r="L156" s="295"/>
      <c r="M156" s="297">
        <f t="shared" si="14"/>
        <v>0</v>
      </c>
      <c r="N156" s="276"/>
      <c r="O156" s="276"/>
      <c r="P156" s="276"/>
      <c r="Q156" s="276"/>
      <c r="R156" s="311"/>
      <c r="S156" s="312"/>
    </row>
    <row r="157" spans="1:19" s="282" customFormat="1">
      <c r="A157" s="270">
        <f t="shared" si="15"/>
        <v>0</v>
      </c>
      <c r="B157" s="268" t="str">
        <f t="shared" si="12"/>
        <v/>
      </c>
      <c r="C157" s="269"/>
      <c r="D157" s="269"/>
      <c r="E157" s="269"/>
      <c r="F157" s="269"/>
      <c r="G157" s="276"/>
      <c r="H157" s="301">
        <v>152</v>
      </c>
      <c r="I157" s="302" t="str">
        <f t="shared" si="16"/>
        <v/>
      </c>
      <c r="J157" s="301">
        <f t="shared" si="17"/>
        <v>-5</v>
      </c>
      <c r="K157" s="301">
        <f t="shared" si="13"/>
        <v>-50</v>
      </c>
      <c r="L157" s="301"/>
      <c r="M157" s="303">
        <f t="shared" si="14"/>
        <v>0</v>
      </c>
      <c r="N157" s="276"/>
      <c r="O157" s="276"/>
      <c r="P157" s="276"/>
      <c r="Q157" s="276"/>
      <c r="R157" s="276"/>
    </row>
    <row r="158" spans="1:19" s="282" customFormat="1">
      <c r="A158" s="271">
        <f t="shared" si="15"/>
        <v>0</v>
      </c>
      <c r="B158" s="265" t="str">
        <f t="shared" si="12"/>
        <v/>
      </c>
      <c r="C158" s="266"/>
      <c r="D158" s="266"/>
      <c r="E158" s="266"/>
      <c r="F158" s="266"/>
      <c r="G158" s="276"/>
      <c r="H158" s="295">
        <v>153</v>
      </c>
      <c r="I158" s="296" t="str">
        <f t="shared" si="16"/>
        <v/>
      </c>
      <c r="J158" s="295">
        <f t="shared" si="17"/>
        <v>-5</v>
      </c>
      <c r="K158" s="295">
        <f t="shared" si="13"/>
        <v>-50</v>
      </c>
      <c r="L158" s="295"/>
      <c r="M158" s="297">
        <f t="shared" si="14"/>
        <v>0</v>
      </c>
      <c r="N158" s="276"/>
      <c r="O158" s="276"/>
      <c r="P158" s="276"/>
      <c r="Q158" s="276"/>
      <c r="R158" s="276"/>
    </row>
    <row r="159" spans="1:19" s="282" customFormat="1">
      <c r="A159" s="270">
        <f t="shared" si="15"/>
        <v>0</v>
      </c>
      <c r="B159" s="268" t="str">
        <f t="shared" si="12"/>
        <v/>
      </c>
      <c r="C159" s="269"/>
      <c r="D159" s="269"/>
      <c r="E159" s="269"/>
      <c r="F159" s="269"/>
      <c r="G159" s="276"/>
      <c r="H159" s="301">
        <v>154</v>
      </c>
      <c r="I159" s="302" t="str">
        <f t="shared" si="16"/>
        <v/>
      </c>
      <c r="J159" s="301">
        <f t="shared" si="17"/>
        <v>-5</v>
      </c>
      <c r="K159" s="301">
        <f t="shared" si="13"/>
        <v>-50</v>
      </c>
      <c r="L159" s="301"/>
      <c r="M159" s="303">
        <f t="shared" si="14"/>
        <v>0</v>
      </c>
      <c r="N159" s="276"/>
      <c r="O159" s="276"/>
      <c r="P159" s="276"/>
      <c r="Q159" s="276"/>
      <c r="R159" s="276"/>
    </row>
    <row r="160" spans="1:19" s="282" customFormat="1">
      <c r="A160" s="271">
        <f t="shared" si="15"/>
        <v>0</v>
      </c>
      <c r="B160" s="265" t="str">
        <f t="shared" si="12"/>
        <v/>
      </c>
      <c r="C160" s="266"/>
      <c r="D160" s="266"/>
      <c r="E160" s="266"/>
      <c r="F160" s="266"/>
      <c r="G160" s="276"/>
      <c r="H160" s="295">
        <v>155</v>
      </c>
      <c r="I160" s="296" t="str">
        <f t="shared" si="16"/>
        <v/>
      </c>
      <c r="J160" s="295">
        <f t="shared" si="17"/>
        <v>-5</v>
      </c>
      <c r="K160" s="295">
        <f t="shared" si="13"/>
        <v>-50</v>
      </c>
      <c r="L160" s="295"/>
      <c r="M160" s="297">
        <f t="shared" si="14"/>
        <v>0</v>
      </c>
      <c r="N160" s="276"/>
      <c r="O160" s="276"/>
      <c r="P160" s="276"/>
      <c r="Q160" s="276"/>
      <c r="R160" s="276"/>
    </row>
    <row r="161" spans="1:38" s="282" customFormat="1">
      <c r="A161" s="270">
        <f t="shared" si="15"/>
        <v>0</v>
      </c>
      <c r="B161" s="268" t="str">
        <f t="shared" si="12"/>
        <v/>
      </c>
      <c r="C161" s="269"/>
      <c r="D161" s="269"/>
      <c r="E161" s="269"/>
      <c r="F161" s="269"/>
      <c r="G161" s="276"/>
      <c r="H161" s="301">
        <v>156</v>
      </c>
      <c r="I161" s="302" t="str">
        <f t="shared" si="16"/>
        <v/>
      </c>
      <c r="J161" s="301">
        <f t="shared" si="17"/>
        <v>-5</v>
      </c>
      <c r="K161" s="301">
        <f t="shared" si="13"/>
        <v>-50</v>
      </c>
      <c r="L161" s="301"/>
      <c r="M161" s="303">
        <f t="shared" si="14"/>
        <v>0</v>
      </c>
      <c r="N161" s="276"/>
      <c r="O161" s="276"/>
      <c r="P161" s="276"/>
      <c r="Q161" s="276"/>
      <c r="R161" s="276"/>
      <c r="S161" s="313"/>
    </row>
    <row r="162" spans="1:38" s="282" customFormat="1">
      <c r="A162" s="271">
        <f t="shared" si="15"/>
        <v>0</v>
      </c>
      <c r="B162" s="265" t="str">
        <f t="shared" si="12"/>
        <v/>
      </c>
      <c r="C162" s="266"/>
      <c r="D162" s="266"/>
      <c r="E162" s="266"/>
      <c r="F162" s="266"/>
      <c r="G162" s="276"/>
      <c r="H162" s="295">
        <v>157</v>
      </c>
      <c r="I162" s="296" t="str">
        <f t="shared" si="16"/>
        <v/>
      </c>
      <c r="J162" s="295">
        <f t="shared" si="17"/>
        <v>-5</v>
      </c>
      <c r="K162" s="295">
        <f t="shared" si="13"/>
        <v>-50</v>
      </c>
      <c r="L162" s="295"/>
      <c r="M162" s="297">
        <f t="shared" si="14"/>
        <v>0</v>
      </c>
      <c r="N162" s="276"/>
      <c r="O162" s="276"/>
      <c r="P162" s="276"/>
      <c r="Q162" s="276"/>
      <c r="R162" s="276"/>
    </row>
    <row r="163" spans="1:38" s="282" customFormat="1">
      <c r="A163" s="270">
        <f t="shared" si="15"/>
        <v>0</v>
      </c>
      <c r="B163" s="268" t="str">
        <f t="shared" si="12"/>
        <v/>
      </c>
      <c r="C163" s="269"/>
      <c r="D163" s="269"/>
      <c r="E163" s="269"/>
      <c r="F163" s="269"/>
      <c r="G163" s="276"/>
      <c r="H163" s="301">
        <v>158</v>
      </c>
      <c r="I163" s="302" t="str">
        <f t="shared" si="16"/>
        <v/>
      </c>
      <c r="J163" s="301">
        <f t="shared" si="17"/>
        <v>-5</v>
      </c>
      <c r="K163" s="301">
        <f t="shared" si="13"/>
        <v>-50</v>
      </c>
      <c r="L163" s="301"/>
      <c r="M163" s="303">
        <f t="shared" si="14"/>
        <v>0</v>
      </c>
      <c r="N163" s="276"/>
      <c r="O163" s="276"/>
      <c r="P163" s="276"/>
      <c r="Q163" s="276"/>
      <c r="R163" s="276"/>
    </row>
    <row r="164" spans="1:38" s="282" customFormat="1">
      <c r="A164" s="271">
        <f t="shared" si="15"/>
        <v>0</v>
      </c>
      <c r="B164" s="265" t="str">
        <f t="shared" si="12"/>
        <v/>
      </c>
      <c r="C164" s="266"/>
      <c r="D164" s="266"/>
      <c r="E164" s="266"/>
      <c r="F164" s="266"/>
      <c r="G164" s="276"/>
      <c r="H164" s="295">
        <v>159</v>
      </c>
      <c r="I164" s="296" t="str">
        <f t="shared" si="16"/>
        <v/>
      </c>
      <c r="J164" s="295">
        <f t="shared" si="17"/>
        <v>-5</v>
      </c>
      <c r="K164" s="295">
        <f t="shared" si="13"/>
        <v>-50</v>
      </c>
      <c r="L164" s="295"/>
      <c r="M164" s="297">
        <f t="shared" si="14"/>
        <v>0</v>
      </c>
      <c r="N164" s="276"/>
      <c r="O164" s="276"/>
      <c r="P164" s="276"/>
      <c r="Q164" s="276"/>
      <c r="R164" s="276"/>
    </row>
    <row r="165" spans="1:38" s="282" customFormat="1">
      <c r="A165" s="270">
        <f t="shared" si="15"/>
        <v>0</v>
      </c>
      <c r="B165" s="268" t="str">
        <f t="shared" si="12"/>
        <v/>
      </c>
      <c r="C165" s="269"/>
      <c r="D165" s="269"/>
      <c r="E165" s="269"/>
      <c r="F165" s="269"/>
      <c r="G165" s="276"/>
      <c r="H165" s="301">
        <v>160</v>
      </c>
      <c r="I165" s="302" t="str">
        <f t="shared" si="16"/>
        <v/>
      </c>
      <c r="J165" s="301">
        <f t="shared" si="17"/>
        <v>-5</v>
      </c>
      <c r="K165" s="301">
        <f t="shared" si="13"/>
        <v>-50</v>
      </c>
      <c r="L165" s="301"/>
      <c r="M165" s="303">
        <f t="shared" si="14"/>
        <v>0</v>
      </c>
      <c r="N165" s="276"/>
      <c r="O165" s="276"/>
      <c r="P165" s="276"/>
      <c r="Q165" s="276"/>
      <c r="R165" s="276"/>
    </row>
    <row r="166" spans="1:38" s="282" customFormat="1">
      <c r="A166" s="271">
        <f t="shared" si="15"/>
        <v>0</v>
      </c>
      <c r="B166" s="265" t="str">
        <f t="shared" si="12"/>
        <v/>
      </c>
      <c r="C166" s="266"/>
      <c r="D166" s="266"/>
      <c r="E166" s="266"/>
      <c r="F166" s="266"/>
      <c r="G166" s="276"/>
      <c r="H166" s="295">
        <v>161</v>
      </c>
      <c r="I166" s="296" t="str">
        <f t="shared" si="16"/>
        <v/>
      </c>
      <c r="J166" s="295">
        <f t="shared" si="17"/>
        <v>-5</v>
      </c>
      <c r="K166" s="295">
        <f t="shared" si="13"/>
        <v>-50</v>
      </c>
      <c r="L166" s="295"/>
      <c r="M166" s="297">
        <f t="shared" si="14"/>
        <v>0</v>
      </c>
      <c r="N166" s="276"/>
      <c r="O166" s="276"/>
      <c r="P166" s="276"/>
      <c r="Q166" s="276"/>
      <c r="R166" s="276"/>
    </row>
    <row r="167" spans="1:38" s="282" customFormat="1">
      <c r="A167" s="270">
        <f t="shared" si="15"/>
        <v>0</v>
      </c>
      <c r="B167" s="268" t="str">
        <f t="shared" si="12"/>
        <v/>
      </c>
      <c r="C167" s="269"/>
      <c r="D167" s="269"/>
      <c r="E167" s="269"/>
      <c r="F167" s="269"/>
      <c r="G167" s="276"/>
      <c r="H167" s="301">
        <v>162</v>
      </c>
      <c r="I167" s="302" t="str">
        <f t="shared" si="16"/>
        <v/>
      </c>
      <c r="J167" s="301">
        <f t="shared" si="17"/>
        <v>-5</v>
      </c>
      <c r="K167" s="301">
        <f t="shared" si="13"/>
        <v>-50</v>
      </c>
      <c r="L167" s="301"/>
      <c r="M167" s="303">
        <f t="shared" si="14"/>
        <v>0</v>
      </c>
      <c r="N167" s="276"/>
      <c r="O167" s="276"/>
      <c r="P167" s="276"/>
      <c r="Q167" s="276"/>
      <c r="R167" s="276"/>
    </row>
    <row r="168" spans="1:38" s="282" customFormat="1">
      <c r="A168" s="271">
        <f t="shared" si="15"/>
        <v>0</v>
      </c>
      <c r="B168" s="265" t="str">
        <f t="shared" si="12"/>
        <v/>
      </c>
      <c r="C168" s="266"/>
      <c r="D168" s="266"/>
      <c r="E168" s="266"/>
      <c r="F168" s="266"/>
      <c r="G168" s="276"/>
      <c r="H168" s="295">
        <v>163</v>
      </c>
      <c r="I168" s="296" t="str">
        <f t="shared" si="16"/>
        <v/>
      </c>
      <c r="J168" s="295">
        <f t="shared" si="17"/>
        <v>-5</v>
      </c>
      <c r="K168" s="295">
        <f t="shared" si="13"/>
        <v>-50</v>
      </c>
      <c r="L168" s="295"/>
      <c r="M168" s="297">
        <f t="shared" si="14"/>
        <v>0</v>
      </c>
      <c r="N168" s="276"/>
      <c r="O168" s="276"/>
      <c r="P168" s="276"/>
      <c r="Q168" s="276"/>
      <c r="R168" s="276"/>
    </row>
    <row r="169" spans="1:38" s="276" customFormat="1">
      <c r="A169" s="270">
        <f t="shared" si="15"/>
        <v>0</v>
      </c>
      <c r="B169" s="268" t="str">
        <f t="shared" si="12"/>
        <v/>
      </c>
      <c r="C169" s="269"/>
      <c r="D169" s="269"/>
      <c r="E169" s="269"/>
      <c r="F169" s="269"/>
      <c r="H169" s="301">
        <v>164</v>
      </c>
      <c r="I169" s="302" t="str">
        <f t="shared" si="16"/>
        <v/>
      </c>
      <c r="J169" s="301">
        <f t="shared" si="17"/>
        <v>-5</v>
      </c>
      <c r="K169" s="301">
        <f t="shared" si="13"/>
        <v>-50</v>
      </c>
      <c r="L169" s="301"/>
      <c r="M169" s="303">
        <f t="shared" si="14"/>
        <v>0</v>
      </c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</row>
    <row r="170" spans="1:38" s="276" customFormat="1">
      <c r="A170" s="271">
        <f t="shared" si="15"/>
        <v>0</v>
      </c>
      <c r="B170" s="265" t="str">
        <f t="shared" si="12"/>
        <v/>
      </c>
      <c r="C170" s="266"/>
      <c r="D170" s="266"/>
      <c r="E170" s="266"/>
      <c r="F170" s="266"/>
      <c r="H170" s="295">
        <v>165</v>
      </c>
      <c r="I170" s="296" t="str">
        <f t="shared" si="16"/>
        <v/>
      </c>
      <c r="J170" s="295">
        <f t="shared" si="17"/>
        <v>-5</v>
      </c>
      <c r="K170" s="295">
        <f t="shared" si="13"/>
        <v>-50</v>
      </c>
      <c r="L170" s="295"/>
      <c r="M170" s="297">
        <f t="shared" si="14"/>
        <v>0</v>
      </c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</row>
    <row r="171" spans="1:38" s="276" customFormat="1">
      <c r="A171" s="270">
        <f t="shared" si="15"/>
        <v>0</v>
      </c>
      <c r="B171" s="268" t="str">
        <f t="shared" si="12"/>
        <v/>
      </c>
      <c r="C171" s="269"/>
      <c r="D171" s="269"/>
      <c r="E171" s="269"/>
      <c r="F171" s="269"/>
      <c r="H171" s="301">
        <v>166</v>
      </c>
      <c r="I171" s="302" t="str">
        <f t="shared" si="16"/>
        <v/>
      </c>
      <c r="J171" s="301">
        <f t="shared" si="17"/>
        <v>-5</v>
      </c>
      <c r="K171" s="301">
        <f t="shared" si="13"/>
        <v>-50</v>
      </c>
      <c r="L171" s="301"/>
      <c r="M171" s="303">
        <f t="shared" si="14"/>
        <v>0</v>
      </c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</row>
    <row r="172" spans="1:38" s="276" customFormat="1">
      <c r="A172" s="271">
        <f t="shared" si="15"/>
        <v>0</v>
      </c>
      <c r="B172" s="265" t="str">
        <f t="shared" si="12"/>
        <v/>
      </c>
      <c r="C172" s="266"/>
      <c r="D172" s="266"/>
      <c r="E172" s="266"/>
      <c r="F172" s="266"/>
      <c r="H172" s="295">
        <v>167</v>
      </c>
      <c r="I172" s="296" t="str">
        <f t="shared" si="16"/>
        <v/>
      </c>
      <c r="J172" s="295">
        <f t="shared" si="17"/>
        <v>-5</v>
      </c>
      <c r="K172" s="295">
        <f t="shared" si="13"/>
        <v>-50</v>
      </c>
      <c r="L172" s="295"/>
      <c r="M172" s="297">
        <f t="shared" si="14"/>
        <v>0</v>
      </c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</row>
    <row r="173" spans="1:38" s="276" customFormat="1">
      <c r="A173" s="270">
        <f t="shared" si="15"/>
        <v>0</v>
      </c>
      <c r="B173" s="268" t="str">
        <f t="shared" si="12"/>
        <v/>
      </c>
      <c r="C173" s="269"/>
      <c r="D173" s="269"/>
      <c r="E173" s="269"/>
      <c r="F173" s="269"/>
      <c r="H173" s="301">
        <v>168</v>
      </c>
      <c r="I173" s="302" t="str">
        <f t="shared" si="16"/>
        <v/>
      </c>
      <c r="J173" s="301">
        <f t="shared" si="17"/>
        <v>-5</v>
      </c>
      <c r="K173" s="301">
        <f t="shared" si="13"/>
        <v>-50</v>
      </c>
      <c r="L173" s="301"/>
      <c r="M173" s="303">
        <f t="shared" si="14"/>
        <v>0</v>
      </c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</row>
    <row r="174" spans="1:38" s="276" customFormat="1">
      <c r="A174" s="271">
        <f t="shared" si="15"/>
        <v>0</v>
      </c>
      <c r="B174" s="265" t="str">
        <f t="shared" si="12"/>
        <v/>
      </c>
      <c r="C174" s="266"/>
      <c r="D174" s="266"/>
      <c r="E174" s="266"/>
      <c r="F174" s="266"/>
      <c r="H174" s="295">
        <v>169</v>
      </c>
      <c r="I174" s="296" t="str">
        <f t="shared" si="16"/>
        <v/>
      </c>
      <c r="J174" s="295">
        <f t="shared" si="17"/>
        <v>-5</v>
      </c>
      <c r="K174" s="295">
        <f t="shared" si="13"/>
        <v>-50</v>
      </c>
      <c r="L174" s="295"/>
      <c r="M174" s="297">
        <f t="shared" si="14"/>
        <v>0</v>
      </c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</row>
    <row r="175" spans="1:38" s="276" customFormat="1">
      <c r="A175" s="270">
        <f t="shared" si="15"/>
        <v>0</v>
      </c>
      <c r="B175" s="268" t="str">
        <f t="shared" si="12"/>
        <v/>
      </c>
      <c r="C175" s="269"/>
      <c r="D175" s="269"/>
      <c r="E175" s="269"/>
      <c r="F175" s="269"/>
      <c r="H175" s="301">
        <v>170</v>
      </c>
      <c r="I175" s="302" t="str">
        <f t="shared" si="16"/>
        <v/>
      </c>
      <c r="J175" s="301">
        <f t="shared" si="17"/>
        <v>-5</v>
      </c>
      <c r="K175" s="301">
        <f t="shared" si="13"/>
        <v>-50</v>
      </c>
      <c r="L175" s="301"/>
      <c r="M175" s="303">
        <f t="shared" si="14"/>
        <v>0</v>
      </c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</row>
    <row r="176" spans="1:38" s="276" customFormat="1">
      <c r="A176" s="271">
        <f t="shared" si="15"/>
        <v>0</v>
      </c>
      <c r="B176" s="265" t="str">
        <f t="shared" si="12"/>
        <v/>
      </c>
      <c r="C176" s="266"/>
      <c r="D176" s="266"/>
      <c r="E176" s="266"/>
      <c r="F176" s="266"/>
      <c r="H176" s="295">
        <v>171</v>
      </c>
      <c r="I176" s="296" t="str">
        <f t="shared" si="16"/>
        <v/>
      </c>
      <c r="J176" s="295">
        <f t="shared" si="17"/>
        <v>-5</v>
      </c>
      <c r="K176" s="295">
        <f t="shared" si="13"/>
        <v>-50</v>
      </c>
      <c r="L176" s="295"/>
      <c r="M176" s="297">
        <f t="shared" si="14"/>
        <v>0</v>
      </c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</row>
    <row r="177" spans="1:38" s="276" customFormat="1">
      <c r="A177" s="270">
        <f t="shared" si="15"/>
        <v>0</v>
      </c>
      <c r="B177" s="268" t="str">
        <f t="shared" si="12"/>
        <v/>
      </c>
      <c r="C177" s="269"/>
      <c r="D177" s="269"/>
      <c r="E177" s="269"/>
      <c r="F177" s="269"/>
      <c r="H177" s="301">
        <v>172</v>
      </c>
      <c r="I177" s="302" t="str">
        <f t="shared" si="16"/>
        <v/>
      </c>
      <c r="J177" s="301">
        <f t="shared" si="17"/>
        <v>-5</v>
      </c>
      <c r="K177" s="301">
        <f t="shared" si="13"/>
        <v>-50</v>
      </c>
      <c r="L177" s="301"/>
      <c r="M177" s="303">
        <f t="shared" si="14"/>
        <v>0</v>
      </c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</row>
    <row r="178" spans="1:38" s="276" customFormat="1">
      <c r="A178" s="271">
        <f t="shared" si="15"/>
        <v>0</v>
      </c>
      <c r="B178" s="265" t="str">
        <f t="shared" si="12"/>
        <v/>
      </c>
      <c r="C178" s="266"/>
      <c r="D178" s="266"/>
      <c r="E178" s="266"/>
      <c r="F178" s="266"/>
      <c r="H178" s="295">
        <v>173</v>
      </c>
      <c r="I178" s="296" t="str">
        <f t="shared" si="16"/>
        <v/>
      </c>
      <c r="J178" s="295">
        <f t="shared" si="17"/>
        <v>-5</v>
      </c>
      <c r="K178" s="295">
        <f t="shared" si="13"/>
        <v>-50</v>
      </c>
      <c r="L178" s="295"/>
      <c r="M178" s="297">
        <f t="shared" si="14"/>
        <v>0</v>
      </c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</row>
    <row r="179" spans="1:38" s="276" customFormat="1">
      <c r="A179" s="270">
        <f t="shared" si="15"/>
        <v>0</v>
      </c>
      <c r="B179" s="268" t="str">
        <f t="shared" si="12"/>
        <v/>
      </c>
      <c r="C179" s="269"/>
      <c r="D179" s="269"/>
      <c r="E179" s="269"/>
      <c r="F179" s="269"/>
      <c r="H179" s="301">
        <v>174</v>
      </c>
      <c r="I179" s="302" t="str">
        <f t="shared" si="16"/>
        <v/>
      </c>
      <c r="J179" s="301">
        <f t="shared" si="17"/>
        <v>-5</v>
      </c>
      <c r="K179" s="301">
        <f t="shared" si="13"/>
        <v>-50</v>
      </c>
      <c r="L179" s="301"/>
      <c r="M179" s="303">
        <f t="shared" si="14"/>
        <v>0</v>
      </c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</row>
    <row r="180" spans="1:38" s="276" customFormat="1">
      <c r="A180" s="271">
        <f t="shared" si="15"/>
        <v>0</v>
      </c>
      <c r="B180" s="265" t="str">
        <f t="shared" si="12"/>
        <v/>
      </c>
      <c r="C180" s="266"/>
      <c r="D180" s="266"/>
      <c r="E180" s="266"/>
      <c r="F180" s="266"/>
      <c r="H180" s="295">
        <v>175</v>
      </c>
      <c r="I180" s="296" t="str">
        <f t="shared" si="16"/>
        <v/>
      </c>
      <c r="J180" s="295">
        <f t="shared" si="17"/>
        <v>-5</v>
      </c>
      <c r="K180" s="295">
        <f t="shared" si="13"/>
        <v>-50</v>
      </c>
      <c r="L180" s="295"/>
      <c r="M180" s="297">
        <f t="shared" si="14"/>
        <v>0</v>
      </c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</row>
    <row r="181" spans="1:38" s="276" customFormat="1">
      <c r="A181" s="270">
        <f t="shared" si="15"/>
        <v>0</v>
      </c>
      <c r="B181" s="268" t="str">
        <f t="shared" si="12"/>
        <v/>
      </c>
      <c r="C181" s="269"/>
      <c r="D181" s="269"/>
      <c r="E181" s="269"/>
      <c r="F181" s="269"/>
      <c r="H181" s="301">
        <v>176</v>
      </c>
      <c r="I181" s="302" t="str">
        <f t="shared" si="16"/>
        <v/>
      </c>
      <c r="J181" s="301">
        <f t="shared" si="17"/>
        <v>-5</v>
      </c>
      <c r="K181" s="301">
        <f t="shared" si="13"/>
        <v>-50</v>
      </c>
      <c r="L181" s="301"/>
      <c r="M181" s="303">
        <f t="shared" si="14"/>
        <v>0</v>
      </c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</row>
    <row r="182" spans="1:38" s="276" customFormat="1">
      <c r="A182" s="271">
        <f t="shared" si="15"/>
        <v>0</v>
      </c>
      <c r="B182" s="265" t="str">
        <f t="shared" si="12"/>
        <v/>
      </c>
      <c r="C182" s="266"/>
      <c r="D182" s="266"/>
      <c r="E182" s="266"/>
      <c r="F182" s="266"/>
      <c r="H182" s="295">
        <v>177</v>
      </c>
      <c r="I182" s="296" t="str">
        <f t="shared" si="16"/>
        <v/>
      </c>
      <c r="J182" s="295">
        <f t="shared" si="17"/>
        <v>-5</v>
      </c>
      <c r="K182" s="295">
        <f t="shared" si="13"/>
        <v>-50</v>
      </c>
      <c r="L182" s="295"/>
      <c r="M182" s="297">
        <f t="shared" si="14"/>
        <v>0</v>
      </c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</row>
    <row r="183" spans="1:38" s="276" customFormat="1">
      <c r="A183" s="270">
        <f t="shared" si="15"/>
        <v>0</v>
      </c>
      <c r="B183" s="268" t="str">
        <f t="shared" si="12"/>
        <v/>
      </c>
      <c r="C183" s="269"/>
      <c r="D183" s="269"/>
      <c r="E183" s="269"/>
      <c r="F183" s="269"/>
      <c r="H183" s="301">
        <v>178</v>
      </c>
      <c r="I183" s="302" t="str">
        <f t="shared" si="16"/>
        <v/>
      </c>
      <c r="J183" s="301">
        <f t="shared" si="17"/>
        <v>-5</v>
      </c>
      <c r="K183" s="301">
        <f t="shared" si="13"/>
        <v>-50</v>
      </c>
      <c r="L183" s="301"/>
      <c r="M183" s="303">
        <f t="shared" si="14"/>
        <v>0</v>
      </c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</row>
    <row r="184" spans="1:38" s="276" customFormat="1">
      <c r="A184" s="271">
        <f t="shared" si="15"/>
        <v>0</v>
      </c>
      <c r="B184" s="265" t="str">
        <f t="shared" si="12"/>
        <v/>
      </c>
      <c r="C184" s="266"/>
      <c r="D184" s="266"/>
      <c r="E184" s="266"/>
      <c r="F184" s="266"/>
      <c r="H184" s="295">
        <v>179</v>
      </c>
      <c r="I184" s="296" t="str">
        <f t="shared" si="16"/>
        <v/>
      </c>
      <c r="J184" s="295">
        <f t="shared" si="17"/>
        <v>-5</v>
      </c>
      <c r="K184" s="295">
        <f t="shared" si="13"/>
        <v>-50</v>
      </c>
      <c r="L184" s="295"/>
      <c r="M184" s="297">
        <f t="shared" si="14"/>
        <v>0</v>
      </c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</row>
    <row r="185" spans="1:38" s="276" customFormat="1">
      <c r="A185" s="270">
        <f t="shared" si="15"/>
        <v>0</v>
      </c>
      <c r="B185" s="268" t="str">
        <f t="shared" si="12"/>
        <v/>
      </c>
      <c r="C185" s="269"/>
      <c r="D185" s="269"/>
      <c r="E185" s="269"/>
      <c r="F185" s="269"/>
      <c r="H185" s="301">
        <v>180</v>
      </c>
      <c r="I185" s="302" t="str">
        <f t="shared" si="16"/>
        <v/>
      </c>
      <c r="J185" s="301">
        <f t="shared" si="17"/>
        <v>-5</v>
      </c>
      <c r="K185" s="301">
        <f t="shared" si="13"/>
        <v>-50</v>
      </c>
      <c r="L185" s="301"/>
      <c r="M185" s="303">
        <f t="shared" si="14"/>
        <v>0</v>
      </c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</row>
    <row r="186" spans="1:38" s="282" customFormat="1" ht="14.45" customHeight="1">
      <c r="A186" s="264">
        <f t="shared" si="15"/>
        <v>0</v>
      </c>
      <c r="B186" s="265" t="str">
        <f t="shared" si="12"/>
        <v/>
      </c>
      <c r="C186" s="266"/>
      <c r="D186" s="266"/>
      <c r="E186" s="266"/>
      <c r="F186" s="266"/>
      <c r="G186" s="260"/>
      <c r="H186" s="295">
        <v>181</v>
      </c>
      <c r="I186" s="296" t="str">
        <f t="shared" si="16"/>
        <v/>
      </c>
      <c r="J186" s="295">
        <f t="shared" si="17"/>
        <v>-5</v>
      </c>
      <c r="K186" s="295">
        <f t="shared" si="13"/>
        <v>-50</v>
      </c>
      <c r="L186" s="297"/>
      <c r="M186" s="297">
        <f t="shared" si="14"/>
        <v>0</v>
      </c>
      <c r="N186" s="276"/>
      <c r="O186" s="276"/>
      <c r="P186" s="276"/>
      <c r="Q186" s="276"/>
      <c r="R186" s="276"/>
    </row>
    <row r="187" spans="1:38" s="282" customFormat="1" ht="14.45" customHeight="1">
      <c r="A187" s="267">
        <f t="shared" si="15"/>
        <v>0</v>
      </c>
      <c r="B187" s="268" t="str">
        <f t="shared" si="12"/>
        <v/>
      </c>
      <c r="C187" s="269"/>
      <c r="D187" s="269"/>
      <c r="E187" s="269"/>
      <c r="F187" s="269"/>
      <c r="G187" s="260"/>
      <c r="H187" s="301">
        <v>182</v>
      </c>
      <c r="I187" s="302" t="str">
        <f t="shared" si="16"/>
        <v/>
      </c>
      <c r="J187" s="301">
        <f t="shared" si="17"/>
        <v>-5</v>
      </c>
      <c r="K187" s="301">
        <f t="shared" si="13"/>
        <v>-50</v>
      </c>
      <c r="L187" s="303"/>
      <c r="M187" s="303">
        <f t="shared" si="14"/>
        <v>0</v>
      </c>
      <c r="N187" s="276"/>
      <c r="O187" s="276"/>
      <c r="P187" s="276"/>
      <c r="Q187" s="276"/>
      <c r="R187" s="276"/>
    </row>
    <row r="188" spans="1:38" s="282" customFormat="1" ht="14.45" customHeight="1">
      <c r="A188" s="264">
        <f t="shared" si="15"/>
        <v>0</v>
      </c>
      <c r="B188" s="265" t="str">
        <f t="shared" si="12"/>
        <v/>
      </c>
      <c r="C188" s="266"/>
      <c r="D188" s="266"/>
      <c r="E188" s="266"/>
      <c r="F188" s="266"/>
      <c r="G188" s="260"/>
      <c r="H188" s="295">
        <v>183</v>
      </c>
      <c r="I188" s="296" t="str">
        <f t="shared" si="16"/>
        <v/>
      </c>
      <c r="J188" s="295">
        <f t="shared" si="17"/>
        <v>-5</v>
      </c>
      <c r="K188" s="295">
        <f t="shared" si="13"/>
        <v>-50</v>
      </c>
      <c r="L188" s="297"/>
      <c r="M188" s="297">
        <f t="shared" si="14"/>
        <v>0</v>
      </c>
      <c r="N188" s="276"/>
      <c r="O188" s="276"/>
      <c r="P188" s="276"/>
      <c r="Q188" s="276"/>
      <c r="R188" s="276"/>
    </row>
    <row r="189" spans="1:38" s="282" customFormat="1" ht="14.45" customHeight="1">
      <c r="A189" s="267">
        <f t="shared" si="15"/>
        <v>0</v>
      </c>
      <c r="B189" s="268" t="str">
        <f t="shared" si="12"/>
        <v/>
      </c>
      <c r="C189" s="269"/>
      <c r="D189" s="269"/>
      <c r="E189" s="269"/>
      <c r="F189" s="269"/>
      <c r="G189" s="260"/>
      <c r="H189" s="301">
        <v>184</v>
      </c>
      <c r="I189" s="302" t="str">
        <f t="shared" si="16"/>
        <v/>
      </c>
      <c r="J189" s="301">
        <f t="shared" si="17"/>
        <v>-5</v>
      </c>
      <c r="K189" s="301">
        <f t="shared" si="13"/>
        <v>-50</v>
      </c>
      <c r="L189" s="303"/>
      <c r="M189" s="303">
        <f t="shared" si="14"/>
        <v>0</v>
      </c>
      <c r="N189" s="276"/>
      <c r="O189" s="276"/>
      <c r="P189" s="276"/>
      <c r="Q189" s="276"/>
      <c r="R189" s="276"/>
      <c r="V189" s="304"/>
      <c r="Z189" s="305"/>
      <c r="AA189" s="305"/>
      <c r="AG189" s="306"/>
    </row>
    <row r="190" spans="1:38" s="282" customFormat="1" ht="14.45" customHeight="1">
      <c r="A190" s="264">
        <f t="shared" si="15"/>
        <v>0</v>
      </c>
      <c r="B190" s="265" t="str">
        <f t="shared" si="12"/>
        <v/>
      </c>
      <c r="C190" s="266"/>
      <c r="D190" s="266"/>
      <c r="E190" s="266"/>
      <c r="F190" s="266"/>
      <c r="G190" s="260"/>
      <c r="H190" s="295">
        <v>185</v>
      </c>
      <c r="I190" s="296" t="str">
        <f t="shared" si="16"/>
        <v/>
      </c>
      <c r="J190" s="295">
        <f t="shared" si="17"/>
        <v>-5</v>
      </c>
      <c r="K190" s="295">
        <f t="shared" si="13"/>
        <v>-50</v>
      </c>
      <c r="L190" s="295"/>
      <c r="M190" s="297">
        <f t="shared" si="14"/>
        <v>0</v>
      </c>
      <c r="N190" s="276"/>
      <c r="O190" s="276"/>
      <c r="P190" s="276"/>
      <c r="Q190" s="276"/>
      <c r="R190" s="276"/>
      <c r="V190" s="304"/>
      <c r="Z190" s="305"/>
      <c r="AA190" s="305"/>
      <c r="AG190" s="306"/>
    </row>
    <row r="191" spans="1:38" s="282" customFormat="1" ht="14.45" customHeight="1">
      <c r="A191" s="267">
        <f t="shared" si="15"/>
        <v>0</v>
      </c>
      <c r="B191" s="268" t="str">
        <f t="shared" si="12"/>
        <v/>
      </c>
      <c r="C191" s="269"/>
      <c r="D191" s="269"/>
      <c r="E191" s="269"/>
      <c r="F191" s="269"/>
      <c r="G191" s="260"/>
      <c r="H191" s="301">
        <v>186</v>
      </c>
      <c r="I191" s="302" t="str">
        <f t="shared" si="16"/>
        <v/>
      </c>
      <c r="J191" s="301">
        <f t="shared" si="17"/>
        <v>-5</v>
      </c>
      <c r="K191" s="301">
        <f t="shared" si="13"/>
        <v>-50</v>
      </c>
      <c r="L191" s="301"/>
      <c r="M191" s="303">
        <f t="shared" si="14"/>
        <v>0</v>
      </c>
      <c r="N191" s="276"/>
      <c r="O191" s="276"/>
      <c r="P191" s="276"/>
      <c r="Q191" s="276"/>
      <c r="R191" s="276"/>
      <c r="V191" s="307"/>
      <c r="Z191" s="305"/>
      <c r="AA191" s="305"/>
      <c r="AG191" s="306"/>
    </row>
    <row r="192" spans="1:38" s="282" customFormat="1" ht="14.45" customHeight="1">
      <c r="A192" s="264">
        <f t="shared" si="15"/>
        <v>0</v>
      </c>
      <c r="B192" s="265" t="str">
        <f t="shared" si="12"/>
        <v/>
      </c>
      <c r="C192" s="266"/>
      <c r="D192" s="266"/>
      <c r="E192" s="266"/>
      <c r="F192" s="266"/>
      <c r="G192" s="260"/>
      <c r="H192" s="295">
        <v>187</v>
      </c>
      <c r="I192" s="296" t="str">
        <f t="shared" si="16"/>
        <v/>
      </c>
      <c r="J192" s="295">
        <f t="shared" si="17"/>
        <v>-5</v>
      </c>
      <c r="K192" s="295">
        <f t="shared" si="13"/>
        <v>-50</v>
      </c>
      <c r="L192" s="295"/>
      <c r="M192" s="297">
        <f t="shared" si="14"/>
        <v>0</v>
      </c>
      <c r="N192" s="276"/>
      <c r="O192" s="276"/>
      <c r="P192" s="276"/>
      <c r="Q192" s="276"/>
      <c r="R192" s="276"/>
      <c r="Z192" s="305"/>
      <c r="AA192" s="305"/>
      <c r="AG192" s="306"/>
    </row>
    <row r="193" spans="1:34" s="282" customFormat="1" ht="14.45" customHeight="1">
      <c r="A193" s="270">
        <f t="shared" si="15"/>
        <v>0</v>
      </c>
      <c r="B193" s="268" t="str">
        <f t="shared" si="12"/>
        <v/>
      </c>
      <c r="C193" s="269"/>
      <c r="D193" s="269"/>
      <c r="E193" s="269"/>
      <c r="F193" s="269"/>
      <c r="G193" s="260"/>
      <c r="H193" s="301">
        <v>188</v>
      </c>
      <c r="I193" s="302" t="str">
        <f t="shared" si="16"/>
        <v/>
      </c>
      <c r="J193" s="301">
        <f t="shared" si="17"/>
        <v>-5</v>
      </c>
      <c r="K193" s="301">
        <f t="shared" si="13"/>
        <v>-50</v>
      </c>
      <c r="L193" s="301"/>
      <c r="M193" s="303">
        <f t="shared" si="14"/>
        <v>0</v>
      </c>
      <c r="N193" s="276"/>
      <c r="O193" s="276"/>
      <c r="P193" s="276"/>
      <c r="Q193" s="276"/>
      <c r="R193" s="276"/>
      <c r="X193" s="304"/>
      <c r="AG193" s="306"/>
    </row>
    <row r="194" spans="1:34" s="282" customFormat="1" ht="15.75" customHeight="1">
      <c r="A194" s="271">
        <f t="shared" si="15"/>
        <v>0</v>
      </c>
      <c r="B194" s="265" t="str">
        <f t="shared" si="12"/>
        <v/>
      </c>
      <c r="C194" s="266"/>
      <c r="D194" s="266"/>
      <c r="E194" s="266"/>
      <c r="F194" s="266"/>
      <c r="G194" s="260"/>
      <c r="H194" s="295">
        <v>189</v>
      </c>
      <c r="I194" s="296" t="str">
        <f t="shared" si="16"/>
        <v/>
      </c>
      <c r="J194" s="295">
        <f t="shared" si="17"/>
        <v>-5</v>
      </c>
      <c r="K194" s="295">
        <f t="shared" si="13"/>
        <v>-50</v>
      </c>
      <c r="L194" s="295"/>
      <c r="M194" s="297">
        <f t="shared" si="14"/>
        <v>0</v>
      </c>
      <c r="N194" s="276"/>
      <c r="O194" s="276"/>
      <c r="P194" s="276"/>
      <c r="Q194" s="276"/>
      <c r="R194" s="276"/>
      <c r="X194" s="308"/>
      <c r="Z194" s="305"/>
      <c r="AA194" s="305"/>
      <c r="AG194" s="306"/>
    </row>
    <row r="195" spans="1:34" s="282" customFormat="1">
      <c r="A195" s="270">
        <f t="shared" si="15"/>
        <v>0</v>
      </c>
      <c r="B195" s="268" t="str">
        <f t="shared" si="12"/>
        <v/>
      </c>
      <c r="C195" s="269"/>
      <c r="D195" s="269"/>
      <c r="E195" s="269"/>
      <c r="F195" s="269"/>
      <c r="G195" s="260"/>
      <c r="H195" s="301">
        <v>190</v>
      </c>
      <c r="I195" s="302" t="str">
        <f t="shared" si="16"/>
        <v/>
      </c>
      <c r="J195" s="301">
        <f t="shared" si="17"/>
        <v>-5</v>
      </c>
      <c r="K195" s="301">
        <f t="shared" si="13"/>
        <v>-50</v>
      </c>
      <c r="L195" s="301"/>
      <c r="M195" s="303">
        <f t="shared" si="14"/>
        <v>0</v>
      </c>
      <c r="N195" s="276"/>
      <c r="O195" s="276"/>
      <c r="P195" s="276"/>
      <c r="Q195" s="276"/>
      <c r="R195" s="276"/>
      <c r="X195" s="304"/>
      <c r="Z195" s="305"/>
      <c r="AA195" s="305"/>
    </row>
    <row r="196" spans="1:34" s="282" customFormat="1">
      <c r="A196" s="271">
        <f t="shared" si="15"/>
        <v>0</v>
      </c>
      <c r="B196" s="265" t="str">
        <f t="shared" si="12"/>
        <v/>
      </c>
      <c r="C196" s="266"/>
      <c r="D196" s="266"/>
      <c r="E196" s="266"/>
      <c r="F196" s="266"/>
      <c r="G196" s="260"/>
      <c r="H196" s="295">
        <v>191</v>
      </c>
      <c r="I196" s="296" t="str">
        <f t="shared" si="16"/>
        <v/>
      </c>
      <c r="J196" s="295">
        <f t="shared" si="17"/>
        <v>-5</v>
      </c>
      <c r="K196" s="295">
        <f t="shared" si="13"/>
        <v>-50</v>
      </c>
      <c r="L196" s="295"/>
      <c r="M196" s="297">
        <f t="shared" si="14"/>
        <v>0</v>
      </c>
      <c r="N196" s="276"/>
      <c r="O196" s="276"/>
      <c r="P196" s="276"/>
      <c r="Q196" s="276"/>
      <c r="R196" s="309"/>
      <c r="Z196" s="305"/>
      <c r="AA196" s="305"/>
      <c r="AH196" s="310"/>
    </row>
    <row r="197" spans="1:34" s="282" customFormat="1">
      <c r="A197" s="270">
        <f t="shared" si="15"/>
        <v>0</v>
      </c>
      <c r="B197" s="268" t="str">
        <f t="shared" si="12"/>
        <v/>
      </c>
      <c r="C197" s="269"/>
      <c r="D197" s="269"/>
      <c r="E197" s="269"/>
      <c r="F197" s="269"/>
      <c r="G197" s="260"/>
      <c r="H197" s="301">
        <v>192</v>
      </c>
      <c r="I197" s="302" t="str">
        <f t="shared" si="16"/>
        <v/>
      </c>
      <c r="J197" s="301">
        <f t="shared" si="17"/>
        <v>-5</v>
      </c>
      <c r="K197" s="301">
        <f t="shared" si="13"/>
        <v>-50</v>
      </c>
      <c r="L197" s="301"/>
      <c r="M197" s="303">
        <f t="shared" si="14"/>
        <v>0</v>
      </c>
      <c r="N197" s="276"/>
      <c r="O197" s="276"/>
      <c r="P197" s="276"/>
      <c r="Q197" s="276"/>
      <c r="R197" s="276"/>
    </row>
    <row r="198" spans="1:34" s="282" customFormat="1">
      <c r="A198" s="271">
        <f t="shared" si="15"/>
        <v>0</v>
      </c>
      <c r="B198" s="265" t="str">
        <f t="shared" ref="B198:B261" si="18">IF(H198&gt;$H$2,"",(ROW()-5))</f>
        <v/>
      </c>
      <c r="C198" s="266"/>
      <c r="D198" s="266"/>
      <c r="E198" s="266"/>
      <c r="F198" s="266"/>
      <c r="G198" s="260"/>
      <c r="H198" s="295">
        <v>193</v>
      </c>
      <c r="I198" s="296" t="str">
        <f t="shared" si="16"/>
        <v/>
      </c>
      <c r="J198" s="295">
        <f t="shared" si="17"/>
        <v>-5</v>
      </c>
      <c r="K198" s="295">
        <f t="shared" ref="K198:K261" si="19">J198*$J$2</f>
        <v>-50</v>
      </c>
      <c r="L198" s="295"/>
      <c r="M198" s="297">
        <f t="shared" ref="M198:M261" si="20">IF(I198&lt;&gt;"",K198+I198+L198,0)</f>
        <v>0</v>
      </c>
      <c r="N198" s="276"/>
      <c r="O198" s="276"/>
      <c r="P198" s="276"/>
      <c r="Q198" s="276"/>
      <c r="R198" s="276"/>
    </row>
    <row r="199" spans="1:34" s="282" customFormat="1">
      <c r="A199" s="270">
        <f t="shared" ref="A199:A262" si="21">M199</f>
        <v>0</v>
      </c>
      <c r="B199" s="268" t="str">
        <f t="shared" si="18"/>
        <v/>
      </c>
      <c r="C199" s="269"/>
      <c r="D199" s="269"/>
      <c r="E199" s="269"/>
      <c r="F199" s="269"/>
      <c r="G199" s="260"/>
      <c r="H199" s="301">
        <v>194</v>
      </c>
      <c r="I199" s="302" t="str">
        <f t="shared" ref="I199:I262" si="22">IF(H199&lt;$H$2+1,($I$2-($I$2-1)*(LOG(H199)/LOG($H$2))),"")</f>
        <v/>
      </c>
      <c r="J199" s="301">
        <f t="shared" ref="J199:J262" si="23">INT(LOG($H$2,2))-ROUNDUP(LOG(H199,2),0)+IF(OR($H$2=1,$H$2=2,$H$2=4,$H$2=8,$H$2=16,$H$2=32,$H$2=64,$H$2=128,$H$2=256),0,1)</f>
        <v>-5</v>
      </c>
      <c r="K199" s="301">
        <f t="shared" si="19"/>
        <v>-50</v>
      </c>
      <c r="L199" s="301"/>
      <c r="M199" s="303">
        <f t="shared" si="20"/>
        <v>0</v>
      </c>
      <c r="N199" s="276"/>
      <c r="O199" s="276"/>
      <c r="P199" s="276"/>
      <c r="Q199" s="276"/>
      <c r="R199" s="276"/>
    </row>
    <row r="200" spans="1:34" s="282" customFormat="1">
      <c r="A200" s="271">
        <f t="shared" si="21"/>
        <v>0</v>
      </c>
      <c r="B200" s="265" t="str">
        <f t="shared" si="18"/>
        <v/>
      </c>
      <c r="C200" s="266"/>
      <c r="D200" s="266"/>
      <c r="E200" s="266"/>
      <c r="F200" s="266"/>
      <c r="G200" s="260"/>
      <c r="H200" s="295">
        <v>195</v>
      </c>
      <c r="I200" s="296" t="str">
        <f t="shared" si="22"/>
        <v/>
      </c>
      <c r="J200" s="295">
        <f t="shared" si="23"/>
        <v>-5</v>
      </c>
      <c r="K200" s="295">
        <f t="shared" si="19"/>
        <v>-50</v>
      </c>
      <c r="L200" s="295"/>
      <c r="M200" s="297">
        <f t="shared" si="20"/>
        <v>0</v>
      </c>
      <c r="N200" s="276"/>
      <c r="O200" s="276"/>
      <c r="P200" s="276"/>
      <c r="Q200" s="276"/>
      <c r="R200" s="311"/>
      <c r="S200" s="312"/>
    </row>
    <row r="201" spans="1:34" s="282" customFormat="1">
      <c r="A201" s="270">
        <f t="shared" si="21"/>
        <v>0</v>
      </c>
      <c r="B201" s="268" t="str">
        <f t="shared" si="18"/>
        <v/>
      </c>
      <c r="C201" s="269"/>
      <c r="D201" s="269"/>
      <c r="E201" s="269"/>
      <c r="F201" s="269"/>
      <c r="G201" s="260"/>
      <c r="H201" s="301">
        <v>196</v>
      </c>
      <c r="I201" s="302" t="str">
        <f t="shared" si="22"/>
        <v/>
      </c>
      <c r="J201" s="301">
        <f t="shared" si="23"/>
        <v>-5</v>
      </c>
      <c r="K201" s="301">
        <f t="shared" si="19"/>
        <v>-50</v>
      </c>
      <c r="L201" s="301"/>
      <c r="M201" s="303">
        <f t="shared" si="20"/>
        <v>0</v>
      </c>
      <c r="N201" s="276"/>
      <c r="O201" s="276"/>
      <c r="P201" s="276"/>
      <c r="Q201" s="276"/>
      <c r="R201" s="276"/>
    </row>
    <row r="202" spans="1:34" s="282" customFormat="1">
      <c r="A202" s="271">
        <f t="shared" si="21"/>
        <v>0</v>
      </c>
      <c r="B202" s="265" t="str">
        <f t="shared" si="18"/>
        <v/>
      </c>
      <c r="C202" s="266"/>
      <c r="D202" s="266"/>
      <c r="E202" s="266"/>
      <c r="F202" s="266"/>
      <c r="G202" s="260"/>
      <c r="H202" s="295">
        <v>197</v>
      </c>
      <c r="I202" s="296" t="str">
        <f t="shared" si="22"/>
        <v/>
      </c>
      <c r="J202" s="295">
        <f t="shared" si="23"/>
        <v>-5</v>
      </c>
      <c r="K202" s="295">
        <f t="shared" si="19"/>
        <v>-50</v>
      </c>
      <c r="L202" s="295"/>
      <c r="M202" s="297">
        <f t="shared" si="20"/>
        <v>0</v>
      </c>
      <c r="N202" s="276"/>
      <c r="O202" s="276"/>
      <c r="P202" s="276"/>
      <c r="Q202" s="276"/>
      <c r="R202" s="276"/>
    </row>
    <row r="203" spans="1:34" s="282" customFormat="1">
      <c r="A203" s="270">
        <f t="shared" si="21"/>
        <v>0</v>
      </c>
      <c r="B203" s="268" t="str">
        <f t="shared" si="18"/>
        <v/>
      </c>
      <c r="C203" s="269"/>
      <c r="D203" s="269"/>
      <c r="E203" s="269"/>
      <c r="F203" s="269"/>
      <c r="G203" s="260"/>
      <c r="H203" s="301">
        <v>198</v>
      </c>
      <c r="I203" s="302" t="str">
        <f t="shared" si="22"/>
        <v/>
      </c>
      <c r="J203" s="301">
        <f t="shared" si="23"/>
        <v>-5</v>
      </c>
      <c r="K203" s="301">
        <f t="shared" si="19"/>
        <v>-50</v>
      </c>
      <c r="L203" s="301"/>
      <c r="M203" s="303">
        <f t="shared" si="20"/>
        <v>0</v>
      </c>
      <c r="N203" s="276"/>
      <c r="O203" s="276"/>
      <c r="P203" s="276"/>
      <c r="Q203" s="276"/>
      <c r="R203" s="276"/>
    </row>
    <row r="204" spans="1:34" s="282" customFormat="1">
      <c r="A204" s="271">
        <f t="shared" si="21"/>
        <v>0</v>
      </c>
      <c r="B204" s="265" t="str">
        <f t="shared" si="18"/>
        <v/>
      </c>
      <c r="C204" s="266"/>
      <c r="D204" s="266"/>
      <c r="E204" s="266"/>
      <c r="F204" s="266"/>
      <c r="G204" s="260"/>
      <c r="H204" s="295">
        <v>199</v>
      </c>
      <c r="I204" s="296" t="str">
        <f t="shared" si="22"/>
        <v/>
      </c>
      <c r="J204" s="295">
        <f t="shared" si="23"/>
        <v>-5</v>
      </c>
      <c r="K204" s="295">
        <f t="shared" si="19"/>
        <v>-50</v>
      </c>
      <c r="L204" s="295"/>
      <c r="M204" s="297">
        <f t="shared" si="20"/>
        <v>0</v>
      </c>
      <c r="N204" s="276"/>
      <c r="O204" s="276"/>
      <c r="P204" s="276"/>
      <c r="Q204" s="276"/>
      <c r="R204" s="311"/>
      <c r="S204" s="312"/>
    </row>
    <row r="205" spans="1:34" s="282" customFormat="1">
      <c r="A205" s="270">
        <f t="shared" si="21"/>
        <v>0</v>
      </c>
      <c r="B205" s="268" t="str">
        <f t="shared" si="18"/>
        <v/>
      </c>
      <c r="C205" s="269"/>
      <c r="D205" s="269"/>
      <c r="E205" s="269"/>
      <c r="F205" s="269"/>
      <c r="G205" s="260"/>
      <c r="H205" s="301">
        <v>200</v>
      </c>
      <c r="I205" s="302" t="str">
        <f t="shared" si="22"/>
        <v/>
      </c>
      <c r="J205" s="301">
        <f t="shared" si="23"/>
        <v>-5</v>
      </c>
      <c r="K205" s="301">
        <f t="shared" si="19"/>
        <v>-50</v>
      </c>
      <c r="L205" s="301"/>
      <c r="M205" s="303">
        <f t="shared" si="20"/>
        <v>0</v>
      </c>
      <c r="N205" s="276"/>
      <c r="O205" s="276"/>
      <c r="P205" s="276"/>
      <c r="Q205" s="276"/>
      <c r="R205" s="276"/>
    </row>
    <row r="206" spans="1:34" s="282" customFormat="1">
      <c r="A206" s="271">
        <f t="shared" si="21"/>
        <v>0</v>
      </c>
      <c r="B206" s="265" t="str">
        <f t="shared" si="18"/>
        <v/>
      </c>
      <c r="C206" s="266"/>
      <c r="D206" s="266"/>
      <c r="E206" s="266"/>
      <c r="F206" s="266"/>
      <c r="G206" s="260"/>
      <c r="H206" s="295">
        <v>201</v>
      </c>
      <c r="I206" s="296" t="str">
        <f t="shared" si="22"/>
        <v/>
      </c>
      <c r="J206" s="295">
        <f t="shared" si="23"/>
        <v>-5</v>
      </c>
      <c r="K206" s="295">
        <f t="shared" si="19"/>
        <v>-50</v>
      </c>
      <c r="L206" s="295"/>
      <c r="M206" s="297">
        <f t="shared" si="20"/>
        <v>0</v>
      </c>
      <c r="N206" s="276"/>
      <c r="O206" s="276"/>
      <c r="P206" s="276"/>
      <c r="Q206" s="276"/>
      <c r="R206" s="276"/>
    </row>
    <row r="207" spans="1:34" s="282" customFormat="1">
      <c r="A207" s="270">
        <f t="shared" si="21"/>
        <v>0</v>
      </c>
      <c r="B207" s="268" t="str">
        <f t="shared" si="18"/>
        <v/>
      </c>
      <c r="C207" s="269"/>
      <c r="D207" s="269"/>
      <c r="E207" s="269"/>
      <c r="F207" s="269"/>
      <c r="G207" s="260"/>
      <c r="H207" s="301">
        <v>202</v>
      </c>
      <c r="I207" s="302" t="str">
        <f t="shared" si="22"/>
        <v/>
      </c>
      <c r="J207" s="301">
        <f t="shared" si="23"/>
        <v>-5</v>
      </c>
      <c r="K207" s="301">
        <f t="shared" si="19"/>
        <v>-50</v>
      </c>
      <c r="L207" s="301"/>
      <c r="M207" s="303">
        <f t="shared" si="20"/>
        <v>0</v>
      </c>
      <c r="N207" s="276"/>
      <c r="O207" s="276"/>
      <c r="P207" s="276"/>
      <c r="Q207" s="276"/>
      <c r="R207" s="276"/>
    </row>
    <row r="208" spans="1:34" s="282" customFormat="1">
      <c r="A208" s="271">
        <f t="shared" si="21"/>
        <v>0</v>
      </c>
      <c r="B208" s="265" t="str">
        <f t="shared" si="18"/>
        <v/>
      </c>
      <c r="C208" s="266"/>
      <c r="D208" s="266"/>
      <c r="E208" s="266"/>
      <c r="F208" s="266"/>
      <c r="G208" s="260"/>
      <c r="H208" s="295">
        <v>203</v>
      </c>
      <c r="I208" s="296" t="str">
        <f t="shared" si="22"/>
        <v/>
      </c>
      <c r="J208" s="295">
        <f t="shared" si="23"/>
        <v>-5</v>
      </c>
      <c r="K208" s="295">
        <f t="shared" si="19"/>
        <v>-50</v>
      </c>
      <c r="L208" s="295"/>
      <c r="M208" s="297">
        <f t="shared" si="20"/>
        <v>0</v>
      </c>
      <c r="N208" s="276"/>
      <c r="O208" s="276"/>
      <c r="P208" s="276"/>
      <c r="Q208" s="276"/>
      <c r="R208" s="311"/>
      <c r="S208" s="312"/>
    </row>
    <row r="209" spans="1:19" s="282" customFormat="1">
      <c r="A209" s="270">
        <f t="shared" si="21"/>
        <v>0</v>
      </c>
      <c r="B209" s="268" t="str">
        <f t="shared" si="18"/>
        <v/>
      </c>
      <c r="C209" s="269"/>
      <c r="D209" s="269"/>
      <c r="E209" s="269"/>
      <c r="F209" s="269"/>
      <c r="G209" s="276"/>
      <c r="H209" s="301">
        <v>204</v>
      </c>
      <c r="I209" s="302" t="str">
        <f t="shared" si="22"/>
        <v/>
      </c>
      <c r="J209" s="301">
        <f t="shared" si="23"/>
        <v>-5</v>
      </c>
      <c r="K209" s="301">
        <f t="shared" si="19"/>
        <v>-50</v>
      </c>
      <c r="L209" s="301"/>
      <c r="M209" s="303">
        <f t="shared" si="20"/>
        <v>0</v>
      </c>
      <c r="N209" s="276"/>
      <c r="O209" s="276"/>
      <c r="P209" s="276"/>
      <c r="Q209" s="276"/>
      <c r="R209" s="276"/>
    </row>
    <row r="210" spans="1:19" s="282" customFormat="1">
      <c r="A210" s="271">
        <f t="shared" si="21"/>
        <v>0</v>
      </c>
      <c r="B210" s="265" t="str">
        <f t="shared" si="18"/>
        <v/>
      </c>
      <c r="C210" s="266"/>
      <c r="D210" s="266"/>
      <c r="E210" s="266"/>
      <c r="F210" s="266"/>
      <c r="G210" s="276"/>
      <c r="H210" s="295">
        <v>205</v>
      </c>
      <c r="I210" s="296" t="str">
        <f t="shared" si="22"/>
        <v/>
      </c>
      <c r="J210" s="295">
        <f t="shared" si="23"/>
        <v>-5</v>
      </c>
      <c r="K210" s="295">
        <f t="shared" si="19"/>
        <v>-50</v>
      </c>
      <c r="L210" s="295"/>
      <c r="M210" s="297">
        <f t="shared" si="20"/>
        <v>0</v>
      </c>
      <c r="N210" s="276"/>
      <c r="O210" s="276"/>
      <c r="P210" s="276"/>
      <c r="Q210" s="276"/>
      <c r="R210" s="276"/>
    </row>
    <row r="211" spans="1:19" s="282" customFormat="1">
      <c r="A211" s="270">
        <f t="shared" si="21"/>
        <v>0</v>
      </c>
      <c r="B211" s="268" t="str">
        <f t="shared" si="18"/>
        <v/>
      </c>
      <c r="C211" s="269"/>
      <c r="D211" s="269"/>
      <c r="E211" s="269"/>
      <c r="F211" s="269"/>
      <c r="G211" s="276"/>
      <c r="H211" s="301">
        <v>206</v>
      </c>
      <c r="I211" s="302" t="str">
        <f t="shared" si="22"/>
        <v/>
      </c>
      <c r="J211" s="301">
        <f t="shared" si="23"/>
        <v>-5</v>
      </c>
      <c r="K211" s="301">
        <f t="shared" si="19"/>
        <v>-50</v>
      </c>
      <c r="L211" s="301"/>
      <c r="M211" s="303">
        <f t="shared" si="20"/>
        <v>0</v>
      </c>
      <c r="N211" s="276"/>
      <c r="O211" s="276"/>
      <c r="P211" s="276"/>
      <c r="Q211" s="276"/>
      <c r="R211" s="276"/>
    </row>
    <row r="212" spans="1:19" s="282" customFormat="1">
      <c r="A212" s="271">
        <f t="shared" si="21"/>
        <v>0</v>
      </c>
      <c r="B212" s="265" t="str">
        <f t="shared" si="18"/>
        <v/>
      </c>
      <c r="C212" s="266"/>
      <c r="D212" s="266"/>
      <c r="E212" s="266"/>
      <c r="F212" s="266"/>
      <c r="G212" s="276"/>
      <c r="H212" s="295">
        <v>207</v>
      </c>
      <c r="I212" s="296" t="str">
        <f t="shared" si="22"/>
        <v/>
      </c>
      <c r="J212" s="295">
        <f t="shared" si="23"/>
        <v>-5</v>
      </c>
      <c r="K212" s="295">
        <f t="shared" si="19"/>
        <v>-50</v>
      </c>
      <c r="L212" s="295"/>
      <c r="M212" s="297">
        <f t="shared" si="20"/>
        <v>0</v>
      </c>
      <c r="N212" s="276"/>
      <c r="O212" s="276"/>
      <c r="P212" s="276"/>
      <c r="Q212" s="276"/>
      <c r="R212" s="311"/>
      <c r="S212" s="312"/>
    </row>
    <row r="213" spans="1:19" s="282" customFormat="1">
      <c r="A213" s="270">
        <f t="shared" si="21"/>
        <v>0</v>
      </c>
      <c r="B213" s="268" t="str">
        <f t="shared" si="18"/>
        <v/>
      </c>
      <c r="C213" s="269"/>
      <c r="D213" s="269"/>
      <c r="E213" s="269"/>
      <c r="F213" s="269"/>
      <c r="G213" s="276"/>
      <c r="H213" s="301">
        <v>208</v>
      </c>
      <c r="I213" s="302" t="str">
        <f t="shared" si="22"/>
        <v/>
      </c>
      <c r="J213" s="301">
        <f t="shared" si="23"/>
        <v>-5</v>
      </c>
      <c r="K213" s="301">
        <f t="shared" si="19"/>
        <v>-50</v>
      </c>
      <c r="L213" s="301"/>
      <c r="M213" s="303">
        <f t="shared" si="20"/>
        <v>0</v>
      </c>
      <c r="N213" s="276"/>
      <c r="O213" s="276"/>
      <c r="P213" s="276"/>
      <c r="Q213" s="276"/>
      <c r="R213" s="276"/>
    </row>
    <row r="214" spans="1:19" s="282" customFormat="1">
      <c r="A214" s="271">
        <f t="shared" si="21"/>
        <v>0</v>
      </c>
      <c r="B214" s="265" t="str">
        <f t="shared" si="18"/>
        <v/>
      </c>
      <c r="C214" s="266"/>
      <c r="D214" s="266"/>
      <c r="E214" s="266"/>
      <c r="F214" s="266"/>
      <c r="G214" s="276"/>
      <c r="H214" s="295">
        <v>209</v>
      </c>
      <c r="I214" s="296" t="str">
        <f t="shared" si="22"/>
        <v/>
      </c>
      <c r="J214" s="295">
        <f t="shared" si="23"/>
        <v>-5</v>
      </c>
      <c r="K214" s="295">
        <f t="shared" si="19"/>
        <v>-50</v>
      </c>
      <c r="L214" s="295"/>
      <c r="M214" s="297">
        <f t="shared" si="20"/>
        <v>0</v>
      </c>
      <c r="N214" s="276"/>
      <c r="O214" s="276"/>
      <c r="P214" s="276"/>
      <c r="Q214" s="276"/>
      <c r="R214" s="276"/>
    </row>
    <row r="215" spans="1:19" s="282" customFormat="1">
      <c r="A215" s="270">
        <f t="shared" si="21"/>
        <v>0</v>
      </c>
      <c r="B215" s="268" t="str">
        <f t="shared" si="18"/>
        <v/>
      </c>
      <c r="C215" s="269"/>
      <c r="D215" s="269"/>
      <c r="E215" s="269"/>
      <c r="F215" s="269"/>
      <c r="G215" s="276"/>
      <c r="H215" s="301">
        <v>210</v>
      </c>
      <c r="I215" s="302" t="str">
        <f t="shared" si="22"/>
        <v/>
      </c>
      <c r="J215" s="301">
        <f t="shared" si="23"/>
        <v>-5</v>
      </c>
      <c r="K215" s="301">
        <f t="shared" si="19"/>
        <v>-50</v>
      </c>
      <c r="L215" s="301"/>
      <c r="M215" s="303">
        <f t="shared" si="20"/>
        <v>0</v>
      </c>
      <c r="N215" s="276"/>
      <c r="O215" s="276"/>
      <c r="P215" s="276"/>
      <c r="Q215" s="276"/>
      <c r="R215" s="276"/>
    </row>
    <row r="216" spans="1:19" s="282" customFormat="1">
      <c r="A216" s="271">
        <f t="shared" si="21"/>
        <v>0</v>
      </c>
      <c r="B216" s="265" t="str">
        <f t="shared" si="18"/>
        <v/>
      </c>
      <c r="C216" s="266"/>
      <c r="D216" s="266"/>
      <c r="E216" s="266"/>
      <c r="F216" s="266"/>
      <c r="G216" s="276"/>
      <c r="H216" s="295">
        <v>211</v>
      </c>
      <c r="I216" s="296" t="str">
        <f t="shared" si="22"/>
        <v/>
      </c>
      <c r="J216" s="295">
        <f t="shared" si="23"/>
        <v>-5</v>
      </c>
      <c r="K216" s="295">
        <f t="shared" si="19"/>
        <v>-50</v>
      </c>
      <c r="L216" s="295"/>
      <c r="M216" s="297">
        <f t="shared" si="20"/>
        <v>0</v>
      </c>
      <c r="N216" s="276"/>
      <c r="O216" s="276"/>
      <c r="P216" s="276"/>
      <c r="Q216" s="276"/>
      <c r="R216" s="311"/>
      <c r="S216" s="312"/>
    </row>
    <row r="217" spans="1:19" s="282" customFormat="1">
      <c r="A217" s="270">
        <f t="shared" si="21"/>
        <v>0</v>
      </c>
      <c r="B217" s="268" t="str">
        <f t="shared" si="18"/>
        <v/>
      </c>
      <c r="C217" s="269"/>
      <c r="D217" s="269"/>
      <c r="E217" s="269"/>
      <c r="F217" s="269"/>
      <c r="G217" s="276"/>
      <c r="H217" s="301">
        <v>212</v>
      </c>
      <c r="I217" s="302" t="str">
        <f t="shared" si="22"/>
        <v/>
      </c>
      <c r="J217" s="301">
        <f t="shared" si="23"/>
        <v>-5</v>
      </c>
      <c r="K217" s="301">
        <f t="shared" si="19"/>
        <v>-50</v>
      </c>
      <c r="L217" s="301"/>
      <c r="M217" s="303">
        <f t="shared" si="20"/>
        <v>0</v>
      </c>
      <c r="N217" s="276"/>
      <c r="O217" s="276"/>
      <c r="P217" s="276"/>
      <c r="Q217" s="276"/>
      <c r="R217" s="276"/>
    </row>
    <row r="218" spans="1:19" s="282" customFormat="1">
      <c r="A218" s="271">
        <f t="shared" si="21"/>
        <v>0</v>
      </c>
      <c r="B218" s="265" t="str">
        <f t="shared" si="18"/>
        <v/>
      </c>
      <c r="C218" s="266"/>
      <c r="D218" s="266"/>
      <c r="E218" s="266"/>
      <c r="F218" s="266"/>
      <c r="G218" s="276"/>
      <c r="H218" s="295">
        <v>213</v>
      </c>
      <c r="I218" s="296" t="str">
        <f t="shared" si="22"/>
        <v/>
      </c>
      <c r="J218" s="295">
        <f t="shared" si="23"/>
        <v>-5</v>
      </c>
      <c r="K218" s="295">
        <f t="shared" si="19"/>
        <v>-50</v>
      </c>
      <c r="L218" s="295"/>
      <c r="M218" s="297">
        <f t="shared" si="20"/>
        <v>0</v>
      </c>
      <c r="N218" s="276"/>
      <c r="O218" s="276"/>
      <c r="P218" s="276"/>
      <c r="Q218" s="276"/>
      <c r="R218" s="276"/>
    </row>
    <row r="219" spans="1:19" s="282" customFormat="1">
      <c r="A219" s="270">
        <f t="shared" si="21"/>
        <v>0</v>
      </c>
      <c r="B219" s="268" t="str">
        <f t="shared" si="18"/>
        <v/>
      </c>
      <c r="C219" s="269"/>
      <c r="D219" s="269"/>
      <c r="E219" s="269"/>
      <c r="F219" s="269"/>
      <c r="G219" s="276"/>
      <c r="H219" s="301">
        <v>214</v>
      </c>
      <c r="I219" s="302" t="str">
        <f t="shared" si="22"/>
        <v/>
      </c>
      <c r="J219" s="301">
        <f t="shared" si="23"/>
        <v>-5</v>
      </c>
      <c r="K219" s="301">
        <f t="shared" si="19"/>
        <v>-50</v>
      </c>
      <c r="L219" s="301"/>
      <c r="M219" s="303">
        <f t="shared" si="20"/>
        <v>0</v>
      </c>
      <c r="N219" s="276"/>
      <c r="O219" s="276"/>
      <c r="P219" s="276"/>
      <c r="Q219" s="276"/>
      <c r="R219" s="276"/>
    </row>
    <row r="220" spans="1:19" s="282" customFormat="1">
      <c r="A220" s="271">
        <f t="shared" si="21"/>
        <v>0</v>
      </c>
      <c r="B220" s="265" t="str">
        <f t="shared" si="18"/>
        <v/>
      </c>
      <c r="C220" s="266"/>
      <c r="D220" s="266"/>
      <c r="E220" s="266"/>
      <c r="F220" s="266"/>
      <c r="G220" s="276"/>
      <c r="H220" s="295">
        <v>215</v>
      </c>
      <c r="I220" s="296" t="str">
        <f t="shared" si="22"/>
        <v/>
      </c>
      <c r="J220" s="295">
        <f t="shared" si="23"/>
        <v>-5</v>
      </c>
      <c r="K220" s="295">
        <f t="shared" si="19"/>
        <v>-50</v>
      </c>
      <c r="L220" s="295"/>
      <c r="M220" s="297">
        <f t="shared" si="20"/>
        <v>0</v>
      </c>
      <c r="N220" s="276"/>
      <c r="O220" s="276"/>
      <c r="P220" s="276"/>
      <c r="Q220" s="276"/>
      <c r="R220" s="276"/>
    </row>
    <row r="221" spans="1:19" s="282" customFormat="1">
      <c r="A221" s="270">
        <f t="shared" si="21"/>
        <v>0</v>
      </c>
      <c r="B221" s="268" t="str">
        <f t="shared" si="18"/>
        <v/>
      </c>
      <c r="C221" s="269"/>
      <c r="D221" s="269"/>
      <c r="E221" s="269"/>
      <c r="F221" s="269"/>
      <c r="G221" s="276"/>
      <c r="H221" s="301">
        <v>216</v>
      </c>
      <c r="I221" s="302" t="str">
        <f t="shared" si="22"/>
        <v/>
      </c>
      <c r="J221" s="301">
        <f t="shared" si="23"/>
        <v>-5</v>
      </c>
      <c r="K221" s="301">
        <f t="shared" si="19"/>
        <v>-50</v>
      </c>
      <c r="L221" s="301"/>
      <c r="M221" s="303">
        <f t="shared" si="20"/>
        <v>0</v>
      </c>
      <c r="N221" s="276"/>
      <c r="O221" s="276"/>
      <c r="P221" s="276"/>
      <c r="Q221" s="276"/>
      <c r="R221" s="276"/>
      <c r="S221" s="313"/>
    </row>
    <row r="222" spans="1:19" s="282" customFormat="1">
      <c r="A222" s="271">
        <f t="shared" si="21"/>
        <v>0</v>
      </c>
      <c r="B222" s="265" t="str">
        <f t="shared" si="18"/>
        <v/>
      </c>
      <c r="C222" s="266"/>
      <c r="D222" s="266"/>
      <c r="E222" s="266"/>
      <c r="F222" s="266"/>
      <c r="G222" s="276"/>
      <c r="H222" s="295">
        <v>217</v>
      </c>
      <c r="I222" s="296" t="str">
        <f t="shared" si="22"/>
        <v/>
      </c>
      <c r="J222" s="295">
        <f t="shared" si="23"/>
        <v>-5</v>
      </c>
      <c r="K222" s="295">
        <f t="shared" si="19"/>
        <v>-50</v>
      </c>
      <c r="L222" s="295"/>
      <c r="M222" s="297">
        <f t="shared" si="20"/>
        <v>0</v>
      </c>
      <c r="N222" s="276"/>
      <c r="O222" s="276"/>
      <c r="P222" s="276"/>
      <c r="Q222" s="276"/>
      <c r="R222" s="276"/>
    </row>
    <row r="223" spans="1:19" s="282" customFormat="1">
      <c r="A223" s="270">
        <f t="shared" si="21"/>
        <v>0</v>
      </c>
      <c r="B223" s="268" t="str">
        <f t="shared" si="18"/>
        <v/>
      </c>
      <c r="C223" s="269"/>
      <c r="D223" s="269"/>
      <c r="E223" s="269"/>
      <c r="F223" s="269"/>
      <c r="G223" s="276"/>
      <c r="H223" s="301">
        <v>218</v>
      </c>
      <c r="I223" s="302" t="str">
        <f t="shared" si="22"/>
        <v/>
      </c>
      <c r="J223" s="301">
        <f t="shared" si="23"/>
        <v>-5</v>
      </c>
      <c r="K223" s="301">
        <f t="shared" si="19"/>
        <v>-50</v>
      </c>
      <c r="L223" s="301"/>
      <c r="M223" s="303">
        <f t="shared" si="20"/>
        <v>0</v>
      </c>
      <c r="N223" s="276"/>
      <c r="O223" s="276"/>
      <c r="P223" s="276"/>
      <c r="Q223" s="276"/>
      <c r="R223" s="276"/>
    </row>
    <row r="224" spans="1:19" s="282" customFormat="1">
      <c r="A224" s="271">
        <f t="shared" si="21"/>
        <v>0</v>
      </c>
      <c r="B224" s="265" t="str">
        <f t="shared" si="18"/>
        <v/>
      </c>
      <c r="C224" s="266"/>
      <c r="D224" s="266"/>
      <c r="E224" s="266"/>
      <c r="F224" s="266"/>
      <c r="G224" s="276"/>
      <c r="H224" s="295">
        <v>219</v>
      </c>
      <c r="I224" s="296" t="str">
        <f t="shared" si="22"/>
        <v/>
      </c>
      <c r="J224" s="295">
        <f t="shared" si="23"/>
        <v>-5</v>
      </c>
      <c r="K224" s="295">
        <f t="shared" si="19"/>
        <v>-50</v>
      </c>
      <c r="L224" s="295"/>
      <c r="M224" s="297">
        <f t="shared" si="20"/>
        <v>0</v>
      </c>
      <c r="N224" s="276"/>
      <c r="O224" s="276"/>
      <c r="P224" s="276"/>
      <c r="Q224" s="276"/>
      <c r="R224" s="276"/>
    </row>
    <row r="225" spans="1:38" s="282" customFormat="1">
      <c r="A225" s="270">
        <f t="shared" si="21"/>
        <v>0</v>
      </c>
      <c r="B225" s="268" t="str">
        <f t="shared" si="18"/>
        <v/>
      </c>
      <c r="C225" s="269"/>
      <c r="D225" s="269"/>
      <c r="E225" s="269"/>
      <c r="F225" s="269"/>
      <c r="G225" s="276"/>
      <c r="H225" s="301">
        <v>220</v>
      </c>
      <c r="I225" s="302" t="str">
        <f t="shared" si="22"/>
        <v/>
      </c>
      <c r="J225" s="301">
        <f t="shared" si="23"/>
        <v>-5</v>
      </c>
      <c r="K225" s="301">
        <f t="shared" si="19"/>
        <v>-50</v>
      </c>
      <c r="L225" s="301"/>
      <c r="M225" s="303">
        <f t="shared" si="20"/>
        <v>0</v>
      </c>
      <c r="N225" s="276"/>
      <c r="O225" s="276"/>
      <c r="P225" s="276"/>
      <c r="Q225" s="276"/>
      <c r="R225" s="276"/>
    </row>
    <row r="226" spans="1:38" s="282" customFormat="1">
      <c r="A226" s="271">
        <f t="shared" si="21"/>
        <v>0</v>
      </c>
      <c r="B226" s="265" t="str">
        <f t="shared" si="18"/>
        <v/>
      </c>
      <c r="C226" s="266"/>
      <c r="D226" s="266"/>
      <c r="E226" s="266"/>
      <c r="F226" s="266"/>
      <c r="G226" s="276"/>
      <c r="H226" s="295">
        <v>221</v>
      </c>
      <c r="I226" s="296" t="str">
        <f t="shared" si="22"/>
        <v/>
      </c>
      <c r="J226" s="295">
        <f t="shared" si="23"/>
        <v>-5</v>
      </c>
      <c r="K226" s="295">
        <f t="shared" si="19"/>
        <v>-50</v>
      </c>
      <c r="L226" s="295"/>
      <c r="M226" s="297">
        <f t="shared" si="20"/>
        <v>0</v>
      </c>
      <c r="N226" s="276"/>
      <c r="O226" s="276"/>
      <c r="P226" s="276"/>
      <c r="Q226" s="276"/>
      <c r="R226" s="276"/>
    </row>
    <row r="227" spans="1:38" s="282" customFormat="1">
      <c r="A227" s="270">
        <f t="shared" si="21"/>
        <v>0</v>
      </c>
      <c r="B227" s="268" t="str">
        <f t="shared" si="18"/>
        <v/>
      </c>
      <c r="C227" s="269"/>
      <c r="D227" s="269"/>
      <c r="E227" s="269"/>
      <c r="F227" s="269"/>
      <c r="G227" s="276"/>
      <c r="H227" s="301">
        <v>222</v>
      </c>
      <c r="I227" s="302" t="str">
        <f t="shared" si="22"/>
        <v/>
      </c>
      <c r="J227" s="301">
        <f t="shared" si="23"/>
        <v>-5</v>
      </c>
      <c r="K227" s="301">
        <f t="shared" si="19"/>
        <v>-50</v>
      </c>
      <c r="L227" s="301"/>
      <c r="M227" s="303">
        <f t="shared" si="20"/>
        <v>0</v>
      </c>
      <c r="N227" s="276"/>
      <c r="O227" s="276"/>
      <c r="P227" s="276"/>
      <c r="Q227" s="276"/>
      <c r="R227" s="276"/>
    </row>
    <row r="228" spans="1:38" s="282" customFormat="1">
      <c r="A228" s="271">
        <f t="shared" si="21"/>
        <v>0</v>
      </c>
      <c r="B228" s="265" t="str">
        <f t="shared" si="18"/>
        <v/>
      </c>
      <c r="C228" s="266"/>
      <c r="D228" s="266"/>
      <c r="E228" s="266"/>
      <c r="F228" s="266"/>
      <c r="G228" s="276"/>
      <c r="H228" s="295">
        <v>223</v>
      </c>
      <c r="I228" s="296" t="str">
        <f t="shared" si="22"/>
        <v/>
      </c>
      <c r="J228" s="295">
        <f t="shared" si="23"/>
        <v>-5</v>
      </c>
      <c r="K228" s="295">
        <f t="shared" si="19"/>
        <v>-50</v>
      </c>
      <c r="L228" s="295"/>
      <c r="M228" s="297">
        <f t="shared" si="20"/>
        <v>0</v>
      </c>
      <c r="N228" s="276"/>
      <c r="O228" s="276"/>
      <c r="P228" s="276"/>
      <c r="Q228" s="276"/>
      <c r="R228" s="276"/>
    </row>
    <row r="229" spans="1:38" s="276" customFormat="1">
      <c r="A229" s="270">
        <f t="shared" si="21"/>
        <v>0</v>
      </c>
      <c r="B229" s="268" t="str">
        <f t="shared" si="18"/>
        <v/>
      </c>
      <c r="C229" s="269"/>
      <c r="D229" s="269"/>
      <c r="E229" s="269"/>
      <c r="F229" s="269"/>
      <c r="H229" s="301">
        <v>224</v>
      </c>
      <c r="I229" s="302" t="str">
        <f t="shared" si="22"/>
        <v/>
      </c>
      <c r="J229" s="301">
        <f t="shared" si="23"/>
        <v>-5</v>
      </c>
      <c r="K229" s="301">
        <f t="shared" si="19"/>
        <v>-50</v>
      </c>
      <c r="L229" s="301"/>
      <c r="M229" s="303">
        <f t="shared" si="20"/>
        <v>0</v>
      </c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</row>
    <row r="230" spans="1:38" s="276" customFormat="1">
      <c r="A230" s="271">
        <f t="shared" si="21"/>
        <v>0</v>
      </c>
      <c r="B230" s="265" t="str">
        <f t="shared" si="18"/>
        <v/>
      </c>
      <c r="C230" s="266"/>
      <c r="D230" s="266"/>
      <c r="E230" s="266"/>
      <c r="F230" s="266"/>
      <c r="H230" s="295">
        <v>225</v>
      </c>
      <c r="I230" s="296" t="str">
        <f t="shared" si="22"/>
        <v/>
      </c>
      <c r="J230" s="295">
        <f t="shared" si="23"/>
        <v>-5</v>
      </c>
      <c r="K230" s="295">
        <f t="shared" si="19"/>
        <v>-50</v>
      </c>
      <c r="L230" s="295"/>
      <c r="M230" s="297">
        <f t="shared" si="20"/>
        <v>0</v>
      </c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</row>
    <row r="231" spans="1:38" s="276" customFormat="1">
      <c r="A231" s="270">
        <f t="shared" si="21"/>
        <v>0</v>
      </c>
      <c r="B231" s="268" t="str">
        <f t="shared" si="18"/>
        <v/>
      </c>
      <c r="C231" s="269"/>
      <c r="D231" s="269"/>
      <c r="E231" s="269"/>
      <c r="F231" s="269"/>
      <c r="H231" s="301">
        <v>226</v>
      </c>
      <c r="I231" s="302" t="str">
        <f t="shared" si="22"/>
        <v/>
      </c>
      <c r="J231" s="301">
        <f t="shared" si="23"/>
        <v>-5</v>
      </c>
      <c r="K231" s="301">
        <f t="shared" si="19"/>
        <v>-50</v>
      </c>
      <c r="L231" s="301"/>
      <c r="M231" s="303">
        <f t="shared" si="20"/>
        <v>0</v>
      </c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</row>
    <row r="232" spans="1:38" s="276" customFormat="1">
      <c r="A232" s="271">
        <f t="shared" si="21"/>
        <v>0</v>
      </c>
      <c r="B232" s="265" t="str">
        <f t="shared" si="18"/>
        <v/>
      </c>
      <c r="C232" s="266"/>
      <c r="D232" s="266"/>
      <c r="E232" s="266"/>
      <c r="F232" s="266"/>
      <c r="H232" s="295">
        <v>227</v>
      </c>
      <c r="I232" s="296" t="str">
        <f t="shared" si="22"/>
        <v/>
      </c>
      <c r="J232" s="295">
        <f t="shared" si="23"/>
        <v>-5</v>
      </c>
      <c r="K232" s="295">
        <f t="shared" si="19"/>
        <v>-50</v>
      </c>
      <c r="L232" s="295"/>
      <c r="M232" s="297">
        <f t="shared" si="20"/>
        <v>0</v>
      </c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</row>
    <row r="233" spans="1:38" s="276" customFormat="1">
      <c r="A233" s="270">
        <f t="shared" si="21"/>
        <v>0</v>
      </c>
      <c r="B233" s="268" t="str">
        <f t="shared" si="18"/>
        <v/>
      </c>
      <c r="C233" s="269"/>
      <c r="D233" s="269"/>
      <c r="E233" s="269"/>
      <c r="F233" s="269"/>
      <c r="H233" s="301">
        <v>228</v>
      </c>
      <c r="I233" s="302" t="str">
        <f t="shared" si="22"/>
        <v/>
      </c>
      <c r="J233" s="301">
        <f t="shared" si="23"/>
        <v>-5</v>
      </c>
      <c r="K233" s="301">
        <f t="shared" si="19"/>
        <v>-50</v>
      </c>
      <c r="L233" s="301"/>
      <c r="M233" s="303">
        <f t="shared" si="20"/>
        <v>0</v>
      </c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</row>
    <row r="234" spans="1:38" s="276" customFormat="1">
      <c r="A234" s="271">
        <f t="shared" si="21"/>
        <v>0</v>
      </c>
      <c r="B234" s="265" t="str">
        <f t="shared" si="18"/>
        <v/>
      </c>
      <c r="C234" s="266"/>
      <c r="D234" s="266"/>
      <c r="E234" s="266"/>
      <c r="F234" s="266"/>
      <c r="H234" s="295">
        <v>229</v>
      </c>
      <c r="I234" s="296" t="str">
        <f t="shared" si="22"/>
        <v/>
      </c>
      <c r="J234" s="295">
        <f t="shared" si="23"/>
        <v>-5</v>
      </c>
      <c r="K234" s="295">
        <f t="shared" si="19"/>
        <v>-50</v>
      </c>
      <c r="L234" s="295"/>
      <c r="M234" s="297">
        <f t="shared" si="20"/>
        <v>0</v>
      </c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</row>
    <row r="235" spans="1:38" s="276" customFormat="1">
      <c r="A235" s="270">
        <f t="shared" si="21"/>
        <v>0</v>
      </c>
      <c r="B235" s="268" t="str">
        <f t="shared" si="18"/>
        <v/>
      </c>
      <c r="C235" s="269"/>
      <c r="D235" s="269"/>
      <c r="E235" s="269"/>
      <c r="F235" s="269"/>
      <c r="H235" s="301">
        <v>230</v>
      </c>
      <c r="I235" s="302" t="str">
        <f t="shared" si="22"/>
        <v/>
      </c>
      <c r="J235" s="301">
        <f t="shared" si="23"/>
        <v>-5</v>
      </c>
      <c r="K235" s="301">
        <f t="shared" si="19"/>
        <v>-50</v>
      </c>
      <c r="L235" s="301"/>
      <c r="M235" s="303">
        <f t="shared" si="20"/>
        <v>0</v>
      </c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</row>
    <row r="236" spans="1:38" s="276" customFormat="1">
      <c r="A236" s="271">
        <f t="shared" si="21"/>
        <v>0</v>
      </c>
      <c r="B236" s="265" t="str">
        <f t="shared" si="18"/>
        <v/>
      </c>
      <c r="C236" s="266"/>
      <c r="D236" s="266"/>
      <c r="E236" s="266"/>
      <c r="F236" s="266"/>
      <c r="H236" s="295">
        <v>231</v>
      </c>
      <c r="I236" s="296" t="str">
        <f t="shared" si="22"/>
        <v/>
      </c>
      <c r="J236" s="295">
        <f t="shared" si="23"/>
        <v>-5</v>
      </c>
      <c r="K236" s="295">
        <f t="shared" si="19"/>
        <v>-50</v>
      </c>
      <c r="L236" s="295"/>
      <c r="M236" s="297">
        <f t="shared" si="20"/>
        <v>0</v>
      </c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</row>
    <row r="237" spans="1:38" s="276" customFormat="1">
      <c r="A237" s="270">
        <f t="shared" si="21"/>
        <v>0</v>
      </c>
      <c r="B237" s="268" t="str">
        <f t="shared" si="18"/>
        <v/>
      </c>
      <c r="C237" s="269"/>
      <c r="D237" s="269"/>
      <c r="E237" s="269"/>
      <c r="F237" s="269"/>
      <c r="H237" s="301">
        <v>232</v>
      </c>
      <c r="I237" s="302" t="str">
        <f t="shared" si="22"/>
        <v/>
      </c>
      <c r="J237" s="301">
        <f t="shared" si="23"/>
        <v>-5</v>
      </c>
      <c r="K237" s="301">
        <f t="shared" si="19"/>
        <v>-50</v>
      </c>
      <c r="L237" s="301"/>
      <c r="M237" s="303">
        <f t="shared" si="20"/>
        <v>0</v>
      </c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</row>
    <row r="238" spans="1:38" s="276" customFormat="1">
      <c r="A238" s="271">
        <f t="shared" si="21"/>
        <v>0</v>
      </c>
      <c r="B238" s="265" t="str">
        <f t="shared" si="18"/>
        <v/>
      </c>
      <c r="C238" s="266"/>
      <c r="D238" s="266"/>
      <c r="E238" s="266"/>
      <c r="F238" s="266"/>
      <c r="H238" s="295">
        <v>233</v>
      </c>
      <c r="I238" s="296" t="str">
        <f t="shared" si="22"/>
        <v/>
      </c>
      <c r="J238" s="295">
        <f t="shared" si="23"/>
        <v>-5</v>
      </c>
      <c r="K238" s="295">
        <f t="shared" si="19"/>
        <v>-50</v>
      </c>
      <c r="L238" s="295"/>
      <c r="M238" s="297">
        <f t="shared" si="20"/>
        <v>0</v>
      </c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</row>
    <row r="239" spans="1:38" s="276" customFormat="1">
      <c r="A239" s="270">
        <f t="shared" si="21"/>
        <v>0</v>
      </c>
      <c r="B239" s="268" t="str">
        <f t="shared" si="18"/>
        <v/>
      </c>
      <c r="C239" s="269"/>
      <c r="D239" s="269"/>
      <c r="E239" s="269"/>
      <c r="F239" s="269"/>
      <c r="H239" s="301">
        <v>234</v>
      </c>
      <c r="I239" s="302" t="str">
        <f t="shared" si="22"/>
        <v/>
      </c>
      <c r="J239" s="301">
        <f t="shared" si="23"/>
        <v>-5</v>
      </c>
      <c r="K239" s="301">
        <f t="shared" si="19"/>
        <v>-50</v>
      </c>
      <c r="L239" s="301"/>
      <c r="M239" s="303">
        <f t="shared" si="20"/>
        <v>0</v>
      </c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</row>
    <row r="240" spans="1:38" s="276" customFormat="1">
      <c r="A240" s="271">
        <f t="shared" si="21"/>
        <v>0</v>
      </c>
      <c r="B240" s="265" t="str">
        <f t="shared" si="18"/>
        <v/>
      </c>
      <c r="C240" s="266"/>
      <c r="D240" s="266"/>
      <c r="E240" s="266"/>
      <c r="F240" s="266"/>
      <c r="H240" s="295">
        <v>235</v>
      </c>
      <c r="I240" s="296" t="str">
        <f t="shared" si="22"/>
        <v/>
      </c>
      <c r="J240" s="295">
        <f t="shared" si="23"/>
        <v>-5</v>
      </c>
      <c r="K240" s="295">
        <f t="shared" si="19"/>
        <v>-50</v>
      </c>
      <c r="L240" s="295"/>
      <c r="M240" s="297">
        <f t="shared" si="20"/>
        <v>0</v>
      </c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</row>
    <row r="241" spans="1:38" s="276" customFormat="1">
      <c r="A241" s="270">
        <f t="shared" si="21"/>
        <v>0</v>
      </c>
      <c r="B241" s="268" t="str">
        <f t="shared" si="18"/>
        <v/>
      </c>
      <c r="C241" s="269"/>
      <c r="D241" s="269"/>
      <c r="E241" s="269"/>
      <c r="F241" s="269"/>
      <c r="H241" s="301">
        <v>236</v>
      </c>
      <c r="I241" s="302" t="str">
        <f t="shared" si="22"/>
        <v/>
      </c>
      <c r="J241" s="301">
        <f t="shared" si="23"/>
        <v>-5</v>
      </c>
      <c r="K241" s="301">
        <f t="shared" si="19"/>
        <v>-50</v>
      </c>
      <c r="L241" s="301"/>
      <c r="M241" s="303">
        <f t="shared" si="20"/>
        <v>0</v>
      </c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  <c r="AC241" s="282"/>
      <c r="AD241" s="282"/>
      <c r="AE241" s="282"/>
      <c r="AF241" s="282"/>
      <c r="AG241" s="282"/>
      <c r="AH241" s="282"/>
      <c r="AI241" s="282"/>
      <c r="AJ241" s="282"/>
      <c r="AK241" s="282"/>
      <c r="AL241" s="282"/>
    </row>
    <row r="242" spans="1:38" s="276" customFormat="1">
      <c r="A242" s="271">
        <f t="shared" si="21"/>
        <v>0</v>
      </c>
      <c r="B242" s="265" t="str">
        <f t="shared" si="18"/>
        <v/>
      </c>
      <c r="C242" s="266"/>
      <c r="D242" s="266"/>
      <c r="E242" s="266"/>
      <c r="F242" s="266"/>
      <c r="H242" s="295">
        <v>237</v>
      </c>
      <c r="I242" s="296" t="str">
        <f t="shared" si="22"/>
        <v/>
      </c>
      <c r="J242" s="295">
        <f t="shared" si="23"/>
        <v>-5</v>
      </c>
      <c r="K242" s="295">
        <f t="shared" si="19"/>
        <v>-50</v>
      </c>
      <c r="L242" s="295"/>
      <c r="M242" s="297">
        <f t="shared" si="20"/>
        <v>0</v>
      </c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  <c r="AC242" s="282"/>
      <c r="AD242" s="282"/>
      <c r="AE242" s="282"/>
      <c r="AF242" s="282"/>
      <c r="AG242" s="282"/>
      <c r="AH242" s="282"/>
      <c r="AI242" s="282"/>
      <c r="AJ242" s="282"/>
      <c r="AK242" s="282"/>
      <c r="AL242" s="282"/>
    </row>
    <row r="243" spans="1:38" s="276" customFormat="1">
      <c r="A243" s="270">
        <f t="shared" si="21"/>
        <v>0</v>
      </c>
      <c r="B243" s="268" t="str">
        <f t="shared" si="18"/>
        <v/>
      </c>
      <c r="C243" s="269"/>
      <c r="D243" s="269"/>
      <c r="E243" s="269"/>
      <c r="F243" s="269"/>
      <c r="H243" s="301">
        <v>238</v>
      </c>
      <c r="I243" s="302" t="str">
        <f t="shared" si="22"/>
        <v/>
      </c>
      <c r="J243" s="301">
        <f t="shared" si="23"/>
        <v>-5</v>
      </c>
      <c r="K243" s="301">
        <f t="shared" si="19"/>
        <v>-50</v>
      </c>
      <c r="L243" s="301"/>
      <c r="M243" s="303">
        <f t="shared" si="20"/>
        <v>0</v>
      </c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  <c r="AC243" s="282"/>
      <c r="AD243" s="282"/>
      <c r="AE243" s="282"/>
      <c r="AF243" s="282"/>
      <c r="AG243" s="282"/>
      <c r="AH243" s="282"/>
      <c r="AI243" s="282"/>
      <c r="AJ243" s="282"/>
      <c r="AK243" s="282"/>
      <c r="AL243" s="282"/>
    </row>
    <row r="244" spans="1:38" s="276" customFormat="1">
      <c r="A244" s="271">
        <f t="shared" si="21"/>
        <v>0</v>
      </c>
      <c r="B244" s="265" t="str">
        <f t="shared" si="18"/>
        <v/>
      </c>
      <c r="C244" s="266"/>
      <c r="D244" s="266"/>
      <c r="E244" s="266"/>
      <c r="F244" s="266"/>
      <c r="H244" s="295">
        <v>239</v>
      </c>
      <c r="I244" s="296" t="str">
        <f t="shared" si="22"/>
        <v/>
      </c>
      <c r="J244" s="295">
        <f t="shared" si="23"/>
        <v>-5</v>
      </c>
      <c r="K244" s="295">
        <f t="shared" si="19"/>
        <v>-50</v>
      </c>
      <c r="L244" s="295"/>
      <c r="M244" s="297">
        <f t="shared" si="20"/>
        <v>0</v>
      </c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  <c r="AC244" s="282"/>
      <c r="AD244" s="282"/>
      <c r="AE244" s="282"/>
      <c r="AF244" s="282"/>
      <c r="AG244" s="282"/>
      <c r="AH244" s="282"/>
      <c r="AI244" s="282"/>
      <c r="AJ244" s="282"/>
      <c r="AK244" s="282"/>
      <c r="AL244" s="282"/>
    </row>
    <row r="245" spans="1:38" s="276" customFormat="1">
      <c r="A245" s="270">
        <f t="shared" si="21"/>
        <v>0</v>
      </c>
      <c r="B245" s="268" t="str">
        <f t="shared" si="18"/>
        <v/>
      </c>
      <c r="C245" s="269"/>
      <c r="D245" s="269"/>
      <c r="E245" s="269"/>
      <c r="F245" s="269"/>
      <c r="H245" s="301">
        <v>240</v>
      </c>
      <c r="I245" s="302" t="str">
        <f t="shared" si="22"/>
        <v/>
      </c>
      <c r="J245" s="301">
        <f t="shared" si="23"/>
        <v>-5</v>
      </c>
      <c r="K245" s="301">
        <f t="shared" si="19"/>
        <v>-50</v>
      </c>
      <c r="L245" s="301"/>
      <c r="M245" s="303">
        <f t="shared" si="20"/>
        <v>0</v>
      </c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  <c r="AC245" s="282"/>
      <c r="AD245" s="282"/>
      <c r="AE245" s="282"/>
      <c r="AF245" s="282"/>
      <c r="AG245" s="282"/>
      <c r="AH245" s="282"/>
      <c r="AI245" s="282"/>
      <c r="AJ245" s="282"/>
      <c r="AK245" s="282"/>
      <c r="AL245" s="282"/>
    </row>
    <row r="246" spans="1:38" s="282" customFormat="1">
      <c r="A246" s="271">
        <f t="shared" si="21"/>
        <v>0</v>
      </c>
      <c r="B246" s="265" t="str">
        <f t="shared" si="18"/>
        <v/>
      </c>
      <c r="C246" s="266"/>
      <c r="D246" s="266"/>
      <c r="E246" s="266"/>
      <c r="F246" s="266"/>
      <c r="G246" s="276"/>
      <c r="H246" s="295">
        <v>241</v>
      </c>
      <c r="I246" s="296" t="str">
        <f t="shared" si="22"/>
        <v/>
      </c>
      <c r="J246" s="295">
        <f t="shared" si="23"/>
        <v>-5</v>
      </c>
      <c r="K246" s="295">
        <f t="shared" si="19"/>
        <v>-50</v>
      </c>
      <c r="L246" s="295"/>
      <c r="M246" s="297">
        <f t="shared" si="20"/>
        <v>0</v>
      </c>
      <c r="N246" s="276"/>
      <c r="O246" s="276"/>
      <c r="P246" s="276"/>
      <c r="Q246" s="276"/>
      <c r="R246" s="276"/>
    </row>
    <row r="247" spans="1:38" s="282" customFormat="1">
      <c r="A247" s="270">
        <f t="shared" si="21"/>
        <v>0</v>
      </c>
      <c r="B247" s="268" t="str">
        <f t="shared" si="18"/>
        <v/>
      </c>
      <c r="C247" s="269"/>
      <c r="D247" s="269"/>
      <c r="E247" s="269"/>
      <c r="F247" s="269"/>
      <c r="G247" s="276"/>
      <c r="H247" s="301">
        <v>242</v>
      </c>
      <c r="I247" s="302" t="str">
        <f t="shared" si="22"/>
        <v/>
      </c>
      <c r="J247" s="301">
        <f t="shared" si="23"/>
        <v>-5</v>
      </c>
      <c r="K247" s="301">
        <f t="shared" si="19"/>
        <v>-50</v>
      </c>
      <c r="L247" s="301"/>
      <c r="M247" s="303">
        <f t="shared" si="20"/>
        <v>0</v>
      </c>
      <c r="N247" s="276"/>
      <c r="O247" s="276"/>
      <c r="P247" s="276"/>
      <c r="Q247" s="276"/>
      <c r="R247" s="276"/>
      <c r="S247" s="313"/>
    </row>
    <row r="248" spans="1:38" s="282" customFormat="1">
      <c r="A248" s="271">
        <f t="shared" si="21"/>
        <v>0</v>
      </c>
      <c r="B248" s="265" t="str">
        <f t="shared" si="18"/>
        <v/>
      </c>
      <c r="C248" s="266"/>
      <c r="D248" s="266"/>
      <c r="E248" s="266"/>
      <c r="F248" s="266"/>
      <c r="G248" s="276"/>
      <c r="H248" s="295">
        <v>243</v>
      </c>
      <c r="I248" s="296" t="str">
        <f t="shared" si="22"/>
        <v/>
      </c>
      <c r="J248" s="295">
        <f t="shared" si="23"/>
        <v>-5</v>
      </c>
      <c r="K248" s="295">
        <f t="shared" si="19"/>
        <v>-50</v>
      </c>
      <c r="L248" s="295"/>
      <c r="M248" s="297">
        <f t="shared" si="20"/>
        <v>0</v>
      </c>
      <c r="N248" s="276"/>
      <c r="O248" s="276"/>
      <c r="P248" s="276"/>
      <c r="Q248" s="276"/>
      <c r="R248" s="276"/>
    </row>
    <row r="249" spans="1:38" s="282" customFormat="1">
      <c r="A249" s="270">
        <f t="shared" si="21"/>
        <v>0</v>
      </c>
      <c r="B249" s="268" t="str">
        <f t="shared" si="18"/>
        <v/>
      </c>
      <c r="C249" s="269"/>
      <c r="D249" s="269"/>
      <c r="E249" s="269"/>
      <c r="F249" s="269"/>
      <c r="G249" s="276"/>
      <c r="H249" s="301">
        <v>244</v>
      </c>
      <c r="I249" s="302" t="str">
        <f t="shared" si="22"/>
        <v/>
      </c>
      <c r="J249" s="301">
        <f t="shared" si="23"/>
        <v>-5</v>
      </c>
      <c r="K249" s="301">
        <f t="shared" si="19"/>
        <v>-50</v>
      </c>
      <c r="L249" s="301"/>
      <c r="M249" s="303">
        <f t="shared" si="20"/>
        <v>0</v>
      </c>
      <c r="N249" s="276"/>
      <c r="O249" s="276"/>
      <c r="P249" s="276"/>
      <c r="Q249" s="276"/>
      <c r="R249" s="276"/>
    </row>
    <row r="250" spans="1:38" s="282" customFormat="1">
      <c r="A250" s="271">
        <f t="shared" si="21"/>
        <v>0</v>
      </c>
      <c r="B250" s="265" t="str">
        <f t="shared" si="18"/>
        <v/>
      </c>
      <c r="C250" s="266"/>
      <c r="D250" s="266"/>
      <c r="E250" s="266"/>
      <c r="F250" s="266"/>
      <c r="G250" s="276"/>
      <c r="H250" s="295">
        <v>245</v>
      </c>
      <c r="I250" s="296" t="str">
        <f t="shared" si="22"/>
        <v/>
      </c>
      <c r="J250" s="295">
        <f t="shared" si="23"/>
        <v>-5</v>
      </c>
      <c r="K250" s="295">
        <f t="shared" si="19"/>
        <v>-50</v>
      </c>
      <c r="L250" s="295"/>
      <c r="M250" s="297">
        <f t="shared" si="20"/>
        <v>0</v>
      </c>
      <c r="N250" s="276"/>
      <c r="O250" s="276"/>
      <c r="P250" s="276"/>
      <c r="Q250" s="276"/>
      <c r="R250" s="276"/>
    </row>
    <row r="251" spans="1:38" s="282" customFormat="1">
      <c r="A251" s="270">
        <f t="shared" si="21"/>
        <v>0</v>
      </c>
      <c r="B251" s="268" t="str">
        <f t="shared" si="18"/>
        <v/>
      </c>
      <c r="C251" s="269"/>
      <c r="D251" s="269"/>
      <c r="E251" s="269"/>
      <c r="F251" s="269"/>
      <c r="G251" s="276"/>
      <c r="H251" s="301">
        <v>246</v>
      </c>
      <c r="I251" s="302" t="str">
        <f t="shared" si="22"/>
        <v/>
      </c>
      <c r="J251" s="301">
        <f t="shared" si="23"/>
        <v>-5</v>
      </c>
      <c r="K251" s="301">
        <f t="shared" si="19"/>
        <v>-50</v>
      </c>
      <c r="L251" s="301"/>
      <c r="M251" s="303">
        <f t="shared" si="20"/>
        <v>0</v>
      </c>
      <c r="N251" s="276"/>
      <c r="O251" s="276"/>
      <c r="P251" s="276"/>
      <c r="Q251" s="276"/>
      <c r="R251" s="276"/>
    </row>
    <row r="252" spans="1:38" s="282" customFormat="1">
      <c r="A252" s="271">
        <f t="shared" si="21"/>
        <v>0</v>
      </c>
      <c r="B252" s="265" t="str">
        <f t="shared" si="18"/>
        <v/>
      </c>
      <c r="C252" s="266"/>
      <c r="D252" s="266"/>
      <c r="E252" s="266"/>
      <c r="F252" s="266"/>
      <c r="G252" s="276"/>
      <c r="H252" s="295">
        <v>247</v>
      </c>
      <c r="I252" s="296" t="str">
        <f t="shared" si="22"/>
        <v/>
      </c>
      <c r="J252" s="295">
        <f t="shared" si="23"/>
        <v>-5</v>
      </c>
      <c r="K252" s="295">
        <f t="shared" si="19"/>
        <v>-50</v>
      </c>
      <c r="L252" s="295"/>
      <c r="M252" s="297">
        <f t="shared" si="20"/>
        <v>0</v>
      </c>
      <c r="N252" s="276"/>
      <c r="O252" s="276"/>
      <c r="P252" s="276"/>
      <c r="Q252" s="276"/>
      <c r="R252" s="276"/>
    </row>
    <row r="253" spans="1:38" s="282" customFormat="1">
      <c r="A253" s="270">
        <f t="shared" si="21"/>
        <v>0</v>
      </c>
      <c r="B253" s="268" t="str">
        <f t="shared" si="18"/>
        <v/>
      </c>
      <c r="C253" s="269"/>
      <c r="D253" s="269"/>
      <c r="E253" s="269"/>
      <c r="F253" s="269"/>
      <c r="G253" s="276"/>
      <c r="H253" s="301">
        <v>248</v>
      </c>
      <c r="I253" s="302" t="str">
        <f t="shared" si="22"/>
        <v/>
      </c>
      <c r="J253" s="301">
        <f t="shared" si="23"/>
        <v>-5</v>
      </c>
      <c r="K253" s="301">
        <f t="shared" si="19"/>
        <v>-50</v>
      </c>
      <c r="L253" s="301"/>
      <c r="M253" s="303">
        <f t="shared" si="20"/>
        <v>0</v>
      </c>
      <c r="N253" s="276"/>
      <c r="O253" s="276"/>
      <c r="P253" s="276"/>
      <c r="Q253" s="276"/>
      <c r="R253" s="276"/>
    </row>
    <row r="254" spans="1:38" s="282" customFormat="1">
      <c r="A254" s="271">
        <f t="shared" si="21"/>
        <v>0</v>
      </c>
      <c r="B254" s="265" t="str">
        <f t="shared" si="18"/>
        <v/>
      </c>
      <c r="C254" s="266"/>
      <c r="D254" s="266"/>
      <c r="E254" s="266"/>
      <c r="F254" s="266"/>
      <c r="G254" s="276"/>
      <c r="H254" s="295">
        <v>249</v>
      </c>
      <c r="I254" s="296" t="str">
        <f t="shared" si="22"/>
        <v/>
      </c>
      <c r="J254" s="295">
        <f t="shared" si="23"/>
        <v>-5</v>
      </c>
      <c r="K254" s="295">
        <f t="shared" si="19"/>
        <v>-50</v>
      </c>
      <c r="L254" s="295"/>
      <c r="M254" s="297">
        <f t="shared" si="20"/>
        <v>0</v>
      </c>
      <c r="N254" s="276"/>
      <c r="O254" s="276"/>
      <c r="P254" s="276"/>
      <c r="Q254" s="276"/>
      <c r="R254" s="276"/>
    </row>
    <row r="255" spans="1:38" s="276" customFormat="1">
      <c r="A255" s="270">
        <f t="shared" si="21"/>
        <v>0</v>
      </c>
      <c r="B255" s="268" t="str">
        <f t="shared" si="18"/>
        <v/>
      </c>
      <c r="C255" s="269"/>
      <c r="D255" s="269"/>
      <c r="E255" s="269"/>
      <c r="F255" s="269"/>
      <c r="H255" s="301">
        <v>250</v>
      </c>
      <c r="I255" s="302" t="str">
        <f t="shared" si="22"/>
        <v/>
      </c>
      <c r="J255" s="301">
        <f t="shared" si="23"/>
        <v>-5</v>
      </c>
      <c r="K255" s="301">
        <f t="shared" si="19"/>
        <v>-50</v>
      </c>
      <c r="L255" s="301"/>
      <c r="M255" s="303">
        <f t="shared" si="20"/>
        <v>0</v>
      </c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  <c r="AC255" s="282"/>
      <c r="AD255" s="282"/>
      <c r="AE255" s="282"/>
      <c r="AF255" s="282"/>
      <c r="AG255" s="282"/>
      <c r="AH255" s="282"/>
      <c r="AI255" s="282"/>
      <c r="AJ255" s="282"/>
      <c r="AK255" s="282"/>
      <c r="AL255" s="282"/>
    </row>
    <row r="256" spans="1:38" s="276" customFormat="1">
      <c r="A256" s="271">
        <f t="shared" si="21"/>
        <v>0</v>
      </c>
      <c r="B256" s="265" t="str">
        <f t="shared" si="18"/>
        <v/>
      </c>
      <c r="C256" s="266"/>
      <c r="D256" s="266"/>
      <c r="E256" s="266"/>
      <c r="F256" s="266"/>
      <c r="H256" s="295">
        <v>251</v>
      </c>
      <c r="I256" s="296" t="str">
        <f t="shared" si="22"/>
        <v/>
      </c>
      <c r="J256" s="295">
        <f t="shared" si="23"/>
        <v>-5</v>
      </c>
      <c r="K256" s="295">
        <f t="shared" si="19"/>
        <v>-50</v>
      </c>
      <c r="L256" s="295"/>
      <c r="M256" s="297">
        <f t="shared" si="20"/>
        <v>0</v>
      </c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  <c r="AC256" s="282"/>
      <c r="AD256" s="282"/>
      <c r="AE256" s="282"/>
      <c r="AF256" s="282"/>
      <c r="AG256" s="282"/>
      <c r="AH256" s="282"/>
      <c r="AI256" s="282"/>
      <c r="AJ256" s="282"/>
      <c r="AK256" s="282"/>
      <c r="AL256" s="282"/>
    </row>
    <row r="257" spans="1:38" s="276" customFormat="1">
      <c r="A257" s="270">
        <f t="shared" si="21"/>
        <v>0</v>
      </c>
      <c r="B257" s="268" t="str">
        <f t="shared" si="18"/>
        <v/>
      </c>
      <c r="C257" s="269"/>
      <c r="D257" s="269"/>
      <c r="E257" s="269"/>
      <c r="F257" s="269"/>
      <c r="H257" s="301">
        <v>252</v>
      </c>
      <c r="I257" s="302" t="str">
        <f t="shared" si="22"/>
        <v/>
      </c>
      <c r="J257" s="301">
        <f t="shared" si="23"/>
        <v>-5</v>
      </c>
      <c r="K257" s="301">
        <f t="shared" si="19"/>
        <v>-50</v>
      </c>
      <c r="L257" s="301"/>
      <c r="M257" s="303">
        <f t="shared" si="20"/>
        <v>0</v>
      </c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2"/>
      <c r="AH257" s="282"/>
      <c r="AI257" s="282"/>
      <c r="AJ257" s="282"/>
      <c r="AK257" s="282"/>
      <c r="AL257" s="282"/>
    </row>
    <row r="258" spans="1:38" s="276" customFormat="1">
      <c r="A258" s="271">
        <f t="shared" si="21"/>
        <v>0</v>
      </c>
      <c r="B258" s="265" t="str">
        <f t="shared" si="18"/>
        <v/>
      </c>
      <c r="C258" s="266"/>
      <c r="D258" s="266"/>
      <c r="E258" s="266"/>
      <c r="F258" s="266"/>
      <c r="H258" s="295">
        <v>253</v>
      </c>
      <c r="I258" s="296" t="str">
        <f t="shared" si="22"/>
        <v/>
      </c>
      <c r="J258" s="295">
        <f t="shared" si="23"/>
        <v>-5</v>
      </c>
      <c r="K258" s="295">
        <f t="shared" si="19"/>
        <v>-50</v>
      </c>
      <c r="L258" s="295"/>
      <c r="M258" s="297">
        <f t="shared" si="20"/>
        <v>0</v>
      </c>
      <c r="S258" s="282"/>
      <c r="T258" s="282"/>
      <c r="U258" s="282"/>
      <c r="V258" s="282"/>
      <c r="W258" s="282"/>
      <c r="X258" s="282"/>
      <c r="Y258" s="282"/>
      <c r="Z258" s="282"/>
      <c r="AA258" s="282"/>
      <c r="AB258" s="282"/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</row>
    <row r="259" spans="1:38" s="276" customFormat="1">
      <c r="A259" s="270">
        <f t="shared" si="21"/>
        <v>0</v>
      </c>
      <c r="B259" s="268" t="str">
        <f t="shared" si="18"/>
        <v/>
      </c>
      <c r="C259" s="269"/>
      <c r="D259" s="269"/>
      <c r="E259" s="269"/>
      <c r="F259" s="269"/>
      <c r="H259" s="301">
        <v>254</v>
      </c>
      <c r="I259" s="302" t="str">
        <f t="shared" si="22"/>
        <v/>
      </c>
      <c r="J259" s="301">
        <f t="shared" si="23"/>
        <v>-5</v>
      </c>
      <c r="K259" s="301">
        <f t="shared" si="19"/>
        <v>-50</v>
      </c>
      <c r="L259" s="301"/>
      <c r="M259" s="303">
        <f t="shared" si="20"/>
        <v>0</v>
      </c>
      <c r="S259" s="282"/>
      <c r="T259" s="282"/>
      <c r="U259" s="282"/>
      <c r="V259" s="282"/>
      <c r="W259" s="282"/>
      <c r="X259" s="282"/>
      <c r="Y259" s="282"/>
      <c r="Z259" s="282"/>
      <c r="AA259" s="282"/>
      <c r="AB259" s="282"/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</row>
    <row r="260" spans="1:38" s="276" customFormat="1">
      <c r="A260" s="271">
        <f t="shared" si="21"/>
        <v>0</v>
      </c>
      <c r="B260" s="265" t="str">
        <f t="shared" si="18"/>
        <v/>
      </c>
      <c r="C260" s="266"/>
      <c r="D260" s="266"/>
      <c r="E260" s="266"/>
      <c r="F260" s="266"/>
      <c r="H260" s="295">
        <v>255</v>
      </c>
      <c r="I260" s="296" t="str">
        <f t="shared" si="22"/>
        <v/>
      </c>
      <c r="J260" s="295">
        <f t="shared" si="23"/>
        <v>-5</v>
      </c>
      <c r="K260" s="295">
        <f t="shared" si="19"/>
        <v>-50</v>
      </c>
      <c r="L260" s="295"/>
      <c r="M260" s="297">
        <f t="shared" si="20"/>
        <v>0</v>
      </c>
      <c r="S260" s="282"/>
      <c r="T260" s="282"/>
      <c r="U260" s="282"/>
      <c r="V260" s="282"/>
      <c r="W260" s="282"/>
      <c r="X260" s="282"/>
      <c r="Y260" s="282"/>
      <c r="Z260" s="282"/>
      <c r="AA260" s="282"/>
      <c r="AB260" s="282"/>
      <c r="AC260" s="282"/>
      <c r="AD260" s="282"/>
      <c r="AE260" s="282"/>
      <c r="AF260" s="282"/>
      <c r="AG260" s="282"/>
      <c r="AH260" s="282"/>
      <c r="AI260" s="282"/>
      <c r="AJ260" s="282"/>
      <c r="AK260" s="282"/>
      <c r="AL260" s="282"/>
    </row>
    <row r="261" spans="1:38" s="276" customFormat="1">
      <c r="A261" s="270">
        <f t="shared" si="21"/>
        <v>0</v>
      </c>
      <c r="B261" s="268" t="str">
        <f t="shared" si="18"/>
        <v/>
      </c>
      <c r="C261" s="269"/>
      <c r="D261" s="269"/>
      <c r="E261" s="269"/>
      <c r="F261" s="269"/>
      <c r="H261" s="301">
        <v>256</v>
      </c>
      <c r="I261" s="302" t="str">
        <f t="shared" si="22"/>
        <v/>
      </c>
      <c r="J261" s="301">
        <f t="shared" si="23"/>
        <v>-5</v>
      </c>
      <c r="K261" s="301">
        <f t="shared" si="19"/>
        <v>-50</v>
      </c>
      <c r="L261" s="301"/>
      <c r="M261" s="303">
        <f t="shared" si="20"/>
        <v>0</v>
      </c>
      <c r="S261" s="282"/>
      <c r="T261" s="282"/>
      <c r="U261" s="282"/>
      <c r="V261" s="282"/>
      <c r="W261" s="282"/>
      <c r="X261" s="282"/>
      <c r="Y261" s="282"/>
      <c r="Z261" s="282"/>
      <c r="AA261" s="282"/>
      <c r="AB261" s="282"/>
      <c r="AC261" s="282"/>
      <c r="AD261" s="282"/>
      <c r="AE261" s="282"/>
      <c r="AF261" s="282"/>
      <c r="AG261" s="282"/>
      <c r="AH261" s="282"/>
      <c r="AI261" s="282"/>
      <c r="AJ261" s="282"/>
      <c r="AK261" s="282"/>
      <c r="AL261" s="282"/>
    </row>
    <row r="262" spans="1:38" s="276" customFormat="1">
      <c r="A262" s="271">
        <f t="shared" si="21"/>
        <v>0</v>
      </c>
      <c r="B262" s="265" t="str">
        <f t="shared" ref="B262:B269" si="24">IF(H262&gt;$H$2,"",(ROW()-5))</f>
        <v/>
      </c>
      <c r="C262" s="266"/>
      <c r="D262" s="266"/>
      <c r="E262" s="266"/>
      <c r="F262" s="266"/>
      <c r="H262" s="295">
        <v>257</v>
      </c>
      <c r="I262" s="296" t="str">
        <f t="shared" si="22"/>
        <v/>
      </c>
      <c r="J262" s="295">
        <f t="shared" si="23"/>
        <v>-6</v>
      </c>
      <c r="K262" s="295">
        <f t="shared" ref="K262:K305" si="25">J262*$J$2</f>
        <v>-60</v>
      </c>
      <c r="L262" s="295"/>
      <c r="M262" s="297">
        <f t="shared" ref="M262:M305" si="26">IF(I262&lt;&gt;"",K262+I262+L262,0)</f>
        <v>0</v>
      </c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2"/>
      <c r="AH262" s="282"/>
      <c r="AI262" s="282"/>
      <c r="AJ262" s="282"/>
      <c r="AK262" s="282"/>
      <c r="AL262" s="282"/>
    </row>
    <row r="263" spans="1:38" s="276" customFormat="1">
      <c r="A263" s="270">
        <f t="shared" ref="A263:A269" si="27">M263</f>
        <v>0</v>
      </c>
      <c r="B263" s="268" t="str">
        <f t="shared" si="24"/>
        <v/>
      </c>
      <c r="C263" s="269"/>
      <c r="D263" s="269"/>
      <c r="E263" s="269"/>
      <c r="F263" s="269"/>
      <c r="H263" s="301">
        <v>258</v>
      </c>
      <c r="I263" s="302" t="str">
        <f t="shared" ref="I263:I305" si="28">IF(H263&lt;$H$2+1,($I$2-($I$2-1)*(LOG(H263)/LOG($H$2))),"")</f>
        <v/>
      </c>
      <c r="J263" s="301">
        <f t="shared" ref="J263:J326" si="29">INT(LOG($H$2,2))-ROUNDUP(LOG(H263,2),0)+IF(OR($H$2=1,$H$2=2,$H$2=4,$H$2=8,$H$2=16,$H$2=32,$H$2=64,$H$2=128,$H$2=256),0,1)</f>
        <v>-6</v>
      </c>
      <c r="K263" s="301">
        <f t="shared" si="25"/>
        <v>-60</v>
      </c>
      <c r="L263" s="301"/>
      <c r="M263" s="303">
        <f t="shared" si="26"/>
        <v>0</v>
      </c>
      <c r="S263" s="282"/>
      <c r="T263" s="282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2"/>
      <c r="AG263" s="282"/>
      <c r="AH263" s="282"/>
      <c r="AI263" s="282"/>
      <c r="AJ263" s="282"/>
      <c r="AK263" s="282"/>
      <c r="AL263" s="282"/>
    </row>
    <row r="264" spans="1:38" s="276" customFormat="1">
      <c r="A264" s="271">
        <f t="shared" si="27"/>
        <v>0</v>
      </c>
      <c r="B264" s="265" t="str">
        <f t="shared" si="24"/>
        <v/>
      </c>
      <c r="C264" s="266"/>
      <c r="D264" s="266"/>
      <c r="E264" s="266"/>
      <c r="F264" s="266"/>
      <c r="H264" s="295">
        <v>259</v>
      </c>
      <c r="I264" s="296" t="str">
        <f t="shared" si="28"/>
        <v/>
      </c>
      <c r="J264" s="295">
        <f t="shared" si="29"/>
        <v>-6</v>
      </c>
      <c r="K264" s="295">
        <f t="shared" si="25"/>
        <v>-60</v>
      </c>
      <c r="L264" s="295"/>
      <c r="M264" s="297">
        <f t="shared" si="26"/>
        <v>0</v>
      </c>
      <c r="S264" s="282"/>
      <c r="T264" s="282"/>
      <c r="U264" s="282"/>
      <c r="V264" s="282"/>
      <c r="W264" s="282"/>
      <c r="X264" s="282"/>
      <c r="Y264" s="282"/>
      <c r="Z264" s="282"/>
      <c r="AA264" s="282"/>
      <c r="AB264" s="282"/>
      <c r="AC264" s="282"/>
      <c r="AD264" s="282"/>
      <c r="AE264" s="282"/>
      <c r="AF264" s="282"/>
      <c r="AG264" s="282"/>
      <c r="AH264" s="282"/>
      <c r="AI264" s="282"/>
      <c r="AJ264" s="282"/>
      <c r="AK264" s="282"/>
      <c r="AL264" s="282"/>
    </row>
    <row r="265" spans="1:38" s="276" customFormat="1">
      <c r="A265" s="270">
        <f t="shared" si="27"/>
        <v>0</v>
      </c>
      <c r="B265" s="268" t="str">
        <f t="shared" si="24"/>
        <v/>
      </c>
      <c r="C265" s="269"/>
      <c r="D265" s="269"/>
      <c r="E265" s="269"/>
      <c r="F265" s="269"/>
      <c r="H265" s="301">
        <v>260</v>
      </c>
      <c r="I265" s="302" t="str">
        <f t="shared" si="28"/>
        <v/>
      </c>
      <c r="J265" s="301">
        <f t="shared" si="29"/>
        <v>-6</v>
      </c>
      <c r="K265" s="301">
        <f t="shared" si="25"/>
        <v>-60</v>
      </c>
      <c r="L265" s="301"/>
      <c r="M265" s="303">
        <f t="shared" si="26"/>
        <v>0</v>
      </c>
      <c r="S265" s="282"/>
      <c r="T265" s="282"/>
      <c r="U265" s="282"/>
      <c r="V265" s="282"/>
      <c r="W265" s="282"/>
      <c r="X265" s="282"/>
      <c r="Y265" s="282"/>
      <c r="Z265" s="282"/>
      <c r="AA265" s="282"/>
      <c r="AB265" s="282"/>
      <c r="AC265" s="282"/>
      <c r="AD265" s="282"/>
      <c r="AE265" s="282"/>
      <c r="AF265" s="282"/>
      <c r="AG265" s="282"/>
      <c r="AH265" s="282"/>
      <c r="AI265" s="282"/>
      <c r="AJ265" s="282"/>
      <c r="AK265" s="282"/>
      <c r="AL265" s="282"/>
    </row>
    <row r="266" spans="1:38" s="276" customFormat="1">
      <c r="A266" s="271">
        <f t="shared" si="27"/>
        <v>0</v>
      </c>
      <c r="B266" s="265" t="str">
        <f t="shared" si="24"/>
        <v/>
      </c>
      <c r="C266" s="266"/>
      <c r="D266" s="266"/>
      <c r="E266" s="266"/>
      <c r="F266" s="266"/>
      <c r="H266" s="295">
        <v>261</v>
      </c>
      <c r="I266" s="296" t="str">
        <f t="shared" si="28"/>
        <v/>
      </c>
      <c r="J266" s="295">
        <f t="shared" si="29"/>
        <v>-6</v>
      </c>
      <c r="K266" s="295">
        <f t="shared" si="25"/>
        <v>-60</v>
      </c>
      <c r="L266" s="295"/>
      <c r="M266" s="297">
        <f t="shared" si="26"/>
        <v>0</v>
      </c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  <c r="AC266" s="282"/>
      <c r="AD266" s="282"/>
      <c r="AE266" s="282"/>
      <c r="AF266" s="282"/>
      <c r="AG266" s="282"/>
      <c r="AH266" s="282"/>
      <c r="AI266" s="282"/>
      <c r="AJ266" s="282"/>
      <c r="AK266" s="282"/>
      <c r="AL266" s="282"/>
    </row>
    <row r="267" spans="1:38" s="276" customFormat="1">
      <c r="A267" s="270">
        <f t="shared" si="27"/>
        <v>0</v>
      </c>
      <c r="B267" s="268" t="str">
        <f t="shared" si="24"/>
        <v/>
      </c>
      <c r="C267" s="269"/>
      <c r="D267" s="269"/>
      <c r="E267" s="269"/>
      <c r="F267" s="269"/>
      <c r="H267" s="301">
        <v>262</v>
      </c>
      <c r="I267" s="302" t="str">
        <f t="shared" si="28"/>
        <v/>
      </c>
      <c r="J267" s="301">
        <f t="shared" si="29"/>
        <v>-6</v>
      </c>
      <c r="K267" s="301">
        <f t="shared" si="25"/>
        <v>-60</v>
      </c>
      <c r="L267" s="301"/>
      <c r="M267" s="303">
        <f t="shared" si="26"/>
        <v>0</v>
      </c>
      <c r="S267" s="282"/>
      <c r="T267" s="282"/>
      <c r="U267" s="282"/>
      <c r="V267" s="282"/>
      <c r="W267" s="282"/>
      <c r="X267" s="282"/>
      <c r="Y267" s="282"/>
      <c r="Z267" s="282"/>
      <c r="AA267" s="282"/>
      <c r="AB267" s="282"/>
      <c r="AC267" s="282"/>
      <c r="AD267" s="282"/>
      <c r="AE267" s="282"/>
      <c r="AF267" s="282"/>
      <c r="AG267" s="282"/>
      <c r="AH267" s="282"/>
      <c r="AI267" s="282"/>
      <c r="AJ267" s="282"/>
      <c r="AK267" s="282"/>
      <c r="AL267" s="282"/>
    </row>
    <row r="268" spans="1:38" s="276" customFormat="1">
      <c r="A268" s="271">
        <f t="shared" si="27"/>
        <v>0</v>
      </c>
      <c r="B268" s="265" t="str">
        <f t="shared" si="24"/>
        <v/>
      </c>
      <c r="C268" s="266"/>
      <c r="D268" s="266"/>
      <c r="E268" s="266"/>
      <c r="F268" s="266"/>
      <c r="H268" s="295">
        <v>263</v>
      </c>
      <c r="I268" s="296" t="str">
        <f t="shared" si="28"/>
        <v/>
      </c>
      <c r="J268" s="295">
        <f t="shared" si="29"/>
        <v>-6</v>
      </c>
      <c r="K268" s="295">
        <f t="shared" si="25"/>
        <v>-60</v>
      </c>
      <c r="L268" s="295"/>
      <c r="M268" s="297">
        <f t="shared" si="26"/>
        <v>0</v>
      </c>
      <c r="S268" s="282"/>
      <c r="T268" s="282"/>
      <c r="U268" s="282"/>
      <c r="V268" s="282"/>
      <c r="W268" s="282"/>
      <c r="X268" s="282"/>
      <c r="Y268" s="282"/>
      <c r="Z268" s="282"/>
      <c r="AA268" s="282"/>
      <c r="AB268" s="282"/>
      <c r="AC268" s="282"/>
      <c r="AD268" s="282"/>
      <c r="AE268" s="282"/>
      <c r="AF268" s="282"/>
      <c r="AG268" s="282"/>
      <c r="AH268" s="282"/>
      <c r="AI268" s="282"/>
      <c r="AJ268" s="282"/>
      <c r="AK268" s="282"/>
      <c r="AL268" s="282"/>
    </row>
    <row r="269" spans="1:38" s="276" customFormat="1">
      <c r="A269" s="270">
        <f t="shared" si="27"/>
        <v>0</v>
      </c>
      <c r="B269" s="268" t="str">
        <f t="shared" si="24"/>
        <v/>
      </c>
      <c r="C269" s="269"/>
      <c r="D269" s="269"/>
      <c r="E269" s="269"/>
      <c r="F269" s="269"/>
      <c r="H269" s="301">
        <v>264</v>
      </c>
      <c r="I269" s="302" t="str">
        <f t="shared" si="28"/>
        <v/>
      </c>
      <c r="J269" s="301">
        <f t="shared" si="29"/>
        <v>-6</v>
      </c>
      <c r="K269" s="301">
        <f t="shared" si="25"/>
        <v>-60</v>
      </c>
      <c r="L269" s="301"/>
      <c r="M269" s="303">
        <f t="shared" si="26"/>
        <v>0</v>
      </c>
      <c r="S269" s="282"/>
      <c r="T269" s="282"/>
      <c r="U269" s="282"/>
      <c r="V269" s="282"/>
      <c r="W269" s="282"/>
      <c r="X269" s="282"/>
      <c r="Y269" s="282"/>
      <c r="Z269" s="282"/>
      <c r="AA269" s="282"/>
      <c r="AB269" s="282"/>
      <c r="AC269" s="282"/>
      <c r="AD269" s="282"/>
      <c r="AE269" s="282"/>
      <c r="AF269" s="282"/>
      <c r="AG269" s="282"/>
      <c r="AH269" s="282"/>
      <c r="AI269" s="282"/>
      <c r="AJ269" s="282"/>
      <c r="AK269" s="282"/>
      <c r="AL269" s="282"/>
    </row>
    <row r="270" spans="1:38">
      <c r="A270" s="314"/>
      <c r="G270" s="276"/>
      <c r="H270" s="295">
        <v>265</v>
      </c>
      <c r="I270" s="296" t="str">
        <f t="shared" si="28"/>
        <v/>
      </c>
      <c r="J270" s="295">
        <f t="shared" si="29"/>
        <v>-6</v>
      </c>
      <c r="K270" s="295">
        <f t="shared" si="25"/>
        <v>-60</v>
      </c>
      <c r="L270" s="295"/>
      <c r="M270" s="297">
        <f t="shared" si="26"/>
        <v>0</v>
      </c>
    </row>
    <row r="271" spans="1:38">
      <c r="A271" s="314"/>
      <c r="G271" s="276"/>
      <c r="H271" s="295">
        <v>266</v>
      </c>
      <c r="I271" s="296" t="str">
        <f t="shared" si="28"/>
        <v/>
      </c>
      <c r="J271" s="295">
        <f t="shared" si="29"/>
        <v>-6</v>
      </c>
      <c r="K271" s="295">
        <f t="shared" si="25"/>
        <v>-60</v>
      </c>
      <c r="L271" s="295"/>
      <c r="M271" s="297">
        <f t="shared" si="26"/>
        <v>0</v>
      </c>
    </row>
    <row r="272" spans="1:38">
      <c r="A272" s="314"/>
      <c r="G272" s="276"/>
      <c r="H272" s="295">
        <v>267</v>
      </c>
      <c r="I272" s="296" t="str">
        <f t="shared" si="28"/>
        <v/>
      </c>
      <c r="J272" s="295">
        <f t="shared" si="29"/>
        <v>-6</v>
      </c>
      <c r="K272" s="295">
        <f t="shared" si="25"/>
        <v>-60</v>
      </c>
      <c r="L272" s="295"/>
      <c r="M272" s="297">
        <f t="shared" si="26"/>
        <v>0</v>
      </c>
    </row>
    <row r="273" spans="1:13">
      <c r="A273" s="314"/>
      <c r="G273" s="276"/>
      <c r="H273" s="295">
        <v>268</v>
      </c>
      <c r="I273" s="296" t="str">
        <f t="shared" si="28"/>
        <v/>
      </c>
      <c r="J273" s="295">
        <f t="shared" si="29"/>
        <v>-6</v>
      </c>
      <c r="K273" s="295">
        <f t="shared" si="25"/>
        <v>-60</v>
      </c>
      <c r="L273" s="295"/>
      <c r="M273" s="297">
        <f t="shared" si="26"/>
        <v>0</v>
      </c>
    </row>
    <row r="274" spans="1:13">
      <c r="A274" s="314"/>
      <c r="G274" s="276"/>
      <c r="H274" s="295">
        <v>269</v>
      </c>
      <c r="I274" s="296" t="str">
        <f t="shared" si="28"/>
        <v/>
      </c>
      <c r="J274" s="295">
        <f t="shared" si="29"/>
        <v>-6</v>
      </c>
      <c r="K274" s="295">
        <f t="shared" si="25"/>
        <v>-60</v>
      </c>
      <c r="L274" s="295"/>
      <c r="M274" s="297">
        <f t="shared" si="26"/>
        <v>0</v>
      </c>
    </row>
    <row r="275" spans="1:13">
      <c r="A275" s="314"/>
      <c r="G275" s="276"/>
      <c r="H275" s="295">
        <v>270</v>
      </c>
      <c r="I275" s="296" t="str">
        <f t="shared" si="28"/>
        <v/>
      </c>
      <c r="J275" s="295">
        <f t="shared" si="29"/>
        <v>-6</v>
      </c>
      <c r="K275" s="295">
        <f t="shared" si="25"/>
        <v>-60</v>
      </c>
      <c r="L275" s="295"/>
      <c r="M275" s="297">
        <f t="shared" si="26"/>
        <v>0</v>
      </c>
    </row>
    <row r="276" spans="1:13">
      <c r="A276" s="314"/>
      <c r="G276" s="276"/>
      <c r="H276" s="295">
        <v>271</v>
      </c>
      <c r="I276" s="296" t="str">
        <f t="shared" si="28"/>
        <v/>
      </c>
      <c r="J276" s="295">
        <f t="shared" si="29"/>
        <v>-6</v>
      </c>
      <c r="K276" s="295">
        <f t="shared" si="25"/>
        <v>-60</v>
      </c>
      <c r="L276" s="295"/>
      <c r="M276" s="297">
        <f t="shared" si="26"/>
        <v>0</v>
      </c>
    </row>
    <row r="277" spans="1:13">
      <c r="A277" s="314"/>
      <c r="G277" s="276"/>
      <c r="H277" s="295">
        <v>272</v>
      </c>
      <c r="I277" s="296" t="str">
        <f t="shared" si="28"/>
        <v/>
      </c>
      <c r="J277" s="295">
        <f t="shared" si="29"/>
        <v>-6</v>
      </c>
      <c r="K277" s="295">
        <f t="shared" si="25"/>
        <v>-60</v>
      </c>
      <c r="L277" s="295"/>
      <c r="M277" s="297">
        <f t="shared" si="26"/>
        <v>0</v>
      </c>
    </row>
    <row r="278" spans="1:13">
      <c r="A278" s="314"/>
      <c r="G278" s="276"/>
      <c r="H278" s="295">
        <v>273</v>
      </c>
      <c r="I278" s="296" t="str">
        <f t="shared" si="28"/>
        <v/>
      </c>
      <c r="J278" s="295">
        <f t="shared" si="29"/>
        <v>-6</v>
      </c>
      <c r="K278" s="295">
        <f t="shared" si="25"/>
        <v>-60</v>
      </c>
      <c r="L278" s="295"/>
      <c r="M278" s="297">
        <f t="shared" si="26"/>
        <v>0</v>
      </c>
    </row>
    <row r="279" spans="1:13">
      <c r="A279" s="314"/>
      <c r="G279" s="276"/>
      <c r="H279" s="295">
        <v>274</v>
      </c>
      <c r="I279" s="296" t="str">
        <f t="shared" si="28"/>
        <v/>
      </c>
      <c r="J279" s="295">
        <f t="shared" si="29"/>
        <v>-6</v>
      </c>
      <c r="K279" s="295">
        <f t="shared" si="25"/>
        <v>-60</v>
      </c>
      <c r="L279" s="295"/>
      <c r="M279" s="297">
        <f t="shared" si="26"/>
        <v>0</v>
      </c>
    </row>
    <row r="280" spans="1:13">
      <c r="A280" s="314"/>
      <c r="G280" s="276"/>
      <c r="H280" s="295">
        <v>275</v>
      </c>
      <c r="I280" s="296" t="str">
        <f t="shared" si="28"/>
        <v/>
      </c>
      <c r="J280" s="295">
        <f t="shared" si="29"/>
        <v>-6</v>
      </c>
      <c r="K280" s="295">
        <f t="shared" si="25"/>
        <v>-60</v>
      </c>
      <c r="L280" s="295"/>
      <c r="M280" s="297">
        <f t="shared" si="26"/>
        <v>0</v>
      </c>
    </row>
    <row r="281" spans="1:13">
      <c r="A281" s="314"/>
      <c r="G281" s="276"/>
      <c r="H281" s="295">
        <v>276</v>
      </c>
      <c r="I281" s="296" t="str">
        <f t="shared" si="28"/>
        <v/>
      </c>
      <c r="J281" s="295">
        <f t="shared" si="29"/>
        <v>-6</v>
      </c>
      <c r="K281" s="295">
        <f t="shared" si="25"/>
        <v>-60</v>
      </c>
      <c r="L281" s="295"/>
      <c r="M281" s="297">
        <f t="shared" si="26"/>
        <v>0</v>
      </c>
    </row>
    <row r="282" spans="1:13">
      <c r="A282" s="314"/>
      <c r="G282" s="276"/>
      <c r="H282" s="295">
        <v>277</v>
      </c>
      <c r="I282" s="296" t="str">
        <f t="shared" si="28"/>
        <v/>
      </c>
      <c r="J282" s="295">
        <f t="shared" si="29"/>
        <v>-6</v>
      </c>
      <c r="K282" s="295">
        <f t="shared" si="25"/>
        <v>-60</v>
      </c>
      <c r="L282" s="295"/>
      <c r="M282" s="297">
        <f t="shared" si="26"/>
        <v>0</v>
      </c>
    </row>
    <row r="283" spans="1:13">
      <c r="A283" s="314"/>
      <c r="G283" s="276"/>
      <c r="H283" s="295">
        <v>278</v>
      </c>
      <c r="I283" s="296" t="str">
        <f t="shared" si="28"/>
        <v/>
      </c>
      <c r="J283" s="295">
        <f t="shared" si="29"/>
        <v>-6</v>
      </c>
      <c r="K283" s="295">
        <f t="shared" si="25"/>
        <v>-60</v>
      </c>
      <c r="L283" s="295"/>
      <c r="M283" s="297">
        <f t="shared" si="26"/>
        <v>0</v>
      </c>
    </row>
    <row r="284" spans="1:13">
      <c r="A284" s="314"/>
      <c r="G284" s="276"/>
      <c r="H284" s="295">
        <v>279</v>
      </c>
      <c r="I284" s="296" t="str">
        <f t="shared" si="28"/>
        <v/>
      </c>
      <c r="J284" s="295">
        <f t="shared" si="29"/>
        <v>-6</v>
      </c>
      <c r="K284" s="295">
        <f t="shared" si="25"/>
        <v>-60</v>
      </c>
      <c r="L284" s="295"/>
      <c r="M284" s="297">
        <f t="shared" si="26"/>
        <v>0</v>
      </c>
    </row>
    <row r="285" spans="1:13">
      <c r="A285" s="314"/>
      <c r="G285" s="276"/>
      <c r="H285" s="295">
        <v>280</v>
      </c>
      <c r="I285" s="296" t="str">
        <f t="shared" si="28"/>
        <v/>
      </c>
      <c r="J285" s="295">
        <f t="shared" si="29"/>
        <v>-6</v>
      </c>
      <c r="K285" s="295">
        <f t="shared" si="25"/>
        <v>-60</v>
      </c>
      <c r="L285" s="295"/>
      <c r="M285" s="297">
        <f t="shared" si="26"/>
        <v>0</v>
      </c>
    </row>
    <row r="286" spans="1:13">
      <c r="A286" s="314"/>
      <c r="G286" s="276"/>
      <c r="H286" s="295">
        <v>281</v>
      </c>
      <c r="I286" s="296" t="str">
        <f t="shared" si="28"/>
        <v/>
      </c>
      <c r="J286" s="295">
        <f t="shared" si="29"/>
        <v>-6</v>
      </c>
      <c r="K286" s="295">
        <f t="shared" si="25"/>
        <v>-60</v>
      </c>
      <c r="L286" s="295"/>
      <c r="M286" s="297">
        <f t="shared" si="26"/>
        <v>0</v>
      </c>
    </row>
    <row r="287" spans="1:13">
      <c r="A287" s="314"/>
      <c r="G287" s="276"/>
      <c r="H287" s="295">
        <v>282</v>
      </c>
      <c r="I287" s="296" t="str">
        <f t="shared" si="28"/>
        <v/>
      </c>
      <c r="J287" s="295">
        <f t="shared" si="29"/>
        <v>-6</v>
      </c>
      <c r="K287" s="295">
        <f t="shared" si="25"/>
        <v>-60</v>
      </c>
      <c r="L287" s="295"/>
      <c r="M287" s="297">
        <f t="shared" si="26"/>
        <v>0</v>
      </c>
    </row>
    <row r="288" spans="1:13">
      <c r="A288" s="314"/>
      <c r="G288" s="276"/>
      <c r="H288" s="295">
        <v>283</v>
      </c>
      <c r="I288" s="296" t="str">
        <f t="shared" si="28"/>
        <v/>
      </c>
      <c r="J288" s="295">
        <f t="shared" si="29"/>
        <v>-6</v>
      </c>
      <c r="K288" s="295">
        <f t="shared" si="25"/>
        <v>-60</v>
      </c>
      <c r="L288" s="295"/>
      <c r="M288" s="297">
        <f t="shared" si="26"/>
        <v>0</v>
      </c>
    </row>
    <row r="289" spans="1:13">
      <c r="A289" s="314"/>
      <c r="G289" s="276"/>
      <c r="H289" s="295">
        <v>284</v>
      </c>
      <c r="I289" s="296" t="str">
        <f t="shared" si="28"/>
        <v/>
      </c>
      <c r="J289" s="295">
        <f t="shared" si="29"/>
        <v>-6</v>
      </c>
      <c r="K289" s="295">
        <f t="shared" si="25"/>
        <v>-60</v>
      </c>
      <c r="L289" s="295"/>
      <c r="M289" s="297">
        <f t="shared" si="26"/>
        <v>0</v>
      </c>
    </row>
    <row r="290" spans="1:13">
      <c r="A290" s="314"/>
      <c r="G290" s="276"/>
      <c r="H290" s="295">
        <v>285</v>
      </c>
      <c r="I290" s="296" t="str">
        <f t="shared" si="28"/>
        <v/>
      </c>
      <c r="J290" s="295">
        <f t="shared" si="29"/>
        <v>-6</v>
      </c>
      <c r="K290" s="295">
        <f t="shared" si="25"/>
        <v>-60</v>
      </c>
      <c r="L290" s="295"/>
      <c r="M290" s="297">
        <f t="shared" si="26"/>
        <v>0</v>
      </c>
    </row>
    <row r="291" spans="1:13">
      <c r="A291" s="314"/>
      <c r="G291" s="276"/>
      <c r="H291" s="295">
        <v>286</v>
      </c>
      <c r="I291" s="296" t="str">
        <f t="shared" si="28"/>
        <v/>
      </c>
      <c r="J291" s="295">
        <f t="shared" si="29"/>
        <v>-6</v>
      </c>
      <c r="K291" s="295">
        <f t="shared" si="25"/>
        <v>-60</v>
      </c>
      <c r="L291" s="295"/>
      <c r="M291" s="297">
        <f t="shared" si="26"/>
        <v>0</v>
      </c>
    </row>
    <row r="292" spans="1:13">
      <c r="A292" s="314"/>
      <c r="G292" s="276"/>
      <c r="H292" s="295">
        <v>287</v>
      </c>
      <c r="I292" s="296" t="str">
        <f t="shared" si="28"/>
        <v/>
      </c>
      <c r="J292" s="295">
        <f t="shared" si="29"/>
        <v>-6</v>
      </c>
      <c r="K292" s="295">
        <f t="shared" si="25"/>
        <v>-60</v>
      </c>
      <c r="L292" s="295"/>
      <c r="M292" s="297">
        <f t="shared" si="26"/>
        <v>0</v>
      </c>
    </row>
    <row r="293" spans="1:13">
      <c r="A293" s="314"/>
      <c r="G293" s="276"/>
      <c r="H293" s="295">
        <v>288</v>
      </c>
      <c r="I293" s="296" t="str">
        <f t="shared" si="28"/>
        <v/>
      </c>
      <c r="J293" s="295">
        <f t="shared" si="29"/>
        <v>-6</v>
      </c>
      <c r="K293" s="295">
        <f t="shared" si="25"/>
        <v>-60</v>
      </c>
      <c r="L293" s="295"/>
      <c r="M293" s="297">
        <f t="shared" si="26"/>
        <v>0</v>
      </c>
    </row>
    <row r="294" spans="1:13">
      <c r="A294" s="314"/>
      <c r="G294" s="276"/>
      <c r="H294" s="295">
        <v>289</v>
      </c>
      <c r="I294" s="296" t="str">
        <f t="shared" si="28"/>
        <v/>
      </c>
      <c r="J294" s="295">
        <f t="shared" si="29"/>
        <v>-6</v>
      </c>
      <c r="K294" s="295">
        <f t="shared" si="25"/>
        <v>-60</v>
      </c>
      <c r="L294" s="295"/>
      <c r="M294" s="297">
        <f t="shared" si="26"/>
        <v>0</v>
      </c>
    </row>
    <row r="295" spans="1:13">
      <c r="A295" s="314"/>
      <c r="G295" s="276"/>
      <c r="H295" s="295">
        <v>290</v>
      </c>
      <c r="I295" s="296" t="str">
        <f t="shared" si="28"/>
        <v/>
      </c>
      <c r="J295" s="295">
        <f t="shared" si="29"/>
        <v>-6</v>
      </c>
      <c r="K295" s="295">
        <f t="shared" si="25"/>
        <v>-60</v>
      </c>
      <c r="L295" s="295"/>
      <c r="M295" s="297">
        <f t="shared" si="26"/>
        <v>0</v>
      </c>
    </row>
    <row r="296" spans="1:13">
      <c r="A296" s="314"/>
      <c r="G296" s="276"/>
      <c r="H296" s="295">
        <v>291</v>
      </c>
      <c r="I296" s="296" t="str">
        <f t="shared" si="28"/>
        <v/>
      </c>
      <c r="J296" s="295">
        <f t="shared" si="29"/>
        <v>-6</v>
      </c>
      <c r="K296" s="295">
        <f t="shared" si="25"/>
        <v>-60</v>
      </c>
      <c r="L296" s="295"/>
      <c r="M296" s="297">
        <f t="shared" si="26"/>
        <v>0</v>
      </c>
    </row>
    <row r="297" spans="1:13">
      <c r="A297" s="314"/>
      <c r="G297" s="276"/>
      <c r="H297" s="295">
        <v>292</v>
      </c>
      <c r="I297" s="296" t="str">
        <f t="shared" si="28"/>
        <v/>
      </c>
      <c r="J297" s="295">
        <f t="shared" si="29"/>
        <v>-6</v>
      </c>
      <c r="K297" s="295">
        <f t="shared" si="25"/>
        <v>-60</v>
      </c>
      <c r="L297" s="295"/>
      <c r="M297" s="297">
        <f t="shared" si="26"/>
        <v>0</v>
      </c>
    </row>
    <row r="298" spans="1:13">
      <c r="A298" s="314"/>
      <c r="G298" s="276"/>
      <c r="H298" s="295">
        <v>293</v>
      </c>
      <c r="I298" s="296" t="str">
        <f t="shared" si="28"/>
        <v/>
      </c>
      <c r="J298" s="295">
        <f t="shared" si="29"/>
        <v>-6</v>
      </c>
      <c r="K298" s="295">
        <f t="shared" si="25"/>
        <v>-60</v>
      </c>
      <c r="L298" s="295"/>
      <c r="M298" s="297">
        <f t="shared" si="26"/>
        <v>0</v>
      </c>
    </row>
    <row r="299" spans="1:13">
      <c r="A299" s="314"/>
      <c r="G299" s="276"/>
      <c r="H299" s="295">
        <v>294</v>
      </c>
      <c r="I299" s="296" t="str">
        <f t="shared" si="28"/>
        <v/>
      </c>
      <c r="J299" s="295">
        <f t="shared" si="29"/>
        <v>-6</v>
      </c>
      <c r="K299" s="295">
        <f t="shared" si="25"/>
        <v>-60</v>
      </c>
      <c r="L299" s="295"/>
      <c r="M299" s="297">
        <f t="shared" si="26"/>
        <v>0</v>
      </c>
    </row>
    <row r="300" spans="1:13">
      <c r="A300" s="314"/>
      <c r="G300" s="276"/>
      <c r="H300" s="295">
        <v>295</v>
      </c>
      <c r="I300" s="296" t="str">
        <f t="shared" si="28"/>
        <v/>
      </c>
      <c r="J300" s="295">
        <f t="shared" si="29"/>
        <v>-6</v>
      </c>
      <c r="K300" s="295">
        <f t="shared" si="25"/>
        <v>-60</v>
      </c>
      <c r="L300" s="295"/>
      <c r="M300" s="297">
        <f t="shared" si="26"/>
        <v>0</v>
      </c>
    </row>
    <row r="301" spans="1:13">
      <c r="A301" s="314"/>
      <c r="G301" s="276"/>
      <c r="H301" s="295">
        <v>296</v>
      </c>
      <c r="I301" s="296" t="str">
        <f t="shared" si="28"/>
        <v/>
      </c>
      <c r="J301" s="295">
        <f t="shared" si="29"/>
        <v>-6</v>
      </c>
      <c r="K301" s="295">
        <f t="shared" si="25"/>
        <v>-60</v>
      </c>
      <c r="L301" s="295"/>
      <c r="M301" s="297">
        <f t="shared" si="26"/>
        <v>0</v>
      </c>
    </row>
    <row r="302" spans="1:13">
      <c r="A302" s="314"/>
      <c r="G302" s="276"/>
      <c r="H302" s="295">
        <v>297</v>
      </c>
      <c r="I302" s="296" t="str">
        <f t="shared" si="28"/>
        <v/>
      </c>
      <c r="J302" s="295">
        <f t="shared" si="29"/>
        <v>-6</v>
      </c>
      <c r="K302" s="295">
        <f t="shared" si="25"/>
        <v>-60</v>
      </c>
      <c r="L302" s="295"/>
      <c r="M302" s="297">
        <f t="shared" si="26"/>
        <v>0</v>
      </c>
    </row>
    <row r="303" spans="1:13">
      <c r="A303" s="314"/>
      <c r="G303" s="276"/>
      <c r="H303" s="295">
        <v>298</v>
      </c>
      <c r="I303" s="296" t="str">
        <f t="shared" si="28"/>
        <v/>
      </c>
      <c r="J303" s="295">
        <f t="shared" si="29"/>
        <v>-6</v>
      </c>
      <c r="K303" s="295">
        <f t="shared" si="25"/>
        <v>-60</v>
      </c>
      <c r="L303" s="295"/>
      <c r="M303" s="297">
        <f t="shared" si="26"/>
        <v>0</v>
      </c>
    </row>
    <row r="304" spans="1:13">
      <c r="A304" s="314"/>
      <c r="G304" s="276"/>
      <c r="H304" s="295">
        <v>299</v>
      </c>
      <c r="I304" s="296" t="str">
        <f t="shared" si="28"/>
        <v/>
      </c>
      <c r="J304" s="295">
        <f t="shared" si="29"/>
        <v>-6</v>
      </c>
      <c r="K304" s="295">
        <f t="shared" si="25"/>
        <v>-60</v>
      </c>
      <c r="L304" s="295"/>
      <c r="M304" s="297">
        <f t="shared" si="26"/>
        <v>0</v>
      </c>
    </row>
    <row r="305" spans="1:16">
      <c r="A305" s="314"/>
      <c r="G305" s="276"/>
      <c r="H305" s="295">
        <v>300</v>
      </c>
      <c r="I305" s="296" t="str">
        <f t="shared" si="28"/>
        <v/>
      </c>
      <c r="J305" s="295">
        <f t="shared" si="29"/>
        <v>-6</v>
      </c>
      <c r="K305" s="295">
        <f t="shared" si="25"/>
        <v>-60</v>
      </c>
      <c r="L305" s="295"/>
      <c r="M305" s="297">
        <f t="shared" si="26"/>
        <v>0</v>
      </c>
    </row>
    <row r="306" spans="1:16">
      <c r="A306" s="316"/>
      <c r="J306" s="317" t="e">
        <f t="shared" si="29"/>
        <v>#NUM!</v>
      </c>
    </row>
    <row r="307" spans="1:16">
      <c r="J307" s="317" t="e">
        <f t="shared" si="29"/>
        <v>#NUM!</v>
      </c>
    </row>
    <row r="308" spans="1:16">
      <c r="J308" s="317" t="e">
        <f t="shared" si="29"/>
        <v>#NUM!</v>
      </c>
    </row>
    <row r="309" spans="1:16">
      <c r="J309" s="317" t="e">
        <f t="shared" si="29"/>
        <v>#NUM!</v>
      </c>
    </row>
    <row r="310" spans="1:16">
      <c r="J310" s="317" t="e">
        <f t="shared" si="29"/>
        <v>#NUM!</v>
      </c>
    </row>
    <row r="311" spans="1:16">
      <c r="J311" s="317" t="e">
        <f t="shared" si="29"/>
        <v>#NUM!</v>
      </c>
    </row>
    <row r="312" spans="1:16">
      <c r="J312" s="317" t="e">
        <f t="shared" si="29"/>
        <v>#NUM!</v>
      </c>
    </row>
    <row r="313" spans="1:16">
      <c r="J313" s="317" t="e">
        <f t="shared" si="29"/>
        <v>#NUM!</v>
      </c>
    </row>
    <row r="314" spans="1:16">
      <c r="J314" s="317" t="e">
        <f t="shared" si="29"/>
        <v>#NUM!</v>
      </c>
      <c r="L314" s="319"/>
      <c r="P314" s="309"/>
    </row>
    <row r="315" spans="1:16">
      <c r="J315" s="317" t="e">
        <f t="shared" si="29"/>
        <v>#NUM!</v>
      </c>
      <c r="L315" s="319"/>
      <c r="P315" s="309"/>
    </row>
    <row r="316" spans="1:16">
      <c r="J316" s="317" t="e">
        <f t="shared" si="29"/>
        <v>#NUM!</v>
      </c>
      <c r="L316" s="319"/>
      <c r="P316" s="309"/>
    </row>
    <row r="317" spans="1:16">
      <c r="J317" s="317" t="e">
        <f t="shared" si="29"/>
        <v>#NUM!</v>
      </c>
      <c r="L317" s="319"/>
      <c r="P317" s="309"/>
    </row>
    <row r="318" spans="1:16">
      <c r="J318" s="317" t="e">
        <f t="shared" si="29"/>
        <v>#NUM!</v>
      </c>
    </row>
    <row r="319" spans="1:16">
      <c r="J319" s="317" t="e">
        <f t="shared" si="29"/>
        <v>#NUM!</v>
      </c>
    </row>
    <row r="320" spans="1:16">
      <c r="J320" s="317" t="e">
        <f t="shared" si="29"/>
        <v>#NUM!</v>
      </c>
    </row>
    <row r="321" spans="10:10">
      <c r="J321" s="317" t="e">
        <f t="shared" si="29"/>
        <v>#NUM!</v>
      </c>
    </row>
    <row r="322" spans="10:10">
      <c r="J322" s="317" t="e">
        <f t="shared" si="29"/>
        <v>#NUM!</v>
      </c>
    </row>
    <row r="323" spans="10:10">
      <c r="J323" s="317" t="e">
        <f t="shared" si="29"/>
        <v>#NUM!</v>
      </c>
    </row>
    <row r="324" spans="10:10">
      <c r="J324" s="317" t="e">
        <f t="shared" si="29"/>
        <v>#NUM!</v>
      </c>
    </row>
    <row r="325" spans="10:10">
      <c r="J325" s="317" t="e">
        <f t="shared" si="29"/>
        <v>#NUM!</v>
      </c>
    </row>
    <row r="326" spans="10:10">
      <c r="J326" s="317" t="e">
        <f t="shared" si="29"/>
        <v>#NUM!</v>
      </c>
    </row>
    <row r="327" spans="10:10">
      <c r="J327" s="317" t="e">
        <f t="shared" ref="J327:J373" si="30">INT(LOG($H$2,2))-ROUNDUP(LOG(H327,2),0)+IF(OR($H$2=1,$H$2=2,$H$2=4,$H$2=8,$H$2=16,$H$2=32,$H$2=64,$H$2=128,$H$2=256),0,1)</f>
        <v>#NUM!</v>
      </c>
    </row>
    <row r="328" spans="10:10">
      <c r="J328" s="317" t="e">
        <f t="shared" si="30"/>
        <v>#NUM!</v>
      </c>
    </row>
    <row r="329" spans="10:10">
      <c r="J329" s="317" t="e">
        <f t="shared" si="30"/>
        <v>#NUM!</v>
      </c>
    </row>
    <row r="330" spans="10:10">
      <c r="J330" s="317" t="e">
        <f t="shared" si="30"/>
        <v>#NUM!</v>
      </c>
    </row>
    <row r="331" spans="10:10">
      <c r="J331" s="317" t="e">
        <f t="shared" si="30"/>
        <v>#NUM!</v>
      </c>
    </row>
    <row r="332" spans="10:10">
      <c r="J332" s="317" t="e">
        <f t="shared" si="30"/>
        <v>#NUM!</v>
      </c>
    </row>
    <row r="333" spans="10:10">
      <c r="J333" s="317" t="e">
        <f t="shared" si="30"/>
        <v>#NUM!</v>
      </c>
    </row>
    <row r="334" spans="10:10">
      <c r="J334" s="317" t="e">
        <f t="shared" si="30"/>
        <v>#NUM!</v>
      </c>
    </row>
    <row r="335" spans="10:10">
      <c r="J335" s="317" t="e">
        <f t="shared" si="30"/>
        <v>#NUM!</v>
      </c>
    </row>
    <row r="336" spans="10:10">
      <c r="J336" s="317" t="e">
        <f t="shared" si="30"/>
        <v>#NUM!</v>
      </c>
    </row>
    <row r="337" spans="10:10">
      <c r="J337" s="317" t="e">
        <f t="shared" si="30"/>
        <v>#NUM!</v>
      </c>
    </row>
    <row r="338" spans="10:10">
      <c r="J338" s="317" t="e">
        <f t="shared" si="30"/>
        <v>#NUM!</v>
      </c>
    </row>
    <row r="339" spans="10:10">
      <c r="J339" s="317" t="e">
        <f t="shared" si="30"/>
        <v>#NUM!</v>
      </c>
    </row>
    <row r="340" spans="10:10">
      <c r="J340" s="317" t="e">
        <f t="shared" si="30"/>
        <v>#NUM!</v>
      </c>
    </row>
    <row r="341" spans="10:10">
      <c r="J341" s="317" t="e">
        <f t="shared" si="30"/>
        <v>#NUM!</v>
      </c>
    </row>
    <row r="342" spans="10:10">
      <c r="J342" s="317" t="e">
        <f t="shared" si="30"/>
        <v>#NUM!</v>
      </c>
    </row>
    <row r="343" spans="10:10">
      <c r="J343" s="317" t="e">
        <f t="shared" si="30"/>
        <v>#NUM!</v>
      </c>
    </row>
    <row r="344" spans="10:10">
      <c r="J344" s="317" t="e">
        <f t="shared" si="30"/>
        <v>#NUM!</v>
      </c>
    </row>
    <row r="345" spans="10:10">
      <c r="J345" s="317" t="e">
        <f t="shared" si="30"/>
        <v>#NUM!</v>
      </c>
    </row>
    <row r="346" spans="10:10">
      <c r="J346" s="317" t="e">
        <f t="shared" si="30"/>
        <v>#NUM!</v>
      </c>
    </row>
    <row r="347" spans="10:10">
      <c r="J347" s="317" t="e">
        <f t="shared" si="30"/>
        <v>#NUM!</v>
      </c>
    </row>
    <row r="348" spans="10:10">
      <c r="J348" s="317" t="e">
        <f t="shared" si="30"/>
        <v>#NUM!</v>
      </c>
    </row>
    <row r="349" spans="10:10">
      <c r="J349" s="317" t="e">
        <f t="shared" si="30"/>
        <v>#NUM!</v>
      </c>
    </row>
    <row r="350" spans="10:10">
      <c r="J350" s="317" t="e">
        <f t="shared" si="30"/>
        <v>#NUM!</v>
      </c>
    </row>
    <row r="351" spans="10:10">
      <c r="J351" s="317" t="e">
        <f t="shared" si="30"/>
        <v>#NUM!</v>
      </c>
    </row>
    <row r="352" spans="10:10">
      <c r="J352" s="317" t="e">
        <f t="shared" si="30"/>
        <v>#NUM!</v>
      </c>
    </row>
    <row r="353" spans="10:10">
      <c r="J353" s="317" t="e">
        <f t="shared" si="30"/>
        <v>#NUM!</v>
      </c>
    </row>
    <row r="354" spans="10:10">
      <c r="J354" s="317" t="e">
        <f t="shared" si="30"/>
        <v>#NUM!</v>
      </c>
    </row>
    <row r="355" spans="10:10">
      <c r="J355" s="317" t="e">
        <f t="shared" si="30"/>
        <v>#NUM!</v>
      </c>
    </row>
    <row r="356" spans="10:10">
      <c r="J356" s="317" t="e">
        <f t="shared" si="30"/>
        <v>#NUM!</v>
      </c>
    </row>
    <row r="357" spans="10:10">
      <c r="J357" s="317" t="e">
        <f t="shared" si="30"/>
        <v>#NUM!</v>
      </c>
    </row>
    <row r="358" spans="10:10">
      <c r="J358" s="317" t="e">
        <f t="shared" si="30"/>
        <v>#NUM!</v>
      </c>
    </row>
    <row r="359" spans="10:10">
      <c r="J359" s="317" t="e">
        <f t="shared" si="30"/>
        <v>#NUM!</v>
      </c>
    </row>
    <row r="360" spans="10:10">
      <c r="J360" s="317" t="e">
        <f t="shared" si="30"/>
        <v>#NUM!</v>
      </c>
    </row>
    <row r="361" spans="10:10">
      <c r="J361" s="317" t="e">
        <f t="shared" si="30"/>
        <v>#NUM!</v>
      </c>
    </row>
    <row r="362" spans="10:10">
      <c r="J362" s="317" t="e">
        <f t="shared" si="30"/>
        <v>#NUM!</v>
      </c>
    </row>
    <row r="363" spans="10:10">
      <c r="J363" s="317" t="e">
        <f t="shared" si="30"/>
        <v>#NUM!</v>
      </c>
    </row>
    <row r="364" spans="10:10">
      <c r="J364" s="317" t="e">
        <f t="shared" si="30"/>
        <v>#NUM!</v>
      </c>
    </row>
    <row r="365" spans="10:10">
      <c r="J365" s="317" t="e">
        <f t="shared" si="30"/>
        <v>#NUM!</v>
      </c>
    </row>
    <row r="366" spans="10:10">
      <c r="J366" s="317" t="e">
        <f t="shared" si="30"/>
        <v>#NUM!</v>
      </c>
    </row>
    <row r="367" spans="10:10">
      <c r="J367" s="317" t="e">
        <f t="shared" si="30"/>
        <v>#NUM!</v>
      </c>
    </row>
    <row r="368" spans="10:10">
      <c r="J368" s="317" t="e">
        <f t="shared" si="30"/>
        <v>#NUM!</v>
      </c>
    </row>
    <row r="369" spans="10:10">
      <c r="J369" s="317" t="e">
        <f t="shared" si="30"/>
        <v>#NUM!</v>
      </c>
    </row>
    <row r="370" spans="10:10">
      <c r="J370" s="317" t="e">
        <f t="shared" si="30"/>
        <v>#NUM!</v>
      </c>
    </row>
    <row r="371" spans="10:10">
      <c r="J371" s="317" t="e">
        <f t="shared" si="30"/>
        <v>#NUM!</v>
      </c>
    </row>
    <row r="372" spans="10:10">
      <c r="J372" s="317" t="e">
        <f t="shared" si="30"/>
        <v>#NUM!</v>
      </c>
    </row>
    <row r="373" spans="10:10">
      <c r="J373" s="317" t="e">
        <f t="shared" si="30"/>
        <v>#NUM!</v>
      </c>
    </row>
  </sheetData>
  <conditionalFormatting sqref="C6:C269">
    <cfRule type="expression" dxfId="34" priority="1">
      <formula>$F6="POL"</formula>
    </cfRule>
  </conditionalFormatting>
  <conditionalFormatting sqref="J7:K65 J67:K125 J127:K185 J187:K305">
    <cfRule type="cellIs" dxfId="33" priority="2" operator="lessThanOrEqual">
      <formula>0</formula>
    </cfRule>
  </conditionalFormatting>
  <dataValidations count="1">
    <dataValidation type="list" allowBlank="1" showInputMessage="1" showErrorMessage="1" sqref="C38:C69" xr:uid="{C9639841-43F0-4AF6-9692-82E19549FD58}">
      <formula1>#REF!</formula1>
    </dataValidation>
  </dataValidations>
  <hyperlinks>
    <hyperlink ref="A2" r:id="rId1" xr:uid="{B7867134-3C0A-4677-92A2-F47C247D56EB}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5" name="Button 1">
              <controlPr defaultSize="0" print="0" autoFill="0" autoPict="0" macro="[1]!IMPORT">
                <anchor moveWithCells="1" sizeWithCells="1">
                  <from>
                    <xdr:col>0</xdr:col>
                    <xdr:colOff>28575</xdr:colOff>
                    <xdr:row>0</xdr:row>
                    <xdr:rowOff>38100</xdr:rowOff>
                  </from>
                  <to>
                    <xdr:col>0</xdr:col>
                    <xdr:colOff>514350</xdr:colOff>
                    <xdr:row>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CA06-10CC-457B-820F-C56088E4BA6D}">
  <sheetPr>
    <tabColor rgb="FF92D050"/>
  </sheetPr>
  <dimension ref="A1:AL373"/>
  <sheetViews>
    <sheetView workbookViewId="0">
      <selection activeCell="C23" sqref="C23:C24"/>
    </sheetView>
  </sheetViews>
  <sheetFormatPr defaultColWidth="8.85546875" defaultRowHeight="15"/>
  <cols>
    <col min="1" max="1" width="8" style="315" customWidth="1"/>
    <col min="2" max="2" width="8.28515625" style="315" customWidth="1"/>
    <col min="3" max="3" width="34.7109375" style="315" customWidth="1"/>
    <col min="4" max="4" width="52.140625" style="315" customWidth="1"/>
    <col min="5" max="6" width="8.85546875" style="315"/>
    <col min="7" max="7" width="2.7109375" style="315" customWidth="1"/>
    <col min="8" max="8" width="8.85546875" style="317"/>
    <col min="9" max="9" width="11" style="317" customWidth="1"/>
    <col min="10" max="10" width="15.28515625" style="317" customWidth="1"/>
    <col min="11" max="11" width="8.7109375" style="317" customWidth="1"/>
    <col min="12" max="12" width="11" style="317" customWidth="1"/>
    <col min="13" max="13" width="11.7109375" style="318" customWidth="1"/>
    <col min="14" max="15" width="13.85546875" style="276" customWidth="1"/>
    <col min="16" max="18" width="8.85546875" style="276"/>
    <col min="19" max="20" width="8.85546875" style="282"/>
    <col min="21" max="21" width="12.140625" style="282" customWidth="1"/>
    <col min="22" max="22" width="27.42578125" style="282" customWidth="1"/>
    <col min="23" max="38" width="8.85546875" style="282"/>
    <col min="39" max="16384" width="8.85546875" style="315"/>
  </cols>
  <sheetData>
    <row r="1" spans="1:34" ht="18.75">
      <c r="A1" s="276"/>
      <c r="B1" s="251" t="s">
        <v>44</v>
      </c>
      <c r="C1" s="277" t="s">
        <v>74</v>
      </c>
      <c r="D1" s="253"/>
      <c r="E1" s="276"/>
      <c r="F1" s="276"/>
      <c r="G1" s="276"/>
      <c r="H1" s="278" t="s">
        <v>40</v>
      </c>
      <c r="I1" s="279" t="s">
        <v>41</v>
      </c>
      <c r="J1" s="279" t="s">
        <v>42</v>
      </c>
      <c r="K1" s="280" t="s">
        <v>43</v>
      </c>
      <c r="L1" s="281"/>
      <c r="M1" s="281"/>
    </row>
    <row r="2" spans="1:34">
      <c r="A2" s="194" t="s">
        <v>61</v>
      </c>
      <c r="B2" s="251" t="s">
        <v>62</v>
      </c>
      <c r="C2" s="283" t="s">
        <v>75</v>
      </c>
      <c r="D2" s="255"/>
      <c r="E2" s="256"/>
      <c r="F2" s="256"/>
      <c r="G2" s="256"/>
      <c r="H2" s="284">
        <v>19</v>
      </c>
      <c r="I2" s="285">
        <v>50</v>
      </c>
      <c r="J2" s="285">
        <v>10</v>
      </c>
      <c r="K2" s="286">
        <f>3*H2^(1/3)</f>
        <v>8.0052049461658328</v>
      </c>
      <c r="L2" s="281"/>
      <c r="M2" s="281"/>
    </row>
    <row r="3" spans="1:34" ht="14.25" customHeight="1">
      <c r="A3" s="287" t="s">
        <v>76</v>
      </c>
      <c r="B3" s="288" t="s">
        <v>46</v>
      </c>
      <c r="C3" s="254" t="s">
        <v>77</v>
      </c>
      <c r="D3" s="255"/>
      <c r="E3" s="259"/>
      <c r="F3" s="259"/>
      <c r="G3" s="259"/>
      <c r="H3" s="281"/>
      <c r="I3" s="281"/>
      <c r="J3" s="289"/>
      <c r="K3" s="281"/>
      <c r="L3" s="281"/>
      <c r="M3" s="281"/>
    </row>
    <row r="4" spans="1:34" ht="10.35" customHeight="1">
      <c r="A4" s="260"/>
      <c r="B4" s="259"/>
      <c r="C4" s="261" t="s">
        <v>78</v>
      </c>
      <c r="D4" s="260"/>
      <c r="E4" s="260"/>
      <c r="F4" s="260"/>
      <c r="G4" s="260"/>
      <c r="H4" s="281"/>
      <c r="I4" s="281"/>
      <c r="J4" s="289"/>
      <c r="K4" s="281"/>
      <c r="L4" s="281"/>
      <c r="M4" s="281"/>
    </row>
    <row r="5" spans="1:34" ht="48">
      <c r="A5" s="262" t="s">
        <v>48</v>
      </c>
      <c r="B5" s="263" t="s">
        <v>49</v>
      </c>
      <c r="C5" s="262" t="s">
        <v>50</v>
      </c>
      <c r="D5" s="262" t="s">
        <v>51</v>
      </c>
      <c r="E5" s="262" t="s">
        <v>52</v>
      </c>
      <c r="F5" s="262" t="s">
        <v>53</v>
      </c>
      <c r="G5" s="260"/>
      <c r="H5" s="290" t="s">
        <v>54</v>
      </c>
      <c r="I5" s="291" t="s">
        <v>55</v>
      </c>
      <c r="J5" s="292" t="s">
        <v>56</v>
      </c>
      <c r="K5" s="291" t="s">
        <v>57</v>
      </c>
      <c r="L5" s="291" t="s">
        <v>58</v>
      </c>
      <c r="M5" s="290" t="s">
        <v>59</v>
      </c>
      <c r="O5" s="293"/>
      <c r="P5" s="294"/>
      <c r="Q5" s="294"/>
      <c r="R5" s="294"/>
    </row>
    <row r="6" spans="1:34" s="282" customFormat="1" ht="14.45" customHeight="1">
      <c r="A6" s="264">
        <f>M6</f>
        <v>124.0156148384975</v>
      </c>
      <c r="B6" s="265">
        <f t="shared" ref="B6:B69" si="0">IF(H6&gt;$H$2,"",(ROW()-5))</f>
        <v>1</v>
      </c>
      <c r="C6" s="266" t="s">
        <v>17</v>
      </c>
      <c r="D6" s="266" t="s">
        <v>79</v>
      </c>
      <c r="E6" s="266"/>
      <c r="F6" s="266" t="s">
        <v>80</v>
      </c>
      <c r="G6" s="260"/>
      <c r="H6" s="295">
        <v>1</v>
      </c>
      <c r="I6" s="296">
        <f>IF(H2=1,50,IF(H6&lt;$H$2+1,($I$2-($I$2-1)*(LOG(H6)/LOG($H$2))),""))</f>
        <v>50</v>
      </c>
      <c r="J6" s="295">
        <f>INT(LOG($H$2,2))-ROUNDUP(LOG(H6,2),0)+IF(OR($H$2=1,$H$2=2,$H$2=4,$H$2=8,$H$2=16,$H$2=32,$H$2=64,$H$2=128,$H$2=256),0,1)</f>
        <v>5</v>
      </c>
      <c r="K6" s="295">
        <f t="shared" ref="K6:K69" si="1">J6*$J$2</f>
        <v>50</v>
      </c>
      <c r="L6" s="297">
        <f>3*K2</f>
        <v>24.015614838497498</v>
      </c>
      <c r="M6" s="297">
        <f t="shared" ref="M6:M69" si="2">IF(I6&lt;&gt;"",K6+I6+L6,0)</f>
        <v>124.0156148384975</v>
      </c>
      <c r="N6" s="276"/>
      <c r="O6" s="298"/>
      <c r="P6" s="299"/>
      <c r="Q6" s="300"/>
      <c r="R6" s="300"/>
    </row>
    <row r="7" spans="1:34" s="282" customFormat="1" ht="14.45" customHeight="1">
      <c r="A7" s="267">
        <f t="shared" ref="A7:A70" si="3">M7</f>
        <v>94.47537313736639</v>
      </c>
      <c r="B7" s="268">
        <f t="shared" si="0"/>
        <v>2</v>
      </c>
      <c r="C7" s="269" t="s">
        <v>19</v>
      </c>
      <c r="D7" s="269" t="s">
        <v>81</v>
      </c>
      <c r="E7" s="269"/>
      <c r="F7" s="269" t="s">
        <v>80</v>
      </c>
      <c r="G7" s="260"/>
      <c r="H7" s="301">
        <v>2</v>
      </c>
      <c r="I7" s="302">
        <f t="shared" ref="I7:I70" si="4">IF(H7&lt;$H$2+1,($I$2-($I$2-1)*(LOG(H7)/LOG($H$2))),"")</f>
        <v>38.464963245034724</v>
      </c>
      <c r="J7" s="301">
        <f t="shared" ref="J7:J70" si="5">INT(LOG($H$2,2))-ROUNDUP(LOG(H7,2),0)+IF(OR($H$2=1,$H$2=2,$H$2=4,$H$2=8,$H$2=16,$H$2=32,$H$2=64,$H$2=128,$H$2=256),0,1)</f>
        <v>4</v>
      </c>
      <c r="K7" s="301">
        <f t="shared" si="1"/>
        <v>40</v>
      </c>
      <c r="L7" s="303">
        <f>2*K2</f>
        <v>16.010409892331666</v>
      </c>
      <c r="M7" s="303">
        <f t="shared" si="2"/>
        <v>94.47537313736639</v>
      </c>
      <c r="N7" s="276"/>
      <c r="O7" s="298"/>
      <c r="P7" s="299"/>
      <c r="Q7" s="300"/>
      <c r="R7" s="300"/>
    </row>
    <row r="8" spans="1:34" s="282" customFormat="1" ht="14.45" customHeight="1">
      <c r="A8" s="264">
        <f t="shared" si="3"/>
        <v>69.722604245105629</v>
      </c>
      <c r="B8" s="265">
        <f t="shared" si="0"/>
        <v>3</v>
      </c>
      <c r="C8" s="266" t="s">
        <v>18</v>
      </c>
      <c r="D8" s="266" t="s">
        <v>67</v>
      </c>
      <c r="E8" s="266"/>
      <c r="F8" s="266" t="s">
        <v>80</v>
      </c>
      <c r="G8" s="260"/>
      <c r="H8" s="295">
        <v>3</v>
      </c>
      <c r="I8" s="296">
        <f t="shared" si="4"/>
        <v>31.717399298939789</v>
      </c>
      <c r="J8" s="295">
        <f t="shared" si="5"/>
        <v>3</v>
      </c>
      <c r="K8" s="295">
        <f t="shared" si="1"/>
        <v>30</v>
      </c>
      <c r="L8" s="297">
        <f>K2</f>
        <v>8.0052049461658328</v>
      </c>
      <c r="M8" s="297">
        <f t="shared" si="2"/>
        <v>69.722604245105629</v>
      </c>
      <c r="N8" s="276"/>
      <c r="O8" s="298"/>
      <c r="P8" s="299"/>
      <c r="Q8" s="300"/>
      <c r="R8" s="300"/>
    </row>
    <row r="9" spans="1:34" s="282" customFormat="1" ht="14.45" customHeight="1">
      <c r="A9" s="267">
        <f t="shared" si="3"/>
        <v>56.929926490069448</v>
      </c>
      <c r="B9" s="268">
        <f t="shared" si="0"/>
        <v>4</v>
      </c>
      <c r="C9" s="269" t="s">
        <v>25</v>
      </c>
      <c r="D9" s="269" t="s">
        <v>82</v>
      </c>
      <c r="E9" s="269"/>
      <c r="F9" s="269" t="s">
        <v>83</v>
      </c>
      <c r="G9" s="260"/>
      <c r="H9" s="301">
        <v>4</v>
      </c>
      <c r="I9" s="302">
        <f t="shared" si="4"/>
        <v>26.929926490069452</v>
      </c>
      <c r="J9" s="301">
        <f t="shared" si="5"/>
        <v>3</v>
      </c>
      <c r="K9" s="301">
        <f t="shared" si="1"/>
        <v>30</v>
      </c>
      <c r="L9" s="303"/>
      <c r="M9" s="303">
        <f t="shared" si="2"/>
        <v>56.929926490069448</v>
      </c>
      <c r="N9" s="276"/>
      <c r="O9" s="298"/>
      <c r="P9" s="299"/>
      <c r="Q9" s="300"/>
      <c r="R9" s="300"/>
      <c r="V9" s="304"/>
      <c r="Z9" s="305"/>
      <c r="AA9" s="305"/>
      <c r="AG9" s="306"/>
    </row>
    <row r="10" spans="1:34" s="282" customFormat="1" ht="14.45" customHeight="1">
      <c r="A10" s="264">
        <f t="shared" si="3"/>
        <v>43.216474083087775</v>
      </c>
      <c r="B10" s="265">
        <f t="shared" si="0"/>
        <v>5</v>
      </c>
      <c r="C10" s="266" t="s">
        <v>16</v>
      </c>
      <c r="D10" s="266" t="s">
        <v>84</v>
      </c>
      <c r="E10" s="266"/>
      <c r="F10" s="266" t="s">
        <v>80</v>
      </c>
      <c r="G10" s="260"/>
      <c r="H10" s="295">
        <v>5</v>
      </c>
      <c r="I10" s="296">
        <f t="shared" si="4"/>
        <v>23.216474083087775</v>
      </c>
      <c r="J10" s="295">
        <f t="shared" si="5"/>
        <v>2</v>
      </c>
      <c r="K10" s="295">
        <f t="shared" si="1"/>
        <v>20</v>
      </c>
      <c r="L10" s="295"/>
      <c r="M10" s="297">
        <f t="shared" si="2"/>
        <v>43.216474083087775</v>
      </c>
      <c r="N10" s="276"/>
      <c r="O10" s="298"/>
      <c r="P10" s="299"/>
      <c r="Q10" s="300"/>
      <c r="R10" s="300"/>
      <c r="V10" s="304"/>
      <c r="Z10" s="305"/>
      <c r="AA10" s="305"/>
      <c r="AG10" s="306"/>
    </row>
    <row r="11" spans="1:34" s="282" customFormat="1" ht="14.45" customHeight="1">
      <c r="A11" s="267">
        <f t="shared" si="3"/>
        <v>40.18236254397452</v>
      </c>
      <c r="B11" s="268">
        <f t="shared" si="0"/>
        <v>6</v>
      </c>
      <c r="C11" s="269" t="s">
        <v>24</v>
      </c>
      <c r="D11" s="269" t="s">
        <v>71</v>
      </c>
      <c r="E11" s="269"/>
      <c r="F11" s="269" t="s">
        <v>80</v>
      </c>
      <c r="G11" s="260"/>
      <c r="H11" s="301">
        <v>6</v>
      </c>
      <c r="I11" s="302">
        <f t="shared" si="4"/>
        <v>20.182362543974516</v>
      </c>
      <c r="J11" s="301">
        <f t="shared" si="5"/>
        <v>2</v>
      </c>
      <c r="K11" s="301">
        <f t="shared" si="1"/>
        <v>20</v>
      </c>
      <c r="L11" s="301"/>
      <c r="M11" s="303">
        <f t="shared" si="2"/>
        <v>40.18236254397452</v>
      </c>
      <c r="N11" s="276"/>
      <c r="O11" s="298"/>
      <c r="P11" s="299"/>
      <c r="Q11" s="300"/>
      <c r="R11" s="300"/>
      <c r="V11" s="307"/>
      <c r="Z11" s="305"/>
      <c r="AA11" s="305"/>
      <c r="AG11" s="306"/>
    </row>
    <row r="12" spans="1:34" s="282" customFormat="1" ht="14.45" customHeight="1">
      <c r="A12" s="264">
        <f t="shared" si="3"/>
        <v>37.617057789832863</v>
      </c>
      <c r="B12" s="265">
        <f t="shared" si="0"/>
        <v>7</v>
      </c>
      <c r="C12" s="266" t="s">
        <v>27</v>
      </c>
      <c r="D12" s="266" t="s">
        <v>85</v>
      </c>
      <c r="E12" s="266"/>
      <c r="F12" s="266" t="s">
        <v>80</v>
      </c>
      <c r="G12" s="260"/>
      <c r="H12" s="295">
        <v>7</v>
      </c>
      <c r="I12" s="296">
        <f t="shared" si="4"/>
        <v>17.617057789832863</v>
      </c>
      <c r="J12" s="295">
        <f t="shared" si="5"/>
        <v>2</v>
      </c>
      <c r="K12" s="295">
        <f t="shared" si="1"/>
        <v>20</v>
      </c>
      <c r="L12" s="295"/>
      <c r="M12" s="297">
        <f t="shared" si="2"/>
        <v>37.617057789832863</v>
      </c>
      <c r="N12" s="276"/>
      <c r="O12" s="298"/>
      <c r="P12" s="299"/>
      <c r="Q12" s="300"/>
      <c r="R12" s="300"/>
      <c r="Z12" s="305"/>
      <c r="AA12" s="305"/>
      <c r="AG12" s="306"/>
    </row>
    <row r="13" spans="1:34" s="282" customFormat="1" ht="14.45" customHeight="1">
      <c r="A13" s="270">
        <f t="shared" si="3"/>
        <v>35.394889735104179</v>
      </c>
      <c r="B13" s="268">
        <f t="shared" si="0"/>
        <v>8</v>
      </c>
      <c r="C13" s="269" t="s">
        <v>23</v>
      </c>
      <c r="D13" s="269" t="s">
        <v>85</v>
      </c>
      <c r="E13" s="269"/>
      <c r="F13" s="269" t="s">
        <v>80</v>
      </c>
      <c r="G13" s="260"/>
      <c r="H13" s="301">
        <v>8</v>
      </c>
      <c r="I13" s="302">
        <f t="shared" si="4"/>
        <v>15.394889735104179</v>
      </c>
      <c r="J13" s="301">
        <f t="shared" si="5"/>
        <v>2</v>
      </c>
      <c r="K13" s="301">
        <f t="shared" si="1"/>
        <v>20</v>
      </c>
      <c r="L13" s="301"/>
      <c r="M13" s="303">
        <f t="shared" si="2"/>
        <v>35.394889735104179</v>
      </c>
      <c r="N13" s="276"/>
      <c r="O13" s="276"/>
      <c r="P13" s="276"/>
      <c r="Q13" s="276"/>
      <c r="R13" s="276"/>
      <c r="X13" s="304"/>
      <c r="AG13" s="306"/>
    </row>
    <row r="14" spans="1:34" s="282" customFormat="1" ht="15.75" customHeight="1">
      <c r="A14" s="271">
        <f t="shared" si="3"/>
        <v>23.434798597879578</v>
      </c>
      <c r="B14" s="265">
        <f t="shared" si="0"/>
        <v>9</v>
      </c>
      <c r="C14" s="266" t="s">
        <v>20</v>
      </c>
      <c r="D14" s="266" t="s">
        <v>68</v>
      </c>
      <c r="E14" s="266"/>
      <c r="F14" s="266" t="s">
        <v>80</v>
      </c>
      <c r="G14" s="260"/>
      <c r="H14" s="295">
        <v>9</v>
      </c>
      <c r="I14" s="296">
        <f t="shared" si="4"/>
        <v>13.434798597879578</v>
      </c>
      <c r="J14" s="295">
        <f t="shared" si="5"/>
        <v>1</v>
      </c>
      <c r="K14" s="295">
        <f t="shared" si="1"/>
        <v>10</v>
      </c>
      <c r="L14" s="295"/>
      <c r="M14" s="297">
        <f t="shared" si="2"/>
        <v>23.434798597879578</v>
      </c>
      <c r="N14" s="276"/>
      <c r="O14" s="276"/>
      <c r="P14" s="276"/>
      <c r="Q14" s="276"/>
      <c r="R14" s="276"/>
      <c r="X14" s="308"/>
      <c r="Z14" s="305"/>
      <c r="AA14" s="305"/>
      <c r="AG14" s="306"/>
    </row>
    <row r="15" spans="1:34" s="282" customFormat="1">
      <c r="A15" s="270">
        <f t="shared" si="3"/>
        <v>21.681437328122506</v>
      </c>
      <c r="B15" s="268">
        <f t="shared" si="0"/>
        <v>10</v>
      </c>
      <c r="C15" s="269" t="s">
        <v>22</v>
      </c>
      <c r="D15" s="269" t="s">
        <v>86</v>
      </c>
      <c r="E15" s="269"/>
      <c r="F15" s="269" t="s">
        <v>80</v>
      </c>
      <c r="G15" s="260"/>
      <c r="H15" s="301">
        <v>10</v>
      </c>
      <c r="I15" s="302">
        <f t="shared" si="4"/>
        <v>11.681437328122506</v>
      </c>
      <c r="J15" s="301">
        <f t="shared" si="5"/>
        <v>1</v>
      </c>
      <c r="K15" s="301">
        <f t="shared" si="1"/>
        <v>10</v>
      </c>
      <c r="L15" s="301"/>
      <c r="M15" s="303">
        <f t="shared" si="2"/>
        <v>21.681437328122506</v>
      </c>
      <c r="N15" s="276"/>
      <c r="O15" s="276"/>
      <c r="P15" s="276"/>
      <c r="Q15" s="276"/>
      <c r="R15" s="276"/>
      <c r="X15" s="304"/>
      <c r="Z15" s="305"/>
      <c r="AA15" s="305"/>
    </row>
    <row r="16" spans="1:34" s="282" customFormat="1">
      <c r="A16" s="271">
        <f t="shared" si="3"/>
        <v>20.095329127729762</v>
      </c>
      <c r="B16" s="265">
        <f t="shared" si="0"/>
        <v>11</v>
      </c>
      <c r="C16" s="266" t="s">
        <v>33</v>
      </c>
      <c r="D16" s="266" t="s">
        <v>87</v>
      </c>
      <c r="E16" s="266"/>
      <c r="F16" s="266" t="s">
        <v>88</v>
      </c>
      <c r="G16" s="260"/>
      <c r="H16" s="295">
        <v>11</v>
      </c>
      <c r="I16" s="296">
        <f t="shared" si="4"/>
        <v>10.095329127729762</v>
      </c>
      <c r="J16" s="295">
        <f t="shared" si="5"/>
        <v>1</v>
      </c>
      <c r="K16" s="295">
        <f t="shared" si="1"/>
        <v>10</v>
      </c>
      <c r="L16" s="295"/>
      <c r="M16" s="297">
        <f t="shared" si="2"/>
        <v>20.095329127729762</v>
      </c>
      <c r="N16" s="276"/>
      <c r="O16" s="276"/>
      <c r="P16" s="276"/>
      <c r="Q16" s="276"/>
      <c r="R16" s="309"/>
      <c r="Z16" s="305"/>
      <c r="AA16" s="305"/>
      <c r="AH16" s="310"/>
    </row>
    <row r="17" spans="1:19" s="282" customFormat="1">
      <c r="A17" s="270">
        <f t="shared" si="3"/>
        <v>18.647325789009237</v>
      </c>
      <c r="B17" s="268">
        <f t="shared" si="0"/>
        <v>12</v>
      </c>
      <c r="C17" s="269" t="s">
        <v>32</v>
      </c>
      <c r="D17" s="269" t="s">
        <v>89</v>
      </c>
      <c r="E17" s="269"/>
      <c r="F17" s="269" t="s">
        <v>80</v>
      </c>
      <c r="G17" s="260"/>
      <c r="H17" s="301">
        <v>12</v>
      </c>
      <c r="I17" s="302">
        <f t="shared" si="4"/>
        <v>8.647325789009237</v>
      </c>
      <c r="J17" s="301">
        <f t="shared" si="5"/>
        <v>1</v>
      </c>
      <c r="K17" s="301">
        <f t="shared" si="1"/>
        <v>10</v>
      </c>
      <c r="L17" s="301"/>
      <c r="M17" s="303">
        <f t="shared" si="2"/>
        <v>18.647325789009237</v>
      </c>
      <c r="N17" s="276"/>
      <c r="O17" s="276"/>
      <c r="P17" s="276"/>
      <c r="Q17" s="276"/>
      <c r="R17" s="276"/>
    </row>
    <row r="18" spans="1:19" s="282" customFormat="1">
      <c r="A18" s="271">
        <f t="shared" si="3"/>
        <v>17.315291841709161</v>
      </c>
      <c r="B18" s="265">
        <f t="shared" si="0"/>
        <v>13</v>
      </c>
      <c r="C18" s="266" t="s">
        <v>31</v>
      </c>
      <c r="D18" s="266" t="s">
        <v>90</v>
      </c>
      <c r="E18" s="266"/>
      <c r="F18" s="266" t="s">
        <v>80</v>
      </c>
      <c r="G18" s="260"/>
      <c r="H18" s="295">
        <v>13</v>
      </c>
      <c r="I18" s="296">
        <f t="shared" si="4"/>
        <v>7.3152918417091612</v>
      </c>
      <c r="J18" s="295">
        <f t="shared" si="5"/>
        <v>1</v>
      </c>
      <c r="K18" s="295">
        <f t="shared" si="1"/>
        <v>10</v>
      </c>
      <c r="L18" s="295"/>
      <c r="M18" s="297">
        <f t="shared" si="2"/>
        <v>17.315291841709161</v>
      </c>
      <c r="N18" s="276"/>
      <c r="O18" s="276"/>
      <c r="P18" s="276"/>
      <c r="Q18" s="276"/>
      <c r="R18" s="276"/>
    </row>
    <row r="19" spans="1:19" s="282" customFormat="1">
      <c r="A19" s="270">
        <f t="shared" si="3"/>
        <v>16.082021034867594</v>
      </c>
      <c r="B19" s="268">
        <f t="shared" si="0"/>
        <v>14</v>
      </c>
      <c r="C19" s="269" t="s">
        <v>34</v>
      </c>
      <c r="D19" s="269" t="s">
        <v>91</v>
      </c>
      <c r="E19" s="269"/>
      <c r="F19" s="269" t="s">
        <v>80</v>
      </c>
      <c r="G19" s="260"/>
      <c r="H19" s="301">
        <v>14</v>
      </c>
      <c r="I19" s="302">
        <f t="shared" si="4"/>
        <v>6.0820210348675943</v>
      </c>
      <c r="J19" s="301">
        <f t="shared" si="5"/>
        <v>1</v>
      </c>
      <c r="K19" s="301">
        <f t="shared" si="1"/>
        <v>10</v>
      </c>
      <c r="L19" s="301"/>
      <c r="M19" s="303">
        <f t="shared" si="2"/>
        <v>16.082021034867594</v>
      </c>
      <c r="N19" s="276"/>
      <c r="O19" s="276"/>
      <c r="P19" s="276"/>
      <c r="Q19" s="276"/>
      <c r="R19" s="276"/>
    </row>
    <row r="20" spans="1:19" s="282" customFormat="1">
      <c r="A20" s="271">
        <f t="shared" si="3"/>
        <v>14.933873382027564</v>
      </c>
      <c r="B20" s="265">
        <f t="shared" si="0"/>
        <v>15</v>
      </c>
      <c r="C20" s="266" t="s">
        <v>35</v>
      </c>
      <c r="D20" s="266" t="s">
        <v>92</v>
      </c>
      <c r="E20" s="266"/>
      <c r="F20" s="266" t="s">
        <v>80</v>
      </c>
      <c r="G20" s="260"/>
      <c r="H20" s="295">
        <v>15</v>
      </c>
      <c r="I20" s="296">
        <f t="shared" si="4"/>
        <v>4.9338733820275635</v>
      </c>
      <c r="J20" s="295">
        <f t="shared" si="5"/>
        <v>1</v>
      </c>
      <c r="K20" s="295">
        <f t="shared" si="1"/>
        <v>10</v>
      </c>
      <c r="L20" s="295"/>
      <c r="M20" s="297">
        <f t="shared" si="2"/>
        <v>14.933873382027564</v>
      </c>
      <c r="N20" s="276"/>
      <c r="O20" s="276"/>
      <c r="P20" s="276"/>
      <c r="Q20" s="276"/>
      <c r="R20" s="311"/>
      <c r="S20" s="312"/>
    </row>
    <row r="21" spans="1:19" s="282" customFormat="1">
      <c r="A21" s="270">
        <f t="shared" si="3"/>
        <v>13.859852980138903</v>
      </c>
      <c r="B21" s="268">
        <f t="shared" si="0"/>
        <v>16</v>
      </c>
      <c r="C21" s="269" t="s">
        <v>29</v>
      </c>
      <c r="D21" s="269" t="s">
        <v>70</v>
      </c>
      <c r="E21" s="269"/>
      <c r="F21" s="269" t="s">
        <v>80</v>
      </c>
      <c r="G21" s="260"/>
      <c r="H21" s="301">
        <v>16</v>
      </c>
      <c r="I21" s="302">
        <f t="shared" si="4"/>
        <v>3.8598529801389034</v>
      </c>
      <c r="J21" s="301">
        <f t="shared" si="5"/>
        <v>1</v>
      </c>
      <c r="K21" s="301">
        <f t="shared" si="1"/>
        <v>10</v>
      </c>
      <c r="L21" s="301"/>
      <c r="M21" s="303">
        <f t="shared" si="2"/>
        <v>13.859852980138903</v>
      </c>
      <c r="N21" s="276"/>
      <c r="O21" s="276"/>
      <c r="P21" s="276"/>
      <c r="Q21" s="276"/>
      <c r="R21" s="276"/>
    </row>
    <row r="22" spans="1:19" s="282" customFormat="1">
      <c r="A22" s="271">
        <f t="shared" si="3"/>
        <v>2.8509658916225433</v>
      </c>
      <c r="B22" s="265">
        <f t="shared" si="0"/>
        <v>17</v>
      </c>
      <c r="C22" s="266" t="s">
        <v>28</v>
      </c>
      <c r="D22" s="266" t="s">
        <v>71</v>
      </c>
      <c r="E22" s="266"/>
      <c r="F22" s="266" t="s">
        <v>80</v>
      </c>
      <c r="G22" s="260"/>
      <c r="H22" s="295">
        <v>17</v>
      </c>
      <c r="I22" s="296">
        <f t="shared" si="4"/>
        <v>2.8509658916225433</v>
      </c>
      <c r="J22" s="295">
        <f t="shared" si="5"/>
        <v>0</v>
      </c>
      <c r="K22" s="295">
        <f t="shared" si="1"/>
        <v>0</v>
      </c>
      <c r="L22" s="295"/>
      <c r="M22" s="297">
        <f t="shared" si="2"/>
        <v>2.8509658916225433</v>
      </c>
      <c r="N22" s="276"/>
      <c r="O22" s="276"/>
      <c r="P22" s="276"/>
      <c r="Q22" s="276"/>
      <c r="R22" s="276"/>
    </row>
    <row r="23" spans="1:19" s="282" customFormat="1">
      <c r="A23" s="270">
        <f t="shared" si="3"/>
        <v>1.8997618429143088</v>
      </c>
      <c r="B23" s="268">
        <f t="shared" si="0"/>
        <v>18</v>
      </c>
      <c r="C23" s="269" t="s">
        <v>38</v>
      </c>
      <c r="D23" s="269" t="s">
        <v>93</v>
      </c>
      <c r="E23" s="269"/>
      <c r="F23" s="269" t="s">
        <v>83</v>
      </c>
      <c r="G23" s="260"/>
      <c r="H23" s="301">
        <v>18</v>
      </c>
      <c r="I23" s="302">
        <f t="shared" si="4"/>
        <v>1.8997618429143088</v>
      </c>
      <c r="J23" s="301">
        <f t="shared" si="5"/>
        <v>0</v>
      </c>
      <c r="K23" s="301">
        <f t="shared" si="1"/>
        <v>0</v>
      </c>
      <c r="L23" s="301"/>
      <c r="M23" s="303">
        <f t="shared" si="2"/>
        <v>1.8997618429143088</v>
      </c>
      <c r="N23" s="276"/>
      <c r="O23" s="276"/>
      <c r="P23" s="276"/>
      <c r="Q23" s="276"/>
      <c r="R23" s="276"/>
    </row>
    <row r="24" spans="1:19" s="282" customFormat="1">
      <c r="A24" s="271">
        <f t="shared" si="3"/>
        <v>1</v>
      </c>
      <c r="B24" s="265">
        <f t="shared" si="0"/>
        <v>19</v>
      </c>
      <c r="C24" s="266" t="s">
        <v>39</v>
      </c>
      <c r="D24" s="266" t="s">
        <v>87</v>
      </c>
      <c r="E24" s="266"/>
      <c r="F24" s="266" t="s">
        <v>88</v>
      </c>
      <c r="G24" s="260"/>
      <c r="H24" s="295">
        <v>19</v>
      </c>
      <c r="I24" s="296">
        <f t="shared" si="4"/>
        <v>1</v>
      </c>
      <c r="J24" s="295">
        <f t="shared" si="5"/>
        <v>0</v>
      </c>
      <c r="K24" s="295">
        <f t="shared" si="1"/>
        <v>0</v>
      </c>
      <c r="L24" s="295"/>
      <c r="M24" s="297">
        <f t="shared" si="2"/>
        <v>1</v>
      </c>
      <c r="N24" s="276"/>
      <c r="O24" s="276"/>
      <c r="P24" s="276"/>
      <c r="Q24" s="276"/>
      <c r="R24" s="311"/>
      <c r="S24" s="312"/>
    </row>
    <row r="25" spans="1:19" s="282" customFormat="1">
      <c r="A25" s="270">
        <f t="shared" si="3"/>
        <v>0</v>
      </c>
      <c r="B25" s="268" t="str">
        <f t="shared" si="0"/>
        <v/>
      </c>
      <c r="C25" s="269"/>
      <c r="D25" s="269"/>
      <c r="E25" s="269"/>
      <c r="F25" s="269"/>
      <c r="G25" s="260"/>
      <c r="H25" s="301">
        <v>20</v>
      </c>
      <c r="I25" s="302" t="str">
        <f t="shared" si="4"/>
        <v/>
      </c>
      <c r="J25" s="301">
        <f t="shared" si="5"/>
        <v>0</v>
      </c>
      <c r="K25" s="301">
        <f t="shared" si="1"/>
        <v>0</v>
      </c>
      <c r="L25" s="301"/>
      <c r="M25" s="303">
        <f t="shared" si="2"/>
        <v>0</v>
      </c>
      <c r="N25" s="276"/>
      <c r="O25" s="276"/>
      <c r="P25" s="276"/>
      <c r="Q25" s="276"/>
      <c r="R25" s="276"/>
    </row>
    <row r="26" spans="1:19" s="282" customFormat="1">
      <c r="A26" s="271">
        <f t="shared" si="3"/>
        <v>0</v>
      </c>
      <c r="B26" s="265" t="str">
        <f t="shared" si="0"/>
        <v/>
      </c>
      <c r="C26" s="266"/>
      <c r="D26" s="266"/>
      <c r="E26" s="266"/>
      <c r="F26" s="266"/>
      <c r="G26" s="260"/>
      <c r="H26" s="295">
        <v>21</v>
      </c>
      <c r="I26" s="296" t="str">
        <f t="shared" si="4"/>
        <v/>
      </c>
      <c r="J26" s="295">
        <f t="shared" si="5"/>
        <v>0</v>
      </c>
      <c r="K26" s="295">
        <f t="shared" si="1"/>
        <v>0</v>
      </c>
      <c r="L26" s="295"/>
      <c r="M26" s="297">
        <f t="shared" si="2"/>
        <v>0</v>
      </c>
      <c r="N26" s="276"/>
      <c r="O26" s="276"/>
      <c r="P26" s="276"/>
      <c r="Q26" s="276"/>
      <c r="R26" s="276"/>
    </row>
    <row r="27" spans="1:19" s="282" customFormat="1">
      <c r="A27" s="270">
        <f t="shared" si="3"/>
        <v>0</v>
      </c>
      <c r="B27" s="268" t="str">
        <f t="shared" si="0"/>
        <v/>
      </c>
      <c r="C27" s="269"/>
      <c r="D27" s="269"/>
      <c r="E27" s="269"/>
      <c r="F27" s="269"/>
      <c r="G27" s="260"/>
      <c r="H27" s="301">
        <v>22</v>
      </c>
      <c r="I27" s="302" t="str">
        <f t="shared" si="4"/>
        <v/>
      </c>
      <c r="J27" s="301">
        <f t="shared" si="5"/>
        <v>0</v>
      </c>
      <c r="K27" s="301">
        <f t="shared" si="1"/>
        <v>0</v>
      </c>
      <c r="L27" s="301"/>
      <c r="M27" s="303">
        <f t="shared" si="2"/>
        <v>0</v>
      </c>
      <c r="N27" s="276"/>
      <c r="O27" s="276"/>
      <c r="P27" s="276"/>
      <c r="Q27" s="276"/>
      <c r="R27" s="276"/>
    </row>
    <row r="28" spans="1:19" s="282" customFormat="1">
      <c r="A28" s="271">
        <f t="shared" si="3"/>
        <v>0</v>
      </c>
      <c r="B28" s="265" t="str">
        <f t="shared" si="0"/>
        <v/>
      </c>
      <c r="C28" s="266"/>
      <c r="D28" s="266"/>
      <c r="E28" s="266"/>
      <c r="F28" s="266"/>
      <c r="G28" s="260"/>
      <c r="H28" s="295">
        <v>23</v>
      </c>
      <c r="I28" s="296" t="str">
        <f t="shared" si="4"/>
        <v/>
      </c>
      <c r="J28" s="295">
        <f t="shared" si="5"/>
        <v>0</v>
      </c>
      <c r="K28" s="295">
        <f t="shared" si="1"/>
        <v>0</v>
      </c>
      <c r="L28" s="295"/>
      <c r="M28" s="297">
        <f t="shared" si="2"/>
        <v>0</v>
      </c>
      <c r="N28" s="276"/>
      <c r="O28" s="276"/>
      <c r="P28" s="276"/>
      <c r="Q28" s="276"/>
      <c r="R28" s="311"/>
      <c r="S28" s="312"/>
    </row>
    <row r="29" spans="1:19" s="282" customFormat="1">
      <c r="A29" s="270">
        <f t="shared" si="3"/>
        <v>0</v>
      </c>
      <c r="B29" s="268" t="str">
        <f t="shared" si="0"/>
        <v/>
      </c>
      <c r="C29" s="269"/>
      <c r="D29" s="269"/>
      <c r="E29" s="269"/>
      <c r="F29" s="269"/>
      <c r="G29" s="276"/>
      <c r="H29" s="301">
        <v>24</v>
      </c>
      <c r="I29" s="302" t="str">
        <f t="shared" si="4"/>
        <v/>
      </c>
      <c r="J29" s="301">
        <f t="shared" si="5"/>
        <v>0</v>
      </c>
      <c r="K29" s="301">
        <f t="shared" si="1"/>
        <v>0</v>
      </c>
      <c r="L29" s="301"/>
      <c r="M29" s="303">
        <f t="shared" si="2"/>
        <v>0</v>
      </c>
      <c r="N29" s="276"/>
      <c r="O29" s="276"/>
      <c r="P29" s="276"/>
      <c r="Q29" s="276"/>
      <c r="R29" s="276"/>
    </row>
    <row r="30" spans="1:19" s="282" customFormat="1">
      <c r="A30" s="271">
        <f t="shared" si="3"/>
        <v>0</v>
      </c>
      <c r="B30" s="265" t="str">
        <f t="shared" si="0"/>
        <v/>
      </c>
      <c r="C30" s="266"/>
      <c r="D30" s="266"/>
      <c r="E30" s="266"/>
      <c r="F30" s="266"/>
      <c r="G30" s="276"/>
      <c r="H30" s="295">
        <v>25</v>
      </c>
      <c r="I30" s="296" t="str">
        <f t="shared" si="4"/>
        <v/>
      </c>
      <c r="J30" s="295">
        <f t="shared" si="5"/>
        <v>0</v>
      </c>
      <c r="K30" s="295">
        <f t="shared" si="1"/>
        <v>0</v>
      </c>
      <c r="L30" s="295"/>
      <c r="M30" s="297">
        <f t="shared" si="2"/>
        <v>0</v>
      </c>
      <c r="N30" s="276"/>
      <c r="O30" s="276"/>
      <c r="P30" s="276"/>
      <c r="Q30" s="276"/>
      <c r="R30" s="276"/>
    </row>
    <row r="31" spans="1:19" s="282" customFormat="1">
      <c r="A31" s="270">
        <f t="shared" si="3"/>
        <v>0</v>
      </c>
      <c r="B31" s="268" t="str">
        <f t="shared" si="0"/>
        <v/>
      </c>
      <c r="C31" s="269"/>
      <c r="D31" s="269"/>
      <c r="E31" s="269"/>
      <c r="F31" s="269"/>
      <c r="G31" s="276"/>
      <c r="H31" s="301">
        <v>26</v>
      </c>
      <c r="I31" s="302" t="str">
        <f t="shared" si="4"/>
        <v/>
      </c>
      <c r="J31" s="301">
        <f t="shared" si="5"/>
        <v>0</v>
      </c>
      <c r="K31" s="301">
        <f t="shared" si="1"/>
        <v>0</v>
      </c>
      <c r="L31" s="301"/>
      <c r="M31" s="303">
        <f t="shared" si="2"/>
        <v>0</v>
      </c>
      <c r="N31" s="276"/>
      <c r="O31" s="276"/>
      <c r="P31" s="276"/>
      <c r="Q31" s="276"/>
      <c r="R31" s="276"/>
    </row>
    <row r="32" spans="1:19" s="282" customFormat="1">
      <c r="A32" s="271">
        <f t="shared" si="3"/>
        <v>0</v>
      </c>
      <c r="B32" s="265" t="str">
        <f t="shared" si="0"/>
        <v/>
      </c>
      <c r="C32" s="266"/>
      <c r="D32" s="266"/>
      <c r="E32" s="266"/>
      <c r="F32" s="266"/>
      <c r="G32" s="276"/>
      <c r="H32" s="295">
        <v>27</v>
      </c>
      <c r="I32" s="296" t="str">
        <f t="shared" si="4"/>
        <v/>
      </c>
      <c r="J32" s="295">
        <f t="shared" si="5"/>
        <v>0</v>
      </c>
      <c r="K32" s="295">
        <f t="shared" si="1"/>
        <v>0</v>
      </c>
      <c r="L32" s="295"/>
      <c r="M32" s="297">
        <f t="shared" si="2"/>
        <v>0</v>
      </c>
      <c r="N32" s="276"/>
      <c r="O32" s="276"/>
      <c r="P32" s="276"/>
      <c r="Q32" s="276"/>
      <c r="R32" s="311"/>
      <c r="S32" s="312"/>
    </row>
    <row r="33" spans="1:19" s="282" customFormat="1">
      <c r="A33" s="270">
        <f t="shared" si="3"/>
        <v>0</v>
      </c>
      <c r="B33" s="268" t="str">
        <f t="shared" si="0"/>
        <v/>
      </c>
      <c r="C33" s="269"/>
      <c r="D33" s="269"/>
      <c r="E33" s="269"/>
      <c r="F33" s="269"/>
      <c r="G33" s="276"/>
      <c r="H33" s="301">
        <v>28</v>
      </c>
      <c r="I33" s="302" t="str">
        <f t="shared" si="4"/>
        <v/>
      </c>
      <c r="J33" s="301">
        <f t="shared" si="5"/>
        <v>0</v>
      </c>
      <c r="K33" s="301">
        <f t="shared" si="1"/>
        <v>0</v>
      </c>
      <c r="L33" s="301"/>
      <c r="M33" s="303">
        <f t="shared" si="2"/>
        <v>0</v>
      </c>
      <c r="N33" s="276"/>
      <c r="O33" s="276"/>
      <c r="P33" s="276"/>
      <c r="Q33" s="276"/>
      <c r="R33" s="276"/>
    </row>
    <row r="34" spans="1:19" s="282" customFormat="1">
      <c r="A34" s="271">
        <f t="shared" si="3"/>
        <v>0</v>
      </c>
      <c r="B34" s="265" t="str">
        <f t="shared" si="0"/>
        <v/>
      </c>
      <c r="C34" s="266"/>
      <c r="D34" s="266"/>
      <c r="E34" s="266"/>
      <c r="F34" s="266"/>
      <c r="G34" s="276"/>
      <c r="H34" s="295">
        <v>29</v>
      </c>
      <c r="I34" s="296" t="str">
        <f t="shared" si="4"/>
        <v/>
      </c>
      <c r="J34" s="295">
        <f t="shared" si="5"/>
        <v>0</v>
      </c>
      <c r="K34" s="295">
        <f t="shared" si="1"/>
        <v>0</v>
      </c>
      <c r="L34" s="295"/>
      <c r="M34" s="297">
        <f t="shared" si="2"/>
        <v>0</v>
      </c>
      <c r="N34" s="276"/>
      <c r="O34" s="276"/>
      <c r="P34" s="276"/>
      <c r="Q34" s="276"/>
      <c r="R34" s="276"/>
    </row>
    <row r="35" spans="1:19" s="282" customFormat="1">
      <c r="A35" s="270">
        <f t="shared" si="3"/>
        <v>0</v>
      </c>
      <c r="B35" s="268" t="str">
        <f t="shared" si="0"/>
        <v/>
      </c>
      <c r="C35" s="269"/>
      <c r="D35" s="269"/>
      <c r="E35" s="269"/>
      <c r="F35" s="269"/>
      <c r="G35" s="276"/>
      <c r="H35" s="301">
        <v>30</v>
      </c>
      <c r="I35" s="302" t="str">
        <f t="shared" si="4"/>
        <v/>
      </c>
      <c r="J35" s="301">
        <f t="shared" si="5"/>
        <v>0</v>
      </c>
      <c r="K35" s="301">
        <f t="shared" si="1"/>
        <v>0</v>
      </c>
      <c r="L35" s="301"/>
      <c r="M35" s="303">
        <f t="shared" si="2"/>
        <v>0</v>
      </c>
      <c r="N35" s="276"/>
      <c r="O35" s="276"/>
      <c r="P35" s="276"/>
      <c r="Q35" s="276"/>
      <c r="R35" s="276"/>
    </row>
    <row r="36" spans="1:19" s="282" customFormat="1">
      <c r="A36" s="271">
        <f t="shared" si="3"/>
        <v>0</v>
      </c>
      <c r="B36" s="265" t="str">
        <f t="shared" si="0"/>
        <v/>
      </c>
      <c r="C36" s="266"/>
      <c r="D36" s="266"/>
      <c r="E36" s="266"/>
      <c r="F36" s="266"/>
      <c r="G36" s="276"/>
      <c r="H36" s="295">
        <v>31</v>
      </c>
      <c r="I36" s="296" t="str">
        <f t="shared" si="4"/>
        <v/>
      </c>
      <c r="J36" s="295">
        <f t="shared" si="5"/>
        <v>0</v>
      </c>
      <c r="K36" s="295">
        <f t="shared" si="1"/>
        <v>0</v>
      </c>
      <c r="L36" s="295"/>
      <c r="M36" s="297">
        <f t="shared" si="2"/>
        <v>0</v>
      </c>
      <c r="N36" s="276"/>
      <c r="O36" s="276"/>
      <c r="P36" s="276"/>
      <c r="Q36" s="276"/>
      <c r="R36" s="311"/>
      <c r="S36" s="312"/>
    </row>
    <row r="37" spans="1:19" s="282" customFormat="1">
      <c r="A37" s="270">
        <f t="shared" si="3"/>
        <v>0</v>
      </c>
      <c r="B37" s="268" t="str">
        <f t="shared" si="0"/>
        <v/>
      </c>
      <c r="C37" s="269"/>
      <c r="D37" s="269"/>
      <c r="E37" s="269"/>
      <c r="F37" s="269"/>
      <c r="G37" s="276"/>
      <c r="H37" s="301">
        <v>32</v>
      </c>
      <c r="I37" s="302" t="str">
        <f t="shared" si="4"/>
        <v/>
      </c>
      <c r="J37" s="301">
        <f t="shared" si="5"/>
        <v>0</v>
      </c>
      <c r="K37" s="301">
        <f t="shared" si="1"/>
        <v>0</v>
      </c>
      <c r="L37" s="301"/>
      <c r="M37" s="303">
        <f t="shared" si="2"/>
        <v>0</v>
      </c>
      <c r="N37" s="276"/>
      <c r="O37" s="276"/>
      <c r="P37" s="276"/>
      <c r="Q37" s="276"/>
      <c r="R37" s="276"/>
    </row>
    <row r="38" spans="1:19" s="282" customFormat="1">
      <c r="A38" s="271">
        <f t="shared" si="3"/>
        <v>0</v>
      </c>
      <c r="B38" s="265" t="str">
        <f t="shared" si="0"/>
        <v/>
      </c>
      <c r="C38" s="266"/>
      <c r="D38" s="266"/>
      <c r="E38" s="266"/>
      <c r="F38" s="266"/>
      <c r="G38" s="276"/>
      <c r="H38" s="295">
        <v>33</v>
      </c>
      <c r="I38" s="296" t="str">
        <f t="shared" si="4"/>
        <v/>
      </c>
      <c r="J38" s="295">
        <f t="shared" si="5"/>
        <v>-1</v>
      </c>
      <c r="K38" s="295">
        <f t="shared" si="1"/>
        <v>-10</v>
      </c>
      <c r="L38" s="295"/>
      <c r="M38" s="297">
        <f t="shared" si="2"/>
        <v>0</v>
      </c>
      <c r="N38" s="276"/>
      <c r="O38" s="276"/>
      <c r="P38" s="276"/>
      <c r="Q38" s="276"/>
      <c r="R38" s="276"/>
    </row>
    <row r="39" spans="1:19" s="282" customFormat="1">
      <c r="A39" s="270">
        <f t="shared" si="3"/>
        <v>0</v>
      </c>
      <c r="B39" s="268" t="str">
        <f t="shared" si="0"/>
        <v/>
      </c>
      <c r="C39" s="269"/>
      <c r="D39" s="269"/>
      <c r="E39" s="269"/>
      <c r="F39" s="269"/>
      <c r="G39" s="276"/>
      <c r="H39" s="301">
        <v>34</v>
      </c>
      <c r="I39" s="302" t="str">
        <f t="shared" si="4"/>
        <v/>
      </c>
      <c r="J39" s="301">
        <f t="shared" si="5"/>
        <v>-1</v>
      </c>
      <c r="K39" s="301">
        <f t="shared" si="1"/>
        <v>-10</v>
      </c>
      <c r="L39" s="301"/>
      <c r="M39" s="303">
        <f t="shared" si="2"/>
        <v>0</v>
      </c>
      <c r="N39" s="276"/>
      <c r="O39" s="276"/>
      <c r="P39" s="276"/>
      <c r="Q39" s="276"/>
      <c r="R39" s="276"/>
    </row>
    <row r="40" spans="1:19" s="282" customFormat="1">
      <c r="A40" s="271">
        <f t="shared" si="3"/>
        <v>0</v>
      </c>
      <c r="B40" s="265" t="str">
        <f t="shared" si="0"/>
        <v/>
      </c>
      <c r="C40" s="266"/>
      <c r="D40" s="266"/>
      <c r="E40" s="266"/>
      <c r="F40" s="266"/>
      <c r="G40" s="276"/>
      <c r="H40" s="295">
        <v>35</v>
      </c>
      <c r="I40" s="296" t="str">
        <f t="shared" si="4"/>
        <v/>
      </c>
      <c r="J40" s="295">
        <f t="shared" si="5"/>
        <v>-1</v>
      </c>
      <c r="K40" s="295">
        <f t="shared" si="1"/>
        <v>-10</v>
      </c>
      <c r="L40" s="295"/>
      <c r="M40" s="297">
        <f t="shared" si="2"/>
        <v>0</v>
      </c>
      <c r="N40" s="276"/>
      <c r="O40" s="276"/>
      <c r="P40" s="276"/>
      <c r="Q40" s="276"/>
      <c r="R40" s="276"/>
    </row>
    <row r="41" spans="1:19" s="282" customFormat="1">
      <c r="A41" s="270">
        <f t="shared" si="3"/>
        <v>0</v>
      </c>
      <c r="B41" s="268" t="str">
        <f t="shared" si="0"/>
        <v/>
      </c>
      <c r="C41" s="269"/>
      <c r="D41" s="269"/>
      <c r="E41" s="269"/>
      <c r="F41" s="269"/>
      <c r="G41" s="276"/>
      <c r="H41" s="301">
        <v>36</v>
      </c>
      <c r="I41" s="302" t="str">
        <f t="shared" si="4"/>
        <v/>
      </c>
      <c r="J41" s="301">
        <f t="shared" si="5"/>
        <v>-1</v>
      </c>
      <c r="K41" s="301">
        <f t="shared" si="1"/>
        <v>-10</v>
      </c>
      <c r="L41" s="301"/>
      <c r="M41" s="303">
        <f t="shared" si="2"/>
        <v>0</v>
      </c>
      <c r="N41" s="276"/>
      <c r="O41" s="276"/>
      <c r="P41" s="276"/>
      <c r="Q41" s="276"/>
      <c r="R41" s="276"/>
      <c r="S41" s="313"/>
    </row>
    <row r="42" spans="1:19" s="282" customFormat="1">
      <c r="A42" s="271">
        <f t="shared" si="3"/>
        <v>0</v>
      </c>
      <c r="B42" s="265" t="str">
        <f t="shared" si="0"/>
        <v/>
      </c>
      <c r="C42" s="266"/>
      <c r="D42" s="266"/>
      <c r="E42" s="266"/>
      <c r="F42" s="266"/>
      <c r="G42" s="276"/>
      <c r="H42" s="295">
        <v>37</v>
      </c>
      <c r="I42" s="296" t="str">
        <f t="shared" si="4"/>
        <v/>
      </c>
      <c r="J42" s="295">
        <f t="shared" si="5"/>
        <v>-1</v>
      </c>
      <c r="K42" s="295">
        <f t="shared" si="1"/>
        <v>-10</v>
      </c>
      <c r="L42" s="295"/>
      <c r="M42" s="297">
        <f t="shared" si="2"/>
        <v>0</v>
      </c>
      <c r="N42" s="276"/>
      <c r="O42" s="276"/>
      <c r="P42" s="276"/>
      <c r="Q42" s="276"/>
      <c r="R42" s="276"/>
    </row>
    <row r="43" spans="1:19" s="282" customFormat="1">
      <c r="A43" s="270">
        <f t="shared" si="3"/>
        <v>0</v>
      </c>
      <c r="B43" s="268" t="str">
        <f t="shared" si="0"/>
        <v/>
      </c>
      <c r="C43" s="269"/>
      <c r="D43" s="269"/>
      <c r="E43" s="269"/>
      <c r="F43" s="269"/>
      <c r="G43" s="276"/>
      <c r="H43" s="301">
        <v>38</v>
      </c>
      <c r="I43" s="302" t="str">
        <f t="shared" si="4"/>
        <v/>
      </c>
      <c r="J43" s="301">
        <f t="shared" si="5"/>
        <v>-1</v>
      </c>
      <c r="K43" s="301">
        <f t="shared" si="1"/>
        <v>-10</v>
      </c>
      <c r="L43" s="301"/>
      <c r="M43" s="303">
        <f t="shared" si="2"/>
        <v>0</v>
      </c>
      <c r="N43" s="276"/>
      <c r="O43" s="276"/>
      <c r="P43" s="276"/>
      <c r="Q43" s="276"/>
      <c r="R43" s="276"/>
    </row>
    <row r="44" spans="1:19" s="282" customFormat="1">
      <c r="A44" s="271">
        <f t="shared" si="3"/>
        <v>0</v>
      </c>
      <c r="B44" s="265" t="str">
        <f t="shared" si="0"/>
        <v/>
      </c>
      <c r="C44" s="266"/>
      <c r="D44" s="266"/>
      <c r="E44" s="266"/>
      <c r="F44" s="266"/>
      <c r="G44" s="276"/>
      <c r="H44" s="295">
        <v>39</v>
      </c>
      <c r="I44" s="296" t="str">
        <f t="shared" si="4"/>
        <v/>
      </c>
      <c r="J44" s="295">
        <f t="shared" si="5"/>
        <v>-1</v>
      </c>
      <c r="K44" s="295">
        <f t="shared" si="1"/>
        <v>-10</v>
      </c>
      <c r="L44" s="295"/>
      <c r="M44" s="297">
        <f t="shared" si="2"/>
        <v>0</v>
      </c>
      <c r="N44" s="276"/>
      <c r="O44" s="276"/>
      <c r="P44" s="276"/>
      <c r="Q44" s="276"/>
      <c r="R44" s="276"/>
    </row>
    <row r="45" spans="1:19" s="282" customFormat="1">
      <c r="A45" s="270">
        <f t="shared" si="3"/>
        <v>0</v>
      </c>
      <c r="B45" s="268" t="str">
        <f t="shared" si="0"/>
        <v/>
      </c>
      <c r="C45" s="269"/>
      <c r="D45" s="269"/>
      <c r="E45" s="269"/>
      <c r="F45" s="269"/>
      <c r="G45" s="276"/>
      <c r="H45" s="301">
        <v>40</v>
      </c>
      <c r="I45" s="302" t="str">
        <f t="shared" si="4"/>
        <v/>
      </c>
      <c r="J45" s="301">
        <f t="shared" si="5"/>
        <v>-1</v>
      </c>
      <c r="K45" s="301">
        <f t="shared" si="1"/>
        <v>-10</v>
      </c>
      <c r="L45" s="301"/>
      <c r="M45" s="303">
        <f t="shared" si="2"/>
        <v>0</v>
      </c>
      <c r="N45" s="276"/>
      <c r="O45" s="276"/>
      <c r="P45" s="276"/>
      <c r="Q45" s="276"/>
      <c r="R45" s="276"/>
    </row>
    <row r="46" spans="1:19" s="282" customFormat="1">
      <c r="A46" s="271">
        <f t="shared" si="3"/>
        <v>0</v>
      </c>
      <c r="B46" s="265" t="str">
        <f t="shared" si="0"/>
        <v/>
      </c>
      <c r="C46" s="266"/>
      <c r="D46" s="266"/>
      <c r="E46" s="266"/>
      <c r="F46" s="266"/>
      <c r="G46" s="276"/>
      <c r="H46" s="295">
        <v>41</v>
      </c>
      <c r="I46" s="296" t="str">
        <f t="shared" si="4"/>
        <v/>
      </c>
      <c r="J46" s="295">
        <f t="shared" si="5"/>
        <v>-1</v>
      </c>
      <c r="K46" s="295">
        <f t="shared" si="1"/>
        <v>-10</v>
      </c>
      <c r="L46" s="295"/>
      <c r="M46" s="297">
        <f t="shared" si="2"/>
        <v>0</v>
      </c>
      <c r="N46" s="276"/>
      <c r="O46" s="276"/>
      <c r="P46" s="276"/>
      <c r="Q46" s="276"/>
      <c r="R46" s="276"/>
    </row>
    <row r="47" spans="1:19" s="282" customFormat="1">
      <c r="A47" s="270">
        <f t="shared" si="3"/>
        <v>0</v>
      </c>
      <c r="B47" s="268" t="str">
        <f t="shared" si="0"/>
        <v/>
      </c>
      <c r="C47" s="269"/>
      <c r="D47" s="269"/>
      <c r="E47" s="269"/>
      <c r="F47" s="269"/>
      <c r="G47" s="276"/>
      <c r="H47" s="301">
        <v>42</v>
      </c>
      <c r="I47" s="302" t="str">
        <f t="shared" si="4"/>
        <v/>
      </c>
      <c r="J47" s="301">
        <f t="shared" si="5"/>
        <v>-1</v>
      </c>
      <c r="K47" s="301">
        <f t="shared" si="1"/>
        <v>-10</v>
      </c>
      <c r="L47" s="301"/>
      <c r="M47" s="303">
        <f t="shared" si="2"/>
        <v>0</v>
      </c>
      <c r="N47" s="276"/>
      <c r="O47" s="276"/>
      <c r="P47" s="276"/>
      <c r="Q47" s="276"/>
      <c r="R47" s="276"/>
    </row>
    <row r="48" spans="1:19" s="282" customFormat="1">
      <c r="A48" s="271">
        <f t="shared" si="3"/>
        <v>0</v>
      </c>
      <c r="B48" s="265" t="str">
        <f t="shared" si="0"/>
        <v/>
      </c>
      <c r="C48" s="266"/>
      <c r="D48" s="266"/>
      <c r="E48" s="266"/>
      <c r="F48" s="266"/>
      <c r="G48" s="276"/>
      <c r="H48" s="295">
        <v>43</v>
      </c>
      <c r="I48" s="296" t="str">
        <f t="shared" si="4"/>
        <v/>
      </c>
      <c r="J48" s="295">
        <f t="shared" si="5"/>
        <v>-1</v>
      </c>
      <c r="K48" s="295">
        <f t="shared" si="1"/>
        <v>-10</v>
      </c>
      <c r="L48" s="295"/>
      <c r="M48" s="297">
        <f t="shared" si="2"/>
        <v>0</v>
      </c>
      <c r="N48" s="276"/>
      <c r="O48" s="276"/>
      <c r="P48" s="276"/>
      <c r="Q48" s="276"/>
      <c r="R48" s="276"/>
    </row>
    <row r="49" spans="1:38" s="276" customFormat="1">
      <c r="A49" s="270">
        <f t="shared" si="3"/>
        <v>0</v>
      </c>
      <c r="B49" s="268" t="str">
        <f t="shared" si="0"/>
        <v/>
      </c>
      <c r="C49" s="269"/>
      <c r="D49" s="269"/>
      <c r="E49" s="269"/>
      <c r="F49" s="269"/>
      <c r="H49" s="301">
        <v>44</v>
      </c>
      <c r="I49" s="302" t="str">
        <f t="shared" si="4"/>
        <v/>
      </c>
      <c r="J49" s="301">
        <f t="shared" si="5"/>
        <v>-1</v>
      </c>
      <c r="K49" s="301">
        <f t="shared" si="1"/>
        <v>-10</v>
      </c>
      <c r="L49" s="301"/>
      <c r="M49" s="303">
        <f t="shared" si="2"/>
        <v>0</v>
      </c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</row>
    <row r="50" spans="1:38" s="276" customFormat="1">
      <c r="A50" s="271">
        <f t="shared" si="3"/>
        <v>0</v>
      </c>
      <c r="B50" s="265" t="str">
        <f t="shared" si="0"/>
        <v/>
      </c>
      <c r="C50" s="266"/>
      <c r="D50" s="266"/>
      <c r="E50" s="266"/>
      <c r="F50" s="266"/>
      <c r="H50" s="295">
        <v>45</v>
      </c>
      <c r="I50" s="296" t="str">
        <f t="shared" si="4"/>
        <v/>
      </c>
      <c r="J50" s="295">
        <f t="shared" si="5"/>
        <v>-1</v>
      </c>
      <c r="K50" s="295">
        <f t="shared" si="1"/>
        <v>-10</v>
      </c>
      <c r="L50" s="295"/>
      <c r="M50" s="297">
        <f t="shared" si="2"/>
        <v>0</v>
      </c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</row>
    <row r="51" spans="1:38" s="276" customFormat="1">
      <c r="A51" s="270">
        <f t="shared" si="3"/>
        <v>0</v>
      </c>
      <c r="B51" s="268" t="str">
        <f t="shared" si="0"/>
        <v/>
      </c>
      <c r="C51" s="269"/>
      <c r="D51" s="269"/>
      <c r="E51" s="269"/>
      <c r="F51" s="269"/>
      <c r="H51" s="301">
        <v>46</v>
      </c>
      <c r="I51" s="302" t="str">
        <f t="shared" si="4"/>
        <v/>
      </c>
      <c r="J51" s="301">
        <f t="shared" si="5"/>
        <v>-1</v>
      </c>
      <c r="K51" s="301">
        <f t="shared" si="1"/>
        <v>-10</v>
      </c>
      <c r="L51" s="301"/>
      <c r="M51" s="303">
        <f t="shared" si="2"/>
        <v>0</v>
      </c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</row>
    <row r="52" spans="1:38" s="276" customFormat="1">
      <c r="A52" s="271">
        <f t="shared" si="3"/>
        <v>0</v>
      </c>
      <c r="B52" s="265" t="str">
        <f t="shared" si="0"/>
        <v/>
      </c>
      <c r="C52" s="266"/>
      <c r="D52" s="266"/>
      <c r="E52" s="266"/>
      <c r="F52" s="266"/>
      <c r="H52" s="295">
        <v>47</v>
      </c>
      <c r="I52" s="296" t="str">
        <f t="shared" si="4"/>
        <v/>
      </c>
      <c r="J52" s="295">
        <f t="shared" si="5"/>
        <v>-1</v>
      </c>
      <c r="K52" s="295">
        <f t="shared" si="1"/>
        <v>-10</v>
      </c>
      <c r="L52" s="295"/>
      <c r="M52" s="297">
        <f t="shared" si="2"/>
        <v>0</v>
      </c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  <c r="AK52" s="282"/>
      <c r="AL52" s="282"/>
    </row>
    <row r="53" spans="1:38" s="276" customFormat="1">
      <c r="A53" s="270">
        <f t="shared" si="3"/>
        <v>0</v>
      </c>
      <c r="B53" s="268" t="str">
        <f t="shared" si="0"/>
        <v/>
      </c>
      <c r="C53" s="269"/>
      <c r="D53" s="269"/>
      <c r="E53" s="269"/>
      <c r="F53" s="269"/>
      <c r="H53" s="301">
        <v>48</v>
      </c>
      <c r="I53" s="302" t="str">
        <f t="shared" si="4"/>
        <v/>
      </c>
      <c r="J53" s="301">
        <f t="shared" si="5"/>
        <v>-1</v>
      </c>
      <c r="K53" s="301">
        <f t="shared" si="1"/>
        <v>-10</v>
      </c>
      <c r="L53" s="301"/>
      <c r="M53" s="303">
        <f t="shared" si="2"/>
        <v>0</v>
      </c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</row>
    <row r="54" spans="1:38" s="276" customFormat="1">
      <c r="A54" s="271">
        <f t="shared" si="3"/>
        <v>0</v>
      </c>
      <c r="B54" s="265" t="str">
        <f t="shared" si="0"/>
        <v/>
      </c>
      <c r="C54" s="266"/>
      <c r="D54" s="266"/>
      <c r="E54" s="266"/>
      <c r="F54" s="266"/>
      <c r="H54" s="295">
        <v>49</v>
      </c>
      <c r="I54" s="296" t="str">
        <f t="shared" si="4"/>
        <v/>
      </c>
      <c r="J54" s="295">
        <f t="shared" si="5"/>
        <v>-1</v>
      </c>
      <c r="K54" s="295">
        <f t="shared" si="1"/>
        <v>-10</v>
      </c>
      <c r="L54" s="295"/>
      <c r="M54" s="297">
        <f t="shared" si="2"/>
        <v>0</v>
      </c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</row>
    <row r="55" spans="1:38" s="276" customFormat="1">
      <c r="A55" s="270">
        <f t="shared" si="3"/>
        <v>0</v>
      </c>
      <c r="B55" s="268" t="str">
        <f t="shared" si="0"/>
        <v/>
      </c>
      <c r="C55" s="269"/>
      <c r="D55" s="269"/>
      <c r="E55" s="269"/>
      <c r="F55" s="269"/>
      <c r="H55" s="301">
        <v>50</v>
      </c>
      <c r="I55" s="302" t="str">
        <f t="shared" si="4"/>
        <v/>
      </c>
      <c r="J55" s="301">
        <f t="shared" si="5"/>
        <v>-1</v>
      </c>
      <c r="K55" s="301">
        <f t="shared" si="1"/>
        <v>-10</v>
      </c>
      <c r="L55" s="301"/>
      <c r="M55" s="303">
        <f t="shared" si="2"/>
        <v>0</v>
      </c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</row>
    <row r="56" spans="1:38" s="276" customFormat="1">
      <c r="A56" s="271">
        <f t="shared" si="3"/>
        <v>0</v>
      </c>
      <c r="B56" s="265" t="str">
        <f t="shared" si="0"/>
        <v/>
      </c>
      <c r="C56" s="266"/>
      <c r="D56" s="266"/>
      <c r="E56" s="266"/>
      <c r="F56" s="266"/>
      <c r="H56" s="295">
        <v>51</v>
      </c>
      <c r="I56" s="296" t="str">
        <f t="shared" si="4"/>
        <v/>
      </c>
      <c r="J56" s="295">
        <f t="shared" si="5"/>
        <v>-1</v>
      </c>
      <c r="K56" s="295">
        <f t="shared" si="1"/>
        <v>-10</v>
      </c>
      <c r="L56" s="295"/>
      <c r="M56" s="297">
        <f t="shared" si="2"/>
        <v>0</v>
      </c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</row>
    <row r="57" spans="1:38" s="276" customFormat="1">
      <c r="A57" s="270">
        <f t="shared" si="3"/>
        <v>0</v>
      </c>
      <c r="B57" s="268" t="str">
        <f t="shared" si="0"/>
        <v/>
      </c>
      <c r="C57" s="269"/>
      <c r="D57" s="269"/>
      <c r="E57" s="269"/>
      <c r="F57" s="269"/>
      <c r="H57" s="301">
        <v>52</v>
      </c>
      <c r="I57" s="302" t="str">
        <f t="shared" si="4"/>
        <v/>
      </c>
      <c r="J57" s="301">
        <f t="shared" si="5"/>
        <v>-1</v>
      </c>
      <c r="K57" s="301">
        <f t="shared" si="1"/>
        <v>-10</v>
      </c>
      <c r="L57" s="301"/>
      <c r="M57" s="303">
        <f t="shared" si="2"/>
        <v>0</v>
      </c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</row>
    <row r="58" spans="1:38" s="276" customFormat="1">
      <c r="A58" s="271">
        <f t="shared" si="3"/>
        <v>0</v>
      </c>
      <c r="B58" s="265" t="str">
        <f t="shared" si="0"/>
        <v/>
      </c>
      <c r="C58" s="266"/>
      <c r="D58" s="266"/>
      <c r="E58" s="266"/>
      <c r="F58" s="266"/>
      <c r="H58" s="295">
        <v>53</v>
      </c>
      <c r="I58" s="296" t="str">
        <f t="shared" si="4"/>
        <v/>
      </c>
      <c r="J58" s="295">
        <f t="shared" si="5"/>
        <v>-1</v>
      </c>
      <c r="K58" s="295">
        <f t="shared" si="1"/>
        <v>-10</v>
      </c>
      <c r="L58" s="295"/>
      <c r="M58" s="297">
        <f t="shared" si="2"/>
        <v>0</v>
      </c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</row>
    <row r="59" spans="1:38" s="276" customFormat="1">
      <c r="A59" s="270">
        <f t="shared" si="3"/>
        <v>0</v>
      </c>
      <c r="B59" s="268" t="str">
        <f t="shared" si="0"/>
        <v/>
      </c>
      <c r="C59" s="269"/>
      <c r="D59" s="269"/>
      <c r="E59" s="269"/>
      <c r="F59" s="269"/>
      <c r="H59" s="301">
        <v>54</v>
      </c>
      <c r="I59" s="302" t="str">
        <f t="shared" si="4"/>
        <v/>
      </c>
      <c r="J59" s="301">
        <f t="shared" si="5"/>
        <v>-1</v>
      </c>
      <c r="K59" s="301">
        <f t="shared" si="1"/>
        <v>-10</v>
      </c>
      <c r="L59" s="301"/>
      <c r="M59" s="303">
        <f t="shared" si="2"/>
        <v>0</v>
      </c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/>
      <c r="AE59" s="282"/>
      <c r="AF59" s="282"/>
      <c r="AG59" s="282"/>
      <c r="AH59" s="282"/>
      <c r="AI59" s="282"/>
      <c r="AJ59" s="282"/>
      <c r="AK59" s="282"/>
      <c r="AL59" s="282"/>
    </row>
    <row r="60" spans="1:38" s="276" customFormat="1">
      <c r="A60" s="271">
        <f t="shared" si="3"/>
        <v>0</v>
      </c>
      <c r="B60" s="265" t="str">
        <f t="shared" si="0"/>
        <v/>
      </c>
      <c r="C60" s="266"/>
      <c r="D60" s="266"/>
      <c r="E60" s="266"/>
      <c r="F60" s="266"/>
      <c r="H60" s="295">
        <v>55</v>
      </c>
      <c r="I60" s="296" t="str">
        <f t="shared" si="4"/>
        <v/>
      </c>
      <c r="J60" s="295">
        <f t="shared" si="5"/>
        <v>-1</v>
      </c>
      <c r="K60" s="295">
        <f t="shared" si="1"/>
        <v>-10</v>
      </c>
      <c r="L60" s="295"/>
      <c r="M60" s="297">
        <f t="shared" si="2"/>
        <v>0</v>
      </c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</row>
    <row r="61" spans="1:38" s="276" customFormat="1">
      <c r="A61" s="270">
        <f t="shared" si="3"/>
        <v>0</v>
      </c>
      <c r="B61" s="268" t="str">
        <f t="shared" si="0"/>
        <v/>
      </c>
      <c r="C61" s="269"/>
      <c r="D61" s="269"/>
      <c r="E61" s="269"/>
      <c r="F61" s="269"/>
      <c r="H61" s="301">
        <v>56</v>
      </c>
      <c r="I61" s="302" t="str">
        <f t="shared" si="4"/>
        <v/>
      </c>
      <c r="J61" s="301">
        <f t="shared" si="5"/>
        <v>-1</v>
      </c>
      <c r="K61" s="301">
        <f t="shared" si="1"/>
        <v>-10</v>
      </c>
      <c r="L61" s="301"/>
      <c r="M61" s="303">
        <f t="shared" si="2"/>
        <v>0</v>
      </c>
      <c r="S61" s="282"/>
      <c r="T61" s="282"/>
      <c r="U61" s="282"/>
      <c r="V61" s="282"/>
      <c r="W61" s="282"/>
      <c r="X61" s="282"/>
      <c r="Y61" s="282"/>
      <c r="Z61" s="282"/>
      <c r="AA61" s="282"/>
      <c r="AB61" s="282"/>
      <c r="AC61" s="282"/>
      <c r="AD61" s="282"/>
      <c r="AE61" s="282"/>
      <c r="AF61" s="282"/>
      <c r="AG61" s="282"/>
      <c r="AH61" s="282"/>
      <c r="AI61" s="282"/>
      <c r="AJ61" s="282"/>
      <c r="AK61" s="282"/>
      <c r="AL61" s="282"/>
    </row>
    <row r="62" spans="1:38" s="276" customFormat="1">
      <c r="A62" s="271">
        <f t="shared" si="3"/>
        <v>0</v>
      </c>
      <c r="B62" s="265" t="str">
        <f t="shared" si="0"/>
        <v/>
      </c>
      <c r="C62" s="266"/>
      <c r="D62" s="266"/>
      <c r="E62" s="266"/>
      <c r="F62" s="266"/>
      <c r="H62" s="295">
        <v>57</v>
      </c>
      <c r="I62" s="296" t="str">
        <f t="shared" si="4"/>
        <v/>
      </c>
      <c r="J62" s="295">
        <f t="shared" si="5"/>
        <v>-1</v>
      </c>
      <c r="K62" s="295">
        <f t="shared" si="1"/>
        <v>-10</v>
      </c>
      <c r="L62" s="295"/>
      <c r="M62" s="297">
        <f t="shared" si="2"/>
        <v>0</v>
      </c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</row>
    <row r="63" spans="1:38" s="276" customFormat="1">
      <c r="A63" s="270">
        <f t="shared" si="3"/>
        <v>0</v>
      </c>
      <c r="B63" s="268" t="str">
        <f t="shared" si="0"/>
        <v/>
      </c>
      <c r="C63" s="269"/>
      <c r="D63" s="269"/>
      <c r="E63" s="269"/>
      <c r="F63" s="269"/>
      <c r="H63" s="301">
        <v>58</v>
      </c>
      <c r="I63" s="302" t="str">
        <f t="shared" si="4"/>
        <v/>
      </c>
      <c r="J63" s="301">
        <f t="shared" si="5"/>
        <v>-1</v>
      </c>
      <c r="K63" s="301">
        <f t="shared" si="1"/>
        <v>-10</v>
      </c>
      <c r="L63" s="301"/>
      <c r="M63" s="303">
        <f t="shared" si="2"/>
        <v>0</v>
      </c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</row>
    <row r="64" spans="1:38" s="276" customFormat="1">
      <c r="A64" s="271">
        <f t="shared" si="3"/>
        <v>0</v>
      </c>
      <c r="B64" s="265" t="str">
        <f t="shared" si="0"/>
        <v/>
      </c>
      <c r="C64" s="266"/>
      <c r="D64" s="266"/>
      <c r="E64" s="266"/>
      <c r="F64" s="266"/>
      <c r="H64" s="295">
        <v>59</v>
      </c>
      <c r="I64" s="296" t="str">
        <f t="shared" si="4"/>
        <v/>
      </c>
      <c r="J64" s="295">
        <f t="shared" si="5"/>
        <v>-1</v>
      </c>
      <c r="K64" s="295">
        <f t="shared" si="1"/>
        <v>-10</v>
      </c>
      <c r="L64" s="295"/>
      <c r="M64" s="297">
        <f t="shared" si="2"/>
        <v>0</v>
      </c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</row>
    <row r="65" spans="1:38" s="276" customFormat="1">
      <c r="A65" s="270">
        <f t="shared" si="3"/>
        <v>0</v>
      </c>
      <c r="B65" s="268" t="str">
        <f t="shared" si="0"/>
        <v/>
      </c>
      <c r="C65" s="269"/>
      <c r="D65" s="269"/>
      <c r="E65" s="269"/>
      <c r="F65" s="269"/>
      <c r="H65" s="301">
        <v>60</v>
      </c>
      <c r="I65" s="302" t="str">
        <f t="shared" si="4"/>
        <v/>
      </c>
      <c r="J65" s="301">
        <f t="shared" si="5"/>
        <v>-1</v>
      </c>
      <c r="K65" s="301">
        <f t="shared" si="1"/>
        <v>-10</v>
      </c>
      <c r="L65" s="301"/>
      <c r="M65" s="303">
        <f t="shared" si="2"/>
        <v>0</v>
      </c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</row>
    <row r="66" spans="1:38" s="282" customFormat="1" ht="14.45" customHeight="1">
      <c r="A66" s="264">
        <f t="shared" si="3"/>
        <v>0</v>
      </c>
      <c r="B66" s="265" t="str">
        <f t="shared" si="0"/>
        <v/>
      </c>
      <c r="C66" s="266"/>
      <c r="D66" s="266"/>
      <c r="E66" s="266"/>
      <c r="F66" s="266"/>
      <c r="G66" s="260"/>
      <c r="H66" s="295">
        <v>61</v>
      </c>
      <c r="I66" s="296" t="str">
        <f t="shared" si="4"/>
        <v/>
      </c>
      <c r="J66" s="295">
        <f t="shared" si="5"/>
        <v>-1</v>
      </c>
      <c r="K66" s="295">
        <f t="shared" si="1"/>
        <v>-10</v>
      </c>
      <c r="L66" s="297"/>
      <c r="M66" s="297">
        <f t="shared" si="2"/>
        <v>0</v>
      </c>
      <c r="N66" s="276"/>
      <c r="O66" s="276"/>
      <c r="P66" s="276"/>
      <c r="Q66" s="276"/>
      <c r="R66" s="276"/>
    </row>
    <row r="67" spans="1:38" s="282" customFormat="1" ht="14.45" customHeight="1">
      <c r="A67" s="267">
        <f t="shared" si="3"/>
        <v>0</v>
      </c>
      <c r="B67" s="268" t="str">
        <f t="shared" si="0"/>
        <v/>
      </c>
      <c r="C67" s="269"/>
      <c r="D67" s="269"/>
      <c r="E67" s="269"/>
      <c r="F67" s="269"/>
      <c r="G67" s="260"/>
      <c r="H67" s="301">
        <v>62</v>
      </c>
      <c r="I67" s="302" t="str">
        <f t="shared" si="4"/>
        <v/>
      </c>
      <c r="J67" s="301">
        <f t="shared" si="5"/>
        <v>-1</v>
      </c>
      <c r="K67" s="301">
        <f t="shared" si="1"/>
        <v>-10</v>
      </c>
      <c r="L67" s="303"/>
      <c r="M67" s="303">
        <f t="shared" si="2"/>
        <v>0</v>
      </c>
      <c r="N67" s="276"/>
      <c r="O67" s="276"/>
      <c r="P67" s="276"/>
      <c r="Q67" s="276"/>
      <c r="R67" s="276"/>
    </row>
    <row r="68" spans="1:38" s="282" customFormat="1" ht="14.45" customHeight="1">
      <c r="A68" s="264">
        <f t="shared" si="3"/>
        <v>0</v>
      </c>
      <c r="B68" s="265" t="str">
        <f t="shared" si="0"/>
        <v/>
      </c>
      <c r="C68" s="266"/>
      <c r="D68" s="266"/>
      <c r="E68" s="266"/>
      <c r="F68" s="266"/>
      <c r="G68" s="260"/>
      <c r="H68" s="295">
        <v>63</v>
      </c>
      <c r="I68" s="296" t="str">
        <f t="shared" si="4"/>
        <v/>
      </c>
      <c r="J68" s="295">
        <f t="shared" si="5"/>
        <v>-1</v>
      </c>
      <c r="K68" s="295">
        <f t="shared" si="1"/>
        <v>-10</v>
      </c>
      <c r="L68" s="297"/>
      <c r="M68" s="297">
        <f t="shared" si="2"/>
        <v>0</v>
      </c>
      <c r="N68" s="276"/>
      <c r="O68" s="276"/>
      <c r="P68" s="276"/>
      <c r="Q68" s="276"/>
      <c r="R68" s="276"/>
    </row>
    <row r="69" spans="1:38" s="282" customFormat="1" ht="14.45" customHeight="1">
      <c r="A69" s="267">
        <f t="shared" si="3"/>
        <v>0</v>
      </c>
      <c r="B69" s="268" t="str">
        <f t="shared" si="0"/>
        <v/>
      </c>
      <c r="C69" s="269"/>
      <c r="D69" s="269"/>
      <c r="E69" s="269"/>
      <c r="F69" s="269"/>
      <c r="G69" s="260"/>
      <c r="H69" s="301">
        <v>64</v>
      </c>
      <c r="I69" s="302" t="str">
        <f t="shared" si="4"/>
        <v/>
      </c>
      <c r="J69" s="301">
        <f t="shared" si="5"/>
        <v>-1</v>
      </c>
      <c r="K69" s="301">
        <f t="shared" si="1"/>
        <v>-10</v>
      </c>
      <c r="L69" s="303"/>
      <c r="M69" s="303">
        <f t="shared" si="2"/>
        <v>0</v>
      </c>
      <c r="N69" s="276"/>
      <c r="O69" s="276"/>
      <c r="P69" s="276"/>
      <c r="Q69" s="276"/>
      <c r="R69" s="276"/>
      <c r="V69" s="304"/>
      <c r="Z69" s="305"/>
      <c r="AA69" s="305"/>
      <c r="AG69" s="306"/>
    </row>
    <row r="70" spans="1:38" s="282" customFormat="1" ht="14.45" customHeight="1">
      <c r="A70" s="264">
        <f t="shared" si="3"/>
        <v>0</v>
      </c>
      <c r="B70" s="265" t="str">
        <f t="shared" ref="B70:B133" si="6">IF(H70&gt;$H$2,"",(ROW()-5))</f>
        <v/>
      </c>
      <c r="C70" s="266"/>
      <c r="D70" s="266"/>
      <c r="E70" s="266"/>
      <c r="F70" s="266"/>
      <c r="G70" s="260"/>
      <c r="H70" s="295">
        <v>65</v>
      </c>
      <c r="I70" s="296" t="str">
        <f t="shared" si="4"/>
        <v/>
      </c>
      <c r="J70" s="295">
        <f t="shared" si="5"/>
        <v>-2</v>
      </c>
      <c r="K70" s="295">
        <f t="shared" ref="K70:K133" si="7">J70*$J$2</f>
        <v>-20</v>
      </c>
      <c r="L70" s="295"/>
      <c r="M70" s="297">
        <f t="shared" ref="M70:M133" si="8">IF(I70&lt;&gt;"",K70+I70+L70,0)</f>
        <v>0</v>
      </c>
      <c r="N70" s="276"/>
      <c r="O70" s="276"/>
      <c r="P70" s="276"/>
      <c r="Q70" s="276"/>
      <c r="R70" s="276"/>
      <c r="V70" s="304"/>
      <c r="Z70" s="305"/>
      <c r="AA70" s="305"/>
      <c r="AG70" s="306"/>
    </row>
    <row r="71" spans="1:38" s="282" customFormat="1" ht="14.45" customHeight="1">
      <c r="A71" s="267">
        <f t="shared" ref="A71:A134" si="9">M71</f>
        <v>0</v>
      </c>
      <c r="B71" s="268" t="str">
        <f t="shared" si="6"/>
        <v/>
      </c>
      <c r="C71" s="269"/>
      <c r="D71" s="269"/>
      <c r="E71" s="269"/>
      <c r="F71" s="269"/>
      <c r="G71" s="260"/>
      <c r="H71" s="301">
        <v>66</v>
      </c>
      <c r="I71" s="302" t="str">
        <f t="shared" ref="I71:I134" si="10">IF(H71&lt;$H$2+1,($I$2-($I$2-1)*(LOG(H71)/LOG($H$2))),"")</f>
        <v/>
      </c>
      <c r="J71" s="301">
        <f t="shared" ref="J71:J134" si="11">INT(LOG($H$2,2))-ROUNDUP(LOG(H71,2),0)+IF(OR($H$2=1,$H$2=2,$H$2=4,$H$2=8,$H$2=16,$H$2=32,$H$2=64,$H$2=128,$H$2=256),0,1)</f>
        <v>-2</v>
      </c>
      <c r="K71" s="301">
        <f t="shared" si="7"/>
        <v>-20</v>
      </c>
      <c r="L71" s="301"/>
      <c r="M71" s="303">
        <f t="shared" si="8"/>
        <v>0</v>
      </c>
      <c r="N71" s="276"/>
      <c r="O71" s="276"/>
      <c r="P71" s="276"/>
      <c r="Q71" s="276"/>
      <c r="R71" s="276"/>
      <c r="V71" s="307"/>
      <c r="Z71" s="305"/>
      <c r="AA71" s="305"/>
      <c r="AG71" s="306"/>
    </row>
    <row r="72" spans="1:38" s="282" customFormat="1" ht="14.45" customHeight="1">
      <c r="A72" s="264">
        <f t="shared" si="9"/>
        <v>0</v>
      </c>
      <c r="B72" s="265" t="str">
        <f t="shared" si="6"/>
        <v/>
      </c>
      <c r="C72" s="266"/>
      <c r="D72" s="266"/>
      <c r="E72" s="266"/>
      <c r="F72" s="266"/>
      <c r="G72" s="260"/>
      <c r="H72" s="295">
        <v>67</v>
      </c>
      <c r="I72" s="296" t="str">
        <f t="shared" si="10"/>
        <v/>
      </c>
      <c r="J72" s="295">
        <f t="shared" si="11"/>
        <v>-2</v>
      </c>
      <c r="K72" s="295">
        <f t="shared" si="7"/>
        <v>-20</v>
      </c>
      <c r="L72" s="295"/>
      <c r="M72" s="297">
        <f t="shared" si="8"/>
        <v>0</v>
      </c>
      <c r="N72" s="276"/>
      <c r="O72" s="276"/>
      <c r="P72" s="276"/>
      <c r="Q72" s="276"/>
      <c r="R72" s="276"/>
      <c r="Z72" s="305"/>
      <c r="AA72" s="305"/>
      <c r="AG72" s="306"/>
    </row>
    <row r="73" spans="1:38" s="282" customFormat="1" ht="14.45" customHeight="1">
      <c r="A73" s="270">
        <f t="shared" si="9"/>
        <v>0</v>
      </c>
      <c r="B73" s="268" t="str">
        <f t="shared" si="6"/>
        <v/>
      </c>
      <c r="C73" s="269"/>
      <c r="D73" s="269"/>
      <c r="E73" s="269"/>
      <c r="F73" s="269"/>
      <c r="G73" s="260"/>
      <c r="H73" s="301">
        <v>68</v>
      </c>
      <c r="I73" s="302" t="str">
        <f t="shared" si="10"/>
        <v/>
      </c>
      <c r="J73" s="301">
        <f t="shared" si="11"/>
        <v>-2</v>
      </c>
      <c r="K73" s="301">
        <f t="shared" si="7"/>
        <v>-20</v>
      </c>
      <c r="L73" s="301"/>
      <c r="M73" s="303">
        <f t="shared" si="8"/>
        <v>0</v>
      </c>
      <c r="N73" s="276"/>
      <c r="O73" s="276"/>
      <c r="P73" s="276"/>
      <c r="Q73" s="276"/>
      <c r="R73" s="276"/>
      <c r="X73" s="304"/>
      <c r="AG73" s="306"/>
    </row>
    <row r="74" spans="1:38" s="282" customFormat="1" ht="15.75" customHeight="1">
      <c r="A74" s="271">
        <f t="shared" si="9"/>
        <v>0</v>
      </c>
      <c r="B74" s="265" t="str">
        <f t="shared" si="6"/>
        <v/>
      </c>
      <c r="C74" s="266"/>
      <c r="D74" s="266"/>
      <c r="E74" s="266"/>
      <c r="F74" s="266"/>
      <c r="G74" s="260"/>
      <c r="H74" s="295">
        <v>69</v>
      </c>
      <c r="I74" s="296" t="str">
        <f t="shared" si="10"/>
        <v/>
      </c>
      <c r="J74" s="295">
        <f t="shared" si="11"/>
        <v>-2</v>
      </c>
      <c r="K74" s="295">
        <f t="shared" si="7"/>
        <v>-20</v>
      </c>
      <c r="L74" s="295"/>
      <c r="M74" s="297">
        <f t="shared" si="8"/>
        <v>0</v>
      </c>
      <c r="N74" s="276"/>
      <c r="O74" s="276"/>
      <c r="P74" s="276"/>
      <c r="Q74" s="276"/>
      <c r="R74" s="276"/>
      <c r="X74" s="308"/>
      <c r="Z74" s="305"/>
      <c r="AA74" s="305"/>
      <c r="AG74" s="306"/>
    </row>
    <row r="75" spans="1:38" s="282" customFormat="1">
      <c r="A75" s="270">
        <f t="shared" si="9"/>
        <v>0</v>
      </c>
      <c r="B75" s="268" t="str">
        <f t="shared" si="6"/>
        <v/>
      </c>
      <c r="C75" s="269"/>
      <c r="D75" s="269"/>
      <c r="E75" s="269"/>
      <c r="F75" s="269"/>
      <c r="G75" s="260"/>
      <c r="H75" s="301">
        <v>70</v>
      </c>
      <c r="I75" s="302" t="str">
        <f t="shared" si="10"/>
        <v/>
      </c>
      <c r="J75" s="301">
        <f t="shared" si="11"/>
        <v>-2</v>
      </c>
      <c r="K75" s="301">
        <f t="shared" si="7"/>
        <v>-20</v>
      </c>
      <c r="L75" s="301"/>
      <c r="M75" s="303">
        <f t="shared" si="8"/>
        <v>0</v>
      </c>
      <c r="N75" s="276"/>
      <c r="O75" s="276"/>
      <c r="P75" s="276"/>
      <c r="Q75" s="276"/>
      <c r="R75" s="276"/>
      <c r="X75" s="304"/>
      <c r="Z75" s="305"/>
      <c r="AA75" s="305"/>
    </row>
    <row r="76" spans="1:38" s="282" customFormat="1">
      <c r="A76" s="271">
        <f t="shared" si="9"/>
        <v>0</v>
      </c>
      <c r="B76" s="265" t="str">
        <f t="shared" si="6"/>
        <v/>
      </c>
      <c r="C76" s="266"/>
      <c r="D76" s="266"/>
      <c r="E76" s="266"/>
      <c r="F76" s="266"/>
      <c r="G76" s="260"/>
      <c r="H76" s="295">
        <v>71</v>
      </c>
      <c r="I76" s="296" t="str">
        <f t="shared" si="10"/>
        <v/>
      </c>
      <c r="J76" s="295">
        <f t="shared" si="11"/>
        <v>-2</v>
      </c>
      <c r="K76" s="295">
        <f t="shared" si="7"/>
        <v>-20</v>
      </c>
      <c r="L76" s="295"/>
      <c r="M76" s="297">
        <f t="shared" si="8"/>
        <v>0</v>
      </c>
      <c r="N76" s="276"/>
      <c r="O76" s="276"/>
      <c r="P76" s="276"/>
      <c r="Q76" s="276"/>
      <c r="R76" s="309"/>
      <c r="Z76" s="305"/>
      <c r="AA76" s="305"/>
      <c r="AH76" s="310"/>
    </row>
    <row r="77" spans="1:38" s="282" customFormat="1">
      <c r="A77" s="270">
        <f t="shared" si="9"/>
        <v>0</v>
      </c>
      <c r="B77" s="268" t="str">
        <f t="shared" si="6"/>
        <v/>
      </c>
      <c r="C77" s="269"/>
      <c r="D77" s="269"/>
      <c r="E77" s="269"/>
      <c r="F77" s="269"/>
      <c r="G77" s="260"/>
      <c r="H77" s="301">
        <v>72</v>
      </c>
      <c r="I77" s="302" t="str">
        <f t="shared" si="10"/>
        <v/>
      </c>
      <c r="J77" s="301">
        <f t="shared" si="11"/>
        <v>-2</v>
      </c>
      <c r="K77" s="301">
        <f t="shared" si="7"/>
        <v>-20</v>
      </c>
      <c r="L77" s="301"/>
      <c r="M77" s="303">
        <f t="shared" si="8"/>
        <v>0</v>
      </c>
      <c r="N77" s="276"/>
      <c r="O77" s="276"/>
      <c r="P77" s="276"/>
      <c r="Q77" s="276"/>
      <c r="R77" s="276"/>
    </row>
    <row r="78" spans="1:38" s="282" customFormat="1">
      <c r="A78" s="271">
        <f t="shared" si="9"/>
        <v>0</v>
      </c>
      <c r="B78" s="265" t="str">
        <f t="shared" si="6"/>
        <v/>
      </c>
      <c r="C78" s="266"/>
      <c r="D78" s="266"/>
      <c r="E78" s="266"/>
      <c r="F78" s="266"/>
      <c r="G78" s="260"/>
      <c r="H78" s="295">
        <v>73</v>
      </c>
      <c r="I78" s="296" t="str">
        <f t="shared" si="10"/>
        <v/>
      </c>
      <c r="J78" s="295">
        <f t="shared" si="11"/>
        <v>-2</v>
      </c>
      <c r="K78" s="295">
        <f t="shared" si="7"/>
        <v>-20</v>
      </c>
      <c r="L78" s="295"/>
      <c r="M78" s="297">
        <f t="shared" si="8"/>
        <v>0</v>
      </c>
      <c r="N78" s="276"/>
      <c r="O78" s="276"/>
      <c r="P78" s="276"/>
      <c r="Q78" s="276"/>
      <c r="R78" s="276"/>
    </row>
    <row r="79" spans="1:38" s="282" customFormat="1">
      <c r="A79" s="270">
        <f t="shared" si="9"/>
        <v>0</v>
      </c>
      <c r="B79" s="268" t="str">
        <f t="shared" si="6"/>
        <v/>
      </c>
      <c r="C79" s="269"/>
      <c r="D79" s="269"/>
      <c r="E79" s="269"/>
      <c r="F79" s="269"/>
      <c r="G79" s="260"/>
      <c r="H79" s="301">
        <v>74</v>
      </c>
      <c r="I79" s="302" t="str">
        <f t="shared" si="10"/>
        <v/>
      </c>
      <c r="J79" s="301">
        <f t="shared" si="11"/>
        <v>-2</v>
      </c>
      <c r="K79" s="301">
        <f t="shared" si="7"/>
        <v>-20</v>
      </c>
      <c r="L79" s="301"/>
      <c r="M79" s="303">
        <f t="shared" si="8"/>
        <v>0</v>
      </c>
      <c r="N79" s="276"/>
      <c r="O79" s="276"/>
      <c r="P79" s="276"/>
      <c r="Q79" s="276"/>
      <c r="R79" s="276"/>
    </row>
    <row r="80" spans="1:38" s="282" customFormat="1">
      <c r="A80" s="271">
        <f t="shared" si="9"/>
        <v>0</v>
      </c>
      <c r="B80" s="265" t="str">
        <f t="shared" si="6"/>
        <v/>
      </c>
      <c r="C80" s="266"/>
      <c r="D80" s="266"/>
      <c r="E80" s="266"/>
      <c r="F80" s="266"/>
      <c r="G80" s="260"/>
      <c r="H80" s="295">
        <v>75</v>
      </c>
      <c r="I80" s="296" t="str">
        <f t="shared" si="10"/>
        <v/>
      </c>
      <c r="J80" s="295">
        <f t="shared" si="11"/>
        <v>-2</v>
      </c>
      <c r="K80" s="295">
        <f t="shared" si="7"/>
        <v>-20</v>
      </c>
      <c r="L80" s="295"/>
      <c r="M80" s="297">
        <f t="shared" si="8"/>
        <v>0</v>
      </c>
      <c r="N80" s="276"/>
      <c r="O80" s="276"/>
      <c r="P80" s="276"/>
      <c r="Q80" s="276"/>
      <c r="R80" s="311"/>
      <c r="S80" s="312"/>
    </row>
    <row r="81" spans="1:19" s="282" customFormat="1">
      <c r="A81" s="270">
        <f t="shared" si="9"/>
        <v>0</v>
      </c>
      <c r="B81" s="268" t="str">
        <f t="shared" si="6"/>
        <v/>
      </c>
      <c r="C81" s="269"/>
      <c r="D81" s="269"/>
      <c r="E81" s="269"/>
      <c r="F81" s="269"/>
      <c r="G81" s="260"/>
      <c r="H81" s="301">
        <v>76</v>
      </c>
      <c r="I81" s="302" t="str">
        <f t="shared" si="10"/>
        <v/>
      </c>
      <c r="J81" s="301">
        <f t="shared" si="11"/>
        <v>-2</v>
      </c>
      <c r="K81" s="301">
        <f t="shared" si="7"/>
        <v>-20</v>
      </c>
      <c r="L81" s="301"/>
      <c r="M81" s="303">
        <f t="shared" si="8"/>
        <v>0</v>
      </c>
      <c r="N81" s="276"/>
      <c r="O81" s="276"/>
      <c r="P81" s="276"/>
      <c r="Q81" s="276"/>
      <c r="R81" s="276"/>
    </row>
    <row r="82" spans="1:19" s="282" customFormat="1">
      <c r="A82" s="271">
        <f t="shared" si="9"/>
        <v>0</v>
      </c>
      <c r="B82" s="265" t="str">
        <f t="shared" si="6"/>
        <v/>
      </c>
      <c r="C82" s="266"/>
      <c r="D82" s="266"/>
      <c r="E82" s="266"/>
      <c r="F82" s="266"/>
      <c r="G82" s="260"/>
      <c r="H82" s="295">
        <v>77</v>
      </c>
      <c r="I82" s="296" t="str">
        <f t="shared" si="10"/>
        <v/>
      </c>
      <c r="J82" s="295">
        <f t="shared" si="11"/>
        <v>-2</v>
      </c>
      <c r="K82" s="295">
        <f t="shared" si="7"/>
        <v>-20</v>
      </c>
      <c r="L82" s="295"/>
      <c r="M82" s="297">
        <f t="shared" si="8"/>
        <v>0</v>
      </c>
      <c r="N82" s="276"/>
      <c r="O82" s="276"/>
      <c r="P82" s="276"/>
      <c r="Q82" s="276"/>
      <c r="R82" s="276"/>
    </row>
    <row r="83" spans="1:19" s="282" customFormat="1">
      <c r="A83" s="270">
        <f t="shared" si="9"/>
        <v>0</v>
      </c>
      <c r="B83" s="268" t="str">
        <f t="shared" si="6"/>
        <v/>
      </c>
      <c r="C83" s="269"/>
      <c r="D83" s="269"/>
      <c r="E83" s="269"/>
      <c r="F83" s="269"/>
      <c r="G83" s="260"/>
      <c r="H83" s="301">
        <v>78</v>
      </c>
      <c r="I83" s="302" t="str">
        <f t="shared" si="10"/>
        <v/>
      </c>
      <c r="J83" s="301">
        <f t="shared" si="11"/>
        <v>-2</v>
      </c>
      <c r="K83" s="301">
        <f t="shared" si="7"/>
        <v>-20</v>
      </c>
      <c r="L83" s="301"/>
      <c r="M83" s="303">
        <f t="shared" si="8"/>
        <v>0</v>
      </c>
      <c r="N83" s="276"/>
      <c r="O83" s="276"/>
      <c r="P83" s="276"/>
      <c r="Q83" s="276"/>
      <c r="R83" s="276"/>
    </row>
    <row r="84" spans="1:19" s="282" customFormat="1">
      <c r="A84" s="271">
        <f t="shared" si="9"/>
        <v>0</v>
      </c>
      <c r="B84" s="265" t="str">
        <f t="shared" si="6"/>
        <v/>
      </c>
      <c r="C84" s="266"/>
      <c r="D84" s="266"/>
      <c r="E84" s="266"/>
      <c r="F84" s="266"/>
      <c r="G84" s="260"/>
      <c r="H84" s="295">
        <v>79</v>
      </c>
      <c r="I84" s="296" t="str">
        <f t="shared" si="10"/>
        <v/>
      </c>
      <c r="J84" s="295">
        <f t="shared" si="11"/>
        <v>-2</v>
      </c>
      <c r="K84" s="295">
        <f t="shared" si="7"/>
        <v>-20</v>
      </c>
      <c r="L84" s="295"/>
      <c r="M84" s="297">
        <f t="shared" si="8"/>
        <v>0</v>
      </c>
      <c r="N84" s="276"/>
      <c r="O84" s="276"/>
      <c r="P84" s="276"/>
      <c r="Q84" s="276"/>
      <c r="R84" s="311"/>
      <c r="S84" s="312"/>
    </row>
    <row r="85" spans="1:19" s="282" customFormat="1">
      <c r="A85" s="270">
        <f t="shared" si="9"/>
        <v>0</v>
      </c>
      <c r="B85" s="268" t="str">
        <f t="shared" si="6"/>
        <v/>
      </c>
      <c r="C85" s="269"/>
      <c r="D85" s="269"/>
      <c r="E85" s="269"/>
      <c r="F85" s="269"/>
      <c r="G85" s="260"/>
      <c r="H85" s="301">
        <v>80</v>
      </c>
      <c r="I85" s="302" t="str">
        <f t="shared" si="10"/>
        <v/>
      </c>
      <c r="J85" s="301">
        <f t="shared" si="11"/>
        <v>-2</v>
      </c>
      <c r="K85" s="301">
        <f t="shared" si="7"/>
        <v>-20</v>
      </c>
      <c r="L85" s="301"/>
      <c r="M85" s="303">
        <f t="shared" si="8"/>
        <v>0</v>
      </c>
      <c r="N85" s="276"/>
      <c r="O85" s="276"/>
      <c r="P85" s="276"/>
      <c r="Q85" s="276"/>
      <c r="R85" s="276"/>
    </row>
    <row r="86" spans="1:19" s="282" customFormat="1">
      <c r="A86" s="271">
        <f t="shared" si="9"/>
        <v>0</v>
      </c>
      <c r="B86" s="265" t="str">
        <f t="shared" si="6"/>
        <v/>
      </c>
      <c r="C86" s="266"/>
      <c r="D86" s="266"/>
      <c r="E86" s="266"/>
      <c r="F86" s="266"/>
      <c r="G86" s="260"/>
      <c r="H86" s="295">
        <v>81</v>
      </c>
      <c r="I86" s="296" t="str">
        <f t="shared" si="10"/>
        <v/>
      </c>
      <c r="J86" s="295">
        <f t="shared" si="11"/>
        <v>-2</v>
      </c>
      <c r="K86" s="295">
        <f t="shared" si="7"/>
        <v>-20</v>
      </c>
      <c r="L86" s="295"/>
      <c r="M86" s="297">
        <f t="shared" si="8"/>
        <v>0</v>
      </c>
      <c r="N86" s="276"/>
      <c r="O86" s="276"/>
      <c r="P86" s="276"/>
      <c r="Q86" s="276"/>
      <c r="R86" s="276"/>
    </row>
    <row r="87" spans="1:19" s="282" customFormat="1">
      <c r="A87" s="270">
        <f t="shared" si="9"/>
        <v>0</v>
      </c>
      <c r="B87" s="268" t="str">
        <f t="shared" si="6"/>
        <v/>
      </c>
      <c r="C87" s="269"/>
      <c r="D87" s="269"/>
      <c r="E87" s="269"/>
      <c r="F87" s="269"/>
      <c r="G87" s="260"/>
      <c r="H87" s="301">
        <v>82</v>
      </c>
      <c r="I87" s="302" t="str">
        <f t="shared" si="10"/>
        <v/>
      </c>
      <c r="J87" s="301">
        <f t="shared" si="11"/>
        <v>-2</v>
      </c>
      <c r="K87" s="301">
        <f t="shared" si="7"/>
        <v>-20</v>
      </c>
      <c r="L87" s="301"/>
      <c r="M87" s="303">
        <f t="shared" si="8"/>
        <v>0</v>
      </c>
      <c r="N87" s="276"/>
      <c r="O87" s="276"/>
      <c r="P87" s="276"/>
      <c r="Q87" s="276"/>
      <c r="R87" s="276"/>
    </row>
    <row r="88" spans="1:19" s="282" customFormat="1">
      <c r="A88" s="271">
        <f t="shared" si="9"/>
        <v>0</v>
      </c>
      <c r="B88" s="265" t="str">
        <f t="shared" si="6"/>
        <v/>
      </c>
      <c r="C88" s="266"/>
      <c r="D88" s="266"/>
      <c r="E88" s="266"/>
      <c r="F88" s="266"/>
      <c r="G88" s="260"/>
      <c r="H88" s="295">
        <v>83</v>
      </c>
      <c r="I88" s="296" t="str">
        <f t="shared" si="10"/>
        <v/>
      </c>
      <c r="J88" s="295">
        <f t="shared" si="11"/>
        <v>-2</v>
      </c>
      <c r="K88" s="295">
        <f t="shared" si="7"/>
        <v>-20</v>
      </c>
      <c r="L88" s="295"/>
      <c r="M88" s="297">
        <f t="shared" si="8"/>
        <v>0</v>
      </c>
      <c r="N88" s="276"/>
      <c r="O88" s="276"/>
      <c r="P88" s="276"/>
      <c r="Q88" s="276"/>
      <c r="R88" s="311"/>
      <c r="S88" s="312"/>
    </row>
    <row r="89" spans="1:19" s="282" customFormat="1">
      <c r="A89" s="270">
        <f t="shared" si="9"/>
        <v>0</v>
      </c>
      <c r="B89" s="268" t="str">
        <f t="shared" si="6"/>
        <v/>
      </c>
      <c r="C89" s="269"/>
      <c r="D89" s="269"/>
      <c r="E89" s="269"/>
      <c r="F89" s="269"/>
      <c r="G89" s="276"/>
      <c r="H89" s="301">
        <v>84</v>
      </c>
      <c r="I89" s="302" t="str">
        <f t="shared" si="10"/>
        <v/>
      </c>
      <c r="J89" s="301">
        <f t="shared" si="11"/>
        <v>-2</v>
      </c>
      <c r="K89" s="301">
        <f t="shared" si="7"/>
        <v>-20</v>
      </c>
      <c r="L89" s="301"/>
      <c r="M89" s="303">
        <f t="shared" si="8"/>
        <v>0</v>
      </c>
      <c r="N89" s="276"/>
      <c r="O89" s="276"/>
      <c r="P89" s="276"/>
      <c r="Q89" s="276"/>
      <c r="R89" s="276"/>
    </row>
    <row r="90" spans="1:19" s="282" customFormat="1">
      <c r="A90" s="271">
        <f t="shared" si="9"/>
        <v>0</v>
      </c>
      <c r="B90" s="265" t="str">
        <f t="shared" si="6"/>
        <v/>
      </c>
      <c r="C90" s="266"/>
      <c r="D90" s="266"/>
      <c r="E90" s="266"/>
      <c r="F90" s="266"/>
      <c r="G90" s="276"/>
      <c r="H90" s="295">
        <v>85</v>
      </c>
      <c r="I90" s="296" t="str">
        <f t="shared" si="10"/>
        <v/>
      </c>
      <c r="J90" s="295">
        <f t="shared" si="11"/>
        <v>-2</v>
      </c>
      <c r="K90" s="295">
        <f t="shared" si="7"/>
        <v>-20</v>
      </c>
      <c r="L90" s="295"/>
      <c r="M90" s="297">
        <f t="shared" si="8"/>
        <v>0</v>
      </c>
      <c r="N90" s="276"/>
      <c r="O90" s="276"/>
      <c r="P90" s="276"/>
      <c r="Q90" s="276"/>
      <c r="R90" s="276"/>
    </row>
    <row r="91" spans="1:19" s="282" customFormat="1">
      <c r="A91" s="270">
        <f t="shared" si="9"/>
        <v>0</v>
      </c>
      <c r="B91" s="268" t="str">
        <f t="shared" si="6"/>
        <v/>
      </c>
      <c r="C91" s="269"/>
      <c r="D91" s="269"/>
      <c r="E91" s="269"/>
      <c r="F91" s="269"/>
      <c r="G91" s="276"/>
      <c r="H91" s="301">
        <v>86</v>
      </c>
      <c r="I91" s="302" t="str">
        <f t="shared" si="10"/>
        <v/>
      </c>
      <c r="J91" s="301">
        <f t="shared" si="11"/>
        <v>-2</v>
      </c>
      <c r="K91" s="301">
        <f t="shared" si="7"/>
        <v>-20</v>
      </c>
      <c r="L91" s="301"/>
      <c r="M91" s="303">
        <f t="shared" si="8"/>
        <v>0</v>
      </c>
      <c r="N91" s="276"/>
      <c r="O91" s="276"/>
      <c r="P91" s="276"/>
      <c r="Q91" s="276"/>
      <c r="R91" s="276"/>
    </row>
    <row r="92" spans="1:19" s="282" customFormat="1">
      <c r="A92" s="271">
        <f t="shared" si="9"/>
        <v>0</v>
      </c>
      <c r="B92" s="265" t="str">
        <f t="shared" si="6"/>
        <v/>
      </c>
      <c r="C92" s="266"/>
      <c r="D92" s="266"/>
      <c r="E92" s="266"/>
      <c r="F92" s="266"/>
      <c r="G92" s="276"/>
      <c r="H92" s="295">
        <v>87</v>
      </c>
      <c r="I92" s="296" t="str">
        <f t="shared" si="10"/>
        <v/>
      </c>
      <c r="J92" s="295">
        <f t="shared" si="11"/>
        <v>-2</v>
      </c>
      <c r="K92" s="295">
        <f t="shared" si="7"/>
        <v>-20</v>
      </c>
      <c r="L92" s="295"/>
      <c r="M92" s="297">
        <f t="shared" si="8"/>
        <v>0</v>
      </c>
      <c r="N92" s="276"/>
      <c r="O92" s="276"/>
      <c r="P92" s="276"/>
      <c r="Q92" s="276"/>
      <c r="R92" s="311"/>
      <c r="S92" s="312"/>
    </row>
    <row r="93" spans="1:19" s="282" customFormat="1">
      <c r="A93" s="270">
        <f t="shared" si="9"/>
        <v>0</v>
      </c>
      <c r="B93" s="268" t="str">
        <f t="shared" si="6"/>
        <v/>
      </c>
      <c r="C93" s="269"/>
      <c r="D93" s="269"/>
      <c r="E93" s="269"/>
      <c r="F93" s="269"/>
      <c r="G93" s="276"/>
      <c r="H93" s="301">
        <v>88</v>
      </c>
      <c r="I93" s="302" t="str">
        <f t="shared" si="10"/>
        <v/>
      </c>
      <c r="J93" s="301">
        <f t="shared" si="11"/>
        <v>-2</v>
      </c>
      <c r="K93" s="301">
        <f t="shared" si="7"/>
        <v>-20</v>
      </c>
      <c r="L93" s="301"/>
      <c r="M93" s="303">
        <f t="shared" si="8"/>
        <v>0</v>
      </c>
      <c r="N93" s="276"/>
      <c r="O93" s="276"/>
      <c r="P93" s="276"/>
      <c r="Q93" s="276"/>
      <c r="R93" s="276"/>
    </row>
    <row r="94" spans="1:19" s="282" customFormat="1">
      <c r="A94" s="271">
        <f t="shared" si="9"/>
        <v>0</v>
      </c>
      <c r="B94" s="265" t="str">
        <f t="shared" si="6"/>
        <v/>
      </c>
      <c r="C94" s="266"/>
      <c r="D94" s="266"/>
      <c r="E94" s="266"/>
      <c r="F94" s="266"/>
      <c r="G94" s="276"/>
      <c r="H94" s="295">
        <v>89</v>
      </c>
      <c r="I94" s="296" t="str">
        <f t="shared" si="10"/>
        <v/>
      </c>
      <c r="J94" s="295">
        <f t="shared" si="11"/>
        <v>-2</v>
      </c>
      <c r="K94" s="295">
        <f t="shared" si="7"/>
        <v>-20</v>
      </c>
      <c r="L94" s="295"/>
      <c r="M94" s="297">
        <f t="shared" si="8"/>
        <v>0</v>
      </c>
      <c r="N94" s="276"/>
      <c r="O94" s="276"/>
      <c r="P94" s="276"/>
      <c r="Q94" s="276"/>
      <c r="R94" s="276"/>
    </row>
    <row r="95" spans="1:19" s="282" customFormat="1">
      <c r="A95" s="270">
        <f t="shared" si="9"/>
        <v>0</v>
      </c>
      <c r="B95" s="268" t="str">
        <f t="shared" si="6"/>
        <v/>
      </c>
      <c r="C95" s="269"/>
      <c r="D95" s="269"/>
      <c r="E95" s="269"/>
      <c r="F95" s="269"/>
      <c r="G95" s="276"/>
      <c r="H95" s="301">
        <v>90</v>
      </c>
      <c r="I95" s="302" t="str">
        <f t="shared" si="10"/>
        <v/>
      </c>
      <c r="J95" s="301">
        <f t="shared" si="11"/>
        <v>-2</v>
      </c>
      <c r="K95" s="301">
        <f t="shared" si="7"/>
        <v>-20</v>
      </c>
      <c r="L95" s="301"/>
      <c r="M95" s="303">
        <f t="shared" si="8"/>
        <v>0</v>
      </c>
      <c r="N95" s="276"/>
      <c r="O95" s="276"/>
      <c r="P95" s="276"/>
      <c r="Q95" s="276"/>
      <c r="R95" s="276"/>
    </row>
    <row r="96" spans="1:19" s="282" customFormat="1">
      <c r="A96" s="271">
        <f t="shared" si="9"/>
        <v>0</v>
      </c>
      <c r="B96" s="265" t="str">
        <f t="shared" si="6"/>
        <v/>
      </c>
      <c r="C96" s="266"/>
      <c r="D96" s="266"/>
      <c r="E96" s="266"/>
      <c r="F96" s="266"/>
      <c r="G96" s="276"/>
      <c r="H96" s="295">
        <v>91</v>
      </c>
      <c r="I96" s="296" t="str">
        <f t="shared" si="10"/>
        <v/>
      </c>
      <c r="J96" s="295">
        <f t="shared" si="11"/>
        <v>-2</v>
      </c>
      <c r="K96" s="295">
        <f t="shared" si="7"/>
        <v>-20</v>
      </c>
      <c r="L96" s="295"/>
      <c r="M96" s="297">
        <f t="shared" si="8"/>
        <v>0</v>
      </c>
      <c r="N96" s="276"/>
      <c r="O96" s="276"/>
      <c r="P96" s="276"/>
      <c r="Q96" s="276"/>
      <c r="R96" s="311"/>
      <c r="S96" s="312"/>
    </row>
    <row r="97" spans="1:38" s="282" customFormat="1">
      <c r="A97" s="270">
        <f t="shared" si="9"/>
        <v>0</v>
      </c>
      <c r="B97" s="268" t="str">
        <f t="shared" si="6"/>
        <v/>
      </c>
      <c r="C97" s="269"/>
      <c r="D97" s="269"/>
      <c r="E97" s="269"/>
      <c r="F97" s="269"/>
      <c r="G97" s="276"/>
      <c r="H97" s="301">
        <v>92</v>
      </c>
      <c r="I97" s="302" t="str">
        <f t="shared" si="10"/>
        <v/>
      </c>
      <c r="J97" s="301">
        <f t="shared" si="11"/>
        <v>-2</v>
      </c>
      <c r="K97" s="301">
        <f t="shared" si="7"/>
        <v>-20</v>
      </c>
      <c r="L97" s="301"/>
      <c r="M97" s="303">
        <f t="shared" si="8"/>
        <v>0</v>
      </c>
      <c r="N97" s="276"/>
      <c r="O97" s="276"/>
      <c r="P97" s="276"/>
      <c r="Q97" s="276"/>
      <c r="R97" s="276"/>
    </row>
    <row r="98" spans="1:38" s="282" customFormat="1">
      <c r="A98" s="271">
        <f t="shared" si="9"/>
        <v>0</v>
      </c>
      <c r="B98" s="265" t="str">
        <f t="shared" si="6"/>
        <v/>
      </c>
      <c r="C98" s="266"/>
      <c r="D98" s="266"/>
      <c r="E98" s="266"/>
      <c r="F98" s="266"/>
      <c r="G98" s="276"/>
      <c r="H98" s="295">
        <v>93</v>
      </c>
      <c r="I98" s="296" t="str">
        <f t="shared" si="10"/>
        <v/>
      </c>
      <c r="J98" s="295">
        <f t="shared" si="11"/>
        <v>-2</v>
      </c>
      <c r="K98" s="295">
        <f t="shared" si="7"/>
        <v>-20</v>
      </c>
      <c r="L98" s="295"/>
      <c r="M98" s="297">
        <f t="shared" si="8"/>
        <v>0</v>
      </c>
      <c r="N98" s="276"/>
      <c r="O98" s="276"/>
      <c r="P98" s="276"/>
      <c r="Q98" s="276"/>
      <c r="R98" s="276"/>
    </row>
    <row r="99" spans="1:38" s="282" customFormat="1">
      <c r="A99" s="270">
        <f t="shared" si="9"/>
        <v>0</v>
      </c>
      <c r="B99" s="268" t="str">
        <f t="shared" si="6"/>
        <v/>
      </c>
      <c r="C99" s="269"/>
      <c r="D99" s="269"/>
      <c r="E99" s="269"/>
      <c r="F99" s="269"/>
      <c r="G99" s="276"/>
      <c r="H99" s="301">
        <v>94</v>
      </c>
      <c r="I99" s="302" t="str">
        <f t="shared" si="10"/>
        <v/>
      </c>
      <c r="J99" s="301">
        <f t="shared" si="11"/>
        <v>-2</v>
      </c>
      <c r="K99" s="301">
        <f t="shared" si="7"/>
        <v>-20</v>
      </c>
      <c r="L99" s="301"/>
      <c r="M99" s="303">
        <f t="shared" si="8"/>
        <v>0</v>
      </c>
      <c r="N99" s="276"/>
      <c r="O99" s="276"/>
      <c r="P99" s="276"/>
      <c r="Q99" s="276"/>
      <c r="R99" s="276"/>
    </row>
    <row r="100" spans="1:38" s="282" customFormat="1">
      <c r="A100" s="271">
        <f t="shared" si="9"/>
        <v>0</v>
      </c>
      <c r="B100" s="265" t="str">
        <f t="shared" si="6"/>
        <v/>
      </c>
      <c r="C100" s="266"/>
      <c r="D100" s="266"/>
      <c r="E100" s="266"/>
      <c r="F100" s="266"/>
      <c r="G100" s="276"/>
      <c r="H100" s="295">
        <v>95</v>
      </c>
      <c r="I100" s="296" t="str">
        <f t="shared" si="10"/>
        <v/>
      </c>
      <c r="J100" s="295">
        <f t="shared" si="11"/>
        <v>-2</v>
      </c>
      <c r="K100" s="295">
        <f t="shared" si="7"/>
        <v>-20</v>
      </c>
      <c r="L100" s="295"/>
      <c r="M100" s="297">
        <f t="shared" si="8"/>
        <v>0</v>
      </c>
      <c r="N100" s="276"/>
      <c r="O100" s="276"/>
      <c r="P100" s="276"/>
      <c r="Q100" s="276"/>
      <c r="R100" s="276"/>
    </row>
    <row r="101" spans="1:38" s="282" customFormat="1">
      <c r="A101" s="270">
        <f t="shared" si="9"/>
        <v>0</v>
      </c>
      <c r="B101" s="268" t="str">
        <f t="shared" si="6"/>
        <v/>
      </c>
      <c r="C101" s="269"/>
      <c r="D101" s="269"/>
      <c r="E101" s="269"/>
      <c r="F101" s="269"/>
      <c r="G101" s="276"/>
      <c r="H101" s="301">
        <v>96</v>
      </c>
      <c r="I101" s="302" t="str">
        <f t="shared" si="10"/>
        <v/>
      </c>
      <c r="J101" s="301">
        <f t="shared" si="11"/>
        <v>-2</v>
      </c>
      <c r="K101" s="301">
        <f t="shared" si="7"/>
        <v>-20</v>
      </c>
      <c r="L101" s="301"/>
      <c r="M101" s="303">
        <f t="shared" si="8"/>
        <v>0</v>
      </c>
      <c r="N101" s="276"/>
      <c r="O101" s="276"/>
      <c r="P101" s="276"/>
      <c r="Q101" s="276"/>
      <c r="R101" s="276"/>
      <c r="S101" s="313"/>
    </row>
    <row r="102" spans="1:38" s="282" customFormat="1">
      <c r="A102" s="271">
        <f t="shared" si="9"/>
        <v>0</v>
      </c>
      <c r="B102" s="265" t="str">
        <f t="shared" si="6"/>
        <v/>
      </c>
      <c r="C102" s="266"/>
      <c r="D102" s="266"/>
      <c r="E102" s="266"/>
      <c r="F102" s="266"/>
      <c r="G102" s="276"/>
      <c r="H102" s="295">
        <v>97</v>
      </c>
      <c r="I102" s="296" t="str">
        <f t="shared" si="10"/>
        <v/>
      </c>
      <c r="J102" s="295">
        <f t="shared" si="11"/>
        <v>-2</v>
      </c>
      <c r="K102" s="295">
        <f t="shared" si="7"/>
        <v>-20</v>
      </c>
      <c r="L102" s="295"/>
      <c r="M102" s="297">
        <f t="shared" si="8"/>
        <v>0</v>
      </c>
      <c r="N102" s="276"/>
      <c r="O102" s="276"/>
      <c r="P102" s="276"/>
      <c r="Q102" s="276"/>
      <c r="R102" s="276"/>
    </row>
    <row r="103" spans="1:38" s="282" customFormat="1">
      <c r="A103" s="270">
        <f t="shared" si="9"/>
        <v>0</v>
      </c>
      <c r="B103" s="268" t="str">
        <f t="shared" si="6"/>
        <v/>
      </c>
      <c r="C103" s="269"/>
      <c r="D103" s="269"/>
      <c r="E103" s="269"/>
      <c r="F103" s="269"/>
      <c r="G103" s="276"/>
      <c r="H103" s="301">
        <v>98</v>
      </c>
      <c r="I103" s="302" t="str">
        <f t="shared" si="10"/>
        <v/>
      </c>
      <c r="J103" s="301">
        <f t="shared" si="11"/>
        <v>-2</v>
      </c>
      <c r="K103" s="301">
        <f t="shared" si="7"/>
        <v>-20</v>
      </c>
      <c r="L103" s="301"/>
      <c r="M103" s="303">
        <f t="shared" si="8"/>
        <v>0</v>
      </c>
      <c r="N103" s="276"/>
      <c r="O103" s="276"/>
      <c r="P103" s="276"/>
      <c r="Q103" s="276"/>
      <c r="R103" s="276"/>
    </row>
    <row r="104" spans="1:38" s="282" customFormat="1">
      <c r="A104" s="271">
        <f t="shared" si="9"/>
        <v>0</v>
      </c>
      <c r="B104" s="265" t="str">
        <f t="shared" si="6"/>
        <v/>
      </c>
      <c r="C104" s="266"/>
      <c r="D104" s="266"/>
      <c r="E104" s="266"/>
      <c r="F104" s="266"/>
      <c r="G104" s="276"/>
      <c r="H104" s="295">
        <v>99</v>
      </c>
      <c r="I104" s="296" t="str">
        <f t="shared" si="10"/>
        <v/>
      </c>
      <c r="J104" s="295">
        <f t="shared" si="11"/>
        <v>-2</v>
      </c>
      <c r="K104" s="295">
        <f t="shared" si="7"/>
        <v>-20</v>
      </c>
      <c r="L104" s="295"/>
      <c r="M104" s="297">
        <f t="shared" si="8"/>
        <v>0</v>
      </c>
      <c r="N104" s="276"/>
      <c r="O104" s="276"/>
      <c r="P104" s="276"/>
      <c r="Q104" s="276"/>
      <c r="R104" s="276"/>
    </row>
    <row r="105" spans="1:38" s="282" customFormat="1">
      <c r="A105" s="270">
        <f t="shared" si="9"/>
        <v>0</v>
      </c>
      <c r="B105" s="268" t="str">
        <f t="shared" si="6"/>
        <v/>
      </c>
      <c r="C105" s="269"/>
      <c r="D105" s="269"/>
      <c r="E105" s="269"/>
      <c r="F105" s="269"/>
      <c r="G105" s="276"/>
      <c r="H105" s="301">
        <v>100</v>
      </c>
      <c r="I105" s="302" t="str">
        <f t="shared" si="10"/>
        <v/>
      </c>
      <c r="J105" s="301">
        <f t="shared" si="11"/>
        <v>-2</v>
      </c>
      <c r="K105" s="301">
        <f t="shared" si="7"/>
        <v>-20</v>
      </c>
      <c r="L105" s="301"/>
      <c r="M105" s="303">
        <f t="shared" si="8"/>
        <v>0</v>
      </c>
      <c r="N105" s="276"/>
      <c r="O105" s="276"/>
      <c r="P105" s="276"/>
      <c r="Q105" s="276"/>
      <c r="R105" s="276"/>
    </row>
    <row r="106" spans="1:38" s="282" customFormat="1">
      <c r="A106" s="271">
        <f t="shared" si="9"/>
        <v>0</v>
      </c>
      <c r="B106" s="265" t="str">
        <f t="shared" si="6"/>
        <v/>
      </c>
      <c r="C106" s="266"/>
      <c r="D106" s="266"/>
      <c r="E106" s="266"/>
      <c r="F106" s="266"/>
      <c r="G106" s="276"/>
      <c r="H106" s="295">
        <v>101</v>
      </c>
      <c r="I106" s="296" t="str">
        <f t="shared" si="10"/>
        <v/>
      </c>
      <c r="J106" s="295">
        <f t="shared" si="11"/>
        <v>-2</v>
      </c>
      <c r="K106" s="295">
        <f t="shared" si="7"/>
        <v>-20</v>
      </c>
      <c r="L106" s="295"/>
      <c r="M106" s="297">
        <f t="shared" si="8"/>
        <v>0</v>
      </c>
      <c r="N106" s="276"/>
      <c r="O106" s="276"/>
      <c r="P106" s="276"/>
      <c r="Q106" s="276"/>
      <c r="R106" s="276"/>
    </row>
    <row r="107" spans="1:38" s="282" customFormat="1">
      <c r="A107" s="270">
        <f t="shared" si="9"/>
        <v>0</v>
      </c>
      <c r="B107" s="268" t="str">
        <f t="shared" si="6"/>
        <v/>
      </c>
      <c r="C107" s="269"/>
      <c r="D107" s="269"/>
      <c r="E107" s="269"/>
      <c r="F107" s="269"/>
      <c r="G107" s="276"/>
      <c r="H107" s="301">
        <v>102</v>
      </c>
      <c r="I107" s="302" t="str">
        <f t="shared" si="10"/>
        <v/>
      </c>
      <c r="J107" s="301">
        <f t="shared" si="11"/>
        <v>-2</v>
      </c>
      <c r="K107" s="301">
        <f t="shared" si="7"/>
        <v>-20</v>
      </c>
      <c r="L107" s="301"/>
      <c r="M107" s="303">
        <f t="shared" si="8"/>
        <v>0</v>
      </c>
      <c r="N107" s="276"/>
      <c r="O107" s="276"/>
      <c r="P107" s="276"/>
      <c r="Q107" s="276"/>
      <c r="R107" s="276"/>
    </row>
    <row r="108" spans="1:38" s="282" customFormat="1">
      <c r="A108" s="271">
        <f t="shared" si="9"/>
        <v>0</v>
      </c>
      <c r="B108" s="265" t="str">
        <f t="shared" si="6"/>
        <v/>
      </c>
      <c r="C108" s="266"/>
      <c r="D108" s="266"/>
      <c r="E108" s="266"/>
      <c r="F108" s="266"/>
      <c r="G108" s="276"/>
      <c r="H108" s="295">
        <v>103</v>
      </c>
      <c r="I108" s="296" t="str">
        <f t="shared" si="10"/>
        <v/>
      </c>
      <c r="J108" s="295">
        <f t="shared" si="11"/>
        <v>-2</v>
      </c>
      <c r="K108" s="295">
        <f t="shared" si="7"/>
        <v>-20</v>
      </c>
      <c r="L108" s="295"/>
      <c r="M108" s="297">
        <f t="shared" si="8"/>
        <v>0</v>
      </c>
      <c r="N108" s="276"/>
      <c r="O108" s="276"/>
      <c r="P108" s="276"/>
      <c r="Q108" s="276"/>
      <c r="R108" s="276"/>
    </row>
    <row r="109" spans="1:38" s="276" customFormat="1">
      <c r="A109" s="270">
        <f t="shared" si="9"/>
        <v>0</v>
      </c>
      <c r="B109" s="268" t="str">
        <f t="shared" si="6"/>
        <v/>
      </c>
      <c r="C109" s="269"/>
      <c r="D109" s="269"/>
      <c r="E109" s="269"/>
      <c r="F109" s="269"/>
      <c r="H109" s="301">
        <v>104</v>
      </c>
      <c r="I109" s="302" t="str">
        <f t="shared" si="10"/>
        <v/>
      </c>
      <c r="J109" s="301">
        <f t="shared" si="11"/>
        <v>-2</v>
      </c>
      <c r="K109" s="301">
        <f t="shared" si="7"/>
        <v>-20</v>
      </c>
      <c r="L109" s="301"/>
      <c r="M109" s="303">
        <f t="shared" si="8"/>
        <v>0</v>
      </c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</row>
    <row r="110" spans="1:38" s="276" customFormat="1">
      <c r="A110" s="271">
        <f t="shared" si="9"/>
        <v>0</v>
      </c>
      <c r="B110" s="265" t="str">
        <f t="shared" si="6"/>
        <v/>
      </c>
      <c r="C110" s="266"/>
      <c r="D110" s="266"/>
      <c r="E110" s="266"/>
      <c r="F110" s="266"/>
      <c r="H110" s="295">
        <v>105</v>
      </c>
      <c r="I110" s="296" t="str">
        <f t="shared" si="10"/>
        <v/>
      </c>
      <c r="J110" s="295">
        <f t="shared" si="11"/>
        <v>-2</v>
      </c>
      <c r="K110" s="295">
        <f t="shared" si="7"/>
        <v>-20</v>
      </c>
      <c r="L110" s="295"/>
      <c r="M110" s="297">
        <f t="shared" si="8"/>
        <v>0</v>
      </c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</row>
    <row r="111" spans="1:38" s="276" customFormat="1">
      <c r="A111" s="270">
        <f t="shared" si="9"/>
        <v>0</v>
      </c>
      <c r="B111" s="268" t="str">
        <f t="shared" si="6"/>
        <v/>
      </c>
      <c r="C111" s="269"/>
      <c r="D111" s="269"/>
      <c r="E111" s="269"/>
      <c r="F111" s="269"/>
      <c r="H111" s="301">
        <v>106</v>
      </c>
      <c r="I111" s="302" t="str">
        <f t="shared" si="10"/>
        <v/>
      </c>
      <c r="J111" s="301">
        <f t="shared" si="11"/>
        <v>-2</v>
      </c>
      <c r="K111" s="301">
        <f t="shared" si="7"/>
        <v>-20</v>
      </c>
      <c r="L111" s="301"/>
      <c r="M111" s="303">
        <f t="shared" si="8"/>
        <v>0</v>
      </c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</row>
    <row r="112" spans="1:38" s="276" customFormat="1">
      <c r="A112" s="271">
        <f t="shared" si="9"/>
        <v>0</v>
      </c>
      <c r="B112" s="265" t="str">
        <f t="shared" si="6"/>
        <v/>
      </c>
      <c r="C112" s="266"/>
      <c r="D112" s="266"/>
      <c r="E112" s="266"/>
      <c r="F112" s="266"/>
      <c r="H112" s="295">
        <v>107</v>
      </c>
      <c r="I112" s="296" t="str">
        <f t="shared" si="10"/>
        <v/>
      </c>
      <c r="J112" s="295">
        <f t="shared" si="11"/>
        <v>-2</v>
      </c>
      <c r="K112" s="295">
        <f t="shared" si="7"/>
        <v>-20</v>
      </c>
      <c r="L112" s="295"/>
      <c r="M112" s="297">
        <f t="shared" si="8"/>
        <v>0</v>
      </c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</row>
    <row r="113" spans="1:38" s="276" customFormat="1">
      <c r="A113" s="270">
        <f t="shared" si="9"/>
        <v>0</v>
      </c>
      <c r="B113" s="268" t="str">
        <f t="shared" si="6"/>
        <v/>
      </c>
      <c r="C113" s="269"/>
      <c r="D113" s="269"/>
      <c r="E113" s="269"/>
      <c r="F113" s="269"/>
      <c r="H113" s="301">
        <v>108</v>
      </c>
      <c r="I113" s="302" t="str">
        <f t="shared" si="10"/>
        <v/>
      </c>
      <c r="J113" s="301">
        <f t="shared" si="11"/>
        <v>-2</v>
      </c>
      <c r="K113" s="301">
        <f t="shared" si="7"/>
        <v>-20</v>
      </c>
      <c r="L113" s="301"/>
      <c r="M113" s="303">
        <f t="shared" si="8"/>
        <v>0</v>
      </c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</row>
    <row r="114" spans="1:38" s="276" customFormat="1">
      <c r="A114" s="271">
        <f t="shared" si="9"/>
        <v>0</v>
      </c>
      <c r="B114" s="265" t="str">
        <f t="shared" si="6"/>
        <v/>
      </c>
      <c r="C114" s="266"/>
      <c r="D114" s="266"/>
      <c r="E114" s="266"/>
      <c r="F114" s="266"/>
      <c r="H114" s="295">
        <v>109</v>
      </c>
      <c r="I114" s="296" t="str">
        <f t="shared" si="10"/>
        <v/>
      </c>
      <c r="J114" s="295">
        <f t="shared" si="11"/>
        <v>-2</v>
      </c>
      <c r="K114" s="295">
        <f t="shared" si="7"/>
        <v>-20</v>
      </c>
      <c r="L114" s="295"/>
      <c r="M114" s="297">
        <f t="shared" si="8"/>
        <v>0</v>
      </c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</row>
    <row r="115" spans="1:38" s="276" customFormat="1">
      <c r="A115" s="270">
        <f t="shared" si="9"/>
        <v>0</v>
      </c>
      <c r="B115" s="268" t="str">
        <f t="shared" si="6"/>
        <v/>
      </c>
      <c r="C115" s="269"/>
      <c r="D115" s="269"/>
      <c r="E115" s="269"/>
      <c r="F115" s="269"/>
      <c r="H115" s="301">
        <v>110</v>
      </c>
      <c r="I115" s="302" t="str">
        <f t="shared" si="10"/>
        <v/>
      </c>
      <c r="J115" s="301">
        <f t="shared" si="11"/>
        <v>-2</v>
      </c>
      <c r="K115" s="301">
        <f t="shared" si="7"/>
        <v>-20</v>
      </c>
      <c r="L115" s="301"/>
      <c r="M115" s="303">
        <f t="shared" si="8"/>
        <v>0</v>
      </c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</row>
    <row r="116" spans="1:38" s="276" customFormat="1">
      <c r="A116" s="271">
        <f t="shared" si="9"/>
        <v>0</v>
      </c>
      <c r="B116" s="265" t="str">
        <f t="shared" si="6"/>
        <v/>
      </c>
      <c r="C116" s="266"/>
      <c r="D116" s="266"/>
      <c r="E116" s="266"/>
      <c r="F116" s="266"/>
      <c r="H116" s="295">
        <v>111</v>
      </c>
      <c r="I116" s="296" t="str">
        <f t="shared" si="10"/>
        <v/>
      </c>
      <c r="J116" s="295">
        <f t="shared" si="11"/>
        <v>-2</v>
      </c>
      <c r="K116" s="295">
        <f t="shared" si="7"/>
        <v>-20</v>
      </c>
      <c r="L116" s="295"/>
      <c r="M116" s="297">
        <f t="shared" si="8"/>
        <v>0</v>
      </c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</row>
    <row r="117" spans="1:38" s="276" customFormat="1">
      <c r="A117" s="270">
        <f t="shared" si="9"/>
        <v>0</v>
      </c>
      <c r="B117" s="268" t="str">
        <f t="shared" si="6"/>
        <v/>
      </c>
      <c r="C117" s="269"/>
      <c r="D117" s="269"/>
      <c r="E117" s="269"/>
      <c r="F117" s="269"/>
      <c r="H117" s="301">
        <v>112</v>
      </c>
      <c r="I117" s="302" t="str">
        <f t="shared" si="10"/>
        <v/>
      </c>
      <c r="J117" s="301">
        <f t="shared" si="11"/>
        <v>-2</v>
      </c>
      <c r="K117" s="301">
        <f t="shared" si="7"/>
        <v>-20</v>
      </c>
      <c r="L117" s="301"/>
      <c r="M117" s="303">
        <f t="shared" si="8"/>
        <v>0</v>
      </c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</row>
    <row r="118" spans="1:38" s="276" customFormat="1">
      <c r="A118" s="271">
        <f t="shared" si="9"/>
        <v>0</v>
      </c>
      <c r="B118" s="265" t="str">
        <f t="shared" si="6"/>
        <v/>
      </c>
      <c r="C118" s="266"/>
      <c r="D118" s="266"/>
      <c r="E118" s="266"/>
      <c r="F118" s="266"/>
      <c r="H118" s="295">
        <v>113</v>
      </c>
      <c r="I118" s="296" t="str">
        <f t="shared" si="10"/>
        <v/>
      </c>
      <c r="J118" s="295">
        <f t="shared" si="11"/>
        <v>-2</v>
      </c>
      <c r="K118" s="295">
        <f t="shared" si="7"/>
        <v>-20</v>
      </c>
      <c r="L118" s="295"/>
      <c r="M118" s="297">
        <f t="shared" si="8"/>
        <v>0</v>
      </c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</row>
    <row r="119" spans="1:38" s="276" customFormat="1">
      <c r="A119" s="270">
        <f t="shared" si="9"/>
        <v>0</v>
      </c>
      <c r="B119" s="268" t="str">
        <f t="shared" si="6"/>
        <v/>
      </c>
      <c r="C119" s="269"/>
      <c r="D119" s="269"/>
      <c r="E119" s="269"/>
      <c r="F119" s="269"/>
      <c r="H119" s="301">
        <v>114</v>
      </c>
      <c r="I119" s="302" t="str">
        <f t="shared" si="10"/>
        <v/>
      </c>
      <c r="J119" s="301">
        <f t="shared" si="11"/>
        <v>-2</v>
      </c>
      <c r="K119" s="301">
        <f t="shared" si="7"/>
        <v>-20</v>
      </c>
      <c r="L119" s="301"/>
      <c r="M119" s="303">
        <f t="shared" si="8"/>
        <v>0</v>
      </c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</row>
    <row r="120" spans="1:38" s="276" customFormat="1">
      <c r="A120" s="271">
        <f t="shared" si="9"/>
        <v>0</v>
      </c>
      <c r="B120" s="265" t="str">
        <f t="shared" si="6"/>
        <v/>
      </c>
      <c r="C120" s="266"/>
      <c r="D120" s="266"/>
      <c r="E120" s="266"/>
      <c r="F120" s="266"/>
      <c r="H120" s="295">
        <v>115</v>
      </c>
      <c r="I120" s="296" t="str">
        <f t="shared" si="10"/>
        <v/>
      </c>
      <c r="J120" s="295">
        <f t="shared" si="11"/>
        <v>-2</v>
      </c>
      <c r="K120" s="295">
        <f t="shared" si="7"/>
        <v>-20</v>
      </c>
      <c r="L120" s="295"/>
      <c r="M120" s="297">
        <f t="shared" si="8"/>
        <v>0</v>
      </c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</row>
    <row r="121" spans="1:38" s="276" customFormat="1">
      <c r="A121" s="270">
        <f t="shared" si="9"/>
        <v>0</v>
      </c>
      <c r="B121" s="268" t="str">
        <f t="shared" si="6"/>
        <v/>
      </c>
      <c r="C121" s="269"/>
      <c r="D121" s="269"/>
      <c r="E121" s="269"/>
      <c r="F121" s="269"/>
      <c r="H121" s="301">
        <v>116</v>
      </c>
      <c r="I121" s="302" t="str">
        <f t="shared" si="10"/>
        <v/>
      </c>
      <c r="J121" s="301">
        <f t="shared" si="11"/>
        <v>-2</v>
      </c>
      <c r="K121" s="301">
        <f t="shared" si="7"/>
        <v>-20</v>
      </c>
      <c r="L121" s="301"/>
      <c r="M121" s="303">
        <f t="shared" si="8"/>
        <v>0</v>
      </c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</row>
    <row r="122" spans="1:38" s="276" customFormat="1">
      <c r="A122" s="271">
        <f t="shared" si="9"/>
        <v>0</v>
      </c>
      <c r="B122" s="265" t="str">
        <f t="shared" si="6"/>
        <v/>
      </c>
      <c r="C122" s="266"/>
      <c r="D122" s="266"/>
      <c r="E122" s="266"/>
      <c r="F122" s="266"/>
      <c r="H122" s="295">
        <v>117</v>
      </c>
      <c r="I122" s="296" t="str">
        <f t="shared" si="10"/>
        <v/>
      </c>
      <c r="J122" s="295">
        <f t="shared" si="11"/>
        <v>-2</v>
      </c>
      <c r="K122" s="295">
        <f t="shared" si="7"/>
        <v>-20</v>
      </c>
      <c r="L122" s="295"/>
      <c r="M122" s="297">
        <f t="shared" si="8"/>
        <v>0</v>
      </c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</row>
    <row r="123" spans="1:38" s="276" customFormat="1">
      <c r="A123" s="270">
        <f t="shared" si="9"/>
        <v>0</v>
      </c>
      <c r="B123" s="268" t="str">
        <f t="shared" si="6"/>
        <v/>
      </c>
      <c r="C123" s="269"/>
      <c r="D123" s="269"/>
      <c r="E123" s="269"/>
      <c r="F123" s="269"/>
      <c r="H123" s="301">
        <v>118</v>
      </c>
      <c r="I123" s="302" t="str">
        <f t="shared" si="10"/>
        <v/>
      </c>
      <c r="J123" s="301">
        <f t="shared" si="11"/>
        <v>-2</v>
      </c>
      <c r="K123" s="301">
        <f t="shared" si="7"/>
        <v>-20</v>
      </c>
      <c r="L123" s="301"/>
      <c r="M123" s="303">
        <f t="shared" si="8"/>
        <v>0</v>
      </c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</row>
    <row r="124" spans="1:38" s="276" customFormat="1">
      <c r="A124" s="271">
        <f t="shared" si="9"/>
        <v>0</v>
      </c>
      <c r="B124" s="265" t="str">
        <f t="shared" si="6"/>
        <v/>
      </c>
      <c r="C124" s="266"/>
      <c r="D124" s="266"/>
      <c r="E124" s="266"/>
      <c r="F124" s="266"/>
      <c r="H124" s="295">
        <v>119</v>
      </c>
      <c r="I124" s="296" t="str">
        <f t="shared" si="10"/>
        <v/>
      </c>
      <c r="J124" s="295">
        <f t="shared" si="11"/>
        <v>-2</v>
      </c>
      <c r="K124" s="295">
        <f t="shared" si="7"/>
        <v>-20</v>
      </c>
      <c r="L124" s="295"/>
      <c r="M124" s="297">
        <f t="shared" si="8"/>
        <v>0</v>
      </c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</row>
    <row r="125" spans="1:38" s="276" customFormat="1">
      <c r="A125" s="270">
        <f t="shared" si="9"/>
        <v>0</v>
      </c>
      <c r="B125" s="268" t="str">
        <f t="shared" si="6"/>
        <v/>
      </c>
      <c r="C125" s="269"/>
      <c r="D125" s="269"/>
      <c r="E125" s="269"/>
      <c r="F125" s="269"/>
      <c r="H125" s="301">
        <v>120</v>
      </c>
      <c r="I125" s="302" t="str">
        <f t="shared" si="10"/>
        <v/>
      </c>
      <c r="J125" s="301">
        <f t="shared" si="11"/>
        <v>-2</v>
      </c>
      <c r="K125" s="301">
        <f t="shared" si="7"/>
        <v>-20</v>
      </c>
      <c r="L125" s="301"/>
      <c r="M125" s="303">
        <f t="shared" si="8"/>
        <v>0</v>
      </c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</row>
    <row r="126" spans="1:38" s="282" customFormat="1" ht="14.45" customHeight="1">
      <c r="A126" s="264">
        <f t="shared" si="9"/>
        <v>0</v>
      </c>
      <c r="B126" s="265" t="str">
        <f t="shared" si="6"/>
        <v/>
      </c>
      <c r="C126" s="266"/>
      <c r="D126" s="266"/>
      <c r="E126" s="266"/>
      <c r="F126" s="266"/>
      <c r="G126" s="260"/>
      <c r="H126" s="295">
        <v>121</v>
      </c>
      <c r="I126" s="296" t="str">
        <f t="shared" si="10"/>
        <v/>
      </c>
      <c r="J126" s="295">
        <f t="shared" si="11"/>
        <v>-2</v>
      </c>
      <c r="K126" s="295">
        <f t="shared" si="7"/>
        <v>-20</v>
      </c>
      <c r="L126" s="297"/>
      <c r="M126" s="297">
        <f t="shared" si="8"/>
        <v>0</v>
      </c>
      <c r="N126" s="276"/>
      <c r="O126" s="276"/>
      <c r="P126" s="276"/>
      <c r="Q126" s="276"/>
      <c r="R126" s="276"/>
    </row>
    <row r="127" spans="1:38" s="282" customFormat="1" ht="14.45" customHeight="1">
      <c r="A127" s="267">
        <f t="shared" si="9"/>
        <v>0</v>
      </c>
      <c r="B127" s="268" t="str">
        <f t="shared" si="6"/>
        <v/>
      </c>
      <c r="C127" s="269"/>
      <c r="D127" s="269"/>
      <c r="E127" s="269"/>
      <c r="F127" s="269"/>
      <c r="G127" s="260"/>
      <c r="H127" s="301">
        <v>122</v>
      </c>
      <c r="I127" s="302" t="str">
        <f t="shared" si="10"/>
        <v/>
      </c>
      <c r="J127" s="301">
        <f t="shared" si="11"/>
        <v>-2</v>
      </c>
      <c r="K127" s="301">
        <f t="shared" si="7"/>
        <v>-20</v>
      </c>
      <c r="L127" s="303"/>
      <c r="M127" s="303">
        <f t="shared" si="8"/>
        <v>0</v>
      </c>
      <c r="N127" s="276"/>
      <c r="O127" s="276"/>
      <c r="P127" s="276"/>
      <c r="Q127" s="276"/>
      <c r="R127" s="276"/>
    </row>
    <row r="128" spans="1:38" s="282" customFormat="1" ht="14.45" customHeight="1">
      <c r="A128" s="264">
        <f t="shared" si="9"/>
        <v>0</v>
      </c>
      <c r="B128" s="265" t="str">
        <f t="shared" si="6"/>
        <v/>
      </c>
      <c r="C128" s="266"/>
      <c r="D128" s="266"/>
      <c r="E128" s="266"/>
      <c r="F128" s="266"/>
      <c r="G128" s="260"/>
      <c r="H128" s="295">
        <v>123</v>
      </c>
      <c r="I128" s="296" t="str">
        <f t="shared" si="10"/>
        <v/>
      </c>
      <c r="J128" s="295">
        <f t="shared" si="11"/>
        <v>-2</v>
      </c>
      <c r="K128" s="295">
        <f t="shared" si="7"/>
        <v>-20</v>
      </c>
      <c r="L128" s="297"/>
      <c r="M128" s="297">
        <f t="shared" si="8"/>
        <v>0</v>
      </c>
      <c r="N128" s="276"/>
      <c r="O128" s="276"/>
      <c r="P128" s="276"/>
      <c r="Q128" s="276"/>
      <c r="R128" s="276"/>
    </row>
    <row r="129" spans="1:34" s="282" customFormat="1" ht="14.45" customHeight="1">
      <c r="A129" s="267">
        <f t="shared" si="9"/>
        <v>0</v>
      </c>
      <c r="B129" s="268" t="str">
        <f t="shared" si="6"/>
        <v/>
      </c>
      <c r="C129" s="269"/>
      <c r="D129" s="269"/>
      <c r="E129" s="269"/>
      <c r="F129" s="269"/>
      <c r="G129" s="260"/>
      <c r="H129" s="301">
        <v>124</v>
      </c>
      <c r="I129" s="302" t="str">
        <f t="shared" si="10"/>
        <v/>
      </c>
      <c r="J129" s="301">
        <f t="shared" si="11"/>
        <v>-2</v>
      </c>
      <c r="K129" s="301">
        <f t="shared" si="7"/>
        <v>-20</v>
      </c>
      <c r="L129" s="303"/>
      <c r="M129" s="303">
        <f t="shared" si="8"/>
        <v>0</v>
      </c>
      <c r="N129" s="276"/>
      <c r="O129" s="276"/>
      <c r="P129" s="276"/>
      <c r="Q129" s="276"/>
      <c r="R129" s="276"/>
      <c r="V129" s="304"/>
      <c r="Z129" s="305"/>
      <c r="AA129" s="305"/>
      <c r="AG129" s="306"/>
    </row>
    <row r="130" spans="1:34" s="282" customFormat="1" ht="14.45" customHeight="1">
      <c r="A130" s="264">
        <f t="shared" si="9"/>
        <v>0</v>
      </c>
      <c r="B130" s="265" t="str">
        <f t="shared" si="6"/>
        <v/>
      </c>
      <c r="C130" s="266"/>
      <c r="D130" s="266"/>
      <c r="E130" s="266"/>
      <c r="F130" s="266"/>
      <c r="G130" s="260"/>
      <c r="H130" s="295">
        <v>125</v>
      </c>
      <c r="I130" s="296" t="str">
        <f t="shared" si="10"/>
        <v/>
      </c>
      <c r="J130" s="295">
        <f t="shared" si="11"/>
        <v>-2</v>
      </c>
      <c r="K130" s="295">
        <f t="shared" si="7"/>
        <v>-20</v>
      </c>
      <c r="L130" s="295"/>
      <c r="M130" s="297">
        <f t="shared" si="8"/>
        <v>0</v>
      </c>
      <c r="N130" s="276"/>
      <c r="O130" s="276"/>
      <c r="P130" s="276"/>
      <c r="Q130" s="276"/>
      <c r="R130" s="276"/>
      <c r="V130" s="304"/>
      <c r="Z130" s="305"/>
      <c r="AA130" s="305"/>
      <c r="AG130" s="306"/>
    </row>
    <row r="131" spans="1:34" s="282" customFormat="1" ht="14.45" customHeight="1">
      <c r="A131" s="267">
        <f t="shared" si="9"/>
        <v>0</v>
      </c>
      <c r="B131" s="268" t="str">
        <f t="shared" si="6"/>
        <v/>
      </c>
      <c r="C131" s="269"/>
      <c r="D131" s="269"/>
      <c r="E131" s="269"/>
      <c r="F131" s="269"/>
      <c r="G131" s="260"/>
      <c r="H131" s="301">
        <v>126</v>
      </c>
      <c r="I131" s="302" t="str">
        <f t="shared" si="10"/>
        <v/>
      </c>
      <c r="J131" s="301">
        <f t="shared" si="11"/>
        <v>-2</v>
      </c>
      <c r="K131" s="301">
        <f t="shared" si="7"/>
        <v>-20</v>
      </c>
      <c r="L131" s="301"/>
      <c r="M131" s="303">
        <f t="shared" si="8"/>
        <v>0</v>
      </c>
      <c r="N131" s="276"/>
      <c r="O131" s="276"/>
      <c r="P131" s="276"/>
      <c r="Q131" s="276"/>
      <c r="R131" s="276"/>
      <c r="V131" s="307"/>
      <c r="Z131" s="305"/>
      <c r="AA131" s="305"/>
      <c r="AG131" s="306"/>
    </row>
    <row r="132" spans="1:34" s="282" customFormat="1" ht="14.45" customHeight="1">
      <c r="A132" s="264">
        <f t="shared" si="9"/>
        <v>0</v>
      </c>
      <c r="B132" s="265" t="str">
        <f t="shared" si="6"/>
        <v/>
      </c>
      <c r="C132" s="266"/>
      <c r="D132" s="266"/>
      <c r="E132" s="266"/>
      <c r="F132" s="266"/>
      <c r="G132" s="260"/>
      <c r="H132" s="295">
        <v>127</v>
      </c>
      <c r="I132" s="296" t="str">
        <f t="shared" si="10"/>
        <v/>
      </c>
      <c r="J132" s="295">
        <f t="shared" si="11"/>
        <v>-2</v>
      </c>
      <c r="K132" s="295">
        <f t="shared" si="7"/>
        <v>-20</v>
      </c>
      <c r="L132" s="295"/>
      <c r="M132" s="297">
        <f t="shared" si="8"/>
        <v>0</v>
      </c>
      <c r="N132" s="276"/>
      <c r="O132" s="276"/>
      <c r="P132" s="276"/>
      <c r="Q132" s="276"/>
      <c r="R132" s="276"/>
      <c r="Z132" s="305"/>
      <c r="AA132" s="305"/>
      <c r="AG132" s="306"/>
    </row>
    <row r="133" spans="1:34" s="282" customFormat="1" ht="14.45" customHeight="1">
      <c r="A133" s="270">
        <f t="shared" si="9"/>
        <v>0</v>
      </c>
      <c r="B133" s="268" t="str">
        <f t="shared" si="6"/>
        <v/>
      </c>
      <c r="C133" s="269"/>
      <c r="D133" s="269"/>
      <c r="E133" s="269"/>
      <c r="F133" s="269"/>
      <c r="G133" s="260"/>
      <c r="H133" s="301">
        <v>128</v>
      </c>
      <c r="I133" s="302" t="str">
        <f t="shared" si="10"/>
        <v/>
      </c>
      <c r="J133" s="301">
        <f t="shared" si="11"/>
        <v>-2</v>
      </c>
      <c r="K133" s="301">
        <f t="shared" si="7"/>
        <v>-20</v>
      </c>
      <c r="L133" s="301"/>
      <c r="M133" s="303">
        <f t="shared" si="8"/>
        <v>0</v>
      </c>
      <c r="N133" s="276"/>
      <c r="O133" s="276"/>
      <c r="P133" s="276"/>
      <c r="Q133" s="276"/>
      <c r="R133" s="276"/>
      <c r="X133" s="304"/>
      <c r="AG133" s="306"/>
    </row>
    <row r="134" spans="1:34" s="282" customFormat="1" ht="15.75" customHeight="1">
      <c r="A134" s="271">
        <f t="shared" si="9"/>
        <v>0</v>
      </c>
      <c r="B134" s="265" t="str">
        <f t="shared" ref="B134:B197" si="12">IF(H134&gt;$H$2,"",(ROW()-5))</f>
        <v/>
      </c>
      <c r="C134" s="266"/>
      <c r="D134" s="266"/>
      <c r="E134" s="266"/>
      <c r="F134" s="266"/>
      <c r="G134" s="260"/>
      <c r="H134" s="295">
        <v>129</v>
      </c>
      <c r="I134" s="296" t="str">
        <f t="shared" si="10"/>
        <v/>
      </c>
      <c r="J134" s="295">
        <f t="shared" si="11"/>
        <v>-3</v>
      </c>
      <c r="K134" s="295">
        <f t="shared" ref="K134:K197" si="13">J134*$J$2</f>
        <v>-30</v>
      </c>
      <c r="L134" s="295"/>
      <c r="M134" s="297">
        <f t="shared" ref="M134:M197" si="14">IF(I134&lt;&gt;"",K134+I134+L134,0)</f>
        <v>0</v>
      </c>
      <c r="N134" s="276"/>
      <c r="O134" s="276"/>
      <c r="P134" s="276"/>
      <c r="Q134" s="276"/>
      <c r="R134" s="276"/>
      <c r="X134" s="308"/>
      <c r="Z134" s="305"/>
      <c r="AA134" s="305"/>
      <c r="AG134" s="306"/>
    </row>
    <row r="135" spans="1:34" s="282" customFormat="1">
      <c r="A135" s="270">
        <f t="shared" ref="A135:A198" si="15">M135</f>
        <v>0</v>
      </c>
      <c r="B135" s="268" t="str">
        <f t="shared" si="12"/>
        <v/>
      </c>
      <c r="C135" s="269"/>
      <c r="D135" s="269"/>
      <c r="E135" s="269"/>
      <c r="F135" s="269"/>
      <c r="G135" s="260"/>
      <c r="H135" s="301">
        <v>130</v>
      </c>
      <c r="I135" s="302" t="str">
        <f t="shared" ref="I135:I198" si="16">IF(H135&lt;$H$2+1,($I$2-($I$2-1)*(LOG(H135)/LOG($H$2))),"")</f>
        <v/>
      </c>
      <c r="J135" s="301">
        <f t="shared" ref="J135:J198" si="17">INT(LOG($H$2,2))-ROUNDUP(LOG(H135,2),0)+IF(OR($H$2=1,$H$2=2,$H$2=4,$H$2=8,$H$2=16,$H$2=32,$H$2=64,$H$2=128,$H$2=256),0,1)</f>
        <v>-3</v>
      </c>
      <c r="K135" s="301">
        <f t="shared" si="13"/>
        <v>-30</v>
      </c>
      <c r="L135" s="301"/>
      <c r="M135" s="303">
        <f t="shared" si="14"/>
        <v>0</v>
      </c>
      <c r="N135" s="276"/>
      <c r="O135" s="276"/>
      <c r="P135" s="276"/>
      <c r="Q135" s="276"/>
      <c r="R135" s="276"/>
      <c r="X135" s="304"/>
      <c r="Z135" s="305"/>
      <c r="AA135" s="305"/>
    </row>
    <row r="136" spans="1:34" s="282" customFormat="1">
      <c r="A136" s="271">
        <f t="shared" si="15"/>
        <v>0</v>
      </c>
      <c r="B136" s="265" t="str">
        <f t="shared" si="12"/>
        <v/>
      </c>
      <c r="C136" s="266"/>
      <c r="D136" s="266"/>
      <c r="E136" s="266"/>
      <c r="F136" s="266"/>
      <c r="G136" s="260"/>
      <c r="H136" s="295">
        <v>131</v>
      </c>
      <c r="I136" s="296" t="str">
        <f t="shared" si="16"/>
        <v/>
      </c>
      <c r="J136" s="295">
        <f t="shared" si="17"/>
        <v>-3</v>
      </c>
      <c r="K136" s="295">
        <f t="shared" si="13"/>
        <v>-30</v>
      </c>
      <c r="L136" s="295"/>
      <c r="M136" s="297">
        <f t="shared" si="14"/>
        <v>0</v>
      </c>
      <c r="N136" s="276"/>
      <c r="O136" s="276"/>
      <c r="P136" s="276"/>
      <c r="Q136" s="276"/>
      <c r="R136" s="309"/>
      <c r="Z136" s="305"/>
      <c r="AA136" s="305"/>
      <c r="AH136" s="310"/>
    </row>
    <row r="137" spans="1:34" s="282" customFormat="1">
      <c r="A137" s="270">
        <f t="shared" si="15"/>
        <v>0</v>
      </c>
      <c r="B137" s="268" t="str">
        <f t="shared" si="12"/>
        <v/>
      </c>
      <c r="C137" s="269"/>
      <c r="D137" s="269"/>
      <c r="E137" s="269"/>
      <c r="F137" s="269"/>
      <c r="G137" s="260"/>
      <c r="H137" s="301">
        <v>132</v>
      </c>
      <c r="I137" s="302" t="str">
        <f t="shared" si="16"/>
        <v/>
      </c>
      <c r="J137" s="301">
        <f t="shared" si="17"/>
        <v>-3</v>
      </c>
      <c r="K137" s="301">
        <f t="shared" si="13"/>
        <v>-30</v>
      </c>
      <c r="L137" s="301"/>
      <c r="M137" s="303">
        <f t="shared" si="14"/>
        <v>0</v>
      </c>
      <c r="N137" s="276"/>
      <c r="O137" s="276"/>
      <c r="P137" s="276"/>
      <c r="Q137" s="276"/>
      <c r="R137" s="276"/>
    </row>
    <row r="138" spans="1:34" s="282" customFormat="1">
      <c r="A138" s="271">
        <f t="shared" si="15"/>
        <v>0</v>
      </c>
      <c r="B138" s="265" t="str">
        <f t="shared" si="12"/>
        <v/>
      </c>
      <c r="C138" s="266"/>
      <c r="D138" s="266"/>
      <c r="E138" s="266"/>
      <c r="F138" s="266"/>
      <c r="G138" s="260"/>
      <c r="H138" s="295">
        <v>133</v>
      </c>
      <c r="I138" s="296" t="str">
        <f t="shared" si="16"/>
        <v/>
      </c>
      <c r="J138" s="295">
        <f t="shared" si="17"/>
        <v>-3</v>
      </c>
      <c r="K138" s="295">
        <f t="shared" si="13"/>
        <v>-30</v>
      </c>
      <c r="L138" s="295"/>
      <c r="M138" s="297">
        <f t="shared" si="14"/>
        <v>0</v>
      </c>
      <c r="N138" s="276"/>
      <c r="O138" s="276"/>
      <c r="P138" s="276"/>
      <c r="Q138" s="276"/>
      <c r="R138" s="276"/>
    </row>
    <row r="139" spans="1:34" s="282" customFormat="1">
      <c r="A139" s="270">
        <f t="shared" si="15"/>
        <v>0</v>
      </c>
      <c r="B139" s="268" t="str">
        <f t="shared" si="12"/>
        <v/>
      </c>
      <c r="C139" s="269"/>
      <c r="D139" s="269"/>
      <c r="E139" s="269"/>
      <c r="F139" s="269"/>
      <c r="G139" s="260"/>
      <c r="H139" s="301">
        <v>134</v>
      </c>
      <c r="I139" s="302" t="str">
        <f t="shared" si="16"/>
        <v/>
      </c>
      <c r="J139" s="301">
        <f t="shared" si="17"/>
        <v>-3</v>
      </c>
      <c r="K139" s="301">
        <f t="shared" si="13"/>
        <v>-30</v>
      </c>
      <c r="L139" s="301"/>
      <c r="M139" s="303">
        <f t="shared" si="14"/>
        <v>0</v>
      </c>
      <c r="N139" s="276"/>
      <c r="O139" s="276"/>
      <c r="P139" s="276"/>
      <c r="Q139" s="276"/>
      <c r="R139" s="276"/>
    </row>
    <row r="140" spans="1:34" s="282" customFormat="1">
      <c r="A140" s="271">
        <f t="shared" si="15"/>
        <v>0</v>
      </c>
      <c r="B140" s="265" t="str">
        <f t="shared" si="12"/>
        <v/>
      </c>
      <c r="C140" s="266"/>
      <c r="D140" s="266"/>
      <c r="E140" s="266"/>
      <c r="F140" s="266"/>
      <c r="G140" s="260"/>
      <c r="H140" s="295">
        <v>135</v>
      </c>
      <c r="I140" s="296" t="str">
        <f t="shared" si="16"/>
        <v/>
      </c>
      <c r="J140" s="295">
        <f t="shared" si="17"/>
        <v>-3</v>
      </c>
      <c r="K140" s="295">
        <f t="shared" si="13"/>
        <v>-30</v>
      </c>
      <c r="L140" s="295"/>
      <c r="M140" s="297">
        <f t="shared" si="14"/>
        <v>0</v>
      </c>
      <c r="N140" s="276"/>
      <c r="O140" s="276"/>
      <c r="P140" s="276"/>
      <c r="Q140" s="276"/>
      <c r="R140" s="311"/>
      <c r="S140" s="312"/>
    </row>
    <row r="141" spans="1:34" s="282" customFormat="1">
      <c r="A141" s="270">
        <f t="shared" si="15"/>
        <v>0</v>
      </c>
      <c r="B141" s="268" t="str">
        <f t="shared" si="12"/>
        <v/>
      </c>
      <c r="C141" s="269"/>
      <c r="D141" s="269"/>
      <c r="E141" s="269"/>
      <c r="F141" s="269"/>
      <c r="G141" s="260"/>
      <c r="H141" s="301">
        <v>136</v>
      </c>
      <c r="I141" s="302" t="str">
        <f t="shared" si="16"/>
        <v/>
      </c>
      <c r="J141" s="301">
        <f t="shared" si="17"/>
        <v>-3</v>
      </c>
      <c r="K141" s="301">
        <f t="shared" si="13"/>
        <v>-30</v>
      </c>
      <c r="L141" s="301"/>
      <c r="M141" s="303">
        <f t="shared" si="14"/>
        <v>0</v>
      </c>
      <c r="N141" s="276"/>
      <c r="O141" s="276"/>
      <c r="P141" s="276"/>
      <c r="Q141" s="276"/>
      <c r="R141" s="276"/>
    </row>
    <row r="142" spans="1:34" s="282" customFormat="1">
      <c r="A142" s="271">
        <f t="shared" si="15"/>
        <v>0</v>
      </c>
      <c r="B142" s="265" t="str">
        <f t="shared" si="12"/>
        <v/>
      </c>
      <c r="C142" s="266"/>
      <c r="D142" s="266"/>
      <c r="E142" s="266"/>
      <c r="F142" s="266"/>
      <c r="G142" s="260"/>
      <c r="H142" s="295">
        <v>137</v>
      </c>
      <c r="I142" s="296" t="str">
        <f t="shared" si="16"/>
        <v/>
      </c>
      <c r="J142" s="295">
        <f t="shared" si="17"/>
        <v>-3</v>
      </c>
      <c r="K142" s="295">
        <f t="shared" si="13"/>
        <v>-30</v>
      </c>
      <c r="L142" s="295"/>
      <c r="M142" s="297">
        <f t="shared" si="14"/>
        <v>0</v>
      </c>
      <c r="N142" s="276"/>
      <c r="O142" s="276"/>
      <c r="P142" s="276"/>
      <c r="Q142" s="276"/>
      <c r="R142" s="276"/>
    </row>
    <row r="143" spans="1:34" s="282" customFormat="1">
      <c r="A143" s="270">
        <f t="shared" si="15"/>
        <v>0</v>
      </c>
      <c r="B143" s="268" t="str">
        <f t="shared" si="12"/>
        <v/>
      </c>
      <c r="C143" s="269"/>
      <c r="D143" s="269"/>
      <c r="E143" s="269"/>
      <c r="F143" s="269"/>
      <c r="G143" s="260"/>
      <c r="H143" s="301">
        <v>138</v>
      </c>
      <c r="I143" s="302" t="str">
        <f t="shared" si="16"/>
        <v/>
      </c>
      <c r="J143" s="301">
        <f t="shared" si="17"/>
        <v>-3</v>
      </c>
      <c r="K143" s="301">
        <f t="shared" si="13"/>
        <v>-30</v>
      </c>
      <c r="L143" s="301"/>
      <c r="M143" s="303">
        <f t="shared" si="14"/>
        <v>0</v>
      </c>
      <c r="N143" s="276"/>
      <c r="O143" s="276"/>
      <c r="P143" s="276"/>
      <c r="Q143" s="276"/>
      <c r="R143" s="276"/>
    </row>
    <row r="144" spans="1:34" s="282" customFormat="1">
      <c r="A144" s="271">
        <f t="shared" si="15"/>
        <v>0</v>
      </c>
      <c r="B144" s="265" t="str">
        <f t="shared" si="12"/>
        <v/>
      </c>
      <c r="C144" s="266"/>
      <c r="D144" s="266"/>
      <c r="E144" s="266"/>
      <c r="F144" s="266"/>
      <c r="G144" s="260"/>
      <c r="H144" s="295">
        <v>139</v>
      </c>
      <c r="I144" s="296" t="str">
        <f t="shared" si="16"/>
        <v/>
      </c>
      <c r="J144" s="295">
        <f t="shared" si="17"/>
        <v>-3</v>
      </c>
      <c r="K144" s="295">
        <f t="shared" si="13"/>
        <v>-30</v>
      </c>
      <c r="L144" s="295"/>
      <c r="M144" s="297">
        <f t="shared" si="14"/>
        <v>0</v>
      </c>
      <c r="N144" s="276"/>
      <c r="O144" s="276"/>
      <c r="P144" s="276"/>
      <c r="Q144" s="276"/>
      <c r="R144" s="311"/>
      <c r="S144" s="312"/>
    </row>
    <row r="145" spans="1:19" s="282" customFormat="1">
      <c r="A145" s="270">
        <f t="shared" si="15"/>
        <v>0</v>
      </c>
      <c r="B145" s="268" t="str">
        <f t="shared" si="12"/>
        <v/>
      </c>
      <c r="C145" s="269"/>
      <c r="D145" s="269"/>
      <c r="E145" s="269"/>
      <c r="F145" s="269"/>
      <c r="G145" s="260"/>
      <c r="H145" s="301">
        <v>140</v>
      </c>
      <c r="I145" s="302" t="str">
        <f t="shared" si="16"/>
        <v/>
      </c>
      <c r="J145" s="301">
        <f t="shared" si="17"/>
        <v>-3</v>
      </c>
      <c r="K145" s="301">
        <f t="shared" si="13"/>
        <v>-30</v>
      </c>
      <c r="L145" s="301"/>
      <c r="M145" s="303">
        <f t="shared" si="14"/>
        <v>0</v>
      </c>
      <c r="N145" s="276"/>
      <c r="O145" s="276"/>
      <c r="P145" s="276"/>
      <c r="Q145" s="276"/>
      <c r="R145" s="276"/>
    </row>
    <row r="146" spans="1:19" s="282" customFormat="1">
      <c r="A146" s="271">
        <f t="shared" si="15"/>
        <v>0</v>
      </c>
      <c r="B146" s="265" t="str">
        <f t="shared" si="12"/>
        <v/>
      </c>
      <c r="C146" s="266"/>
      <c r="D146" s="266"/>
      <c r="E146" s="266"/>
      <c r="F146" s="266"/>
      <c r="G146" s="260"/>
      <c r="H146" s="295">
        <v>141</v>
      </c>
      <c r="I146" s="296" t="str">
        <f t="shared" si="16"/>
        <v/>
      </c>
      <c r="J146" s="295">
        <f t="shared" si="17"/>
        <v>-3</v>
      </c>
      <c r="K146" s="295">
        <f t="shared" si="13"/>
        <v>-30</v>
      </c>
      <c r="L146" s="295"/>
      <c r="M146" s="297">
        <f t="shared" si="14"/>
        <v>0</v>
      </c>
      <c r="N146" s="276"/>
      <c r="O146" s="276"/>
      <c r="P146" s="276"/>
      <c r="Q146" s="276"/>
      <c r="R146" s="276"/>
    </row>
    <row r="147" spans="1:19" s="282" customFormat="1">
      <c r="A147" s="270">
        <f t="shared" si="15"/>
        <v>0</v>
      </c>
      <c r="B147" s="268" t="str">
        <f t="shared" si="12"/>
        <v/>
      </c>
      <c r="C147" s="269"/>
      <c r="D147" s="269"/>
      <c r="E147" s="269"/>
      <c r="F147" s="269"/>
      <c r="G147" s="260"/>
      <c r="H147" s="301">
        <v>142</v>
      </c>
      <c r="I147" s="302" t="str">
        <f t="shared" si="16"/>
        <v/>
      </c>
      <c r="J147" s="301">
        <f t="shared" si="17"/>
        <v>-3</v>
      </c>
      <c r="K147" s="301">
        <f t="shared" si="13"/>
        <v>-30</v>
      </c>
      <c r="L147" s="301"/>
      <c r="M147" s="303">
        <f t="shared" si="14"/>
        <v>0</v>
      </c>
      <c r="N147" s="276"/>
      <c r="O147" s="276"/>
      <c r="P147" s="276"/>
      <c r="Q147" s="276"/>
      <c r="R147" s="276"/>
    </row>
    <row r="148" spans="1:19" s="282" customFormat="1">
      <c r="A148" s="271">
        <f t="shared" si="15"/>
        <v>0</v>
      </c>
      <c r="B148" s="265" t="str">
        <f t="shared" si="12"/>
        <v/>
      </c>
      <c r="C148" s="266"/>
      <c r="D148" s="266"/>
      <c r="E148" s="266"/>
      <c r="F148" s="266"/>
      <c r="G148" s="260"/>
      <c r="H148" s="295">
        <v>143</v>
      </c>
      <c r="I148" s="296" t="str">
        <f t="shared" si="16"/>
        <v/>
      </c>
      <c r="J148" s="295">
        <f t="shared" si="17"/>
        <v>-3</v>
      </c>
      <c r="K148" s="295">
        <f t="shared" si="13"/>
        <v>-30</v>
      </c>
      <c r="L148" s="295"/>
      <c r="M148" s="297">
        <f t="shared" si="14"/>
        <v>0</v>
      </c>
      <c r="N148" s="276"/>
      <c r="O148" s="276"/>
      <c r="P148" s="276"/>
      <c r="Q148" s="276"/>
      <c r="R148" s="311"/>
      <c r="S148" s="312"/>
    </row>
    <row r="149" spans="1:19" s="282" customFormat="1">
      <c r="A149" s="270">
        <f t="shared" si="15"/>
        <v>0</v>
      </c>
      <c r="B149" s="268" t="str">
        <f t="shared" si="12"/>
        <v/>
      </c>
      <c r="C149" s="269"/>
      <c r="D149" s="269"/>
      <c r="E149" s="269"/>
      <c r="F149" s="269"/>
      <c r="G149" s="276"/>
      <c r="H149" s="301">
        <v>144</v>
      </c>
      <c r="I149" s="302" t="str">
        <f t="shared" si="16"/>
        <v/>
      </c>
      <c r="J149" s="301">
        <f t="shared" si="17"/>
        <v>-3</v>
      </c>
      <c r="K149" s="301">
        <f t="shared" si="13"/>
        <v>-30</v>
      </c>
      <c r="L149" s="301"/>
      <c r="M149" s="303">
        <f t="shared" si="14"/>
        <v>0</v>
      </c>
      <c r="N149" s="276"/>
      <c r="O149" s="276"/>
      <c r="P149" s="276"/>
      <c r="Q149" s="276"/>
      <c r="R149" s="276"/>
    </row>
    <row r="150" spans="1:19" s="282" customFormat="1">
      <c r="A150" s="271">
        <f t="shared" si="15"/>
        <v>0</v>
      </c>
      <c r="B150" s="265" t="str">
        <f t="shared" si="12"/>
        <v/>
      </c>
      <c r="C150" s="266"/>
      <c r="D150" s="266"/>
      <c r="E150" s="266"/>
      <c r="F150" s="266"/>
      <c r="G150" s="276"/>
      <c r="H150" s="295">
        <v>145</v>
      </c>
      <c r="I150" s="296" t="str">
        <f t="shared" si="16"/>
        <v/>
      </c>
      <c r="J150" s="295">
        <f t="shared" si="17"/>
        <v>-3</v>
      </c>
      <c r="K150" s="295">
        <f t="shared" si="13"/>
        <v>-30</v>
      </c>
      <c r="L150" s="295"/>
      <c r="M150" s="297">
        <f t="shared" si="14"/>
        <v>0</v>
      </c>
      <c r="N150" s="276"/>
      <c r="O150" s="276"/>
      <c r="P150" s="276"/>
      <c r="Q150" s="276"/>
      <c r="R150" s="276"/>
    </row>
    <row r="151" spans="1:19" s="282" customFormat="1">
      <c r="A151" s="270">
        <f t="shared" si="15"/>
        <v>0</v>
      </c>
      <c r="B151" s="268" t="str">
        <f t="shared" si="12"/>
        <v/>
      </c>
      <c r="C151" s="269"/>
      <c r="D151" s="269"/>
      <c r="E151" s="269"/>
      <c r="F151" s="269"/>
      <c r="G151" s="276"/>
      <c r="H151" s="301">
        <v>146</v>
      </c>
      <c r="I151" s="302" t="str">
        <f t="shared" si="16"/>
        <v/>
      </c>
      <c r="J151" s="301">
        <f t="shared" si="17"/>
        <v>-3</v>
      </c>
      <c r="K151" s="301">
        <f t="shared" si="13"/>
        <v>-30</v>
      </c>
      <c r="L151" s="301"/>
      <c r="M151" s="303">
        <f t="shared" si="14"/>
        <v>0</v>
      </c>
      <c r="N151" s="276"/>
      <c r="O151" s="276"/>
      <c r="P151" s="276"/>
      <c r="Q151" s="276"/>
      <c r="R151" s="276"/>
    </row>
    <row r="152" spans="1:19" s="282" customFormat="1">
      <c r="A152" s="271">
        <f t="shared" si="15"/>
        <v>0</v>
      </c>
      <c r="B152" s="265" t="str">
        <f t="shared" si="12"/>
        <v/>
      </c>
      <c r="C152" s="266"/>
      <c r="D152" s="266"/>
      <c r="E152" s="266"/>
      <c r="F152" s="266"/>
      <c r="G152" s="276"/>
      <c r="H152" s="295">
        <v>147</v>
      </c>
      <c r="I152" s="296" t="str">
        <f t="shared" si="16"/>
        <v/>
      </c>
      <c r="J152" s="295">
        <f t="shared" si="17"/>
        <v>-3</v>
      </c>
      <c r="K152" s="295">
        <f t="shared" si="13"/>
        <v>-30</v>
      </c>
      <c r="L152" s="295"/>
      <c r="M152" s="297">
        <f t="shared" si="14"/>
        <v>0</v>
      </c>
      <c r="N152" s="276"/>
      <c r="O152" s="276"/>
      <c r="P152" s="276"/>
      <c r="Q152" s="276"/>
      <c r="R152" s="311"/>
      <c r="S152" s="312"/>
    </row>
    <row r="153" spans="1:19" s="282" customFormat="1">
      <c r="A153" s="270">
        <f t="shared" si="15"/>
        <v>0</v>
      </c>
      <c r="B153" s="268" t="str">
        <f t="shared" si="12"/>
        <v/>
      </c>
      <c r="C153" s="269"/>
      <c r="D153" s="269"/>
      <c r="E153" s="269"/>
      <c r="F153" s="269"/>
      <c r="G153" s="276"/>
      <c r="H153" s="301">
        <v>148</v>
      </c>
      <c r="I153" s="302" t="str">
        <f t="shared" si="16"/>
        <v/>
      </c>
      <c r="J153" s="301">
        <f t="shared" si="17"/>
        <v>-3</v>
      </c>
      <c r="K153" s="301">
        <f t="shared" si="13"/>
        <v>-30</v>
      </c>
      <c r="L153" s="301"/>
      <c r="M153" s="303">
        <f t="shared" si="14"/>
        <v>0</v>
      </c>
      <c r="N153" s="276"/>
      <c r="O153" s="276"/>
      <c r="P153" s="276"/>
      <c r="Q153" s="276"/>
      <c r="R153" s="276"/>
    </row>
    <row r="154" spans="1:19" s="282" customFormat="1">
      <c r="A154" s="271">
        <f t="shared" si="15"/>
        <v>0</v>
      </c>
      <c r="B154" s="265" t="str">
        <f t="shared" si="12"/>
        <v/>
      </c>
      <c r="C154" s="266"/>
      <c r="D154" s="266"/>
      <c r="E154" s="266"/>
      <c r="F154" s="266"/>
      <c r="G154" s="276"/>
      <c r="H154" s="295">
        <v>149</v>
      </c>
      <c r="I154" s="296" t="str">
        <f t="shared" si="16"/>
        <v/>
      </c>
      <c r="J154" s="295">
        <f t="shared" si="17"/>
        <v>-3</v>
      </c>
      <c r="K154" s="295">
        <f t="shared" si="13"/>
        <v>-30</v>
      </c>
      <c r="L154" s="295"/>
      <c r="M154" s="297">
        <f t="shared" si="14"/>
        <v>0</v>
      </c>
      <c r="N154" s="276"/>
      <c r="O154" s="276"/>
      <c r="P154" s="276"/>
      <c r="Q154" s="276"/>
      <c r="R154" s="276"/>
    </row>
    <row r="155" spans="1:19" s="282" customFormat="1">
      <c r="A155" s="270">
        <f t="shared" si="15"/>
        <v>0</v>
      </c>
      <c r="B155" s="268" t="str">
        <f t="shared" si="12"/>
        <v/>
      </c>
      <c r="C155" s="269"/>
      <c r="D155" s="269"/>
      <c r="E155" s="269"/>
      <c r="F155" s="269"/>
      <c r="G155" s="276"/>
      <c r="H155" s="301">
        <v>150</v>
      </c>
      <c r="I155" s="302" t="str">
        <f t="shared" si="16"/>
        <v/>
      </c>
      <c r="J155" s="301">
        <f t="shared" si="17"/>
        <v>-3</v>
      </c>
      <c r="K155" s="301">
        <f t="shared" si="13"/>
        <v>-30</v>
      </c>
      <c r="L155" s="301"/>
      <c r="M155" s="303">
        <f t="shared" si="14"/>
        <v>0</v>
      </c>
      <c r="N155" s="276"/>
      <c r="O155" s="276"/>
      <c r="P155" s="276"/>
      <c r="Q155" s="276"/>
      <c r="R155" s="276"/>
    </row>
    <row r="156" spans="1:19" s="282" customFormat="1">
      <c r="A156" s="271">
        <f t="shared" si="15"/>
        <v>0</v>
      </c>
      <c r="B156" s="265" t="str">
        <f t="shared" si="12"/>
        <v/>
      </c>
      <c r="C156" s="266"/>
      <c r="D156" s="266"/>
      <c r="E156" s="266"/>
      <c r="F156" s="266"/>
      <c r="G156" s="276"/>
      <c r="H156" s="295">
        <v>151</v>
      </c>
      <c r="I156" s="296" t="str">
        <f t="shared" si="16"/>
        <v/>
      </c>
      <c r="J156" s="295">
        <f t="shared" si="17"/>
        <v>-3</v>
      </c>
      <c r="K156" s="295">
        <f t="shared" si="13"/>
        <v>-30</v>
      </c>
      <c r="L156" s="295"/>
      <c r="M156" s="297">
        <f t="shared" si="14"/>
        <v>0</v>
      </c>
      <c r="N156" s="276"/>
      <c r="O156" s="276"/>
      <c r="P156" s="276"/>
      <c r="Q156" s="276"/>
      <c r="R156" s="311"/>
      <c r="S156" s="312"/>
    </row>
    <row r="157" spans="1:19" s="282" customFormat="1">
      <c r="A157" s="270">
        <f t="shared" si="15"/>
        <v>0</v>
      </c>
      <c r="B157" s="268" t="str">
        <f t="shared" si="12"/>
        <v/>
      </c>
      <c r="C157" s="269"/>
      <c r="D157" s="269"/>
      <c r="E157" s="269"/>
      <c r="F157" s="269"/>
      <c r="G157" s="276"/>
      <c r="H157" s="301">
        <v>152</v>
      </c>
      <c r="I157" s="302" t="str">
        <f t="shared" si="16"/>
        <v/>
      </c>
      <c r="J157" s="301">
        <f t="shared" si="17"/>
        <v>-3</v>
      </c>
      <c r="K157" s="301">
        <f t="shared" si="13"/>
        <v>-30</v>
      </c>
      <c r="L157" s="301"/>
      <c r="M157" s="303">
        <f t="shared" si="14"/>
        <v>0</v>
      </c>
      <c r="N157" s="276"/>
      <c r="O157" s="276"/>
      <c r="P157" s="276"/>
      <c r="Q157" s="276"/>
      <c r="R157" s="276"/>
    </row>
    <row r="158" spans="1:19" s="282" customFormat="1">
      <c r="A158" s="271">
        <f t="shared" si="15"/>
        <v>0</v>
      </c>
      <c r="B158" s="265" t="str">
        <f t="shared" si="12"/>
        <v/>
      </c>
      <c r="C158" s="266"/>
      <c r="D158" s="266"/>
      <c r="E158" s="266"/>
      <c r="F158" s="266"/>
      <c r="G158" s="276"/>
      <c r="H158" s="295">
        <v>153</v>
      </c>
      <c r="I158" s="296" t="str">
        <f t="shared" si="16"/>
        <v/>
      </c>
      <c r="J158" s="295">
        <f t="shared" si="17"/>
        <v>-3</v>
      </c>
      <c r="K158" s="295">
        <f t="shared" si="13"/>
        <v>-30</v>
      </c>
      <c r="L158" s="295"/>
      <c r="M158" s="297">
        <f t="shared" si="14"/>
        <v>0</v>
      </c>
      <c r="N158" s="276"/>
      <c r="O158" s="276"/>
      <c r="P158" s="276"/>
      <c r="Q158" s="276"/>
      <c r="R158" s="276"/>
    </row>
    <row r="159" spans="1:19" s="282" customFormat="1">
      <c r="A159" s="270">
        <f t="shared" si="15"/>
        <v>0</v>
      </c>
      <c r="B159" s="268" t="str">
        <f t="shared" si="12"/>
        <v/>
      </c>
      <c r="C159" s="269"/>
      <c r="D159" s="269"/>
      <c r="E159" s="269"/>
      <c r="F159" s="269"/>
      <c r="G159" s="276"/>
      <c r="H159" s="301">
        <v>154</v>
      </c>
      <c r="I159" s="302" t="str">
        <f t="shared" si="16"/>
        <v/>
      </c>
      <c r="J159" s="301">
        <f t="shared" si="17"/>
        <v>-3</v>
      </c>
      <c r="K159" s="301">
        <f t="shared" si="13"/>
        <v>-30</v>
      </c>
      <c r="L159" s="301"/>
      <c r="M159" s="303">
        <f t="shared" si="14"/>
        <v>0</v>
      </c>
      <c r="N159" s="276"/>
      <c r="O159" s="276"/>
      <c r="P159" s="276"/>
      <c r="Q159" s="276"/>
      <c r="R159" s="276"/>
    </row>
    <row r="160" spans="1:19" s="282" customFormat="1">
      <c r="A160" s="271">
        <f t="shared" si="15"/>
        <v>0</v>
      </c>
      <c r="B160" s="265" t="str">
        <f t="shared" si="12"/>
        <v/>
      </c>
      <c r="C160" s="266"/>
      <c r="D160" s="266"/>
      <c r="E160" s="266"/>
      <c r="F160" s="266"/>
      <c r="G160" s="276"/>
      <c r="H160" s="295">
        <v>155</v>
      </c>
      <c r="I160" s="296" t="str">
        <f t="shared" si="16"/>
        <v/>
      </c>
      <c r="J160" s="295">
        <f t="shared" si="17"/>
        <v>-3</v>
      </c>
      <c r="K160" s="295">
        <f t="shared" si="13"/>
        <v>-30</v>
      </c>
      <c r="L160" s="295"/>
      <c r="M160" s="297">
        <f t="shared" si="14"/>
        <v>0</v>
      </c>
      <c r="N160" s="276"/>
      <c r="O160" s="276"/>
      <c r="P160" s="276"/>
      <c r="Q160" s="276"/>
      <c r="R160" s="276"/>
    </row>
    <row r="161" spans="1:38" s="282" customFormat="1">
      <c r="A161" s="270">
        <f t="shared" si="15"/>
        <v>0</v>
      </c>
      <c r="B161" s="268" t="str">
        <f t="shared" si="12"/>
        <v/>
      </c>
      <c r="C161" s="269"/>
      <c r="D161" s="269"/>
      <c r="E161" s="269"/>
      <c r="F161" s="269"/>
      <c r="G161" s="276"/>
      <c r="H161" s="301">
        <v>156</v>
      </c>
      <c r="I161" s="302" t="str">
        <f t="shared" si="16"/>
        <v/>
      </c>
      <c r="J161" s="301">
        <f t="shared" si="17"/>
        <v>-3</v>
      </c>
      <c r="K161" s="301">
        <f t="shared" si="13"/>
        <v>-30</v>
      </c>
      <c r="L161" s="301"/>
      <c r="M161" s="303">
        <f t="shared" si="14"/>
        <v>0</v>
      </c>
      <c r="N161" s="276"/>
      <c r="O161" s="276"/>
      <c r="P161" s="276"/>
      <c r="Q161" s="276"/>
      <c r="R161" s="276"/>
      <c r="S161" s="313"/>
    </row>
    <row r="162" spans="1:38" s="282" customFormat="1">
      <c r="A162" s="271">
        <f t="shared" si="15"/>
        <v>0</v>
      </c>
      <c r="B162" s="265" t="str">
        <f t="shared" si="12"/>
        <v/>
      </c>
      <c r="C162" s="266"/>
      <c r="D162" s="266"/>
      <c r="E162" s="266"/>
      <c r="F162" s="266"/>
      <c r="G162" s="276"/>
      <c r="H162" s="295">
        <v>157</v>
      </c>
      <c r="I162" s="296" t="str">
        <f t="shared" si="16"/>
        <v/>
      </c>
      <c r="J162" s="295">
        <f t="shared" si="17"/>
        <v>-3</v>
      </c>
      <c r="K162" s="295">
        <f t="shared" si="13"/>
        <v>-30</v>
      </c>
      <c r="L162" s="295"/>
      <c r="M162" s="297">
        <f t="shared" si="14"/>
        <v>0</v>
      </c>
      <c r="N162" s="276"/>
      <c r="O162" s="276"/>
      <c r="P162" s="276"/>
      <c r="Q162" s="276"/>
      <c r="R162" s="276"/>
    </row>
    <row r="163" spans="1:38" s="282" customFormat="1">
      <c r="A163" s="270">
        <f t="shared" si="15"/>
        <v>0</v>
      </c>
      <c r="B163" s="268" t="str">
        <f t="shared" si="12"/>
        <v/>
      </c>
      <c r="C163" s="269"/>
      <c r="D163" s="269"/>
      <c r="E163" s="269"/>
      <c r="F163" s="269"/>
      <c r="G163" s="276"/>
      <c r="H163" s="301">
        <v>158</v>
      </c>
      <c r="I163" s="302" t="str">
        <f t="shared" si="16"/>
        <v/>
      </c>
      <c r="J163" s="301">
        <f t="shared" si="17"/>
        <v>-3</v>
      </c>
      <c r="K163" s="301">
        <f t="shared" si="13"/>
        <v>-30</v>
      </c>
      <c r="L163" s="301"/>
      <c r="M163" s="303">
        <f t="shared" si="14"/>
        <v>0</v>
      </c>
      <c r="N163" s="276"/>
      <c r="O163" s="276"/>
      <c r="P163" s="276"/>
      <c r="Q163" s="276"/>
      <c r="R163" s="276"/>
    </row>
    <row r="164" spans="1:38" s="282" customFormat="1">
      <c r="A164" s="271">
        <f t="shared" si="15"/>
        <v>0</v>
      </c>
      <c r="B164" s="265" t="str">
        <f t="shared" si="12"/>
        <v/>
      </c>
      <c r="C164" s="266"/>
      <c r="D164" s="266"/>
      <c r="E164" s="266"/>
      <c r="F164" s="266"/>
      <c r="G164" s="276"/>
      <c r="H164" s="295">
        <v>159</v>
      </c>
      <c r="I164" s="296" t="str">
        <f t="shared" si="16"/>
        <v/>
      </c>
      <c r="J164" s="295">
        <f t="shared" si="17"/>
        <v>-3</v>
      </c>
      <c r="K164" s="295">
        <f t="shared" si="13"/>
        <v>-30</v>
      </c>
      <c r="L164" s="295"/>
      <c r="M164" s="297">
        <f t="shared" si="14"/>
        <v>0</v>
      </c>
      <c r="N164" s="276"/>
      <c r="O164" s="276"/>
      <c r="P164" s="276"/>
      <c r="Q164" s="276"/>
      <c r="R164" s="276"/>
    </row>
    <row r="165" spans="1:38" s="282" customFormat="1">
      <c r="A165" s="270">
        <f t="shared" si="15"/>
        <v>0</v>
      </c>
      <c r="B165" s="268" t="str">
        <f t="shared" si="12"/>
        <v/>
      </c>
      <c r="C165" s="269"/>
      <c r="D165" s="269"/>
      <c r="E165" s="269"/>
      <c r="F165" s="269"/>
      <c r="G165" s="276"/>
      <c r="H165" s="301">
        <v>160</v>
      </c>
      <c r="I165" s="302" t="str">
        <f t="shared" si="16"/>
        <v/>
      </c>
      <c r="J165" s="301">
        <f t="shared" si="17"/>
        <v>-3</v>
      </c>
      <c r="K165" s="301">
        <f t="shared" si="13"/>
        <v>-30</v>
      </c>
      <c r="L165" s="301"/>
      <c r="M165" s="303">
        <f t="shared" si="14"/>
        <v>0</v>
      </c>
      <c r="N165" s="276"/>
      <c r="O165" s="276"/>
      <c r="P165" s="276"/>
      <c r="Q165" s="276"/>
      <c r="R165" s="276"/>
    </row>
    <row r="166" spans="1:38" s="282" customFormat="1">
      <c r="A166" s="271">
        <f t="shared" si="15"/>
        <v>0</v>
      </c>
      <c r="B166" s="265" t="str">
        <f t="shared" si="12"/>
        <v/>
      </c>
      <c r="C166" s="266"/>
      <c r="D166" s="266"/>
      <c r="E166" s="266"/>
      <c r="F166" s="266"/>
      <c r="G166" s="276"/>
      <c r="H166" s="295">
        <v>161</v>
      </c>
      <c r="I166" s="296" t="str">
        <f t="shared" si="16"/>
        <v/>
      </c>
      <c r="J166" s="295">
        <f t="shared" si="17"/>
        <v>-3</v>
      </c>
      <c r="K166" s="295">
        <f t="shared" si="13"/>
        <v>-30</v>
      </c>
      <c r="L166" s="295"/>
      <c r="M166" s="297">
        <f t="shared" si="14"/>
        <v>0</v>
      </c>
      <c r="N166" s="276"/>
      <c r="O166" s="276"/>
      <c r="P166" s="276"/>
      <c r="Q166" s="276"/>
      <c r="R166" s="276"/>
    </row>
    <row r="167" spans="1:38" s="282" customFormat="1">
      <c r="A167" s="270">
        <f t="shared" si="15"/>
        <v>0</v>
      </c>
      <c r="B167" s="268" t="str">
        <f t="shared" si="12"/>
        <v/>
      </c>
      <c r="C167" s="269"/>
      <c r="D167" s="269"/>
      <c r="E167" s="269"/>
      <c r="F167" s="269"/>
      <c r="G167" s="276"/>
      <c r="H167" s="301">
        <v>162</v>
      </c>
      <c r="I167" s="302" t="str">
        <f t="shared" si="16"/>
        <v/>
      </c>
      <c r="J167" s="301">
        <f t="shared" si="17"/>
        <v>-3</v>
      </c>
      <c r="K167" s="301">
        <f t="shared" si="13"/>
        <v>-30</v>
      </c>
      <c r="L167" s="301"/>
      <c r="M167" s="303">
        <f t="shared" si="14"/>
        <v>0</v>
      </c>
      <c r="N167" s="276"/>
      <c r="O167" s="276"/>
      <c r="P167" s="276"/>
      <c r="Q167" s="276"/>
      <c r="R167" s="276"/>
    </row>
    <row r="168" spans="1:38" s="282" customFormat="1">
      <c r="A168" s="271">
        <f t="shared" si="15"/>
        <v>0</v>
      </c>
      <c r="B168" s="265" t="str">
        <f t="shared" si="12"/>
        <v/>
      </c>
      <c r="C168" s="266"/>
      <c r="D168" s="266"/>
      <c r="E168" s="266"/>
      <c r="F168" s="266"/>
      <c r="G168" s="276"/>
      <c r="H168" s="295">
        <v>163</v>
      </c>
      <c r="I168" s="296" t="str">
        <f t="shared" si="16"/>
        <v/>
      </c>
      <c r="J168" s="295">
        <f t="shared" si="17"/>
        <v>-3</v>
      </c>
      <c r="K168" s="295">
        <f t="shared" si="13"/>
        <v>-30</v>
      </c>
      <c r="L168" s="295"/>
      <c r="M168" s="297">
        <f t="shared" si="14"/>
        <v>0</v>
      </c>
      <c r="N168" s="276"/>
      <c r="O168" s="276"/>
      <c r="P168" s="276"/>
      <c r="Q168" s="276"/>
      <c r="R168" s="276"/>
    </row>
    <row r="169" spans="1:38" s="276" customFormat="1">
      <c r="A169" s="270">
        <f t="shared" si="15"/>
        <v>0</v>
      </c>
      <c r="B169" s="268" t="str">
        <f t="shared" si="12"/>
        <v/>
      </c>
      <c r="C169" s="269"/>
      <c r="D169" s="269"/>
      <c r="E169" s="269"/>
      <c r="F169" s="269"/>
      <c r="H169" s="301">
        <v>164</v>
      </c>
      <c r="I169" s="302" t="str">
        <f t="shared" si="16"/>
        <v/>
      </c>
      <c r="J169" s="301">
        <f t="shared" si="17"/>
        <v>-3</v>
      </c>
      <c r="K169" s="301">
        <f t="shared" si="13"/>
        <v>-30</v>
      </c>
      <c r="L169" s="301"/>
      <c r="M169" s="303">
        <f t="shared" si="14"/>
        <v>0</v>
      </c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</row>
    <row r="170" spans="1:38" s="276" customFormat="1">
      <c r="A170" s="271">
        <f t="shared" si="15"/>
        <v>0</v>
      </c>
      <c r="B170" s="265" t="str">
        <f t="shared" si="12"/>
        <v/>
      </c>
      <c r="C170" s="266"/>
      <c r="D170" s="266"/>
      <c r="E170" s="266"/>
      <c r="F170" s="266"/>
      <c r="H170" s="295">
        <v>165</v>
      </c>
      <c r="I170" s="296" t="str">
        <f t="shared" si="16"/>
        <v/>
      </c>
      <c r="J170" s="295">
        <f t="shared" si="17"/>
        <v>-3</v>
      </c>
      <c r="K170" s="295">
        <f t="shared" si="13"/>
        <v>-30</v>
      </c>
      <c r="L170" s="295"/>
      <c r="M170" s="297">
        <f t="shared" si="14"/>
        <v>0</v>
      </c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</row>
    <row r="171" spans="1:38" s="276" customFormat="1">
      <c r="A171" s="270">
        <f t="shared" si="15"/>
        <v>0</v>
      </c>
      <c r="B171" s="268" t="str">
        <f t="shared" si="12"/>
        <v/>
      </c>
      <c r="C171" s="269"/>
      <c r="D171" s="269"/>
      <c r="E171" s="269"/>
      <c r="F171" s="269"/>
      <c r="H171" s="301">
        <v>166</v>
      </c>
      <c r="I171" s="302" t="str">
        <f t="shared" si="16"/>
        <v/>
      </c>
      <c r="J171" s="301">
        <f t="shared" si="17"/>
        <v>-3</v>
      </c>
      <c r="K171" s="301">
        <f t="shared" si="13"/>
        <v>-30</v>
      </c>
      <c r="L171" s="301"/>
      <c r="M171" s="303">
        <f t="shared" si="14"/>
        <v>0</v>
      </c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</row>
    <row r="172" spans="1:38" s="276" customFormat="1">
      <c r="A172" s="271">
        <f t="shared" si="15"/>
        <v>0</v>
      </c>
      <c r="B172" s="265" t="str">
        <f t="shared" si="12"/>
        <v/>
      </c>
      <c r="C172" s="266"/>
      <c r="D172" s="266"/>
      <c r="E172" s="266"/>
      <c r="F172" s="266"/>
      <c r="H172" s="295">
        <v>167</v>
      </c>
      <c r="I172" s="296" t="str">
        <f t="shared" si="16"/>
        <v/>
      </c>
      <c r="J172" s="295">
        <f t="shared" si="17"/>
        <v>-3</v>
      </c>
      <c r="K172" s="295">
        <f t="shared" si="13"/>
        <v>-30</v>
      </c>
      <c r="L172" s="295"/>
      <c r="M172" s="297">
        <f t="shared" si="14"/>
        <v>0</v>
      </c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</row>
    <row r="173" spans="1:38" s="276" customFormat="1">
      <c r="A173" s="270">
        <f t="shared" si="15"/>
        <v>0</v>
      </c>
      <c r="B173" s="268" t="str">
        <f t="shared" si="12"/>
        <v/>
      </c>
      <c r="C173" s="269"/>
      <c r="D173" s="269"/>
      <c r="E173" s="269"/>
      <c r="F173" s="269"/>
      <c r="H173" s="301">
        <v>168</v>
      </c>
      <c r="I173" s="302" t="str">
        <f t="shared" si="16"/>
        <v/>
      </c>
      <c r="J173" s="301">
        <f t="shared" si="17"/>
        <v>-3</v>
      </c>
      <c r="K173" s="301">
        <f t="shared" si="13"/>
        <v>-30</v>
      </c>
      <c r="L173" s="301"/>
      <c r="M173" s="303">
        <f t="shared" si="14"/>
        <v>0</v>
      </c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</row>
    <row r="174" spans="1:38" s="276" customFormat="1">
      <c r="A174" s="271">
        <f t="shared" si="15"/>
        <v>0</v>
      </c>
      <c r="B174" s="265" t="str">
        <f t="shared" si="12"/>
        <v/>
      </c>
      <c r="C174" s="266"/>
      <c r="D174" s="266"/>
      <c r="E174" s="266"/>
      <c r="F174" s="266"/>
      <c r="H174" s="295">
        <v>169</v>
      </c>
      <c r="I174" s="296" t="str">
        <f t="shared" si="16"/>
        <v/>
      </c>
      <c r="J174" s="295">
        <f t="shared" si="17"/>
        <v>-3</v>
      </c>
      <c r="K174" s="295">
        <f t="shared" si="13"/>
        <v>-30</v>
      </c>
      <c r="L174" s="295"/>
      <c r="M174" s="297">
        <f t="shared" si="14"/>
        <v>0</v>
      </c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</row>
    <row r="175" spans="1:38" s="276" customFormat="1">
      <c r="A175" s="270">
        <f t="shared" si="15"/>
        <v>0</v>
      </c>
      <c r="B175" s="268" t="str">
        <f t="shared" si="12"/>
        <v/>
      </c>
      <c r="C175" s="269"/>
      <c r="D175" s="269"/>
      <c r="E175" s="269"/>
      <c r="F175" s="269"/>
      <c r="H175" s="301">
        <v>170</v>
      </c>
      <c r="I175" s="302" t="str">
        <f t="shared" si="16"/>
        <v/>
      </c>
      <c r="J175" s="301">
        <f t="shared" si="17"/>
        <v>-3</v>
      </c>
      <c r="K175" s="301">
        <f t="shared" si="13"/>
        <v>-30</v>
      </c>
      <c r="L175" s="301"/>
      <c r="M175" s="303">
        <f t="shared" si="14"/>
        <v>0</v>
      </c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</row>
    <row r="176" spans="1:38" s="276" customFormat="1">
      <c r="A176" s="271">
        <f t="shared" si="15"/>
        <v>0</v>
      </c>
      <c r="B176" s="265" t="str">
        <f t="shared" si="12"/>
        <v/>
      </c>
      <c r="C176" s="266"/>
      <c r="D176" s="266"/>
      <c r="E176" s="266"/>
      <c r="F176" s="266"/>
      <c r="H176" s="295">
        <v>171</v>
      </c>
      <c r="I176" s="296" t="str">
        <f t="shared" si="16"/>
        <v/>
      </c>
      <c r="J176" s="295">
        <f t="shared" si="17"/>
        <v>-3</v>
      </c>
      <c r="K176" s="295">
        <f t="shared" si="13"/>
        <v>-30</v>
      </c>
      <c r="L176" s="295"/>
      <c r="M176" s="297">
        <f t="shared" si="14"/>
        <v>0</v>
      </c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</row>
    <row r="177" spans="1:38" s="276" customFormat="1">
      <c r="A177" s="270">
        <f t="shared" si="15"/>
        <v>0</v>
      </c>
      <c r="B177" s="268" t="str">
        <f t="shared" si="12"/>
        <v/>
      </c>
      <c r="C177" s="269"/>
      <c r="D177" s="269"/>
      <c r="E177" s="269"/>
      <c r="F177" s="269"/>
      <c r="H177" s="301">
        <v>172</v>
      </c>
      <c r="I177" s="302" t="str">
        <f t="shared" si="16"/>
        <v/>
      </c>
      <c r="J177" s="301">
        <f t="shared" si="17"/>
        <v>-3</v>
      </c>
      <c r="K177" s="301">
        <f t="shared" si="13"/>
        <v>-30</v>
      </c>
      <c r="L177" s="301"/>
      <c r="M177" s="303">
        <f t="shared" si="14"/>
        <v>0</v>
      </c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</row>
    <row r="178" spans="1:38" s="276" customFormat="1">
      <c r="A178" s="271">
        <f t="shared" si="15"/>
        <v>0</v>
      </c>
      <c r="B178" s="265" t="str">
        <f t="shared" si="12"/>
        <v/>
      </c>
      <c r="C178" s="266"/>
      <c r="D178" s="266"/>
      <c r="E178" s="266"/>
      <c r="F178" s="266"/>
      <c r="H178" s="295">
        <v>173</v>
      </c>
      <c r="I178" s="296" t="str">
        <f t="shared" si="16"/>
        <v/>
      </c>
      <c r="J178" s="295">
        <f t="shared" si="17"/>
        <v>-3</v>
      </c>
      <c r="K178" s="295">
        <f t="shared" si="13"/>
        <v>-30</v>
      </c>
      <c r="L178" s="295"/>
      <c r="M178" s="297">
        <f t="shared" si="14"/>
        <v>0</v>
      </c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</row>
    <row r="179" spans="1:38" s="276" customFormat="1">
      <c r="A179" s="270">
        <f t="shared" si="15"/>
        <v>0</v>
      </c>
      <c r="B179" s="268" t="str">
        <f t="shared" si="12"/>
        <v/>
      </c>
      <c r="C179" s="269"/>
      <c r="D179" s="269"/>
      <c r="E179" s="269"/>
      <c r="F179" s="269"/>
      <c r="H179" s="301">
        <v>174</v>
      </c>
      <c r="I179" s="302" t="str">
        <f t="shared" si="16"/>
        <v/>
      </c>
      <c r="J179" s="301">
        <f t="shared" si="17"/>
        <v>-3</v>
      </c>
      <c r="K179" s="301">
        <f t="shared" si="13"/>
        <v>-30</v>
      </c>
      <c r="L179" s="301"/>
      <c r="M179" s="303">
        <f t="shared" si="14"/>
        <v>0</v>
      </c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</row>
    <row r="180" spans="1:38" s="276" customFormat="1">
      <c r="A180" s="271">
        <f t="shared" si="15"/>
        <v>0</v>
      </c>
      <c r="B180" s="265" t="str">
        <f t="shared" si="12"/>
        <v/>
      </c>
      <c r="C180" s="266"/>
      <c r="D180" s="266"/>
      <c r="E180" s="266"/>
      <c r="F180" s="266"/>
      <c r="H180" s="295">
        <v>175</v>
      </c>
      <c r="I180" s="296" t="str">
        <f t="shared" si="16"/>
        <v/>
      </c>
      <c r="J180" s="295">
        <f t="shared" si="17"/>
        <v>-3</v>
      </c>
      <c r="K180" s="295">
        <f t="shared" si="13"/>
        <v>-30</v>
      </c>
      <c r="L180" s="295"/>
      <c r="M180" s="297">
        <f t="shared" si="14"/>
        <v>0</v>
      </c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</row>
    <row r="181" spans="1:38" s="276" customFormat="1">
      <c r="A181" s="270">
        <f t="shared" si="15"/>
        <v>0</v>
      </c>
      <c r="B181" s="268" t="str">
        <f t="shared" si="12"/>
        <v/>
      </c>
      <c r="C181" s="269"/>
      <c r="D181" s="269"/>
      <c r="E181" s="269"/>
      <c r="F181" s="269"/>
      <c r="H181" s="301">
        <v>176</v>
      </c>
      <c r="I181" s="302" t="str">
        <f t="shared" si="16"/>
        <v/>
      </c>
      <c r="J181" s="301">
        <f t="shared" si="17"/>
        <v>-3</v>
      </c>
      <c r="K181" s="301">
        <f t="shared" si="13"/>
        <v>-30</v>
      </c>
      <c r="L181" s="301"/>
      <c r="M181" s="303">
        <f t="shared" si="14"/>
        <v>0</v>
      </c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</row>
    <row r="182" spans="1:38" s="276" customFormat="1">
      <c r="A182" s="271">
        <f t="shared" si="15"/>
        <v>0</v>
      </c>
      <c r="B182" s="265" t="str">
        <f t="shared" si="12"/>
        <v/>
      </c>
      <c r="C182" s="266"/>
      <c r="D182" s="266"/>
      <c r="E182" s="266"/>
      <c r="F182" s="266"/>
      <c r="H182" s="295">
        <v>177</v>
      </c>
      <c r="I182" s="296" t="str">
        <f t="shared" si="16"/>
        <v/>
      </c>
      <c r="J182" s="295">
        <f t="shared" si="17"/>
        <v>-3</v>
      </c>
      <c r="K182" s="295">
        <f t="shared" si="13"/>
        <v>-30</v>
      </c>
      <c r="L182" s="295"/>
      <c r="M182" s="297">
        <f t="shared" si="14"/>
        <v>0</v>
      </c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</row>
    <row r="183" spans="1:38" s="276" customFormat="1">
      <c r="A183" s="270">
        <f t="shared" si="15"/>
        <v>0</v>
      </c>
      <c r="B183" s="268" t="str">
        <f t="shared" si="12"/>
        <v/>
      </c>
      <c r="C183" s="269"/>
      <c r="D183" s="269"/>
      <c r="E183" s="269"/>
      <c r="F183" s="269"/>
      <c r="H183" s="301">
        <v>178</v>
      </c>
      <c r="I183" s="302" t="str">
        <f t="shared" si="16"/>
        <v/>
      </c>
      <c r="J183" s="301">
        <f t="shared" si="17"/>
        <v>-3</v>
      </c>
      <c r="K183" s="301">
        <f t="shared" si="13"/>
        <v>-30</v>
      </c>
      <c r="L183" s="301"/>
      <c r="M183" s="303">
        <f t="shared" si="14"/>
        <v>0</v>
      </c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</row>
    <row r="184" spans="1:38" s="276" customFormat="1">
      <c r="A184" s="271">
        <f t="shared" si="15"/>
        <v>0</v>
      </c>
      <c r="B184" s="265" t="str">
        <f t="shared" si="12"/>
        <v/>
      </c>
      <c r="C184" s="266"/>
      <c r="D184" s="266"/>
      <c r="E184" s="266"/>
      <c r="F184" s="266"/>
      <c r="H184" s="295">
        <v>179</v>
      </c>
      <c r="I184" s="296" t="str">
        <f t="shared" si="16"/>
        <v/>
      </c>
      <c r="J184" s="295">
        <f t="shared" si="17"/>
        <v>-3</v>
      </c>
      <c r="K184" s="295">
        <f t="shared" si="13"/>
        <v>-30</v>
      </c>
      <c r="L184" s="295"/>
      <c r="M184" s="297">
        <f t="shared" si="14"/>
        <v>0</v>
      </c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</row>
    <row r="185" spans="1:38" s="276" customFormat="1">
      <c r="A185" s="270">
        <f t="shared" si="15"/>
        <v>0</v>
      </c>
      <c r="B185" s="268" t="str">
        <f t="shared" si="12"/>
        <v/>
      </c>
      <c r="C185" s="269"/>
      <c r="D185" s="269"/>
      <c r="E185" s="269"/>
      <c r="F185" s="269"/>
      <c r="H185" s="301">
        <v>180</v>
      </c>
      <c r="I185" s="302" t="str">
        <f t="shared" si="16"/>
        <v/>
      </c>
      <c r="J185" s="301">
        <f t="shared" si="17"/>
        <v>-3</v>
      </c>
      <c r="K185" s="301">
        <f t="shared" si="13"/>
        <v>-30</v>
      </c>
      <c r="L185" s="301"/>
      <c r="M185" s="303">
        <f t="shared" si="14"/>
        <v>0</v>
      </c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</row>
    <row r="186" spans="1:38" s="282" customFormat="1" ht="14.45" customHeight="1">
      <c r="A186" s="264">
        <f t="shared" si="15"/>
        <v>0</v>
      </c>
      <c r="B186" s="265" t="str">
        <f t="shared" si="12"/>
        <v/>
      </c>
      <c r="C186" s="266"/>
      <c r="D186" s="266"/>
      <c r="E186" s="266"/>
      <c r="F186" s="266"/>
      <c r="G186" s="260"/>
      <c r="H186" s="295">
        <v>181</v>
      </c>
      <c r="I186" s="296" t="str">
        <f t="shared" si="16"/>
        <v/>
      </c>
      <c r="J186" s="295">
        <f t="shared" si="17"/>
        <v>-3</v>
      </c>
      <c r="K186" s="295">
        <f t="shared" si="13"/>
        <v>-30</v>
      </c>
      <c r="L186" s="297"/>
      <c r="M186" s="297">
        <f t="shared" si="14"/>
        <v>0</v>
      </c>
      <c r="N186" s="276"/>
      <c r="O186" s="276"/>
      <c r="P186" s="276"/>
      <c r="Q186" s="276"/>
      <c r="R186" s="276"/>
    </row>
    <row r="187" spans="1:38" s="282" customFormat="1" ht="14.45" customHeight="1">
      <c r="A187" s="267">
        <f t="shared" si="15"/>
        <v>0</v>
      </c>
      <c r="B187" s="268" t="str">
        <f t="shared" si="12"/>
        <v/>
      </c>
      <c r="C187" s="269"/>
      <c r="D187" s="269"/>
      <c r="E187" s="269"/>
      <c r="F187" s="269"/>
      <c r="G187" s="260"/>
      <c r="H187" s="301">
        <v>182</v>
      </c>
      <c r="I187" s="302" t="str">
        <f t="shared" si="16"/>
        <v/>
      </c>
      <c r="J187" s="301">
        <f t="shared" si="17"/>
        <v>-3</v>
      </c>
      <c r="K187" s="301">
        <f t="shared" si="13"/>
        <v>-30</v>
      </c>
      <c r="L187" s="303"/>
      <c r="M187" s="303">
        <f t="shared" si="14"/>
        <v>0</v>
      </c>
      <c r="N187" s="276"/>
      <c r="O187" s="276"/>
      <c r="P187" s="276"/>
      <c r="Q187" s="276"/>
      <c r="R187" s="276"/>
    </row>
    <row r="188" spans="1:38" s="282" customFormat="1" ht="14.45" customHeight="1">
      <c r="A188" s="264">
        <f t="shared" si="15"/>
        <v>0</v>
      </c>
      <c r="B188" s="265" t="str">
        <f t="shared" si="12"/>
        <v/>
      </c>
      <c r="C188" s="266"/>
      <c r="D188" s="266"/>
      <c r="E188" s="266"/>
      <c r="F188" s="266"/>
      <c r="G188" s="260"/>
      <c r="H188" s="295">
        <v>183</v>
      </c>
      <c r="I188" s="296" t="str">
        <f t="shared" si="16"/>
        <v/>
      </c>
      <c r="J188" s="295">
        <f t="shared" si="17"/>
        <v>-3</v>
      </c>
      <c r="K188" s="295">
        <f t="shared" si="13"/>
        <v>-30</v>
      </c>
      <c r="L188" s="297"/>
      <c r="M188" s="297">
        <f t="shared" si="14"/>
        <v>0</v>
      </c>
      <c r="N188" s="276"/>
      <c r="O188" s="276"/>
      <c r="P188" s="276"/>
      <c r="Q188" s="276"/>
      <c r="R188" s="276"/>
    </row>
    <row r="189" spans="1:38" s="282" customFormat="1" ht="14.45" customHeight="1">
      <c r="A189" s="267">
        <f t="shared" si="15"/>
        <v>0</v>
      </c>
      <c r="B189" s="268" t="str">
        <f t="shared" si="12"/>
        <v/>
      </c>
      <c r="C189" s="269"/>
      <c r="D189" s="269"/>
      <c r="E189" s="269"/>
      <c r="F189" s="269"/>
      <c r="G189" s="260"/>
      <c r="H189" s="301">
        <v>184</v>
      </c>
      <c r="I189" s="302" t="str">
        <f t="shared" si="16"/>
        <v/>
      </c>
      <c r="J189" s="301">
        <f t="shared" si="17"/>
        <v>-3</v>
      </c>
      <c r="K189" s="301">
        <f t="shared" si="13"/>
        <v>-30</v>
      </c>
      <c r="L189" s="303"/>
      <c r="M189" s="303">
        <f t="shared" si="14"/>
        <v>0</v>
      </c>
      <c r="N189" s="276"/>
      <c r="O189" s="276"/>
      <c r="P189" s="276"/>
      <c r="Q189" s="276"/>
      <c r="R189" s="276"/>
      <c r="V189" s="304"/>
      <c r="Z189" s="305"/>
      <c r="AA189" s="305"/>
      <c r="AG189" s="306"/>
    </row>
    <row r="190" spans="1:38" s="282" customFormat="1" ht="14.45" customHeight="1">
      <c r="A190" s="264">
        <f t="shared" si="15"/>
        <v>0</v>
      </c>
      <c r="B190" s="265" t="str">
        <f t="shared" si="12"/>
        <v/>
      </c>
      <c r="C190" s="266"/>
      <c r="D190" s="266"/>
      <c r="E190" s="266"/>
      <c r="F190" s="266"/>
      <c r="G190" s="260"/>
      <c r="H190" s="295">
        <v>185</v>
      </c>
      <c r="I190" s="296" t="str">
        <f t="shared" si="16"/>
        <v/>
      </c>
      <c r="J190" s="295">
        <f t="shared" si="17"/>
        <v>-3</v>
      </c>
      <c r="K190" s="295">
        <f t="shared" si="13"/>
        <v>-30</v>
      </c>
      <c r="L190" s="295"/>
      <c r="M190" s="297">
        <f t="shared" si="14"/>
        <v>0</v>
      </c>
      <c r="N190" s="276"/>
      <c r="O190" s="276"/>
      <c r="P190" s="276"/>
      <c r="Q190" s="276"/>
      <c r="R190" s="276"/>
      <c r="V190" s="304"/>
      <c r="Z190" s="305"/>
      <c r="AA190" s="305"/>
      <c r="AG190" s="306"/>
    </row>
    <row r="191" spans="1:38" s="282" customFormat="1" ht="14.45" customHeight="1">
      <c r="A191" s="267">
        <f t="shared" si="15"/>
        <v>0</v>
      </c>
      <c r="B191" s="268" t="str">
        <f t="shared" si="12"/>
        <v/>
      </c>
      <c r="C191" s="269"/>
      <c r="D191" s="269"/>
      <c r="E191" s="269"/>
      <c r="F191" s="269"/>
      <c r="G191" s="260"/>
      <c r="H191" s="301">
        <v>186</v>
      </c>
      <c r="I191" s="302" t="str">
        <f t="shared" si="16"/>
        <v/>
      </c>
      <c r="J191" s="301">
        <f t="shared" si="17"/>
        <v>-3</v>
      </c>
      <c r="K191" s="301">
        <f t="shared" si="13"/>
        <v>-30</v>
      </c>
      <c r="L191" s="301"/>
      <c r="M191" s="303">
        <f t="shared" si="14"/>
        <v>0</v>
      </c>
      <c r="N191" s="276"/>
      <c r="O191" s="276"/>
      <c r="P191" s="276"/>
      <c r="Q191" s="276"/>
      <c r="R191" s="276"/>
      <c r="V191" s="307"/>
      <c r="Z191" s="305"/>
      <c r="AA191" s="305"/>
      <c r="AG191" s="306"/>
    </row>
    <row r="192" spans="1:38" s="282" customFormat="1" ht="14.45" customHeight="1">
      <c r="A192" s="264">
        <f t="shared" si="15"/>
        <v>0</v>
      </c>
      <c r="B192" s="265" t="str">
        <f t="shared" si="12"/>
        <v/>
      </c>
      <c r="C192" s="266"/>
      <c r="D192" s="266"/>
      <c r="E192" s="266"/>
      <c r="F192" s="266"/>
      <c r="G192" s="260"/>
      <c r="H192" s="295">
        <v>187</v>
      </c>
      <c r="I192" s="296" t="str">
        <f t="shared" si="16"/>
        <v/>
      </c>
      <c r="J192" s="295">
        <f t="shared" si="17"/>
        <v>-3</v>
      </c>
      <c r="K192" s="295">
        <f t="shared" si="13"/>
        <v>-30</v>
      </c>
      <c r="L192" s="295"/>
      <c r="M192" s="297">
        <f t="shared" si="14"/>
        <v>0</v>
      </c>
      <c r="N192" s="276"/>
      <c r="O192" s="276"/>
      <c r="P192" s="276"/>
      <c r="Q192" s="276"/>
      <c r="R192" s="276"/>
      <c r="Z192" s="305"/>
      <c r="AA192" s="305"/>
      <c r="AG192" s="306"/>
    </row>
    <row r="193" spans="1:34" s="282" customFormat="1" ht="14.45" customHeight="1">
      <c r="A193" s="270">
        <f t="shared" si="15"/>
        <v>0</v>
      </c>
      <c r="B193" s="268" t="str">
        <f t="shared" si="12"/>
        <v/>
      </c>
      <c r="C193" s="269"/>
      <c r="D193" s="269"/>
      <c r="E193" s="269"/>
      <c r="F193" s="269"/>
      <c r="G193" s="260"/>
      <c r="H193" s="301">
        <v>188</v>
      </c>
      <c r="I193" s="302" t="str">
        <f t="shared" si="16"/>
        <v/>
      </c>
      <c r="J193" s="301">
        <f t="shared" si="17"/>
        <v>-3</v>
      </c>
      <c r="K193" s="301">
        <f t="shared" si="13"/>
        <v>-30</v>
      </c>
      <c r="L193" s="301"/>
      <c r="M193" s="303">
        <f t="shared" si="14"/>
        <v>0</v>
      </c>
      <c r="N193" s="276"/>
      <c r="O193" s="276"/>
      <c r="P193" s="276"/>
      <c r="Q193" s="276"/>
      <c r="R193" s="276"/>
      <c r="X193" s="304"/>
      <c r="AG193" s="306"/>
    </row>
    <row r="194" spans="1:34" s="282" customFormat="1" ht="15.75" customHeight="1">
      <c r="A194" s="271">
        <f t="shared" si="15"/>
        <v>0</v>
      </c>
      <c r="B194" s="265" t="str">
        <f t="shared" si="12"/>
        <v/>
      </c>
      <c r="C194" s="266"/>
      <c r="D194" s="266"/>
      <c r="E194" s="266"/>
      <c r="F194" s="266"/>
      <c r="G194" s="260"/>
      <c r="H194" s="295">
        <v>189</v>
      </c>
      <c r="I194" s="296" t="str">
        <f t="shared" si="16"/>
        <v/>
      </c>
      <c r="J194" s="295">
        <f t="shared" si="17"/>
        <v>-3</v>
      </c>
      <c r="K194" s="295">
        <f t="shared" si="13"/>
        <v>-30</v>
      </c>
      <c r="L194" s="295"/>
      <c r="M194" s="297">
        <f t="shared" si="14"/>
        <v>0</v>
      </c>
      <c r="N194" s="276"/>
      <c r="O194" s="276"/>
      <c r="P194" s="276"/>
      <c r="Q194" s="276"/>
      <c r="R194" s="276"/>
      <c r="X194" s="308"/>
      <c r="Z194" s="305"/>
      <c r="AA194" s="305"/>
      <c r="AG194" s="306"/>
    </row>
    <row r="195" spans="1:34" s="282" customFormat="1">
      <c r="A195" s="270">
        <f t="shared" si="15"/>
        <v>0</v>
      </c>
      <c r="B195" s="268" t="str">
        <f t="shared" si="12"/>
        <v/>
      </c>
      <c r="C195" s="269"/>
      <c r="D195" s="269"/>
      <c r="E195" s="269"/>
      <c r="F195" s="269"/>
      <c r="G195" s="260"/>
      <c r="H195" s="301">
        <v>190</v>
      </c>
      <c r="I195" s="302" t="str">
        <f t="shared" si="16"/>
        <v/>
      </c>
      <c r="J195" s="301">
        <f t="shared" si="17"/>
        <v>-3</v>
      </c>
      <c r="K195" s="301">
        <f t="shared" si="13"/>
        <v>-30</v>
      </c>
      <c r="L195" s="301"/>
      <c r="M195" s="303">
        <f t="shared" si="14"/>
        <v>0</v>
      </c>
      <c r="N195" s="276"/>
      <c r="O195" s="276"/>
      <c r="P195" s="276"/>
      <c r="Q195" s="276"/>
      <c r="R195" s="276"/>
      <c r="X195" s="304"/>
      <c r="Z195" s="305"/>
      <c r="AA195" s="305"/>
    </row>
    <row r="196" spans="1:34" s="282" customFormat="1">
      <c r="A196" s="271">
        <f t="shared" si="15"/>
        <v>0</v>
      </c>
      <c r="B196" s="265" t="str">
        <f t="shared" si="12"/>
        <v/>
      </c>
      <c r="C196" s="266"/>
      <c r="D196" s="266"/>
      <c r="E196" s="266"/>
      <c r="F196" s="266"/>
      <c r="G196" s="260"/>
      <c r="H196" s="295">
        <v>191</v>
      </c>
      <c r="I196" s="296" t="str">
        <f t="shared" si="16"/>
        <v/>
      </c>
      <c r="J196" s="295">
        <f t="shared" si="17"/>
        <v>-3</v>
      </c>
      <c r="K196" s="295">
        <f t="shared" si="13"/>
        <v>-30</v>
      </c>
      <c r="L196" s="295"/>
      <c r="M196" s="297">
        <f t="shared" si="14"/>
        <v>0</v>
      </c>
      <c r="N196" s="276"/>
      <c r="O196" s="276"/>
      <c r="P196" s="276"/>
      <c r="Q196" s="276"/>
      <c r="R196" s="309"/>
      <c r="Z196" s="305"/>
      <c r="AA196" s="305"/>
      <c r="AH196" s="310"/>
    </row>
    <row r="197" spans="1:34" s="282" customFormat="1">
      <c r="A197" s="270">
        <f t="shared" si="15"/>
        <v>0</v>
      </c>
      <c r="B197" s="268" t="str">
        <f t="shared" si="12"/>
        <v/>
      </c>
      <c r="C197" s="269"/>
      <c r="D197" s="269"/>
      <c r="E197" s="269"/>
      <c r="F197" s="269"/>
      <c r="G197" s="260"/>
      <c r="H197" s="301">
        <v>192</v>
      </c>
      <c r="I197" s="302" t="str">
        <f t="shared" si="16"/>
        <v/>
      </c>
      <c r="J197" s="301">
        <f t="shared" si="17"/>
        <v>-3</v>
      </c>
      <c r="K197" s="301">
        <f t="shared" si="13"/>
        <v>-30</v>
      </c>
      <c r="L197" s="301"/>
      <c r="M197" s="303">
        <f t="shared" si="14"/>
        <v>0</v>
      </c>
      <c r="N197" s="276"/>
      <c r="O197" s="276"/>
      <c r="P197" s="276"/>
      <c r="Q197" s="276"/>
      <c r="R197" s="276"/>
    </row>
    <row r="198" spans="1:34" s="282" customFormat="1">
      <c r="A198" s="271">
        <f t="shared" si="15"/>
        <v>0</v>
      </c>
      <c r="B198" s="265" t="str">
        <f t="shared" ref="B198:B261" si="18">IF(H198&gt;$H$2,"",(ROW()-5))</f>
        <v/>
      </c>
      <c r="C198" s="266"/>
      <c r="D198" s="266"/>
      <c r="E198" s="266"/>
      <c r="F198" s="266"/>
      <c r="G198" s="260"/>
      <c r="H198" s="295">
        <v>193</v>
      </c>
      <c r="I198" s="296" t="str">
        <f t="shared" si="16"/>
        <v/>
      </c>
      <c r="J198" s="295">
        <f t="shared" si="17"/>
        <v>-3</v>
      </c>
      <c r="K198" s="295">
        <f t="shared" ref="K198:K261" si="19">J198*$J$2</f>
        <v>-30</v>
      </c>
      <c r="L198" s="295"/>
      <c r="M198" s="297">
        <f t="shared" ref="M198:M261" si="20">IF(I198&lt;&gt;"",K198+I198+L198,0)</f>
        <v>0</v>
      </c>
      <c r="N198" s="276"/>
      <c r="O198" s="276"/>
      <c r="P198" s="276"/>
      <c r="Q198" s="276"/>
      <c r="R198" s="276"/>
    </row>
    <row r="199" spans="1:34" s="282" customFormat="1">
      <c r="A199" s="270">
        <f t="shared" ref="A199:A262" si="21">M199</f>
        <v>0</v>
      </c>
      <c r="B199" s="268" t="str">
        <f t="shared" si="18"/>
        <v/>
      </c>
      <c r="C199" s="269"/>
      <c r="D199" s="269"/>
      <c r="E199" s="269"/>
      <c r="F199" s="269"/>
      <c r="G199" s="260"/>
      <c r="H199" s="301">
        <v>194</v>
      </c>
      <c r="I199" s="302" t="str">
        <f t="shared" ref="I199:I262" si="22">IF(H199&lt;$H$2+1,($I$2-($I$2-1)*(LOG(H199)/LOG($H$2))),"")</f>
        <v/>
      </c>
      <c r="J199" s="301">
        <f t="shared" ref="J199:J262" si="23">INT(LOG($H$2,2))-ROUNDUP(LOG(H199,2),0)+IF(OR($H$2=1,$H$2=2,$H$2=4,$H$2=8,$H$2=16,$H$2=32,$H$2=64,$H$2=128,$H$2=256),0,1)</f>
        <v>-3</v>
      </c>
      <c r="K199" s="301">
        <f t="shared" si="19"/>
        <v>-30</v>
      </c>
      <c r="L199" s="301"/>
      <c r="M199" s="303">
        <f t="shared" si="20"/>
        <v>0</v>
      </c>
      <c r="N199" s="276"/>
      <c r="O199" s="276"/>
      <c r="P199" s="276"/>
      <c r="Q199" s="276"/>
      <c r="R199" s="276"/>
    </row>
    <row r="200" spans="1:34" s="282" customFormat="1">
      <c r="A200" s="271">
        <f t="shared" si="21"/>
        <v>0</v>
      </c>
      <c r="B200" s="265" t="str">
        <f t="shared" si="18"/>
        <v/>
      </c>
      <c r="C200" s="266"/>
      <c r="D200" s="266"/>
      <c r="E200" s="266"/>
      <c r="F200" s="266"/>
      <c r="G200" s="260"/>
      <c r="H200" s="295">
        <v>195</v>
      </c>
      <c r="I200" s="296" t="str">
        <f t="shared" si="22"/>
        <v/>
      </c>
      <c r="J200" s="295">
        <f t="shared" si="23"/>
        <v>-3</v>
      </c>
      <c r="K200" s="295">
        <f t="shared" si="19"/>
        <v>-30</v>
      </c>
      <c r="L200" s="295"/>
      <c r="M200" s="297">
        <f t="shared" si="20"/>
        <v>0</v>
      </c>
      <c r="N200" s="276"/>
      <c r="O200" s="276"/>
      <c r="P200" s="276"/>
      <c r="Q200" s="276"/>
      <c r="R200" s="311"/>
      <c r="S200" s="312"/>
    </row>
    <row r="201" spans="1:34" s="282" customFormat="1">
      <c r="A201" s="270">
        <f t="shared" si="21"/>
        <v>0</v>
      </c>
      <c r="B201" s="268" t="str">
        <f t="shared" si="18"/>
        <v/>
      </c>
      <c r="C201" s="269"/>
      <c r="D201" s="269"/>
      <c r="E201" s="269"/>
      <c r="F201" s="269"/>
      <c r="G201" s="260"/>
      <c r="H201" s="301">
        <v>196</v>
      </c>
      <c r="I201" s="302" t="str">
        <f t="shared" si="22"/>
        <v/>
      </c>
      <c r="J201" s="301">
        <f t="shared" si="23"/>
        <v>-3</v>
      </c>
      <c r="K201" s="301">
        <f t="shared" si="19"/>
        <v>-30</v>
      </c>
      <c r="L201" s="301"/>
      <c r="M201" s="303">
        <f t="shared" si="20"/>
        <v>0</v>
      </c>
      <c r="N201" s="276"/>
      <c r="O201" s="276"/>
      <c r="P201" s="276"/>
      <c r="Q201" s="276"/>
      <c r="R201" s="276"/>
    </row>
    <row r="202" spans="1:34" s="282" customFormat="1">
      <c r="A202" s="271">
        <f t="shared" si="21"/>
        <v>0</v>
      </c>
      <c r="B202" s="265" t="str">
        <f t="shared" si="18"/>
        <v/>
      </c>
      <c r="C202" s="266"/>
      <c r="D202" s="266"/>
      <c r="E202" s="266"/>
      <c r="F202" s="266"/>
      <c r="G202" s="260"/>
      <c r="H202" s="295">
        <v>197</v>
      </c>
      <c r="I202" s="296" t="str">
        <f t="shared" si="22"/>
        <v/>
      </c>
      <c r="J202" s="295">
        <f t="shared" si="23"/>
        <v>-3</v>
      </c>
      <c r="K202" s="295">
        <f t="shared" si="19"/>
        <v>-30</v>
      </c>
      <c r="L202" s="295"/>
      <c r="M202" s="297">
        <f t="shared" si="20"/>
        <v>0</v>
      </c>
      <c r="N202" s="276"/>
      <c r="O202" s="276"/>
      <c r="P202" s="276"/>
      <c r="Q202" s="276"/>
      <c r="R202" s="276"/>
    </row>
    <row r="203" spans="1:34" s="282" customFormat="1">
      <c r="A203" s="270">
        <f t="shared" si="21"/>
        <v>0</v>
      </c>
      <c r="B203" s="268" t="str">
        <f t="shared" si="18"/>
        <v/>
      </c>
      <c r="C203" s="269"/>
      <c r="D203" s="269"/>
      <c r="E203" s="269"/>
      <c r="F203" s="269"/>
      <c r="G203" s="260"/>
      <c r="H203" s="301">
        <v>198</v>
      </c>
      <c r="I203" s="302" t="str">
        <f t="shared" si="22"/>
        <v/>
      </c>
      <c r="J203" s="301">
        <f t="shared" si="23"/>
        <v>-3</v>
      </c>
      <c r="K203" s="301">
        <f t="shared" si="19"/>
        <v>-30</v>
      </c>
      <c r="L203" s="301"/>
      <c r="M203" s="303">
        <f t="shared" si="20"/>
        <v>0</v>
      </c>
      <c r="N203" s="276"/>
      <c r="O203" s="276"/>
      <c r="P203" s="276"/>
      <c r="Q203" s="276"/>
      <c r="R203" s="276"/>
    </row>
    <row r="204" spans="1:34" s="282" customFormat="1">
      <c r="A204" s="271">
        <f t="shared" si="21"/>
        <v>0</v>
      </c>
      <c r="B204" s="265" t="str">
        <f t="shared" si="18"/>
        <v/>
      </c>
      <c r="C204" s="266"/>
      <c r="D204" s="266"/>
      <c r="E204" s="266"/>
      <c r="F204" s="266"/>
      <c r="G204" s="260"/>
      <c r="H204" s="295">
        <v>199</v>
      </c>
      <c r="I204" s="296" t="str">
        <f t="shared" si="22"/>
        <v/>
      </c>
      <c r="J204" s="295">
        <f t="shared" si="23"/>
        <v>-3</v>
      </c>
      <c r="K204" s="295">
        <f t="shared" si="19"/>
        <v>-30</v>
      </c>
      <c r="L204" s="295"/>
      <c r="M204" s="297">
        <f t="shared" si="20"/>
        <v>0</v>
      </c>
      <c r="N204" s="276"/>
      <c r="O204" s="276"/>
      <c r="P204" s="276"/>
      <c r="Q204" s="276"/>
      <c r="R204" s="311"/>
      <c r="S204" s="312"/>
    </row>
    <row r="205" spans="1:34" s="282" customFormat="1">
      <c r="A205" s="270">
        <f t="shared" si="21"/>
        <v>0</v>
      </c>
      <c r="B205" s="268" t="str">
        <f t="shared" si="18"/>
        <v/>
      </c>
      <c r="C205" s="269"/>
      <c r="D205" s="269"/>
      <c r="E205" s="269"/>
      <c r="F205" s="269"/>
      <c r="G205" s="260"/>
      <c r="H205" s="301">
        <v>200</v>
      </c>
      <c r="I205" s="302" t="str">
        <f t="shared" si="22"/>
        <v/>
      </c>
      <c r="J205" s="301">
        <f t="shared" si="23"/>
        <v>-3</v>
      </c>
      <c r="K205" s="301">
        <f t="shared" si="19"/>
        <v>-30</v>
      </c>
      <c r="L205" s="301"/>
      <c r="M205" s="303">
        <f t="shared" si="20"/>
        <v>0</v>
      </c>
      <c r="N205" s="276"/>
      <c r="O205" s="276"/>
      <c r="P205" s="276"/>
      <c r="Q205" s="276"/>
      <c r="R205" s="276"/>
    </row>
    <row r="206" spans="1:34" s="282" customFormat="1">
      <c r="A206" s="271">
        <f t="shared" si="21"/>
        <v>0</v>
      </c>
      <c r="B206" s="265" t="str">
        <f t="shared" si="18"/>
        <v/>
      </c>
      <c r="C206" s="266"/>
      <c r="D206" s="266"/>
      <c r="E206" s="266"/>
      <c r="F206" s="266"/>
      <c r="G206" s="260"/>
      <c r="H206" s="295">
        <v>201</v>
      </c>
      <c r="I206" s="296" t="str">
        <f t="shared" si="22"/>
        <v/>
      </c>
      <c r="J206" s="295">
        <f t="shared" si="23"/>
        <v>-3</v>
      </c>
      <c r="K206" s="295">
        <f t="shared" si="19"/>
        <v>-30</v>
      </c>
      <c r="L206" s="295"/>
      <c r="M206" s="297">
        <f t="shared" si="20"/>
        <v>0</v>
      </c>
      <c r="N206" s="276"/>
      <c r="O206" s="276"/>
      <c r="P206" s="276"/>
      <c r="Q206" s="276"/>
      <c r="R206" s="276"/>
    </row>
    <row r="207" spans="1:34" s="282" customFormat="1">
      <c r="A207" s="270">
        <f t="shared" si="21"/>
        <v>0</v>
      </c>
      <c r="B207" s="268" t="str">
        <f t="shared" si="18"/>
        <v/>
      </c>
      <c r="C207" s="269"/>
      <c r="D207" s="269"/>
      <c r="E207" s="269"/>
      <c r="F207" s="269"/>
      <c r="G207" s="260"/>
      <c r="H207" s="301">
        <v>202</v>
      </c>
      <c r="I207" s="302" t="str">
        <f t="shared" si="22"/>
        <v/>
      </c>
      <c r="J207" s="301">
        <f t="shared" si="23"/>
        <v>-3</v>
      </c>
      <c r="K207" s="301">
        <f t="shared" si="19"/>
        <v>-30</v>
      </c>
      <c r="L207" s="301"/>
      <c r="M207" s="303">
        <f t="shared" si="20"/>
        <v>0</v>
      </c>
      <c r="N207" s="276"/>
      <c r="O207" s="276"/>
      <c r="P207" s="276"/>
      <c r="Q207" s="276"/>
      <c r="R207" s="276"/>
    </row>
    <row r="208" spans="1:34" s="282" customFormat="1">
      <c r="A208" s="271">
        <f t="shared" si="21"/>
        <v>0</v>
      </c>
      <c r="B208" s="265" t="str">
        <f t="shared" si="18"/>
        <v/>
      </c>
      <c r="C208" s="266"/>
      <c r="D208" s="266"/>
      <c r="E208" s="266"/>
      <c r="F208" s="266"/>
      <c r="G208" s="260"/>
      <c r="H208" s="295">
        <v>203</v>
      </c>
      <c r="I208" s="296" t="str">
        <f t="shared" si="22"/>
        <v/>
      </c>
      <c r="J208" s="295">
        <f t="shared" si="23"/>
        <v>-3</v>
      </c>
      <c r="K208" s="295">
        <f t="shared" si="19"/>
        <v>-30</v>
      </c>
      <c r="L208" s="295"/>
      <c r="M208" s="297">
        <f t="shared" si="20"/>
        <v>0</v>
      </c>
      <c r="N208" s="276"/>
      <c r="O208" s="276"/>
      <c r="P208" s="276"/>
      <c r="Q208" s="276"/>
      <c r="R208" s="311"/>
      <c r="S208" s="312"/>
    </row>
    <row r="209" spans="1:19" s="282" customFormat="1">
      <c r="A209" s="270">
        <f t="shared" si="21"/>
        <v>0</v>
      </c>
      <c r="B209" s="268" t="str">
        <f t="shared" si="18"/>
        <v/>
      </c>
      <c r="C209" s="269"/>
      <c r="D209" s="269"/>
      <c r="E209" s="269"/>
      <c r="F209" s="269"/>
      <c r="G209" s="276"/>
      <c r="H209" s="301">
        <v>204</v>
      </c>
      <c r="I209" s="302" t="str">
        <f t="shared" si="22"/>
        <v/>
      </c>
      <c r="J209" s="301">
        <f t="shared" si="23"/>
        <v>-3</v>
      </c>
      <c r="K209" s="301">
        <f t="shared" si="19"/>
        <v>-30</v>
      </c>
      <c r="L209" s="301"/>
      <c r="M209" s="303">
        <f t="shared" si="20"/>
        <v>0</v>
      </c>
      <c r="N209" s="276"/>
      <c r="O209" s="276"/>
      <c r="P209" s="276"/>
      <c r="Q209" s="276"/>
      <c r="R209" s="276"/>
    </row>
    <row r="210" spans="1:19" s="282" customFormat="1">
      <c r="A210" s="271">
        <f t="shared" si="21"/>
        <v>0</v>
      </c>
      <c r="B210" s="265" t="str">
        <f t="shared" si="18"/>
        <v/>
      </c>
      <c r="C210" s="266"/>
      <c r="D210" s="266"/>
      <c r="E210" s="266"/>
      <c r="F210" s="266"/>
      <c r="G210" s="276"/>
      <c r="H210" s="295">
        <v>205</v>
      </c>
      <c r="I210" s="296" t="str">
        <f t="shared" si="22"/>
        <v/>
      </c>
      <c r="J210" s="295">
        <f t="shared" si="23"/>
        <v>-3</v>
      </c>
      <c r="K210" s="295">
        <f t="shared" si="19"/>
        <v>-30</v>
      </c>
      <c r="L210" s="295"/>
      <c r="M210" s="297">
        <f t="shared" si="20"/>
        <v>0</v>
      </c>
      <c r="N210" s="276"/>
      <c r="O210" s="276"/>
      <c r="P210" s="276"/>
      <c r="Q210" s="276"/>
      <c r="R210" s="276"/>
    </row>
    <row r="211" spans="1:19" s="282" customFormat="1">
      <c r="A211" s="270">
        <f t="shared" si="21"/>
        <v>0</v>
      </c>
      <c r="B211" s="268" t="str">
        <f t="shared" si="18"/>
        <v/>
      </c>
      <c r="C211" s="269"/>
      <c r="D211" s="269"/>
      <c r="E211" s="269"/>
      <c r="F211" s="269"/>
      <c r="G211" s="276"/>
      <c r="H211" s="301">
        <v>206</v>
      </c>
      <c r="I211" s="302" t="str">
        <f t="shared" si="22"/>
        <v/>
      </c>
      <c r="J211" s="301">
        <f t="shared" si="23"/>
        <v>-3</v>
      </c>
      <c r="K211" s="301">
        <f t="shared" si="19"/>
        <v>-30</v>
      </c>
      <c r="L211" s="301"/>
      <c r="M211" s="303">
        <f t="shared" si="20"/>
        <v>0</v>
      </c>
      <c r="N211" s="276"/>
      <c r="O211" s="276"/>
      <c r="P211" s="276"/>
      <c r="Q211" s="276"/>
      <c r="R211" s="276"/>
    </row>
    <row r="212" spans="1:19" s="282" customFormat="1">
      <c r="A212" s="271">
        <f t="shared" si="21"/>
        <v>0</v>
      </c>
      <c r="B212" s="265" t="str">
        <f t="shared" si="18"/>
        <v/>
      </c>
      <c r="C212" s="266"/>
      <c r="D212" s="266"/>
      <c r="E212" s="266"/>
      <c r="F212" s="266"/>
      <c r="G212" s="276"/>
      <c r="H212" s="295">
        <v>207</v>
      </c>
      <c r="I212" s="296" t="str">
        <f t="shared" si="22"/>
        <v/>
      </c>
      <c r="J212" s="295">
        <f t="shared" si="23"/>
        <v>-3</v>
      </c>
      <c r="K212" s="295">
        <f t="shared" si="19"/>
        <v>-30</v>
      </c>
      <c r="L212" s="295"/>
      <c r="M212" s="297">
        <f t="shared" si="20"/>
        <v>0</v>
      </c>
      <c r="N212" s="276"/>
      <c r="O212" s="276"/>
      <c r="P212" s="276"/>
      <c r="Q212" s="276"/>
      <c r="R212" s="311"/>
      <c r="S212" s="312"/>
    </row>
    <row r="213" spans="1:19" s="282" customFormat="1">
      <c r="A213" s="270">
        <f t="shared" si="21"/>
        <v>0</v>
      </c>
      <c r="B213" s="268" t="str">
        <f t="shared" si="18"/>
        <v/>
      </c>
      <c r="C213" s="269"/>
      <c r="D213" s="269"/>
      <c r="E213" s="269"/>
      <c r="F213" s="269"/>
      <c r="G213" s="276"/>
      <c r="H213" s="301">
        <v>208</v>
      </c>
      <c r="I213" s="302" t="str">
        <f t="shared" si="22"/>
        <v/>
      </c>
      <c r="J213" s="301">
        <f t="shared" si="23"/>
        <v>-3</v>
      </c>
      <c r="K213" s="301">
        <f t="shared" si="19"/>
        <v>-30</v>
      </c>
      <c r="L213" s="301"/>
      <c r="M213" s="303">
        <f t="shared" si="20"/>
        <v>0</v>
      </c>
      <c r="N213" s="276"/>
      <c r="O213" s="276"/>
      <c r="P213" s="276"/>
      <c r="Q213" s="276"/>
      <c r="R213" s="276"/>
    </row>
    <row r="214" spans="1:19" s="282" customFormat="1">
      <c r="A214" s="271">
        <f t="shared" si="21"/>
        <v>0</v>
      </c>
      <c r="B214" s="265" t="str">
        <f t="shared" si="18"/>
        <v/>
      </c>
      <c r="C214" s="266"/>
      <c r="D214" s="266"/>
      <c r="E214" s="266"/>
      <c r="F214" s="266"/>
      <c r="G214" s="276"/>
      <c r="H214" s="295">
        <v>209</v>
      </c>
      <c r="I214" s="296" t="str">
        <f t="shared" si="22"/>
        <v/>
      </c>
      <c r="J214" s="295">
        <f t="shared" si="23"/>
        <v>-3</v>
      </c>
      <c r="K214" s="295">
        <f t="shared" si="19"/>
        <v>-30</v>
      </c>
      <c r="L214" s="295"/>
      <c r="M214" s="297">
        <f t="shared" si="20"/>
        <v>0</v>
      </c>
      <c r="N214" s="276"/>
      <c r="O214" s="276"/>
      <c r="P214" s="276"/>
      <c r="Q214" s="276"/>
      <c r="R214" s="276"/>
    </row>
    <row r="215" spans="1:19" s="282" customFormat="1">
      <c r="A215" s="270">
        <f t="shared" si="21"/>
        <v>0</v>
      </c>
      <c r="B215" s="268" t="str">
        <f t="shared" si="18"/>
        <v/>
      </c>
      <c r="C215" s="269"/>
      <c r="D215" s="269"/>
      <c r="E215" s="269"/>
      <c r="F215" s="269"/>
      <c r="G215" s="276"/>
      <c r="H215" s="301">
        <v>210</v>
      </c>
      <c r="I215" s="302" t="str">
        <f t="shared" si="22"/>
        <v/>
      </c>
      <c r="J215" s="301">
        <f t="shared" si="23"/>
        <v>-3</v>
      </c>
      <c r="K215" s="301">
        <f t="shared" si="19"/>
        <v>-30</v>
      </c>
      <c r="L215" s="301"/>
      <c r="M215" s="303">
        <f t="shared" si="20"/>
        <v>0</v>
      </c>
      <c r="N215" s="276"/>
      <c r="O215" s="276"/>
      <c r="P215" s="276"/>
      <c r="Q215" s="276"/>
      <c r="R215" s="276"/>
    </row>
    <row r="216" spans="1:19" s="282" customFormat="1">
      <c r="A216" s="271">
        <f t="shared" si="21"/>
        <v>0</v>
      </c>
      <c r="B216" s="265" t="str">
        <f t="shared" si="18"/>
        <v/>
      </c>
      <c r="C216" s="266"/>
      <c r="D216" s="266"/>
      <c r="E216" s="266"/>
      <c r="F216" s="266"/>
      <c r="G216" s="276"/>
      <c r="H216" s="295">
        <v>211</v>
      </c>
      <c r="I216" s="296" t="str">
        <f t="shared" si="22"/>
        <v/>
      </c>
      <c r="J216" s="295">
        <f t="shared" si="23"/>
        <v>-3</v>
      </c>
      <c r="K216" s="295">
        <f t="shared" si="19"/>
        <v>-30</v>
      </c>
      <c r="L216" s="295"/>
      <c r="M216" s="297">
        <f t="shared" si="20"/>
        <v>0</v>
      </c>
      <c r="N216" s="276"/>
      <c r="O216" s="276"/>
      <c r="P216" s="276"/>
      <c r="Q216" s="276"/>
      <c r="R216" s="311"/>
      <c r="S216" s="312"/>
    </row>
    <row r="217" spans="1:19" s="282" customFormat="1">
      <c r="A217" s="270">
        <f t="shared" si="21"/>
        <v>0</v>
      </c>
      <c r="B217" s="268" t="str">
        <f t="shared" si="18"/>
        <v/>
      </c>
      <c r="C217" s="269"/>
      <c r="D217" s="269"/>
      <c r="E217" s="269"/>
      <c r="F217" s="269"/>
      <c r="G217" s="276"/>
      <c r="H217" s="301">
        <v>212</v>
      </c>
      <c r="I217" s="302" t="str">
        <f t="shared" si="22"/>
        <v/>
      </c>
      <c r="J217" s="301">
        <f t="shared" si="23"/>
        <v>-3</v>
      </c>
      <c r="K217" s="301">
        <f t="shared" si="19"/>
        <v>-30</v>
      </c>
      <c r="L217" s="301"/>
      <c r="M217" s="303">
        <f t="shared" si="20"/>
        <v>0</v>
      </c>
      <c r="N217" s="276"/>
      <c r="O217" s="276"/>
      <c r="P217" s="276"/>
      <c r="Q217" s="276"/>
      <c r="R217" s="276"/>
    </row>
    <row r="218" spans="1:19" s="282" customFormat="1">
      <c r="A218" s="271">
        <f t="shared" si="21"/>
        <v>0</v>
      </c>
      <c r="B218" s="265" t="str">
        <f t="shared" si="18"/>
        <v/>
      </c>
      <c r="C218" s="266"/>
      <c r="D218" s="266"/>
      <c r="E218" s="266"/>
      <c r="F218" s="266"/>
      <c r="G218" s="276"/>
      <c r="H218" s="295">
        <v>213</v>
      </c>
      <c r="I218" s="296" t="str">
        <f t="shared" si="22"/>
        <v/>
      </c>
      <c r="J218" s="295">
        <f t="shared" si="23"/>
        <v>-3</v>
      </c>
      <c r="K218" s="295">
        <f t="shared" si="19"/>
        <v>-30</v>
      </c>
      <c r="L218" s="295"/>
      <c r="M218" s="297">
        <f t="shared" si="20"/>
        <v>0</v>
      </c>
      <c r="N218" s="276"/>
      <c r="O218" s="276"/>
      <c r="P218" s="276"/>
      <c r="Q218" s="276"/>
      <c r="R218" s="276"/>
    </row>
    <row r="219" spans="1:19" s="282" customFormat="1">
      <c r="A219" s="270">
        <f t="shared" si="21"/>
        <v>0</v>
      </c>
      <c r="B219" s="268" t="str">
        <f t="shared" si="18"/>
        <v/>
      </c>
      <c r="C219" s="269"/>
      <c r="D219" s="269"/>
      <c r="E219" s="269"/>
      <c r="F219" s="269"/>
      <c r="G219" s="276"/>
      <c r="H219" s="301">
        <v>214</v>
      </c>
      <c r="I219" s="302" t="str">
        <f t="shared" si="22"/>
        <v/>
      </c>
      <c r="J219" s="301">
        <f t="shared" si="23"/>
        <v>-3</v>
      </c>
      <c r="K219" s="301">
        <f t="shared" si="19"/>
        <v>-30</v>
      </c>
      <c r="L219" s="301"/>
      <c r="M219" s="303">
        <f t="shared" si="20"/>
        <v>0</v>
      </c>
      <c r="N219" s="276"/>
      <c r="O219" s="276"/>
      <c r="P219" s="276"/>
      <c r="Q219" s="276"/>
      <c r="R219" s="276"/>
    </row>
    <row r="220" spans="1:19" s="282" customFormat="1">
      <c r="A220" s="271">
        <f t="shared" si="21"/>
        <v>0</v>
      </c>
      <c r="B220" s="265" t="str">
        <f t="shared" si="18"/>
        <v/>
      </c>
      <c r="C220" s="266"/>
      <c r="D220" s="266"/>
      <c r="E220" s="266"/>
      <c r="F220" s="266"/>
      <c r="G220" s="276"/>
      <c r="H220" s="295">
        <v>215</v>
      </c>
      <c r="I220" s="296" t="str">
        <f t="shared" si="22"/>
        <v/>
      </c>
      <c r="J220" s="295">
        <f t="shared" si="23"/>
        <v>-3</v>
      </c>
      <c r="K220" s="295">
        <f t="shared" si="19"/>
        <v>-30</v>
      </c>
      <c r="L220" s="295"/>
      <c r="M220" s="297">
        <f t="shared" si="20"/>
        <v>0</v>
      </c>
      <c r="N220" s="276"/>
      <c r="O220" s="276"/>
      <c r="P220" s="276"/>
      <c r="Q220" s="276"/>
      <c r="R220" s="276"/>
    </row>
    <row r="221" spans="1:19" s="282" customFormat="1">
      <c r="A221" s="270">
        <f t="shared" si="21"/>
        <v>0</v>
      </c>
      <c r="B221" s="268" t="str">
        <f t="shared" si="18"/>
        <v/>
      </c>
      <c r="C221" s="269"/>
      <c r="D221" s="269"/>
      <c r="E221" s="269"/>
      <c r="F221" s="269"/>
      <c r="G221" s="276"/>
      <c r="H221" s="301">
        <v>216</v>
      </c>
      <c r="I221" s="302" t="str">
        <f t="shared" si="22"/>
        <v/>
      </c>
      <c r="J221" s="301">
        <f t="shared" si="23"/>
        <v>-3</v>
      </c>
      <c r="K221" s="301">
        <f t="shared" si="19"/>
        <v>-30</v>
      </c>
      <c r="L221" s="301"/>
      <c r="M221" s="303">
        <f t="shared" si="20"/>
        <v>0</v>
      </c>
      <c r="N221" s="276"/>
      <c r="O221" s="276"/>
      <c r="P221" s="276"/>
      <c r="Q221" s="276"/>
      <c r="R221" s="276"/>
      <c r="S221" s="313"/>
    </row>
    <row r="222" spans="1:19" s="282" customFormat="1">
      <c r="A222" s="271">
        <f t="shared" si="21"/>
        <v>0</v>
      </c>
      <c r="B222" s="265" t="str">
        <f t="shared" si="18"/>
        <v/>
      </c>
      <c r="C222" s="266"/>
      <c r="D222" s="266"/>
      <c r="E222" s="266"/>
      <c r="F222" s="266"/>
      <c r="G222" s="276"/>
      <c r="H222" s="295">
        <v>217</v>
      </c>
      <c r="I222" s="296" t="str">
        <f t="shared" si="22"/>
        <v/>
      </c>
      <c r="J222" s="295">
        <f t="shared" si="23"/>
        <v>-3</v>
      </c>
      <c r="K222" s="295">
        <f t="shared" si="19"/>
        <v>-30</v>
      </c>
      <c r="L222" s="295"/>
      <c r="M222" s="297">
        <f t="shared" si="20"/>
        <v>0</v>
      </c>
      <c r="N222" s="276"/>
      <c r="O222" s="276"/>
      <c r="P222" s="276"/>
      <c r="Q222" s="276"/>
      <c r="R222" s="276"/>
    </row>
    <row r="223" spans="1:19" s="282" customFormat="1">
      <c r="A223" s="270">
        <f t="shared" si="21"/>
        <v>0</v>
      </c>
      <c r="B223" s="268" t="str">
        <f t="shared" si="18"/>
        <v/>
      </c>
      <c r="C223" s="269"/>
      <c r="D223" s="269"/>
      <c r="E223" s="269"/>
      <c r="F223" s="269"/>
      <c r="G223" s="276"/>
      <c r="H223" s="301">
        <v>218</v>
      </c>
      <c r="I223" s="302" t="str">
        <f t="shared" si="22"/>
        <v/>
      </c>
      <c r="J223" s="301">
        <f t="shared" si="23"/>
        <v>-3</v>
      </c>
      <c r="K223" s="301">
        <f t="shared" si="19"/>
        <v>-30</v>
      </c>
      <c r="L223" s="301"/>
      <c r="M223" s="303">
        <f t="shared" si="20"/>
        <v>0</v>
      </c>
      <c r="N223" s="276"/>
      <c r="O223" s="276"/>
      <c r="P223" s="276"/>
      <c r="Q223" s="276"/>
      <c r="R223" s="276"/>
    </row>
    <row r="224" spans="1:19" s="282" customFormat="1">
      <c r="A224" s="271">
        <f t="shared" si="21"/>
        <v>0</v>
      </c>
      <c r="B224" s="265" t="str">
        <f t="shared" si="18"/>
        <v/>
      </c>
      <c r="C224" s="266"/>
      <c r="D224" s="266"/>
      <c r="E224" s="266"/>
      <c r="F224" s="266"/>
      <c r="G224" s="276"/>
      <c r="H224" s="295">
        <v>219</v>
      </c>
      <c r="I224" s="296" t="str">
        <f t="shared" si="22"/>
        <v/>
      </c>
      <c r="J224" s="295">
        <f t="shared" si="23"/>
        <v>-3</v>
      </c>
      <c r="K224" s="295">
        <f t="shared" si="19"/>
        <v>-30</v>
      </c>
      <c r="L224" s="295"/>
      <c r="M224" s="297">
        <f t="shared" si="20"/>
        <v>0</v>
      </c>
      <c r="N224" s="276"/>
      <c r="O224" s="276"/>
      <c r="P224" s="276"/>
      <c r="Q224" s="276"/>
      <c r="R224" s="276"/>
    </row>
    <row r="225" spans="1:38" s="282" customFormat="1">
      <c r="A225" s="270">
        <f t="shared" si="21"/>
        <v>0</v>
      </c>
      <c r="B225" s="268" t="str">
        <f t="shared" si="18"/>
        <v/>
      </c>
      <c r="C225" s="269"/>
      <c r="D225" s="269"/>
      <c r="E225" s="269"/>
      <c r="F225" s="269"/>
      <c r="G225" s="276"/>
      <c r="H225" s="301">
        <v>220</v>
      </c>
      <c r="I225" s="302" t="str">
        <f t="shared" si="22"/>
        <v/>
      </c>
      <c r="J225" s="301">
        <f t="shared" si="23"/>
        <v>-3</v>
      </c>
      <c r="K225" s="301">
        <f t="shared" si="19"/>
        <v>-30</v>
      </c>
      <c r="L225" s="301"/>
      <c r="M225" s="303">
        <f t="shared" si="20"/>
        <v>0</v>
      </c>
      <c r="N225" s="276"/>
      <c r="O225" s="276"/>
      <c r="P225" s="276"/>
      <c r="Q225" s="276"/>
      <c r="R225" s="276"/>
    </row>
    <row r="226" spans="1:38" s="282" customFormat="1">
      <c r="A226" s="271">
        <f t="shared" si="21"/>
        <v>0</v>
      </c>
      <c r="B226" s="265" t="str">
        <f t="shared" si="18"/>
        <v/>
      </c>
      <c r="C226" s="266"/>
      <c r="D226" s="266"/>
      <c r="E226" s="266"/>
      <c r="F226" s="266"/>
      <c r="G226" s="276"/>
      <c r="H226" s="295">
        <v>221</v>
      </c>
      <c r="I226" s="296" t="str">
        <f t="shared" si="22"/>
        <v/>
      </c>
      <c r="J226" s="295">
        <f t="shared" si="23"/>
        <v>-3</v>
      </c>
      <c r="K226" s="295">
        <f t="shared" si="19"/>
        <v>-30</v>
      </c>
      <c r="L226" s="295"/>
      <c r="M226" s="297">
        <f t="shared" si="20"/>
        <v>0</v>
      </c>
      <c r="N226" s="276"/>
      <c r="O226" s="276"/>
      <c r="P226" s="276"/>
      <c r="Q226" s="276"/>
      <c r="R226" s="276"/>
    </row>
    <row r="227" spans="1:38" s="282" customFormat="1">
      <c r="A227" s="270">
        <f t="shared" si="21"/>
        <v>0</v>
      </c>
      <c r="B227" s="268" t="str">
        <f t="shared" si="18"/>
        <v/>
      </c>
      <c r="C227" s="269"/>
      <c r="D227" s="269"/>
      <c r="E227" s="269"/>
      <c r="F227" s="269"/>
      <c r="G227" s="276"/>
      <c r="H227" s="301">
        <v>222</v>
      </c>
      <c r="I227" s="302" t="str">
        <f t="shared" si="22"/>
        <v/>
      </c>
      <c r="J227" s="301">
        <f t="shared" si="23"/>
        <v>-3</v>
      </c>
      <c r="K227" s="301">
        <f t="shared" si="19"/>
        <v>-30</v>
      </c>
      <c r="L227" s="301"/>
      <c r="M227" s="303">
        <f t="shared" si="20"/>
        <v>0</v>
      </c>
      <c r="N227" s="276"/>
      <c r="O227" s="276"/>
      <c r="P227" s="276"/>
      <c r="Q227" s="276"/>
      <c r="R227" s="276"/>
    </row>
    <row r="228" spans="1:38" s="282" customFormat="1">
      <c r="A228" s="271">
        <f t="shared" si="21"/>
        <v>0</v>
      </c>
      <c r="B228" s="265" t="str">
        <f t="shared" si="18"/>
        <v/>
      </c>
      <c r="C228" s="266"/>
      <c r="D228" s="266"/>
      <c r="E228" s="266"/>
      <c r="F228" s="266"/>
      <c r="G228" s="276"/>
      <c r="H228" s="295">
        <v>223</v>
      </c>
      <c r="I228" s="296" t="str">
        <f t="shared" si="22"/>
        <v/>
      </c>
      <c r="J228" s="295">
        <f t="shared" si="23"/>
        <v>-3</v>
      </c>
      <c r="K228" s="295">
        <f t="shared" si="19"/>
        <v>-30</v>
      </c>
      <c r="L228" s="295"/>
      <c r="M228" s="297">
        <f t="shared" si="20"/>
        <v>0</v>
      </c>
      <c r="N228" s="276"/>
      <c r="O228" s="276"/>
      <c r="P228" s="276"/>
      <c r="Q228" s="276"/>
      <c r="R228" s="276"/>
    </row>
    <row r="229" spans="1:38" s="276" customFormat="1">
      <c r="A229" s="270">
        <f t="shared" si="21"/>
        <v>0</v>
      </c>
      <c r="B229" s="268" t="str">
        <f t="shared" si="18"/>
        <v/>
      </c>
      <c r="C229" s="269"/>
      <c r="D229" s="269"/>
      <c r="E229" s="269"/>
      <c r="F229" s="269"/>
      <c r="H229" s="301">
        <v>224</v>
      </c>
      <c r="I229" s="302" t="str">
        <f t="shared" si="22"/>
        <v/>
      </c>
      <c r="J229" s="301">
        <f t="shared" si="23"/>
        <v>-3</v>
      </c>
      <c r="K229" s="301">
        <f t="shared" si="19"/>
        <v>-30</v>
      </c>
      <c r="L229" s="301"/>
      <c r="M229" s="303">
        <f t="shared" si="20"/>
        <v>0</v>
      </c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</row>
    <row r="230" spans="1:38" s="276" customFormat="1">
      <c r="A230" s="271">
        <f t="shared" si="21"/>
        <v>0</v>
      </c>
      <c r="B230" s="265" t="str">
        <f t="shared" si="18"/>
        <v/>
      </c>
      <c r="C230" s="266"/>
      <c r="D230" s="266"/>
      <c r="E230" s="266"/>
      <c r="F230" s="266"/>
      <c r="H230" s="295">
        <v>225</v>
      </c>
      <c r="I230" s="296" t="str">
        <f t="shared" si="22"/>
        <v/>
      </c>
      <c r="J230" s="295">
        <f t="shared" si="23"/>
        <v>-3</v>
      </c>
      <c r="K230" s="295">
        <f t="shared" si="19"/>
        <v>-30</v>
      </c>
      <c r="L230" s="295"/>
      <c r="M230" s="297">
        <f t="shared" si="20"/>
        <v>0</v>
      </c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</row>
    <row r="231" spans="1:38" s="276" customFormat="1">
      <c r="A231" s="270">
        <f t="shared" si="21"/>
        <v>0</v>
      </c>
      <c r="B231" s="268" t="str">
        <f t="shared" si="18"/>
        <v/>
      </c>
      <c r="C231" s="269"/>
      <c r="D231" s="269"/>
      <c r="E231" s="269"/>
      <c r="F231" s="269"/>
      <c r="H231" s="301">
        <v>226</v>
      </c>
      <c r="I231" s="302" t="str">
        <f t="shared" si="22"/>
        <v/>
      </c>
      <c r="J231" s="301">
        <f t="shared" si="23"/>
        <v>-3</v>
      </c>
      <c r="K231" s="301">
        <f t="shared" si="19"/>
        <v>-30</v>
      </c>
      <c r="L231" s="301"/>
      <c r="M231" s="303">
        <f t="shared" si="20"/>
        <v>0</v>
      </c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</row>
    <row r="232" spans="1:38" s="276" customFormat="1">
      <c r="A232" s="271">
        <f t="shared" si="21"/>
        <v>0</v>
      </c>
      <c r="B232" s="265" t="str">
        <f t="shared" si="18"/>
        <v/>
      </c>
      <c r="C232" s="266"/>
      <c r="D232" s="266"/>
      <c r="E232" s="266"/>
      <c r="F232" s="266"/>
      <c r="H232" s="295">
        <v>227</v>
      </c>
      <c r="I232" s="296" t="str">
        <f t="shared" si="22"/>
        <v/>
      </c>
      <c r="J232" s="295">
        <f t="shared" si="23"/>
        <v>-3</v>
      </c>
      <c r="K232" s="295">
        <f t="shared" si="19"/>
        <v>-30</v>
      </c>
      <c r="L232" s="295"/>
      <c r="M232" s="297">
        <f t="shared" si="20"/>
        <v>0</v>
      </c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</row>
    <row r="233" spans="1:38" s="276" customFormat="1">
      <c r="A233" s="270">
        <f t="shared" si="21"/>
        <v>0</v>
      </c>
      <c r="B233" s="268" t="str">
        <f t="shared" si="18"/>
        <v/>
      </c>
      <c r="C233" s="269"/>
      <c r="D233" s="269"/>
      <c r="E233" s="269"/>
      <c r="F233" s="269"/>
      <c r="H233" s="301">
        <v>228</v>
      </c>
      <c r="I233" s="302" t="str">
        <f t="shared" si="22"/>
        <v/>
      </c>
      <c r="J233" s="301">
        <f t="shared" si="23"/>
        <v>-3</v>
      </c>
      <c r="K233" s="301">
        <f t="shared" si="19"/>
        <v>-30</v>
      </c>
      <c r="L233" s="301"/>
      <c r="M233" s="303">
        <f t="shared" si="20"/>
        <v>0</v>
      </c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</row>
    <row r="234" spans="1:38" s="276" customFormat="1">
      <c r="A234" s="271">
        <f t="shared" si="21"/>
        <v>0</v>
      </c>
      <c r="B234" s="265" t="str">
        <f t="shared" si="18"/>
        <v/>
      </c>
      <c r="C234" s="266"/>
      <c r="D234" s="266"/>
      <c r="E234" s="266"/>
      <c r="F234" s="266"/>
      <c r="H234" s="295">
        <v>229</v>
      </c>
      <c r="I234" s="296" t="str">
        <f t="shared" si="22"/>
        <v/>
      </c>
      <c r="J234" s="295">
        <f t="shared" si="23"/>
        <v>-3</v>
      </c>
      <c r="K234" s="295">
        <f t="shared" si="19"/>
        <v>-30</v>
      </c>
      <c r="L234" s="295"/>
      <c r="M234" s="297">
        <f t="shared" si="20"/>
        <v>0</v>
      </c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</row>
    <row r="235" spans="1:38" s="276" customFormat="1">
      <c r="A235" s="270">
        <f t="shared" si="21"/>
        <v>0</v>
      </c>
      <c r="B235" s="268" t="str">
        <f t="shared" si="18"/>
        <v/>
      </c>
      <c r="C235" s="269"/>
      <c r="D235" s="269"/>
      <c r="E235" s="269"/>
      <c r="F235" s="269"/>
      <c r="H235" s="301">
        <v>230</v>
      </c>
      <c r="I235" s="302" t="str">
        <f t="shared" si="22"/>
        <v/>
      </c>
      <c r="J235" s="301">
        <f t="shared" si="23"/>
        <v>-3</v>
      </c>
      <c r="K235" s="301">
        <f t="shared" si="19"/>
        <v>-30</v>
      </c>
      <c r="L235" s="301"/>
      <c r="M235" s="303">
        <f t="shared" si="20"/>
        <v>0</v>
      </c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</row>
    <row r="236" spans="1:38" s="276" customFormat="1">
      <c r="A236" s="271">
        <f t="shared" si="21"/>
        <v>0</v>
      </c>
      <c r="B236" s="265" t="str">
        <f t="shared" si="18"/>
        <v/>
      </c>
      <c r="C236" s="266"/>
      <c r="D236" s="266"/>
      <c r="E236" s="266"/>
      <c r="F236" s="266"/>
      <c r="H236" s="295">
        <v>231</v>
      </c>
      <c r="I236" s="296" t="str">
        <f t="shared" si="22"/>
        <v/>
      </c>
      <c r="J236" s="295">
        <f t="shared" si="23"/>
        <v>-3</v>
      </c>
      <c r="K236" s="295">
        <f t="shared" si="19"/>
        <v>-30</v>
      </c>
      <c r="L236" s="295"/>
      <c r="M236" s="297">
        <f t="shared" si="20"/>
        <v>0</v>
      </c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</row>
    <row r="237" spans="1:38" s="276" customFormat="1">
      <c r="A237" s="270">
        <f t="shared" si="21"/>
        <v>0</v>
      </c>
      <c r="B237" s="268" t="str">
        <f t="shared" si="18"/>
        <v/>
      </c>
      <c r="C237" s="269"/>
      <c r="D237" s="269"/>
      <c r="E237" s="269"/>
      <c r="F237" s="269"/>
      <c r="H237" s="301">
        <v>232</v>
      </c>
      <c r="I237" s="302" t="str">
        <f t="shared" si="22"/>
        <v/>
      </c>
      <c r="J237" s="301">
        <f t="shared" si="23"/>
        <v>-3</v>
      </c>
      <c r="K237" s="301">
        <f t="shared" si="19"/>
        <v>-30</v>
      </c>
      <c r="L237" s="301"/>
      <c r="M237" s="303">
        <f t="shared" si="20"/>
        <v>0</v>
      </c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</row>
    <row r="238" spans="1:38" s="276" customFormat="1">
      <c r="A238" s="271">
        <f t="shared" si="21"/>
        <v>0</v>
      </c>
      <c r="B238" s="265" t="str">
        <f t="shared" si="18"/>
        <v/>
      </c>
      <c r="C238" s="266"/>
      <c r="D238" s="266"/>
      <c r="E238" s="266"/>
      <c r="F238" s="266"/>
      <c r="H238" s="295">
        <v>233</v>
      </c>
      <c r="I238" s="296" t="str">
        <f t="shared" si="22"/>
        <v/>
      </c>
      <c r="J238" s="295">
        <f t="shared" si="23"/>
        <v>-3</v>
      </c>
      <c r="K238" s="295">
        <f t="shared" si="19"/>
        <v>-30</v>
      </c>
      <c r="L238" s="295"/>
      <c r="M238" s="297">
        <f t="shared" si="20"/>
        <v>0</v>
      </c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</row>
    <row r="239" spans="1:38" s="276" customFormat="1">
      <c r="A239" s="270">
        <f t="shared" si="21"/>
        <v>0</v>
      </c>
      <c r="B239" s="268" t="str">
        <f t="shared" si="18"/>
        <v/>
      </c>
      <c r="C239" s="269"/>
      <c r="D239" s="269"/>
      <c r="E239" s="269"/>
      <c r="F239" s="269"/>
      <c r="H239" s="301">
        <v>234</v>
      </c>
      <c r="I239" s="302" t="str">
        <f t="shared" si="22"/>
        <v/>
      </c>
      <c r="J239" s="301">
        <f t="shared" si="23"/>
        <v>-3</v>
      </c>
      <c r="K239" s="301">
        <f t="shared" si="19"/>
        <v>-30</v>
      </c>
      <c r="L239" s="301"/>
      <c r="M239" s="303">
        <f t="shared" si="20"/>
        <v>0</v>
      </c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</row>
    <row r="240" spans="1:38" s="276" customFormat="1">
      <c r="A240" s="271">
        <f t="shared" si="21"/>
        <v>0</v>
      </c>
      <c r="B240" s="265" t="str">
        <f t="shared" si="18"/>
        <v/>
      </c>
      <c r="C240" s="266"/>
      <c r="D240" s="266"/>
      <c r="E240" s="266"/>
      <c r="F240" s="266"/>
      <c r="H240" s="295">
        <v>235</v>
      </c>
      <c r="I240" s="296" t="str">
        <f t="shared" si="22"/>
        <v/>
      </c>
      <c r="J240" s="295">
        <f t="shared" si="23"/>
        <v>-3</v>
      </c>
      <c r="K240" s="295">
        <f t="shared" si="19"/>
        <v>-30</v>
      </c>
      <c r="L240" s="295"/>
      <c r="M240" s="297">
        <f t="shared" si="20"/>
        <v>0</v>
      </c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</row>
    <row r="241" spans="1:38" s="276" customFormat="1">
      <c r="A241" s="270">
        <f t="shared" si="21"/>
        <v>0</v>
      </c>
      <c r="B241" s="268" t="str">
        <f t="shared" si="18"/>
        <v/>
      </c>
      <c r="C241" s="269"/>
      <c r="D241" s="269"/>
      <c r="E241" s="269"/>
      <c r="F241" s="269"/>
      <c r="H241" s="301">
        <v>236</v>
      </c>
      <c r="I241" s="302" t="str">
        <f t="shared" si="22"/>
        <v/>
      </c>
      <c r="J241" s="301">
        <f t="shared" si="23"/>
        <v>-3</v>
      </c>
      <c r="K241" s="301">
        <f t="shared" si="19"/>
        <v>-30</v>
      </c>
      <c r="L241" s="301"/>
      <c r="M241" s="303">
        <f t="shared" si="20"/>
        <v>0</v>
      </c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  <c r="AC241" s="282"/>
      <c r="AD241" s="282"/>
      <c r="AE241" s="282"/>
      <c r="AF241" s="282"/>
      <c r="AG241" s="282"/>
      <c r="AH241" s="282"/>
      <c r="AI241" s="282"/>
      <c r="AJ241" s="282"/>
      <c r="AK241" s="282"/>
      <c r="AL241" s="282"/>
    </row>
    <row r="242" spans="1:38" s="276" customFormat="1">
      <c r="A242" s="271">
        <f t="shared" si="21"/>
        <v>0</v>
      </c>
      <c r="B242" s="265" t="str">
        <f t="shared" si="18"/>
        <v/>
      </c>
      <c r="C242" s="266"/>
      <c r="D242" s="266"/>
      <c r="E242" s="266"/>
      <c r="F242" s="266"/>
      <c r="H242" s="295">
        <v>237</v>
      </c>
      <c r="I242" s="296" t="str">
        <f t="shared" si="22"/>
        <v/>
      </c>
      <c r="J242" s="295">
        <f t="shared" si="23"/>
        <v>-3</v>
      </c>
      <c r="K242" s="295">
        <f t="shared" si="19"/>
        <v>-30</v>
      </c>
      <c r="L242" s="295"/>
      <c r="M242" s="297">
        <f t="shared" si="20"/>
        <v>0</v>
      </c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  <c r="AC242" s="282"/>
      <c r="AD242" s="282"/>
      <c r="AE242" s="282"/>
      <c r="AF242" s="282"/>
      <c r="AG242" s="282"/>
      <c r="AH242" s="282"/>
      <c r="AI242" s="282"/>
      <c r="AJ242" s="282"/>
      <c r="AK242" s="282"/>
      <c r="AL242" s="282"/>
    </row>
    <row r="243" spans="1:38" s="276" customFormat="1">
      <c r="A243" s="270">
        <f t="shared" si="21"/>
        <v>0</v>
      </c>
      <c r="B243" s="268" t="str">
        <f t="shared" si="18"/>
        <v/>
      </c>
      <c r="C243" s="269"/>
      <c r="D243" s="269"/>
      <c r="E243" s="269"/>
      <c r="F243" s="269"/>
      <c r="H243" s="301">
        <v>238</v>
      </c>
      <c r="I243" s="302" t="str">
        <f t="shared" si="22"/>
        <v/>
      </c>
      <c r="J243" s="301">
        <f t="shared" si="23"/>
        <v>-3</v>
      </c>
      <c r="K243" s="301">
        <f t="shared" si="19"/>
        <v>-30</v>
      </c>
      <c r="L243" s="301"/>
      <c r="M243" s="303">
        <f t="shared" si="20"/>
        <v>0</v>
      </c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  <c r="AC243" s="282"/>
      <c r="AD243" s="282"/>
      <c r="AE243" s="282"/>
      <c r="AF243" s="282"/>
      <c r="AG243" s="282"/>
      <c r="AH243" s="282"/>
      <c r="AI243" s="282"/>
      <c r="AJ243" s="282"/>
      <c r="AK243" s="282"/>
      <c r="AL243" s="282"/>
    </row>
    <row r="244" spans="1:38" s="276" customFormat="1">
      <c r="A244" s="271">
        <f t="shared" si="21"/>
        <v>0</v>
      </c>
      <c r="B244" s="265" t="str">
        <f t="shared" si="18"/>
        <v/>
      </c>
      <c r="C244" s="266"/>
      <c r="D244" s="266"/>
      <c r="E244" s="266"/>
      <c r="F244" s="266"/>
      <c r="H244" s="295">
        <v>239</v>
      </c>
      <c r="I244" s="296" t="str">
        <f t="shared" si="22"/>
        <v/>
      </c>
      <c r="J244" s="295">
        <f t="shared" si="23"/>
        <v>-3</v>
      </c>
      <c r="K244" s="295">
        <f t="shared" si="19"/>
        <v>-30</v>
      </c>
      <c r="L244" s="295"/>
      <c r="M244" s="297">
        <f t="shared" si="20"/>
        <v>0</v>
      </c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  <c r="AC244" s="282"/>
      <c r="AD244" s="282"/>
      <c r="AE244" s="282"/>
      <c r="AF244" s="282"/>
      <c r="AG244" s="282"/>
      <c r="AH244" s="282"/>
      <c r="AI244" s="282"/>
      <c r="AJ244" s="282"/>
      <c r="AK244" s="282"/>
      <c r="AL244" s="282"/>
    </row>
    <row r="245" spans="1:38" s="276" customFormat="1">
      <c r="A245" s="270">
        <f t="shared" si="21"/>
        <v>0</v>
      </c>
      <c r="B245" s="268" t="str">
        <f t="shared" si="18"/>
        <v/>
      </c>
      <c r="C245" s="269"/>
      <c r="D245" s="269"/>
      <c r="E245" s="269"/>
      <c r="F245" s="269"/>
      <c r="H245" s="301">
        <v>240</v>
      </c>
      <c r="I245" s="302" t="str">
        <f t="shared" si="22"/>
        <v/>
      </c>
      <c r="J245" s="301">
        <f t="shared" si="23"/>
        <v>-3</v>
      </c>
      <c r="K245" s="301">
        <f t="shared" si="19"/>
        <v>-30</v>
      </c>
      <c r="L245" s="301"/>
      <c r="M245" s="303">
        <f t="shared" si="20"/>
        <v>0</v>
      </c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  <c r="AC245" s="282"/>
      <c r="AD245" s="282"/>
      <c r="AE245" s="282"/>
      <c r="AF245" s="282"/>
      <c r="AG245" s="282"/>
      <c r="AH245" s="282"/>
      <c r="AI245" s="282"/>
      <c r="AJ245" s="282"/>
      <c r="AK245" s="282"/>
      <c r="AL245" s="282"/>
    </row>
    <row r="246" spans="1:38" s="282" customFormat="1">
      <c r="A246" s="271">
        <f t="shared" si="21"/>
        <v>0</v>
      </c>
      <c r="B246" s="265" t="str">
        <f t="shared" si="18"/>
        <v/>
      </c>
      <c r="C246" s="266"/>
      <c r="D246" s="266"/>
      <c r="E246" s="266"/>
      <c r="F246" s="266"/>
      <c r="G246" s="276"/>
      <c r="H246" s="295">
        <v>241</v>
      </c>
      <c r="I246" s="296" t="str">
        <f t="shared" si="22"/>
        <v/>
      </c>
      <c r="J246" s="295">
        <f t="shared" si="23"/>
        <v>-3</v>
      </c>
      <c r="K246" s="295">
        <f t="shared" si="19"/>
        <v>-30</v>
      </c>
      <c r="L246" s="295"/>
      <c r="M246" s="297">
        <f t="shared" si="20"/>
        <v>0</v>
      </c>
      <c r="N246" s="276"/>
      <c r="O246" s="276"/>
      <c r="P246" s="276"/>
      <c r="Q246" s="276"/>
      <c r="R246" s="276"/>
    </row>
    <row r="247" spans="1:38" s="282" customFormat="1">
      <c r="A247" s="270">
        <f t="shared" si="21"/>
        <v>0</v>
      </c>
      <c r="B247" s="268" t="str">
        <f t="shared" si="18"/>
        <v/>
      </c>
      <c r="C247" s="269"/>
      <c r="D247" s="269"/>
      <c r="E247" s="269"/>
      <c r="F247" s="269"/>
      <c r="G247" s="276"/>
      <c r="H247" s="301">
        <v>242</v>
      </c>
      <c r="I247" s="302" t="str">
        <f t="shared" si="22"/>
        <v/>
      </c>
      <c r="J247" s="301">
        <f t="shared" si="23"/>
        <v>-3</v>
      </c>
      <c r="K247" s="301">
        <f t="shared" si="19"/>
        <v>-30</v>
      </c>
      <c r="L247" s="301"/>
      <c r="M247" s="303">
        <f t="shared" si="20"/>
        <v>0</v>
      </c>
      <c r="N247" s="276"/>
      <c r="O247" s="276"/>
      <c r="P247" s="276"/>
      <c r="Q247" s="276"/>
      <c r="R247" s="276"/>
      <c r="S247" s="313"/>
    </row>
    <row r="248" spans="1:38" s="282" customFormat="1">
      <c r="A248" s="271">
        <f t="shared" si="21"/>
        <v>0</v>
      </c>
      <c r="B248" s="265" t="str">
        <f t="shared" si="18"/>
        <v/>
      </c>
      <c r="C248" s="266"/>
      <c r="D248" s="266"/>
      <c r="E248" s="266"/>
      <c r="F248" s="266"/>
      <c r="G248" s="276"/>
      <c r="H248" s="295">
        <v>243</v>
      </c>
      <c r="I248" s="296" t="str">
        <f t="shared" si="22"/>
        <v/>
      </c>
      <c r="J248" s="295">
        <f t="shared" si="23"/>
        <v>-3</v>
      </c>
      <c r="K248" s="295">
        <f t="shared" si="19"/>
        <v>-30</v>
      </c>
      <c r="L248" s="295"/>
      <c r="M248" s="297">
        <f t="shared" si="20"/>
        <v>0</v>
      </c>
      <c r="N248" s="276"/>
      <c r="O248" s="276"/>
      <c r="P248" s="276"/>
      <c r="Q248" s="276"/>
      <c r="R248" s="276"/>
    </row>
    <row r="249" spans="1:38" s="282" customFormat="1">
      <c r="A249" s="270">
        <f t="shared" si="21"/>
        <v>0</v>
      </c>
      <c r="B249" s="268" t="str">
        <f t="shared" si="18"/>
        <v/>
      </c>
      <c r="C249" s="269"/>
      <c r="D249" s="269"/>
      <c r="E249" s="269"/>
      <c r="F249" s="269"/>
      <c r="G249" s="276"/>
      <c r="H249" s="301">
        <v>244</v>
      </c>
      <c r="I249" s="302" t="str">
        <f t="shared" si="22"/>
        <v/>
      </c>
      <c r="J249" s="301">
        <f t="shared" si="23"/>
        <v>-3</v>
      </c>
      <c r="K249" s="301">
        <f t="shared" si="19"/>
        <v>-30</v>
      </c>
      <c r="L249" s="301"/>
      <c r="M249" s="303">
        <f t="shared" si="20"/>
        <v>0</v>
      </c>
      <c r="N249" s="276"/>
      <c r="O249" s="276"/>
      <c r="P249" s="276"/>
      <c r="Q249" s="276"/>
      <c r="R249" s="276"/>
    </row>
    <row r="250" spans="1:38" s="282" customFormat="1">
      <c r="A250" s="271">
        <f t="shared" si="21"/>
        <v>0</v>
      </c>
      <c r="B250" s="265" t="str">
        <f t="shared" si="18"/>
        <v/>
      </c>
      <c r="C250" s="266"/>
      <c r="D250" s="266"/>
      <c r="E250" s="266"/>
      <c r="F250" s="266"/>
      <c r="G250" s="276"/>
      <c r="H250" s="295">
        <v>245</v>
      </c>
      <c r="I250" s="296" t="str">
        <f t="shared" si="22"/>
        <v/>
      </c>
      <c r="J250" s="295">
        <f t="shared" si="23"/>
        <v>-3</v>
      </c>
      <c r="K250" s="295">
        <f t="shared" si="19"/>
        <v>-30</v>
      </c>
      <c r="L250" s="295"/>
      <c r="M250" s="297">
        <f t="shared" si="20"/>
        <v>0</v>
      </c>
      <c r="N250" s="276"/>
      <c r="O250" s="276"/>
      <c r="P250" s="276"/>
      <c r="Q250" s="276"/>
      <c r="R250" s="276"/>
    </row>
    <row r="251" spans="1:38" s="282" customFormat="1">
      <c r="A251" s="270">
        <f t="shared" si="21"/>
        <v>0</v>
      </c>
      <c r="B251" s="268" t="str">
        <f t="shared" si="18"/>
        <v/>
      </c>
      <c r="C251" s="269"/>
      <c r="D251" s="269"/>
      <c r="E251" s="269"/>
      <c r="F251" s="269"/>
      <c r="G251" s="276"/>
      <c r="H251" s="301">
        <v>246</v>
      </c>
      <c r="I251" s="302" t="str">
        <f t="shared" si="22"/>
        <v/>
      </c>
      <c r="J251" s="301">
        <f t="shared" si="23"/>
        <v>-3</v>
      </c>
      <c r="K251" s="301">
        <f t="shared" si="19"/>
        <v>-30</v>
      </c>
      <c r="L251" s="301"/>
      <c r="M251" s="303">
        <f t="shared" si="20"/>
        <v>0</v>
      </c>
      <c r="N251" s="276"/>
      <c r="O251" s="276"/>
      <c r="P251" s="276"/>
      <c r="Q251" s="276"/>
      <c r="R251" s="276"/>
    </row>
    <row r="252" spans="1:38" s="282" customFormat="1">
      <c r="A252" s="271">
        <f t="shared" si="21"/>
        <v>0</v>
      </c>
      <c r="B252" s="265" t="str">
        <f t="shared" si="18"/>
        <v/>
      </c>
      <c r="C252" s="266"/>
      <c r="D252" s="266"/>
      <c r="E252" s="266"/>
      <c r="F252" s="266"/>
      <c r="G252" s="276"/>
      <c r="H252" s="295">
        <v>247</v>
      </c>
      <c r="I252" s="296" t="str">
        <f t="shared" si="22"/>
        <v/>
      </c>
      <c r="J252" s="295">
        <f t="shared" si="23"/>
        <v>-3</v>
      </c>
      <c r="K252" s="295">
        <f t="shared" si="19"/>
        <v>-30</v>
      </c>
      <c r="L252" s="295"/>
      <c r="M252" s="297">
        <f t="shared" si="20"/>
        <v>0</v>
      </c>
      <c r="N252" s="276"/>
      <c r="O252" s="276"/>
      <c r="P252" s="276"/>
      <c r="Q252" s="276"/>
      <c r="R252" s="276"/>
    </row>
    <row r="253" spans="1:38" s="282" customFormat="1">
      <c r="A253" s="270">
        <f t="shared" si="21"/>
        <v>0</v>
      </c>
      <c r="B253" s="268" t="str">
        <f t="shared" si="18"/>
        <v/>
      </c>
      <c r="C253" s="269"/>
      <c r="D253" s="269"/>
      <c r="E253" s="269"/>
      <c r="F253" s="269"/>
      <c r="G253" s="276"/>
      <c r="H253" s="301">
        <v>248</v>
      </c>
      <c r="I253" s="302" t="str">
        <f t="shared" si="22"/>
        <v/>
      </c>
      <c r="J253" s="301">
        <f t="shared" si="23"/>
        <v>-3</v>
      </c>
      <c r="K253" s="301">
        <f t="shared" si="19"/>
        <v>-30</v>
      </c>
      <c r="L253" s="301"/>
      <c r="M253" s="303">
        <f t="shared" si="20"/>
        <v>0</v>
      </c>
      <c r="N253" s="276"/>
      <c r="O253" s="276"/>
      <c r="P253" s="276"/>
      <c r="Q253" s="276"/>
      <c r="R253" s="276"/>
    </row>
    <row r="254" spans="1:38" s="282" customFormat="1">
      <c r="A254" s="271">
        <f t="shared" si="21"/>
        <v>0</v>
      </c>
      <c r="B254" s="265" t="str">
        <f t="shared" si="18"/>
        <v/>
      </c>
      <c r="C254" s="266"/>
      <c r="D254" s="266"/>
      <c r="E254" s="266"/>
      <c r="F254" s="266"/>
      <c r="G254" s="276"/>
      <c r="H254" s="295">
        <v>249</v>
      </c>
      <c r="I254" s="296" t="str">
        <f t="shared" si="22"/>
        <v/>
      </c>
      <c r="J254" s="295">
        <f t="shared" si="23"/>
        <v>-3</v>
      </c>
      <c r="K254" s="295">
        <f t="shared" si="19"/>
        <v>-30</v>
      </c>
      <c r="L254" s="295"/>
      <c r="M254" s="297">
        <f t="shared" si="20"/>
        <v>0</v>
      </c>
      <c r="N254" s="276"/>
      <c r="O254" s="276"/>
      <c r="P254" s="276"/>
      <c r="Q254" s="276"/>
      <c r="R254" s="276"/>
    </row>
    <row r="255" spans="1:38" s="276" customFormat="1">
      <c r="A255" s="270">
        <f t="shared" si="21"/>
        <v>0</v>
      </c>
      <c r="B255" s="268" t="str">
        <f t="shared" si="18"/>
        <v/>
      </c>
      <c r="C255" s="269"/>
      <c r="D255" s="269"/>
      <c r="E255" s="269"/>
      <c r="F255" s="269"/>
      <c r="H255" s="301">
        <v>250</v>
      </c>
      <c r="I255" s="302" t="str">
        <f t="shared" si="22"/>
        <v/>
      </c>
      <c r="J255" s="301">
        <f t="shared" si="23"/>
        <v>-3</v>
      </c>
      <c r="K255" s="301">
        <f t="shared" si="19"/>
        <v>-30</v>
      </c>
      <c r="L255" s="301"/>
      <c r="M255" s="303">
        <f t="shared" si="20"/>
        <v>0</v>
      </c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  <c r="AC255" s="282"/>
      <c r="AD255" s="282"/>
      <c r="AE255" s="282"/>
      <c r="AF255" s="282"/>
      <c r="AG255" s="282"/>
      <c r="AH255" s="282"/>
      <c r="AI255" s="282"/>
      <c r="AJ255" s="282"/>
      <c r="AK255" s="282"/>
      <c r="AL255" s="282"/>
    </row>
    <row r="256" spans="1:38" s="276" customFormat="1">
      <c r="A256" s="271">
        <f t="shared" si="21"/>
        <v>0</v>
      </c>
      <c r="B256" s="265" t="str">
        <f t="shared" si="18"/>
        <v/>
      </c>
      <c r="C256" s="266"/>
      <c r="D256" s="266"/>
      <c r="E256" s="266"/>
      <c r="F256" s="266"/>
      <c r="H256" s="295">
        <v>251</v>
      </c>
      <c r="I256" s="296" t="str">
        <f t="shared" si="22"/>
        <v/>
      </c>
      <c r="J256" s="295">
        <f t="shared" si="23"/>
        <v>-3</v>
      </c>
      <c r="K256" s="295">
        <f t="shared" si="19"/>
        <v>-30</v>
      </c>
      <c r="L256" s="295"/>
      <c r="M256" s="297">
        <f t="shared" si="20"/>
        <v>0</v>
      </c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  <c r="AC256" s="282"/>
      <c r="AD256" s="282"/>
      <c r="AE256" s="282"/>
      <c r="AF256" s="282"/>
      <c r="AG256" s="282"/>
      <c r="AH256" s="282"/>
      <c r="AI256" s="282"/>
      <c r="AJ256" s="282"/>
      <c r="AK256" s="282"/>
      <c r="AL256" s="282"/>
    </row>
    <row r="257" spans="1:38" s="276" customFormat="1">
      <c r="A257" s="270">
        <f t="shared" si="21"/>
        <v>0</v>
      </c>
      <c r="B257" s="268" t="str">
        <f t="shared" si="18"/>
        <v/>
      </c>
      <c r="C257" s="269"/>
      <c r="D257" s="269"/>
      <c r="E257" s="269"/>
      <c r="F257" s="269"/>
      <c r="H257" s="301">
        <v>252</v>
      </c>
      <c r="I257" s="302" t="str">
        <f t="shared" si="22"/>
        <v/>
      </c>
      <c r="J257" s="301">
        <f t="shared" si="23"/>
        <v>-3</v>
      </c>
      <c r="K257" s="301">
        <f t="shared" si="19"/>
        <v>-30</v>
      </c>
      <c r="L257" s="301"/>
      <c r="M257" s="303">
        <f t="shared" si="20"/>
        <v>0</v>
      </c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2"/>
      <c r="AH257" s="282"/>
      <c r="AI257" s="282"/>
      <c r="AJ257" s="282"/>
      <c r="AK257" s="282"/>
      <c r="AL257" s="282"/>
    </row>
    <row r="258" spans="1:38" s="276" customFormat="1">
      <c r="A258" s="271">
        <f t="shared" si="21"/>
        <v>0</v>
      </c>
      <c r="B258" s="265" t="str">
        <f t="shared" si="18"/>
        <v/>
      </c>
      <c r="C258" s="266"/>
      <c r="D258" s="266"/>
      <c r="E258" s="266"/>
      <c r="F258" s="266"/>
      <c r="H258" s="295">
        <v>253</v>
      </c>
      <c r="I258" s="296" t="str">
        <f t="shared" si="22"/>
        <v/>
      </c>
      <c r="J258" s="295">
        <f t="shared" si="23"/>
        <v>-3</v>
      </c>
      <c r="K258" s="295">
        <f t="shared" si="19"/>
        <v>-30</v>
      </c>
      <c r="L258" s="295"/>
      <c r="M258" s="297">
        <f t="shared" si="20"/>
        <v>0</v>
      </c>
      <c r="S258" s="282"/>
      <c r="T258" s="282"/>
      <c r="U258" s="282"/>
      <c r="V258" s="282"/>
      <c r="W258" s="282"/>
      <c r="X258" s="282"/>
      <c r="Y258" s="282"/>
      <c r="Z258" s="282"/>
      <c r="AA258" s="282"/>
      <c r="AB258" s="282"/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</row>
    <row r="259" spans="1:38" s="276" customFormat="1">
      <c r="A259" s="270">
        <f t="shared" si="21"/>
        <v>0</v>
      </c>
      <c r="B259" s="268" t="str">
        <f t="shared" si="18"/>
        <v/>
      </c>
      <c r="C259" s="269"/>
      <c r="D259" s="269"/>
      <c r="E259" s="269"/>
      <c r="F259" s="269"/>
      <c r="H259" s="301">
        <v>254</v>
      </c>
      <c r="I259" s="302" t="str">
        <f t="shared" si="22"/>
        <v/>
      </c>
      <c r="J259" s="301">
        <f t="shared" si="23"/>
        <v>-3</v>
      </c>
      <c r="K259" s="301">
        <f t="shared" si="19"/>
        <v>-30</v>
      </c>
      <c r="L259" s="301"/>
      <c r="M259" s="303">
        <f t="shared" si="20"/>
        <v>0</v>
      </c>
      <c r="S259" s="282"/>
      <c r="T259" s="282"/>
      <c r="U259" s="282"/>
      <c r="V259" s="282"/>
      <c r="W259" s="282"/>
      <c r="X259" s="282"/>
      <c r="Y259" s="282"/>
      <c r="Z259" s="282"/>
      <c r="AA259" s="282"/>
      <c r="AB259" s="282"/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</row>
    <row r="260" spans="1:38" s="276" customFormat="1">
      <c r="A260" s="271">
        <f t="shared" si="21"/>
        <v>0</v>
      </c>
      <c r="B260" s="265" t="str">
        <f t="shared" si="18"/>
        <v/>
      </c>
      <c r="C260" s="266"/>
      <c r="D260" s="266"/>
      <c r="E260" s="266"/>
      <c r="F260" s="266"/>
      <c r="H260" s="295">
        <v>255</v>
      </c>
      <c r="I260" s="296" t="str">
        <f t="shared" si="22"/>
        <v/>
      </c>
      <c r="J260" s="295">
        <f t="shared" si="23"/>
        <v>-3</v>
      </c>
      <c r="K260" s="295">
        <f t="shared" si="19"/>
        <v>-30</v>
      </c>
      <c r="L260" s="295"/>
      <c r="M260" s="297">
        <f t="shared" si="20"/>
        <v>0</v>
      </c>
      <c r="S260" s="282"/>
      <c r="T260" s="282"/>
      <c r="U260" s="282"/>
      <c r="V260" s="282"/>
      <c r="W260" s="282"/>
      <c r="X260" s="282"/>
      <c r="Y260" s="282"/>
      <c r="Z260" s="282"/>
      <c r="AA260" s="282"/>
      <c r="AB260" s="282"/>
      <c r="AC260" s="282"/>
      <c r="AD260" s="282"/>
      <c r="AE260" s="282"/>
      <c r="AF260" s="282"/>
      <c r="AG260" s="282"/>
      <c r="AH260" s="282"/>
      <c r="AI260" s="282"/>
      <c r="AJ260" s="282"/>
      <c r="AK260" s="282"/>
      <c r="AL260" s="282"/>
    </row>
    <row r="261" spans="1:38" s="276" customFormat="1">
      <c r="A261" s="270">
        <f t="shared" si="21"/>
        <v>0</v>
      </c>
      <c r="B261" s="268" t="str">
        <f t="shared" si="18"/>
        <v/>
      </c>
      <c r="C261" s="269"/>
      <c r="D261" s="269"/>
      <c r="E261" s="269"/>
      <c r="F261" s="269"/>
      <c r="H261" s="301">
        <v>256</v>
      </c>
      <c r="I261" s="302" t="str">
        <f t="shared" si="22"/>
        <v/>
      </c>
      <c r="J261" s="301">
        <f t="shared" si="23"/>
        <v>-3</v>
      </c>
      <c r="K261" s="301">
        <f t="shared" si="19"/>
        <v>-30</v>
      </c>
      <c r="L261" s="301"/>
      <c r="M261" s="303">
        <f t="shared" si="20"/>
        <v>0</v>
      </c>
      <c r="S261" s="282"/>
      <c r="T261" s="282"/>
      <c r="U261" s="282"/>
      <c r="V261" s="282"/>
      <c r="W261" s="282"/>
      <c r="X261" s="282"/>
      <c r="Y261" s="282"/>
      <c r="Z261" s="282"/>
      <c r="AA261" s="282"/>
      <c r="AB261" s="282"/>
      <c r="AC261" s="282"/>
      <c r="AD261" s="282"/>
      <c r="AE261" s="282"/>
      <c r="AF261" s="282"/>
      <c r="AG261" s="282"/>
      <c r="AH261" s="282"/>
      <c r="AI261" s="282"/>
      <c r="AJ261" s="282"/>
      <c r="AK261" s="282"/>
      <c r="AL261" s="282"/>
    </row>
    <row r="262" spans="1:38" s="276" customFormat="1">
      <c r="A262" s="271">
        <f t="shared" si="21"/>
        <v>0</v>
      </c>
      <c r="B262" s="265" t="str">
        <f t="shared" ref="B262:B269" si="24">IF(H262&gt;$H$2,"",(ROW()-5))</f>
        <v/>
      </c>
      <c r="C262" s="266"/>
      <c r="D262" s="266"/>
      <c r="E262" s="266"/>
      <c r="F262" s="266"/>
      <c r="H262" s="295">
        <v>257</v>
      </c>
      <c r="I262" s="296" t="str">
        <f t="shared" si="22"/>
        <v/>
      </c>
      <c r="J262" s="295">
        <f t="shared" si="23"/>
        <v>-4</v>
      </c>
      <c r="K262" s="295">
        <f t="shared" ref="K262:K305" si="25">J262*$J$2</f>
        <v>-40</v>
      </c>
      <c r="L262" s="295"/>
      <c r="M262" s="297">
        <f t="shared" ref="M262:M305" si="26">IF(I262&lt;&gt;"",K262+I262+L262,0)</f>
        <v>0</v>
      </c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2"/>
      <c r="AH262" s="282"/>
      <c r="AI262" s="282"/>
      <c r="AJ262" s="282"/>
      <c r="AK262" s="282"/>
      <c r="AL262" s="282"/>
    </row>
    <row r="263" spans="1:38" s="276" customFormat="1">
      <c r="A263" s="270">
        <f t="shared" ref="A263:A269" si="27">M263</f>
        <v>0</v>
      </c>
      <c r="B263" s="268" t="str">
        <f t="shared" si="24"/>
        <v/>
      </c>
      <c r="C263" s="269"/>
      <c r="D263" s="269"/>
      <c r="E263" s="269"/>
      <c r="F263" s="269"/>
      <c r="H263" s="301">
        <v>258</v>
      </c>
      <c r="I263" s="302" t="str">
        <f t="shared" ref="I263:I305" si="28">IF(H263&lt;$H$2+1,($I$2-($I$2-1)*(LOG(H263)/LOG($H$2))),"")</f>
        <v/>
      </c>
      <c r="J263" s="301">
        <f t="shared" ref="J263:J326" si="29">INT(LOG($H$2,2))-ROUNDUP(LOG(H263,2),0)+IF(OR($H$2=1,$H$2=2,$H$2=4,$H$2=8,$H$2=16,$H$2=32,$H$2=64,$H$2=128,$H$2=256),0,1)</f>
        <v>-4</v>
      </c>
      <c r="K263" s="301">
        <f t="shared" si="25"/>
        <v>-40</v>
      </c>
      <c r="L263" s="301"/>
      <c r="M263" s="303">
        <f t="shared" si="26"/>
        <v>0</v>
      </c>
      <c r="S263" s="282"/>
      <c r="T263" s="282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2"/>
      <c r="AG263" s="282"/>
      <c r="AH263" s="282"/>
      <c r="AI263" s="282"/>
      <c r="AJ263" s="282"/>
      <c r="AK263" s="282"/>
      <c r="AL263" s="282"/>
    </row>
    <row r="264" spans="1:38" s="276" customFormat="1">
      <c r="A264" s="271">
        <f t="shared" si="27"/>
        <v>0</v>
      </c>
      <c r="B264" s="265" t="str">
        <f t="shared" si="24"/>
        <v/>
      </c>
      <c r="C264" s="266"/>
      <c r="D264" s="266"/>
      <c r="E264" s="266"/>
      <c r="F264" s="266"/>
      <c r="H264" s="295">
        <v>259</v>
      </c>
      <c r="I264" s="296" t="str">
        <f t="shared" si="28"/>
        <v/>
      </c>
      <c r="J264" s="295">
        <f t="shared" si="29"/>
        <v>-4</v>
      </c>
      <c r="K264" s="295">
        <f t="shared" si="25"/>
        <v>-40</v>
      </c>
      <c r="L264" s="295"/>
      <c r="M264" s="297">
        <f t="shared" si="26"/>
        <v>0</v>
      </c>
      <c r="S264" s="282"/>
      <c r="T264" s="282"/>
      <c r="U264" s="282"/>
      <c r="V264" s="282"/>
      <c r="W264" s="282"/>
      <c r="X264" s="282"/>
      <c r="Y264" s="282"/>
      <c r="Z264" s="282"/>
      <c r="AA264" s="282"/>
      <c r="AB264" s="282"/>
      <c r="AC264" s="282"/>
      <c r="AD264" s="282"/>
      <c r="AE264" s="282"/>
      <c r="AF264" s="282"/>
      <c r="AG264" s="282"/>
      <c r="AH264" s="282"/>
      <c r="AI264" s="282"/>
      <c r="AJ264" s="282"/>
      <c r="AK264" s="282"/>
      <c r="AL264" s="282"/>
    </row>
    <row r="265" spans="1:38" s="276" customFormat="1">
      <c r="A265" s="270">
        <f t="shared" si="27"/>
        <v>0</v>
      </c>
      <c r="B265" s="268" t="str">
        <f t="shared" si="24"/>
        <v/>
      </c>
      <c r="C265" s="269"/>
      <c r="D265" s="269"/>
      <c r="E265" s="269"/>
      <c r="F265" s="269"/>
      <c r="H265" s="301">
        <v>260</v>
      </c>
      <c r="I265" s="302" t="str">
        <f t="shared" si="28"/>
        <v/>
      </c>
      <c r="J265" s="301">
        <f t="shared" si="29"/>
        <v>-4</v>
      </c>
      <c r="K265" s="301">
        <f t="shared" si="25"/>
        <v>-40</v>
      </c>
      <c r="L265" s="301"/>
      <c r="M265" s="303">
        <f t="shared" si="26"/>
        <v>0</v>
      </c>
      <c r="S265" s="282"/>
      <c r="T265" s="282"/>
      <c r="U265" s="282"/>
      <c r="V265" s="282"/>
      <c r="W265" s="282"/>
      <c r="X265" s="282"/>
      <c r="Y265" s="282"/>
      <c r="Z265" s="282"/>
      <c r="AA265" s="282"/>
      <c r="AB265" s="282"/>
      <c r="AC265" s="282"/>
      <c r="AD265" s="282"/>
      <c r="AE265" s="282"/>
      <c r="AF265" s="282"/>
      <c r="AG265" s="282"/>
      <c r="AH265" s="282"/>
      <c r="AI265" s="282"/>
      <c r="AJ265" s="282"/>
      <c r="AK265" s="282"/>
      <c r="AL265" s="282"/>
    </row>
    <row r="266" spans="1:38" s="276" customFormat="1">
      <c r="A266" s="271">
        <f t="shared" si="27"/>
        <v>0</v>
      </c>
      <c r="B266" s="265" t="str">
        <f t="shared" si="24"/>
        <v/>
      </c>
      <c r="C266" s="266"/>
      <c r="D266" s="266"/>
      <c r="E266" s="266"/>
      <c r="F266" s="266"/>
      <c r="H266" s="295">
        <v>261</v>
      </c>
      <c r="I266" s="296" t="str">
        <f t="shared" si="28"/>
        <v/>
      </c>
      <c r="J266" s="295">
        <f t="shared" si="29"/>
        <v>-4</v>
      </c>
      <c r="K266" s="295">
        <f t="shared" si="25"/>
        <v>-40</v>
      </c>
      <c r="L266" s="295"/>
      <c r="M266" s="297">
        <f t="shared" si="26"/>
        <v>0</v>
      </c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  <c r="AC266" s="282"/>
      <c r="AD266" s="282"/>
      <c r="AE266" s="282"/>
      <c r="AF266" s="282"/>
      <c r="AG266" s="282"/>
      <c r="AH266" s="282"/>
      <c r="AI266" s="282"/>
      <c r="AJ266" s="282"/>
      <c r="AK266" s="282"/>
      <c r="AL266" s="282"/>
    </row>
    <row r="267" spans="1:38" s="276" customFormat="1">
      <c r="A267" s="270">
        <f t="shared" si="27"/>
        <v>0</v>
      </c>
      <c r="B267" s="268" t="str">
        <f t="shared" si="24"/>
        <v/>
      </c>
      <c r="C267" s="269"/>
      <c r="D267" s="269"/>
      <c r="E267" s="269"/>
      <c r="F267" s="269"/>
      <c r="H267" s="301">
        <v>262</v>
      </c>
      <c r="I267" s="302" t="str">
        <f t="shared" si="28"/>
        <v/>
      </c>
      <c r="J267" s="301">
        <f t="shared" si="29"/>
        <v>-4</v>
      </c>
      <c r="K267" s="301">
        <f t="shared" si="25"/>
        <v>-40</v>
      </c>
      <c r="L267" s="301"/>
      <c r="M267" s="303">
        <f t="shared" si="26"/>
        <v>0</v>
      </c>
      <c r="S267" s="282"/>
      <c r="T267" s="282"/>
      <c r="U267" s="282"/>
      <c r="V267" s="282"/>
      <c r="W267" s="282"/>
      <c r="X267" s="282"/>
      <c r="Y267" s="282"/>
      <c r="Z267" s="282"/>
      <c r="AA267" s="282"/>
      <c r="AB267" s="282"/>
      <c r="AC267" s="282"/>
      <c r="AD267" s="282"/>
      <c r="AE267" s="282"/>
      <c r="AF267" s="282"/>
      <c r="AG267" s="282"/>
      <c r="AH267" s="282"/>
      <c r="AI267" s="282"/>
      <c r="AJ267" s="282"/>
      <c r="AK267" s="282"/>
      <c r="AL267" s="282"/>
    </row>
    <row r="268" spans="1:38" s="276" customFormat="1">
      <c r="A268" s="271">
        <f t="shared" si="27"/>
        <v>0</v>
      </c>
      <c r="B268" s="265" t="str">
        <f t="shared" si="24"/>
        <v/>
      </c>
      <c r="C268" s="266"/>
      <c r="D268" s="266"/>
      <c r="E268" s="266"/>
      <c r="F268" s="266"/>
      <c r="H268" s="295">
        <v>263</v>
      </c>
      <c r="I268" s="296" t="str">
        <f t="shared" si="28"/>
        <v/>
      </c>
      <c r="J268" s="295">
        <f t="shared" si="29"/>
        <v>-4</v>
      </c>
      <c r="K268" s="295">
        <f t="shared" si="25"/>
        <v>-40</v>
      </c>
      <c r="L268" s="295"/>
      <c r="M268" s="297">
        <f t="shared" si="26"/>
        <v>0</v>
      </c>
      <c r="S268" s="282"/>
      <c r="T268" s="282"/>
      <c r="U268" s="282"/>
      <c r="V268" s="282"/>
      <c r="W268" s="282"/>
      <c r="X268" s="282"/>
      <c r="Y268" s="282"/>
      <c r="Z268" s="282"/>
      <c r="AA268" s="282"/>
      <c r="AB268" s="282"/>
      <c r="AC268" s="282"/>
      <c r="AD268" s="282"/>
      <c r="AE268" s="282"/>
      <c r="AF268" s="282"/>
      <c r="AG268" s="282"/>
      <c r="AH268" s="282"/>
      <c r="AI268" s="282"/>
      <c r="AJ268" s="282"/>
      <c r="AK268" s="282"/>
      <c r="AL268" s="282"/>
    </row>
    <row r="269" spans="1:38" s="276" customFormat="1">
      <c r="A269" s="270">
        <f t="shared" si="27"/>
        <v>0</v>
      </c>
      <c r="B269" s="268" t="str">
        <f t="shared" si="24"/>
        <v/>
      </c>
      <c r="C269" s="269"/>
      <c r="D269" s="269"/>
      <c r="E269" s="269"/>
      <c r="F269" s="269"/>
      <c r="H269" s="301">
        <v>264</v>
      </c>
      <c r="I269" s="302" t="str">
        <f t="shared" si="28"/>
        <v/>
      </c>
      <c r="J269" s="301">
        <f t="shared" si="29"/>
        <v>-4</v>
      </c>
      <c r="K269" s="301">
        <f t="shared" si="25"/>
        <v>-40</v>
      </c>
      <c r="L269" s="301"/>
      <c r="M269" s="303">
        <f t="shared" si="26"/>
        <v>0</v>
      </c>
      <c r="S269" s="282"/>
      <c r="T269" s="282"/>
      <c r="U269" s="282"/>
      <c r="V269" s="282"/>
      <c r="W269" s="282"/>
      <c r="X269" s="282"/>
      <c r="Y269" s="282"/>
      <c r="Z269" s="282"/>
      <c r="AA269" s="282"/>
      <c r="AB269" s="282"/>
      <c r="AC269" s="282"/>
      <c r="AD269" s="282"/>
      <c r="AE269" s="282"/>
      <c r="AF269" s="282"/>
      <c r="AG269" s="282"/>
      <c r="AH269" s="282"/>
      <c r="AI269" s="282"/>
      <c r="AJ269" s="282"/>
      <c r="AK269" s="282"/>
      <c r="AL269" s="282"/>
    </row>
    <row r="270" spans="1:38">
      <c r="A270" s="314"/>
      <c r="G270" s="276"/>
      <c r="H270" s="295">
        <v>265</v>
      </c>
      <c r="I270" s="296" t="str">
        <f t="shared" si="28"/>
        <v/>
      </c>
      <c r="J270" s="295">
        <f t="shared" si="29"/>
        <v>-4</v>
      </c>
      <c r="K270" s="295">
        <f t="shared" si="25"/>
        <v>-40</v>
      </c>
      <c r="L270" s="295"/>
      <c r="M270" s="297">
        <f t="shared" si="26"/>
        <v>0</v>
      </c>
    </row>
    <row r="271" spans="1:38">
      <c r="A271" s="314"/>
      <c r="G271" s="276"/>
      <c r="H271" s="295">
        <v>266</v>
      </c>
      <c r="I271" s="296" t="str">
        <f t="shared" si="28"/>
        <v/>
      </c>
      <c r="J271" s="295">
        <f t="shared" si="29"/>
        <v>-4</v>
      </c>
      <c r="K271" s="295">
        <f t="shared" si="25"/>
        <v>-40</v>
      </c>
      <c r="L271" s="295"/>
      <c r="M271" s="297">
        <f t="shared" si="26"/>
        <v>0</v>
      </c>
    </row>
    <row r="272" spans="1:38">
      <c r="A272" s="314"/>
      <c r="G272" s="276"/>
      <c r="H272" s="295">
        <v>267</v>
      </c>
      <c r="I272" s="296" t="str">
        <f t="shared" si="28"/>
        <v/>
      </c>
      <c r="J272" s="295">
        <f t="shared" si="29"/>
        <v>-4</v>
      </c>
      <c r="K272" s="295">
        <f t="shared" si="25"/>
        <v>-40</v>
      </c>
      <c r="L272" s="295"/>
      <c r="M272" s="297">
        <f t="shared" si="26"/>
        <v>0</v>
      </c>
    </row>
    <row r="273" spans="1:13">
      <c r="A273" s="314"/>
      <c r="G273" s="276"/>
      <c r="H273" s="295">
        <v>268</v>
      </c>
      <c r="I273" s="296" t="str">
        <f t="shared" si="28"/>
        <v/>
      </c>
      <c r="J273" s="295">
        <f t="shared" si="29"/>
        <v>-4</v>
      </c>
      <c r="K273" s="295">
        <f t="shared" si="25"/>
        <v>-40</v>
      </c>
      <c r="L273" s="295"/>
      <c r="M273" s="297">
        <f t="shared" si="26"/>
        <v>0</v>
      </c>
    </row>
    <row r="274" spans="1:13">
      <c r="A274" s="314"/>
      <c r="G274" s="276"/>
      <c r="H274" s="295">
        <v>269</v>
      </c>
      <c r="I274" s="296" t="str">
        <f t="shared" si="28"/>
        <v/>
      </c>
      <c r="J274" s="295">
        <f t="shared" si="29"/>
        <v>-4</v>
      </c>
      <c r="K274" s="295">
        <f t="shared" si="25"/>
        <v>-40</v>
      </c>
      <c r="L274" s="295"/>
      <c r="M274" s="297">
        <f t="shared" si="26"/>
        <v>0</v>
      </c>
    </row>
    <row r="275" spans="1:13">
      <c r="A275" s="314"/>
      <c r="G275" s="276"/>
      <c r="H275" s="295">
        <v>270</v>
      </c>
      <c r="I275" s="296" t="str">
        <f t="shared" si="28"/>
        <v/>
      </c>
      <c r="J275" s="295">
        <f t="shared" si="29"/>
        <v>-4</v>
      </c>
      <c r="K275" s="295">
        <f t="shared" si="25"/>
        <v>-40</v>
      </c>
      <c r="L275" s="295"/>
      <c r="M275" s="297">
        <f t="shared" si="26"/>
        <v>0</v>
      </c>
    </row>
    <row r="276" spans="1:13">
      <c r="A276" s="314"/>
      <c r="G276" s="276"/>
      <c r="H276" s="295">
        <v>271</v>
      </c>
      <c r="I276" s="296" t="str">
        <f t="shared" si="28"/>
        <v/>
      </c>
      <c r="J276" s="295">
        <f t="shared" si="29"/>
        <v>-4</v>
      </c>
      <c r="K276" s="295">
        <f t="shared" si="25"/>
        <v>-40</v>
      </c>
      <c r="L276" s="295"/>
      <c r="M276" s="297">
        <f t="shared" si="26"/>
        <v>0</v>
      </c>
    </row>
    <row r="277" spans="1:13">
      <c r="A277" s="314"/>
      <c r="G277" s="276"/>
      <c r="H277" s="295">
        <v>272</v>
      </c>
      <c r="I277" s="296" t="str">
        <f t="shared" si="28"/>
        <v/>
      </c>
      <c r="J277" s="295">
        <f t="shared" si="29"/>
        <v>-4</v>
      </c>
      <c r="K277" s="295">
        <f t="shared" si="25"/>
        <v>-40</v>
      </c>
      <c r="L277" s="295"/>
      <c r="M277" s="297">
        <f t="shared" si="26"/>
        <v>0</v>
      </c>
    </row>
    <row r="278" spans="1:13">
      <c r="A278" s="314"/>
      <c r="G278" s="276"/>
      <c r="H278" s="295">
        <v>273</v>
      </c>
      <c r="I278" s="296" t="str">
        <f t="shared" si="28"/>
        <v/>
      </c>
      <c r="J278" s="295">
        <f t="shared" si="29"/>
        <v>-4</v>
      </c>
      <c r="K278" s="295">
        <f t="shared" si="25"/>
        <v>-40</v>
      </c>
      <c r="L278" s="295"/>
      <c r="M278" s="297">
        <f t="shared" si="26"/>
        <v>0</v>
      </c>
    </row>
    <row r="279" spans="1:13">
      <c r="A279" s="314"/>
      <c r="G279" s="276"/>
      <c r="H279" s="295">
        <v>274</v>
      </c>
      <c r="I279" s="296" t="str">
        <f t="shared" si="28"/>
        <v/>
      </c>
      <c r="J279" s="295">
        <f t="shared" si="29"/>
        <v>-4</v>
      </c>
      <c r="K279" s="295">
        <f t="shared" si="25"/>
        <v>-40</v>
      </c>
      <c r="L279" s="295"/>
      <c r="M279" s="297">
        <f t="shared" si="26"/>
        <v>0</v>
      </c>
    </row>
    <row r="280" spans="1:13">
      <c r="A280" s="314"/>
      <c r="G280" s="276"/>
      <c r="H280" s="295">
        <v>275</v>
      </c>
      <c r="I280" s="296" t="str">
        <f t="shared" si="28"/>
        <v/>
      </c>
      <c r="J280" s="295">
        <f t="shared" si="29"/>
        <v>-4</v>
      </c>
      <c r="K280" s="295">
        <f t="shared" si="25"/>
        <v>-40</v>
      </c>
      <c r="L280" s="295"/>
      <c r="M280" s="297">
        <f t="shared" si="26"/>
        <v>0</v>
      </c>
    </row>
    <row r="281" spans="1:13">
      <c r="A281" s="314"/>
      <c r="G281" s="276"/>
      <c r="H281" s="295">
        <v>276</v>
      </c>
      <c r="I281" s="296" t="str">
        <f t="shared" si="28"/>
        <v/>
      </c>
      <c r="J281" s="295">
        <f t="shared" si="29"/>
        <v>-4</v>
      </c>
      <c r="K281" s="295">
        <f t="shared" si="25"/>
        <v>-40</v>
      </c>
      <c r="L281" s="295"/>
      <c r="M281" s="297">
        <f t="shared" si="26"/>
        <v>0</v>
      </c>
    </row>
    <row r="282" spans="1:13">
      <c r="A282" s="314"/>
      <c r="G282" s="276"/>
      <c r="H282" s="295">
        <v>277</v>
      </c>
      <c r="I282" s="296" t="str">
        <f t="shared" si="28"/>
        <v/>
      </c>
      <c r="J282" s="295">
        <f t="shared" si="29"/>
        <v>-4</v>
      </c>
      <c r="K282" s="295">
        <f t="shared" si="25"/>
        <v>-40</v>
      </c>
      <c r="L282" s="295"/>
      <c r="M282" s="297">
        <f t="shared" si="26"/>
        <v>0</v>
      </c>
    </row>
    <row r="283" spans="1:13">
      <c r="A283" s="314"/>
      <c r="G283" s="276"/>
      <c r="H283" s="295">
        <v>278</v>
      </c>
      <c r="I283" s="296" t="str">
        <f t="shared" si="28"/>
        <v/>
      </c>
      <c r="J283" s="295">
        <f t="shared" si="29"/>
        <v>-4</v>
      </c>
      <c r="K283" s="295">
        <f t="shared" si="25"/>
        <v>-40</v>
      </c>
      <c r="L283" s="295"/>
      <c r="M283" s="297">
        <f t="shared" si="26"/>
        <v>0</v>
      </c>
    </row>
    <row r="284" spans="1:13">
      <c r="A284" s="314"/>
      <c r="G284" s="276"/>
      <c r="H284" s="295">
        <v>279</v>
      </c>
      <c r="I284" s="296" t="str">
        <f t="shared" si="28"/>
        <v/>
      </c>
      <c r="J284" s="295">
        <f t="shared" si="29"/>
        <v>-4</v>
      </c>
      <c r="K284" s="295">
        <f t="shared" si="25"/>
        <v>-40</v>
      </c>
      <c r="L284" s="295"/>
      <c r="M284" s="297">
        <f t="shared" si="26"/>
        <v>0</v>
      </c>
    </row>
    <row r="285" spans="1:13">
      <c r="A285" s="314"/>
      <c r="G285" s="276"/>
      <c r="H285" s="295">
        <v>280</v>
      </c>
      <c r="I285" s="296" t="str">
        <f t="shared" si="28"/>
        <v/>
      </c>
      <c r="J285" s="295">
        <f t="shared" si="29"/>
        <v>-4</v>
      </c>
      <c r="K285" s="295">
        <f t="shared" si="25"/>
        <v>-40</v>
      </c>
      <c r="L285" s="295"/>
      <c r="M285" s="297">
        <f t="shared" si="26"/>
        <v>0</v>
      </c>
    </row>
    <row r="286" spans="1:13">
      <c r="A286" s="314"/>
      <c r="G286" s="276"/>
      <c r="H286" s="295">
        <v>281</v>
      </c>
      <c r="I286" s="296" t="str">
        <f t="shared" si="28"/>
        <v/>
      </c>
      <c r="J286" s="295">
        <f t="shared" si="29"/>
        <v>-4</v>
      </c>
      <c r="K286" s="295">
        <f t="shared" si="25"/>
        <v>-40</v>
      </c>
      <c r="L286" s="295"/>
      <c r="M286" s="297">
        <f t="shared" si="26"/>
        <v>0</v>
      </c>
    </row>
    <row r="287" spans="1:13">
      <c r="A287" s="314"/>
      <c r="G287" s="276"/>
      <c r="H287" s="295">
        <v>282</v>
      </c>
      <c r="I287" s="296" t="str">
        <f t="shared" si="28"/>
        <v/>
      </c>
      <c r="J287" s="295">
        <f t="shared" si="29"/>
        <v>-4</v>
      </c>
      <c r="K287" s="295">
        <f t="shared" si="25"/>
        <v>-40</v>
      </c>
      <c r="L287" s="295"/>
      <c r="M287" s="297">
        <f t="shared" si="26"/>
        <v>0</v>
      </c>
    </row>
    <row r="288" spans="1:13">
      <c r="A288" s="314"/>
      <c r="G288" s="276"/>
      <c r="H288" s="295">
        <v>283</v>
      </c>
      <c r="I288" s="296" t="str">
        <f t="shared" si="28"/>
        <v/>
      </c>
      <c r="J288" s="295">
        <f t="shared" si="29"/>
        <v>-4</v>
      </c>
      <c r="K288" s="295">
        <f t="shared" si="25"/>
        <v>-40</v>
      </c>
      <c r="L288" s="295"/>
      <c r="M288" s="297">
        <f t="shared" si="26"/>
        <v>0</v>
      </c>
    </row>
    <row r="289" spans="1:13">
      <c r="A289" s="314"/>
      <c r="G289" s="276"/>
      <c r="H289" s="295">
        <v>284</v>
      </c>
      <c r="I289" s="296" t="str">
        <f t="shared" si="28"/>
        <v/>
      </c>
      <c r="J289" s="295">
        <f t="shared" si="29"/>
        <v>-4</v>
      </c>
      <c r="K289" s="295">
        <f t="shared" si="25"/>
        <v>-40</v>
      </c>
      <c r="L289" s="295"/>
      <c r="M289" s="297">
        <f t="shared" si="26"/>
        <v>0</v>
      </c>
    </row>
    <row r="290" spans="1:13">
      <c r="A290" s="314"/>
      <c r="G290" s="276"/>
      <c r="H290" s="295">
        <v>285</v>
      </c>
      <c r="I290" s="296" t="str">
        <f t="shared" si="28"/>
        <v/>
      </c>
      <c r="J290" s="295">
        <f t="shared" si="29"/>
        <v>-4</v>
      </c>
      <c r="K290" s="295">
        <f t="shared" si="25"/>
        <v>-40</v>
      </c>
      <c r="L290" s="295"/>
      <c r="M290" s="297">
        <f t="shared" si="26"/>
        <v>0</v>
      </c>
    </row>
    <row r="291" spans="1:13">
      <c r="A291" s="314"/>
      <c r="G291" s="276"/>
      <c r="H291" s="295">
        <v>286</v>
      </c>
      <c r="I291" s="296" t="str">
        <f t="shared" si="28"/>
        <v/>
      </c>
      <c r="J291" s="295">
        <f t="shared" si="29"/>
        <v>-4</v>
      </c>
      <c r="K291" s="295">
        <f t="shared" si="25"/>
        <v>-40</v>
      </c>
      <c r="L291" s="295"/>
      <c r="M291" s="297">
        <f t="shared" si="26"/>
        <v>0</v>
      </c>
    </row>
    <row r="292" spans="1:13">
      <c r="A292" s="314"/>
      <c r="G292" s="276"/>
      <c r="H292" s="295">
        <v>287</v>
      </c>
      <c r="I292" s="296" t="str">
        <f t="shared" si="28"/>
        <v/>
      </c>
      <c r="J292" s="295">
        <f t="shared" si="29"/>
        <v>-4</v>
      </c>
      <c r="K292" s="295">
        <f t="shared" si="25"/>
        <v>-40</v>
      </c>
      <c r="L292" s="295"/>
      <c r="M292" s="297">
        <f t="shared" si="26"/>
        <v>0</v>
      </c>
    </row>
    <row r="293" spans="1:13">
      <c r="A293" s="314"/>
      <c r="G293" s="276"/>
      <c r="H293" s="295">
        <v>288</v>
      </c>
      <c r="I293" s="296" t="str">
        <f t="shared" si="28"/>
        <v/>
      </c>
      <c r="J293" s="295">
        <f t="shared" si="29"/>
        <v>-4</v>
      </c>
      <c r="K293" s="295">
        <f t="shared" si="25"/>
        <v>-40</v>
      </c>
      <c r="L293" s="295"/>
      <c r="M293" s="297">
        <f t="shared" si="26"/>
        <v>0</v>
      </c>
    </row>
    <row r="294" spans="1:13">
      <c r="A294" s="314"/>
      <c r="G294" s="276"/>
      <c r="H294" s="295">
        <v>289</v>
      </c>
      <c r="I294" s="296" t="str">
        <f t="shared" si="28"/>
        <v/>
      </c>
      <c r="J294" s="295">
        <f t="shared" si="29"/>
        <v>-4</v>
      </c>
      <c r="K294" s="295">
        <f t="shared" si="25"/>
        <v>-40</v>
      </c>
      <c r="L294" s="295"/>
      <c r="M294" s="297">
        <f t="shared" si="26"/>
        <v>0</v>
      </c>
    </row>
    <row r="295" spans="1:13">
      <c r="A295" s="314"/>
      <c r="G295" s="276"/>
      <c r="H295" s="295">
        <v>290</v>
      </c>
      <c r="I295" s="296" t="str">
        <f t="shared" si="28"/>
        <v/>
      </c>
      <c r="J295" s="295">
        <f t="shared" si="29"/>
        <v>-4</v>
      </c>
      <c r="K295" s="295">
        <f t="shared" si="25"/>
        <v>-40</v>
      </c>
      <c r="L295" s="295"/>
      <c r="M295" s="297">
        <f t="shared" si="26"/>
        <v>0</v>
      </c>
    </row>
    <row r="296" spans="1:13">
      <c r="A296" s="314"/>
      <c r="G296" s="276"/>
      <c r="H296" s="295">
        <v>291</v>
      </c>
      <c r="I296" s="296" t="str">
        <f t="shared" si="28"/>
        <v/>
      </c>
      <c r="J296" s="295">
        <f t="shared" si="29"/>
        <v>-4</v>
      </c>
      <c r="K296" s="295">
        <f t="shared" si="25"/>
        <v>-40</v>
      </c>
      <c r="L296" s="295"/>
      <c r="M296" s="297">
        <f t="shared" si="26"/>
        <v>0</v>
      </c>
    </row>
    <row r="297" spans="1:13">
      <c r="A297" s="314"/>
      <c r="G297" s="276"/>
      <c r="H297" s="295">
        <v>292</v>
      </c>
      <c r="I297" s="296" t="str">
        <f t="shared" si="28"/>
        <v/>
      </c>
      <c r="J297" s="295">
        <f t="shared" si="29"/>
        <v>-4</v>
      </c>
      <c r="K297" s="295">
        <f t="shared" si="25"/>
        <v>-40</v>
      </c>
      <c r="L297" s="295"/>
      <c r="M297" s="297">
        <f t="shared" si="26"/>
        <v>0</v>
      </c>
    </row>
    <row r="298" spans="1:13">
      <c r="A298" s="314"/>
      <c r="G298" s="276"/>
      <c r="H298" s="295">
        <v>293</v>
      </c>
      <c r="I298" s="296" t="str">
        <f t="shared" si="28"/>
        <v/>
      </c>
      <c r="J298" s="295">
        <f t="shared" si="29"/>
        <v>-4</v>
      </c>
      <c r="K298" s="295">
        <f t="shared" si="25"/>
        <v>-40</v>
      </c>
      <c r="L298" s="295"/>
      <c r="M298" s="297">
        <f t="shared" si="26"/>
        <v>0</v>
      </c>
    </row>
    <row r="299" spans="1:13">
      <c r="A299" s="314"/>
      <c r="G299" s="276"/>
      <c r="H299" s="295">
        <v>294</v>
      </c>
      <c r="I299" s="296" t="str">
        <f t="shared" si="28"/>
        <v/>
      </c>
      <c r="J299" s="295">
        <f t="shared" si="29"/>
        <v>-4</v>
      </c>
      <c r="K299" s="295">
        <f t="shared" si="25"/>
        <v>-40</v>
      </c>
      <c r="L299" s="295"/>
      <c r="M299" s="297">
        <f t="shared" si="26"/>
        <v>0</v>
      </c>
    </row>
    <row r="300" spans="1:13">
      <c r="A300" s="314"/>
      <c r="G300" s="276"/>
      <c r="H300" s="295">
        <v>295</v>
      </c>
      <c r="I300" s="296" t="str">
        <f t="shared" si="28"/>
        <v/>
      </c>
      <c r="J300" s="295">
        <f t="shared" si="29"/>
        <v>-4</v>
      </c>
      <c r="K300" s="295">
        <f t="shared" si="25"/>
        <v>-40</v>
      </c>
      <c r="L300" s="295"/>
      <c r="M300" s="297">
        <f t="shared" si="26"/>
        <v>0</v>
      </c>
    </row>
    <row r="301" spans="1:13">
      <c r="A301" s="314"/>
      <c r="G301" s="276"/>
      <c r="H301" s="295">
        <v>296</v>
      </c>
      <c r="I301" s="296" t="str">
        <f t="shared" si="28"/>
        <v/>
      </c>
      <c r="J301" s="295">
        <f t="shared" si="29"/>
        <v>-4</v>
      </c>
      <c r="K301" s="295">
        <f t="shared" si="25"/>
        <v>-40</v>
      </c>
      <c r="L301" s="295"/>
      <c r="M301" s="297">
        <f t="shared" si="26"/>
        <v>0</v>
      </c>
    </row>
    <row r="302" spans="1:13">
      <c r="A302" s="314"/>
      <c r="G302" s="276"/>
      <c r="H302" s="295">
        <v>297</v>
      </c>
      <c r="I302" s="296" t="str">
        <f t="shared" si="28"/>
        <v/>
      </c>
      <c r="J302" s="295">
        <f t="shared" si="29"/>
        <v>-4</v>
      </c>
      <c r="K302" s="295">
        <f t="shared" si="25"/>
        <v>-40</v>
      </c>
      <c r="L302" s="295"/>
      <c r="M302" s="297">
        <f t="shared" si="26"/>
        <v>0</v>
      </c>
    </row>
    <row r="303" spans="1:13">
      <c r="A303" s="314"/>
      <c r="G303" s="276"/>
      <c r="H303" s="295">
        <v>298</v>
      </c>
      <c r="I303" s="296" t="str">
        <f t="shared" si="28"/>
        <v/>
      </c>
      <c r="J303" s="295">
        <f t="shared" si="29"/>
        <v>-4</v>
      </c>
      <c r="K303" s="295">
        <f t="shared" si="25"/>
        <v>-40</v>
      </c>
      <c r="L303" s="295"/>
      <c r="M303" s="297">
        <f t="shared" si="26"/>
        <v>0</v>
      </c>
    </row>
    <row r="304" spans="1:13">
      <c r="A304" s="314"/>
      <c r="G304" s="276"/>
      <c r="H304" s="295">
        <v>299</v>
      </c>
      <c r="I304" s="296" t="str">
        <f t="shared" si="28"/>
        <v/>
      </c>
      <c r="J304" s="295">
        <f t="shared" si="29"/>
        <v>-4</v>
      </c>
      <c r="K304" s="295">
        <f t="shared" si="25"/>
        <v>-40</v>
      </c>
      <c r="L304" s="295"/>
      <c r="M304" s="297">
        <f t="shared" si="26"/>
        <v>0</v>
      </c>
    </row>
    <row r="305" spans="1:16">
      <c r="A305" s="314"/>
      <c r="G305" s="276"/>
      <c r="H305" s="295">
        <v>300</v>
      </c>
      <c r="I305" s="296" t="str">
        <f t="shared" si="28"/>
        <v/>
      </c>
      <c r="J305" s="295">
        <f t="shared" si="29"/>
        <v>-4</v>
      </c>
      <c r="K305" s="295">
        <f t="shared" si="25"/>
        <v>-40</v>
      </c>
      <c r="L305" s="295"/>
      <c r="M305" s="297">
        <f t="shared" si="26"/>
        <v>0</v>
      </c>
    </row>
    <row r="306" spans="1:16">
      <c r="A306" s="316"/>
      <c r="J306" s="317" t="e">
        <f t="shared" si="29"/>
        <v>#NUM!</v>
      </c>
    </row>
    <row r="307" spans="1:16">
      <c r="J307" s="317" t="e">
        <f t="shared" si="29"/>
        <v>#NUM!</v>
      </c>
    </row>
    <row r="308" spans="1:16">
      <c r="J308" s="317" t="e">
        <f t="shared" si="29"/>
        <v>#NUM!</v>
      </c>
    </row>
    <row r="309" spans="1:16">
      <c r="J309" s="317" t="e">
        <f t="shared" si="29"/>
        <v>#NUM!</v>
      </c>
    </row>
    <row r="310" spans="1:16">
      <c r="J310" s="317" t="e">
        <f t="shared" si="29"/>
        <v>#NUM!</v>
      </c>
    </row>
    <row r="311" spans="1:16">
      <c r="J311" s="317" t="e">
        <f t="shared" si="29"/>
        <v>#NUM!</v>
      </c>
    </row>
    <row r="312" spans="1:16">
      <c r="J312" s="317" t="e">
        <f t="shared" si="29"/>
        <v>#NUM!</v>
      </c>
    </row>
    <row r="313" spans="1:16">
      <c r="J313" s="317" t="e">
        <f t="shared" si="29"/>
        <v>#NUM!</v>
      </c>
    </row>
    <row r="314" spans="1:16">
      <c r="J314" s="317" t="e">
        <f t="shared" si="29"/>
        <v>#NUM!</v>
      </c>
      <c r="L314" s="319"/>
      <c r="P314" s="309"/>
    </row>
    <row r="315" spans="1:16">
      <c r="J315" s="317" t="e">
        <f t="shared" si="29"/>
        <v>#NUM!</v>
      </c>
      <c r="L315" s="319"/>
      <c r="P315" s="309"/>
    </row>
    <row r="316" spans="1:16">
      <c r="J316" s="317" t="e">
        <f t="shared" si="29"/>
        <v>#NUM!</v>
      </c>
      <c r="L316" s="319"/>
      <c r="P316" s="309"/>
    </row>
    <row r="317" spans="1:16">
      <c r="J317" s="317" t="e">
        <f t="shared" si="29"/>
        <v>#NUM!</v>
      </c>
      <c r="L317" s="319"/>
      <c r="P317" s="309"/>
    </row>
    <row r="318" spans="1:16">
      <c r="J318" s="317" t="e">
        <f t="shared" si="29"/>
        <v>#NUM!</v>
      </c>
    </row>
    <row r="319" spans="1:16">
      <c r="J319" s="317" t="e">
        <f t="shared" si="29"/>
        <v>#NUM!</v>
      </c>
    </row>
    <row r="320" spans="1:16">
      <c r="J320" s="317" t="e">
        <f t="shared" si="29"/>
        <v>#NUM!</v>
      </c>
    </row>
    <row r="321" spans="10:10">
      <c r="J321" s="317" t="e">
        <f t="shared" si="29"/>
        <v>#NUM!</v>
      </c>
    </row>
    <row r="322" spans="10:10">
      <c r="J322" s="317" t="e">
        <f t="shared" si="29"/>
        <v>#NUM!</v>
      </c>
    </row>
    <row r="323" spans="10:10">
      <c r="J323" s="317" t="e">
        <f t="shared" si="29"/>
        <v>#NUM!</v>
      </c>
    </row>
    <row r="324" spans="10:10">
      <c r="J324" s="317" t="e">
        <f t="shared" si="29"/>
        <v>#NUM!</v>
      </c>
    </row>
    <row r="325" spans="10:10">
      <c r="J325" s="317" t="e">
        <f t="shared" si="29"/>
        <v>#NUM!</v>
      </c>
    </row>
    <row r="326" spans="10:10">
      <c r="J326" s="317" t="e">
        <f t="shared" si="29"/>
        <v>#NUM!</v>
      </c>
    </row>
    <row r="327" spans="10:10">
      <c r="J327" s="317" t="e">
        <f t="shared" ref="J327:J373" si="30">INT(LOG($H$2,2))-ROUNDUP(LOG(H327,2),0)+IF(OR($H$2=1,$H$2=2,$H$2=4,$H$2=8,$H$2=16,$H$2=32,$H$2=64,$H$2=128,$H$2=256),0,1)</f>
        <v>#NUM!</v>
      </c>
    </row>
    <row r="328" spans="10:10">
      <c r="J328" s="317" t="e">
        <f t="shared" si="30"/>
        <v>#NUM!</v>
      </c>
    </row>
    <row r="329" spans="10:10">
      <c r="J329" s="317" t="e">
        <f t="shared" si="30"/>
        <v>#NUM!</v>
      </c>
    </row>
    <row r="330" spans="10:10">
      <c r="J330" s="317" t="e">
        <f t="shared" si="30"/>
        <v>#NUM!</v>
      </c>
    </row>
    <row r="331" spans="10:10">
      <c r="J331" s="317" t="e">
        <f t="shared" si="30"/>
        <v>#NUM!</v>
      </c>
    </row>
    <row r="332" spans="10:10">
      <c r="J332" s="317" t="e">
        <f t="shared" si="30"/>
        <v>#NUM!</v>
      </c>
    </row>
    <row r="333" spans="10:10">
      <c r="J333" s="317" t="e">
        <f t="shared" si="30"/>
        <v>#NUM!</v>
      </c>
    </row>
    <row r="334" spans="10:10">
      <c r="J334" s="317" t="e">
        <f t="shared" si="30"/>
        <v>#NUM!</v>
      </c>
    </row>
    <row r="335" spans="10:10">
      <c r="J335" s="317" t="e">
        <f t="shared" si="30"/>
        <v>#NUM!</v>
      </c>
    </row>
    <row r="336" spans="10:10">
      <c r="J336" s="317" t="e">
        <f t="shared" si="30"/>
        <v>#NUM!</v>
      </c>
    </row>
    <row r="337" spans="10:10">
      <c r="J337" s="317" t="e">
        <f t="shared" si="30"/>
        <v>#NUM!</v>
      </c>
    </row>
    <row r="338" spans="10:10">
      <c r="J338" s="317" t="e">
        <f t="shared" si="30"/>
        <v>#NUM!</v>
      </c>
    </row>
    <row r="339" spans="10:10">
      <c r="J339" s="317" t="e">
        <f t="shared" si="30"/>
        <v>#NUM!</v>
      </c>
    </row>
    <row r="340" spans="10:10">
      <c r="J340" s="317" t="e">
        <f t="shared" si="30"/>
        <v>#NUM!</v>
      </c>
    </row>
    <row r="341" spans="10:10">
      <c r="J341" s="317" t="e">
        <f t="shared" si="30"/>
        <v>#NUM!</v>
      </c>
    </row>
    <row r="342" spans="10:10">
      <c r="J342" s="317" t="e">
        <f t="shared" si="30"/>
        <v>#NUM!</v>
      </c>
    </row>
    <row r="343" spans="10:10">
      <c r="J343" s="317" t="e">
        <f t="shared" si="30"/>
        <v>#NUM!</v>
      </c>
    </row>
    <row r="344" spans="10:10">
      <c r="J344" s="317" t="e">
        <f t="shared" si="30"/>
        <v>#NUM!</v>
      </c>
    </row>
    <row r="345" spans="10:10">
      <c r="J345" s="317" t="e">
        <f t="shared" si="30"/>
        <v>#NUM!</v>
      </c>
    </row>
    <row r="346" spans="10:10">
      <c r="J346" s="317" t="e">
        <f t="shared" si="30"/>
        <v>#NUM!</v>
      </c>
    </row>
    <row r="347" spans="10:10">
      <c r="J347" s="317" t="e">
        <f t="shared" si="30"/>
        <v>#NUM!</v>
      </c>
    </row>
    <row r="348" spans="10:10">
      <c r="J348" s="317" t="e">
        <f t="shared" si="30"/>
        <v>#NUM!</v>
      </c>
    </row>
    <row r="349" spans="10:10">
      <c r="J349" s="317" t="e">
        <f t="shared" si="30"/>
        <v>#NUM!</v>
      </c>
    </row>
    <row r="350" spans="10:10">
      <c r="J350" s="317" t="e">
        <f t="shared" si="30"/>
        <v>#NUM!</v>
      </c>
    </row>
    <row r="351" spans="10:10">
      <c r="J351" s="317" t="e">
        <f t="shared" si="30"/>
        <v>#NUM!</v>
      </c>
    </row>
    <row r="352" spans="10:10">
      <c r="J352" s="317" t="e">
        <f t="shared" si="30"/>
        <v>#NUM!</v>
      </c>
    </row>
    <row r="353" spans="10:10">
      <c r="J353" s="317" t="e">
        <f t="shared" si="30"/>
        <v>#NUM!</v>
      </c>
    </row>
    <row r="354" spans="10:10">
      <c r="J354" s="317" t="e">
        <f t="shared" si="30"/>
        <v>#NUM!</v>
      </c>
    </row>
    <row r="355" spans="10:10">
      <c r="J355" s="317" t="e">
        <f t="shared" si="30"/>
        <v>#NUM!</v>
      </c>
    </row>
    <row r="356" spans="10:10">
      <c r="J356" s="317" t="e">
        <f t="shared" si="30"/>
        <v>#NUM!</v>
      </c>
    </row>
    <row r="357" spans="10:10">
      <c r="J357" s="317" t="e">
        <f t="shared" si="30"/>
        <v>#NUM!</v>
      </c>
    </row>
    <row r="358" spans="10:10">
      <c r="J358" s="317" t="e">
        <f t="shared" si="30"/>
        <v>#NUM!</v>
      </c>
    </row>
    <row r="359" spans="10:10">
      <c r="J359" s="317" t="e">
        <f t="shared" si="30"/>
        <v>#NUM!</v>
      </c>
    </row>
    <row r="360" spans="10:10">
      <c r="J360" s="317" t="e">
        <f t="shared" si="30"/>
        <v>#NUM!</v>
      </c>
    </row>
    <row r="361" spans="10:10">
      <c r="J361" s="317" t="e">
        <f t="shared" si="30"/>
        <v>#NUM!</v>
      </c>
    </row>
    <row r="362" spans="10:10">
      <c r="J362" s="317" t="e">
        <f t="shared" si="30"/>
        <v>#NUM!</v>
      </c>
    </row>
    <row r="363" spans="10:10">
      <c r="J363" s="317" t="e">
        <f t="shared" si="30"/>
        <v>#NUM!</v>
      </c>
    </row>
    <row r="364" spans="10:10">
      <c r="J364" s="317" t="e">
        <f t="shared" si="30"/>
        <v>#NUM!</v>
      </c>
    </row>
    <row r="365" spans="10:10">
      <c r="J365" s="317" t="e">
        <f t="shared" si="30"/>
        <v>#NUM!</v>
      </c>
    </row>
    <row r="366" spans="10:10">
      <c r="J366" s="317" t="e">
        <f t="shared" si="30"/>
        <v>#NUM!</v>
      </c>
    </row>
    <row r="367" spans="10:10">
      <c r="J367" s="317" t="e">
        <f t="shared" si="30"/>
        <v>#NUM!</v>
      </c>
    </row>
    <row r="368" spans="10:10">
      <c r="J368" s="317" t="e">
        <f t="shared" si="30"/>
        <v>#NUM!</v>
      </c>
    </row>
    <row r="369" spans="10:10">
      <c r="J369" s="317" t="e">
        <f t="shared" si="30"/>
        <v>#NUM!</v>
      </c>
    </row>
    <row r="370" spans="10:10">
      <c r="J370" s="317" t="e">
        <f t="shared" si="30"/>
        <v>#NUM!</v>
      </c>
    </row>
    <row r="371" spans="10:10">
      <c r="J371" s="317" t="e">
        <f t="shared" si="30"/>
        <v>#NUM!</v>
      </c>
    </row>
    <row r="372" spans="10:10">
      <c r="J372" s="317" t="e">
        <f t="shared" si="30"/>
        <v>#NUM!</v>
      </c>
    </row>
    <row r="373" spans="10:10">
      <c r="J373" s="317" t="e">
        <f t="shared" si="30"/>
        <v>#NUM!</v>
      </c>
    </row>
  </sheetData>
  <conditionalFormatting sqref="C6:C269">
    <cfRule type="expression" dxfId="32" priority="1">
      <formula>$F6="POL"</formula>
    </cfRule>
  </conditionalFormatting>
  <conditionalFormatting sqref="J7:K65 J67:K125 J127:K185 J187:K305">
    <cfRule type="cellIs" dxfId="31" priority="2" operator="lessThanOrEqual">
      <formula>0</formula>
    </cfRule>
  </conditionalFormatting>
  <dataValidations count="1">
    <dataValidation type="list" allowBlank="1" showInputMessage="1" showErrorMessage="1" sqref="C38:C69" xr:uid="{11FE84C7-E019-4CD6-A4BC-C9B18DAE33FD}">
      <formula1>#REF!</formula1>
    </dataValidation>
  </dataValidations>
  <hyperlinks>
    <hyperlink ref="A2" r:id="rId1" xr:uid="{8930A72A-02B5-4FE1-B9D7-69B983B6D31A}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1">
              <controlPr defaultSize="0" print="0" autoFill="0" autoPict="0" macro="[1]!IMPORT">
                <anchor moveWithCells="1" sizeWithCells="1">
                  <from>
                    <xdr:col>0</xdr:col>
                    <xdr:colOff>28575</xdr:colOff>
                    <xdr:row>0</xdr:row>
                    <xdr:rowOff>38100</xdr:rowOff>
                  </from>
                  <to>
                    <xdr:col>0</xdr:col>
                    <xdr:colOff>514350</xdr:colOff>
                    <xdr:row>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1D92-37EF-489E-A2A0-519E5A1851D1}">
  <sheetPr>
    <tabColor theme="7" tint="0.79998168889431442"/>
  </sheetPr>
  <dimension ref="A1:AL317"/>
  <sheetViews>
    <sheetView workbookViewId="0">
      <selection activeCell="C10" sqref="C10"/>
    </sheetView>
  </sheetViews>
  <sheetFormatPr defaultColWidth="8.85546875" defaultRowHeight="15"/>
  <cols>
    <col min="1" max="1" width="8" style="151" customWidth="1"/>
    <col min="2" max="2" width="8.28515625" style="151" customWidth="1"/>
    <col min="3" max="3" width="34.7109375" style="151" customWidth="1"/>
    <col min="4" max="4" width="11.28515625" style="151" customWidth="1"/>
    <col min="5" max="6" width="8.85546875" style="151"/>
    <col min="7" max="7" width="0.85546875" style="151" customWidth="1"/>
    <col min="8" max="8" width="8.85546875" style="153"/>
    <col min="9" max="9" width="11" style="153" customWidth="1"/>
    <col min="10" max="10" width="15.28515625" style="153" customWidth="1"/>
    <col min="11" max="11" width="8.7109375" style="153" customWidth="1"/>
    <col min="12" max="12" width="11" style="153" customWidth="1"/>
    <col min="13" max="13" width="11.7109375" style="154" customWidth="1"/>
    <col min="14" max="15" width="13.85546875" style="120" customWidth="1"/>
    <col min="16" max="18" width="8.85546875" style="120"/>
    <col min="19" max="20" width="8.85546875" style="125"/>
    <col min="21" max="21" width="12.140625" style="125" customWidth="1"/>
    <col min="22" max="22" width="27.42578125" style="125" customWidth="1"/>
    <col min="23" max="38" width="8.85546875" style="125"/>
    <col min="39" max="16384" width="8.85546875" style="151"/>
  </cols>
  <sheetData>
    <row r="1" spans="1:36">
      <c r="A1" s="120"/>
      <c r="B1" s="120"/>
      <c r="C1" s="120"/>
      <c r="D1" s="120"/>
      <c r="E1" s="120"/>
      <c r="F1" s="120"/>
      <c r="G1" s="120"/>
      <c r="H1" s="121" t="s">
        <v>40</v>
      </c>
      <c r="I1" s="122" t="s">
        <v>41</v>
      </c>
      <c r="J1" s="122" t="s">
        <v>42</v>
      </c>
      <c r="K1" s="123" t="s">
        <v>43</v>
      </c>
      <c r="L1" s="124"/>
      <c r="M1" s="124"/>
    </row>
    <row r="2" spans="1:36" ht="14.45" customHeight="1">
      <c r="A2" s="120"/>
      <c r="B2" s="47" t="s">
        <v>44</v>
      </c>
      <c r="C2" s="340" t="s">
        <v>94</v>
      </c>
      <c r="D2" s="340"/>
      <c r="E2" s="6"/>
      <c r="F2" s="6"/>
      <c r="G2" s="6"/>
      <c r="H2" s="126">
        <v>8</v>
      </c>
      <c r="I2" s="127">
        <v>50</v>
      </c>
      <c r="J2" s="127">
        <v>10</v>
      </c>
      <c r="K2" s="128">
        <f>3*H2^(1/3)</f>
        <v>5.9999999999999991</v>
      </c>
      <c r="L2" s="124"/>
      <c r="M2" s="124"/>
    </row>
    <row r="3" spans="1:36" ht="14.45" customHeight="1">
      <c r="A3" s="120"/>
      <c r="B3" s="129" t="s">
        <v>46</v>
      </c>
      <c r="C3" s="341" t="s">
        <v>95</v>
      </c>
      <c r="D3" s="341"/>
      <c r="E3" s="7"/>
      <c r="F3" s="7"/>
      <c r="G3" s="7"/>
      <c r="H3" s="124"/>
      <c r="I3" s="124"/>
      <c r="J3" s="130"/>
      <c r="K3" s="124"/>
      <c r="L3" s="124"/>
      <c r="M3" s="124"/>
    </row>
    <row r="4" spans="1:36" ht="10.15" customHeight="1">
      <c r="A4" s="8"/>
      <c r="B4" s="7"/>
      <c r="C4" s="8"/>
      <c r="D4" s="8"/>
      <c r="E4" s="8"/>
      <c r="F4" s="8"/>
      <c r="G4" s="8"/>
      <c r="H4" s="124"/>
      <c r="I4" s="124"/>
      <c r="J4" s="130"/>
      <c r="K4" s="124"/>
      <c r="L4" s="124"/>
      <c r="M4" s="124"/>
    </row>
    <row r="5" spans="1:36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131" t="s">
        <v>54</v>
      </c>
      <c r="I5" s="132" t="s">
        <v>55</v>
      </c>
      <c r="J5" s="133" t="s">
        <v>96</v>
      </c>
      <c r="K5" s="132" t="s">
        <v>97</v>
      </c>
      <c r="L5" s="132" t="s">
        <v>58</v>
      </c>
      <c r="M5" s="131" t="s">
        <v>59</v>
      </c>
    </row>
    <row r="6" spans="1:36" ht="14.45" customHeight="1">
      <c r="A6" s="39">
        <f>M6</f>
        <v>98</v>
      </c>
      <c r="B6" s="36">
        <f t="shared" ref="B6:B22" si="0">IF(H6&gt;$H$2,"",(ROW()-5))</f>
        <v>1</v>
      </c>
      <c r="C6" s="24" t="s">
        <v>17</v>
      </c>
      <c r="D6" s="24" t="s">
        <v>79</v>
      </c>
      <c r="E6" s="24" t="s">
        <v>98</v>
      </c>
      <c r="F6" s="24"/>
      <c r="G6" s="8"/>
      <c r="H6" s="134">
        <v>1</v>
      </c>
      <c r="I6" s="135">
        <f>IF(H2=1,50,IF(H6&lt;$H$2+1,($I$2-($I$2-1)*(LOG(H6)/LOG($H$2))),""))</f>
        <v>50</v>
      </c>
      <c r="J6" s="134">
        <f>INT(LOG($H$2,2))-ROUNDUP(LOG(H6,2),0)+IF(OR($H$2=1,$H$2=2,$H$2=4,$H$2=8,$H$2=16,$H$2=32,$H$2=64,$H$2=128,$H$2=256),0,1)</f>
        <v>3</v>
      </c>
      <c r="K6" s="134">
        <f t="shared" ref="K6:K69" si="1">J6*$J$2</f>
        <v>30</v>
      </c>
      <c r="L6" s="136">
        <f>3*K2</f>
        <v>17.999999999999996</v>
      </c>
      <c r="M6" s="136">
        <f t="shared" ref="M6:M69" si="2">IF(I6&lt;&gt;"",K6+I6+L6,0)</f>
        <v>98</v>
      </c>
    </row>
    <row r="7" spans="1:36" ht="14.45" customHeight="1">
      <c r="A7" s="40">
        <f t="shared" ref="A7:A26" si="3">M7</f>
        <v>65.666666666666657</v>
      </c>
      <c r="B7" s="35">
        <f t="shared" si="0"/>
        <v>2</v>
      </c>
      <c r="C7" s="25" t="s">
        <v>16</v>
      </c>
      <c r="D7" s="25" t="s">
        <v>81</v>
      </c>
      <c r="E7" s="25" t="s">
        <v>98</v>
      </c>
      <c r="F7" s="25"/>
      <c r="G7" s="8"/>
      <c r="H7" s="137">
        <v>2</v>
      </c>
      <c r="I7" s="138">
        <f t="shared" ref="I7:I70" si="4">IF(H7&lt;$H$2+1,($I$2-($I$2-1)*(LOG(H7)/LOG($H$2))),"")</f>
        <v>33.666666666666664</v>
      </c>
      <c r="J7" s="137">
        <f t="shared" ref="J7:J70" si="5">INT(LOG($H$2,2))-ROUNDUP(LOG(H7,2),0)+IF(OR($H$2=1,$H$2=2,$H$2=4,$H$2=8,$H$2=16,$H$2=32,$H$2=64,$H$2=128,$H$2=256),0,1)</f>
        <v>2</v>
      </c>
      <c r="K7" s="137">
        <f t="shared" si="1"/>
        <v>20</v>
      </c>
      <c r="L7" s="139">
        <f>2*K2</f>
        <v>11.999999999999998</v>
      </c>
      <c r="M7" s="139">
        <f t="shared" si="2"/>
        <v>65.666666666666657</v>
      </c>
    </row>
    <row r="8" spans="1:36" ht="14.45" customHeight="1">
      <c r="A8" s="39">
        <f t="shared" si="3"/>
        <v>40.112279154887787</v>
      </c>
      <c r="B8" s="36">
        <f t="shared" si="0"/>
        <v>3</v>
      </c>
      <c r="C8" s="24" t="s">
        <v>23</v>
      </c>
      <c r="D8" s="24" t="s">
        <v>85</v>
      </c>
      <c r="E8" s="24" t="s">
        <v>98</v>
      </c>
      <c r="F8" s="24"/>
      <c r="G8" s="8"/>
      <c r="H8" s="134">
        <v>3</v>
      </c>
      <c r="I8" s="135">
        <f t="shared" si="4"/>
        <v>24.112279154887784</v>
      </c>
      <c r="J8" s="134">
        <f t="shared" si="5"/>
        <v>1</v>
      </c>
      <c r="K8" s="134">
        <f t="shared" si="1"/>
        <v>10</v>
      </c>
      <c r="L8" s="136">
        <f>K2</f>
        <v>5.9999999999999991</v>
      </c>
      <c r="M8" s="136">
        <f t="shared" si="2"/>
        <v>40.112279154887787</v>
      </c>
    </row>
    <row r="9" spans="1:36" ht="14.45" customHeight="1">
      <c r="A9" s="40">
        <f t="shared" si="3"/>
        <v>27.333333333333329</v>
      </c>
      <c r="B9" s="35">
        <f t="shared" si="0"/>
        <v>4</v>
      </c>
      <c r="C9" s="25" t="s">
        <v>24</v>
      </c>
      <c r="D9" s="25" t="s">
        <v>71</v>
      </c>
      <c r="E9" s="25" t="s">
        <v>98</v>
      </c>
      <c r="F9" s="25"/>
      <c r="G9" s="8"/>
      <c r="H9" s="137">
        <v>4</v>
      </c>
      <c r="I9" s="138">
        <f t="shared" si="4"/>
        <v>17.333333333333329</v>
      </c>
      <c r="J9" s="137">
        <f t="shared" si="5"/>
        <v>1</v>
      </c>
      <c r="K9" s="137">
        <f t="shared" si="1"/>
        <v>10</v>
      </c>
      <c r="L9" s="139"/>
      <c r="M9" s="139">
        <f t="shared" si="2"/>
        <v>27.333333333333329</v>
      </c>
      <c r="V9" s="140"/>
      <c r="Z9" s="141"/>
      <c r="AA9" s="141"/>
      <c r="AG9" s="142"/>
      <c r="AH9" s="125" t="s">
        <v>99</v>
      </c>
      <c r="AI9" s="125">
        <v>23</v>
      </c>
    </row>
    <row r="10" spans="1:36" ht="14.45" customHeight="1">
      <c r="A10" s="39">
        <f t="shared" si="3"/>
        <v>12.07517445017308</v>
      </c>
      <c r="B10" s="36">
        <f t="shared" si="0"/>
        <v>5</v>
      </c>
      <c r="C10" s="24" t="s">
        <v>28</v>
      </c>
      <c r="D10" s="24" t="s">
        <v>71</v>
      </c>
      <c r="E10" s="24" t="s">
        <v>98</v>
      </c>
      <c r="F10" s="24"/>
      <c r="G10" s="8"/>
      <c r="H10" s="134">
        <v>5</v>
      </c>
      <c r="I10" s="135">
        <f t="shared" si="4"/>
        <v>12.07517445017308</v>
      </c>
      <c r="J10" s="134">
        <f t="shared" si="5"/>
        <v>0</v>
      </c>
      <c r="K10" s="134">
        <f t="shared" si="1"/>
        <v>0</v>
      </c>
      <c r="L10" s="134"/>
      <c r="M10" s="136">
        <f t="shared" si="2"/>
        <v>12.07517445017308</v>
      </c>
      <c r="V10" s="140"/>
      <c r="Z10" s="141"/>
      <c r="AA10" s="141"/>
      <c r="AG10" s="142"/>
      <c r="AH10" s="125" t="s">
        <v>100</v>
      </c>
      <c r="AI10" s="125">
        <v>45</v>
      </c>
    </row>
    <row r="11" spans="1:36" ht="14.45" customHeight="1">
      <c r="A11" s="40">
        <f t="shared" si="3"/>
        <v>7.7789458215544443</v>
      </c>
      <c r="B11" s="35">
        <f t="shared" si="0"/>
        <v>6</v>
      </c>
      <c r="C11" s="25" t="s">
        <v>31</v>
      </c>
      <c r="D11" s="25" t="s">
        <v>90</v>
      </c>
      <c r="E11" s="25" t="s">
        <v>98</v>
      </c>
      <c r="F11" s="25"/>
      <c r="G11" s="8"/>
      <c r="H11" s="137">
        <v>6</v>
      </c>
      <c r="I11" s="138">
        <f t="shared" si="4"/>
        <v>7.7789458215544443</v>
      </c>
      <c r="J11" s="137">
        <f t="shared" si="5"/>
        <v>0</v>
      </c>
      <c r="K11" s="137">
        <f t="shared" si="1"/>
        <v>0</v>
      </c>
      <c r="L11" s="137"/>
      <c r="M11" s="139">
        <f t="shared" si="2"/>
        <v>7.7789458215544443</v>
      </c>
      <c r="V11" s="143"/>
      <c r="Z11" s="141"/>
      <c r="AA11" s="141"/>
      <c r="AG11" s="142"/>
      <c r="AH11" s="125" t="s">
        <v>101</v>
      </c>
      <c r="AI11" s="125">
        <v>50</v>
      </c>
    </row>
    <row r="12" spans="1:36" ht="14.45" customHeight="1">
      <c r="A12" s="39">
        <f t="shared" si="3"/>
        <v>4.1465362730591337</v>
      </c>
      <c r="B12" s="36">
        <f t="shared" si="0"/>
        <v>7</v>
      </c>
      <c r="C12" s="24" t="s">
        <v>32</v>
      </c>
      <c r="D12" s="24" t="s">
        <v>89</v>
      </c>
      <c r="E12" s="24" t="s">
        <v>98</v>
      </c>
      <c r="F12" s="24"/>
      <c r="G12" s="8"/>
      <c r="H12" s="134">
        <v>7</v>
      </c>
      <c r="I12" s="135">
        <f t="shared" si="4"/>
        <v>4.1465362730591337</v>
      </c>
      <c r="J12" s="134">
        <f t="shared" si="5"/>
        <v>0</v>
      </c>
      <c r="K12" s="134">
        <f t="shared" si="1"/>
        <v>0</v>
      </c>
      <c r="L12" s="134"/>
      <c r="M12" s="136">
        <f t="shared" si="2"/>
        <v>4.1465362730591337</v>
      </c>
      <c r="Z12" s="141"/>
      <c r="AA12" s="141"/>
      <c r="AG12" s="142"/>
      <c r="AH12" s="125" t="s">
        <v>102</v>
      </c>
      <c r="AI12" s="125">
        <f>AI11-1</f>
        <v>49</v>
      </c>
    </row>
    <row r="13" spans="1:36" ht="14.45" customHeight="1">
      <c r="A13" s="41">
        <f t="shared" si="3"/>
        <v>1</v>
      </c>
      <c r="B13" s="35">
        <f t="shared" si="0"/>
        <v>8</v>
      </c>
      <c r="C13" s="25" t="s">
        <v>103</v>
      </c>
      <c r="D13" s="25" t="s">
        <v>70</v>
      </c>
      <c r="E13" s="25" t="s">
        <v>98</v>
      </c>
      <c r="F13" s="25"/>
      <c r="G13" s="8"/>
      <c r="H13" s="137">
        <v>8</v>
      </c>
      <c r="I13" s="138">
        <f t="shared" si="4"/>
        <v>1</v>
      </c>
      <c r="J13" s="137">
        <f t="shared" si="5"/>
        <v>0</v>
      </c>
      <c r="K13" s="137">
        <f t="shared" si="1"/>
        <v>0</v>
      </c>
      <c r="L13" s="137"/>
      <c r="M13" s="139">
        <f t="shared" si="2"/>
        <v>1</v>
      </c>
      <c r="X13" s="140"/>
      <c r="AG13" s="142"/>
      <c r="AH13" s="125" t="s">
        <v>104</v>
      </c>
      <c r="AI13" s="125">
        <f>LOG(AI9)</f>
        <v>1.3617278360175928</v>
      </c>
    </row>
    <row r="14" spans="1:36">
      <c r="A14" s="42">
        <f t="shared" si="3"/>
        <v>0</v>
      </c>
      <c r="B14" s="36" t="str">
        <f t="shared" si="0"/>
        <v/>
      </c>
      <c r="C14" s="24"/>
      <c r="D14" s="24"/>
      <c r="E14" s="24"/>
      <c r="F14" s="24"/>
      <c r="G14" s="8"/>
      <c r="H14" s="134">
        <v>9</v>
      </c>
      <c r="I14" s="135" t="str">
        <f t="shared" si="4"/>
        <v/>
      </c>
      <c r="J14" s="134">
        <f t="shared" si="5"/>
        <v>-1</v>
      </c>
      <c r="K14" s="134">
        <f t="shared" si="1"/>
        <v>-10</v>
      </c>
      <c r="L14" s="134"/>
      <c r="M14" s="136">
        <f t="shared" si="2"/>
        <v>0</v>
      </c>
      <c r="X14" s="144"/>
      <c r="Z14" s="141"/>
      <c r="AA14" s="141"/>
      <c r="AG14" s="142"/>
      <c r="AH14" s="125" t="s">
        <v>105</v>
      </c>
      <c r="AI14" s="125">
        <f>LOG(AI10)</f>
        <v>1.6532125137753437</v>
      </c>
    </row>
    <row r="15" spans="1:36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137">
        <v>10</v>
      </c>
      <c r="I15" s="138" t="str">
        <f t="shared" si="4"/>
        <v/>
      </c>
      <c r="J15" s="137">
        <f t="shared" si="5"/>
        <v>-1</v>
      </c>
      <c r="K15" s="137">
        <f t="shared" si="1"/>
        <v>-10</v>
      </c>
      <c r="L15" s="137"/>
      <c r="M15" s="139">
        <f t="shared" si="2"/>
        <v>0</v>
      </c>
      <c r="X15" s="140"/>
      <c r="Z15" s="141"/>
      <c r="AA15" s="141"/>
    </row>
    <row r="16" spans="1:36">
      <c r="A16" s="240">
        <v>12.07517445017308</v>
      </c>
      <c r="B16" s="241" t="s">
        <v>106</v>
      </c>
      <c r="C16" s="242" t="s">
        <v>18</v>
      </c>
      <c r="D16" s="24"/>
      <c r="E16" s="24"/>
      <c r="F16" s="24"/>
      <c r="G16" s="8"/>
      <c r="H16" s="134">
        <v>11</v>
      </c>
      <c r="I16" s="135" t="str">
        <f t="shared" si="4"/>
        <v/>
      </c>
      <c r="J16" s="134">
        <f t="shared" si="5"/>
        <v>-1</v>
      </c>
      <c r="K16" s="134">
        <f t="shared" si="1"/>
        <v>-10</v>
      </c>
      <c r="L16" s="134"/>
      <c r="M16" s="136">
        <f t="shared" si="2"/>
        <v>0</v>
      </c>
      <c r="R16" s="145"/>
      <c r="Z16" s="141"/>
      <c r="AA16" s="141"/>
      <c r="AH16" s="146" t="s">
        <v>107</v>
      </c>
      <c r="AI16" s="125">
        <f>AI11-AI12*AI13/AI14</f>
        <v>9.6393909380186855</v>
      </c>
      <c r="AJ16" s="125" t="s">
        <v>108</v>
      </c>
    </row>
    <row r="17" spans="1:19">
      <c r="A17" s="240">
        <v>7.7789458215544443</v>
      </c>
      <c r="B17" s="241" t="s">
        <v>109</v>
      </c>
      <c r="C17" s="242" t="s">
        <v>36</v>
      </c>
      <c r="D17" s="25"/>
      <c r="E17" s="25"/>
      <c r="F17" s="25"/>
      <c r="G17" s="8"/>
      <c r="H17" s="137">
        <v>12</v>
      </c>
      <c r="I17" s="138" t="str">
        <f t="shared" si="4"/>
        <v/>
      </c>
      <c r="J17" s="137">
        <f t="shared" si="5"/>
        <v>-1</v>
      </c>
      <c r="K17" s="137">
        <f t="shared" si="1"/>
        <v>-10</v>
      </c>
      <c r="L17" s="137"/>
      <c r="M17" s="139">
        <f t="shared" si="2"/>
        <v>0</v>
      </c>
    </row>
    <row r="18" spans="1:19">
      <c r="A18" s="42">
        <f t="shared" si="3"/>
        <v>0</v>
      </c>
      <c r="B18" s="36" t="str">
        <f t="shared" si="0"/>
        <v/>
      </c>
      <c r="C18" s="24"/>
      <c r="D18" s="24"/>
      <c r="E18" s="24"/>
      <c r="F18" s="24"/>
      <c r="G18" s="8"/>
      <c r="H18" s="134">
        <v>13</v>
      </c>
      <c r="I18" s="135" t="str">
        <f t="shared" si="4"/>
        <v/>
      </c>
      <c r="J18" s="134">
        <f t="shared" si="5"/>
        <v>-1</v>
      </c>
      <c r="K18" s="134">
        <f t="shared" si="1"/>
        <v>-10</v>
      </c>
      <c r="L18" s="134"/>
      <c r="M18" s="136">
        <f t="shared" si="2"/>
        <v>0</v>
      </c>
    </row>
    <row r="19" spans="1:19">
      <c r="A19" s="41">
        <f t="shared" si="3"/>
        <v>0</v>
      </c>
      <c r="B19" s="35" t="str">
        <f t="shared" si="0"/>
        <v/>
      </c>
      <c r="C19" s="25"/>
      <c r="D19" s="25"/>
      <c r="E19" s="25"/>
      <c r="F19" s="25"/>
      <c r="G19" s="8"/>
      <c r="H19" s="137">
        <v>14</v>
      </c>
      <c r="I19" s="138" t="str">
        <f t="shared" si="4"/>
        <v/>
      </c>
      <c r="J19" s="137">
        <f t="shared" si="5"/>
        <v>-1</v>
      </c>
      <c r="K19" s="137">
        <f t="shared" si="1"/>
        <v>-10</v>
      </c>
      <c r="L19" s="137"/>
      <c r="M19" s="139">
        <f t="shared" si="2"/>
        <v>0</v>
      </c>
    </row>
    <row r="20" spans="1:19">
      <c r="A20" s="42">
        <f t="shared" si="3"/>
        <v>0</v>
      </c>
      <c r="B20" s="36" t="str">
        <f t="shared" si="0"/>
        <v/>
      </c>
      <c r="C20" s="24"/>
      <c r="D20" s="24"/>
      <c r="E20" s="24"/>
      <c r="F20" s="24"/>
      <c r="G20" s="8"/>
      <c r="H20" s="134">
        <v>15</v>
      </c>
      <c r="I20" s="135" t="str">
        <f t="shared" si="4"/>
        <v/>
      </c>
      <c r="J20" s="134">
        <f t="shared" si="5"/>
        <v>-1</v>
      </c>
      <c r="K20" s="134">
        <f t="shared" si="1"/>
        <v>-10</v>
      </c>
      <c r="L20" s="134"/>
      <c r="M20" s="136">
        <f t="shared" si="2"/>
        <v>0</v>
      </c>
      <c r="R20" s="147"/>
      <c r="S20" s="148"/>
    </row>
    <row r="21" spans="1:19">
      <c r="A21" s="41">
        <f t="shared" si="3"/>
        <v>0</v>
      </c>
      <c r="B21" s="35" t="str">
        <f t="shared" si="0"/>
        <v/>
      </c>
      <c r="C21" s="25"/>
      <c r="D21" s="25"/>
      <c r="E21" s="25"/>
      <c r="F21" s="25"/>
      <c r="G21" s="8"/>
      <c r="H21" s="137">
        <v>16</v>
      </c>
      <c r="I21" s="138" t="str">
        <f t="shared" si="4"/>
        <v/>
      </c>
      <c r="J21" s="137">
        <f t="shared" si="5"/>
        <v>-1</v>
      </c>
      <c r="K21" s="137">
        <f t="shared" si="1"/>
        <v>-10</v>
      </c>
      <c r="L21" s="137"/>
      <c r="M21" s="139">
        <f t="shared" si="2"/>
        <v>0</v>
      </c>
    </row>
    <row r="22" spans="1:19">
      <c r="A22" s="42">
        <f t="shared" si="3"/>
        <v>0</v>
      </c>
      <c r="B22" s="36" t="str">
        <f t="shared" si="0"/>
        <v/>
      </c>
      <c r="C22" s="24"/>
      <c r="D22" s="24"/>
      <c r="E22" s="24"/>
      <c r="F22" s="24"/>
      <c r="G22" s="8"/>
      <c r="H22" s="134">
        <v>17</v>
      </c>
      <c r="I22" s="135" t="str">
        <f t="shared" si="4"/>
        <v/>
      </c>
      <c r="J22" s="134">
        <f t="shared" si="5"/>
        <v>-2</v>
      </c>
      <c r="K22" s="134">
        <f t="shared" si="1"/>
        <v>-20</v>
      </c>
      <c r="L22" s="134"/>
      <c r="M22" s="136">
        <f t="shared" si="2"/>
        <v>0</v>
      </c>
    </row>
    <row r="23" spans="1:19">
      <c r="A23" s="41">
        <f t="shared" si="3"/>
        <v>0</v>
      </c>
      <c r="B23" s="35" t="str">
        <f t="shared" ref="B23:B65" si="6">IF(H23&gt;$H$2,"",(ROW()-5))</f>
        <v/>
      </c>
      <c r="C23" s="25"/>
      <c r="D23" s="25"/>
      <c r="E23" s="25"/>
      <c r="F23" s="25"/>
      <c r="G23" s="8"/>
      <c r="H23" s="137">
        <v>18</v>
      </c>
      <c r="I23" s="138" t="str">
        <f t="shared" si="4"/>
        <v/>
      </c>
      <c r="J23" s="137">
        <f t="shared" si="5"/>
        <v>-2</v>
      </c>
      <c r="K23" s="137">
        <f t="shared" si="1"/>
        <v>-20</v>
      </c>
      <c r="L23" s="137"/>
      <c r="M23" s="139">
        <f t="shared" si="2"/>
        <v>0</v>
      </c>
    </row>
    <row r="24" spans="1:19">
      <c r="A24" s="42">
        <f t="shared" si="3"/>
        <v>0</v>
      </c>
      <c r="B24" s="36" t="str">
        <f t="shared" si="6"/>
        <v/>
      </c>
      <c r="C24" s="24"/>
      <c r="D24" s="24"/>
      <c r="E24" s="24"/>
      <c r="F24" s="24"/>
      <c r="G24" s="8"/>
      <c r="H24" s="134">
        <v>19</v>
      </c>
      <c r="I24" s="135" t="str">
        <f t="shared" si="4"/>
        <v/>
      </c>
      <c r="J24" s="134">
        <f t="shared" si="5"/>
        <v>-2</v>
      </c>
      <c r="K24" s="134">
        <f t="shared" si="1"/>
        <v>-20</v>
      </c>
      <c r="L24" s="134"/>
      <c r="M24" s="136">
        <f t="shared" si="2"/>
        <v>0</v>
      </c>
      <c r="R24" s="147"/>
      <c r="S24" s="148"/>
    </row>
    <row r="25" spans="1:19">
      <c r="A25" s="41">
        <f t="shared" si="3"/>
        <v>0</v>
      </c>
      <c r="B25" s="35" t="str">
        <f t="shared" si="6"/>
        <v/>
      </c>
      <c r="C25" s="25"/>
      <c r="D25" s="25"/>
      <c r="E25" s="25"/>
      <c r="F25" s="25"/>
      <c r="G25" s="8"/>
      <c r="H25" s="137">
        <v>20</v>
      </c>
      <c r="I25" s="138" t="str">
        <f t="shared" si="4"/>
        <v/>
      </c>
      <c r="J25" s="137">
        <f t="shared" si="5"/>
        <v>-2</v>
      </c>
      <c r="K25" s="137">
        <f t="shared" si="1"/>
        <v>-20</v>
      </c>
      <c r="L25" s="137"/>
      <c r="M25" s="139">
        <f t="shared" si="2"/>
        <v>0</v>
      </c>
    </row>
    <row r="26" spans="1:19">
      <c r="A26" s="42">
        <f t="shared" si="3"/>
        <v>0</v>
      </c>
      <c r="B26" s="36" t="str">
        <f t="shared" si="6"/>
        <v/>
      </c>
      <c r="C26" s="24"/>
      <c r="D26" s="24"/>
      <c r="E26" s="24"/>
      <c r="F26" s="24"/>
      <c r="G26" s="8"/>
      <c r="H26" s="134">
        <v>21</v>
      </c>
      <c r="I26" s="135" t="str">
        <f t="shared" si="4"/>
        <v/>
      </c>
      <c r="J26" s="134">
        <f t="shared" si="5"/>
        <v>-2</v>
      </c>
      <c r="K26" s="134">
        <f t="shared" si="1"/>
        <v>-20</v>
      </c>
      <c r="L26" s="134"/>
      <c r="M26" s="136">
        <f t="shared" si="2"/>
        <v>0</v>
      </c>
    </row>
    <row r="27" spans="1:19">
      <c r="A27" s="41">
        <f t="shared" ref="A27:A37" si="7">M27</f>
        <v>0</v>
      </c>
      <c r="B27" s="35" t="str">
        <f t="shared" si="6"/>
        <v/>
      </c>
      <c r="C27" s="25"/>
      <c r="D27" s="25"/>
      <c r="E27" s="25"/>
      <c r="F27" s="25"/>
      <c r="G27" s="8"/>
      <c r="H27" s="137">
        <v>22</v>
      </c>
      <c r="I27" s="138" t="str">
        <f t="shared" si="4"/>
        <v/>
      </c>
      <c r="J27" s="137">
        <f t="shared" si="5"/>
        <v>-2</v>
      </c>
      <c r="K27" s="137">
        <f t="shared" si="1"/>
        <v>-20</v>
      </c>
      <c r="L27" s="137"/>
      <c r="M27" s="139">
        <f t="shared" si="2"/>
        <v>0</v>
      </c>
    </row>
    <row r="28" spans="1:19">
      <c r="A28" s="42">
        <f t="shared" si="7"/>
        <v>0</v>
      </c>
      <c r="B28" s="36" t="str">
        <f t="shared" si="6"/>
        <v/>
      </c>
      <c r="C28" s="24"/>
      <c r="D28" s="24"/>
      <c r="E28" s="24"/>
      <c r="F28" s="24"/>
      <c r="G28" s="8"/>
      <c r="H28" s="134">
        <v>23</v>
      </c>
      <c r="I28" s="135" t="str">
        <f t="shared" si="4"/>
        <v/>
      </c>
      <c r="J28" s="134">
        <f t="shared" si="5"/>
        <v>-2</v>
      </c>
      <c r="K28" s="134">
        <f t="shared" si="1"/>
        <v>-20</v>
      </c>
      <c r="L28" s="134"/>
      <c r="M28" s="136">
        <f t="shared" si="2"/>
        <v>0</v>
      </c>
      <c r="R28" s="147"/>
      <c r="S28" s="148"/>
    </row>
    <row r="29" spans="1:19">
      <c r="A29" s="41">
        <f t="shared" si="7"/>
        <v>0</v>
      </c>
      <c r="B29" s="35" t="str">
        <f t="shared" si="6"/>
        <v/>
      </c>
      <c r="C29" s="25"/>
      <c r="D29" s="25"/>
      <c r="E29" s="25"/>
      <c r="F29" s="25"/>
      <c r="G29" s="120"/>
      <c r="H29" s="137">
        <v>24</v>
      </c>
      <c r="I29" s="138" t="str">
        <f t="shared" si="4"/>
        <v/>
      </c>
      <c r="J29" s="137">
        <f t="shared" si="5"/>
        <v>-2</v>
      </c>
      <c r="K29" s="137">
        <f t="shared" si="1"/>
        <v>-20</v>
      </c>
      <c r="L29" s="137"/>
      <c r="M29" s="139">
        <f t="shared" si="2"/>
        <v>0</v>
      </c>
    </row>
    <row r="30" spans="1:19">
      <c r="A30" s="42">
        <f t="shared" si="7"/>
        <v>0</v>
      </c>
      <c r="B30" s="36" t="str">
        <f t="shared" si="6"/>
        <v/>
      </c>
      <c r="C30" s="24"/>
      <c r="D30" s="24"/>
      <c r="E30" s="24"/>
      <c r="F30" s="24"/>
      <c r="G30" s="120"/>
      <c r="H30" s="134">
        <v>25</v>
      </c>
      <c r="I30" s="135" t="str">
        <f t="shared" si="4"/>
        <v/>
      </c>
      <c r="J30" s="134">
        <f t="shared" si="5"/>
        <v>-2</v>
      </c>
      <c r="K30" s="134">
        <f t="shared" si="1"/>
        <v>-20</v>
      </c>
      <c r="L30" s="134"/>
      <c r="M30" s="136">
        <f t="shared" si="2"/>
        <v>0</v>
      </c>
    </row>
    <row r="31" spans="1:19">
      <c r="A31" s="41">
        <f t="shared" si="7"/>
        <v>0</v>
      </c>
      <c r="B31" s="35" t="str">
        <f t="shared" si="6"/>
        <v/>
      </c>
      <c r="C31" s="25"/>
      <c r="D31" s="25"/>
      <c r="E31" s="25"/>
      <c r="F31" s="25"/>
      <c r="G31" s="120"/>
      <c r="H31" s="137">
        <v>26</v>
      </c>
      <c r="I31" s="138" t="str">
        <f t="shared" si="4"/>
        <v/>
      </c>
      <c r="J31" s="137">
        <f t="shared" si="5"/>
        <v>-2</v>
      </c>
      <c r="K31" s="137">
        <f t="shared" si="1"/>
        <v>-20</v>
      </c>
      <c r="L31" s="137"/>
      <c r="M31" s="139">
        <f t="shared" si="2"/>
        <v>0</v>
      </c>
    </row>
    <row r="32" spans="1:19">
      <c r="A32" s="42">
        <f t="shared" si="7"/>
        <v>0</v>
      </c>
      <c r="B32" s="36" t="str">
        <f t="shared" si="6"/>
        <v/>
      </c>
      <c r="C32" s="24"/>
      <c r="D32" s="24"/>
      <c r="E32" s="24"/>
      <c r="F32" s="24"/>
      <c r="G32" s="120"/>
      <c r="H32" s="134">
        <v>27</v>
      </c>
      <c r="I32" s="135" t="str">
        <f t="shared" si="4"/>
        <v/>
      </c>
      <c r="J32" s="134">
        <f t="shared" si="5"/>
        <v>-2</v>
      </c>
      <c r="K32" s="134">
        <f t="shared" si="1"/>
        <v>-20</v>
      </c>
      <c r="L32" s="134"/>
      <c r="M32" s="136">
        <f t="shared" si="2"/>
        <v>0</v>
      </c>
      <c r="R32" s="147"/>
      <c r="S32" s="148"/>
    </row>
    <row r="33" spans="1:21">
      <c r="A33" s="41">
        <f t="shared" si="7"/>
        <v>0</v>
      </c>
      <c r="B33" s="35" t="str">
        <f t="shared" si="6"/>
        <v/>
      </c>
      <c r="C33" s="25"/>
      <c r="D33" s="25"/>
      <c r="E33" s="25"/>
      <c r="F33" s="25"/>
      <c r="G33" s="120"/>
      <c r="H33" s="137">
        <v>28</v>
      </c>
      <c r="I33" s="138" t="str">
        <f t="shared" si="4"/>
        <v/>
      </c>
      <c r="J33" s="137">
        <f t="shared" si="5"/>
        <v>-2</v>
      </c>
      <c r="K33" s="137">
        <f t="shared" si="1"/>
        <v>-20</v>
      </c>
      <c r="L33" s="137"/>
      <c r="M33" s="139">
        <f t="shared" si="2"/>
        <v>0</v>
      </c>
    </row>
    <row r="34" spans="1:21">
      <c r="A34" s="42">
        <f t="shared" si="7"/>
        <v>0</v>
      </c>
      <c r="B34" s="36" t="str">
        <f t="shared" si="6"/>
        <v/>
      </c>
      <c r="C34" s="24"/>
      <c r="D34" s="24"/>
      <c r="E34" s="24"/>
      <c r="F34" s="24"/>
      <c r="G34" s="120"/>
      <c r="H34" s="134">
        <v>29</v>
      </c>
      <c r="I34" s="135" t="str">
        <f t="shared" si="4"/>
        <v/>
      </c>
      <c r="J34" s="134">
        <f t="shared" si="5"/>
        <v>-2</v>
      </c>
      <c r="K34" s="134">
        <f t="shared" si="1"/>
        <v>-20</v>
      </c>
      <c r="L34" s="134"/>
      <c r="M34" s="136">
        <f t="shared" si="2"/>
        <v>0</v>
      </c>
    </row>
    <row r="35" spans="1:21">
      <c r="A35" s="41">
        <f t="shared" si="7"/>
        <v>0</v>
      </c>
      <c r="B35" s="35" t="str">
        <f t="shared" si="6"/>
        <v/>
      </c>
      <c r="C35" s="25"/>
      <c r="D35" s="25"/>
      <c r="E35" s="25"/>
      <c r="F35" s="25"/>
      <c r="G35" s="120"/>
      <c r="H35" s="137">
        <v>30</v>
      </c>
      <c r="I35" s="138" t="str">
        <f t="shared" si="4"/>
        <v/>
      </c>
      <c r="J35" s="137">
        <f t="shared" si="5"/>
        <v>-2</v>
      </c>
      <c r="K35" s="137">
        <f t="shared" si="1"/>
        <v>-20</v>
      </c>
      <c r="L35" s="137"/>
      <c r="M35" s="139">
        <f t="shared" si="2"/>
        <v>0</v>
      </c>
    </row>
    <row r="36" spans="1:21">
      <c r="A36" s="42">
        <f t="shared" si="7"/>
        <v>0</v>
      </c>
      <c r="B36" s="36" t="str">
        <f t="shared" si="6"/>
        <v/>
      </c>
      <c r="C36" s="24"/>
      <c r="D36" s="24"/>
      <c r="E36" s="24"/>
      <c r="F36" s="24"/>
      <c r="G36" s="120"/>
      <c r="H36" s="134">
        <v>31</v>
      </c>
      <c r="I36" s="135" t="str">
        <f t="shared" si="4"/>
        <v/>
      </c>
      <c r="J36" s="134">
        <f t="shared" si="5"/>
        <v>-2</v>
      </c>
      <c r="K36" s="134">
        <f t="shared" si="1"/>
        <v>-20</v>
      </c>
      <c r="L36" s="134"/>
      <c r="M36" s="136">
        <f t="shared" si="2"/>
        <v>0</v>
      </c>
      <c r="R36" s="147"/>
      <c r="S36" s="148"/>
    </row>
    <row r="37" spans="1:21">
      <c r="A37" s="41">
        <f t="shared" si="7"/>
        <v>0</v>
      </c>
      <c r="B37" s="35" t="str">
        <f t="shared" si="6"/>
        <v/>
      </c>
      <c r="C37" s="25"/>
      <c r="D37" s="25"/>
      <c r="E37" s="25"/>
      <c r="F37" s="25"/>
      <c r="G37" s="120"/>
      <c r="H37" s="137">
        <v>32</v>
      </c>
      <c r="I37" s="138" t="str">
        <f t="shared" si="4"/>
        <v/>
      </c>
      <c r="J37" s="137">
        <f t="shared" si="5"/>
        <v>-2</v>
      </c>
      <c r="K37" s="137">
        <f t="shared" si="1"/>
        <v>-20</v>
      </c>
      <c r="L37" s="137"/>
      <c r="M37" s="139">
        <f t="shared" si="2"/>
        <v>0</v>
      </c>
    </row>
    <row r="38" spans="1:21">
      <c r="A38" s="42"/>
      <c r="B38" s="36" t="str">
        <f t="shared" si="6"/>
        <v/>
      </c>
      <c r="C38" s="24"/>
      <c r="D38" s="24"/>
      <c r="E38" s="24"/>
      <c r="F38" s="24"/>
      <c r="G38" s="120"/>
      <c r="H38" s="134">
        <v>33</v>
      </c>
      <c r="I38" s="135" t="str">
        <f t="shared" si="4"/>
        <v/>
      </c>
      <c r="J38" s="134">
        <f t="shared" si="5"/>
        <v>-3</v>
      </c>
      <c r="K38" s="134">
        <f t="shared" si="1"/>
        <v>-30</v>
      </c>
      <c r="L38" s="134"/>
      <c r="M38" s="136">
        <f t="shared" si="2"/>
        <v>0</v>
      </c>
    </row>
    <row r="39" spans="1:21">
      <c r="A39" s="41"/>
      <c r="B39" s="35" t="str">
        <f t="shared" si="6"/>
        <v/>
      </c>
      <c r="C39" s="25"/>
      <c r="D39" s="25"/>
      <c r="E39" s="25"/>
      <c r="F39" s="25"/>
      <c r="G39" s="120"/>
      <c r="H39" s="137">
        <v>34</v>
      </c>
      <c r="I39" s="138" t="str">
        <f t="shared" si="4"/>
        <v/>
      </c>
      <c r="J39" s="137">
        <f t="shared" si="5"/>
        <v>-3</v>
      </c>
      <c r="K39" s="137">
        <f t="shared" si="1"/>
        <v>-30</v>
      </c>
      <c r="L39" s="137"/>
      <c r="M39" s="139">
        <f t="shared" si="2"/>
        <v>0</v>
      </c>
    </row>
    <row r="40" spans="1:21">
      <c r="A40" s="42"/>
      <c r="B40" s="36" t="str">
        <f t="shared" si="6"/>
        <v/>
      </c>
      <c r="C40" s="24"/>
      <c r="D40" s="24"/>
      <c r="E40" s="24"/>
      <c r="F40" s="24"/>
      <c r="G40" s="120"/>
      <c r="H40" s="134">
        <v>35</v>
      </c>
      <c r="I40" s="135" t="str">
        <f t="shared" si="4"/>
        <v/>
      </c>
      <c r="J40" s="134">
        <f t="shared" si="5"/>
        <v>-3</v>
      </c>
      <c r="K40" s="134">
        <f t="shared" si="1"/>
        <v>-30</v>
      </c>
      <c r="L40" s="134"/>
      <c r="M40" s="136">
        <f t="shared" si="2"/>
        <v>0</v>
      </c>
    </row>
    <row r="41" spans="1:21">
      <c r="A41" s="41"/>
      <c r="B41" s="35" t="str">
        <f t="shared" si="6"/>
        <v/>
      </c>
      <c r="C41" s="25"/>
      <c r="D41" s="25"/>
      <c r="E41" s="25"/>
      <c r="F41" s="25"/>
      <c r="G41" s="120"/>
      <c r="H41" s="137">
        <v>36</v>
      </c>
      <c r="I41" s="138" t="str">
        <f t="shared" si="4"/>
        <v/>
      </c>
      <c r="J41" s="137">
        <f t="shared" si="5"/>
        <v>-3</v>
      </c>
      <c r="K41" s="137">
        <f t="shared" si="1"/>
        <v>-30</v>
      </c>
      <c r="L41" s="137"/>
      <c r="M41" s="139">
        <f t="shared" si="2"/>
        <v>0</v>
      </c>
      <c r="S41" s="149"/>
    </row>
    <row r="42" spans="1:21">
      <c r="A42" s="42"/>
      <c r="B42" s="36" t="str">
        <f t="shared" si="6"/>
        <v/>
      </c>
      <c r="C42" s="24"/>
      <c r="D42" s="24"/>
      <c r="E42" s="24"/>
      <c r="F42" s="24"/>
      <c r="G42" s="120"/>
      <c r="H42" s="134">
        <v>37</v>
      </c>
      <c r="I42" s="135" t="str">
        <f t="shared" si="4"/>
        <v/>
      </c>
      <c r="J42" s="134">
        <f t="shared" si="5"/>
        <v>-3</v>
      </c>
      <c r="K42" s="134">
        <f t="shared" si="1"/>
        <v>-30</v>
      </c>
      <c r="L42" s="134"/>
      <c r="M42" s="136">
        <f t="shared" si="2"/>
        <v>0</v>
      </c>
    </row>
    <row r="43" spans="1:21">
      <c r="A43" s="41"/>
      <c r="B43" s="35" t="str">
        <f t="shared" si="6"/>
        <v/>
      </c>
      <c r="C43" s="25"/>
      <c r="D43" s="25"/>
      <c r="E43" s="25"/>
      <c r="F43" s="25"/>
      <c r="G43" s="120"/>
      <c r="H43" s="137">
        <v>38</v>
      </c>
      <c r="I43" s="138" t="str">
        <f t="shared" si="4"/>
        <v/>
      </c>
      <c r="J43" s="137">
        <f t="shared" si="5"/>
        <v>-3</v>
      </c>
      <c r="K43" s="137">
        <f t="shared" si="1"/>
        <v>-30</v>
      </c>
      <c r="L43" s="137"/>
      <c r="M43" s="139">
        <f t="shared" si="2"/>
        <v>0</v>
      </c>
    </row>
    <row r="44" spans="1:21">
      <c r="A44" s="42"/>
      <c r="B44" s="36" t="str">
        <f t="shared" si="6"/>
        <v/>
      </c>
      <c r="C44" s="24"/>
      <c r="D44" s="24"/>
      <c r="E44" s="24"/>
      <c r="F44" s="24"/>
      <c r="G44" s="120"/>
      <c r="H44" s="134">
        <v>39</v>
      </c>
      <c r="I44" s="135" t="str">
        <f t="shared" si="4"/>
        <v/>
      </c>
      <c r="J44" s="134">
        <f t="shared" si="5"/>
        <v>-3</v>
      </c>
      <c r="K44" s="134">
        <f t="shared" si="1"/>
        <v>-30</v>
      </c>
      <c r="L44" s="134"/>
      <c r="M44" s="136">
        <f t="shared" si="2"/>
        <v>0</v>
      </c>
    </row>
    <row r="45" spans="1:21">
      <c r="A45" s="41"/>
      <c r="B45" s="35" t="str">
        <f t="shared" si="6"/>
        <v/>
      </c>
      <c r="C45" s="25"/>
      <c r="D45" s="25"/>
      <c r="E45" s="25"/>
      <c r="F45" s="25"/>
      <c r="G45" s="120"/>
      <c r="H45" s="137">
        <v>40</v>
      </c>
      <c r="I45" s="138" t="str">
        <f t="shared" si="4"/>
        <v/>
      </c>
      <c r="J45" s="137">
        <f t="shared" si="5"/>
        <v>-3</v>
      </c>
      <c r="K45" s="137">
        <f t="shared" si="1"/>
        <v>-30</v>
      </c>
      <c r="L45" s="137"/>
      <c r="M45" s="139">
        <f t="shared" si="2"/>
        <v>0</v>
      </c>
    </row>
    <row r="46" spans="1:21">
      <c r="A46" s="42"/>
      <c r="B46" s="36" t="str">
        <f t="shared" si="6"/>
        <v/>
      </c>
      <c r="C46" s="24"/>
      <c r="D46" s="24"/>
      <c r="E46" s="24"/>
      <c r="F46" s="24"/>
      <c r="G46" s="120"/>
      <c r="H46" s="134">
        <v>41</v>
      </c>
      <c r="I46" s="135" t="str">
        <f t="shared" si="4"/>
        <v/>
      </c>
      <c r="J46" s="134">
        <f t="shared" si="5"/>
        <v>-3</v>
      </c>
      <c r="K46" s="134">
        <f t="shared" si="1"/>
        <v>-30</v>
      </c>
      <c r="L46" s="134"/>
      <c r="M46" s="136">
        <f t="shared" si="2"/>
        <v>0</v>
      </c>
      <c r="R46" s="120">
        <f>LOG($H$2,2)</f>
        <v>3</v>
      </c>
      <c r="T46" s="125">
        <f>LOG(H38,2)</f>
        <v>5.0443941193584534</v>
      </c>
      <c r="U46" s="125">
        <f>R46-T46</f>
        <v>-2.0443941193584534</v>
      </c>
    </row>
    <row r="47" spans="1:21">
      <c r="A47" s="41"/>
      <c r="B47" s="35" t="str">
        <f t="shared" si="6"/>
        <v/>
      </c>
      <c r="C47" s="25"/>
      <c r="D47" s="25"/>
      <c r="E47" s="25"/>
      <c r="F47" s="25"/>
      <c r="G47" s="120"/>
      <c r="H47" s="137">
        <v>42</v>
      </c>
      <c r="I47" s="138" t="str">
        <f t="shared" si="4"/>
        <v/>
      </c>
      <c r="J47" s="137">
        <f t="shared" si="5"/>
        <v>-3</v>
      </c>
      <c r="K47" s="137">
        <f t="shared" si="1"/>
        <v>-30</v>
      </c>
      <c r="L47" s="137"/>
      <c r="M47" s="139">
        <f t="shared" si="2"/>
        <v>0</v>
      </c>
    </row>
    <row r="48" spans="1:21">
      <c r="A48" s="42"/>
      <c r="B48" s="36" t="str">
        <f t="shared" si="6"/>
        <v/>
      </c>
      <c r="C48" s="24"/>
      <c r="D48" s="24"/>
      <c r="E48" s="24"/>
      <c r="F48" s="24"/>
      <c r="G48" s="120"/>
      <c r="H48" s="134">
        <v>43</v>
      </c>
      <c r="I48" s="135" t="str">
        <f t="shared" si="4"/>
        <v/>
      </c>
      <c r="J48" s="134">
        <f t="shared" si="5"/>
        <v>-3</v>
      </c>
      <c r="K48" s="134">
        <f t="shared" si="1"/>
        <v>-30</v>
      </c>
      <c r="L48" s="134"/>
      <c r="M48" s="136">
        <f t="shared" si="2"/>
        <v>0</v>
      </c>
    </row>
    <row r="49" spans="1:13">
      <c r="A49" s="41"/>
      <c r="B49" s="35" t="str">
        <f t="shared" si="6"/>
        <v/>
      </c>
      <c r="C49" s="25"/>
      <c r="D49" s="25"/>
      <c r="E49" s="25"/>
      <c r="F49" s="25"/>
      <c r="G49" s="120"/>
      <c r="H49" s="137">
        <v>44</v>
      </c>
      <c r="I49" s="138" t="str">
        <f t="shared" si="4"/>
        <v/>
      </c>
      <c r="J49" s="137">
        <f t="shared" si="5"/>
        <v>-3</v>
      </c>
      <c r="K49" s="137">
        <f t="shared" si="1"/>
        <v>-30</v>
      </c>
      <c r="L49" s="137"/>
      <c r="M49" s="139">
        <f t="shared" si="2"/>
        <v>0</v>
      </c>
    </row>
    <row r="50" spans="1:13">
      <c r="A50" s="42"/>
      <c r="B50" s="36" t="str">
        <f t="shared" si="6"/>
        <v/>
      </c>
      <c r="C50" s="24"/>
      <c r="D50" s="24"/>
      <c r="E50" s="24"/>
      <c r="F50" s="24"/>
      <c r="G50" s="120"/>
      <c r="H50" s="134">
        <v>45</v>
      </c>
      <c r="I50" s="135" t="str">
        <f t="shared" si="4"/>
        <v/>
      </c>
      <c r="J50" s="134">
        <f t="shared" si="5"/>
        <v>-3</v>
      </c>
      <c r="K50" s="134">
        <f t="shared" si="1"/>
        <v>-30</v>
      </c>
      <c r="L50" s="134"/>
      <c r="M50" s="136">
        <f t="shared" si="2"/>
        <v>0</v>
      </c>
    </row>
    <row r="51" spans="1:13">
      <c r="A51" s="41"/>
      <c r="B51" s="35" t="str">
        <f t="shared" si="6"/>
        <v/>
      </c>
      <c r="C51" s="25"/>
      <c r="D51" s="25"/>
      <c r="E51" s="25"/>
      <c r="F51" s="25"/>
      <c r="G51" s="120"/>
      <c r="H51" s="137">
        <v>46</v>
      </c>
      <c r="I51" s="138" t="str">
        <f t="shared" si="4"/>
        <v/>
      </c>
      <c r="J51" s="137">
        <f t="shared" si="5"/>
        <v>-3</v>
      </c>
      <c r="K51" s="137">
        <f t="shared" si="1"/>
        <v>-30</v>
      </c>
      <c r="L51" s="137"/>
      <c r="M51" s="139">
        <f t="shared" si="2"/>
        <v>0</v>
      </c>
    </row>
    <row r="52" spans="1:13">
      <c r="A52" s="42"/>
      <c r="B52" s="36" t="str">
        <f t="shared" si="6"/>
        <v/>
      </c>
      <c r="C52" s="24"/>
      <c r="D52" s="24"/>
      <c r="E52" s="24"/>
      <c r="F52" s="24"/>
      <c r="G52" s="120"/>
      <c r="H52" s="134">
        <v>47</v>
      </c>
      <c r="I52" s="135" t="str">
        <f t="shared" si="4"/>
        <v/>
      </c>
      <c r="J52" s="134">
        <f t="shared" si="5"/>
        <v>-3</v>
      </c>
      <c r="K52" s="134">
        <f t="shared" si="1"/>
        <v>-30</v>
      </c>
      <c r="L52" s="134"/>
      <c r="M52" s="136">
        <f t="shared" si="2"/>
        <v>0</v>
      </c>
    </row>
    <row r="53" spans="1:13">
      <c r="A53" s="41"/>
      <c r="B53" s="35" t="str">
        <f t="shared" si="6"/>
        <v/>
      </c>
      <c r="C53" s="25"/>
      <c r="D53" s="25"/>
      <c r="E53" s="25"/>
      <c r="F53" s="25"/>
      <c r="G53" s="120"/>
      <c r="H53" s="137">
        <v>48</v>
      </c>
      <c r="I53" s="138" t="str">
        <f t="shared" si="4"/>
        <v/>
      </c>
      <c r="J53" s="137">
        <f t="shared" si="5"/>
        <v>-3</v>
      </c>
      <c r="K53" s="137">
        <f t="shared" si="1"/>
        <v>-30</v>
      </c>
      <c r="L53" s="137"/>
      <c r="M53" s="139">
        <f t="shared" si="2"/>
        <v>0</v>
      </c>
    </row>
    <row r="54" spans="1:13">
      <c r="A54" s="42"/>
      <c r="B54" s="36" t="str">
        <f t="shared" si="6"/>
        <v/>
      </c>
      <c r="C54" s="24"/>
      <c r="D54" s="24"/>
      <c r="E54" s="24"/>
      <c r="F54" s="24"/>
      <c r="G54" s="120"/>
      <c r="H54" s="134">
        <v>49</v>
      </c>
      <c r="I54" s="135" t="str">
        <f t="shared" si="4"/>
        <v/>
      </c>
      <c r="J54" s="134">
        <f t="shared" si="5"/>
        <v>-3</v>
      </c>
      <c r="K54" s="134">
        <f t="shared" si="1"/>
        <v>-30</v>
      </c>
      <c r="L54" s="134"/>
      <c r="M54" s="136">
        <f t="shared" si="2"/>
        <v>0</v>
      </c>
    </row>
    <row r="55" spans="1:13">
      <c r="A55" s="41"/>
      <c r="B55" s="35" t="str">
        <f t="shared" si="6"/>
        <v/>
      </c>
      <c r="C55" s="25"/>
      <c r="D55" s="25"/>
      <c r="E55" s="25"/>
      <c r="F55" s="25"/>
      <c r="G55" s="120"/>
      <c r="H55" s="137">
        <v>50</v>
      </c>
      <c r="I55" s="138" t="str">
        <f t="shared" si="4"/>
        <v/>
      </c>
      <c r="J55" s="137">
        <f t="shared" si="5"/>
        <v>-3</v>
      </c>
      <c r="K55" s="137">
        <f t="shared" si="1"/>
        <v>-30</v>
      </c>
      <c r="L55" s="137"/>
      <c r="M55" s="139">
        <f t="shared" si="2"/>
        <v>0</v>
      </c>
    </row>
    <row r="56" spans="1:13">
      <c r="A56" s="42"/>
      <c r="B56" s="36" t="str">
        <f t="shared" si="6"/>
        <v/>
      </c>
      <c r="C56" s="24"/>
      <c r="D56" s="24"/>
      <c r="E56" s="24"/>
      <c r="F56" s="24"/>
      <c r="G56" s="120"/>
      <c r="H56" s="134">
        <v>51</v>
      </c>
      <c r="I56" s="135" t="str">
        <f t="shared" si="4"/>
        <v/>
      </c>
      <c r="J56" s="134">
        <f t="shared" si="5"/>
        <v>-3</v>
      </c>
      <c r="K56" s="134">
        <f t="shared" si="1"/>
        <v>-30</v>
      </c>
      <c r="L56" s="134"/>
      <c r="M56" s="136">
        <f t="shared" si="2"/>
        <v>0</v>
      </c>
    </row>
    <row r="57" spans="1:13">
      <c r="A57" s="41"/>
      <c r="B57" s="35" t="str">
        <f t="shared" si="6"/>
        <v/>
      </c>
      <c r="C57" s="25"/>
      <c r="D57" s="25"/>
      <c r="E57" s="25"/>
      <c r="F57" s="25"/>
      <c r="G57" s="120"/>
      <c r="H57" s="137">
        <v>52</v>
      </c>
      <c r="I57" s="138" t="str">
        <f t="shared" si="4"/>
        <v/>
      </c>
      <c r="J57" s="137">
        <f t="shared" si="5"/>
        <v>-3</v>
      </c>
      <c r="K57" s="137">
        <f t="shared" si="1"/>
        <v>-30</v>
      </c>
      <c r="L57" s="137"/>
      <c r="M57" s="139">
        <f t="shared" si="2"/>
        <v>0</v>
      </c>
    </row>
    <row r="58" spans="1:13">
      <c r="A58" s="42"/>
      <c r="B58" s="36" t="str">
        <f t="shared" si="6"/>
        <v/>
      </c>
      <c r="C58" s="24"/>
      <c r="D58" s="24"/>
      <c r="E58" s="24"/>
      <c r="F58" s="24"/>
      <c r="G58" s="120"/>
      <c r="H58" s="134">
        <v>53</v>
      </c>
      <c r="I58" s="135" t="str">
        <f t="shared" si="4"/>
        <v/>
      </c>
      <c r="J58" s="134">
        <f t="shared" si="5"/>
        <v>-3</v>
      </c>
      <c r="K58" s="134">
        <f t="shared" si="1"/>
        <v>-30</v>
      </c>
      <c r="L58" s="134"/>
      <c r="M58" s="136">
        <f t="shared" si="2"/>
        <v>0</v>
      </c>
    </row>
    <row r="59" spans="1:13">
      <c r="A59" s="41"/>
      <c r="B59" s="35" t="str">
        <f t="shared" si="6"/>
        <v/>
      </c>
      <c r="C59" s="25"/>
      <c r="D59" s="25"/>
      <c r="E59" s="25"/>
      <c r="F59" s="25"/>
      <c r="G59" s="120"/>
      <c r="H59" s="137">
        <v>54</v>
      </c>
      <c r="I59" s="138" t="str">
        <f t="shared" si="4"/>
        <v/>
      </c>
      <c r="J59" s="137">
        <f t="shared" si="5"/>
        <v>-3</v>
      </c>
      <c r="K59" s="137">
        <f t="shared" si="1"/>
        <v>-30</v>
      </c>
      <c r="L59" s="137"/>
      <c r="M59" s="139">
        <f t="shared" si="2"/>
        <v>0</v>
      </c>
    </row>
    <row r="60" spans="1:13">
      <c r="A60" s="42"/>
      <c r="B60" s="36" t="str">
        <f t="shared" si="6"/>
        <v/>
      </c>
      <c r="C60" s="24"/>
      <c r="D60" s="24"/>
      <c r="E60" s="24"/>
      <c r="F60" s="24"/>
      <c r="G60" s="120"/>
      <c r="H60" s="134">
        <v>55</v>
      </c>
      <c r="I60" s="135" t="str">
        <f t="shared" si="4"/>
        <v/>
      </c>
      <c r="J60" s="134">
        <f t="shared" si="5"/>
        <v>-3</v>
      </c>
      <c r="K60" s="134">
        <f t="shared" si="1"/>
        <v>-30</v>
      </c>
      <c r="L60" s="134"/>
      <c r="M60" s="136">
        <f t="shared" si="2"/>
        <v>0</v>
      </c>
    </row>
    <row r="61" spans="1:13">
      <c r="A61" s="41"/>
      <c r="B61" s="35" t="str">
        <f t="shared" si="6"/>
        <v/>
      </c>
      <c r="C61" s="25"/>
      <c r="D61" s="25"/>
      <c r="E61" s="25"/>
      <c r="F61" s="25"/>
      <c r="G61" s="120"/>
      <c r="H61" s="137">
        <v>56</v>
      </c>
      <c r="I61" s="138" t="str">
        <f t="shared" si="4"/>
        <v/>
      </c>
      <c r="J61" s="137">
        <f t="shared" si="5"/>
        <v>-3</v>
      </c>
      <c r="K61" s="137">
        <f t="shared" si="1"/>
        <v>-30</v>
      </c>
      <c r="L61" s="137"/>
      <c r="M61" s="139">
        <f t="shared" si="2"/>
        <v>0</v>
      </c>
    </row>
    <row r="62" spans="1:13">
      <c r="A62" s="42"/>
      <c r="B62" s="36" t="str">
        <f t="shared" si="6"/>
        <v/>
      </c>
      <c r="C62" s="24"/>
      <c r="D62" s="24"/>
      <c r="E62" s="24"/>
      <c r="F62" s="24"/>
      <c r="G62" s="120"/>
      <c r="H62" s="134">
        <v>57</v>
      </c>
      <c r="I62" s="135" t="str">
        <f t="shared" si="4"/>
        <v/>
      </c>
      <c r="J62" s="134">
        <f t="shared" si="5"/>
        <v>-3</v>
      </c>
      <c r="K62" s="134">
        <f t="shared" si="1"/>
        <v>-30</v>
      </c>
      <c r="L62" s="134"/>
      <c r="M62" s="136">
        <f t="shared" si="2"/>
        <v>0</v>
      </c>
    </row>
    <row r="63" spans="1:13">
      <c r="A63" s="41"/>
      <c r="B63" s="35" t="str">
        <f t="shared" si="6"/>
        <v/>
      </c>
      <c r="C63" s="25"/>
      <c r="D63" s="25"/>
      <c r="E63" s="25"/>
      <c r="F63" s="25"/>
      <c r="G63" s="120"/>
      <c r="H63" s="137">
        <v>58</v>
      </c>
      <c r="I63" s="138" t="str">
        <f t="shared" si="4"/>
        <v/>
      </c>
      <c r="J63" s="137">
        <f t="shared" si="5"/>
        <v>-3</v>
      </c>
      <c r="K63" s="137">
        <f t="shared" si="1"/>
        <v>-30</v>
      </c>
      <c r="L63" s="137"/>
      <c r="M63" s="139">
        <f t="shared" si="2"/>
        <v>0</v>
      </c>
    </row>
    <row r="64" spans="1:13">
      <c r="A64" s="42"/>
      <c r="B64" s="36" t="str">
        <f t="shared" si="6"/>
        <v/>
      </c>
      <c r="C64" s="24"/>
      <c r="D64" s="24"/>
      <c r="E64" s="24"/>
      <c r="F64" s="24"/>
      <c r="G64" s="120"/>
      <c r="H64" s="134">
        <v>59</v>
      </c>
      <c r="I64" s="135" t="str">
        <f t="shared" si="4"/>
        <v/>
      </c>
      <c r="J64" s="134">
        <f t="shared" si="5"/>
        <v>-3</v>
      </c>
      <c r="K64" s="134">
        <f t="shared" si="1"/>
        <v>-30</v>
      </c>
      <c r="L64" s="134"/>
      <c r="M64" s="136">
        <f t="shared" si="2"/>
        <v>0</v>
      </c>
    </row>
    <row r="65" spans="1:13">
      <c r="A65" s="41"/>
      <c r="B65" s="35" t="str">
        <f t="shared" si="6"/>
        <v/>
      </c>
      <c r="C65" s="25"/>
      <c r="D65" s="25"/>
      <c r="E65" s="25"/>
      <c r="F65" s="25"/>
      <c r="G65" s="120"/>
      <c r="H65" s="137">
        <v>60</v>
      </c>
      <c r="I65" s="138" t="str">
        <f t="shared" si="4"/>
        <v/>
      </c>
      <c r="J65" s="137">
        <f t="shared" si="5"/>
        <v>-3</v>
      </c>
      <c r="K65" s="137">
        <f t="shared" si="1"/>
        <v>-30</v>
      </c>
      <c r="L65" s="137"/>
      <c r="M65" s="139">
        <f t="shared" si="2"/>
        <v>0</v>
      </c>
    </row>
    <row r="66" spans="1:13">
      <c r="A66" s="150"/>
      <c r="B66" s="36"/>
      <c r="G66" s="120"/>
      <c r="H66" s="134">
        <v>61</v>
      </c>
      <c r="I66" s="135" t="str">
        <f t="shared" si="4"/>
        <v/>
      </c>
      <c r="J66" s="134">
        <f t="shared" si="5"/>
        <v>-3</v>
      </c>
      <c r="K66" s="134">
        <f t="shared" si="1"/>
        <v>-30</v>
      </c>
      <c r="L66" s="134"/>
      <c r="M66" s="136">
        <f t="shared" si="2"/>
        <v>0</v>
      </c>
    </row>
    <row r="67" spans="1:13">
      <c r="A67" s="150"/>
      <c r="B67" s="35"/>
      <c r="G67" s="120"/>
      <c r="H67" s="134">
        <v>62</v>
      </c>
      <c r="I67" s="135" t="str">
        <f t="shared" si="4"/>
        <v/>
      </c>
      <c r="J67" s="134">
        <f t="shared" si="5"/>
        <v>-3</v>
      </c>
      <c r="K67" s="134">
        <f t="shared" si="1"/>
        <v>-30</v>
      </c>
      <c r="L67" s="134"/>
      <c r="M67" s="136">
        <f t="shared" si="2"/>
        <v>0</v>
      </c>
    </row>
    <row r="68" spans="1:13">
      <c r="A68" s="150"/>
      <c r="B68" s="36"/>
      <c r="G68" s="120"/>
      <c r="H68" s="134">
        <v>63</v>
      </c>
      <c r="I68" s="135" t="str">
        <f t="shared" si="4"/>
        <v/>
      </c>
      <c r="J68" s="134">
        <f t="shared" si="5"/>
        <v>-3</v>
      </c>
      <c r="K68" s="134">
        <f t="shared" si="1"/>
        <v>-30</v>
      </c>
      <c r="L68" s="134"/>
      <c r="M68" s="136">
        <f t="shared" si="2"/>
        <v>0</v>
      </c>
    </row>
    <row r="69" spans="1:13">
      <c r="A69" s="150"/>
      <c r="B69" s="35"/>
      <c r="G69" s="120"/>
      <c r="H69" s="134">
        <v>64</v>
      </c>
      <c r="I69" s="135" t="str">
        <f t="shared" si="4"/>
        <v/>
      </c>
      <c r="J69" s="134">
        <f t="shared" si="5"/>
        <v>-3</v>
      </c>
      <c r="K69" s="134">
        <f t="shared" si="1"/>
        <v>-30</v>
      </c>
      <c r="L69" s="134"/>
      <c r="M69" s="136">
        <f t="shared" si="2"/>
        <v>0</v>
      </c>
    </row>
    <row r="70" spans="1:13">
      <c r="A70" s="150"/>
      <c r="G70" s="120"/>
      <c r="H70" s="134">
        <v>65</v>
      </c>
      <c r="I70" s="135" t="str">
        <f t="shared" si="4"/>
        <v/>
      </c>
      <c r="J70" s="134">
        <f t="shared" si="5"/>
        <v>-4</v>
      </c>
      <c r="K70" s="134">
        <f t="shared" ref="K70:K133" si="8">J70*$J$2</f>
        <v>-40</v>
      </c>
      <c r="L70" s="134"/>
      <c r="M70" s="136">
        <f t="shared" ref="M70:M133" si="9">IF(I70&lt;&gt;"",K70+I70+L70,0)</f>
        <v>0</v>
      </c>
    </row>
    <row r="71" spans="1:13">
      <c r="A71" s="150"/>
      <c r="G71" s="120"/>
      <c r="H71" s="134">
        <v>66</v>
      </c>
      <c r="I71" s="135" t="str">
        <f t="shared" ref="I71:I134" si="10">IF(H71&lt;$H$2+1,($I$2-($I$2-1)*(LOG(H71)/LOG($H$2))),"")</f>
        <v/>
      </c>
      <c r="J71" s="134">
        <f t="shared" ref="J71:J134" si="11">INT(LOG($H$2,2))-ROUNDUP(LOG(H71,2),0)+IF(OR($H$2=1,$H$2=2,$H$2=4,$H$2=8,$H$2=16,$H$2=32,$H$2=64,$H$2=128,$H$2=256),0,1)</f>
        <v>-4</v>
      </c>
      <c r="K71" s="134">
        <f t="shared" si="8"/>
        <v>-40</v>
      </c>
      <c r="L71" s="134"/>
      <c r="M71" s="136">
        <f t="shared" si="9"/>
        <v>0</v>
      </c>
    </row>
    <row r="72" spans="1:13">
      <c r="A72" s="150"/>
      <c r="G72" s="120"/>
      <c r="H72" s="134">
        <v>67</v>
      </c>
      <c r="I72" s="135" t="str">
        <f t="shared" si="10"/>
        <v/>
      </c>
      <c r="J72" s="134">
        <f t="shared" si="11"/>
        <v>-4</v>
      </c>
      <c r="K72" s="134">
        <f t="shared" si="8"/>
        <v>-40</v>
      </c>
      <c r="L72" s="134"/>
      <c r="M72" s="136">
        <f t="shared" si="9"/>
        <v>0</v>
      </c>
    </row>
    <row r="73" spans="1:13">
      <c r="A73" s="150"/>
      <c r="G73" s="120"/>
      <c r="H73" s="134">
        <v>68</v>
      </c>
      <c r="I73" s="135" t="str">
        <f t="shared" si="10"/>
        <v/>
      </c>
      <c r="J73" s="134">
        <f t="shared" si="11"/>
        <v>-4</v>
      </c>
      <c r="K73" s="134">
        <f t="shared" si="8"/>
        <v>-40</v>
      </c>
      <c r="L73" s="134"/>
      <c r="M73" s="136">
        <f t="shared" si="9"/>
        <v>0</v>
      </c>
    </row>
    <row r="74" spans="1:13">
      <c r="A74" s="150"/>
      <c r="G74" s="120"/>
      <c r="H74" s="134">
        <v>69</v>
      </c>
      <c r="I74" s="135" t="str">
        <f t="shared" si="10"/>
        <v/>
      </c>
      <c r="J74" s="134">
        <f t="shared" si="11"/>
        <v>-4</v>
      </c>
      <c r="K74" s="134">
        <f t="shared" si="8"/>
        <v>-40</v>
      </c>
      <c r="L74" s="134"/>
      <c r="M74" s="136">
        <f t="shared" si="9"/>
        <v>0</v>
      </c>
    </row>
    <row r="75" spans="1:13">
      <c r="A75" s="150"/>
      <c r="G75" s="120"/>
      <c r="H75" s="134">
        <v>70</v>
      </c>
      <c r="I75" s="135" t="str">
        <f t="shared" si="10"/>
        <v/>
      </c>
      <c r="J75" s="134">
        <f t="shared" si="11"/>
        <v>-4</v>
      </c>
      <c r="K75" s="134">
        <f t="shared" si="8"/>
        <v>-40</v>
      </c>
      <c r="L75" s="134"/>
      <c r="M75" s="136">
        <f t="shared" si="9"/>
        <v>0</v>
      </c>
    </row>
    <row r="76" spans="1:13">
      <c r="A76" s="150"/>
      <c r="G76" s="120"/>
      <c r="H76" s="134">
        <v>71</v>
      </c>
      <c r="I76" s="135" t="str">
        <f t="shared" si="10"/>
        <v/>
      </c>
      <c r="J76" s="134">
        <f t="shared" si="11"/>
        <v>-4</v>
      </c>
      <c r="K76" s="134">
        <f t="shared" si="8"/>
        <v>-40</v>
      </c>
      <c r="L76" s="134"/>
      <c r="M76" s="136">
        <f t="shared" si="9"/>
        <v>0</v>
      </c>
    </row>
    <row r="77" spans="1:13">
      <c r="A77" s="150"/>
      <c r="G77" s="120"/>
      <c r="H77" s="134">
        <v>72</v>
      </c>
      <c r="I77" s="135" t="str">
        <f t="shared" si="10"/>
        <v/>
      </c>
      <c r="J77" s="134">
        <f t="shared" si="11"/>
        <v>-4</v>
      </c>
      <c r="K77" s="134">
        <f t="shared" si="8"/>
        <v>-40</v>
      </c>
      <c r="L77" s="134"/>
      <c r="M77" s="136">
        <f t="shared" si="9"/>
        <v>0</v>
      </c>
    </row>
    <row r="78" spans="1:13">
      <c r="A78" s="150"/>
      <c r="G78" s="120"/>
      <c r="H78" s="134">
        <v>73</v>
      </c>
      <c r="I78" s="135" t="str">
        <f t="shared" si="10"/>
        <v/>
      </c>
      <c r="J78" s="134">
        <f t="shared" si="11"/>
        <v>-4</v>
      </c>
      <c r="K78" s="134">
        <f t="shared" si="8"/>
        <v>-40</v>
      </c>
      <c r="L78" s="134"/>
      <c r="M78" s="136">
        <f t="shared" si="9"/>
        <v>0</v>
      </c>
    </row>
    <row r="79" spans="1:13">
      <c r="A79" s="150"/>
      <c r="G79" s="120"/>
      <c r="H79" s="134">
        <v>74</v>
      </c>
      <c r="I79" s="135" t="str">
        <f t="shared" si="10"/>
        <v/>
      </c>
      <c r="J79" s="134">
        <f t="shared" si="11"/>
        <v>-4</v>
      </c>
      <c r="K79" s="134">
        <f t="shared" si="8"/>
        <v>-40</v>
      </c>
      <c r="L79" s="134"/>
      <c r="M79" s="136">
        <f t="shared" si="9"/>
        <v>0</v>
      </c>
    </row>
    <row r="80" spans="1:13">
      <c r="A80" s="150"/>
      <c r="G80" s="120"/>
      <c r="H80" s="134">
        <v>75</v>
      </c>
      <c r="I80" s="135" t="str">
        <f t="shared" si="10"/>
        <v/>
      </c>
      <c r="J80" s="134">
        <f t="shared" si="11"/>
        <v>-4</v>
      </c>
      <c r="K80" s="134">
        <f t="shared" si="8"/>
        <v>-40</v>
      </c>
      <c r="L80" s="134"/>
      <c r="M80" s="136">
        <f t="shared" si="9"/>
        <v>0</v>
      </c>
    </row>
    <row r="81" spans="1:13">
      <c r="A81" s="150"/>
      <c r="G81" s="120"/>
      <c r="H81" s="134">
        <v>76</v>
      </c>
      <c r="I81" s="135" t="str">
        <f t="shared" si="10"/>
        <v/>
      </c>
      <c r="J81" s="134">
        <f t="shared" si="11"/>
        <v>-4</v>
      </c>
      <c r="K81" s="134">
        <f t="shared" si="8"/>
        <v>-40</v>
      </c>
      <c r="L81" s="134"/>
      <c r="M81" s="136">
        <f t="shared" si="9"/>
        <v>0</v>
      </c>
    </row>
    <row r="82" spans="1:13">
      <c r="A82" s="150"/>
      <c r="G82" s="120"/>
      <c r="H82" s="134">
        <v>77</v>
      </c>
      <c r="I82" s="135" t="str">
        <f t="shared" si="10"/>
        <v/>
      </c>
      <c r="J82" s="134">
        <f t="shared" si="11"/>
        <v>-4</v>
      </c>
      <c r="K82" s="134">
        <f t="shared" si="8"/>
        <v>-40</v>
      </c>
      <c r="L82" s="134"/>
      <c r="M82" s="136">
        <f t="shared" si="9"/>
        <v>0</v>
      </c>
    </row>
    <row r="83" spans="1:13">
      <c r="A83" s="150"/>
      <c r="G83" s="120"/>
      <c r="H83" s="134">
        <v>78</v>
      </c>
      <c r="I83" s="135" t="str">
        <f t="shared" si="10"/>
        <v/>
      </c>
      <c r="J83" s="134">
        <f t="shared" si="11"/>
        <v>-4</v>
      </c>
      <c r="K83" s="134">
        <f t="shared" si="8"/>
        <v>-40</v>
      </c>
      <c r="L83" s="134"/>
      <c r="M83" s="136">
        <f t="shared" si="9"/>
        <v>0</v>
      </c>
    </row>
    <row r="84" spans="1:13">
      <c r="A84" s="150"/>
      <c r="G84" s="120"/>
      <c r="H84" s="134">
        <v>79</v>
      </c>
      <c r="I84" s="135" t="str">
        <f t="shared" si="10"/>
        <v/>
      </c>
      <c r="J84" s="134">
        <f t="shared" si="11"/>
        <v>-4</v>
      </c>
      <c r="K84" s="134">
        <f t="shared" si="8"/>
        <v>-40</v>
      </c>
      <c r="L84" s="134"/>
      <c r="M84" s="136">
        <f t="shared" si="9"/>
        <v>0</v>
      </c>
    </row>
    <row r="85" spans="1:13">
      <c r="A85" s="150"/>
      <c r="G85" s="120"/>
      <c r="H85" s="134">
        <v>80</v>
      </c>
      <c r="I85" s="135" t="str">
        <f t="shared" si="10"/>
        <v/>
      </c>
      <c r="J85" s="134">
        <f t="shared" si="11"/>
        <v>-4</v>
      </c>
      <c r="K85" s="134">
        <f t="shared" si="8"/>
        <v>-40</v>
      </c>
      <c r="L85" s="134"/>
      <c r="M85" s="136">
        <f t="shared" si="9"/>
        <v>0</v>
      </c>
    </row>
    <row r="86" spans="1:13">
      <c r="A86" s="150"/>
      <c r="G86" s="120"/>
      <c r="H86" s="134">
        <v>81</v>
      </c>
      <c r="I86" s="135" t="str">
        <f t="shared" si="10"/>
        <v/>
      </c>
      <c r="J86" s="134">
        <f t="shared" si="11"/>
        <v>-4</v>
      </c>
      <c r="K86" s="134">
        <f t="shared" si="8"/>
        <v>-40</v>
      </c>
      <c r="L86" s="134"/>
      <c r="M86" s="136">
        <f t="shared" si="9"/>
        <v>0</v>
      </c>
    </row>
    <row r="87" spans="1:13">
      <c r="A87" s="150"/>
      <c r="G87" s="120"/>
      <c r="H87" s="134">
        <v>82</v>
      </c>
      <c r="I87" s="135" t="str">
        <f t="shared" si="10"/>
        <v/>
      </c>
      <c r="J87" s="134">
        <f t="shared" si="11"/>
        <v>-4</v>
      </c>
      <c r="K87" s="134">
        <f t="shared" si="8"/>
        <v>-40</v>
      </c>
      <c r="L87" s="134"/>
      <c r="M87" s="136">
        <f t="shared" si="9"/>
        <v>0</v>
      </c>
    </row>
    <row r="88" spans="1:13">
      <c r="A88" s="150"/>
      <c r="G88" s="120"/>
      <c r="H88" s="134">
        <v>83</v>
      </c>
      <c r="I88" s="135" t="str">
        <f t="shared" si="10"/>
        <v/>
      </c>
      <c r="J88" s="134">
        <f t="shared" si="11"/>
        <v>-4</v>
      </c>
      <c r="K88" s="134">
        <f t="shared" si="8"/>
        <v>-40</v>
      </c>
      <c r="L88" s="134"/>
      <c r="M88" s="136">
        <f t="shared" si="9"/>
        <v>0</v>
      </c>
    </row>
    <row r="89" spans="1:13">
      <c r="A89" s="150"/>
      <c r="G89" s="120"/>
      <c r="H89" s="134">
        <v>84</v>
      </c>
      <c r="I89" s="135" t="str">
        <f t="shared" si="10"/>
        <v/>
      </c>
      <c r="J89" s="134">
        <f t="shared" si="11"/>
        <v>-4</v>
      </c>
      <c r="K89" s="134">
        <f t="shared" si="8"/>
        <v>-40</v>
      </c>
      <c r="L89" s="134"/>
      <c r="M89" s="136">
        <f t="shared" si="9"/>
        <v>0</v>
      </c>
    </row>
    <row r="90" spans="1:13">
      <c r="A90" s="150"/>
      <c r="G90" s="120"/>
      <c r="H90" s="134">
        <v>85</v>
      </c>
      <c r="I90" s="135" t="str">
        <f t="shared" si="10"/>
        <v/>
      </c>
      <c r="J90" s="134">
        <f t="shared" si="11"/>
        <v>-4</v>
      </c>
      <c r="K90" s="134">
        <f t="shared" si="8"/>
        <v>-40</v>
      </c>
      <c r="L90" s="134"/>
      <c r="M90" s="136">
        <f t="shared" si="9"/>
        <v>0</v>
      </c>
    </row>
    <row r="91" spans="1:13">
      <c r="A91" s="150"/>
      <c r="G91" s="120"/>
      <c r="H91" s="134">
        <v>86</v>
      </c>
      <c r="I91" s="135" t="str">
        <f t="shared" si="10"/>
        <v/>
      </c>
      <c r="J91" s="134">
        <f t="shared" si="11"/>
        <v>-4</v>
      </c>
      <c r="K91" s="134">
        <f t="shared" si="8"/>
        <v>-40</v>
      </c>
      <c r="L91" s="134"/>
      <c r="M91" s="136">
        <f t="shared" si="9"/>
        <v>0</v>
      </c>
    </row>
    <row r="92" spans="1:13">
      <c r="A92" s="150"/>
      <c r="G92" s="120"/>
      <c r="H92" s="134">
        <v>87</v>
      </c>
      <c r="I92" s="135" t="str">
        <f t="shared" si="10"/>
        <v/>
      </c>
      <c r="J92" s="134">
        <f t="shared" si="11"/>
        <v>-4</v>
      </c>
      <c r="K92" s="134">
        <f t="shared" si="8"/>
        <v>-40</v>
      </c>
      <c r="L92" s="134"/>
      <c r="M92" s="136">
        <f t="shared" si="9"/>
        <v>0</v>
      </c>
    </row>
    <row r="93" spans="1:13">
      <c r="A93" s="150"/>
      <c r="G93" s="120"/>
      <c r="H93" s="134">
        <v>88</v>
      </c>
      <c r="I93" s="135" t="str">
        <f t="shared" si="10"/>
        <v/>
      </c>
      <c r="J93" s="134">
        <f t="shared" si="11"/>
        <v>-4</v>
      </c>
      <c r="K93" s="134">
        <f t="shared" si="8"/>
        <v>-40</v>
      </c>
      <c r="L93" s="134"/>
      <c r="M93" s="136">
        <f t="shared" si="9"/>
        <v>0</v>
      </c>
    </row>
    <row r="94" spans="1:13">
      <c r="A94" s="150"/>
      <c r="G94" s="120"/>
      <c r="H94" s="134">
        <v>89</v>
      </c>
      <c r="I94" s="135" t="str">
        <f t="shared" si="10"/>
        <v/>
      </c>
      <c r="J94" s="134">
        <f t="shared" si="11"/>
        <v>-4</v>
      </c>
      <c r="K94" s="134">
        <f t="shared" si="8"/>
        <v>-40</v>
      </c>
      <c r="L94" s="134"/>
      <c r="M94" s="136">
        <f t="shared" si="9"/>
        <v>0</v>
      </c>
    </row>
    <row r="95" spans="1:13">
      <c r="A95" s="150"/>
      <c r="G95" s="120"/>
      <c r="H95" s="134">
        <v>90</v>
      </c>
      <c r="I95" s="135" t="str">
        <f t="shared" si="10"/>
        <v/>
      </c>
      <c r="J95" s="134">
        <f t="shared" si="11"/>
        <v>-4</v>
      </c>
      <c r="K95" s="134">
        <f t="shared" si="8"/>
        <v>-40</v>
      </c>
      <c r="L95" s="134"/>
      <c r="M95" s="136">
        <f t="shared" si="9"/>
        <v>0</v>
      </c>
    </row>
    <row r="96" spans="1:13">
      <c r="A96" s="150"/>
      <c r="G96" s="120"/>
      <c r="H96" s="134">
        <v>91</v>
      </c>
      <c r="I96" s="135" t="str">
        <f t="shared" si="10"/>
        <v/>
      </c>
      <c r="J96" s="134">
        <f t="shared" si="11"/>
        <v>-4</v>
      </c>
      <c r="K96" s="134">
        <f t="shared" si="8"/>
        <v>-40</v>
      </c>
      <c r="L96" s="134"/>
      <c r="M96" s="136">
        <f t="shared" si="9"/>
        <v>0</v>
      </c>
    </row>
    <row r="97" spans="1:13">
      <c r="A97" s="150"/>
      <c r="G97" s="120"/>
      <c r="H97" s="134">
        <v>92</v>
      </c>
      <c r="I97" s="135" t="str">
        <f t="shared" si="10"/>
        <v/>
      </c>
      <c r="J97" s="134">
        <f t="shared" si="11"/>
        <v>-4</v>
      </c>
      <c r="K97" s="134">
        <f t="shared" si="8"/>
        <v>-40</v>
      </c>
      <c r="L97" s="134"/>
      <c r="M97" s="136">
        <f t="shared" si="9"/>
        <v>0</v>
      </c>
    </row>
    <row r="98" spans="1:13">
      <c r="A98" s="150"/>
      <c r="G98" s="120"/>
      <c r="H98" s="134">
        <v>93</v>
      </c>
      <c r="I98" s="135" t="str">
        <f t="shared" si="10"/>
        <v/>
      </c>
      <c r="J98" s="134">
        <f t="shared" si="11"/>
        <v>-4</v>
      </c>
      <c r="K98" s="134">
        <f t="shared" si="8"/>
        <v>-40</v>
      </c>
      <c r="L98" s="134"/>
      <c r="M98" s="136">
        <f t="shared" si="9"/>
        <v>0</v>
      </c>
    </row>
    <row r="99" spans="1:13">
      <c r="A99" s="150"/>
      <c r="G99" s="120"/>
      <c r="H99" s="134">
        <v>94</v>
      </c>
      <c r="I99" s="135" t="str">
        <f t="shared" si="10"/>
        <v/>
      </c>
      <c r="J99" s="134">
        <f t="shared" si="11"/>
        <v>-4</v>
      </c>
      <c r="K99" s="134">
        <f t="shared" si="8"/>
        <v>-40</v>
      </c>
      <c r="L99" s="134"/>
      <c r="M99" s="136">
        <f t="shared" si="9"/>
        <v>0</v>
      </c>
    </row>
    <row r="100" spans="1:13">
      <c r="A100" s="150"/>
      <c r="G100" s="120"/>
      <c r="H100" s="134">
        <v>95</v>
      </c>
      <c r="I100" s="135" t="str">
        <f t="shared" si="10"/>
        <v/>
      </c>
      <c r="J100" s="134">
        <f t="shared" si="11"/>
        <v>-4</v>
      </c>
      <c r="K100" s="134">
        <f t="shared" si="8"/>
        <v>-40</v>
      </c>
      <c r="L100" s="134"/>
      <c r="M100" s="136">
        <f t="shared" si="9"/>
        <v>0</v>
      </c>
    </row>
    <row r="101" spans="1:13">
      <c r="A101" s="150"/>
      <c r="G101" s="120"/>
      <c r="H101" s="134">
        <v>96</v>
      </c>
      <c r="I101" s="135" t="str">
        <f t="shared" si="10"/>
        <v/>
      </c>
      <c r="J101" s="134">
        <f t="shared" si="11"/>
        <v>-4</v>
      </c>
      <c r="K101" s="134">
        <f t="shared" si="8"/>
        <v>-40</v>
      </c>
      <c r="L101" s="134"/>
      <c r="M101" s="136">
        <f t="shared" si="9"/>
        <v>0</v>
      </c>
    </row>
    <row r="102" spans="1:13">
      <c r="A102" s="150"/>
      <c r="G102" s="120"/>
      <c r="H102" s="134">
        <v>97</v>
      </c>
      <c r="I102" s="135" t="str">
        <f t="shared" si="10"/>
        <v/>
      </c>
      <c r="J102" s="134">
        <f t="shared" si="11"/>
        <v>-4</v>
      </c>
      <c r="K102" s="134">
        <f t="shared" si="8"/>
        <v>-40</v>
      </c>
      <c r="L102" s="134"/>
      <c r="M102" s="136">
        <f t="shared" si="9"/>
        <v>0</v>
      </c>
    </row>
    <row r="103" spans="1:13">
      <c r="A103" s="150"/>
      <c r="G103" s="120"/>
      <c r="H103" s="134">
        <v>98</v>
      </c>
      <c r="I103" s="135" t="str">
        <f t="shared" si="10"/>
        <v/>
      </c>
      <c r="J103" s="134">
        <f t="shared" si="11"/>
        <v>-4</v>
      </c>
      <c r="K103" s="134">
        <f t="shared" si="8"/>
        <v>-40</v>
      </c>
      <c r="L103" s="134"/>
      <c r="M103" s="136">
        <f t="shared" si="9"/>
        <v>0</v>
      </c>
    </row>
    <row r="104" spans="1:13">
      <c r="A104" s="150"/>
      <c r="G104" s="120"/>
      <c r="H104" s="134">
        <v>99</v>
      </c>
      <c r="I104" s="135" t="str">
        <f t="shared" si="10"/>
        <v/>
      </c>
      <c r="J104" s="134">
        <f t="shared" si="11"/>
        <v>-4</v>
      </c>
      <c r="K104" s="134">
        <f t="shared" si="8"/>
        <v>-40</v>
      </c>
      <c r="L104" s="134"/>
      <c r="M104" s="136">
        <f t="shared" si="9"/>
        <v>0</v>
      </c>
    </row>
    <row r="105" spans="1:13">
      <c r="A105" s="150"/>
      <c r="G105" s="120"/>
      <c r="H105" s="134">
        <v>100</v>
      </c>
      <c r="I105" s="135" t="str">
        <f t="shared" si="10"/>
        <v/>
      </c>
      <c r="J105" s="134">
        <f t="shared" si="11"/>
        <v>-4</v>
      </c>
      <c r="K105" s="134">
        <f t="shared" si="8"/>
        <v>-40</v>
      </c>
      <c r="L105" s="134"/>
      <c r="M105" s="136">
        <f t="shared" si="9"/>
        <v>0</v>
      </c>
    </row>
    <row r="106" spans="1:13">
      <c r="A106" s="150"/>
      <c r="G106" s="120"/>
      <c r="H106" s="134">
        <v>101</v>
      </c>
      <c r="I106" s="135" t="str">
        <f t="shared" si="10"/>
        <v/>
      </c>
      <c r="J106" s="134">
        <f t="shared" si="11"/>
        <v>-4</v>
      </c>
      <c r="K106" s="134">
        <f t="shared" si="8"/>
        <v>-40</v>
      </c>
      <c r="L106" s="134"/>
      <c r="M106" s="136">
        <f t="shared" si="9"/>
        <v>0</v>
      </c>
    </row>
    <row r="107" spans="1:13">
      <c r="A107" s="150"/>
      <c r="G107" s="120"/>
      <c r="H107" s="134">
        <v>102</v>
      </c>
      <c r="I107" s="135" t="str">
        <f t="shared" si="10"/>
        <v/>
      </c>
      <c r="J107" s="134">
        <f t="shared" si="11"/>
        <v>-4</v>
      </c>
      <c r="K107" s="134">
        <f t="shared" si="8"/>
        <v>-40</v>
      </c>
      <c r="L107" s="134"/>
      <c r="M107" s="136">
        <f t="shared" si="9"/>
        <v>0</v>
      </c>
    </row>
    <row r="108" spans="1:13">
      <c r="A108" s="150"/>
      <c r="G108" s="120"/>
      <c r="H108" s="134">
        <v>103</v>
      </c>
      <c r="I108" s="135" t="str">
        <f t="shared" si="10"/>
        <v/>
      </c>
      <c r="J108" s="134">
        <f t="shared" si="11"/>
        <v>-4</v>
      </c>
      <c r="K108" s="134">
        <f t="shared" si="8"/>
        <v>-40</v>
      </c>
      <c r="L108" s="134"/>
      <c r="M108" s="136">
        <f t="shared" si="9"/>
        <v>0</v>
      </c>
    </row>
    <row r="109" spans="1:13">
      <c r="A109" s="150"/>
      <c r="G109" s="120"/>
      <c r="H109" s="134">
        <v>104</v>
      </c>
      <c r="I109" s="135" t="str">
        <f t="shared" si="10"/>
        <v/>
      </c>
      <c r="J109" s="134">
        <f t="shared" si="11"/>
        <v>-4</v>
      </c>
      <c r="K109" s="134">
        <f t="shared" si="8"/>
        <v>-40</v>
      </c>
      <c r="L109" s="134"/>
      <c r="M109" s="136">
        <f t="shared" si="9"/>
        <v>0</v>
      </c>
    </row>
    <row r="110" spans="1:13">
      <c r="A110" s="150"/>
      <c r="G110" s="120"/>
      <c r="H110" s="134">
        <v>105</v>
      </c>
      <c r="I110" s="135" t="str">
        <f t="shared" si="10"/>
        <v/>
      </c>
      <c r="J110" s="134">
        <f t="shared" si="11"/>
        <v>-4</v>
      </c>
      <c r="K110" s="134">
        <f t="shared" si="8"/>
        <v>-40</v>
      </c>
      <c r="L110" s="134"/>
      <c r="M110" s="136">
        <f t="shared" si="9"/>
        <v>0</v>
      </c>
    </row>
    <row r="111" spans="1:13">
      <c r="A111" s="150"/>
      <c r="G111" s="120"/>
      <c r="H111" s="134">
        <v>106</v>
      </c>
      <c r="I111" s="135" t="str">
        <f t="shared" si="10"/>
        <v/>
      </c>
      <c r="J111" s="134">
        <f t="shared" si="11"/>
        <v>-4</v>
      </c>
      <c r="K111" s="134">
        <f t="shared" si="8"/>
        <v>-40</v>
      </c>
      <c r="L111" s="134"/>
      <c r="M111" s="136">
        <f t="shared" si="9"/>
        <v>0</v>
      </c>
    </row>
    <row r="112" spans="1:13">
      <c r="A112" s="150"/>
      <c r="G112" s="120"/>
      <c r="H112" s="134">
        <v>107</v>
      </c>
      <c r="I112" s="135" t="str">
        <f t="shared" si="10"/>
        <v/>
      </c>
      <c r="J112" s="134">
        <f t="shared" si="11"/>
        <v>-4</v>
      </c>
      <c r="K112" s="134">
        <f t="shared" si="8"/>
        <v>-40</v>
      </c>
      <c r="L112" s="134"/>
      <c r="M112" s="136">
        <f t="shared" si="9"/>
        <v>0</v>
      </c>
    </row>
    <row r="113" spans="1:13">
      <c r="A113" s="150"/>
      <c r="G113" s="120"/>
      <c r="H113" s="134">
        <v>108</v>
      </c>
      <c r="I113" s="135" t="str">
        <f t="shared" si="10"/>
        <v/>
      </c>
      <c r="J113" s="134">
        <f t="shared" si="11"/>
        <v>-4</v>
      </c>
      <c r="K113" s="134">
        <f t="shared" si="8"/>
        <v>-40</v>
      </c>
      <c r="L113" s="134"/>
      <c r="M113" s="136">
        <f t="shared" si="9"/>
        <v>0</v>
      </c>
    </row>
    <row r="114" spans="1:13">
      <c r="A114" s="150"/>
      <c r="G114" s="120"/>
      <c r="H114" s="134">
        <v>109</v>
      </c>
      <c r="I114" s="135" t="str">
        <f t="shared" si="10"/>
        <v/>
      </c>
      <c r="J114" s="134">
        <f t="shared" si="11"/>
        <v>-4</v>
      </c>
      <c r="K114" s="134">
        <f t="shared" si="8"/>
        <v>-40</v>
      </c>
      <c r="L114" s="134"/>
      <c r="M114" s="136">
        <f t="shared" si="9"/>
        <v>0</v>
      </c>
    </row>
    <row r="115" spans="1:13">
      <c r="A115" s="150"/>
      <c r="G115" s="120"/>
      <c r="H115" s="134">
        <v>110</v>
      </c>
      <c r="I115" s="135" t="str">
        <f t="shared" si="10"/>
        <v/>
      </c>
      <c r="J115" s="134">
        <f t="shared" si="11"/>
        <v>-4</v>
      </c>
      <c r="K115" s="134">
        <f t="shared" si="8"/>
        <v>-40</v>
      </c>
      <c r="L115" s="134"/>
      <c r="M115" s="136">
        <f t="shared" si="9"/>
        <v>0</v>
      </c>
    </row>
    <row r="116" spans="1:13">
      <c r="A116" s="150"/>
      <c r="G116" s="120"/>
      <c r="H116" s="134">
        <v>111</v>
      </c>
      <c r="I116" s="135" t="str">
        <f t="shared" si="10"/>
        <v/>
      </c>
      <c r="J116" s="134">
        <f t="shared" si="11"/>
        <v>-4</v>
      </c>
      <c r="K116" s="134">
        <f t="shared" si="8"/>
        <v>-40</v>
      </c>
      <c r="L116" s="134"/>
      <c r="M116" s="136">
        <f t="shared" si="9"/>
        <v>0</v>
      </c>
    </row>
    <row r="117" spans="1:13">
      <c r="A117" s="150"/>
      <c r="G117" s="120"/>
      <c r="H117" s="134">
        <v>112</v>
      </c>
      <c r="I117" s="135" t="str">
        <f t="shared" si="10"/>
        <v/>
      </c>
      <c r="J117" s="134">
        <f t="shared" si="11"/>
        <v>-4</v>
      </c>
      <c r="K117" s="134">
        <f t="shared" si="8"/>
        <v>-40</v>
      </c>
      <c r="L117" s="134"/>
      <c r="M117" s="136">
        <f t="shared" si="9"/>
        <v>0</v>
      </c>
    </row>
    <row r="118" spans="1:13">
      <c r="A118" s="150"/>
      <c r="G118" s="120"/>
      <c r="H118" s="134">
        <v>113</v>
      </c>
      <c r="I118" s="135" t="str">
        <f t="shared" si="10"/>
        <v/>
      </c>
      <c r="J118" s="134">
        <f t="shared" si="11"/>
        <v>-4</v>
      </c>
      <c r="K118" s="134">
        <f t="shared" si="8"/>
        <v>-40</v>
      </c>
      <c r="L118" s="134"/>
      <c r="M118" s="136">
        <f t="shared" si="9"/>
        <v>0</v>
      </c>
    </row>
    <row r="119" spans="1:13">
      <c r="A119" s="150"/>
      <c r="G119" s="120"/>
      <c r="H119" s="134">
        <v>114</v>
      </c>
      <c r="I119" s="135" t="str">
        <f t="shared" si="10"/>
        <v/>
      </c>
      <c r="J119" s="134">
        <f t="shared" si="11"/>
        <v>-4</v>
      </c>
      <c r="K119" s="134">
        <f t="shared" si="8"/>
        <v>-40</v>
      </c>
      <c r="L119" s="134"/>
      <c r="M119" s="136">
        <f t="shared" si="9"/>
        <v>0</v>
      </c>
    </row>
    <row r="120" spans="1:13">
      <c r="A120" s="150"/>
      <c r="G120" s="120"/>
      <c r="H120" s="134">
        <v>115</v>
      </c>
      <c r="I120" s="135" t="str">
        <f t="shared" si="10"/>
        <v/>
      </c>
      <c r="J120" s="134">
        <f t="shared" si="11"/>
        <v>-4</v>
      </c>
      <c r="K120" s="134">
        <f t="shared" si="8"/>
        <v>-40</v>
      </c>
      <c r="L120" s="134"/>
      <c r="M120" s="136">
        <f t="shared" si="9"/>
        <v>0</v>
      </c>
    </row>
    <row r="121" spans="1:13">
      <c r="A121" s="150"/>
      <c r="G121" s="120"/>
      <c r="H121" s="134">
        <v>116</v>
      </c>
      <c r="I121" s="135" t="str">
        <f t="shared" si="10"/>
        <v/>
      </c>
      <c r="J121" s="134">
        <f t="shared" si="11"/>
        <v>-4</v>
      </c>
      <c r="K121" s="134">
        <f t="shared" si="8"/>
        <v>-40</v>
      </c>
      <c r="L121" s="134"/>
      <c r="M121" s="136">
        <f t="shared" si="9"/>
        <v>0</v>
      </c>
    </row>
    <row r="122" spans="1:13">
      <c r="A122" s="150"/>
      <c r="G122" s="120"/>
      <c r="H122" s="134">
        <v>117</v>
      </c>
      <c r="I122" s="135" t="str">
        <f t="shared" si="10"/>
        <v/>
      </c>
      <c r="J122" s="134">
        <f t="shared" si="11"/>
        <v>-4</v>
      </c>
      <c r="K122" s="134">
        <f t="shared" si="8"/>
        <v>-40</v>
      </c>
      <c r="L122" s="134"/>
      <c r="M122" s="136">
        <f t="shared" si="9"/>
        <v>0</v>
      </c>
    </row>
    <row r="123" spans="1:13">
      <c r="A123" s="150"/>
      <c r="G123" s="120"/>
      <c r="H123" s="134">
        <v>118</v>
      </c>
      <c r="I123" s="135" t="str">
        <f t="shared" si="10"/>
        <v/>
      </c>
      <c r="J123" s="134">
        <f t="shared" si="11"/>
        <v>-4</v>
      </c>
      <c r="K123" s="134">
        <f t="shared" si="8"/>
        <v>-40</v>
      </c>
      <c r="L123" s="134"/>
      <c r="M123" s="136">
        <f t="shared" si="9"/>
        <v>0</v>
      </c>
    </row>
    <row r="124" spans="1:13">
      <c r="A124" s="150"/>
      <c r="G124" s="120"/>
      <c r="H124" s="134">
        <v>119</v>
      </c>
      <c r="I124" s="135" t="str">
        <f t="shared" si="10"/>
        <v/>
      </c>
      <c r="J124" s="134">
        <f t="shared" si="11"/>
        <v>-4</v>
      </c>
      <c r="K124" s="134">
        <f t="shared" si="8"/>
        <v>-40</v>
      </c>
      <c r="L124" s="134"/>
      <c r="M124" s="136">
        <f t="shared" si="9"/>
        <v>0</v>
      </c>
    </row>
    <row r="125" spans="1:13">
      <c r="A125" s="150"/>
      <c r="G125" s="120"/>
      <c r="H125" s="134">
        <v>120</v>
      </c>
      <c r="I125" s="135" t="str">
        <f t="shared" si="10"/>
        <v/>
      </c>
      <c r="J125" s="134">
        <f t="shared" si="11"/>
        <v>-4</v>
      </c>
      <c r="K125" s="134">
        <f t="shared" si="8"/>
        <v>-40</v>
      </c>
      <c r="L125" s="134"/>
      <c r="M125" s="136">
        <f t="shared" si="9"/>
        <v>0</v>
      </c>
    </row>
    <row r="126" spans="1:13">
      <c r="A126" s="150"/>
      <c r="G126" s="120"/>
      <c r="H126" s="134">
        <v>121</v>
      </c>
      <c r="I126" s="135" t="str">
        <f t="shared" si="10"/>
        <v/>
      </c>
      <c r="J126" s="134">
        <f t="shared" si="11"/>
        <v>-4</v>
      </c>
      <c r="K126" s="134">
        <f t="shared" si="8"/>
        <v>-40</v>
      </c>
      <c r="L126" s="134"/>
      <c r="M126" s="136">
        <f t="shared" si="9"/>
        <v>0</v>
      </c>
    </row>
    <row r="127" spans="1:13">
      <c r="A127" s="150"/>
      <c r="G127" s="120"/>
      <c r="H127" s="134">
        <v>122</v>
      </c>
      <c r="I127" s="135" t="str">
        <f t="shared" si="10"/>
        <v/>
      </c>
      <c r="J127" s="134">
        <f t="shared" si="11"/>
        <v>-4</v>
      </c>
      <c r="K127" s="134">
        <f t="shared" si="8"/>
        <v>-40</v>
      </c>
      <c r="L127" s="134"/>
      <c r="M127" s="136">
        <f t="shared" si="9"/>
        <v>0</v>
      </c>
    </row>
    <row r="128" spans="1:13">
      <c r="A128" s="150"/>
      <c r="G128" s="120"/>
      <c r="H128" s="134">
        <v>123</v>
      </c>
      <c r="I128" s="135" t="str">
        <f t="shared" si="10"/>
        <v/>
      </c>
      <c r="J128" s="134">
        <f t="shared" si="11"/>
        <v>-4</v>
      </c>
      <c r="K128" s="134">
        <f t="shared" si="8"/>
        <v>-40</v>
      </c>
      <c r="L128" s="134"/>
      <c r="M128" s="136">
        <f t="shared" si="9"/>
        <v>0</v>
      </c>
    </row>
    <row r="129" spans="1:13">
      <c r="A129" s="150"/>
      <c r="G129" s="120"/>
      <c r="H129" s="134">
        <v>124</v>
      </c>
      <c r="I129" s="135" t="str">
        <f t="shared" si="10"/>
        <v/>
      </c>
      <c r="J129" s="134">
        <f t="shared" si="11"/>
        <v>-4</v>
      </c>
      <c r="K129" s="134">
        <f t="shared" si="8"/>
        <v>-40</v>
      </c>
      <c r="L129" s="134"/>
      <c r="M129" s="136">
        <f t="shared" si="9"/>
        <v>0</v>
      </c>
    </row>
    <row r="130" spans="1:13">
      <c r="A130" s="150"/>
      <c r="G130" s="120"/>
      <c r="H130" s="134">
        <v>125</v>
      </c>
      <c r="I130" s="135" t="str">
        <f t="shared" si="10"/>
        <v/>
      </c>
      <c r="J130" s="134">
        <f t="shared" si="11"/>
        <v>-4</v>
      </c>
      <c r="K130" s="134">
        <f t="shared" si="8"/>
        <v>-40</v>
      </c>
      <c r="L130" s="134"/>
      <c r="M130" s="136">
        <f t="shared" si="9"/>
        <v>0</v>
      </c>
    </row>
    <row r="131" spans="1:13">
      <c r="A131" s="150"/>
      <c r="G131" s="120"/>
      <c r="H131" s="134">
        <v>126</v>
      </c>
      <c r="I131" s="135" t="str">
        <f t="shared" si="10"/>
        <v/>
      </c>
      <c r="J131" s="134">
        <f t="shared" si="11"/>
        <v>-4</v>
      </c>
      <c r="K131" s="134">
        <f t="shared" si="8"/>
        <v>-40</v>
      </c>
      <c r="L131" s="134"/>
      <c r="M131" s="136">
        <f t="shared" si="9"/>
        <v>0</v>
      </c>
    </row>
    <row r="132" spans="1:13">
      <c r="A132" s="150"/>
      <c r="G132" s="120"/>
      <c r="H132" s="134">
        <v>127</v>
      </c>
      <c r="I132" s="135" t="str">
        <f t="shared" si="10"/>
        <v/>
      </c>
      <c r="J132" s="134">
        <f t="shared" si="11"/>
        <v>-4</v>
      </c>
      <c r="K132" s="134">
        <f t="shared" si="8"/>
        <v>-40</v>
      </c>
      <c r="L132" s="134"/>
      <c r="M132" s="136">
        <f t="shared" si="9"/>
        <v>0</v>
      </c>
    </row>
    <row r="133" spans="1:13">
      <c r="A133" s="150"/>
      <c r="G133" s="120"/>
      <c r="H133" s="134">
        <v>128</v>
      </c>
      <c r="I133" s="135" t="str">
        <f t="shared" si="10"/>
        <v/>
      </c>
      <c r="J133" s="134">
        <f t="shared" si="11"/>
        <v>-4</v>
      </c>
      <c r="K133" s="134">
        <f t="shared" si="8"/>
        <v>-40</v>
      </c>
      <c r="L133" s="134"/>
      <c r="M133" s="136">
        <f t="shared" si="9"/>
        <v>0</v>
      </c>
    </row>
    <row r="134" spans="1:13">
      <c r="A134" s="150"/>
      <c r="G134" s="120"/>
      <c r="H134" s="134">
        <v>129</v>
      </c>
      <c r="I134" s="135" t="str">
        <f t="shared" si="10"/>
        <v/>
      </c>
      <c r="J134" s="134">
        <f t="shared" si="11"/>
        <v>-5</v>
      </c>
      <c r="K134" s="134">
        <f t="shared" ref="K134:K197" si="12">J134*$J$2</f>
        <v>-50</v>
      </c>
      <c r="L134" s="134"/>
      <c r="M134" s="136">
        <f t="shared" ref="M134:M197" si="13">IF(I134&lt;&gt;"",K134+I134+L134,0)</f>
        <v>0</v>
      </c>
    </row>
    <row r="135" spans="1:13">
      <c r="A135" s="150"/>
      <c r="G135" s="120"/>
      <c r="H135" s="134">
        <v>130</v>
      </c>
      <c r="I135" s="135" t="str">
        <f t="shared" ref="I135:I198" si="14">IF(H135&lt;$H$2+1,($I$2-($I$2-1)*(LOG(H135)/LOG($H$2))),"")</f>
        <v/>
      </c>
      <c r="J135" s="134">
        <f t="shared" ref="J135:J198" si="15">INT(LOG($H$2,2))-ROUNDUP(LOG(H135,2),0)+IF(OR($H$2=1,$H$2=2,$H$2=4,$H$2=8,$H$2=16,$H$2=32,$H$2=64,$H$2=128,$H$2=256),0,1)</f>
        <v>-5</v>
      </c>
      <c r="K135" s="134">
        <f t="shared" si="12"/>
        <v>-50</v>
      </c>
      <c r="L135" s="134"/>
      <c r="M135" s="136">
        <f t="shared" si="13"/>
        <v>0</v>
      </c>
    </row>
    <row r="136" spans="1:13">
      <c r="A136" s="150"/>
      <c r="G136" s="120"/>
      <c r="H136" s="134">
        <v>131</v>
      </c>
      <c r="I136" s="135" t="str">
        <f t="shared" si="14"/>
        <v/>
      </c>
      <c r="J136" s="134">
        <f t="shared" si="15"/>
        <v>-5</v>
      </c>
      <c r="K136" s="134">
        <f t="shared" si="12"/>
        <v>-50</v>
      </c>
      <c r="L136" s="134"/>
      <c r="M136" s="136">
        <f t="shared" si="13"/>
        <v>0</v>
      </c>
    </row>
    <row r="137" spans="1:13">
      <c r="A137" s="150"/>
      <c r="G137" s="120"/>
      <c r="H137" s="134">
        <v>132</v>
      </c>
      <c r="I137" s="135" t="str">
        <f t="shared" si="14"/>
        <v/>
      </c>
      <c r="J137" s="134">
        <f t="shared" si="15"/>
        <v>-5</v>
      </c>
      <c r="K137" s="134">
        <f t="shared" si="12"/>
        <v>-50</v>
      </c>
      <c r="L137" s="134"/>
      <c r="M137" s="136">
        <f t="shared" si="13"/>
        <v>0</v>
      </c>
    </row>
    <row r="138" spans="1:13">
      <c r="A138" s="150"/>
      <c r="G138" s="120"/>
      <c r="H138" s="134">
        <v>133</v>
      </c>
      <c r="I138" s="135" t="str">
        <f t="shared" si="14"/>
        <v/>
      </c>
      <c r="J138" s="134">
        <f t="shared" si="15"/>
        <v>-5</v>
      </c>
      <c r="K138" s="134">
        <f t="shared" si="12"/>
        <v>-50</v>
      </c>
      <c r="L138" s="134"/>
      <c r="M138" s="136">
        <f t="shared" si="13"/>
        <v>0</v>
      </c>
    </row>
    <row r="139" spans="1:13">
      <c r="A139" s="150"/>
      <c r="G139" s="120"/>
      <c r="H139" s="134">
        <v>134</v>
      </c>
      <c r="I139" s="135" t="str">
        <f t="shared" si="14"/>
        <v/>
      </c>
      <c r="J139" s="134">
        <f t="shared" si="15"/>
        <v>-5</v>
      </c>
      <c r="K139" s="134">
        <f t="shared" si="12"/>
        <v>-50</v>
      </c>
      <c r="L139" s="134"/>
      <c r="M139" s="136">
        <f t="shared" si="13"/>
        <v>0</v>
      </c>
    </row>
    <row r="140" spans="1:13">
      <c r="A140" s="150"/>
      <c r="G140" s="120"/>
      <c r="H140" s="134">
        <v>135</v>
      </c>
      <c r="I140" s="135" t="str">
        <f t="shared" si="14"/>
        <v/>
      </c>
      <c r="J140" s="134">
        <f t="shared" si="15"/>
        <v>-5</v>
      </c>
      <c r="K140" s="134">
        <f t="shared" si="12"/>
        <v>-50</v>
      </c>
      <c r="L140" s="134"/>
      <c r="M140" s="136">
        <f t="shared" si="13"/>
        <v>0</v>
      </c>
    </row>
    <row r="141" spans="1:13">
      <c r="A141" s="150"/>
      <c r="G141" s="120"/>
      <c r="H141" s="134">
        <v>136</v>
      </c>
      <c r="I141" s="135" t="str">
        <f t="shared" si="14"/>
        <v/>
      </c>
      <c r="J141" s="134">
        <f t="shared" si="15"/>
        <v>-5</v>
      </c>
      <c r="K141" s="134">
        <f t="shared" si="12"/>
        <v>-50</v>
      </c>
      <c r="L141" s="134"/>
      <c r="M141" s="136">
        <f t="shared" si="13"/>
        <v>0</v>
      </c>
    </row>
    <row r="142" spans="1:13">
      <c r="A142" s="150"/>
      <c r="G142" s="120"/>
      <c r="H142" s="134">
        <v>137</v>
      </c>
      <c r="I142" s="135" t="str">
        <f t="shared" si="14"/>
        <v/>
      </c>
      <c r="J142" s="134">
        <f t="shared" si="15"/>
        <v>-5</v>
      </c>
      <c r="K142" s="134">
        <f t="shared" si="12"/>
        <v>-50</v>
      </c>
      <c r="L142" s="134"/>
      <c r="M142" s="136">
        <f t="shared" si="13"/>
        <v>0</v>
      </c>
    </row>
    <row r="143" spans="1:13">
      <c r="A143" s="150"/>
      <c r="G143" s="120"/>
      <c r="H143" s="134">
        <v>138</v>
      </c>
      <c r="I143" s="135" t="str">
        <f t="shared" si="14"/>
        <v/>
      </c>
      <c r="J143" s="134">
        <f t="shared" si="15"/>
        <v>-5</v>
      </c>
      <c r="K143" s="134">
        <f t="shared" si="12"/>
        <v>-50</v>
      </c>
      <c r="L143" s="134"/>
      <c r="M143" s="136">
        <f t="shared" si="13"/>
        <v>0</v>
      </c>
    </row>
    <row r="144" spans="1:13">
      <c r="A144" s="150"/>
      <c r="G144" s="120"/>
      <c r="H144" s="134">
        <v>139</v>
      </c>
      <c r="I144" s="135" t="str">
        <f t="shared" si="14"/>
        <v/>
      </c>
      <c r="J144" s="134">
        <f t="shared" si="15"/>
        <v>-5</v>
      </c>
      <c r="K144" s="134">
        <f t="shared" si="12"/>
        <v>-50</v>
      </c>
      <c r="L144" s="134"/>
      <c r="M144" s="136">
        <f t="shared" si="13"/>
        <v>0</v>
      </c>
    </row>
    <row r="145" spans="1:13">
      <c r="A145" s="150"/>
      <c r="G145" s="120"/>
      <c r="H145" s="134">
        <v>140</v>
      </c>
      <c r="I145" s="135" t="str">
        <f t="shared" si="14"/>
        <v/>
      </c>
      <c r="J145" s="134">
        <f t="shared" si="15"/>
        <v>-5</v>
      </c>
      <c r="K145" s="134">
        <f t="shared" si="12"/>
        <v>-50</v>
      </c>
      <c r="L145" s="134"/>
      <c r="M145" s="136">
        <f t="shared" si="13"/>
        <v>0</v>
      </c>
    </row>
    <row r="146" spans="1:13">
      <c r="A146" s="150"/>
      <c r="G146" s="120"/>
      <c r="H146" s="134">
        <v>141</v>
      </c>
      <c r="I146" s="135" t="str">
        <f t="shared" si="14"/>
        <v/>
      </c>
      <c r="J146" s="134">
        <f t="shared" si="15"/>
        <v>-5</v>
      </c>
      <c r="K146" s="134">
        <f t="shared" si="12"/>
        <v>-50</v>
      </c>
      <c r="L146" s="134"/>
      <c r="M146" s="136">
        <f t="shared" si="13"/>
        <v>0</v>
      </c>
    </row>
    <row r="147" spans="1:13">
      <c r="A147" s="150"/>
      <c r="G147" s="120"/>
      <c r="H147" s="134">
        <v>142</v>
      </c>
      <c r="I147" s="135" t="str">
        <f t="shared" si="14"/>
        <v/>
      </c>
      <c r="J147" s="134">
        <f t="shared" si="15"/>
        <v>-5</v>
      </c>
      <c r="K147" s="134">
        <f t="shared" si="12"/>
        <v>-50</v>
      </c>
      <c r="L147" s="134"/>
      <c r="M147" s="136">
        <f t="shared" si="13"/>
        <v>0</v>
      </c>
    </row>
    <row r="148" spans="1:13">
      <c r="A148" s="150"/>
      <c r="G148" s="120"/>
      <c r="H148" s="134">
        <v>143</v>
      </c>
      <c r="I148" s="135" t="str">
        <f t="shared" si="14"/>
        <v/>
      </c>
      <c r="J148" s="134">
        <f t="shared" si="15"/>
        <v>-5</v>
      </c>
      <c r="K148" s="134">
        <f t="shared" si="12"/>
        <v>-50</v>
      </c>
      <c r="L148" s="134"/>
      <c r="M148" s="136">
        <f t="shared" si="13"/>
        <v>0</v>
      </c>
    </row>
    <row r="149" spans="1:13">
      <c r="A149" s="150"/>
      <c r="G149" s="120"/>
      <c r="H149" s="134">
        <v>144</v>
      </c>
      <c r="I149" s="135" t="str">
        <f t="shared" si="14"/>
        <v/>
      </c>
      <c r="J149" s="134">
        <f t="shared" si="15"/>
        <v>-5</v>
      </c>
      <c r="K149" s="134">
        <f t="shared" si="12"/>
        <v>-50</v>
      </c>
      <c r="L149" s="134"/>
      <c r="M149" s="136">
        <f t="shared" si="13"/>
        <v>0</v>
      </c>
    </row>
    <row r="150" spans="1:13">
      <c r="A150" s="150"/>
      <c r="G150" s="120"/>
      <c r="H150" s="134">
        <v>145</v>
      </c>
      <c r="I150" s="135" t="str">
        <f t="shared" si="14"/>
        <v/>
      </c>
      <c r="J150" s="134">
        <f t="shared" si="15"/>
        <v>-5</v>
      </c>
      <c r="K150" s="134">
        <f t="shared" si="12"/>
        <v>-50</v>
      </c>
      <c r="L150" s="134"/>
      <c r="M150" s="136">
        <f t="shared" si="13"/>
        <v>0</v>
      </c>
    </row>
    <row r="151" spans="1:13">
      <c r="A151" s="150"/>
      <c r="G151" s="120"/>
      <c r="H151" s="134">
        <v>146</v>
      </c>
      <c r="I151" s="135" t="str">
        <f t="shared" si="14"/>
        <v/>
      </c>
      <c r="J151" s="134">
        <f t="shared" si="15"/>
        <v>-5</v>
      </c>
      <c r="K151" s="134">
        <f t="shared" si="12"/>
        <v>-50</v>
      </c>
      <c r="L151" s="134"/>
      <c r="M151" s="136">
        <f t="shared" si="13"/>
        <v>0</v>
      </c>
    </row>
    <row r="152" spans="1:13">
      <c r="A152" s="150"/>
      <c r="G152" s="120"/>
      <c r="H152" s="134">
        <v>147</v>
      </c>
      <c r="I152" s="135" t="str">
        <f t="shared" si="14"/>
        <v/>
      </c>
      <c r="J152" s="134">
        <f t="shared" si="15"/>
        <v>-5</v>
      </c>
      <c r="K152" s="134">
        <f t="shared" si="12"/>
        <v>-50</v>
      </c>
      <c r="L152" s="134"/>
      <c r="M152" s="136">
        <f t="shared" si="13"/>
        <v>0</v>
      </c>
    </row>
    <row r="153" spans="1:13">
      <c r="A153" s="150"/>
      <c r="G153" s="120"/>
      <c r="H153" s="134">
        <v>148</v>
      </c>
      <c r="I153" s="135" t="str">
        <f t="shared" si="14"/>
        <v/>
      </c>
      <c r="J153" s="134">
        <f t="shared" si="15"/>
        <v>-5</v>
      </c>
      <c r="K153" s="134">
        <f t="shared" si="12"/>
        <v>-50</v>
      </c>
      <c r="L153" s="134"/>
      <c r="M153" s="136">
        <f t="shared" si="13"/>
        <v>0</v>
      </c>
    </row>
    <row r="154" spans="1:13">
      <c r="A154" s="150"/>
      <c r="G154" s="120"/>
      <c r="H154" s="134">
        <v>149</v>
      </c>
      <c r="I154" s="135" t="str">
        <f t="shared" si="14"/>
        <v/>
      </c>
      <c r="J154" s="134">
        <f t="shared" si="15"/>
        <v>-5</v>
      </c>
      <c r="K154" s="134">
        <f t="shared" si="12"/>
        <v>-50</v>
      </c>
      <c r="L154" s="134"/>
      <c r="M154" s="136">
        <f t="shared" si="13"/>
        <v>0</v>
      </c>
    </row>
    <row r="155" spans="1:13">
      <c r="A155" s="150"/>
      <c r="G155" s="120"/>
      <c r="H155" s="134">
        <v>150</v>
      </c>
      <c r="I155" s="135" t="str">
        <f t="shared" si="14"/>
        <v/>
      </c>
      <c r="J155" s="134">
        <f t="shared" si="15"/>
        <v>-5</v>
      </c>
      <c r="K155" s="134">
        <f t="shared" si="12"/>
        <v>-50</v>
      </c>
      <c r="L155" s="134"/>
      <c r="M155" s="136">
        <f t="shared" si="13"/>
        <v>0</v>
      </c>
    </row>
    <row r="156" spans="1:13">
      <c r="A156" s="150"/>
      <c r="G156" s="120"/>
      <c r="H156" s="134">
        <v>151</v>
      </c>
      <c r="I156" s="135" t="str">
        <f t="shared" si="14"/>
        <v/>
      </c>
      <c r="J156" s="134">
        <f t="shared" si="15"/>
        <v>-5</v>
      </c>
      <c r="K156" s="134">
        <f t="shared" si="12"/>
        <v>-50</v>
      </c>
      <c r="L156" s="134"/>
      <c r="M156" s="136">
        <f t="shared" si="13"/>
        <v>0</v>
      </c>
    </row>
    <row r="157" spans="1:13">
      <c r="A157" s="150"/>
      <c r="G157" s="120"/>
      <c r="H157" s="134">
        <v>152</v>
      </c>
      <c r="I157" s="135" t="str">
        <f t="shared" si="14"/>
        <v/>
      </c>
      <c r="J157" s="134">
        <f t="shared" si="15"/>
        <v>-5</v>
      </c>
      <c r="K157" s="134">
        <f t="shared" si="12"/>
        <v>-50</v>
      </c>
      <c r="L157" s="134"/>
      <c r="M157" s="136">
        <f t="shared" si="13"/>
        <v>0</v>
      </c>
    </row>
    <row r="158" spans="1:13">
      <c r="A158" s="150"/>
      <c r="G158" s="120"/>
      <c r="H158" s="134">
        <v>153</v>
      </c>
      <c r="I158" s="135" t="str">
        <f t="shared" si="14"/>
        <v/>
      </c>
      <c r="J158" s="134">
        <f t="shared" si="15"/>
        <v>-5</v>
      </c>
      <c r="K158" s="134">
        <f t="shared" si="12"/>
        <v>-50</v>
      </c>
      <c r="L158" s="134"/>
      <c r="M158" s="136">
        <f t="shared" si="13"/>
        <v>0</v>
      </c>
    </row>
    <row r="159" spans="1:13">
      <c r="A159" s="150"/>
      <c r="G159" s="120"/>
      <c r="H159" s="134">
        <v>154</v>
      </c>
      <c r="I159" s="135" t="str">
        <f t="shared" si="14"/>
        <v/>
      </c>
      <c r="J159" s="134">
        <f t="shared" si="15"/>
        <v>-5</v>
      </c>
      <c r="K159" s="134">
        <f t="shared" si="12"/>
        <v>-50</v>
      </c>
      <c r="L159" s="134"/>
      <c r="M159" s="136">
        <f t="shared" si="13"/>
        <v>0</v>
      </c>
    </row>
    <row r="160" spans="1:13">
      <c r="A160" s="150"/>
      <c r="G160" s="120"/>
      <c r="H160" s="134">
        <v>155</v>
      </c>
      <c r="I160" s="135" t="str">
        <f t="shared" si="14"/>
        <v/>
      </c>
      <c r="J160" s="134">
        <f t="shared" si="15"/>
        <v>-5</v>
      </c>
      <c r="K160" s="134">
        <f t="shared" si="12"/>
        <v>-50</v>
      </c>
      <c r="L160" s="134"/>
      <c r="M160" s="136">
        <f t="shared" si="13"/>
        <v>0</v>
      </c>
    </row>
    <row r="161" spans="1:13">
      <c r="A161" s="150"/>
      <c r="G161" s="120"/>
      <c r="H161" s="134">
        <v>156</v>
      </c>
      <c r="I161" s="135" t="str">
        <f t="shared" si="14"/>
        <v/>
      </c>
      <c r="J161" s="134">
        <f t="shared" si="15"/>
        <v>-5</v>
      </c>
      <c r="K161" s="134">
        <f t="shared" si="12"/>
        <v>-50</v>
      </c>
      <c r="L161" s="134"/>
      <c r="M161" s="136">
        <f t="shared" si="13"/>
        <v>0</v>
      </c>
    </row>
    <row r="162" spans="1:13">
      <c r="A162" s="150"/>
      <c r="G162" s="120"/>
      <c r="H162" s="134">
        <v>157</v>
      </c>
      <c r="I162" s="135" t="str">
        <f t="shared" si="14"/>
        <v/>
      </c>
      <c r="J162" s="134">
        <f t="shared" si="15"/>
        <v>-5</v>
      </c>
      <c r="K162" s="134">
        <f t="shared" si="12"/>
        <v>-50</v>
      </c>
      <c r="L162" s="134"/>
      <c r="M162" s="136">
        <f t="shared" si="13"/>
        <v>0</v>
      </c>
    </row>
    <row r="163" spans="1:13">
      <c r="A163" s="150"/>
      <c r="G163" s="120"/>
      <c r="H163" s="134">
        <v>158</v>
      </c>
      <c r="I163" s="135" t="str">
        <f t="shared" si="14"/>
        <v/>
      </c>
      <c r="J163" s="134">
        <f t="shared" si="15"/>
        <v>-5</v>
      </c>
      <c r="K163" s="134">
        <f t="shared" si="12"/>
        <v>-50</v>
      </c>
      <c r="L163" s="134"/>
      <c r="M163" s="136">
        <f t="shared" si="13"/>
        <v>0</v>
      </c>
    </row>
    <row r="164" spans="1:13">
      <c r="A164" s="150"/>
      <c r="G164" s="120"/>
      <c r="H164" s="134">
        <v>159</v>
      </c>
      <c r="I164" s="135" t="str">
        <f t="shared" si="14"/>
        <v/>
      </c>
      <c r="J164" s="134">
        <f t="shared" si="15"/>
        <v>-5</v>
      </c>
      <c r="K164" s="134">
        <f t="shared" si="12"/>
        <v>-50</v>
      </c>
      <c r="L164" s="134"/>
      <c r="M164" s="136">
        <f t="shared" si="13"/>
        <v>0</v>
      </c>
    </row>
    <row r="165" spans="1:13">
      <c r="A165" s="150"/>
      <c r="G165" s="120"/>
      <c r="H165" s="134">
        <v>160</v>
      </c>
      <c r="I165" s="135" t="str">
        <f t="shared" si="14"/>
        <v/>
      </c>
      <c r="J165" s="134">
        <f t="shared" si="15"/>
        <v>-5</v>
      </c>
      <c r="K165" s="134">
        <f t="shared" si="12"/>
        <v>-50</v>
      </c>
      <c r="L165" s="134"/>
      <c r="M165" s="136">
        <f t="shared" si="13"/>
        <v>0</v>
      </c>
    </row>
    <row r="166" spans="1:13">
      <c r="A166" s="150"/>
      <c r="G166" s="120"/>
      <c r="H166" s="134">
        <v>161</v>
      </c>
      <c r="I166" s="135" t="str">
        <f t="shared" si="14"/>
        <v/>
      </c>
      <c r="J166" s="134">
        <f t="shared" si="15"/>
        <v>-5</v>
      </c>
      <c r="K166" s="134">
        <f t="shared" si="12"/>
        <v>-50</v>
      </c>
      <c r="L166" s="134"/>
      <c r="M166" s="136">
        <f t="shared" si="13"/>
        <v>0</v>
      </c>
    </row>
    <row r="167" spans="1:13">
      <c r="A167" s="150"/>
      <c r="G167" s="120"/>
      <c r="H167" s="134">
        <v>162</v>
      </c>
      <c r="I167" s="135" t="str">
        <f t="shared" si="14"/>
        <v/>
      </c>
      <c r="J167" s="134">
        <f t="shared" si="15"/>
        <v>-5</v>
      </c>
      <c r="K167" s="134">
        <f t="shared" si="12"/>
        <v>-50</v>
      </c>
      <c r="L167" s="134"/>
      <c r="M167" s="136">
        <f t="shared" si="13"/>
        <v>0</v>
      </c>
    </row>
    <row r="168" spans="1:13">
      <c r="A168" s="150"/>
      <c r="G168" s="120"/>
      <c r="H168" s="134">
        <v>163</v>
      </c>
      <c r="I168" s="135" t="str">
        <f t="shared" si="14"/>
        <v/>
      </c>
      <c r="J168" s="134">
        <f t="shared" si="15"/>
        <v>-5</v>
      </c>
      <c r="K168" s="134">
        <f t="shared" si="12"/>
        <v>-50</v>
      </c>
      <c r="L168" s="134"/>
      <c r="M168" s="136">
        <f t="shared" si="13"/>
        <v>0</v>
      </c>
    </row>
    <row r="169" spans="1:13">
      <c r="A169" s="150"/>
      <c r="G169" s="120"/>
      <c r="H169" s="134">
        <v>164</v>
      </c>
      <c r="I169" s="135" t="str">
        <f t="shared" si="14"/>
        <v/>
      </c>
      <c r="J169" s="134">
        <f t="shared" si="15"/>
        <v>-5</v>
      </c>
      <c r="K169" s="134">
        <f t="shared" si="12"/>
        <v>-50</v>
      </c>
      <c r="L169" s="134"/>
      <c r="M169" s="136">
        <f t="shared" si="13"/>
        <v>0</v>
      </c>
    </row>
    <row r="170" spans="1:13">
      <c r="A170" s="150"/>
      <c r="G170" s="120"/>
      <c r="H170" s="134">
        <v>165</v>
      </c>
      <c r="I170" s="135" t="str">
        <f t="shared" si="14"/>
        <v/>
      </c>
      <c r="J170" s="134">
        <f t="shared" si="15"/>
        <v>-5</v>
      </c>
      <c r="K170" s="134">
        <f t="shared" si="12"/>
        <v>-50</v>
      </c>
      <c r="L170" s="134"/>
      <c r="M170" s="136">
        <f t="shared" si="13"/>
        <v>0</v>
      </c>
    </row>
    <row r="171" spans="1:13">
      <c r="A171" s="150"/>
      <c r="G171" s="120"/>
      <c r="H171" s="134">
        <v>166</v>
      </c>
      <c r="I171" s="135" t="str">
        <f t="shared" si="14"/>
        <v/>
      </c>
      <c r="J171" s="134">
        <f t="shared" si="15"/>
        <v>-5</v>
      </c>
      <c r="K171" s="134">
        <f t="shared" si="12"/>
        <v>-50</v>
      </c>
      <c r="L171" s="134"/>
      <c r="M171" s="136">
        <f t="shared" si="13"/>
        <v>0</v>
      </c>
    </row>
    <row r="172" spans="1:13">
      <c r="A172" s="150"/>
      <c r="G172" s="120"/>
      <c r="H172" s="134">
        <v>167</v>
      </c>
      <c r="I172" s="135" t="str">
        <f t="shared" si="14"/>
        <v/>
      </c>
      <c r="J172" s="134">
        <f t="shared" si="15"/>
        <v>-5</v>
      </c>
      <c r="K172" s="134">
        <f t="shared" si="12"/>
        <v>-50</v>
      </c>
      <c r="L172" s="134"/>
      <c r="M172" s="136">
        <f t="shared" si="13"/>
        <v>0</v>
      </c>
    </row>
    <row r="173" spans="1:13">
      <c r="A173" s="150"/>
      <c r="G173" s="120"/>
      <c r="H173" s="134">
        <v>168</v>
      </c>
      <c r="I173" s="135" t="str">
        <f t="shared" si="14"/>
        <v/>
      </c>
      <c r="J173" s="134">
        <f t="shared" si="15"/>
        <v>-5</v>
      </c>
      <c r="K173" s="134">
        <f t="shared" si="12"/>
        <v>-50</v>
      </c>
      <c r="L173" s="134"/>
      <c r="M173" s="136">
        <f t="shared" si="13"/>
        <v>0</v>
      </c>
    </row>
    <row r="174" spans="1:13">
      <c r="A174" s="150"/>
      <c r="G174" s="120"/>
      <c r="H174" s="134">
        <v>169</v>
      </c>
      <c r="I174" s="135" t="str">
        <f t="shared" si="14"/>
        <v/>
      </c>
      <c r="J174" s="134">
        <f t="shared" si="15"/>
        <v>-5</v>
      </c>
      <c r="K174" s="134">
        <f t="shared" si="12"/>
        <v>-50</v>
      </c>
      <c r="L174" s="134"/>
      <c r="M174" s="136">
        <f t="shared" si="13"/>
        <v>0</v>
      </c>
    </row>
    <row r="175" spans="1:13">
      <c r="A175" s="150"/>
      <c r="G175" s="120"/>
      <c r="H175" s="134">
        <v>170</v>
      </c>
      <c r="I175" s="135" t="str">
        <f t="shared" si="14"/>
        <v/>
      </c>
      <c r="J175" s="134">
        <f t="shared" si="15"/>
        <v>-5</v>
      </c>
      <c r="K175" s="134">
        <f t="shared" si="12"/>
        <v>-50</v>
      </c>
      <c r="L175" s="134"/>
      <c r="M175" s="136">
        <f t="shared" si="13"/>
        <v>0</v>
      </c>
    </row>
    <row r="176" spans="1:13">
      <c r="A176" s="150"/>
      <c r="G176" s="120"/>
      <c r="H176" s="134">
        <v>171</v>
      </c>
      <c r="I176" s="135" t="str">
        <f t="shared" si="14"/>
        <v/>
      </c>
      <c r="J176" s="134">
        <f t="shared" si="15"/>
        <v>-5</v>
      </c>
      <c r="K176" s="134">
        <f t="shared" si="12"/>
        <v>-50</v>
      </c>
      <c r="L176" s="134"/>
      <c r="M176" s="136">
        <f t="shared" si="13"/>
        <v>0</v>
      </c>
    </row>
    <row r="177" spans="1:13">
      <c r="A177" s="150"/>
      <c r="G177" s="120"/>
      <c r="H177" s="134">
        <v>172</v>
      </c>
      <c r="I177" s="135" t="str">
        <f t="shared" si="14"/>
        <v/>
      </c>
      <c r="J177" s="134">
        <f t="shared" si="15"/>
        <v>-5</v>
      </c>
      <c r="K177" s="134">
        <f t="shared" si="12"/>
        <v>-50</v>
      </c>
      <c r="L177" s="134"/>
      <c r="M177" s="136">
        <f t="shared" si="13"/>
        <v>0</v>
      </c>
    </row>
    <row r="178" spans="1:13">
      <c r="A178" s="150"/>
      <c r="G178" s="120"/>
      <c r="H178" s="134">
        <v>173</v>
      </c>
      <c r="I178" s="135" t="str">
        <f t="shared" si="14"/>
        <v/>
      </c>
      <c r="J178" s="134">
        <f t="shared" si="15"/>
        <v>-5</v>
      </c>
      <c r="K178" s="134">
        <f t="shared" si="12"/>
        <v>-50</v>
      </c>
      <c r="L178" s="134"/>
      <c r="M178" s="136">
        <f t="shared" si="13"/>
        <v>0</v>
      </c>
    </row>
    <row r="179" spans="1:13">
      <c r="A179" s="150"/>
      <c r="G179" s="120"/>
      <c r="H179" s="134">
        <v>174</v>
      </c>
      <c r="I179" s="135" t="str">
        <f t="shared" si="14"/>
        <v/>
      </c>
      <c r="J179" s="134">
        <f t="shared" si="15"/>
        <v>-5</v>
      </c>
      <c r="K179" s="134">
        <f t="shared" si="12"/>
        <v>-50</v>
      </c>
      <c r="L179" s="134"/>
      <c r="M179" s="136">
        <f t="shared" si="13"/>
        <v>0</v>
      </c>
    </row>
    <row r="180" spans="1:13">
      <c r="A180" s="150"/>
      <c r="G180" s="120"/>
      <c r="H180" s="134">
        <v>175</v>
      </c>
      <c r="I180" s="135" t="str">
        <f t="shared" si="14"/>
        <v/>
      </c>
      <c r="J180" s="134">
        <f t="shared" si="15"/>
        <v>-5</v>
      </c>
      <c r="K180" s="134">
        <f t="shared" si="12"/>
        <v>-50</v>
      </c>
      <c r="L180" s="134"/>
      <c r="M180" s="136">
        <f t="shared" si="13"/>
        <v>0</v>
      </c>
    </row>
    <row r="181" spans="1:13">
      <c r="A181" s="150"/>
      <c r="G181" s="120"/>
      <c r="H181" s="134">
        <v>176</v>
      </c>
      <c r="I181" s="135" t="str">
        <f t="shared" si="14"/>
        <v/>
      </c>
      <c r="J181" s="134">
        <f t="shared" si="15"/>
        <v>-5</v>
      </c>
      <c r="K181" s="134">
        <f t="shared" si="12"/>
        <v>-50</v>
      </c>
      <c r="L181" s="134"/>
      <c r="M181" s="136">
        <f t="shared" si="13"/>
        <v>0</v>
      </c>
    </row>
    <row r="182" spans="1:13">
      <c r="A182" s="150"/>
      <c r="G182" s="120"/>
      <c r="H182" s="134">
        <v>177</v>
      </c>
      <c r="I182" s="135" t="str">
        <f t="shared" si="14"/>
        <v/>
      </c>
      <c r="J182" s="134">
        <f t="shared" si="15"/>
        <v>-5</v>
      </c>
      <c r="K182" s="134">
        <f t="shared" si="12"/>
        <v>-50</v>
      </c>
      <c r="L182" s="134"/>
      <c r="M182" s="136">
        <f t="shared" si="13"/>
        <v>0</v>
      </c>
    </row>
    <row r="183" spans="1:13">
      <c r="A183" s="150"/>
      <c r="G183" s="120"/>
      <c r="H183" s="134">
        <v>178</v>
      </c>
      <c r="I183" s="135" t="str">
        <f t="shared" si="14"/>
        <v/>
      </c>
      <c r="J183" s="134">
        <f t="shared" si="15"/>
        <v>-5</v>
      </c>
      <c r="K183" s="134">
        <f t="shared" si="12"/>
        <v>-50</v>
      </c>
      <c r="L183" s="134"/>
      <c r="M183" s="136">
        <f t="shared" si="13"/>
        <v>0</v>
      </c>
    </row>
    <row r="184" spans="1:13">
      <c r="A184" s="150"/>
      <c r="G184" s="120"/>
      <c r="H184" s="134">
        <v>179</v>
      </c>
      <c r="I184" s="135" t="str">
        <f t="shared" si="14"/>
        <v/>
      </c>
      <c r="J184" s="134">
        <f t="shared" si="15"/>
        <v>-5</v>
      </c>
      <c r="K184" s="134">
        <f t="shared" si="12"/>
        <v>-50</v>
      </c>
      <c r="L184" s="134"/>
      <c r="M184" s="136">
        <f t="shared" si="13"/>
        <v>0</v>
      </c>
    </row>
    <row r="185" spans="1:13">
      <c r="A185" s="150"/>
      <c r="G185" s="120"/>
      <c r="H185" s="134">
        <v>180</v>
      </c>
      <c r="I185" s="135" t="str">
        <f t="shared" si="14"/>
        <v/>
      </c>
      <c r="J185" s="134">
        <f t="shared" si="15"/>
        <v>-5</v>
      </c>
      <c r="K185" s="134">
        <f t="shared" si="12"/>
        <v>-50</v>
      </c>
      <c r="L185" s="134"/>
      <c r="M185" s="136">
        <f t="shared" si="13"/>
        <v>0</v>
      </c>
    </row>
    <row r="186" spans="1:13">
      <c r="A186" s="150"/>
      <c r="G186" s="120"/>
      <c r="H186" s="134">
        <v>181</v>
      </c>
      <c r="I186" s="135" t="str">
        <f t="shared" si="14"/>
        <v/>
      </c>
      <c r="J186" s="134">
        <f t="shared" si="15"/>
        <v>-5</v>
      </c>
      <c r="K186" s="134">
        <f t="shared" si="12"/>
        <v>-50</v>
      </c>
      <c r="L186" s="134"/>
      <c r="M186" s="136">
        <f t="shared" si="13"/>
        <v>0</v>
      </c>
    </row>
    <row r="187" spans="1:13">
      <c r="A187" s="150"/>
      <c r="G187" s="120"/>
      <c r="H187" s="134">
        <v>182</v>
      </c>
      <c r="I187" s="135" t="str">
        <f t="shared" si="14"/>
        <v/>
      </c>
      <c r="J187" s="134">
        <f t="shared" si="15"/>
        <v>-5</v>
      </c>
      <c r="K187" s="134">
        <f t="shared" si="12"/>
        <v>-50</v>
      </c>
      <c r="L187" s="134"/>
      <c r="M187" s="136">
        <f t="shared" si="13"/>
        <v>0</v>
      </c>
    </row>
    <row r="188" spans="1:13">
      <c r="A188" s="150"/>
      <c r="G188" s="120"/>
      <c r="H188" s="134">
        <v>183</v>
      </c>
      <c r="I188" s="135" t="str">
        <f t="shared" si="14"/>
        <v/>
      </c>
      <c r="J188" s="134">
        <f t="shared" si="15"/>
        <v>-5</v>
      </c>
      <c r="K188" s="134">
        <f t="shared" si="12"/>
        <v>-50</v>
      </c>
      <c r="L188" s="134"/>
      <c r="M188" s="136">
        <f t="shared" si="13"/>
        <v>0</v>
      </c>
    </row>
    <row r="189" spans="1:13">
      <c r="A189" s="150"/>
      <c r="G189" s="120"/>
      <c r="H189" s="134">
        <v>184</v>
      </c>
      <c r="I189" s="135" t="str">
        <f t="shared" si="14"/>
        <v/>
      </c>
      <c r="J189" s="134">
        <f t="shared" si="15"/>
        <v>-5</v>
      </c>
      <c r="K189" s="134">
        <f t="shared" si="12"/>
        <v>-50</v>
      </c>
      <c r="L189" s="134"/>
      <c r="M189" s="136">
        <f t="shared" si="13"/>
        <v>0</v>
      </c>
    </row>
    <row r="190" spans="1:13">
      <c r="A190" s="150"/>
      <c r="G190" s="120"/>
      <c r="H190" s="134">
        <v>185</v>
      </c>
      <c r="I190" s="135" t="str">
        <f t="shared" si="14"/>
        <v/>
      </c>
      <c r="J190" s="134">
        <f t="shared" si="15"/>
        <v>-5</v>
      </c>
      <c r="K190" s="134">
        <f t="shared" si="12"/>
        <v>-50</v>
      </c>
      <c r="L190" s="134"/>
      <c r="M190" s="136">
        <f t="shared" si="13"/>
        <v>0</v>
      </c>
    </row>
    <row r="191" spans="1:13">
      <c r="A191" s="150"/>
      <c r="G191" s="120"/>
      <c r="H191" s="134">
        <v>186</v>
      </c>
      <c r="I191" s="135" t="str">
        <f t="shared" si="14"/>
        <v/>
      </c>
      <c r="J191" s="134">
        <f t="shared" si="15"/>
        <v>-5</v>
      </c>
      <c r="K191" s="134">
        <f t="shared" si="12"/>
        <v>-50</v>
      </c>
      <c r="L191" s="134"/>
      <c r="M191" s="136">
        <f t="shared" si="13"/>
        <v>0</v>
      </c>
    </row>
    <row r="192" spans="1:13">
      <c r="A192" s="150"/>
      <c r="G192" s="120"/>
      <c r="H192" s="134">
        <v>187</v>
      </c>
      <c r="I192" s="135" t="str">
        <f t="shared" si="14"/>
        <v/>
      </c>
      <c r="J192" s="134">
        <f t="shared" si="15"/>
        <v>-5</v>
      </c>
      <c r="K192" s="134">
        <f t="shared" si="12"/>
        <v>-50</v>
      </c>
      <c r="L192" s="134"/>
      <c r="M192" s="136">
        <f t="shared" si="13"/>
        <v>0</v>
      </c>
    </row>
    <row r="193" spans="1:13">
      <c r="A193" s="150"/>
      <c r="G193" s="120"/>
      <c r="H193" s="134">
        <v>188</v>
      </c>
      <c r="I193" s="135" t="str">
        <f t="shared" si="14"/>
        <v/>
      </c>
      <c r="J193" s="134">
        <f t="shared" si="15"/>
        <v>-5</v>
      </c>
      <c r="K193" s="134">
        <f t="shared" si="12"/>
        <v>-50</v>
      </c>
      <c r="L193" s="134"/>
      <c r="M193" s="136">
        <f t="shared" si="13"/>
        <v>0</v>
      </c>
    </row>
    <row r="194" spans="1:13">
      <c r="A194" s="150"/>
      <c r="G194" s="120"/>
      <c r="H194" s="134">
        <v>189</v>
      </c>
      <c r="I194" s="135" t="str">
        <f t="shared" si="14"/>
        <v/>
      </c>
      <c r="J194" s="134">
        <f t="shared" si="15"/>
        <v>-5</v>
      </c>
      <c r="K194" s="134">
        <f t="shared" si="12"/>
        <v>-50</v>
      </c>
      <c r="L194" s="134"/>
      <c r="M194" s="136">
        <f t="shared" si="13"/>
        <v>0</v>
      </c>
    </row>
    <row r="195" spans="1:13">
      <c r="A195" s="150"/>
      <c r="G195" s="120"/>
      <c r="H195" s="134">
        <v>190</v>
      </c>
      <c r="I195" s="135" t="str">
        <f t="shared" si="14"/>
        <v/>
      </c>
      <c r="J195" s="134">
        <f t="shared" si="15"/>
        <v>-5</v>
      </c>
      <c r="K195" s="134">
        <f t="shared" si="12"/>
        <v>-50</v>
      </c>
      <c r="L195" s="134"/>
      <c r="M195" s="136">
        <f t="shared" si="13"/>
        <v>0</v>
      </c>
    </row>
    <row r="196" spans="1:13">
      <c r="A196" s="150"/>
      <c r="G196" s="120"/>
      <c r="H196" s="134">
        <v>191</v>
      </c>
      <c r="I196" s="135" t="str">
        <f t="shared" si="14"/>
        <v/>
      </c>
      <c r="J196" s="134">
        <f t="shared" si="15"/>
        <v>-5</v>
      </c>
      <c r="K196" s="134">
        <f t="shared" si="12"/>
        <v>-50</v>
      </c>
      <c r="L196" s="134"/>
      <c r="M196" s="136">
        <f t="shared" si="13"/>
        <v>0</v>
      </c>
    </row>
    <row r="197" spans="1:13">
      <c r="A197" s="150"/>
      <c r="G197" s="120"/>
      <c r="H197" s="134">
        <v>192</v>
      </c>
      <c r="I197" s="135" t="str">
        <f t="shared" si="14"/>
        <v/>
      </c>
      <c r="J197" s="134">
        <f t="shared" si="15"/>
        <v>-5</v>
      </c>
      <c r="K197" s="134">
        <f t="shared" si="12"/>
        <v>-50</v>
      </c>
      <c r="L197" s="134"/>
      <c r="M197" s="136">
        <f t="shared" si="13"/>
        <v>0</v>
      </c>
    </row>
    <row r="198" spans="1:13">
      <c r="A198" s="150"/>
      <c r="G198" s="120"/>
      <c r="H198" s="134">
        <v>193</v>
      </c>
      <c r="I198" s="135" t="str">
        <f t="shared" si="14"/>
        <v/>
      </c>
      <c r="J198" s="134">
        <f t="shared" si="15"/>
        <v>-5</v>
      </c>
      <c r="K198" s="134">
        <f t="shared" ref="K198:K261" si="16">J198*$J$2</f>
        <v>-50</v>
      </c>
      <c r="L198" s="134"/>
      <c r="M198" s="136">
        <f t="shared" ref="M198:M261" si="17">IF(I198&lt;&gt;"",K198+I198+L198,0)</f>
        <v>0</v>
      </c>
    </row>
    <row r="199" spans="1:13">
      <c r="A199" s="150"/>
      <c r="G199" s="120"/>
      <c r="H199" s="134">
        <v>194</v>
      </c>
      <c r="I199" s="135" t="str">
        <f t="shared" ref="I199:I262" si="18">IF(H199&lt;$H$2+1,($I$2-($I$2-1)*(LOG(H199)/LOG($H$2))),"")</f>
        <v/>
      </c>
      <c r="J199" s="134">
        <f t="shared" ref="J199:J262" si="19">INT(LOG($H$2,2))-ROUNDUP(LOG(H199,2),0)+IF(OR($H$2=1,$H$2=2,$H$2=4,$H$2=8,$H$2=16,$H$2=32,$H$2=64,$H$2=128,$H$2=256),0,1)</f>
        <v>-5</v>
      </c>
      <c r="K199" s="134">
        <f t="shared" si="16"/>
        <v>-50</v>
      </c>
      <c r="L199" s="134"/>
      <c r="M199" s="136">
        <f t="shared" si="17"/>
        <v>0</v>
      </c>
    </row>
    <row r="200" spans="1:13">
      <c r="A200" s="150"/>
      <c r="G200" s="120"/>
      <c r="H200" s="134">
        <v>195</v>
      </c>
      <c r="I200" s="135" t="str">
        <f t="shared" si="18"/>
        <v/>
      </c>
      <c r="J200" s="134">
        <f t="shared" si="19"/>
        <v>-5</v>
      </c>
      <c r="K200" s="134">
        <f t="shared" si="16"/>
        <v>-50</v>
      </c>
      <c r="L200" s="134"/>
      <c r="M200" s="136">
        <f t="shared" si="17"/>
        <v>0</v>
      </c>
    </row>
    <row r="201" spans="1:13">
      <c r="A201" s="150"/>
      <c r="G201" s="120"/>
      <c r="H201" s="134">
        <v>196</v>
      </c>
      <c r="I201" s="135" t="str">
        <f t="shared" si="18"/>
        <v/>
      </c>
      <c r="J201" s="134">
        <f t="shared" si="19"/>
        <v>-5</v>
      </c>
      <c r="K201" s="134">
        <f t="shared" si="16"/>
        <v>-50</v>
      </c>
      <c r="L201" s="134"/>
      <c r="M201" s="136">
        <f t="shared" si="17"/>
        <v>0</v>
      </c>
    </row>
    <row r="202" spans="1:13">
      <c r="A202" s="150"/>
      <c r="G202" s="120"/>
      <c r="H202" s="134">
        <v>197</v>
      </c>
      <c r="I202" s="135" t="str">
        <f t="shared" si="18"/>
        <v/>
      </c>
      <c r="J202" s="134">
        <f t="shared" si="19"/>
        <v>-5</v>
      </c>
      <c r="K202" s="134">
        <f t="shared" si="16"/>
        <v>-50</v>
      </c>
      <c r="L202" s="134"/>
      <c r="M202" s="136">
        <f t="shared" si="17"/>
        <v>0</v>
      </c>
    </row>
    <row r="203" spans="1:13">
      <c r="A203" s="150"/>
      <c r="G203" s="120"/>
      <c r="H203" s="134">
        <v>198</v>
      </c>
      <c r="I203" s="135" t="str">
        <f t="shared" si="18"/>
        <v/>
      </c>
      <c r="J203" s="134">
        <f t="shared" si="19"/>
        <v>-5</v>
      </c>
      <c r="K203" s="134">
        <f t="shared" si="16"/>
        <v>-50</v>
      </c>
      <c r="L203" s="134"/>
      <c r="M203" s="136">
        <f t="shared" si="17"/>
        <v>0</v>
      </c>
    </row>
    <row r="204" spans="1:13">
      <c r="A204" s="150"/>
      <c r="G204" s="120"/>
      <c r="H204" s="134">
        <v>199</v>
      </c>
      <c r="I204" s="135" t="str">
        <f t="shared" si="18"/>
        <v/>
      </c>
      <c r="J204" s="134">
        <f t="shared" si="19"/>
        <v>-5</v>
      </c>
      <c r="K204" s="134">
        <f t="shared" si="16"/>
        <v>-50</v>
      </c>
      <c r="L204" s="134"/>
      <c r="M204" s="136">
        <f t="shared" si="17"/>
        <v>0</v>
      </c>
    </row>
    <row r="205" spans="1:13">
      <c r="A205" s="150"/>
      <c r="G205" s="120"/>
      <c r="H205" s="134">
        <v>200</v>
      </c>
      <c r="I205" s="135" t="str">
        <f t="shared" si="18"/>
        <v/>
      </c>
      <c r="J205" s="134">
        <f t="shared" si="19"/>
        <v>-5</v>
      </c>
      <c r="K205" s="134">
        <f t="shared" si="16"/>
        <v>-50</v>
      </c>
      <c r="L205" s="134"/>
      <c r="M205" s="136">
        <f t="shared" si="17"/>
        <v>0</v>
      </c>
    </row>
    <row r="206" spans="1:13">
      <c r="A206" s="150"/>
      <c r="G206" s="120"/>
      <c r="H206" s="134">
        <v>201</v>
      </c>
      <c r="I206" s="135" t="str">
        <f t="shared" si="18"/>
        <v/>
      </c>
      <c r="J206" s="134">
        <f t="shared" si="19"/>
        <v>-5</v>
      </c>
      <c r="K206" s="134">
        <f t="shared" si="16"/>
        <v>-50</v>
      </c>
      <c r="L206" s="134"/>
      <c r="M206" s="136">
        <f t="shared" si="17"/>
        <v>0</v>
      </c>
    </row>
    <row r="207" spans="1:13">
      <c r="A207" s="150"/>
      <c r="G207" s="120"/>
      <c r="H207" s="134">
        <v>202</v>
      </c>
      <c r="I207" s="135" t="str">
        <f t="shared" si="18"/>
        <v/>
      </c>
      <c r="J207" s="134">
        <f t="shared" si="19"/>
        <v>-5</v>
      </c>
      <c r="K207" s="134">
        <f t="shared" si="16"/>
        <v>-50</v>
      </c>
      <c r="L207" s="134"/>
      <c r="M207" s="136">
        <f t="shared" si="17"/>
        <v>0</v>
      </c>
    </row>
    <row r="208" spans="1:13">
      <c r="A208" s="150"/>
      <c r="G208" s="120"/>
      <c r="H208" s="134">
        <v>203</v>
      </c>
      <c r="I208" s="135" t="str">
        <f t="shared" si="18"/>
        <v/>
      </c>
      <c r="J208" s="134">
        <f t="shared" si="19"/>
        <v>-5</v>
      </c>
      <c r="K208" s="134">
        <f t="shared" si="16"/>
        <v>-50</v>
      </c>
      <c r="L208" s="134"/>
      <c r="M208" s="136">
        <f t="shared" si="17"/>
        <v>0</v>
      </c>
    </row>
    <row r="209" spans="1:13">
      <c r="A209" s="150"/>
      <c r="G209" s="120"/>
      <c r="H209" s="134">
        <v>204</v>
      </c>
      <c r="I209" s="135" t="str">
        <f t="shared" si="18"/>
        <v/>
      </c>
      <c r="J209" s="134">
        <f t="shared" si="19"/>
        <v>-5</v>
      </c>
      <c r="K209" s="134">
        <f t="shared" si="16"/>
        <v>-50</v>
      </c>
      <c r="L209" s="134"/>
      <c r="M209" s="136">
        <f t="shared" si="17"/>
        <v>0</v>
      </c>
    </row>
    <row r="210" spans="1:13">
      <c r="A210" s="150"/>
      <c r="G210" s="120"/>
      <c r="H210" s="134">
        <v>205</v>
      </c>
      <c r="I210" s="135" t="str">
        <f t="shared" si="18"/>
        <v/>
      </c>
      <c r="J210" s="134">
        <f t="shared" si="19"/>
        <v>-5</v>
      </c>
      <c r="K210" s="134">
        <f t="shared" si="16"/>
        <v>-50</v>
      </c>
      <c r="L210" s="134"/>
      <c r="M210" s="136">
        <f t="shared" si="17"/>
        <v>0</v>
      </c>
    </row>
    <row r="211" spans="1:13">
      <c r="A211" s="150"/>
      <c r="G211" s="120"/>
      <c r="H211" s="134">
        <v>206</v>
      </c>
      <c r="I211" s="135" t="str">
        <f t="shared" si="18"/>
        <v/>
      </c>
      <c r="J211" s="134">
        <f t="shared" si="19"/>
        <v>-5</v>
      </c>
      <c r="K211" s="134">
        <f t="shared" si="16"/>
        <v>-50</v>
      </c>
      <c r="L211" s="134"/>
      <c r="M211" s="136">
        <f t="shared" si="17"/>
        <v>0</v>
      </c>
    </row>
    <row r="212" spans="1:13">
      <c r="A212" s="150"/>
      <c r="G212" s="120"/>
      <c r="H212" s="134">
        <v>207</v>
      </c>
      <c r="I212" s="135" t="str">
        <f t="shared" si="18"/>
        <v/>
      </c>
      <c r="J212" s="134">
        <f t="shared" si="19"/>
        <v>-5</v>
      </c>
      <c r="K212" s="134">
        <f t="shared" si="16"/>
        <v>-50</v>
      </c>
      <c r="L212" s="134"/>
      <c r="M212" s="136">
        <f t="shared" si="17"/>
        <v>0</v>
      </c>
    </row>
    <row r="213" spans="1:13">
      <c r="A213" s="150"/>
      <c r="G213" s="120"/>
      <c r="H213" s="134">
        <v>208</v>
      </c>
      <c r="I213" s="135" t="str">
        <f t="shared" si="18"/>
        <v/>
      </c>
      <c r="J213" s="134">
        <f t="shared" si="19"/>
        <v>-5</v>
      </c>
      <c r="K213" s="134">
        <f t="shared" si="16"/>
        <v>-50</v>
      </c>
      <c r="L213" s="134"/>
      <c r="M213" s="136">
        <f t="shared" si="17"/>
        <v>0</v>
      </c>
    </row>
    <row r="214" spans="1:13">
      <c r="A214" s="150"/>
      <c r="G214" s="120"/>
      <c r="H214" s="134">
        <v>209</v>
      </c>
      <c r="I214" s="135" t="str">
        <f t="shared" si="18"/>
        <v/>
      </c>
      <c r="J214" s="134">
        <f t="shared" si="19"/>
        <v>-5</v>
      </c>
      <c r="K214" s="134">
        <f t="shared" si="16"/>
        <v>-50</v>
      </c>
      <c r="L214" s="134"/>
      <c r="M214" s="136">
        <f t="shared" si="17"/>
        <v>0</v>
      </c>
    </row>
    <row r="215" spans="1:13">
      <c r="A215" s="150"/>
      <c r="G215" s="120"/>
      <c r="H215" s="134">
        <v>210</v>
      </c>
      <c r="I215" s="135" t="str">
        <f t="shared" si="18"/>
        <v/>
      </c>
      <c r="J215" s="134">
        <f t="shared" si="19"/>
        <v>-5</v>
      </c>
      <c r="K215" s="134">
        <f t="shared" si="16"/>
        <v>-50</v>
      </c>
      <c r="L215" s="134"/>
      <c r="M215" s="136">
        <f t="shared" si="17"/>
        <v>0</v>
      </c>
    </row>
    <row r="216" spans="1:13">
      <c r="A216" s="150"/>
      <c r="G216" s="120"/>
      <c r="H216" s="134">
        <v>211</v>
      </c>
      <c r="I216" s="135" t="str">
        <f t="shared" si="18"/>
        <v/>
      </c>
      <c r="J216" s="134">
        <f t="shared" si="19"/>
        <v>-5</v>
      </c>
      <c r="K216" s="134">
        <f t="shared" si="16"/>
        <v>-50</v>
      </c>
      <c r="L216" s="134"/>
      <c r="M216" s="136">
        <f t="shared" si="17"/>
        <v>0</v>
      </c>
    </row>
    <row r="217" spans="1:13">
      <c r="A217" s="150"/>
      <c r="G217" s="120"/>
      <c r="H217" s="134">
        <v>212</v>
      </c>
      <c r="I217" s="135" t="str">
        <f t="shared" si="18"/>
        <v/>
      </c>
      <c r="J217" s="134">
        <f t="shared" si="19"/>
        <v>-5</v>
      </c>
      <c r="K217" s="134">
        <f t="shared" si="16"/>
        <v>-50</v>
      </c>
      <c r="L217" s="134"/>
      <c r="M217" s="136">
        <f t="shared" si="17"/>
        <v>0</v>
      </c>
    </row>
    <row r="218" spans="1:13">
      <c r="A218" s="150"/>
      <c r="G218" s="120"/>
      <c r="H218" s="134">
        <v>213</v>
      </c>
      <c r="I218" s="135" t="str">
        <f t="shared" si="18"/>
        <v/>
      </c>
      <c r="J218" s="134">
        <f t="shared" si="19"/>
        <v>-5</v>
      </c>
      <c r="K218" s="134">
        <f t="shared" si="16"/>
        <v>-50</v>
      </c>
      <c r="L218" s="134"/>
      <c r="M218" s="136">
        <f t="shared" si="17"/>
        <v>0</v>
      </c>
    </row>
    <row r="219" spans="1:13">
      <c r="A219" s="150"/>
      <c r="G219" s="120"/>
      <c r="H219" s="134">
        <v>214</v>
      </c>
      <c r="I219" s="135" t="str">
        <f t="shared" si="18"/>
        <v/>
      </c>
      <c r="J219" s="134">
        <f t="shared" si="19"/>
        <v>-5</v>
      </c>
      <c r="K219" s="134">
        <f t="shared" si="16"/>
        <v>-50</v>
      </c>
      <c r="L219" s="134"/>
      <c r="M219" s="136">
        <f t="shared" si="17"/>
        <v>0</v>
      </c>
    </row>
    <row r="220" spans="1:13">
      <c r="A220" s="150"/>
      <c r="G220" s="120"/>
      <c r="H220" s="134">
        <v>215</v>
      </c>
      <c r="I220" s="135" t="str">
        <f t="shared" si="18"/>
        <v/>
      </c>
      <c r="J220" s="134">
        <f t="shared" si="19"/>
        <v>-5</v>
      </c>
      <c r="K220" s="134">
        <f t="shared" si="16"/>
        <v>-50</v>
      </c>
      <c r="L220" s="134"/>
      <c r="M220" s="136">
        <f t="shared" si="17"/>
        <v>0</v>
      </c>
    </row>
    <row r="221" spans="1:13">
      <c r="A221" s="150"/>
      <c r="G221" s="120"/>
      <c r="H221" s="134">
        <v>216</v>
      </c>
      <c r="I221" s="135" t="str">
        <f t="shared" si="18"/>
        <v/>
      </c>
      <c r="J221" s="134">
        <f t="shared" si="19"/>
        <v>-5</v>
      </c>
      <c r="K221" s="134">
        <f t="shared" si="16"/>
        <v>-50</v>
      </c>
      <c r="L221" s="134"/>
      <c r="M221" s="136">
        <f t="shared" si="17"/>
        <v>0</v>
      </c>
    </row>
    <row r="222" spans="1:13">
      <c r="A222" s="150"/>
      <c r="G222" s="120"/>
      <c r="H222" s="134">
        <v>217</v>
      </c>
      <c r="I222" s="135" t="str">
        <f t="shared" si="18"/>
        <v/>
      </c>
      <c r="J222" s="134">
        <f t="shared" si="19"/>
        <v>-5</v>
      </c>
      <c r="K222" s="134">
        <f t="shared" si="16"/>
        <v>-50</v>
      </c>
      <c r="L222" s="134"/>
      <c r="M222" s="136">
        <f t="shared" si="17"/>
        <v>0</v>
      </c>
    </row>
    <row r="223" spans="1:13">
      <c r="A223" s="150"/>
      <c r="G223" s="120"/>
      <c r="H223" s="134">
        <v>218</v>
      </c>
      <c r="I223" s="135" t="str">
        <f t="shared" si="18"/>
        <v/>
      </c>
      <c r="J223" s="134">
        <f t="shared" si="19"/>
        <v>-5</v>
      </c>
      <c r="K223" s="134">
        <f t="shared" si="16"/>
        <v>-50</v>
      </c>
      <c r="L223" s="134"/>
      <c r="M223" s="136">
        <f t="shared" si="17"/>
        <v>0</v>
      </c>
    </row>
    <row r="224" spans="1:13">
      <c r="A224" s="150"/>
      <c r="G224" s="120"/>
      <c r="H224" s="134">
        <v>219</v>
      </c>
      <c r="I224" s="135" t="str">
        <f t="shared" si="18"/>
        <v/>
      </c>
      <c r="J224" s="134">
        <f t="shared" si="19"/>
        <v>-5</v>
      </c>
      <c r="K224" s="134">
        <f t="shared" si="16"/>
        <v>-50</v>
      </c>
      <c r="L224" s="134"/>
      <c r="M224" s="136">
        <f t="shared" si="17"/>
        <v>0</v>
      </c>
    </row>
    <row r="225" spans="1:13">
      <c r="A225" s="150"/>
      <c r="G225" s="120"/>
      <c r="H225" s="134">
        <v>220</v>
      </c>
      <c r="I225" s="135" t="str">
        <f t="shared" si="18"/>
        <v/>
      </c>
      <c r="J225" s="134">
        <f t="shared" si="19"/>
        <v>-5</v>
      </c>
      <c r="K225" s="134">
        <f t="shared" si="16"/>
        <v>-50</v>
      </c>
      <c r="L225" s="134"/>
      <c r="M225" s="136">
        <f t="shared" si="17"/>
        <v>0</v>
      </c>
    </row>
    <row r="226" spans="1:13">
      <c r="A226" s="150"/>
      <c r="G226" s="120"/>
      <c r="H226" s="134">
        <v>221</v>
      </c>
      <c r="I226" s="135" t="str">
        <f t="shared" si="18"/>
        <v/>
      </c>
      <c r="J226" s="134">
        <f t="shared" si="19"/>
        <v>-5</v>
      </c>
      <c r="K226" s="134">
        <f t="shared" si="16"/>
        <v>-50</v>
      </c>
      <c r="L226" s="134"/>
      <c r="M226" s="136">
        <f t="shared" si="17"/>
        <v>0</v>
      </c>
    </row>
    <row r="227" spans="1:13">
      <c r="A227" s="150"/>
      <c r="G227" s="120"/>
      <c r="H227" s="134">
        <v>222</v>
      </c>
      <c r="I227" s="135" t="str">
        <f t="shared" si="18"/>
        <v/>
      </c>
      <c r="J227" s="134">
        <f t="shared" si="19"/>
        <v>-5</v>
      </c>
      <c r="K227" s="134">
        <f t="shared" si="16"/>
        <v>-50</v>
      </c>
      <c r="L227" s="134"/>
      <c r="M227" s="136">
        <f t="shared" si="17"/>
        <v>0</v>
      </c>
    </row>
    <row r="228" spans="1:13">
      <c r="A228" s="150"/>
      <c r="G228" s="120"/>
      <c r="H228" s="134">
        <v>223</v>
      </c>
      <c r="I228" s="135" t="str">
        <f t="shared" si="18"/>
        <v/>
      </c>
      <c r="J228" s="134">
        <f t="shared" si="19"/>
        <v>-5</v>
      </c>
      <c r="K228" s="134">
        <f t="shared" si="16"/>
        <v>-50</v>
      </c>
      <c r="L228" s="134"/>
      <c r="M228" s="136">
        <f t="shared" si="17"/>
        <v>0</v>
      </c>
    </row>
    <row r="229" spans="1:13">
      <c r="A229" s="150"/>
      <c r="G229" s="120"/>
      <c r="H229" s="134">
        <v>224</v>
      </c>
      <c r="I229" s="135" t="str">
        <f t="shared" si="18"/>
        <v/>
      </c>
      <c r="J229" s="134">
        <f t="shared" si="19"/>
        <v>-5</v>
      </c>
      <c r="K229" s="134">
        <f t="shared" si="16"/>
        <v>-50</v>
      </c>
      <c r="L229" s="134"/>
      <c r="M229" s="136">
        <f t="shared" si="17"/>
        <v>0</v>
      </c>
    </row>
    <row r="230" spans="1:13">
      <c r="A230" s="150"/>
      <c r="G230" s="120"/>
      <c r="H230" s="134">
        <v>225</v>
      </c>
      <c r="I230" s="135" t="str">
        <f t="shared" si="18"/>
        <v/>
      </c>
      <c r="J230" s="134">
        <f t="shared" si="19"/>
        <v>-5</v>
      </c>
      <c r="K230" s="134">
        <f t="shared" si="16"/>
        <v>-50</v>
      </c>
      <c r="L230" s="134"/>
      <c r="M230" s="136">
        <f t="shared" si="17"/>
        <v>0</v>
      </c>
    </row>
    <row r="231" spans="1:13">
      <c r="A231" s="150"/>
      <c r="G231" s="120"/>
      <c r="H231" s="134">
        <v>226</v>
      </c>
      <c r="I231" s="135" t="str">
        <f t="shared" si="18"/>
        <v/>
      </c>
      <c r="J231" s="134">
        <f t="shared" si="19"/>
        <v>-5</v>
      </c>
      <c r="K231" s="134">
        <f t="shared" si="16"/>
        <v>-50</v>
      </c>
      <c r="L231" s="134"/>
      <c r="M231" s="136">
        <f t="shared" si="17"/>
        <v>0</v>
      </c>
    </row>
    <row r="232" spans="1:13">
      <c r="A232" s="150"/>
      <c r="G232" s="120"/>
      <c r="H232" s="134">
        <v>227</v>
      </c>
      <c r="I232" s="135" t="str">
        <f t="shared" si="18"/>
        <v/>
      </c>
      <c r="J232" s="134">
        <f t="shared" si="19"/>
        <v>-5</v>
      </c>
      <c r="K232" s="134">
        <f t="shared" si="16"/>
        <v>-50</v>
      </c>
      <c r="L232" s="134"/>
      <c r="M232" s="136">
        <f t="shared" si="17"/>
        <v>0</v>
      </c>
    </row>
    <row r="233" spans="1:13">
      <c r="A233" s="150"/>
      <c r="G233" s="120"/>
      <c r="H233" s="134">
        <v>228</v>
      </c>
      <c r="I233" s="135" t="str">
        <f t="shared" si="18"/>
        <v/>
      </c>
      <c r="J233" s="134">
        <f t="shared" si="19"/>
        <v>-5</v>
      </c>
      <c r="K233" s="134">
        <f t="shared" si="16"/>
        <v>-50</v>
      </c>
      <c r="L233" s="134"/>
      <c r="M233" s="136">
        <f t="shared" si="17"/>
        <v>0</v>
      </c>
    </row>
    <row r="234" spans="1:13">
      <c r="A234" s="150"/>
      <c r="G234" s="120"/>
      <c r="H234" s="134">
        <v>229</v>
      </c>
      <c r="I234" s="135" t="str">
        <f t="shared" si="18"/>
        <v/>
      </c>
      <c r="J234" s="134">
        <f t="shared" si="19"/>
        <v>-5</v>
      </c>
      <c r="K234" s="134">
        <f t="shared" si="16"/>
        <v>-50</v>
      </c>
      <c r="L234" s="134"/>
      <c r="M234" s="136">
        <f t="shared" si="17"/>
        <v>0</v>
      </c>
    </row>
    <row r="235" spans="1:13">
      <c r="A235" s="150"/>
      <c r="G235" s="120"/>
      <c r="H235" s="134">
        <v>230</v>
      </c>
      <c r="I235" s="135" t="str">
        <f t="shared" si="18"/>
        <v/>
      </c>
      <c r="J235" s="134">
        <f t="shared" si="19"/>
        <v>-5</v>
      </c>
      <c r="K235" s="134">
        <f t="shared" si="16"/>
        <v>-50</v>
      </c>
      <c r="L235" s="134"/>
      <c r="M235" s="136">
        <f t="shared" si="17"/>
        <v>0</v>
      </c>
    </row>
    <row r="236" spans="1:13">
      <c r="A236" s="150"/>
      <c r="G236" s="120"/>
      <c r="H236" s="134">
        <v>231</v>
      </c>
      <c r="I236" s="135" t="str">
        <f t="shared" si="18"/>
        <v/>
      </c>
      <c r="J236" s="134">
        <f t="shared" si="19"/>
        <v>-5</v>
      </c>
      <c r="K236" s="134">
        <f t="shared" si="16"/>
        <v>-50</v>
      </c>
      <c r="L236" s="134"/>
      <c r="M236" s="136">
        <f t="shared" si="17"/>
        <v>0</v>
      </c>
    </row>
    <row r="237" spans="1:13">
      <c r="A237" s="150"/>
      <c r="G237" s="120"/>
      <c r="H237" s="134">
        <v>232</v>
      </c>
      <c r="I237" s="135" t="str">
        <f t="shared" si="18"/>
        <v/>
      </c>
      <c r="J237" s="134">
        <f t="shared" si="19"/>
        <v>-5</v>
      </c>
      <c r="K237" s="134">
        <f t="shared" si="16"/>
        <v>-50</v>
      </c>
      <c r="L237" s="134"/>
      <c r="M237" s="136">
        <f t="shared" si="17"/>
        <v>0</v>
      </c>
    </row>
    <row r="238" spans="1:13">
      <c r="A238" s="150"/>
      <c r="G238" s="120"/>
      <c r="H238" s="134">
        <v>233</v>
      </c>
      <c r="I238" s="135" t="str">
        <f t="shared" si="18"/>
        <v/>
      </c>
      <c r="J238" s="134">
        <f t="shared" si="19"/>
        <v>-5</v>
      </c>
      <c r="K238" s="134">
        <f t="shared" si="16"/>
        <v>-50</v>
      </c>
      <c r="L238" s="134"/>
      <c r="M238" s="136">
        <f t="shared" si="17"/>
        <v>0</v>
      </c>
    </row>
    <row r="239" spans="1:13">
      <c r="A239" s="150"/>
      <c r="G239" s="120"/>
      <c r="H239" s="134">
        <v>234</v>
      </c>
      <c r="I239" s="135" t="str">
        <f t="shared" si="18"/>
        <v/>
      </c>
      <c r="J239" s="134">
        <f t="shared" si="19"/>
        <v>-5</v>
      </c>
      <c r="K239" s="134">
        <f t="shared" si="16"/>
        <v>-50</v>
      </c>
      <c r="L239" s="134"/>
      <c r="M239" s="136">
        <f t="shared" si="17"/>
        <v>0</v>
      </c>
    </row>
    <row r="240" spans="1:13">
      <c r="A240" s="150"/>
      <c r="G240" s="120"/>
      <c r="H240" s="134">
        <v>235</v>
      </c>
      <c r="I240" s="135" t="str">
        <f t="shared" si="18"/>
        <v/>
      </c>
      <c r="J240" s="134">
        <f t="shared" si="19"/>
        <v>-5</v>
      </c>
      <c r="K240" s="134">
        <f t="shared" si="16"/>
        <v>-50</v>
      </c>
      <c r="L240" s="134"/>
      <c r="M240" s="136">
        <f t="shared" si="17"/>
        <v>0</v>
      </c>
    </row>
    <row r="241" spans="1:13">
      <c r="A241" s="150"/>
      <c r="G241" s="120"/>
      <c r="H241" s="134">
        <v>236</v>
      </c>
      <c r="I241" s="135" t="str">
        <f t="shared" si="18"/>
        <v/>
      </c>
      <c r="J241" s="134">
        <f t="shared" si="19"/>
        <v>-5</v>
      </c>
      <c r="K241" s="134">
        <f t="shared" si="16"/>
        <v>-50</v>
      </c>
      <c r="L241" s="134"/>
      <c r="M241" s="136">
        <f t="shared" si="17"/>
        <v>0</v>
      </c>
    </row>
    <row r="242" spans="1:13">
      <c r="A242" s="150"/>
      <c r="G242" s="120"/>
      <c r="H242" s="134">
        <v>237</v>
      </c>
      <c r="I242" s="135" t="str">
        <f t="shared" si="18"/>
        <v/>
      </c>
      <c r="J242" s="134">
        <f t="shared" si="19"/>
        <v>-5</v>
      </c>
      <c r="K242" s="134">
        <f t="shared" si="16"/>
        <v>-50</v>
      </c>
      <c r="L242" s="134"/>
      <c r="M242" s="136">
        <f t="shared" si="17"/>
        <v>0</v>
      </c>
    </row>
    <row r="243" spans="1:13">
      <c r="A243" s="150"/>
      <c r="G243" s="120"/>
      <c r="H243" s="134">
        <v>238</v>
      </c>
      <c r="I243" s="135" t="str">
        <f t="shared" si="18"/>
        <v/>
      </c>
      <c r="J243" s="134">
        <f t="shared" si="19"/>
        <v>-5</v>
      </c>
      <c r="K243" s="134">
        <f t="shared" si="16"/>
        <v>-50</v>
      </c>
      <c r="L243" s="134"/>
      <c r="M243" s="136">
        <f t="shared" si="17"/>
        <v>0</v>
      </c>
    </row>
    <row r="244" spans="1:13">
      <c r="A244" s="150"/>
      <c r="G244" s="120"/>
      <c r="H244" s="134">
        <v>239</v>
      </c>
      <c r="I244" s="135" t="str">
        <f t="shared" si="18"/>
        <v/>
      </c>
      <c r="J244" s="134">
        <f t="shared" si="19"/>
        <v>-5</v>
      </c>
      <c r="K244" s="134">
        <f t="shared" si="16"/>
        <v>-50</v>
      </c>
      <c r="L244" s="134"/>
      <c r="M244" s="136">
        <f t="shared" si="17"/>
        <v>0</v>
      </c>
    </row>
    <row r="245" spans="1:13">
      <c r="A245" s="150"/>
      <c r="G245" s="120"/>
      <c r="H245" s="134">
        <v>240</v>
      </c>
      <c r="I245" s="135" t="str">
        <f t="shared" si="18"/>
        <v/>
      </c>
      <c r="J245" s="134">
        <f t="shared" si="19"/>
        <v>-5</v>
      </c>
      <c r="K245" s="134">
        <f t="shared" si="16"/>
        <v>-50</v>
      </c>
      <c r="L245" s="134"/>
      <c r="M245" s="136">
        <f t="shared" si="17"/>
        <v>0</v>
      </c>
    </row>
    <row r="246" spans="1:13">
      <c r="A246" s="150"/>
      <c r="G246" s="120"/>
      <c r="H246" s="134">
        <v>241</v>
      </c>
      <c r="I246" s="135" t="str">
        <f t="shared" si="18"/>
        <v/>
      </c>
      <c r="J246" s="134">
        <f t="shared" si="19"/>
        <v>-5</v>
      </c>
      <c r="K246" s="134">
        <f t="shared" si="16"/>
        <v>-50</v>
      </c>
      <c r="L246" s="134"/>
      <c r="M246" s="136">
        <f t="shared" si="17"/>
        <v>0</v>
      </c>
    </row>
    <row r="247" spans="1:13">
      <c r="A247" s="150"/>
      <c r="G247" s="120"/>
      <c r="H247" s="134">
        <v>242</v>
      </c>
      <c r="I247" s="135" t="str">
        <f t="shared" si="18"/>
        <v/>
      </c>
      <c r="J247" s="134">
        <f t="shared" si="19"/>
        <v>-5</v>
      </c>
      <c r="K247" s="134">
        <f t="shared" si="16"/>
        <v>-50</v>
      </c>
      <c r="L247" s="134"/>
      <c r="M247" s="136">
        <f t="shared" si="17"/>
        <v>0</v>
      </c>
    </row>
    <row r="248" spans="1:13">
      <c r="A248" s="150"/>
      <c r="G248" s="120"/>
      <c r="H248" s="134">
        <v>243</v>
      </c>
      <c r="I248" s="135" t="str">
        <f t="shared" si="18"/>
        <v/>
      </c>
      <c r="J248" s="134">
        <f t="shared" si="19"/>
        <v>-5</v>
      </c>
      <c r="K248" s="134">
        <f t="shared" si="16"/>
        <v>-50</v>
      </c>
      <c r="L248" s="134"/>
      <c r="M248" s="136">
        <f t="shared" si="17"/>
        <v>0</v>
      </c>
    </row>
    <row r="249" spans="1:13">
      <c r="A249" s="150"/>
      <c r="G249" s="120"/>
      <c r="H249" s="134">
        <v>244</v>
      </c>
      <c r="I249" s="135" t="str">
        <f t="shared" si="18"/>
        <v/>
      </c>
      <c r="J249" s="134">
        <f t="shared" si="19"/>
        <v>-5</v>
      </c>
      <c r="K249" s="134">
        <f t="shared" si="16"/>
        <v>-50</v>
      </c>
      <c r="L249" s="134"/>
      <c r="M249" s="136">
        <f t="shared" si="17"/>
        <v>0</v>
      </c>
    </row>
    <row r="250" spans="1:13">
      <c r="A250" s="150"/>
      <c r="G250" s="120"/>
      <c r="H250" s="134">
        <v>245</v>
      </c>
      <c r="I250" s="135" t="str">
        <f t="shared" si="18"/>
        <v/>
      </c>
      <c r="J250" s="134">
        <f t="shared" si="19"/>
        <v>-5</v>
      </c>
      <c r="K250" s="134">
        <f t="shared" si="16"/>
        <v>-50</v>
      </c>
      <c r="L250" s="134"/>
      <c r="M250" s="136">
        <f t="shared" si="17"/>
        <v>0</v>
      </c>
    </row>
    <row r="251" spans="1:13">
      <c r="A251" s="150"/>
      <c r="G251" s="120"/>
      <c r="H251" s="134">
        <v>246</v>
      </c>
      <c r="I251" s="135" t="str">
        <f t="shared" si="18"/>
        <v/>
      </c>
      <c r="J251" s="134">
        <f t="shared" si="19"/>
        <v>-5</v>
      </c>
      <c r="K251" s="134">
        <f t="shared" si="16"/>
        <v>-50</v>
      </c>
      <c r="L251" s="134"/>
      <c r="M251" s="136">
        <f t="shared" si="17"/>
        <v>0</v>
      </c>
    </row>
    <row r="252" spans="1:13">
      <c r="A252" s="150"/>
      <c r="G252" s="120"/>
      <c r="H252" s="134">
        <v>247</v>
      </c>
      <c r="I252" s="135" t="str">
        <f t="shared" si="18"/>
        <v/>
      </c>
      <c r="J252" s="134">
        <f t="shared" si="19"/>
        <v>-5</v>
      </c>
      <c r="K252" s="134">
        <f t="shared" si="16"/>
        <v>-50</v>
      </c>
      <c r="L252" s="134"/>
      <c r="M252" s="136">
        <f t="shared" si="17"/>
        <v>0</v>
      </c>
    </row>
    <row r="253" spans="1:13">
      <c r="A253" s="150"/>
      <c r="G253" s="120"/>
      <c r="H253" s="134">
        <v>248</v>
      </c>
      <c r="I253" s="135" t="str">
        <f t="shared" si="18"/>
        <v/>
      </c>
      <c r="J253" s="134">
        <f t="shared" si="19"/>
        <v>-5</v>
      </c>
      <c r="K253" s="134">
        <f t="shared" si="16"/>
        <v>-50</v>
      </c>
      <c r="L253" s="134"/>
      <c r="M253" s="136">
        <f t="shared" si="17"/>
        <v>0</v>
      </c>
    </row>
    <row r="254" spans="1:13">
      <c r="A254" s="150"/>
      <c r="G254" s="120"/>
      <c r="H254" s="134">
        <v>249</v>
      </c>
      <c r="I254" s="135" t="str">
        <f t="shared" si="18"/>
        <v/>
      </c>
      <c r="J254" s="134">
        <f t="shared" si="19"/>
        <v>-5</v>
      </c>
      <c r="K254" s="134">
        <f t="shared" si="16"/>
        <v>-50</v>
      </c>
      <c r="L254" s="134"/>
      <c r="M254" s="136">
        <f t="shared" si="17"/>
        <v>0</v>
      </c>
    </row>
    <row r="255" spans="1:13">
      <c r="A255" s="150"/>
      <c r="G255" s="120"/>
      <c r="H255" s="134">
        <v>250</v>
      </c>
      <c r="I255" s="135" t="str">
        <f t="shared" si="18"/>
        <v/>
      </c>
      <c r="J255" s="134">
        <f t="shared" si="19"/>
        <v>-5</v>
      </c>
      <c r="K255" s="134">
        <f t="shared" si="16"/>
        <v>-50</v>
      </c>
      <c r="L255" s="134"/>
      <c r="M255" s="136">
        <f t="shared" si="17"/>
        <v>0</v>
      </c>
    </row>
    <row r="256" spans="1:13">
      <c r="A256" s="150"/>
      <c r="G256" s="120"/>
      <c r="H256" s="134">
        <v>251</v>
      </c>
      <c r="I256" s="135" t="str">
        <f t="shared" si="18"/>
        <v/>
      </c>
      <c r="J256" s="134">
        <f t="shared" si="19"/>
        <v>-5</v>
      </c>
      <c r="K256" s="134">
        <f t="shared" si="16"/>
        <v>-50</v>
      </c>
      <c r="L256" s="134"/>
      <c r="M256" s="136">
        <f t="shared" si="17"/>
        <v>0</v>
      </c>
    </row>
    <row r="257" spans="1:13">
      <c r="A257" s="150"/>
      <c r="G257" s="120"/>
      <c r="H257" s="134">
        <v>252</v>
      </c>
      <c r="I257" s="135" t="str">
        <f t="shared" si="18"/>
        <v/>
      </c>
      <c r="J257" s="134">
        <f t="shared" si="19"/>
        <v>-5</v>
      </c>
      <c r="K257" s="134">
        <f t="shared" si="16"/>
        <v>-50</v>
      </c>
      <c r="L257" s="134"/>
      <c r="M257" s="136">
        <f t="shared" si="17"/>
        <v>0</v>
      </c>
    </row>
    <row r="258" spans="1:13">
      <c r="A258" s="150"/>
      <c r="G258" s="120"/>
      <c r="H258" s="134">
        <v>253</v>
      </c>
      <c r="I258" s="135" t="str">
        <f t="shared" si="18"/>
        <v/>
      </c>
      <c r="J258" s="134">
        <f t="shared" si="19"/>
        <v>-5</v>
      </c>
      <c r="K258" s="134">
        <f t="shared" si="16"/>
        <v>-50</v>
      </c>
      <c r="L258" s="134"/>
      <c r="M258" s="136">
        <f t="shared" si="17"/>
        <v>0</v>
      </c>
    </row>
    <row r="259" spans="1:13">
      <c r="A259" s="150"/>
      <c r="G259" s="120"/>
      <c r="H259" s="134">
        <v>254</v>
      </c>
      <c r="I259" s="135" t="str">
        <f t="shared" si="18"/>
        <v/>
      </c>
      <c r="J259" s="134">
        <f t="shared" si="19"/>
        <v>-5</v>
      </c>
      <c r="K259" s="134">
        <f t="shared" si="16"/>
        <v>-50</v>
      </c>
      <c r="L259" s="134"/>
      <c r="M259" s="136">
        <f t="shared" si="17"/>
        <v>0</v>
      </c>
    </row>
    <row r="260" spans="1:13">
      <c r="A260" s="150"/>
      <c r="G260" s="120"/>
      <c r="H260" s="134">
        <v>255</v>
      </c>
      <c r="I260" s="135" t="str">
        <f t="shared" si="18"/>
        <v/>
      </c>
      <c r="J260" s="134">
        <f t="shared" si="19"/>
        <v>-5</v>
      </c>
      <c r="K260" s="134">
        <f t="shared" si="16"/>
        <v>-50</v>
      </c>
      <c r="L260" s="134"/>
      <c r="M260" s="136">
        <f t="shared" si="17"/>
        <v>0</v>
      </c>
    </row>
    <row r="261" spans="1:13">
      <c r="A261" s="150"/>
      <c r="G261" s="120"/>
      <c r="H261" s="134">
        <v>256</v>
      </c>
      <c r="I261" s="135" t="str">
        <f t="shared" si="18"/>
        <v/>
      </c>
      <c r="J261" s="134">
        <f t="shared" si="19"/>
        <v>-5</v>
      </c>
      <c r="K261" s="134">
        <f t="shared" si="16"/>
        <v>-50</v>
      </c>
      <c r="L261" s="134"/>
      <c r="M261" s="136">
        <f t="shared" si="17"/>
        <v>0</v>
      </c>
    </row>
    <row r="262" spans="1:13">
      <c r="A262" s="150"/>
      <c r="G262" s="120"/>
      <c r="H262" s="134">
        <v>257</v>
      </c>
      <c r="I262" s="135" t="str">
        <f t="shared" si="18"/>
        <v/>
      </c>
      <c r="J262" s="134">
        <f t="shared" si="19"/>
        <v>-6</v>
      </c>
      <c r="K262" s="134">
        <f t="shared" ref="K262:K305" si="20">J262*$J$2</f>
        <v>-60</v>
      </c>
      <c r="L262" s="134"/>
      <c r="M262" s="136">
        <f t="shared" ref="M262:M305" si="21">IF(I262&lt;&gt;"",K262+I262+L262,0)</f>
        <v>0</v>
      </c>
    </row>
    <row r="263" spans="1:13">
      <c r="A263" s="150"/>
      <c r="G263" s="120"/>
      <c r="H263" s="134">
        <v>258</v>
      </c>
      <c r="I263" s="135" t="str">
        <f t="shared" ref="I263:I305" si="22">IF(H263&lt;$H$2+1,($I$2-($I$2-1)*(LOG(H263)/LOG($H$2))),"")</f>
        <v/>
      </c>
      <c r="J263" s="134">
        <f t="shared" ref="J263:J305" si="23">INT(LOG($H$2,2))-ROUNDUP(LOG(H263,2),0)+IF(OR($H$2=1,$H$2=2,$H$2=4,$H$2=8,$H$2=16,$H$2=32,$H$2=64,$H$2=128,$H$2=256),0,1)</f>
        <v>-6</v>
      </c>
      <c r="K263" s="134">
        <f t="shared" si="20"/>
        <v>-60</v>
      </c>
      <c r="L263" s="134"/>
      <c r="M263" s="136">
        <f t="shared" si="21"/>
        <v>0</v>
      </c>
    </row>
    <row r="264" spans="1:13">
      <c r="A264" s="150"/>
      <c r="G264" s="120"/>
      <c r="H264" s="134">
        <v>259</v>
      </c>
      <c r="I264" s="135" t="str">
        <f t="shared" si="22"/>
        <v/>
      </c>
      <c r="J264" s="134">
        <f t="shared" si="23"/>
        <v>-6</v>
      </c>
      <c r="K264" s="134">
        <f t="shared" si="20"/>
        <v>-60</v>
      </c>
      <c r="L264" s="134"/>
      <c r="M264" s="136">
        <f t="shared" si="21"/>
        <v>0</v>
      </c>
    </row>
    <row r="265" spans="1:13">
      <c r="A265" s="150"/>
      <c r="G265" s="120"/>
      <c r="H265" s="134">
        <v>260</v>
      </c>
      <c r="I265" s="135" t="str">
        <f t="shared" si="22"/>
        <v/>
      </c>
      <c r="J265" s="134">
        <f t="shared" si="23"/>
        <v>-6</v>
      </c>
      <c r="K265" s="134">
        <f t="shared" si="20"/>
        <v>-60</v>
      </c>
      <c r="L265" s="134"/>
      <c r="M265" s="136">
        <f t="shared" si="21"/>
        <v>0</v>
      </c>
    </row>
    <row r="266" spans="1:13">
      <c r="A266" s="150"/>
      <c r="G266" s="120"/>
      <c r="H266" s="134">
        <v>261</v>
      </c>
      <c r="I266" s="135" t="str">
        <f t="shared" si="22"/>
        <v/>
      </c>
      <c r="J266" s="134">
        <f t="shared" si="23"/>
        <v>-6</v>
      </c>
      <c r="K266" s="134">
        <f t="shared" si="20"/>
        <v>-60</v>
      </c>
      <c r="L266" s="134"/>
      <c r="M266" s="136">
        <f t="shared" si="21"/>
        <v>0</v>
      </c>
    </row>
    <row r="267" spans="1:13">
      <c r="A267" s="150"/>
      <c r="G267" s="120"/>
      <c r="H267" s="134">
        <v>262</v>
      </c>
      <c r="I267" s="135" t="str">
        <f t="shared" si="22"/>
        <v/>
      </c>
      <c r="J267" s="134">
        <f t="shared" si="23"/>
        <v>-6</v>
      </c>
      <c r="K267" s="134">
        <f t="shared" si="20"/>
        <v>-60</v>
      </c>
      <c r="L267" s="134"/>
      <c r="M267" s="136">
        <f t="shared" si="21"/>
        <v>0</v>
      </c>
    </row>
    <row r="268" spans="1:13">
      <c r="A268" s="150"/>
      <c r="G268" s="120"/>
      <c r="H268" s="134">
        <v>263</v>
      </c>
      <c r="I268" s="135" t="str">
        <f t="shared" si="22"/>
        <v/>
      </c>
      <c r="J268" s="134">
        <f t="shared" si="23"/>
        <v>-6</v>
      </c>
      <c r="K268" s="134">
        <f t="shared" si="20"/>
        <v>-60</v>
      </c>
      <c r="L268" s="134"/>
      <c r="M268" s="136">
        <f t="shared" si="21"/>
        <v>0</v>
      </c>
    </row>
    <row r="269" spans="1:13">
      <c r="A269" s="150"/>
      <c r="G269" s="120"/>
      <c r="H269" s="134">
        <v>264</v>
      </c>
      <c r="I269" s="135" t="str">
        <f t="shared" si="22"/>
        <v/>
      </c>
      <c r="J269" s="134">
        <f t="shared" si="23"/>
        <v>-6</v>
      </c>
      <c r="K269" s="134">
        <f t="shared" si="20"/>
        <v>-60</v>
      </c>
      <c r="L269" s="134"/>
      <c r="M269" s="136">
        <f t="shared" si="21"/>
        <v>0</v>
      </c>
    </row>
    <row r="270" spans="1:13">
      <c r="A270" s="150"/>
      <c r="G270" s="120"/>
      <c r="H270" s="134">
        <v>265</v>
      </c>
      <c r="I270" s="135" t="str">
        <f t="shared" si="22"/>
        <v/>
      </c>
      <c r="J270" s="134">
        <f t="shared" si="23"/>
        <v>-6</v>
      </c>
      <c r="K270" s="134">
        <f t="shared" si="20"/>
        <v>-60</v>
      </c>
      <c r="L270" s="134"/>
      <c r="M270" s="136">
        <f t="shared" si="21"/>
        <v>0</v>
      </c>
    </row>
    <row r="271" spans="1:13">
      <c r="A271" s="150"/>
      <c r="G271" s="120"/>
      <c r="H271" s="134">
        <v>266</v>
      </c>
      <c r="I271" s="135" t="str">
        <f t="shared" si="22"/>
        <v/>
      </c>
      <c r="J271" s="134">
        <f t="shared" si="23"/>
        <v>-6</v>
      </c>
      <c r="K271" s="134">
        <f t="shared" si="20"/>
        <v>-60</v>
      </c>
      <c r="L271" s="134"/>
      <c r="M271" s="136">
        <f t="shared" si="21"/>
        <v>0</v>
      </c>
    </row>
    <row r="272" spans="1:13">
      <c r="A272" s="150"/>
      <c r="G272" s="120"/>
      <c r="H272" s="134">
        <v>267</v>
      </c>
      <c r="I272" s="135" t="str">
        <f t="shared" si="22"/>
        <v/>
      </c>
      <c r="J272" s="134">
        <f t="shared" si="23"/>
        <v>-6</v>
      </c>
      <c r="K272" s="134">
        <f t="shared" si="20"/>
        <v>-60</v>
      </c>
      <c r="L272" s="134"/>
      <c r="M272" s="136">
        <f t="shared" si="21"/>
        <v>0</v>
      </c>
    </row>
    <row r="273" spans="1:13">
      <c r="A273" s="150"/>
      <c r="G273" s="120"/>
      <c r="H273" s="134">
        <v>268</v>
      </c>
      <c r="I273" s="135" t="str">
        <f t="shared" si="22"/>
        <v/>
      </c>
      <c r="J273" s="134">
        <f t="shared" si="23"/>
        <v>-6</v>
      </c>
      <c r="K273" s="134">
        <f t="shared" si="20"/>
        <v>-60</v>
      </c>
      <c r="L273" s="134"/>
      <c r="M273" s="136">
        <f t="shared" si="21"/>
        <v>0</v>
      </c>
    </row>
    <row r="274" spans="1:13">
      <c r="A274" s="150"/>
      <c r="G274" s="120"/>
      <c r="H274" s="134">
        <v>269</v>
      </c>
      <c r="I274" s="135" t="str">
        <f t="shared" si="22"/>
        <v/>
      </c>
      <c r="J274" s="134">
        <f t="shared" si="23"/>
        <v>-6</v>
      </c>
      <c r="K274" s="134">
        <f t="shared" si="20"/>
        <v>-60</v>
      </c>
      <c r="L274" s="134"/>
      <c r="M274" s="136">
        <f t="shared" si="21"/>
        <v>0</v>
      </c>
    </row>
    <row r="275" spans="1:13">
      <c r="A275" s="150"/>
      <c r="G275" s="120"/>
      <c r="H275" s="134">
        <v>270</v>
      </c>
      <c r="I275" s="135" t="str">
        <f t="shared" si="22"/>
        <v/>
      </c>
      <c r="J275" s="134">
        <f t="shared" si="23"/>
        <v>-6</v>
      </c>
      <c r="K275" s="134">
        <f t="shared" si="20"/>
        <v>-60</v>
      </c>
      <c r="L275" s="134"/>
      <c r="M275" s="136">
        <f t="shared" si="21"/>
        <v>0</v>
      </c>
    </row>
    <row r="276" spans="1:13">
      <c r="A276" s="150"/>
      <c r="G276" s="120"/>
      <c r="H276" s="134">
        <v>271</v>
      </c>
      <c r="I276" s="135" t="str">
        <f t="shared" si="22"/>
        <v/>
      </c>
      <c r="J276" s="134">
        <f t="shared" si="23"/>
        <v>-6</v>
      </c>
      <c r="K276" s="134">
        <f t="shared" si="20"/>
        <v>-60</v>
      </c>
      <c r="L276" s="134"/>
      <c r="M276" s="136">
        <f t="shared" si="21"/>
        <v>0</v>
      </c>
    </row>
    <row r="277" spans="1:13">
      <c r="A277" s="150"/>
      <c r="G277" s="120"/>
      <c r="H277" s="134">
        <v>272</v>
      </c>
      <c r="I277" s="135" t="str">
        <f t="shared" si="22"/>
        <v/>
      </c>
      <c r="J277" s="134">
        <f t="shared" si="23"/>
        <v>-6</v>
      </c>
      <c r="K277" s="134">
        <f t="shared" si="20"/>
        <v>-60</v>
      </c>
      <c r="L277" s="134"/>
      <c r="M277" s="136">
        <f t="shared" si="21"/>
        <v>0</v>
      </c>
    </row>
    <row r="278" spans="1:13">
      <c r="A278" s="150"/>
      <c r="G278" s="120"/>
      <c r="H278" s="134">
        <v>273</v>
      </c>
      <c r="I278" s="135" t="str">
        <f t="shared" si="22"/>
        <v/>
      </c>
      <c r="J278" s="134">
        <f t="shared" si="23"/>
        <v>-6</v>
      </c>
      <c r="K278" s="134">
        <f t="shared" si="20"/>
        <v>-60</v>
      </c>
      <c r="L278" s="134"/>
      <c r="M278" s="136">
        <f t="shared" si="21"/>
        <v>0</v>
      </c>
    </row>
    <row r="279" spans="1:13">
      <c r="A279" s="150"/>
      <c r="G279" s="120"/>
      <c r="H279" s="134">
        <v>274</v>
      </c>
      <c r="I279" s="135" t="str">
        <f t="shared" si="22"/>
        <v/>
      </c>
      <c r="J279" s="134">
        <f t="shared" si="23"/>
        <v>-6</v>
      </c>
      <c r="K279" s="134">
        <f t="shared" si="20"/>
        <v>-60</v>
      </c>
      <c r="L279" s="134"/>
      <c r="M279" s="136">
        <f t="shared" si="21"/>
        <v>0</v>
      </c>
    </row>
    <row r="280" spans="1:13">
      <c r="A280" s="150"/>
      <c r="G280" s="120"/>
      <c r="H280" s="134">
        <v>275</v>
      </c>
      <c r="I280" s="135" t="str">
        <f t="shared" si="22"/>
        <v/>
      </c>
      <c r="J280" s="134">
        <f t="shared" si="23"/>
        <v>-6</v>
      </c>
      <c r="K280" s="134">
        <f t="shared" si="20"/>
        <v>-60</v>
      </c>
      <c r="L280" s="134"/>
      <c r="M280" s="136">
        <f t="shared" si="21"/>
        <v>0</v>
      </c>
    </row>
    <row r="281" spans="1:13">
      <c r="A281" s="150"/>
      <c r="G281" s="120"/>
      <c r="H281" s="134">
        <v>276</v>
      </c>
      <c r="I281" s="135" t="str">
        <f t="shared" si="22"/>
        <v/>
      </c>
      <c r="J281" s="134">
        <f t="shared" si="23"/>
        <v>-6</v>
      </c>
      <c r="K281" s="134">
        <f t="shared" si="20"/>
        <v>-60</v>
      </c>
      <c r="L281" s="134"/>
      <c r="M281" s="136">
        <f t="shared" si="21"/>
        <v>0</v>
      </c>
    </row>
    <row r="282" spans="1:13">
      <c r="A282" s="150"/>
      <c r="G282" s="120"/>
      <c r="H282" s="134">
        <v>277</v>
      </c>
      <c r="I282" s="135" t="str">
        <f t="shared" si="22"/>
        <v/>
      </c>
      <c r="J282" s="134">
        <f t="shared" si="23"/>
        <v>-6</v>
      </c>
      <c r="K282" s="134">
        <f t="shared" si="20"/>
        <v>-60</v>
      </c>
      <c r="L282" s="134"/>
      <c r="M282" s="136">
        <f t="shared" si="21"/>
        <v>0</v>
      </c>
    </row>
    <row r="283" spans="1:13">
      <c r="A283" s="150"/>
      <c r="G283" s="120"/>
      <c r="H283" s="134">
        <v>278</v>
      </c>
      <c r="I283" s="135" t="str">
        <f t="shared" si="22"/>
        <v/>
      </c>
      <c r="J283" s="134">
        <f t="shared" si="23"/>
        <v>-6</v>
      </c>
      <c r="K283" s="134">
        <f t="shared" si="20"/>
        <v>-60</v>
      </c>
      <c r="L283" s="134"/>
      <c r="M283" s="136">
        <f t="shared" si="21"/>
        <v>0</v>
      </c>
    </row>
    <row r="284" spans="1:13">
      <c r="A284" s="150"/>
      <c r="G284" s="120"/>
      <c r="H284" s="134">
        <v>279</v>
      </c>
      <c r="I284" s="135" t="str">
        <f t="shared" si="22"/>
        <v/>
      </c>
      <c r="J284" s="134">
        <f t="shared" si="23"/>
        <v>-6</v>
      </c>
      <c r="K284" s="134">
        <f t="shared" si="20"/>
        <v>-60</v>
      </c>
      <c r="L284" s="134"/>
      <c r="M284" s="136">
        <f t="shared" si="21"/>
        <v>0</v>
      </c>
    </row>
    <row r="285" spans="1:13">
      <c r="A285" s="150"/>
      <c r="G285" s="120"/>
      <c r="H285" s="134">
        <v>280</v>
      </c>
      <c r="I285" s="135" t="str">
        <f t="shared" si="22"/>
        <v/>
      </c>
      <c r="J285" s="134">
        <f t="shared" si="23"/>
        <v>-6</v>
      </c>
      <c r="K285" s="134">
        <f t="shared" si="20"/>
        <v>-60</v>
      </c>
      <c r="L285" s="134"/>
      <c r="M285" s="136">
        <f t="shared" si="21"/>
        <v>0</v>
      </c>
    </row>
    <row r="286" spans="1:13">
      <c r="A286" s="150"/>
      <c r="G286" s="120"/>
      <c r="H286" s="134">
        <v>281</v>
      </c>
      <c r="I286" s="135" t="str">
        <f t="shared" si="22"/>
        <v/>
      </c>
      <c r="J286" s="134">
        <f t="shared" si="23"/>
        <v>-6</v>
      </c>
      <c r="K286" s="134">
        <f t="shared" si="20"/>
        <v>-60</v>
      </c>
      <c r="L286" s="134"/>
      <c r="M286" s="136">
        <f t="shared" si="21"/>
        <v>0</v>
      </c>
    </row>
    <row r="287" spans="1:13">
      <c r="A287" s="150"/>
      <c r="G287" s="120"/>
      <c r="H287" s="134">
        <v>282</v>
      </c>
      <c r="I287" s="135" t="str">
        <f t="shared" si="22"/>
        <v/>
      </c>
      <c r="J287" s="134">
        <f t="shared" si="23"/>
        <v>-6</v>
      </c>
      <c r="K287" s="134">
        <f t="shared" si="20"/>
        <v>-60</v>
      </c>
      <c r="L287" s="134"/>
      <c r="M287" s="136">
        <f t="shared" si="21"/>
        <v>0</v>
      </c>
    </row>
    <row r="288" spans="1:13">
      <c r="A288" s="150"/>
      <c r="G288" s="120"/>
      <c r="H288" s="134">
        <v>283</v>
      </c>
      <c r="I288" s="135" t="str">
        <f t="shared" si="22"/>
        <v/>
      </c>
      <c r="J288" s="134">
        <f t="shared" si="23"/>
        <v>-6</v>
      </c>
      <c r="K288" s="134">
        <f t="shared" si="20"/>
        <v>-60</v>
      </c>
      <c r="L288" s="134"/>
      <c r="M288" s="136">
        <f t="shared" si="21"/>
        <v>0</v>
      </c>
    </row>
    <row r="289" spans="1:13">
      <c r="A289" s="150"/>
      <c r="G289" s="120"/>
      <c r="H289" s="134">
        <v>284</v>
      </c>
      <c r="I289" s="135" t="str">
        <f t="shared" si="22"/>
        <v/>
      </c>
      <c r="J289" s="134">
        <f t="shared" si="23"/>
        <v>-6</v>
      </c>
      <c r="K289" s="134">
        <f t="shared" si="20"/>
        <v>-60</v>
      </c>
      <c r="L289" s="134"/>
      <c r="M289" s="136">
        <f t="shared" si="21"/>
        <v>0</v>
      </c>
    </row>
    <row r="290" spans="1:13">
      <c r="A290" s="150"/>
      <c r="G290" s="120"/>
      <c r="H290" s="134">
        <v>285</v>
      </c>
      <c r="I290" s="135" t="str">
        <f t="shared" si="22"/>
        <v/>
      </c>
      <c r="J290" s="134">
        <f t="shared" si="23"/>
        <v>-6</v>
      </c>
      <c r="K290" s="134">
        <f t="shared" si="20"/>
        <v>-60</v>
      </c>
      <c r="L290" s="134"/>
      <c r="M290" s="136">
        <f t="shared" si="21"/>
        <v>0</v>
      </c>
    </row>
    <row r="291" spans="1:13">
      <c r="A291" s="150"/>
      <c r="G291" s="120"/>
      <c r="H291" s="134">
        <v>286</v>
      </c>
      <c r="I291" s="135" t="str">
        <f t="shared" si="22"/>
        <v/>
      </c>
      <c r="J291" s="134">
        <f t="shared" si="23"/>
        <v>-6</v>
      </c>
      <c r="K291" s="134">
        <f t="shared" si="20"/>
        <v>-60</v>
      </c>
      <c r="L291" s="134"/>
      <c r="M291" s="136">
        <f t="shared" si="21"/>
        <v>0</v>
      </c>
    </row>
    <row r="292" spans="1:13">
      <c r="A292" s="150"/>
      <c r="G292" s="120"/>
      <c r="H292" s="134">
        <v>287</v>
      </c>
      <c r="I292" s="135" t="str">
        <f t="shared" si="22"/>
        <v/>
      </c>
      <c r="J292" s="134">
        <f t="shared" si="23"/>
        <v>-6</v>
      </c>
      <c r="K292" s="134">
        <f t="shared" si="20"/>
        <v>-60</v>
      </c>
      <c r="L292" s="134"/>
      <c r="M292" s="136">
        <f t="shared" si="21"/>
        <v>0</v>
      </c>
    </row>
    <row r="293" spans="1:13">
      <c r="A293" s="150"/>
      <c r="G293" s="120"/>
      <c r="H293" s="134">
        <v>288</v>
      </c>
      <c r="I293" s="135" t="str">
        <f t="shared" si="22"/>
        <v/>
      </c>
      <c r="J293" s="134">
        <f t="shared" si="23"/>
        <v>-6</v>
      </c>
      <c r="K293" s="134">
        <f t="shared" si="20"/>
        <v>-60</v>
      </c>
      <c r="L293" s="134"/>
      <c r="M293" s="136">
        <f t="shared" si="21"/>
        <v>0</v>
      </c>
    </row>
    <row r="294" spans="1:13">
      <c r="A294" s="150"/>
      <c r="G294" s="120"/>
      <c r="H294" s="134">
        <v>289</v>
      </c>
      <c r="I294" s="135" t="str">
        <f t="shared" si="22"/>
        <v/>
      </c>
      <c r="J294" s="134">
        <f t="shared" si="23"/>
        <v>-6</v>
      </c>
      <c r="K294" s="134">
        <f t="shared" si="20"/>
        <v>-60</v>
      </c>
      <c r="L294" s="134"/>
      <c r="M294" s="136">
        <f t="shared" si="21"/>
        <v>0</v>
      </c>
    </row>
    <row r="295" spans="1:13">
      <c r="A295" s="150"/>
      <c r="G295" s="120"/>
      <c r="H295" s="134">
        <v>290</v>
      </c>
      <c r="I295" s="135" t="str">
        <f t="shared" si="22"/>
        <v/>
      </c>
      <c r="J295" s="134">
        <f t="shared" si="23"/>
        <v>-6</v>
      </c>
      <c r="K295" s="134">
        <f t="shared" si="20"/>
        <v>-60</v>
      </c>
      <c r="L295" s="134"/>
      <c r="M295" s="136">
        <f t="shared" si="21"/>
        <v>0</v>
      </c>
    </row>
    <row r="296" spans="1:13">
      <c r="A296" s="150"/>
      <c r="G296" s="120"/>
      <c r="H296" s="134">
        <v>291</v>
      </c>
      <c r="I296" s="135" t="str">
        <f t="shared" si="22"/>
        <v/>
      </c>
      <c r="J296" s="134">
        <f t="shared" si="23"/>
        <v>-6</v>
      </c>
      <c r="K296" s="134">
        <f t="shared" si="20"/>
        <v>-60</v>
      </c>
      <c r="L296" s="134"/>
      <c r="M296" s="136">
        <f t="shared" si="21"/>
        <v>0</v>
      </c>
    </row>
    <row r="297" spans="1:13">
      <c r="A297" s="150"/>
      <c r="G297" s="120"/>
      <c r="H297" s="134">
        <v>292</v>
      </c>
      <c r="I297" s="135" t="str">
        <f t="shared" si="22"/>
        <v/>
      </c>
      <c r="J297" s="134">
        <f t="shared" si="23"/>
        <v>-6</v>
      </c>
      <c r="K297" s="134">
        <f t="shared" si="20"/>
        <v>-60</v>
      </c>
      <c r="L297" s="134"/>
      <c r="M297" s="136">
        <f t="shared" si="21"/>
        <v>0</v>
      </c>
    </row>
    <row r="298" spans="1:13">
      <c r="A298" s="150"/>
      <c r="G298" s="120"/>
      <c r="H298" s="134">
        <v>293</v>
      </c>
      <c r="I298" s="135" t="str">
        <f t="shared" si="22"/>
        <v/>
      </c>
      <c r="J298" s="134">
        <f t="shared" si="23"/>
        <v>-6</v>
      </c>
      <c r="K298" s="134">
        <f t="shared" si="20"/>
        <v>-60</v>
      </c>
      <c r="L298" s="134"/>
      <c r="M298" s="136">
        <f t="shared" si="21"/>
        <v>0</v>
      </c>
    </row>
    <row r="299" spans="1:13">
      <c r="A299" s="150"/>
      <c r="G299" s="120"/>
      <c r="H299" s="134">
        <v>294</v>
      </c>
      <c r="I299" s="135" t="str">
        <f t="shared" si="22"/>
        <v/>
      </c>
      <c r="J299" s="134">
        <f t="shared" si="23"/>
        <v>-6</v>
      </c>
      <c r="K299" s="134">
        <f t="shared" si="20"/>
        <v>-60</v>
      </c>
      <c r="L299" s="134"/>
      <c r="M299" s="136">
        <f t="shared" si="21"/>
        <v>0</v>
      </c>
    </row>
    <row r="300" spans="1:13">
      <c r="A300" s="150"/>
      <c r="G300" s="120"/>
      <c r="H300" s="134">
        <v>295</v>
      </c>
      <c r="I300" s="135" t="str">
        <f t="shared" si="22"/>
        <v/>
      </c>
      <c r="J300" s="134">
        <f t="shared" si="23"/>
        <v>-6</v>
      </c>
      <c r="K300" s="134">
        <f t="shared" si="20"/>
        <v>-60</v>
      </c>
      <c r="L300" s="134"/>
      <c r="M300" s="136">
        <f t="shared" si="21"/>
        <v>0</v>
      </c>
    </row>
    <row r="301" spans="1:13">
      <c r="A301" s="150"/>
      <c r="G301" s="120"/>
      <c r="H301" s="134">
        <v>296</v>
      </c>
      <c r="I301" s="135" t="str">
        <f t="shared" si="22"/>
        <v/>
      </c>
      <c r="J301" s="134">
        <f t="shared" si="23"/>
        <v>-6</v>
      </c>
      <c r="K301" s="134">
        <f t="shared" si="20"/>
        <v>-60</v>
      </c>
      <c r="L301" s="134"/>
      <c r="M301" s="136">
        <f t="shared" si="21"/>
        <v>0</v>
      </c>
    </row>
    <row r="302" spans="1:13">
      <c r="A302" s="150"/>
      <c r="G302" s="120"/>
      <c r="H302" s="134">
        <v>297</v>
      </c>
      <c r="I302" s="135" t="str">
        <f t="shared" si="22"/>
        <v/>
      </c>
      <c r="J302" s="134">
        <f t="shared" si="23"/>
        <v>-6</v>
      </c>
      <c r="K302" s="134">
        <f t="shared" si="20"/>
        <v>-60</v>
      </c>
      <c r="L302" s="134"/>
      <c r="M302" s="136">
        <f t="shared" si="21"/>
        <v>0</v>
      </c>
    </row>
    <row r="303" spans="1:13">
      <c r="A303" s="150"/>
      <c r="G303" s="120"/>
      <c r="H303" s="134">
        <v>298</v>
      </c>
      <c r="I303" s="135" t="str">
        <f t="shared" si="22"/>
        <v/>
      </c>
      <c r="J303" s="134">
        <f t="shared" si="23"/>
        <v>-6</v>
      </c>
      <c r="K303" s="134">
        <f t="shared" si="20"/>
        <v>-60</v>
      </c>
      <c r="L303" s="134"/>
      <c r="M303" s="136">
        <f t="shared" si="21"/>
        <v>0</v>
      </c>
    </row>
    <row r="304" spans="1:13">
      <c r="A304" s="150"/>
      <c r="G304" s="120"/>
      <c r="H304" s="134">
        <v>299</v>
      </c>
      <c r="I304" s="135" t="str">
        <f t="shared" si="22"/>
        <v/>
      </c>
      <c r="J304" s="134">
        <f t="shared" si="23"/>
        <v>-6</v>
      </c>
      <c r="K304" s="134">
        <f t="shared" si="20"/>
        <v>-60</v>
      </c>
      <c r="L304" s="134"/>
      <c r="M304" s="136">
        <f t="shared" si="21"/>
        <v>0</v>
      </c>
    </row>
    <row r="305" spans="1:16">
      <c r="A305" s="150"/>
      <c r="G305" s="120"/>
      <c r="H305" s="134">
        <v>300</v>
      </c>
      <c r="I305" s="135" t="str">
        <f t="shared" si="22"/>
        <v/>
      </c>
      <c r="J305" s="134">
        <f t="shared" si="23"/>
        <v>-6</v>
      </c>
      <c r="K305" s="134">
        <f t="shared" si="20"/>
        <v>-60</v>
      </c>
      <c r="L305" s="134"/>
      <c r="M305" s="136">
        <f t="shared" si="21"/>
        <v>0</v>
      </c>
    </row>
    <row r="306" spans="1:16">
      <c r="A306" s="152"/>
    </row>
    <row r="314" spans="1:16">
      <c r="L314" s="155"/>
      <c r="P314" s="145"/>
    </row>
    <row r="315" spans="1:16">
      <c r="L315" s="155"/>
      <c r="P315" s="145"/>
    </row>
    <row r="316" spans="1:16">
      <c r="L316" s="155"/>
      <c r="P316" s="145"/>
    </row>
    <row r="317" spans="1:16">
      <c r="L317" s="155"/>
      <c r="P317" s="145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count="1">
    <dataValidation type="list" allowBlank="1" showInputMessage="1" showErrorMessage="1" sqref="C38:C69" xr:uid="{E213C72D-847B-439A-A219-D40CB71E43C0}">
      <formula1>#REF!</formula1>
    </dataValidation>
  </dataValidations>
  <hyperlinks>
    <hyperlink ref="C2:D2" r:id="rId1" display="WARSZAWA" xr:uid="{EA3B50A6-24FF-4537-9DBA-C1809C7A11A7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88990-3ABF-4A71-9A90-4AF636A699A0}">
  <sheetPr>
    <tabColor theme="7" tint="0.79998168889431442"/>
  </sheetPr>
  <dimension ref="A1:AL317"/>
  <sheetViews>
    <sheetView workbookViewId="0">
      <selection activeCell="C14" sqref="C14"/>
    </sheetView>
  </sheetViews>
  <sheetFormatPr defaultColWidth="8.85546875" defaultRowHeight="15"/>
  <cols>
    <col min="1" max="1" width="8" style="151" customWidth="1"/>
    <col min="2" max="2" width="8.28515625" style="151" customWidth="1"/>
    <col min="3" max="3" width="34.7109375" style="151" customWidth="1"/>
    <col min="4" max="4" width="11.28515625" style="151" customWidth="1"/>
    <col min="5" max="6" width="8.85546875" style="151"/>
    <col min="7" max="7" width="0.85546875" style="151" customWidth="1"/>
    <col min="8" max="8" width="8.85546875" style="153"/>
    <col min="9" max="9" width="11" style="153" customWidth="1"/>
    <col min="10" max="10" width="15.28515625" style="153" customWidth="1"/>
    <col min="11" max="11" width="8.7109375" style="153" customWidth="1"/>
    <col min="12" max="12" width="11" style="153" customWidth="1"/>
    <col min="13" max="13" width="11.7109375" style="154" customWidth="1"/>
    <col min="14" max="15" width="13.85546875" style="120" customWidth="1"/>
    <col min="16" max="18" width="8.85546875" style="120"/>
    <col min="19" max="20" width="8.85546875" style="125"/>
    <col min="21" max="21" width="12.140625" style="125" customWidth="1"/>
    <col min="22" max="22" width="27.42578125" style="125" customWidth="1"/>
    <col min="23" max="38" width="8.85546875" style="125"/>
    <col min="39" max="16384" width="8.85546875" style="151"/>
  </cols>
  <sheetData>
    <row r="1" spans="1:36">
      <c r="A1" s="120"/>
      <c r="B1" s="120"/>
      <c r="C1" s="120"/>
      <c r="D1" s="120"/>
      <c r="E1" s="120"/>
      <c r="F1" s="120"/>
      <c r="G1" s="120"/>
      <c r="H1" s="121" t="s">
        <v>40</v>
      </c>
      <c r="I1" s="122" t="s">
        <v>41</v>
      </c>
      <c r="J1" s="122" t="s">
        <v>42</v>
      </c>
      <c r="K1" s="123" t="s">
        <v>43</v>
      </c>
      <c r="L1" s="124"/>
      <c r="M1" s="124"/>
    </row>
    <row r="2" spans="1:36" ht="14.45" customHeight="1">
      <c r="A2" s="120"/>
      <c r="B2" s="47" t="s">
        <v>44</v>
      </c>
      <c r="C2" s="340" t="s">
        <v>110</v>
      </c>
      <c r="D2" s="340"/>
      <c r="E2" s="6"/>
      <c r="F2" s="6"/>
      <c r="G2" s="6"/>
      <c r="H2" s="126">
        <v>4</v>
      </c>
      <c r="I2" s="127">
        <v>50</v>
      </c>
      <c r="J2" s="127">
        <v>10</v>
      </c>
      <c r="K2" s="128">
        <f>3*H2^(1/3)</f>
        <v>4.7622031559045981</v>
      </c>
      <c r="L2" s="124"/>
      <c r="M2" s="124"/>
    </row>
    <row r="3" spans="1:36" ht="14.45" customHeight="1">
      <c r="A3" s="120"/>
      <c r="B3" s="129" t="s">
        <v>46</v>
      </c>
      <c r="C3" s="341" t="s">
        <v>111</v>
      </c>
      <c r="D3" s="341"/>
      <c r="E3" s="7"/>
      <c r="F3" s="7"/>
      <c r="G3" s="7"/>
      <c r="H3" s="124"/>
      <c r="I3" s="124"/>
      <c r="J3" s="130"/>
      <c r="K3" s="124"/>
      <c r="L3" s="124"/>
      <c r="M3" s="124"/>
    </row>
    <row r="4" spans="1:36" ht="10.15" customHeight="1">
      <c r="A4" s="8"/>
      <c r="B4" s="7"/>
      <c r="C4" s="8"/>
      <c r="D4" s="8"/>
      <c r="E4" s="8"/>
      <c r="F4" s="8"/>
      <c r="G4" s="8"/>
      <c r="H4" s="124"/>
      <c r="I4" s="124"/>
      <c r="J4" s="130"/>
      <c r="K4" s="124"/>
      <c r="L4" s="124"/>
      <c r="M4" s="124"/>
    </row>
    <row r="5" spans="1:36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131" t="s">
        <v>54</v>
      </c>
      <c r="I5" s="132" t="s">
        <v>55</v>
      </c>
      <c r="J5" s="133" t="s">
        <v>96</v>
      </c>
      <c r="K5" s="132" t="s">
        <v>97</v>
      </c>
      <c r="L5" s="132" t="s">
        <v>58</v>
      </c>
      <c r="M5" s="131" t="s">
        <v>59</v>
      </c>
    </row>
    <row r="6" spans="1:36" ht="14.45" customHeight="1">
      <c r="A6" s="39">
        <f>M6</f>
        <v>84.286609467713788</v>
      </c>
      <c r="B6" s="36">
        <f t="shared" ref="B6:B16" si="0">IF(H6&gt;$H$2,"",(ROW()-5))</f>
        <v>1</v>
      </c>
      <c r="C6" s="24" t="s">
        <v>20</v>
      </c>
      <c r="D6" s="24" t="s">
        <v>112</v>
      </c>
      <c r="E6" s="24"/>
      <c r="F6" s="24" t="s">
        <v>98</v>
      </c>
      <c r="G6" s="8"/>
      <c r="H6" s="134">
        <v>1</v>
      </c>
      <c r="I6" s="135">
        <f>IF(H2=1,50,IF(H6&lt;$H$2+1,($I$2-($I$2-1)*(LOG(H6)/LOG($H$2))),""))</f>
        <v>50</v>
      </c>
      <c r="J6" s="134">
        <f>INT(LOG($H$2,2))-ROUNDUP(LOG(H6,2),0)+IF(OR($H$2=1,$H$2=2,$H$2=4,$H$2=8,$H$2=16,$H$2=32,$H$2=64,$H$2=128,$H$2=256),0,1)</f>
        <v>2</v>
      </c>
      <c r="K6" s="134">
        <f t="shared" ref="K6:K69" si="1">J6*$J$2</f>
        <v>20</v>
      </c>
      <c r="L6" s="136">
        <f>3*K2</f>
        <v>14.286609467713795</v>
      </c>
      <c r="M6" s="136">
        <f t="shared" ref="M6:M69" si="2">IF(I6&lt;&gt;"",K6+I6+L6,0)</f>
        <v>84.286609467713788</v>
      </c>
    </row>
    <row r="7" spans="1:36" ht="14.45" customHeight="1">
      <c r="A7" s="40">
        <f t="shared" ref="A7:A37" si="3">M7</f>
        <v>45.024406311809194</v>
      </c>
      <c r="B7" s="35">
        <f t="shared" si="0"/>
        <v>2</v>
      </c>
      <c r="C7" s="25" t="s">
        <v>22</v>
      </c>
      <c r="D7" s="25" t="s">
        <v>113</v>
      </c>
      <c r="E7" s="25"/>
      <c r="F7" s="25" t="s">
        <v>98</v>
      </c>
      <c r="G7" s="8"/>
      <c r="H7" s="137">
        <v>2</v>
      </c>
      <c r="I7" s="138">
        <f t="shared" ref="I7:I70" si="4">IF(H7&lt;$H$2+1,($I$2-($I$2-1)*(LOG(H7)/LOG($H$2))),"")</f>
        <v>25.5</v>
      </c>
      <c r="J7" s="137">
        <f t="shared" ref="J7:J70" si="5">INT(LOG($H$2,2))-ROUNDUP(LOG(H7,2),0)+IF(OR($H$2=1,$H$2=2,$H$2=4,$H$2=8,$H$2=16,$H$2=32,$H$2=64,$H$2=128,$H$2=256),0,1)</f>
        <v>1</v>
      </c>
      <c r="K7" s="137">
        <f t="shared" si="1"/>
        <v>10</v>
      </c>
      <c r="L7" s="139">
        <f>2*K2</f>
        <v>9.5244063118091962</v>
      </c>
      <c r="M7" s="139">
        <f t="shared" si="2"/>
        <v>45.024406311809194</v>
      </c>
    </row>
    <row r="8" spans="1:36" ht="14.45" customHeight="1">
      <c r="A8" s="42">
        <f t="shared" ref="A8" si="6">M8</f>
        <v>15.930621888236271</v>
      </c>
      <c r="B8" s="36">
        <f t="shared" si="0"/>
        <v>3</v>
      </c>
      <c r="C8" s="24" t="s">
        <v>23</v>
      </c>
      <c r="D8" s="24" t="s">
        <v>114</v>
      </c>
      <c r="E8" s="24"/>
      <c r="F8" s="24" t="s">
        <v>98</v>
      </c>
      <c r="G8" s="8"/>
      <c r="H8" s="134">
        <v>3</v>
      </c>
      <c r="I8" s="135">
        <f t="shared" si="4"/>
        <v>11.168418732331673</v>
      </c>
      <c r="J8" s="134">
        <f t="shared" si="5"/>
        <v>0</v>
      </c>
      <c r="K8" s="134">
        <f t="shared" si="1"/>
        <v>0</v>
      </c>
      <c r="L8" s="136">
        <f>K2</f>
        <v>4.7622031559045981</v>
      </c>
      <c r="M8" s="136">
        <f t="shared" si="2"/>
        <v>15.930621888236271</v>
      </c>
    </row>
    <row r="9" spans="1:36" ht="14.45" customHeight="1">
      <c r="A9" s="40">
        <f t="shared" si="3"/>
        <v>1</v>
      </c>
      <c r="B9" s="35">
        <f t="shared" si="0"/>
        <v>4</v>
      </c>
      <c r="C9" s="25" t="s">
        <v>29</v>
      </c>
      <c r="D9" s="25" t="s">
        <v>115</v>
      </c>
      <c r="E9" s="25"/>
      <c r="F9" s="25" t="s">
        <v>98</v>
      </c>
      <c r="G9" s="8"/>
      <c r="H9" s="137">
        <v>4</v>
      </c>
      <c r="I9" s="138">
        <f t="shared" si="4"/>
        <v>1</v>
      </c>
      <c r="J9" s="137">
        <f t="shared" si="5"/>
        <v>0</v>
      </c>
      <c r="K9" s="137">
        <f t="shared" si="1"/>
        <v>0</v>
      </c>
      <c r="L9" s="139"/>
      <c r="M9" s="139">
        <f t="shared" si="2"/>
        <v>1</v>
      </c>
      <c r="V9" s="140"/>
      <c r="Z9" s="141"/>
      <c r="AA9" s="141"/>
      <c r="AG9" s="142"/>
      <c r="AH9" s="125" t="s">
        <v>99</v>
      </c>
      <c r="AI9" s="125">
        <v>23</v>
      </c>
    </row>
    <row r="10" spans="1:36" ht="14.45" customHeight="1">
      <c r="A10" s="39">
        <f t="shared" si="3"/>
        <v>0</v>
      </c>
      <c r="B10" s="36" t="str">
        <f t="shared" si="0"/>
        <v/>
      </c>
      <c r="C10" s="24"/>
      <c r="D10" s="24"/>
      <c r="E10" s="24"/>
      <c r="F10" s="24"/>
      <c r="G10" s="8"/>
      <c r="H10" s="134">
        <v>5</v>
      </c>
      <c r="I10" s="135" t="str">
        <f t="shared" si="4"/>
        <v/>
      </c>
      <c r="J10" s="134">
        <f t="shared" si="5"/>
        <v>-1</v>
      </c>
      <c r="K10" s="134">
        <f t="shared" si="1"/>
        <v>-10</v>
      </c>
      <c r="L10" s="134"/>
      <c r="M10" s="136">
        <f t="shared" si="2"/>
        <v>0</v>
      </c>
      <c r="V10" s="140"/>
      <c r="Z10" s="141"/>
      <c r="AA10" s="141"/>
      <c r="AG10" s="142"/>
      <c r="AH10" s="125" t="s">
        <v>100</v>
      </c>
      <c r="AI10" s="125">
        <v>45</v>
      </c>
    </row>
    <row r="11" spans="1:36" ht="14.45" customHeight="1">
      <c r="A11" s="243">
        <v>61.946936002500301</v>
      </c>
      <c r="B11" s="241" t="s">
        <v>116</v>
      </c>
      <c r="C11" s="242" t="s">
        <v>21</v>
      </c>
      <c r="D11" s="25"/>
      <c r="E11" s="25"/>
      <c r="F11" s="25"/>
      <c r="G11" s="8"/>
      <c r="H11" s="137">
        <v>6</v>
      </c>
      <c r="I11" s="138" t="str">
        <f t="shared" si="4"/>
        <v/>
      </c>
      <c r="J11" s="137">
        <f t="shared" si="5"/>
        <v>-1</v>
      </c>
      <c r="K11" s="137">
        <f t="shared" si="1"/>
        <v>-10</v>
      </c>
      <c r="L11" s="137"/>
      <c r="M11" s="139">
        <f t="shared" si="2"/>
        <v>0</v>
      </c>
      <c r="V11" s="143"/>
      <c r="Z11" s="141"/>
      <c r="AA11" s="141"/>
      <c r="AG11" s="142"/>
      <c r="AH11" s="125" t="s">
        <v>101</v>
      </c>
      <c r="AI11" s="125">
        <v>50</v>
      </c>
    </row>
    <row r="12" spans="1:36" ht="14.45" customHeight="1">
      <c r="A12" s="39">
        <f t="shared" si="3"/>
        <v>0</v>
      </c>
      <c r="B12" s="36" t="str">
        <f t="shared" si="0"/>
        <v/>
      </c>
      <c r="C12" s="24"/>
      <c r="D12" s="24"/>
      <c r="E12" s="24"/>
      <c r="F12" s="24"/>
      <c r="G12" s="8"/>
      <c r="H12" s="134">
        <v>7</v>
      </c>
      <c r="I12" s="135" t="str">
        <f t="shared" si="4"/>
        <v/>
      </c>
      <c r="J12" s="134">
        <f t="shared" si="5"/>
        <v>-1</v>
      </c>
      <c r="K12" s="134">
        <f t="shared" si="1"/>
        <v>-10</v>
      </c>
      <c r="L12" s="134"/>
      <c r="M12" s="136">
        <f t="shared" si="2"/>
        <v>0</v>
      </c>
      <c r="Z12" s="141"/>
      <c r="AA12" s="141"/>
      <c r="AG12" s="142"/>
      <c r="AH12" s="125" t="s">
        <v>102</v>
      </c>
      <c r="AI12" s="125">
        <f>AI11-1</f>
        <v>49</v>
      </c>
    </row>
    <row r="13" spans="1:36" ht="14.45" customHeight="1">
      <c r="A13" s="41">
        <f t="shared" si="3"/>
        <v>0</v>
      </c>
      <c r="B13" s="35" t="str">
        <f t="shared" si="0"/>
        <v/>
      </c>
      <c r="C13" s="25"/>
      <c r="D13" s="25"/>
      <c r="E13" s="25"/>
      <c r="F13" s="25"/>
      <c r="G13" s="8"/>
      <c r="H13" s="137">
        <v>8</v>
      </c>
      <c r="I13" s="138" t="str">
        <f t="shared" si="4"/>
        <v/>
      </c>
      <c r="J13" s="137">
        <f t="shared" si="5"/>
        <v>-1</v>
      </c>
      <c r="K13" s="137">
        <f t="shared" si="1"/>
        <v>-10</v>
      </c>
      <c r="L13" s="137"/>
      <c r="M13" s="139">
        <f t="shared" si="2"/>
        <v>0</v>
      </c>
      <c r="X13" s="140"/>
      <c r="AG13" s="142"/>
      <c r="AH13" s="125" t="s">
        <v>104</v>
      </c>
      <c r="AI13" s="125">
        <f>LOG(AI9)</f>
        <v>1.3617278360175928</v>
      </c>
    </row>
    <row r="14" spans="1:36">
      <c r="A14" s="42">
        <f t="shared" si="3"/>
        <v>0</v>
      </c>
      <c r="B14" s="36" t="str">
        <f t="shared" si="0"/>
        <v/>
      </c>
      <c r="C14" s="24"/>
      <c r="D14" s="24"/>
      <c r="E14" s="24"/>
      <c r="F14" s="24"/>
      <c r="G14" s="8"/>
      <c r="H14" s="134">
        <v>9</v>
      </c>
      <c r="I14" s="135" t="str">
        <f t="shared" si="4"/>
        <v/>
      </c>
      <c r="J14" s="134">
        <f t="shared" si="5"/>
        <v>-2</v>
      </c>
      <c r="K14" s="134">
        <f t="shared" si="1"/>
        <v>-20</v>
      </c>
      <c r="L14" s="134"/>
      <c r="M14" s="136">
        <f t="shared" si="2"/>
        <v>0</v>
      </c>
      <c r="X14" s="144"/>
      <c r="Z14" s="141"/>
      <c r="AA14" s="141"/>
      <c r="AG14" s="142"/>
      <c r="AH14" s="125" t="s">
        <v>105</v>
      </c>
      <c r="AI14" s="125">
        <f>LOG(AI10)</f>
        <v>1.6532125137753437</v>
      </c>
    </row>
    <row r="15" spans="1:36">
      <c r="A15" s="41">
        <f t="shared" si="3"/>
        <v>0</v>
      </c>
      <c r="B15" s="35" t="str">
        <f t="shared" si="0"/>
        <v/>
      </c>
      <c r="C15" s="25"/>
      <c r="D15" s="25"/>
      <c r="E15" s="25"/>
      <c r="F15" s="25"/>
      <c r="G15" s="8"/>
      <c r="H15" s="137">
        <v>10</v>
      </c>
      <c r="I15" s="138" t="str">
        <f t="shared" si="4"/>
        <v/>
      </c>
      <c r="J15" s="137">
        <f t="shared" si="5"/>
        <v>-2</v>
      </c>
      <c r="K15" s="137">
        <f t="shared" si="1"/>
        <v>-20</v>
      </c>
      <c r="L15" s="137"/>
      <c r="M15" s="139">
        <f t="shared" si="2"/>
        <v>0</v>
      </c>
      <c r="X15" s="140"/>
      <c r="Z15" s="141"/>
      <c r="AA15" s="141"/>
    </row>
    <row r="16" spans="1:36">
      <c r="A16" s="42">
        <f t="shared" ref="A16" si="7">M16</f>
        <v>0</v>
      </c>
      <c r="B16" s="36" t="str">
        <f t="shared" si="0"/>
        <v/>
      </c>
      <c r="C16" s="24"/>
      <c r="D16" s="24"/>
      <c r="E16" s="24"/>
      <c r="F16" s="24"/>
      <c r="G16" s="8"/>
      <c r="H16" s="134">
        <v>11</v>
      </c>
      <c r="I16" s="135" t="str">
        <f t="shared" si="4"/>
        <v/>
      </c>
      <c r="J16" s="134">
        <f t="shared" si="5"/>
        <v>-2</v>
      </c>
      <c r="K16" s="134">
        <f t="shared" si="1"/>
        <v>-20</v>
      </c>
      <c r="L16" s="134"/>
      <c r="M16" s="136">
        <f t="shared" si="2"/>
        <v>0</v>
      </c>
      <c r="R16" s="145"/>
      <c r="Z16" s="141"/>
      <c r="AA16" s="141"/>
      <c r="AH16" s="146" t="s">
        <v>107</v>
      </c>
      <c r="AI16" s="125">
        <f>AI11-AI12*AI13/AI14</f>
        <v>9.6393909380186855</v>
      </c>
      <c r="AJ16" s="125" t="s">
        <v>108</v>
      </c>
    </row>
    <row r="17" spans="1:19">
      <c r="A17" s="41">
        <f t="shared" si="3"/>
        <v>0</v>
      </c>
      <c r="B17" s="35" t="str">
        <f t="shared" ref="B17:B65" si="8">IF(H17&gt;$H$2,"",(ROW()-5))</f>
        <v/>
      </c>
      <c r="C17" s="25"/>
      <c r="D17" s="25"/>
      <c r="E17" s="25"/>
      <c r="F17" s="25"/>
      <c r="G17" s="8"/>
      <c r="H17" s="137">
        <v>12</v>
      </c>
      <c r="I17" s="138" t="str">
        <f t="shared" si="4"/>
        <v/>
      </c>
      <c r="J17" s="137">
        <f t="shared" si="5"/>
        <v>-2</v>
      </c>
      <c r="K17" s="137">
        <f t="shared" si="1"/>
        <v>-20</v>
      </c>
      <c r="L17" s="137"/>
      <c r="M17" s="139">
        <f t="shared" si="2"/>
        <v>0</v>
      </c>
    </row>
    <row r="18" spans="1:19">
      <c r="A18" s="42">
        <f t="shared" si="3"/>
        <v>0</v>
      </c>
      <c r="B18" s="36" t="str">
        <f t="shared" si="8"/>
        <v/>
      </c>
      <c r="C18" s="24"/>
      <c r="D18" s="24"/>
      <c r="E18" s="24"/>
      <c r="F18" s="24"/>
      <c r="G18" s="8"/>
      <c r="H18" s="134">
        <v>13</v>
      </c>
      <c r="I18" s="135" t="str">
        <f t="shared" si="4"/>
        <v/>
      </c>
      <c r="J18" s="134">
        <f t="shared" si="5"/>
        <v>-2</v>
      </c>
      <c r="K18" s="134">
        <f t="shared" si="1"/>
        <v>-20</v>
      </c>
      <c r="L18" s="134"/>
      <c r="M18" s="136">
        <f t="shared" si="2"/>
        <v>0</v>
      </c>
    </row>
    <row r="19" spans="1:19">
      <c r="A19" s="41">
        <f t="shared" si="3"/>
        <v>0</v>
      </c>
      <c r="B19" s="35" t="str">
        <f t="shared" si="8"/>
        <v/>
      </c>
      <c r="C19" s="25"/>
      <c r="D19" s="25"/>
      <c r="E19" s="25"/>
      <c r="F19" s="25"/>
      <c r="G19" s="8"/>
      <c r="H19" s="137">
        <v>14</v>
      </c>
      <c r="I19" s="138" t="str">
        <f t="shared" si="4"/>
        <v/>
      </c>
      <c r="J19" s="137">
        <f t="shared" si="5"/>
        <v>-2</v>
      </c>
      <c r="K19" s="137">
        <f t="shared" si="1"/>
        <v>-20</v>
      </c>
      <c r="L19" s="137"/>
      <c r="M19" s="139">
        <f t="shared" si="2"/>
        <v>0</v>
      </c>
    </row>
    <row r="20" spans="1:19">
      <c r="A20" s="42">
        <f t="shared" si="3"/>
        <v>0</v>
      </c>
      <c r="B20" s="36" t="str">
        <f t="shared" si="8"/>
        <v/>
      </c>
      <c r="C20" s="24"/>
      <c r="D20" s="24"/>
      <c r="E20" s="24"/>
      <c r="F20" s="24"/>
      <c r="G20" s="8"/>
      <c r="H20" s="134">
        <v>15</v>
      </c>
      <c r="I20" s="135" t="str">
        <f t="shared" si="4"/>
        <v/>
      </c>
      <c r="J20" s="134">
        <f t="shared" si="5"/>
        <v>-2</v>
      </c>
      <c r="K20" s="134">
        <f t="shared" si="1"/>
        <v>-20</v>
      </c>
      <c r="L20" s="134"/>
      <c r="M20" s="136">
        <f t="shared" si="2"/>
        <v>0</v>
      </c>
      <c r="R20" s="147"/>
      <c r="S20" s="148"/>
    </row>
    <row r="21" spans="1:19">
      <c r="A21" s="41">
        <f t="shared" si="3"/>
        <v>0</v>
      </c>
      <c r="B21" s="35" t="str">
        <f t="shared" si="8"/>
        <v/>
      </c>
      <c r="C21" s="25"/>
      <c r="D21" s="25"/>
      <c r="E21" s="25"/>
      <c r="F21" s="25"/>
      <c r="G21" s="8"/>
      <c r="H21" s="137">
        <v>16</v>
      </c>
      <c r="I21" s="138" t="str">
        <f t="shared" si="4"/>
        <v/>
      </c>
      <c r="J21" s="137">
        <f t="shared" si="5"/>
        <v>-2</v>
      </c>
      <c r="K21" s="137">
        <f t="shared" si="1"/>
        <v>-20</v>
      </c>
      <c r="L21" s="137"/>
      <c r="M21" s="139">
        <f t="shared" si="2"/>
        <v>0</v>
      </c>
    </row>
    <row r="22" spans="1:19">
      <c r="A22" s="42">
        <f t="shared" si="3"/>
        <v>0</v>
      </c>
      <c r="B22" s="36" t="str">
        <f t="shared" si="8"/>
        <v/>
      </c>
      <c r="C22" s="24"/>
      <c r="D22" s="24"/>
      <c r="E22" s="24"/>
      <c r="F22" s="24"/>
      <c r="G22" s="8"/>
      <c r="H22" s="134">
        <v>17</v>
      </c>
      <c r="I22" s="135" t="str">
        <f t="shared" si="4"/>
        <v/>
      </c>
      <c r="J22" s="134">
        <f t="shared" si="5"/>
        <v>-3</v>
      </c>
      <c r="K22" s="134">
        <f t="shared" si="1"/>
        <v>-30</v>
      </c>
      <c r="L22" s="134"/>
      <c r="M22" s="136">
        <f t="shared" si="2"/>
        <v>0</v>
      </c>
    </row>
    <row r="23" spans="1:19">
      <c r="A23" s="41">
        <f t="shared" si="3"/>
        <v>0</v>
      </c>
      <c r="B23" s="35" t="str">
        <f t="shared" si="8"/>
        <v/>
      </c>
      <c r="C23" s="25"/>
      <c r="D23" s="25"/>
      <c r="E23" s="25"/>
      <c r="F23" s="25"/>
      <c r="G23" s="8"/>
      <c r="H23" s="137">
        <v>18</v>
      </c>
      <c r="I23" s="138" t="str">
        <f t="shared" si="4"/>
        <v/>
      </c>
      <c r="J23" s="137">
        <f t="shared" si="5"/>
        <v>-3</v>
      </c>
      <c r="K23" s="137">
        <f t="shared" si="1"/>
        <v>-30</v>
      </c>
      <c r="L23" s="137"/>
      <c r="M23" s="139">
        <f t="shared" si="2"/>
        <v>0</v>
      </c>
    </row>
    <row r="24" spans="1:19">
      <c r="A24" s="42">
        <f t="shared" si="3"/>
        <v>0</v>
      </c>
      <c r="B24" s="36" t="str">
        <f t="shared" si="8"/>
        <v/>
      </c>
      <c r="C24" s="24"/>
      <c r="D24" s="24"/>
      <c r="E24" s="24"/>
      <c r="F24" s="24"/>
      <c r="G24" s="8"/>
      <c r="H24" s="134">
        <v>19</v>
      </c>
      <c r="I24" s="135" t="str">
        <f t="shared" si="4"/>
        <v/>
      </c>
      <c r="J24" s="134">
        <f t="shared" si="5"/>
        <v>-3</v>
      </c>
      <c r="K24" s="134">
        <f t="shared" si="1"/>
        <v>-30</v>
      </c>
      <c r="L24" s="134"/>
      <c r="M24" s="136">
        <f t="shared" si="2"/>
        <v>0</v>
      </c>
      <c r="R24" s="147"/>
      <c r="S24" s="148"/>
    </row>
    <row r="25" spans="1:19">
      <c r="A25" s="41">
        <f t="shared" si="3"/>
        <v>0</v>
      </c>
      <c r="B25" s="35" t="str">
        <f t="shared" si="8"/>
        <v/>
      </c>
      <c r="C25" s="25"/>
      <c r="D25" s="25"/>
      <c r="E25" s="25"/>
      <c r="F25" s="25"/>
      <c r="G25" s="8"/>
      <c r="H25" s="137">
        <v>20</v>
      </c>
      <c r="I25" s="138" t="str">
        <f t="shared" si="4"/>
        <v/>
      </c>
      <c r="J25" s="137">
        <f t="shared" si="5"/>
        <v>-3</v>
      </c>
      <c r="K25" s="137">
        <f t="shared" si="1"/>
        <v>-30</v>
      </c>
      <c r="L25" s="137"/>
      <c r="M25" s="139">
        <f t="shared" si="2"/>
        <v>0</v>
      </c>
    </row>
    <row r="26" spans="1:19">
      <c r="A26" s="42">
        <f t="shared" si="3"/>
        <v>0</v>
      </c>
      <c r="B26" s="36" t="str">
        <f t="shared" si="8"/>
        <v/>
      </c>
      <c r="C26" s="24"/>
      <c r="D26" s="24"/>
      <c r="E26" s="24"/>
      <c r="F26" s="24"/>
      <c r="G26" s="8"/>
      <c r="H26" s="134">
        <v>21</v>
      </c>
      <c r="I26" s="135" t="str">
        <f t="shared" si="4"/>
        <v/>
      </c>
      <c r="J26" s="134">
        <f t="shared" si="5"/>
        <v>-3</v>
      </c>
      <c r="K26" s="134">
        <f t="shared" si="1"/>
        <v>-30</v>
      </c>
      <c r="L26" s="134"/>
      <c r="M26" s="136">
        <f t="shared" si="2"/>
        <v>0</v>
      </c>
    </row>
    <row r="27" spans="1:19">
      <c r="A27" s="41">
        <f t="shared" si="3"/>
        <v>0</v>
      </c>
      <c r="B27" s="35" t="str">
        <f t="shared" si="8"/>
        <v/>
      </c>
      <c r="C27" s="25"/>
      <c r="D27" s="25"/>
      <c r="E27" s="25"/>
      <c r="F27" s="25"/>
      <c r="G27" s="8"/>
      <c r="H27" s="137">
        <v>22</v>
      </c>
      <c r="I27" s="138" t="str">
        <f t="shared" si="4"/>
        <v/>
      </c>
      <c r="J27" s="137">
        <f t="shared" si="5"/>
        <v>-3</v>
      </c>
      <c r="K27" s="137">
        <f t="shared" si="1"/>
        <v>-30</v>
      </c>
      <c r="L27" s="137"/>
      <c r="M27" s="139">
        <f t="shared" si="2"/>
        <v>0</v>
      </c>
    </row>
    <row r="28" spans="1:19">
      <c r="A28" s="42">
        <f t="shared" si="3"/>
        <v>0</v>
      </c>
      <c r="B28" s="36" t="str">
        <f t="shared" si="8"/>
        <v/>
      </c>
      <c r="C28" s="24"/>
      <c r="D28" s="24"/>
      <c r="E28" s="24"/>
      <c r="F28" s="24"/>
      <c r="G28" s="8"/>
      <c r="H28" s="134">
        <v>23</v>
      </c>
      <c r="I28" s="135" t="str">
        <f t="shared" si="4"/>
        <v/>
      </c>
      <c r="J28" s="134">
        <f t="shared" si="5"/>
        <v>-3</v>
      </c>
      <c r="K28" s="134">
        <f t="shared" si="1"/>
        <v>-30</v>
      </c>
      <c r="L28" s="134"/>
      <c r="M28" s="136">
        <f t="shared" si="2"/>
        <v>0</v>
      </c>
      <c r="R28" s="147"/>
      <c r="S28" s="148"/>
    </row>
    <row r="29" spans="1:19">
      <c r="A29" s="41">
        <f t="shared" si="3"/>
        <v>0</v>
      </c>
      <c r="B29" s="35" t="str">
        <f t="shared" si="8"/>
        <v/>
      </c>
      <c r="C29" s="25"/>
      <c r="D29" s="25"/>
      <c r="E29" s="25"/>
      <c r="F29" s="25"/>
      <c r="G29" s="120"/>
      <c r="H29" s="137">
        <v>24</v>
      </c>
      <c r="I29" s="138" t="str">
        <f t="shared" si="4"/>
        <v/>
      </c>
      <c r="J29" s="137">
        <f t="shared" si="5"/>
        <v>-3</v>
      </c>
      <c r="K29" s="137">
        <f t="shared" si="1"/>
        <v>-30</v>
      </c>
      <c r="L29" s="137"/>
      <c r="M29" s="139">
        <f t="shared" si="2"/>
        <v>0</v>
      </c>
    </row>
    <row r="30" spans="1:19">
      <c r="A30" s="42">
        <f t="shared" si="3"/>
        <v>0</v>
      </c>
      <c r="B30" s="36" t="str">
        <f t="shared" si="8"/>
        <v/>
      </c>
      <c r="C30" s="24"/>
      <c r="D30" s="24"/>
      <c r="E30" s="24"/>
      <c r="F30" s="24"/>
      <c r="G30" s="120"/>
      <c r="H30" s="134">
        <v>25</v>
      </c>
      <c r="I30" s="135" t="str">
        <f t="shared" si="4"/>
        <v/>
      </c>
      <c r="J30" s="134">
        <f t="shared" si="5"/>
        <v>-3</v>
      </c>
      <c r="K30" s="134">
        <f t="shared" si="1"/>
        <v>-30</v>
      </c>
      <c r="L30" s="134"/>
      <c r="M30" s="136">
        <f t="shared" si="2"/>
        <v>0</v>
      </c>
    </row>
    <row r="31" spans="1:19">
      <c r="A31" s="41">
        <f t="shared" si="3"/>
        <v>0</v>
      </c>
      <c r="B31" s="35" t="str">
        <f t="shared" si="8"/>
        <v/>
      </c>
      <c r="C31" s="25"/>
      <c r="D31" s="25"/>
      <c r="E31" s="25"/>
      <c r="F31" s="25"/>
      <c r="G31" s="120"/>
      <c r="H31" s="137">
        <v>26</v>
      </c>
      <c r="I31" s="138" t="str">
        <f t="shared" si="4"/>
        <v/>
      </c>
      <c r="J31" s="137">
        <f t="shared" si="5"/>
        <v>-3</v>
      </c>
      <c r="K31" s="137">
        <f t="shared" si="1"/>
        <v>-30</v>
      </c>
      <c r="L31" s="137"/>
      <c r="M31" s="139">
        <f t="shared" si="2"/>
        <v>0</v>
      </c>
    </row>
    <row r="32" spans="1:19">
      <c r="A32" s="42">
        <f t="shared" si="3"/>
        <v>0</v>
      </c>
      <c r="B32" s="36" t="str">
        <f t="shared" si="8"/>
        <v/>
      </c>
      <c r="C32" s="24"/>
      <c r="D32" s="24"/>
      <c r="E32" s="24"/>
      <c r="F32" s="24"/>
      <c r="G32" s="120"/>
      <c r="H32" s="134">
        <v>27</v>
      </c>
      <c r="I32" s="135" t="str">
        <f t="shared" si="4"/>
        <v/>
      </c>
      <c r="J32" s="134">
        <f t="shared" si="5"/>
        <v>-3</v>
      </c>
      <c r="K32" s="134">
        <f t="shared" si="1"/>
        <v>-30</v>
      </c>
      <c r="L32" s="134"/>
      <c r="M32" s="136">
        <f t="shared" si="2"/>
        <v>0</v>
      </c>
      <c r="R32" s="147"/>
      <c r="S32" s="148"/>
    </row>
    <row r="33" spans="1:21">
      <c r="A33" s="41">
        <f t="shared" si="3"/>
        <v>0</v>
      </c>
      <c r="B33" s="35" t="str">
        <f t="shared" si="8"/>
        <v/>
      </c>
      <c r="C33" s="25"/>
      <c r="D33" s="25"/>
      <c r="E33" s="25"/>
      <c r="F33" s="25"/>
      <c r="G33" s="120"/>
      <c r="H33" s="137">
        <v>28</v>
      </c>
      <c r="I33" s="138" t="str">
        <f t="shared" si="4"/>
        <v/>
      </c>
      <c r="J33" s="137">
        <f t="shared" si="5"/>
        <v>-3</v>
      </c>
      <c r="K33" s="137">
        <f t="shared" si="1"/>
        <v>-30</v>
      </c>
      <c r="L33" s="137"/>
      <c r="M33" s="139">
        <f t="shared" si="2"/>
        <v>0</v>
      </c>
    </row>
    <row r="34" spans="1:21">
      <c r="A34" s="42">
        <f t="shared" si="3"/>
        <v>0</v>
      </c>
      <c r="B34" s="36" t="str">
        <f t="shared" si="8"/>
        <v/>
      </c>
      <c r="C34" s="24"/>
      <c r="D34" s="24"/>
      <c r="E34" s="24"/>
      <c r="F34" s="24"/>
      <c r="G34" s="120"/>
      <c r="H34" s="134">
        <v>29</v>
      </c>
      <c r="I34" s="135" t="str">
        <f t="shared" si="4"/>
        <v/>
      </c>
      <c r="J34" s="134">
        <f t="shared" si="5"/>
        <v>-3</v>
      </c>
      <c r="K34" s="134">
        <f t="shared" si="1"/>
        <v>-30</v>
      </c>
      <c r="L34" s="134"/>
      <c r="M34" s="136">
        <f t="shared" si="2"/>
        <v>0</v>
      </c>
    </row>
    <row r="35" spans="1:21">
      <c r="A35" s="41">
        <f t="shared" si="3"/>
        <v>0</v>
      </c>
      <c r="B35" s="35" t="str">
        <f t="shared" si="8"/>
        <v/>
      </c>
      <c r="C35" s="25"/>
      <c r="D35" s="25"/>
      <c r="E35" s="25"/>
      <c r="F35" s="25"/>
      <c r="G35" s="120"/>
      <c r="H35" s="137">
        <v>30</v>
      </c>
      <c r="I35" s="138" t="str">
        <f t="shared" si="4"/>
        <v/>
      </c>
      <c r="J35" s="137">
        <f t="shared" si="5"/>
        <v>-3</v>
      </c>
      <c r="K35" s="137">
        <f t="shared" si="1"/>
        <v>-30</v>
      </c>
      <c r="L35" s="137"/>
      <c r="M35" s="139">
        <f t="shared" si="2"/>
        <v>0</v>
      </c>
    </row>
    <row r="36" spans="1:21">
      <c r="A36" s="42">
        <f t="shared" si="3"/>
        <v>0</v>
      </c>
      <c r="B36" s="36" t="str">
        <f t="shared" si="8"/>
        <v/>
      </c>
      <c r="C36" s="24"/>
      <c r="D36" s="24"/>
      <c r="E36" s="24"/>
      <c r="F36" s="24"/>
      <c r="G36" s="120"/>
      <c r="H36" s="134">
        <v>31</v>
      </c>
      <c r="I36" s="135" t="str">
        <f t="shared" si="4"/>
        <v/>
      </c>
      <c r="J36" s="134">
        <f t="shared" si="5"/>
        <v>-3</v>
      </c>
      <c r="K36" s="134">
        <f t="shared" si="1"/>
        <v>-30</v>
      </c>
      <c r="L36" s="134"/>
      <c r="M36" s="136">
        <f t="shared" si="2"/>
        <v>0</v>
      </c>
      <c r="R36" s="147"/>
      <c r="S36" s="148"/>
    </row>
    <row r="37" spans="1:21">
      <c r="A37" s="41">
        <f t="shared" si="3"/>
        <v>0</v>
      </c>
      <c r="B37" s="35" t="str">
        <f t="shared" si="8"/>
        <v/>
      </c>
      <c r="C37" s="25"/>
      <c r="D37" s="25"/>
      <c r="E37" s="25"/>
      <c r="F37" s="25"/>
      <c r="G37" s="120"/>
      <c r="H37" s="137">
        <v>32</v>
      </c>
      <c r="I37" s="138" t="str">
        <f t="shared" si="4"/>
        <v/>
      </c>
      <c r="J37" s="137">
        <f t="shared" si="5"/>
        <v>-3</v>
      </c>
      <c r="K37" s="137">
        <f t="shared" si="1"/>
        <v>-30</v>
      </c>
      <c r="L37" s="137"/>
      <c r="M37" s="139">
        <f t="shared" si="2"/>
        <v>0</v>
      </c>
    </row>
    <row r="38" spans="1:21">
      <c r="A38" s="42"/>
      <c r="B38" s="36" t="str">
        <f t="shared" si="8"/>
        <v/>
      </c>
      <c r="C38" s="24"/>
      <c r="D38" s="24"/>
      <c r="E38" s="24"/>
      <c r="F38" s="24"/>
      <c r="G38" s="120"/>
      <c r="H38" s="134">
        <v>33</v>
      </c>
      <c r="I38" s="135" t="str">
        <f t="shared" si="4"/>
        <v/>
      </c>
      <c r="J38" s="134">
        <f t="shared" si="5"/>
        <v>-4</v>
      </c>
      <c r="K38" s="134">
        <f t="shared" si="1"/>
        <v>-40</v>
      </c>
      <c r="L38" s="134"/>
      <c r="M38" s="136">
        <f t="shared" si="2"/>
        <v>0</v>
      </c>
    </row>
    <row r="39" spans="1:21">
      <c r="A39" s="41"/>
      <c r="B39" s="35" t="str">
        <f t="shared" si="8"/>
        <v/>
      </c>
      <c r="C39" s="25"/>
      <c r="D39" s="25"/>
      <c r="E39" s="25"/>
      <c r="F39" s="25"/>
      <c r="G39" s="120"/>
      <c r="H39" s="137">
        <v>34</v>
      </c>
      <c r="I39" s="138" t="str">
        <f t="shared" si="4"/>
        <v/>
      </c>
      <c r="J39" s="137">
        <f t="shared" si="5"/>
        <v>-4</v>
      </c>
      <c r="K39" s="137">
        <f t="shared" si="1"/>
        <v>-40</v>
      </c>
      <c r="L39" s="137"/>
      <c r="M39" s="139">
        <f t="shared" si="2"/>
        <v>0</v>
      </c>
    </row>
    <row r="40" spans="1:21">
      <c r="A40" s="42"/>
      <c r="B40" s="36" t="str">
        <f t="shared" si="8"/>
        <v/>
      </c>
      <c r="C40" s="24"/>
      <c r="D40" s="24"/>
      <c r="E40" s="24"/>
      <c r="F40" s="24"/>
      <c r="G40" s="120"/>
      <c r="H40" s="134">
        <v>35</v>
      </c>
      <c r="I40" s="135" t="str">
        <f t="shared" si="4"/>
        <v/>
      </c>
      <c r="J40" s="134">
        <f t="shared" si="5"/>
        <v>-4</v>
      </c>
      <c r="K40" s="134">
        <f t="shared" si="1"/>
        <v>-40</v>
      </c>
      <c r="L40" s="134"/>
      <c r="M40" s="136">
        <f t="shared" si="2"/>
        <v>0</v>
      </c>
    </row>
    <row r="41" spans="1:21">
      <c r="A41" s="41"/>
      <c r="B41" s="35" t="str">
        <f t="shared" si="8"/>
        <v/>
      </c>
      <c r="C41" s="25"/>
      <c r="D41" s="25"/>
      <c r="E41" s="25"/>
      <c r="F41" s="25"/>
      <c r="G41" s="120"/>
      <c r="H41" s="137">
        <v>36</v>
      </c>
      <c r="I41" s="138" t="str">
        <f t="shared" si="4"/>
        <v/>
      </c>
      <c r="J41" s="137">
        <f t="shared" si="5"/>
        <v>-4</v>
      </c>
      <c r="K41" s="137">
        <f t="shared" si="1"/>
        <v>-40</v>
      </c>
      <c r="L41" s="137"/>
      <c r="M41" s="139">
        <f t="shared" si="2"/>
        <v>0</v>
      </c>
      <c r="S41" s="149"/>
    </row>
    <row r="42" spans="1:21">
      <c r="A42" s="42"/>
      <c r="B42" s="36" t="str">
        <f t="shared" si="8"/>
        <v/>
      </c>
      <c r="C42" s="24"/>
      <c r="D42" s="24"/>
      <c r="E42" s="24"/>
      <c r="F42" s="24"/>
      <c r="G42" s="120"/>
      <c r="H42" s="134">
        <v>37</v>
      </c>
      <c r="I42" s="135" t="str">
        <f t="shared" si="4"/>
        <v/>
      </c>
      <c r="J42" s="134">
        <f t="shared" si="5"/>
        <v>-4</v>
      </c>
      <c r="K42" s="134">
        <f t="shared" si="1"/>
        <v>-40</v>
      </c>
      <c r="L42" s="134"/>
      <c r="M42" s="136">
        <f t="shared" si="2"/>
        <v>0</v>
      </c>
    </row>
    <row r="43" spans="1:21">
      <c r="A43" s="41"/>
      <c r="B43" s="35" t="str">
        <f t="shared" si="8"/>
        <v/>
      </c>
      <c r="C43" s="25"/>
      <c r="D43" s="25"/>
      <c r="E43" s="25"/>
      <c r="F43" s="25"/>
      <c r="G43" s="120"/>
      <c r="H43" s="137">
        <v>38</v>
      </c>
      <c r="I43" s="138" t="str">
        <f t="shared" si="4"/>
        <v/>
      </c>
      <c r="J43" s="137">
        <f t="shared" si="5"/>
        <v>-4</v>
      </c>
      <c r="K43" s="137">
        <f t="shared" si="1"/>
        <v>-40</v>
      </c>
      <c r="L43" s="137"/>
      <c r="M43" s="139">
        <f t="shared" si="2"/>
        <v>0</v>
      </c>
    </row>
    <row r="44" spans="1:21">
      <c r="A44" s="42"/>
      <c r="B44" s="36" t="str">
        <f t="shared" si="8"/>
        <v/>
      </c>
      <c r="C44" s="24"/>
      <c r="D44" s="24"/>
      <c r="E44" s="24"/>
      <c r="F44" s="24"/>
      <c r="G44" s="120"/>
      <c r="H44" s="134">
        <v>39</v>
      </c>
      <c r="I44" s="135" t="str">
        <f t="shared" si="4"/>
        <v/>
      </c>
      <c r="J44" s="134">
        <f t="shared" si="5"/>
        <v>-4</v>
      </c>
      <c r="K44" s="134">
        <f t="shared" si="1"/>
        <v>-40</v>
      </c>
      <c r="L44" s="134"/>
      <c r="M44" s="136">
        <f t="shared" si="2"/>
        <v>0</v>
      </c>
    </row>
    <row r="45" spans="1:21">
      <c r="A45" s="41"/>
      <c r="B45" s="35" t="str">
        <f t="shared" si="8"/>
        <v/>
      </c>
      <c r="C45" s="25"/>
      <c r="D45" s="25"/>
      <c r="E45" s="25"/>
      <c r="F45" s="25"/>
      <c r="G45" s="120"/>
      <c r="H45" s="137">
        <v>40</v>
      </c>
      <c r="I45" s="138" t="str">
        <f t="shared" si="4"/>
        <v/>
      </c>
      <c r="J45" s="137">
        <f t="shared" si="5"/>
        <v>-4</v>
      </c>
      <c r="K45" s="137">
        <f t="shared" si="1"/>
        <v>-40</v>
      </c>
      <c r="L45" s="137"/>
      <c r="M45" s="139">
        <f t="shared" si="2"/>
        <v>0</v>
      </c>
    </row>
    <row r="46" spans="1:21">
      <c r="A46" s="42"/>
      <c r="B46" s="36" t="str">
        <f t="shared" si="8"/>
        <v/>
      </c>
      <c r="C46" s="24"/>
      <c r="D46" s="24"/>
      <c r="E46" s="24"/>
      <c r="F46" s="24"/>
      <c r="G46" s="120"/>
      <c r="H46" s="134">
        <v>41</v>
      </c>
      <c r="I46" s="135" t="str">
        <f t="shared" si="4"/>
        <v/>
      </c>
      <c r="J46" s="134">
        <f t="shared" si="5"/>
        <v>-4</v>
      </c>
      <c r="K46" s="134">
        <f t="shared" si="1"/>
        <v>-40</v>
      </c>
      <c r="L46" s="134"/>
      <c r="M46" s="136">
        <f t="shared" si="2"/>
        <v>0</v>
      </c>
      <c r="R46" s="120">
        <f>LOG($H$2,2)</f>
        <v>2</v>
      </c>
      <c r="T46" s="125">
        <f>LOG(H38,2)</f>
        <v>5.0443941193584534</v>
      </c>
      <c r="U46" s="125">
        <f>R46-T46</f>
        <v>-3.0443941193584534</v>
      </c>
    </row>
    <row r="47" spans="1:21">
      <c r="A47" s="41"/>
      <c r="B47" s="35" t="str">
        <f t="shared" si="8"/>
        <v/>
      </c>
      <c r="C47" s="25"/>
      <c r="D47" s="25"/>
      <c r="E47" s="25"/>
      <c r="F47" s="25"/>
      <c r="G47" s="120"/>
      <c r="H47" s="137">
        <v>42</v>
      </c>
      <c r="I47" s="138" t="str">
        <f t="shared" si="4"/>
        <v/>
      </c>
      <c r="J47" s="137">
        <f t="shared" si="5"/>
        <v>-4</v>
      </c>
      <c r="K47" s="137">
        <f t="shared" si="1"/>
        <v>-40</v>
      </c>
      <c r="L47" s="137"/>
      <c r="M47" s="139">
        <f t="shared" si="2"/>
        <v>0</v>
      </c>
    </row>
    <row r="48" spans="1:21">
      <c r="A48" s="42"/>
      <c r="B48" s="36" t="str">
        <f t="shared" si="8"/>
        <v/>
      </c>
      <c r="C48" s="24"/>
      <c r="D48" s="24"/>
      <c r="E48" s="24"/>
      <c r="F48" s="24"/>
      <c r="G48" s="120"/>
      <c r="H48" s="134">
        <v>43</v>
      </c>
      <c r="I48" s="135" t="str">
        <f t="shared" si="4"/>
        <v/>
      </c>
      <c r="J48" s="134">
        <f t="shared" si="5"/>
        <v>-4</v>
      </c>
      <c r="K48" s="134">
        <f t="shared" si="1"/>
        <v>-40</v>
      </c>
      <c r="L48" s="134"/>
      <c r="M48" s="136">
        <f t="shared" si="2"/>
        <v>0</v>
      </c>
    </row>
    <row r="49" spans="1:13">
      <c r="A49" s="41"/>
      <c r="B49" s="35" t="str">
        <f t="shared" si="8"/>
        <v/>
      </c>
      <c r="C49" s="25"/>
      <c r="D49" s="25"/>
      <c r="E49" s="25"/>
      <c r="F49" s="25"/>
      <c r="G49" s="120"/>
      <c r="H49" s="137">
        <v>44</v>
      </c>
      <c r="I49" s="138" t="str">
        <f t="shared" si="4"/>
        <v/>
      </c>
      <c r="J49" s="137">
        <f t="shared" si="5"/>
        <v>-4</v>
      </c>
      <c r="K49" s="137">
        <f t="shared" si="1"/>
        <v>-40</v>
      </c>
      <c r="L49" s="137"/>
      <c r="M49" s="139">
        <f t="shared" si="2"/>
        <v>0</v>
      </c>
    </row>
    <row r="50" spans="1:13">
      <c r="A50" s="42"/>
      <c r="B50" s="36" t="str">
        <f t="shared" si="8"/>
        <v/>
      </c>
      <c r="C50" s="24"/>
      <c r="D50" s="24"/>
      <c r="E50" s="24"/>
      <c r="F50" s="24"/>
      <c r="G50" s="120"/>
      <c r="H50" s="134">
        <v>45</v>
      </c>
      <c r="I50" s="135" t="str">
        <f t="shared" si="4"/>
        <v/>
      </c>
      <c r="J50" s="134">
        <f t="shared" si="5"/>
        <v>-4</v>
      </c>
      <c r="K50" s="134">
        <f t="shared" si="1"/>
        <v>-40</v>
      </c>
      <c r="L50" s="134"/>
      <c r="M50" s="136">
        <f t="shared" si="2"/>
        <v>0</v>
      </c>
    </row>
    <row r="51" spans="1:13">
      <c r="A51" s="41"/>
      <c r="B51" s="35" t="str">
        <f t="shared" si="8"/>
        <v/>
      </c>
      <c r="C51" s="25"/>
      <c r="D51" s="25"/>
      <c r="E51" s="25"/>
      <c r="F51" s="25"/>
      <c r="G51" s="120"/>
      <c r="H51" s="137">
        <v>46</v>
      </c>
      <c r="I51" s="138" t="str">
        <f t="shared" si="4"/>
        <v/>
      </c>
      <c r="J51" s="137">
        <f t="shared" si="5"/>
        <v>-4</v>
      </c>
      <c r="K51" s="137">
        <f t="shared" si="1"/>
        <v>-40</v>
      </c>
      <c r="L51" s="137"/>
      <c r="M51" s="139">
        <f t="shared" si="2"/>
        <v>0</v>
      </c>
    </row>
    <row r="52" spans="1:13">
      <c r="A52" s="42"/>
      <c r="B52" s="36" t="str">
        <f t="shared" si="8"/>
        <v/>
      </c>
      <c r="C52" s="24"/>
      <c r="D52" s="24"/>
      <c r="E52" s="24"/>
      <c r="F52" s="24"/>
      <c r="G52" s="120"/>
      <c r="H52" s="134">
        <v>47</v>
      </c>
      <c r="I52" s="135" t="str">
        <f t="shared" si="4"/>
        <v/>
      </c>
      <c r="J52" s="134">
        <f t="shared" si="5"/>
        <v>-4</v>
      </c>
      <c r="K52" s="134">
        <f t="shared" si="1"/>
        <v>-40</v>
      </c>
      <c r="L52" s="134"/>
      <c r="M52" s="136">
        <f t="shared" si="2"/>
        <v>0</v>
      </c>
    </row>
    <row r="53" spans="1:13">
      <c r="A53" s="41"/>
      <c r="B53" s="35" t="str">
        <f t="shared" si="8"/>
        <v/>
      </c>
      <c r="C53" s="25"/>
      <c r="D53" s="25"/>
      <c r="E53" s="25"/>
      <c r="F53" s="25"/>
      <c r="G53" s="120"/>
      <c r="H53" s="137">
        <v>48</v>
      </c>
      <c r="I53" s="138" t="str">
        <f t="shared" si="4"/>
        <v/>
      </c>
      <c r="J53" s="137">
        <f t="shared" si="5"/>
        <v>-4</v>
      </c>
      <c r="K53" s="137">
        <f t="shared" si="1"/>
        <v>-40</v>
      </c>
      <c r="L53" s="137"/>
      <c r="M53" s="139">
        <f t="shared" si="2"/>
        <v>0</v>
      </c>
    </row>
    <row r="54" spans="1:13">
      <c r="A54" s="42"/>
      <c r="B54" s="36" t="str">
        <f t="shared" si="8"/>
        <v/>
      </c>
      <c r="C54" s="24"/>
      <c r="D54" s="24"/>
      <c r="E54" s="24"/>
      <c r="F54" s="24"/>
      <c r="G54" s="120"/>
      <c r="H54" s="134">
        <v>49</v>
      </c>
      <c r="I54" s="135" t="str">
        <f t="shared" si="4"/>
        <v/>
      </c>
      <c r="J54" s="134">
        <f t="shared" si="5"/>
        <v>-4</v>
      </c>
      <c r="K54" s="134">
        <f t="shared" si="1"/>
        <v>-40</v>
      </c>
      <c r="L54" s="134"/>
      <c r="M54" s="136">
        <f t="shared" si="2"/>
        <v>0</v>
      </c>
    </row>
    <row r="55" spans="1:13">
      <c r="A55" s="41"/>
      <c r="B55" s="35" t="str">
        <f t="shared" si="8"/>
        <v/>
      </c>
      <c r="C55" s="25"/>
      <c r="D55" s="25"/>
      <c r="E55" s="25"/>
      <c r="F55" s="25"/>
      <c r="G55" s="120"/>
      <c r="H55" s="137">
        <v>50</v>
      </c>
      <c r="I55" s="138" t="str">
        <f t="shared" si="4"/>
        <v/>
      </c>
      <c r="J55" s="137">
        <f t="shared" si="5"/>
        <v>-4</v>
      </c>
      <c r="K55" s="137">
        <f t="shared" si="1"/>
        <v>-40</v>
      </c>
      <c r="L55" s="137"/>
      <c r="M55" s="139">
        <f t="shared" si="2"/>
        <v>0</v>
      </c>
    </row>
    <row r="56" spans="1:13">
      <c r="A56" s="42"/>
      <c r="B56" s="36" t="str">
        <f t="shared" si="8"/>
        <v/>
      </c>
      <c r="C56" s="24"/>
      <c r="D56" s="24"/>
      <c r="E56" s="24"/>
      <c r="F56" s="24"/>
      <c r="G56" s="120"/>
      <c r="H56" s="134">
        <v>51</v>
      </c>
      <c r="I56" s="135" t="str">
        <f t="shared" si="4"/>
        <v/>
      </c>
      <c r="J56" s="134">
        <f t="shared" si="5"/>
        <v>-4</v>
      </c>
      <c r="K56" s="134">
        <f t="shared" si="1"/>
        <v>-40</v>
      </c>
      <c r="L56" s="134"/>
      <c r="M56" s="136">
        <f t="shared" si="2"/>
        <v>0</v>
      </c>
    </row>
    <row r="57" spans="1:13">
      <c r="A57" s="41"/>
      <c r="B57" s="35" t="str">
        <f t="shared" si="8"/>
        <v/>
      </c>
      <c r="C57" s="25"/>
      <c r="D57" s="25"/>
      <c r="E57" s="25"/>
      <c r="F57" s="25"/>
      <c r="G57" s="120"/>
      <c r="H57" s="137">
        <v>52</v>
      </c>
      <c r="I57" s="138" t="str">
        <f t="shared" si="4"/>
        <v/>
      </c>
      <c r="J57" s="137">
        <f t="shared" si="5"/>
        <v>-4</v>
      </c>
      <c r="K57" s="137">
        <f t="shared" si="1"/>
        <v>-40</v>
      </c>
      <c r="L57" s="137"/>
      <c r="M57" s="139">
        <f t="shared" si="2"/>
        <v>0</v>
      </c>
    </row>
    <row r="58" spans="1:13">
      <c r="A58" s="42"/>
      <c r="B58" s="36" t="str">
        <f t="shared" si="8"/>
        <v/>
      </c>
      <c r="C58" s="24"/>
      <c r="D58" s="24"/>
      <c r="E58" s="24"/>
      <c r="F58" s="24"/>
      <c r="G58" s="120"/>
      <c r="H58" s="134">
        <v>53</v>
      </c>
      <c r="I58" s="135" t="str">
        <f t="shared" si="4"/>
        <v/>
      </c>
      <c r="J58" s="134">
        <f t="shared" si="5"/>
        <v>-4</v>
      </c>
      <c r="K58" s="134">
        <f t="shared" si="1"/>
        <v>-40</v>
      </c>
      <c r="L58" s="134"/>
      <c r="M58" s="136">
        <f t="shared" si="2"/>
        <v>0</v>
      </c>
    </row>
    <row r="59" spans="1:13">
      <c r="A59" s="41"/>
      <c r="B59" s="35" t="str">
        <f t="shared" si="8"/>
        <v/>
      </c>
      <c r="C59" s="25"/>
      <c r="D59" s="25"/>
      <c r="E59" s="25"/>
      <c r="F59" s="25"/>
      <c r="G59" s="120"/>
      <c r="H59" s="137">
        <v>54</v>
      </c>
      <c r="I59" s="138" t="str">
        <f t="shared" si="4"/>
        <v/>
      </c>
      <c r="J59" s="137">
        <f t="shared" si="5"/>
        <v>-4</v>
      </c>
      <c r="K59" s="137">
        <f t="shared" si="1"/>
        <v>-40</v>
      </c>
      <c r="L59" s="137"/>
      <c r="M59" s="139">
        <f t="shared" si="2"/>
        <v>0</v>
      </c>
    </row>
    <row r="60" spans="1:13">
      <c r="A60" s="42"/>
      <c r="B60" s="36" t="str">
        <f t="shared" si="8"/>
        <v/>
      </c>
      <c r="C60" s="24"/>
      <c r="D60" s="24"/>
      <c r="E60" s="24"/>
      <c r="F60" s="24"/>
      <c r="G60" s="120"/>
      <c r="H60" s="134">
        <v>55</v>
      </c>
      <c r="I60" s="135" t="str">
        <f t="shared" si="4"/>
        <v/>
      </c>
      <c r="J60" s="134">
        <f t="shared" si="5"/>
        <v>-4</v>
      </c>
      <c r="K60" s="134">
        <f t="shared" si="1"/>
        <v>-40</v>
      </c>
      <c r="L60" s="134"/>
      <c r="M60" s="136">
        <f t="shared" si="2"/>
        <v>0</v>
      </c>
    </row>
    <row r="61" spans="1:13">
      <c r="A61" s="41"/>
      <c r="B61" s="35" t="str">
        <f t="shared" si="8"/>
        <v/>
      </c>
      <c r="C61" s="25"/>
      <c r="D61" s="25"/>
      <c r="E61" s="25"/>
      <c r="F61" s="25"/>
      <c r="G61" s="120"/>
      <c r="H61" s="137">
        <v>56</v>
      </c>
      <c r="I61" s="138" t="str">
        <f t="shared" si="4"/>
        <v/>
      </c>
      <c r="J61" s="137">
        <f t="shared" si="5"/>
        <v>-4</v>
      </c>
      <c r="K61" s="137">
        <f t="shared" si="1"/>
        <v>-40</v>
      </c>
      <c r="L61" s="137"/>
      <c r="M61" s="139">
        <f t="shared" si="2"/>
        <v>0</v>
      </c>
    </row>
    <row r="62" spans="1:13">
      <c r="A62" s="42"/>
      <c r="B62" s="36" t="str">
        <f t="shared" si="8"/>
        <v/>
      </c>
      <c r="C62" s="24"/>
      <c r="D62" s="24"/>
      <c r="E62" s="24"/>
      <c r="F62" s="24"/>
      <c r="G62" s="120"/>
      <c r="H62" s="134">
        <v>57</v>
      </c>
      <c r="I62" s="135" t="str">
        <f t="shared" si="4"/>
        <v/>
      </c>
      <c r="J62" s="134">
        <f t="shared" si="5"/>
        <v>-4</v>
      </c>
      <c r="K62" s="134">
        <f t="shared" si="1"/>
        <v>-40</v>
      </c>
      <c r="L62" s="134"/>
      <c r="M62" s="136">
        <f t="shared" si="2"/>
        <v>0</v>
      </c>
    </row>
    <row r="63" spans="1:13">
      <c r="A63" s="41"/>
      <c r="B63" s="35" t="str">
        <f t="shared" si="8"/>
        <v/>
      </c>
      <c r="C63" s="25"/>
      <c r="D63" s="25"/>
      <c r="E63" s="25"/>
      <c r="F63" s="25"/>
      <c r="G63" s="120"/>
      <c r="H63" s="137">
        <v>58</v>
      </c>
      <c r="I63" s="138" t="str">
        <f t="shared" si="4"/>
        <v/>
      </c>
      <c r="J63" s="137">
        <f t="shared" si="5"/>
        <v>-4</v>
      </c>
      <c r="K63" s="137">
        <f t="shared" si="1"/>
        <v>-40</v>
      </c>
      <c r="L63" s="137"/>
      <c r="M63" s="139">
        <f t="shared" si="2"/>
        <v>0</v>
      </c>
    </row>
    <row r="64" spans="1:13">
      <c r="A64" s="42"/>
      <c r="B64" s="36" t="str">
        <f t="shared" si="8"/>
        <v/>
      </c>
      <c r="C64" s="24"/>
      <c r="D64" s="24"/>
      <c r="E64" s="24"/>
      <c r="F64" s="24"/>
      <c r="G64" s="120"/>
      <c r="H64" s="134">
        <v>59</v>
      </c>
      <c r="I64" s="135" t="str">
        <f t="shared" si="4"/>
        <v/>
      </c>
      <c r="J64" s="134">
        <f t="shared" si="5"/>
        <v>-4</v>
      </c>
      <c r="K64" s="134">
        <f t="shared" si="1"/>
        <v>-40</v>
      </c>
      <c r="L64" s="134"/>
      <c r="M64" s="136">
        <f t="shared" si="2"/>
        <v>0</v>
      </c>
    </row>
    <row r="65" spans="1:13">
      <c r="A65" s="41"/>
      <c r="B65" s="35" t="str">
        <f t="shared" si="8"/>
        <v/>
      </c>
      <c r="C65" s="25"/>
      <c r="D65" s="25"/>
      <c r="E65" s="25"/>
      <c r="F65" s="25"/>
      <c r="G65" s="120"/>
      <c r="H65" s="137">
        <v>60</v>
      </c>
      <c r="I65" s="138" t="str">
        <f t="shared" si="4"/>
        <v/>
      </c>
      <c r="J65" s="137">
        <f t="shared" si="5"/>
        <v>-4</v>
      </c>
      <c r="K65" s="137">
        <f t="shared" si="1"/>
        <v>-40</v>
      </c>
      <c r="L65" s="137"/>
      <c r="M65" s="139">
        <f t="shared" si="2"/>
        <v>0</v>
      </c>
    </row>
    <row r="66" spans="1:13">
      <c r="A66" s="150"/>
      <c r="B66" s="36"/>
      <c r="G66" s="120"/>
      <c r="H66" s="134">
        <v>61</v>
      </c>
      <c r="I66" s="135" t="str">
        <f t="shared" si="4"/>
        <v/>
      </c>
      <c r="J66" s="134">
        <f t="shared" si="5"/>
        <v>-4</v>
      </c>
      <c r="K66" s="134">
        <f t="shared" si="1"/>
        <v>-40</v>
      </c>
      <c r="L66" s="134"/>
      <c r="M66" s="136">
        <f t="shared" si="2"/>
        <v>0</v>
      </c>
    </row>
    <row r="67" spans="1:13">
      <c r="A67" s="150"/>
      <c r="B67" s="35"/>
      <c r="G67" s="120"/>
      <c r="H67" s="134">
        <v>62</v>
      </c>
      <c r="I67" s="135" t="str">
        <f t="shared" si="4"/>
        <v/>
      </c>
      <c r="J67" s="134">
        <f t="shared" si="5"/>
        <v>-4</v>
      </c>
      <c r="K67" s="134">
        <f t="shared" si="1"/>
        <v>-40</v>
      </c>
      <c r="L67" s="134"/>
      <c r="M67" s="136">
        <f t="shared" si="2"/>
        <v>0</v>
      </c>
    </row>
    <row r="68" spans="1:13">
      <c r="A68" s="150"/>
      <c r="B68" s="36"/>
      <c r="G68" s="120"/>
      <c r="H68" s="134">
        <v>63</v>
      </c>
      <c r="I68" s="135" t="str">
        <f t="shared" si="4"/>
        <v/>
      </c>
      <c r="J68" s="134">
        <f t="shared" si="5"/>
        <v>-4</v>
      </c>
      <c r="K68" s="134">
        <f t="shared" si="1"/>
        <v>-40</v>
      </c>
      <c r="L68" s="134"/>
      <c r="M68" s="136">
        <f t="shared" si="2"/>
        <v>0</v>
      </c>
    </row>
    <row r="69" spans="1:13">
      <c r="A69" s="150"/>
      <c r="B69" s="35"/>
      <c r="G69" s="120"/>
      <c r="H69" s="134">
        <v>64</v>
      </c>
      <c r="I69" s="135" t="str">
        <f t="shared" si="4"/>
        <v/>
      </c>
      <c r="J69" s="134">
        <f t="shared" si="5"/>
        <v>-4</v>
      </c>
      <c r="K69" s="134">
        <f t="shared" si="1"/>
        <v>-40</v>
      </c>
      <c r="L69" s="134"/>
      <c r="M69" s="136">
        <f t="shared" si="2"/>
        <v>0</v>
      </c>
    </row>
    <row r="70" spans="1:13">
      <c r="A70" s="150"/>
      <c r="G70" s="120"/>
      <c r="H70" s="134">
        <v>65</v>
      </c>
      <c r="I70" s="135" t="str">
        <f t="shared" si="4"/>
        <v/>
      </c>
      <c r="J70" s="134">
        <f t="shared" si="5"/>
        <v>-5</v>
      </c>
      <c r="K70" s="134">
        <f t="shared" ref="K70:K133" si="9">J70*$J$2</f>
        <v>-50</v>
      </c>
      <c r="L70" s="134"/>
      <c r="M70" s="136">
        <f t="shared" ref="M70:M133" si="10">IF(I70&lt;&gt;"",K70+I70+L70,0)</f>
        <v>0</v>
      </c>
    </row>
    <row r="71" spans="1:13">
      <c r="A71" s="150"/>
      <c r="G71" s="120"/>
      <c r="H71" s="134">
        <v>66</v>
      </c>
      <c r="I71" s="135" t="str">
        <f t="shared" ref="I71:I134" si="11">IF(H71&lt;$H$2+1,($I$2-($I$2-1)*(LOG(H71)/LOG($H$2))),"")</f>
        <v/>
      </c>
      <c r="J71" s="134">
        <f t="shared" ref="J71:J134" si="12">INT(LOG($H$2,2))-ROUNDUP(LOG(H71,2),0)+IF(OR($H$2=1,$H$2=2,$H$2=4,$H$2=8,$H$2=16,$H$2=32,$H$2=64,$H$2=128,$H$2=256),0,1)</f>
        <v>-5</v>
      </c>
      <c r="K71" s="134">
        <f t="shared" si="9"/>
        <v>-50</v>
      </c>
      <c r="L71" s="134"/>
      <c r="M71" s="136">
        <f t="shared" si="10"/>
        <v>0</v>
      </c>
    </row>
    <row r="72" spans="1:13">
      <c r="A72" s="150"/>
      <c r="G72" s="120"/>
      <c r="H72" s="134">
        <v>67</v>
      </c>
      <c r="I72" s="135" t="str">
        <f t="shared" si="11"/>
        <v/>
      </c>
      <c r="J72" s="134">
        <f t="shared" si="12"/>
        <v>-5</v>
      </c>
      <c r="K72" s="134">
        <f t="shared" si="9"/>
        <v>-50</v>
      </c>
      <c r="L72" s="134"/>
      <c r="M72" s="136">
        <f t="shared" si="10"/>
        <v>0</v>
      </c>
    </row>
    <row r="73" spans="1:13">
      <c r="A73" s="150"/>
      <c r="G73" s="120"/>
      <c r="H73" s="134">
        <v>68</v>
      </c>
      <c r="I73" s="135" t="str">
        <f t="shared" si="11"/>
        <v/>
      </c>
      <c r="J73" s="134">
        <f t="shared" si="12"/>
        <v>-5</v>
      </c>
      <c r="K73" s="134">
        <f t="shared" si="9"/>
        <v>-50</v>
      </c>
      <c r="L73" s="134"/>
      <c r="M73" s="136">
        <f t="shared" si="10"/>
        <v>0</v>
      </c>
    </row>
    <row r="74" spans="1:13">
      <c r="A74" s="150"/>
      <c r="G74" s="120"/>
      <c r="H74" s="134">
        <v>69</v>
      </c>
      <c r="I74" s="135" t="str">
        <f t="shared" si="11"/>
        <v/>
      </c>
      <c r="J74" s="134">
        <f t="shared" si="12"/>
        <v>-5</v>
      </c>
      <c r="K74" s="134">
        <f t="shared" si="9"/>
        <v>-50</v>
      </c>
      <c r="L74" s="134"/>
      <c r="M74" s="136">
        <f t="shared" si="10"/>
        <v>0</v>
      </c>
    </row>
    <row r="75" spans="1:13">
      <c r="A75" s="150"/>
      <c r="G75" s="120"/>
      <c r="H75" s="134">
        <v>70</v>
      </c>
      <c r="I75" s="135" t="str">
        <f t="shared" si="11"/>
        <v/>
      </c>
      <c r="J75" s="134">
        <f t="shared" si="12"/>
        <v>-5</v>
      </c>
      <c r="K75" s="134">
        <f t="shared" si="9"/>
        <v>-50</v>
      </c>
      <c r="L75" s="134"/>
      <c r="M75" s="136">
        <f t="shared" si="10"/>
        <v>0</v>
      </c>
    </row>
    <row r="76" spans="1:13">
      <c r="A76" s="150"/>
      <c r="G76" s="120"/>
      <c r="H76" s="134">
        <v>71</v>
      </c>
      <c r="I76" s="135" t="str">
        <f t="shared" si="11"/>
        <v/>
      </c>
      <c r="J76" s="134">
        <f t="shared" si="12"/>
        <v>-5</v>
      </c>
      <c r="K76" s="134">
        <f t="shared" si="9"/>
        <v>-50</v>
      </c>
      <c r="L76" s="134"/>
      <c r="M76" s="136">
        <f t="shared" si="10"/>
        <v>0</v>
      </c>
    </row>
    <row r="77" spans="1:13">
      <c r="A77" s="150"/>
      <c r="G77" s="120"/>
      <c r="H77" s="134">
        <v>72</v>
      </c>
      <c r="I77" s="135" t="str">
        <f t="shared" si="11"/>
        <v/>
      </c>
      <c r="J77" s="134">
        <f t="shared" si="12"/>
        <v>-5</v>
      </c>
      <c r="K77" s="134">
        <f t="shared" si="9"/>
        <v>-50</v>
      </c>
      <c r="L77" s="134"/>
      <c r="M77" s="136">
        <f t="shared" si="10"/>
        <v>0</v>
      </c>
    </row>
    <row r="78" spans="1:13">
      <c r="A78" s="150"/>
      <c r="G78" s="120"/>
      <c r="H78" s="134">
        <v>73</v>
      </c>
      <c r="I78" s="135" t="str">
        <f t="shared" si="11"/>
        <v/>
      </c>
      <c r="J78" s="134">
        <f t="shared" si="12"/>
        <v>-5</v>
      </c>
      <c r="K78" s="134">
        <f t="shared" si="9"/>
        <v>-50</v>
      </c>
      <c r="L78" s="134"/>
      <c r="M78" s="136">
        <f t="shared" si="10"/>
        <v>0</v>
      </c>
    </row>
    <row r="79" spans="1:13">
      <c r="A79" s="150"/>
      <c r="G79" s="120"/>
      <c r="H79" s="134">
        <v>74</v>
      </c>
      <c r="I79" s="135" t="str">
        <f t="shared" si="11"/>
        <v/>
      </c>
      <c r="J79" s="134">
        <f t="shared" si="12"/>
        <v>-5</v>
      </c>
      <c r="K79" s="134">
        <f t="shared" si="9"/>
        <v>-50</v>
      </c>
      <c r="L79" s="134"/>
      <c r="M79" s="136">
        <f t="shared" si="10"/>
        <v>0</v>
      </c>
    </row>
    <row r="80" spans="1:13">
      <c r="A80" s="150"/>
      <c r="G80" s="120"/>
      <c r="H80" s="134">
        <v>75</v>
      </c>
      <c r="I80" s="135" t="str">
        <f t="shared" si="11"/>
        <v/>
      </c>
      <c r="J80" s="134">
        <f t="shared" si="12"/>
        <v>-5</v>
      </c>
      <c r="K80" s="134">
        <f t="shared" si="9"/>
        <v>-50</v>
      </c>
      <c r="L80" s="134"/>
      <c r="M80" s="136">
        <f t="shared" si="10"/>
        <v>0</v>
      </c>
    </row>
    <row r="81" spans="1:13">
      <c r="A81" s="150"/>
      <c r="G81" s="120"/>
      <c r="H81" s="134">
        <v>76</v>
      </c>
      <c r="I81" s="135" t="str">
        <f t="shared" si="11"/>
        <v/>
      </c>
      <c r="J81" s="134">
        <f t="shared" si="12"/>
        <v>-5</v>
      </c>
      <c r="K81" s="134">
        <f t="shared" si="9"/>
        <v>-50</v>
      </c>
      <c r="L81" s="134"/>
      <c r="M81" s="136">
        <f t="shared" si="10"/>
        <v>0</v>
      </c>
    </row>
    <row r="82" spans="1:13">
      <c r="A82" s="150"/>
      <c r="G82" s="120"/>
      <c r="H82" s="134">
        <v>77</v>
      </c>
      <c r="I82" s="135" t="str">
        <f t="shared" si="11"/>
        <v/>
      </c>
      <c r="J82" s="134">
        <f t="shared" si="12"/>
        <v>-5</v>
      </c>
      <c r="K82" s="134">
        <f t="shared" si="9"/>
        <v>-50</v>
      </c>
      <c r="L82" s="134"/>
      <c r="M82" s="136">
        <f t="shared" si="10"/>
        <v>0</v>
      </c>
    </row>
    <row r="83" spans="1:13">
      <c r="A83" s="150"/>
      <c r="G83" s="120"/>
      <c r="H83" s="134">
        <v>78</v>
      </c>
      <c r="I83" s="135" t="str">
        <f t="shared" si="11"/>
        <v/>
      </c>
      <c r="J83" s="134">
        <f t="shared" si="12"/>
        <v>-5</v>
      </c>
      <c r="K83" s="134">
        <f t="shared" si="9"/>
        <v>-50</v>
      </c>
      <c r="L83" s="134"/>
      <c r="M83" s="136">
        <f t="shared" si="10"/>
        <v>0</v>
      </c>
    </row>
    <row r="84" spans="1:13">
      <c r="A84" s="150"/>
      <c r="G84" s="120"/>
      <c r="H84" s="134">
        <v>79</v>
      </c>
      <c r="I84" s="135" t="str">
        <f t="shared" si="11"/>
        <v/>
      </c>
      <c r="J84" s="134">
        <f t="shared" si="12"/>
        <v>-5</v>
      </c>
      <c r="K84" s="134">
        <f t="shared" si="9"/>
        <v>-50</v>
      </c>
      <c r="L84" s="134"/>
      <c r="M84" s="136">
        <f t="shared" si="10"/>
        <v>0</v>
      </c>
    </row>
    <row r="85" spans="1:13">
      <c r="A85" s="150"/>
      <c r="G85" s="120"/>
      <c r="H85" s="134">
        <v>80</v>
      </c>
      <c r="I85" s="135" t="str">
        <f t="shared" si="11"/>
        <v/>
      </c>
      <c r="J85" s="134">
        <f t="shared" si="12"/>
        <v>-5</v>
      </c>
      <c r="K85" s="134">
        <f t="shared" si="9"/>
        <v>-50</v>
      </c>
      <c r="L85" s="134"/>
      <c r="M85" s="136">
        <f t="shared" si="10"/>
        <v>0</v>
      </c>
    </row>
    <row r="86" spans="1:13">
      <c r="A86" s="150"/>
      <c r="G86" s="120"/>
      <c r="H86" s="134">
        <v>81</v>
      </c>
      <c r="I86" s="135" t="str">
        <f t="shared" si="11"/>
        <v/>
      </c>
      <c r="J86" s="134">
        <f t="shared" si="12"/>
        <v>-5</v>
      </c>
      <c r="K86" s="134">
        <f t="shared" si="9"/>
        <v>-50</v>
      </c>
      <c r="L86" s="134"/>
      <c r="M86" s="136">
        <f t="shared" si="10"/>
        <v>0</v>
      </c>
    </row>
    <row r="87" spans="1:13">
      <c r="A87" s="150"/>
      <c r="G87" s="120"/>
      <c r="H87" s="134">
        <v>82</v>
      </c>
      <c r="I87" s="135" t="str">
        <f t="shared" si="11"/>
        <v/>
      </c>
      <c r="J87" s="134">
        <f t="shared" si="12"/>
        <v>-5</v>
      </c>
      <c r="K87" s="134">
        <f t="shared" si="9"/>
        <v>-50</v>
      </c>
      <c r="L87" s="134"/>
      <c r="M87" s="136">
        <f t="shared" si="10"/>
        <v>0</v>
      </c>
    </row>
    <row r="88" spans="1:13">
      <c r="A88" s="150"/>
      <c r="G88" s="120"/>
      <c r="H88" s="134">
        <v>83</v>
      </c>
      <c r="I88" s="135" t="str">
        <f t="shared" si="11"/>
        <v/>
      </c>
      <c r="J88" s="134">
        <f t="shared" si="12"/>
        <v>-5</v>
      </c>
      <c r="K88" s="134">
        <f t="shared" si="9"/>
        <v>-50</v>
      </c>
      <c r="L88" s="134"/>
      <c r="M88" s="136">
        <f t="shared" si="10"/>
        <v>0</v>
      </c>
    </row>
    <row r="89" spans="1:13">
      <c r="A89" s="150"/>
      <c r="G89" s="120"/>
      <c r="H89" s="134">
        <v>84</v>
      </c>
      <c r="I89" s="135" t="str">
        <f t="shared" si="11"/>
        <v/>
      </c>
      <c r="J89" s="134">
        <f t="shared" si="12"/>
        <v>-5</v>
      </c>
      <c r="K89" s="134">
        <f t="shared" si="9"/>
        <v>-50</v>
      </c>
      <c r="L89" s="134"/>
      <c r="M89" s="136">
        <f t="shared" si="10"/>
        <v>0</v>
      </c>
    </row>
    <row r="90" spans="1:13">
      <c r="A90" s="150"/>
      <c r="G90" s="120"/>
      <c r="H90" s="134">
        <v>85</v>
      </c>
      <c r="I90" s="135" t="str">
        <f t="shared" si="11"/>
        <v/>
      </c>
      <c r="J90" s="134">
        <f t="shared" si="12"/>
        <v>-5</v>
      </c>
      <c r="K90" s="134">
        <f t="shared" si="9"/>
        <v>-50</v>
      </c>
      <c r="L90" s="134"/>
      <c r="M90" s="136">
        <f t="shared" si="10"/>
        <v>0</v>
      </c>
    </row>
    <row r="91" spans="1:13">
      <c r="A91" s="150"/>
      <c r="G91" s="120"/>
      <c r="H91" s="134">
        <v>86</v>
      </c>
      <c r="I91" s="135" t="str">
        <f t="shared" si="11"/>
        <v/>
      </c>
      <c r="J91" s="134">
        <f t="shared" si="12"/>
        <v>-5</v>
      </c>
      <c r="K91" s="134">
        <f t="shared" si="9"/>
        <v>-50</v>
      </c>
      <c r="L91" s="134"/>
      <c r="M91" s="136">
        <f t="shared" si="10"/>
        <v>0</v>
      </c>
    </row>
    <row r="92" spans="1:13">
      <c r="A92" s="150"/>
      <c r="G92" s="120"/>
      <c r="H92" s="134">
        <v>87</v>
      </c>
      <c r="I92" s="135" t="str">
        <f t="shared" si="11"/>
        <v/>
      </c>
      <c r="J92" s="134">
        <f t="shared" si="12"/>
        <v>-5</v>
      </c>
      <c r="K92" s="134">
        <f t="shared" si="9"/>
        <v>-50</v>
      </c>
      <c r="L92" s="134"/>
      <c r="M92" s="136">
        <f t="shared" si="10"/>
        <v>0</v>
      </c>
    </row>
    <row r="93" spans="1:13">
      <c r="A93" s="150"/>
      <c r="G93" s="120"/>
      <c r="H93" s="134">
        <v>88</v>
      </c>
      <c r="I93" s="135" t="str">
        <f t="shared" si="11"/>
        <v/>
      </c>
      <c r="J93" s="134">
        <f t="shared" si="12"/>
        <v>-5</v>
      </c>
      <c r="K93" s="134">
        <f t="shared" si="9"/>
        <v>-50</v>
      </c>
      <c r="L93" s="134"/>
      <c r="M93" s="136">
        <f t="shared" si="10"/>
        <v>0</v>
      </c>
    </row>
    <row r="94" spans="1:13">
      <c r="A94" s="150"/>
      <c r="G94" s="120"/>
      <c r="H94" s="134">
        <v>89</v>
      </c>
      <c r="I94" s="135" t="str">
        <f t="shared" si="11"/>
        <v/>
      </c>
      <c r="J94" s="134">
        <f t="shared" si="12"/>
        <v>-5</v>
      </c>
      <c r="K94" s="134">
        <f t="shared" si="9"/>
        <v>-50</v>
      </c>
      <c r="L94" s="134"/>
      <c r="M94" s="136">
        <f t="shared" si="10"/>
        <v>0</v>
      </c>
    </row>
    <row r="95" spans="1:13">
      <c r="A95" s="150"/>
      <c r="G95" s="120"/>
      <c r="H95" s="134">
        <v>90</v>
      </c>
      <c r="I95" s="135" t="str">
        <f t="shared" si="11"/>
        <v/>
      </c>
      <c r="J95" s="134">
        <f t="shared" si="12"/>
        <v>-5</v>
      </c>
      <c r="K95" s="134">
        <f t="shared" si="9"/>
        <v>-50</v>
      </c>
      <c r="L95" s="134"/>
      <c r="M95" s="136">
        <f t="shared" si="10"/>
        <v>0</v>
      </c>
    </row>
    <row r="96" spans="1:13">
      <c r="A96" s="150"/>
      <c r="G96" s="120"/>
      <c r="H96" s="134">
        <v>91</v>
      </c>
      <c r="I96" s="135" t="str">
        <f t="shared" si="11"/>
        <v/>
      </c>
      <c r="J96" s="134">
        <f t="shared" si="12"/>
        <v>-5</v>
      </c>
      <c r="K96" s="134">
        <f t="shared" si="9"/>
        <v>-50</v>
      </c>
      <c r="L96" s="134"/>
      <c r="M96" s="136">
        <f t="shared" si="10"/>
        <v>0</v>
      </c>
    </row>
    <row r="97" spans="1:13">
      <c r="A97" s="150"/>
      <c r="G97" s="120"/>
      <c r="H97" s="134">
        <v>92</v>
      </c>
      <c r="I97" s="135" t="str">
        <f t="shared" si="11"/>
        <v/>
      </c>
      <c r="J97" s="134">
        <f t="shared" si="12"/>
        <v>-5</v>
      </c>
      <c r="K97" s="134">
        <f t="shared" si="9"/>
        <v>-50</v>
      </c>
      <c r="L97" s="134"/>
      <c r="M97" s="136">
        <f t="shared" si="10"/>
        <v>0</v>
      </c>
    </row>
    <row r="98" spans="1:13">
      <c r="A98" s="150"/>
      <c r="G98" s="120"/>
      <c r="H98" s="134">
        <v>93</v>
      </c>
      <c r="I98" s="135" t="str">
        <f t="shared" si="11"/>
        <v/>
      </c>
      <c r="J98" s="134">
        <f t="shared" si="12"/>
        <v>-5</v>
      </c>
      <c r="K98" s="134">
        <f t="shared" si="9"/>
        <v>-50</v>
      </c>
      <c r="L98" s="134"/>
      <c r="M98" s="136">
        <f t="shared" si="10"/>
        <v>0</v>
      </c>
    </row>
    <row r="99" spans="1:13">
      <c r="A99" s="150"/>
      <c r="G99" s="120"/>
      <c r="H99" s="134">
        <v>94</v>
      </c>
      <c r="I99" s="135" t="str">
        <f t="shared" si="11"/>
        <v/>
      </c>
      <c r="J99" s="134">
        <f t="shared" si="12"/>
        <v>-5</v>
      </c>
      <c r="K99" s="134">
        <f t="shared" si="9"/>
        <v>-50</v>
      </c>
      <c r="L99" s="134"/>
      <c r="M99" s="136">
        <f t="shared" si="10"/>
        <v>0</v>
      </c>
    </row>
    <row r="100" spans="1:13">
      <c r="A100" s="150"/>
      <c r="G100" s="120"/>
      <c r="H100" s="134">
        <v>95</v>
      </c>
      <c r="I100" s="135" t="str">
        <f t="shared" si="11"/>
        <v/>
      </c>
      <c r="J100" s="134">
        <f t="shared" si="12"/>
        <v>-5</v>
      </c>
      <c r="K100" s="134">
        <f t="shared" si="9"/>
        <v>-50</v>
      </c>
      <c r="L100" s="134"/>
      <c r="M100" s="136">
        <f t="shared" si="10"/>
        <v>0</v>
      </c>
    </row>
    <row r="101" spans="1:13">
      <c r="A101" s="150"/>
      <c r="G101" s="120"/>
      <c r="H101" s="134">
        <v>96</v>
      </c>
      <c r="I101" s="135" t="str">
        <f t="shared" si="11"/>
        <v/>
      </c>
      <c r="J101" s="134">
        <f t="shared" si="12"/>
        <v>-5</v>
      </c>
      <c r="K101" s="134">
        <f t="shared" si="9"/>
        <v>-50</v>
      </c>
      <c r="L101" s="134"/>
      <c r="M101" s="136">
        <f t="shared" si="10"/>
        <v>0</v>
      </c>
    </row>
    <row r="102" spans="1:13">
      <c r="A102" s="150"/>
      <c r="G102" s="120"/>
      <c r="H102" s="134">
        <v>97</v>
      </c>
      <c r="I102" s="135" t="str">
        <f t="shared" si="11"/>
        <v/>
      </c>
      <c r="J102" s="134">
        <f t="shared" si="12"/>
        <v>-5</v>
      </c>
      <c r="K102" s="134">
        <f t="shared" si="9"/>
        <v>-50</v>
      </c>
      <c r="L102" s="134"/>
      <c r="M102" s="136">
        <f t="shared" si="10"/>
        <v>0</v>
      </c>
    </row>
    <row r="103" spans="1:13">
      <c r="A103" s="150"/>
      <c r="G103" s="120"/>
      <c r="H103" s="134">
        <v>98</v>
      </c>
      <c r="I103" s="135" t="str">
        <f t="shared" si="11"/>
        <v/>
      </c>
      <c r="J103" s="134">
        <f t="shared" si="12"/>
        <v>-5</v>
      </c>
      <c r="K103" s="134">
        <f t="shared" si="9"/>
        <v>-50</v>
      </c>
      <c r="L103" s="134"/>
      <c r="M103" s="136">
        <f t="shared" si="10"/>
        <v>0</v>
      </c>
    </row>
    <row r="104" spans="1:13">
      <c r="A104" s="150"/>
      <c r="G104" s="120"/>
      <c r="H104" s="134">
        <v>99</v>
      </c>
      <c r="I104" s="135" t="str">
        <f t="shared" si="11"/>
        <v/>
      </c>
      <c r="J104" s="134">
        <f t="shared" si="12"/>
        <v>-5</v>
      </c>
      <c r="K104" s="134">
        <f t="shared" si="9"/>
        <v>-50</v>
      </c>
      <c r="L104" s="134"/>
      <c r="M104" s="136">
        <f t="shared" si="10"/>
        <v>0</v>
      </c>
    </row>
    <row r="105" spans="1:13">
      <c r="A105" s="150"/>
      <c r="G105" s="120"/>
      <c r="H105" s="134">
        <v>100</v>
      </c>
      <c r="I105" s="135" t="str">
        <f t="shared" si="11"/>
        <v/>
      </c>
      <c r="J105" s="134">
        <f t="shared" si="12"/>
        <v>-5</v>
      </c>
      <c r="K105" s="134">
        <f t="shared" si="9"/>
        <v>-50</v>
      </c>
      <c r="L105" s="134"/>
      <c r="M105" s="136">
        <f t="shared" si="10"/>
        <v>0</v>
      </c>
    </row>
    <row r="106" spans="1:13">
      <c r="A106" s="150"/>
      <c r="G106" s="120"/>
      <c r="H106" s="134">
        <v>101</v>
      </c>
      <c r="I106" s="135" t="str">
        <f t="shared" si="11"/>
        <v/>
      </c>
      <c r="J106" s="134">
        <f t="shared" si="12"/>
        <v>-5</v>
      </c>
      <c r="K106" s="134">
        <f t="shared" si="9"/>
        <v>-50</v>
      </c>
      <c r="L106" s="134"/>
      <c r="M106" s="136">
        <f t="shared" si="10"/>
        <v>0</v>
      </c>
    </row>
    <row r="107" spans="1:13">
      <c r="A107" s="150"/>
      <c r="G107" s="120"/>
      <c r="H107" s="134">
        <v>102</v>
      </c>
      <c r="I107" s="135" t="str">
        <f t="shared" si="11"/>
        <v/>
      </c>
      <c r="J107" s="134">
        <f t="shared" si="12"/>
        <v>-5</v>
      </c>
      <c r="K107" s="134">
        <f t="shared" si="9"/>
        <v>-50</v>
      </c>
      <c r="L107" s="134"/>
      <c r="M107" s="136">
        <f t="shared" si="10"/>
        <v>0</v>
      </c>
    </row>
    <row r="108" spans="1:13">
      <c r="A108" s="150"/>
      <c r="G108" s="120"/>
      <c r="H108" s="134">
        <v>103</v>
      </c>
      <c r="I108" s="135" t="str">
        <f t="shared" si="11"/>
        <v/>
      </c>
      <c r="J108" s="134">
        <f t="shared" si="12"/>
        <v>-5</v>
      </c>
      <c r="K108" s="134">
        <f t="shared" si="9"/>
        <v>-50</v>
      </c>
      <c r="L108" s="134"/>
      <c r="M108" s="136">
        <f t="shared" si="10"/>
        <v>0</v>
      </c>
    </row>
    <row r="109" spans="1:13">
      <c r="A109" s="150"/>
      <c r="G109" s="120"/>
      <c r="H109" s="134">
        <v>104</v>
      </c>
      <c r="I109" s="135" t="str">
        <f t="shared" si="11"/>
        <v/>
      </c>
      <c r="J109" s="134">
        <f t="shared" si="12"/>
        <v>-5</v>
      </c>
      <c r="K109" s="134">
        <f t="shared" si="9"/>
        <v>-50</v>
      </c>
      <c r="L109" s="134"/>
      <c r="M109" s="136">
        <f t="shared" si="10"/>
        <v>0</v>
      </c>
    </row>
    <row r="110" spans="1:13">
      <c r="A110" s="150"/>
      <c r="G110" s="120"/>
      <c r="H110" s="134">
        <v>105</v>
      </c>
      <c r="I110" s="135" t="str">
        <f t="shared" si="11"/>
        <v/>
      </c>
      <c r="J110" s="134">
        <f t="shared" si="12"/>
        <v>-5</v>
      </c>
      <c r="K110" s="134">
        <f t="shared" si="9"/>
        <v>-50</v>
      </c>
      <c r="L110" s="134"/>
      <c r="M110" s="136">
        <f t="shared" si="10"/>
        <v>0</v>
      </c>
    </row>
    <row r="111" spans="1:13">
      <c r="A111" s="150"/>
      <c r="G111" s="120"/>
      <c r="H111" s="134">
        <v>106</v>
      </c>
      <c r="I111" s="135" t="str">
        <f t="shared" si="11"/>
        <v/>
      </c>
      <c r="J111" s="134">
        <f t="shared" si="12"/>
        <v>-5</v>
      </c>
      <c r="K111" s="134">
        <f t="shared" si="9"/>
        <v>-50</v>
      </c>
      <c r="L111" s="134"/>
      <c r="M111" s="136">
        <f t="shared" si="10"/>
        <v>0</v>
      </c>
    </row>
    <row r="112" spans="1:13">
      <c r="A112" s="150"/>
      <c r="G112" s="120"/>
      <c r="H112" s="134">
        <v>107</v>
      </c>
      <c r="I112" s="135" t="str">
        <f t="shared" si="11"/>
        <v/>
      </c>
      <c r="J112" s="134">
        <f t="shared" si="12"/>
        <v>-5</v>
      </c>
      <c r="K112" s="134">
        <f t="shared" si="9"/>
        <v>-50</v>
      </c>
      <c r="L112" s="134"/>
      <c r="M112" s="136">
        <f t="shared" si="10"/>
        <v>0</v>
      </c>
    </row>
    <row r="113" spans="1:13">
      <c r="A113" s="150"/>
      <c r="G113" s="120"/>
      <c r="H113" s="134">
        <v>108</v>
      </c>
      <c r="I113" s="135" t="str">
        <f t="shared" si="11"/>
        <v/>
      </c>
      <c r="J113" s="134">
        <f t="shared" si="12"/>
        <v>-5</v>
      </c>
      <c r="K113" s="134">
        <f t="shared" si="9"/>
        <v>-50</v>
      </c>
      <c r="L113" s="134"/>
      <c r="M113" s="136">
        <f t="shared" si="10"/>
        <v>0</v>
      </c>
    </row>
    <row r="114" spans="1:13">
      <c r="A114" s="150"/>
      <c r="G114" s="120"/>
      <c r="H114" s="134">
        <v>109</v>
      </c>
      <c r="I114" s="135" t="str">
        <f t="shared" si="11"/>
        <v/>
      </c>
      <c r="J114" s="134">
        <f t="shared" si="12"/>
        <v>-5</v>
      </c>
      <c r="K114" s="134">
        <f t="shared" si="9"/>
        <v>-50</v>
      </c>
      <c r="L114" s="134"/>
      <c r="M114" s="136">
        <f t="shared" si="10"/>
        <v>0</v>
      </c>
    </row>
    <row r="115" spans="1:13">
      <c r="A115" s="150"/>
      <c r="G115" s="120"/>
      <c r="H115" s="134">
        <v>110</v>
      </c>
      <c r="I115" s="135" t="str">
        <f t="shared" si="11"/>
        <v/>
      </c>
      <c r="J115" s="134">
        <f t="shared" si="12"/>
        <v>-5</v>
      </c>
      <c r="K115" s="134">
        <f t="shared" si="9"/>
        <v>-50</v>
      </c>
      <c r="L115" s="134"/>
      <c r="M115" s="136">
        <f t="shared" si="10"/>
        <v>0</v>
      </c>
    </row>
    <row r="116" spans="1:13">
      <c r="A116" s="150"/>
      <c r="G116" s="120"/>
      <c r="H116" s="134">
        <v>111</v>
      </c>
      <c r="I116" s="135" t="str">
        <f t="shared" si="11"/>
        <v/>
      </c>
      <c r="J116" s="134">
        <f t="shared" si="12"/>
        <v>-5</v>
      </c>
      <c r="K116" s="134">
        <f t="shared" si="9"/>
        <v>-50</v>
      </c>
      <c r="L116" s="134"/>
      <c r="M116" s="136">
        <f t="shared" si="10"/>
        <v>0</v>
      </c>
    </row>
    <row r="117" spans="1:13">
      <c r="A117" s="150"/>
      <c r="G117" s="120"/>
      <c r="H117" s="134">
        <v>112</v>
      </c>
      <c r="I117" s="135" t="str">
        <f t="shared" si="11"/>
        <v/>
      </c>
      <c r="J117" s="134">
        <f t="shared" si="12"/>
        <v>-5</v>
      </c>
      <c r="K117" s="134">
        <f t="shared" si="9"/>
        <v>-50</v>
      </c>
      <c r="L117" s="134"/>
      <c r="M117" s="136">
        <f t="shared" si="10"/>
        <v>0</v>
      </c>
    </row>
    <row r="118" spans="1:13">
      <c r="A118" s="150"/>
      <c r="G118" s="120"/>
      <c r="H118" s="134">
        <v>113</v>
      </c>
      <c r="I118" s="135" t="str">
        <f t="shared" si="11"/>
        <v/>
      </c>
      <c r="J118" s="134">
        <f t="shared" si="12"/>
        <v>-5</v>
      </c>
      <c r="K118" s="134">
        <f t="shared" si="9"/>
        <v>-50</v>
      </c>
      <c r="L118" s="134"/>
      <c r="M118" s="136">
        <f t="shared" si="10"/>
        <v>0</v>
      </c>
    </row>
    <row r="119" spans="1:13">
      <c r="A119" s="150"/>
      <c r="G119" s="120"/>
      <c r="H119" s="134">
        <v>114</v>
      </c>
      <c r="I119" s="135" t="str">
        <f t="shared" si="11"/>
        <v/>
      </c>
      <c r="J119" s="134">
        <f t="shared" si="12"/>
        <v>-5</v>
      </c>
      <c r="K119" s="134">
        <f t="shared" si="9"/>
        <v>-50</v>
      </c>
      <c r="L119" s="134"/>
      <c r="M119" s="136">
        <f t="shared" si="10"/>
        <v>0</v>
      </c>
    </row>
    <row r="120" spans="1:13">
      <c r="A120" s="150"/>
      <c r="G120" s="120"/>
      <c r="H120" s="134">
        <v>115</v>
      </c>
      <c r="I120" s="135" t="str">
        <f t="shared" si="11"/>
        <v/>
      </c>
      <c r="J120" s="134">
        <f t="shared" si="12"/>
        <v>-5</v>
      </c>
      <c r="K120" s="134">
        <f t="shared" si="9"/>
        <v>-50</v>
      </c>
      <c r="L120" s="134"/>
      <c r="M120" s="136">
        <f t="shared" si="10"/>
        <v>0</v>
      </c>
    </row>
    <row r="121" spans="1:13">
      <c r="A121" s="150"/>
      <c r="G121" s="120"/>
      <c r="H121" s="134">
        <v>116</v>
      </c>
      <c r="I121" s="135" t="str">
        <f t="shared" si="11"/>
        <v/>
      </c>
      <c r="J121" s="134">
        <f t="shared" si="12"/>
        <v>-5</v>
      </c>
      <c r="K121" s="134">
        <f t="shared" si="9"/>
        <v>-50</v>
      </c>
      <c r="L121" s="134"/>
      <c r="M121" s="136">
        <f t="shared" si="10"/>
        <v>0</v>
      </c>
    </row>
    <row r="122" spans="1:13">
      <c r="A122" s="150"/>
      <c r="G122" s="120"/>
      <c r="H122" s="134">
        <v>117</v>
      </c>
      <c r="I122" s="135" t="str">
        <f t="shared" si="11"/>
        <v/>
      </c>
      <c r="J122" s="134">
        <f t="shared" si="12"/>
        <v>-5</v>
      </c>
      <c r="K122" s="134">
        <f t="shared" si="9"/>
        <v>-50</v>
      </c>
      <c r="L122" s="134"/>
      <c r="M122" s="136">
        <f t="shared" si="10"/>
        <v>0</v>
      </c>
    </row>
    <row r="123" spans="1:13">
      <c r="A123" s="150"/>
      <c r="G123" s="120"/>
      <c r="H123" s="134">
        <v>118</v>
      </c>
      <c r="I123" s="135" t="str">
        <f t="shared" si="11"/>
        <v/>
      </c>
      <c r="J123" s="134">
        <f t="shared" si="12"/>
        <v>-5</v>
      </c>
      <c r="K123" s="134">
        <f t="shared" si="9"/>
        <v>-50</v>
      </c>
      <c r="L123" s="134"/>
      <c r="M123" s="136">
        <f t="shared" si="10"/>
        <v>0</v>
      </c>
    </row>
    <row r="124" spans="1:13">
      <c r="A124" s="150"/>
      <c r="G124" s="120"/>
      <c r="H124" s="134">
        <v>119</v>
      </c>
      <c r="I124" s="135" t="str">
        <f t="shared" si="11"/>
        <v/>
      </c>
      <c r="J124" s="134">
        <f t="shared" si="12"/>
        <v>-5</v>
      </c>
      <c r="K124" s="134">
        <f t="shared" si="9"/>
        <v>-50</v>
      </c>
      <c r="L124" s="134"/>
      <c r="M124" s="136">
        <f t="shared" si="10"/>
        <v>0</v>
      </c>
    </row>
    <row r="125" spans="1:13">
      <c r="A125" s="150"/>
      <c r="G125" s="120"/>
      <c r="H125" s="134">
        <v>120</v>
      </c>
      <c r="I125" s="135" t="str">
        <f t="shared" si="11"/>
        <v/>
      </c>
      <c r="J125" s="134">
        <f t="shared" si="12"/>
        <v>-5</v>
      </c>
      <c r="K125" s="134">
        <f t="shared" si="9"/>
        <v>-50</v>
      </c>
      <c r="L125" s="134"/>
      <c r="M125" s="136">
        <f t="shared" si="10"/>
        <v>0</v>
      </c>
    </row>
    <row r="126" spans="1:13">
      <c r="A126" s="150"/>
      <c r="G126" s="120"/>
      <c r="H126" s="134">
        <v>121</v>
      </c>
      <c r="I126" s="135" t="str">
        <f t="shared" si="11"/>
        <v/>
      </c>
      <c r="J126" s="134">
        <f t="shared" si="12"/>
        <v>-5</v>
      </c>
      <c r="K126" s="134">
        <f t="shared" si="9"/>
        <v>-50</v>
      </c>
      <c r="L126" s="134"/>
      <c r="M126" s="136">
        <f t="shared" si="10"/>
        <v>0</v>
      </c>
    </row>
    <row r="127" spans="1:13">
      <c r="A127" s="150"/>
      <c r="G127" s="120"/>
      <c r="H127" s="134">
        <v>122</v>
      </c>
      <c r="I127" s="135" t="str">
        <f t="shared" si="11"/>
        <v/>
      </c>
      <c r="J127" s="134">
        <f t="shared" si="12"/>
        <v>-5</v>
      </c>
      <c r="K127" s="134">
        <f t="shared" si="9"/>
        <v>-50</v>
      </c>
      <c r="L127" s="134"/>
      <c r="M127" s="136">
        <f t="shared" si="10"/>
        <v>0</v>
      </c>
    </row>
    <row r="128" spans="1:13">
      <c r="A128" s="150"/>
      <c r="G128" s="120"/>
      <c r="H128" s="134">
        <v>123</v>
      </c>
      <c r="I128" s="135" t="str">
        <f t="shared" si="11"/>
        <v/>
      </c>
      <c r="J128" s="134">
        <f t="shared" si="12"/>
        <v>-5</v>
      </c>
      <c r="K128" s="134">
        <f t="shared" si="9"/>
        <v>-50</v>
      </c>
      <c r="L128" s="134"/>
      <c r="M128" s="136">
        <f t="shared" si="10"/>
        <v>0</v>
      </c>
    </row>
    <row r="129" spans="1:13">
      <c r="A129" s="150"/>
      <c r="G129" s="120"/>
      <c r="H129" s="134">
        <v>124</v>
      </c>
      <c r="I129" s="135" t="str">
        <f t="shared" si="11"/>
        <v/>
      </c>
      <c r="J129" s="134">
        <f t="shared" si="12"/>
        <v>-5</v>
      </c>
      <c r="K129" s="134">
        <f t="shared" si="9"/>
        <v>-50</v>
      </c>
      <c r="L129" s="134"/>
      <c r="M129" s="136">
        <f t="shared" si="10"/>
        <v>0</v>
      </c>
    </row>
    <row r="130" spans="1:13">
      <c r="A130" s="150"/>
      <c r="G130" s="120"/>
      <c r="H130" s="134">
        <v>125</v>
      </c>
      <c r="I130" s="135" t="str">
        <f t="shared" si="11"/>
        <v/>
      </c>
      <c r="J130" s="134">
        <f t="shared" si="12"/>
        <v>-5</v>
      </c>
      <c r="K130" s="134">
        <f t="shared" si="9"/>
        <v>-50</v>
      </c>
      <c r="L130" s="134"/>
      <c r="M130" s="136">
        <f t="shared" si="10"/>
        <v>0</v>
      </c>
    </row>
    <row r="131" spans="1:13">
      <c r="A131" s="150"/>
      <c r="G131" s="120"/>
      <c r="H131" s="134">
        <v>126</v>
      </c>
      <c r="I131" s="135" t="str">
        <f t="shared" si="11"/>
        <v/>
      </c>
      <c r="J131" s="134">
        <f t="shared" si="12"/>
        <v>-5</v>
      </c>
      <c r="K131" s="134">
        <f t="shared" si="9"/>
        <v>-50</v>
      </c>
      <c r="L131" s="134"/>
      <c r="M131" s="136">
        <f t="shared" si="10"/>
        <v>0</v>
      </c>
    </row>
    <row r="132" spans="1:13">
      <c r="A132" s="150"/>
      <c r="G132" s="120"/>
      <c r="H132" s="134">
        <v>127</v>
      </c>
      <c r="I132" s="135" t="str">
        <f t="shared" si="11"/>
        <v/>
      </c>
      <c r="J132" s="134">
        <f t="shared" si="12"/>
        <v>-5</v>
      </c>
      <c r="K132" s="134">
        <f t="shared" si="9"/>
        <v>-50</v>
      </c>
      <c r="L132" s="134"/>
      <c r="M132" s="136">
        <f t="shared" si="10"/>
        <v>0</v>
      </c>
    </row>
    <row r="133" spans="1:13">
      <c r="A133" s="150"/>
      <c r="G133" s="120"/>
      <c r="H133" s="134">
        <v>128</v>
      </c>
      <c r="I133" s="135" t="str">
        <f t="shared" si="11"/>
        <v/>
      </c>
      <c r="J133" s="134">
        <f t="shared" si="12"/>
        <v>-5</v>
      </c>
      <c r="K133" s="134">
        <f t="shared" si="9"/>
        <v>-50</v>
      </c>
      <c r="L133" s="134"/>
      <c r="M133" s="136">
        <f t="shared" si="10"/>
        <v>0</v>
      </c>
    </row>
    <row r="134" spans="1:13">
      <c r="A134" s="150"/>
      <c r="G134" s="120"/>
      <c r="H134" s="134">
        <v>129</v>
      </c>
      <c r="I134" s="135" t="str">
        <f t="shared" si="11"/>
        <v/>
      </c>
      <c r="J134" s="134">
        <f t="shared" si="12"/>
        <v>-6</v>
      </c>
      <c r="K134" s="134">
        <f t="shared" ref="K134:K197" si="13">J134*$J$2</f>
        <v>-60</v>
      </c>
      <c r="L134" s="134"/>
      <c r="M134" s="136">
        <f t="shared" ref="M134:M197" si="14">IF(I134&lt;&gt;"",K134+I134+L134,0)</f>
        <v>0</v>
      </c>
    </row>
    <row r="135" spans="1:13">
      <c r="A135" s="150"/>
      <c r="G135" s="120"/>
      <c r="H135" s="134">
        <v>130</v>
      </c>
      <c r="I135" s="135" t="str">
        <f t="shared" ref="I135:I198" si="15">IF(H135&lt;$H$2+1,($I$2-($I$2-1)*(LOG(H135)/LOG($H$2))),"")</f>
        <v/>
      </c>
      <c r="J135" s="134">
        <f t="shared" ref="J135:J198" si="16">INT(LOG($H$2,2))-ROUNDUP(LOG(H135,2),0)+IF(OR($H$2=1,$H$2=2,$H$2=4,$H$2=8,$H$2=16,$H$2=32,$H$2=64,$H$2=128,$H$2=256),0,1)</f>
        <v>-6</v>
      </c>
      <c r="K135" s="134">
        <f t="shared" si="13"/>
        <v>-60</v>
      </c>
      <c r="L135" s="134"/>
      <c r="M135" s="136">
        <f t="shared" si="14"/>
        <v>0</v>
      </c>
    </row>
    <row r="136" spans="1:13">
      <c r="A136" s="150"/>
      <c r="G136" s="120"/>
      <c r="H136" s="134">
        <v>131</v>
      </c>
      <c r="I136" s="135" t="str">
        <f t="shared" si="15"/>
        <v/>
      </c>
      <c r="J136" s="134">
        <f t="shared" si="16"/>
        <v>-6</v>
      </c>
      <c r="K136" s="134">
        <f t="shared" si="13"/>
        <v>-60</v>
      </c>
      <c r="L136" s="134"/>
      <c r="M136" s="136">
        <f t="shared" si="14"/>
        <v>0</v>
      </c>
    </row>
    <row r="137" spans="1:13">
      <c r="A137" s="150"/>
      <c r="G137" s="120"/>
      <c r="H137" s="134">
        <v>132</v>
      </c>
      <c r="I137" s="135" t="str">
        <f t="shared" si="15"/>
        <v/>
      </c>
      <c r="J137" s="134">
        <f t="shared" si="16"/>
        <v>-6</v>
      </c>
      <c r="K137" s="134">
        <f t="shared" si="13"/>
        <v>-60</v>
      </c>
      <c r="L137" s="134"/>
      <c r="M137" s="136">
        <f t="shared" si="14"/>
        <v>0</v>
      </c>
    </row>
    <row r="138" spans="1:13">
      <c r="A138" s="150"/>
      <c r="G138" s="120"/>
      <c r="H138" s="134">
        <v>133</v>
      </c>
      <c r="I138" s="135" t="str">
        <f t="shared" si="15"/>
        <v/>
      </c>
      <c r="J138" s="134">
        <f t="shared" si="16"/>
        <v>-6</v>
      </c>
      <c r="K138" s="134">
        <f t="shared" si="13"/>
        <v>-60</v>
      </c>
      <c r="L138" s="134"/>
      <c r="M138" s="136">
        <f t="shared" si="14"/>
        <v>0</v>
      </c>
    </row>
    <row r="139" spans="1:13">
      <c r="A139" s="150"/>
      <c r="G139" s="120"/>
      <c r="H139" s="134">
        <v>134</v>
      </c>
      <c r="I139" s="135" t="str">
        <f t="shared" si="15"/>
        <v/>
      </c>
      <c r="J139" s="134">
        <f t="shared" si="16"/>
        <v>-6</v>
      </c>
      <c r="K139" s="134">
        <f t="shared" si="13"/>
        <v>-60</v>
      </c>
      <c r="L139" s="134"/>
      <c r="M139" s="136">
        <f t="shared" si="14"/>
        <v>0</v>
      </c>
    </row>
    <row r="140" spans="1:13">
      <c r="A140" s="150"/>
      <c r="G140" s="120"/>
      <c r="H140" s="134">
        <v>135</v>
      </c>
      <c r="I140" s="135" t="str">
        <f t="shared" si="15"/>
        <v/>
      </c>
      <c r="J140" s="134">
        <f t="shared" si="16"/>
        <v>-6</v>
      </c>
      <c r="K140" s="134">
        <f t="shared" si="13"/>
        <v>-60</v>
      </c>
      <c r="L140" s="134"/>
      <c r="M140" s="136">
        <f t="shared" si="14"/>
        <v>0</v>
      </c>
    </row>
    <row r="141" spans="1:13">
      <c r="A141" s="150"/>
      <c r="G141" s="120"/>
      <c r="H141" s="134">
        <v>136</v>
      </c>
      <c r="I141" s="135" t="str">
        <f t="shared" si="15"/>
        <v/>
      </c>
      <c r="J141" s="134">
        <f t="shared" si="16"/>
        <v>-6</v>
      </c>
      <c r="K141" s="134">
        <f t="shared" si="13"/>
        <v>-60</v>
      </c>
      <c r="L141" s="134"/>
      <c r="M141" s="136">
        <f t="shared" si="14"/>
        <v>0</v>
      </c>
    </row>
    <row r="142" spans="1:13">
      <c r="A142" s="150"/>
      <c r="G142" s="120"/>
      <c r="H142" s="134">
        <v>137</v>
      </c>
      <c r="I142" s="135" t="str">
        <f t="shared" si="15"/>
        <v/>
      </c>
      <c r="J142" s="134">
        <f t="shared" si="16"/>
        <v>-6</v>
      </c>
      <c r="K142" s="134">
        <f t="shared" si="13"/>
        <v>-60</v>
      </c>
      <c r="L142" s="134"/>
      <c r="M142" s="136">
        <f t="shared" si="14"/>
        <v>0</v>
      </c>
    </row>
    <row r="143" spans="1:13">
      <c r="A143" s="150"/>
      <c r="G143" s="120"/>
      <c r="H143" s="134">
        <v>138</v>
      </c>
      <c r="I143" s="135" t="str">
        <f t="shared" si="15"/>
        <v/>
      </c>
      <c r="J143" s="134">
        <f t="shared" si="16"/>
        <v>-6</v>
      </c>
      <c r="K143" s="134">
        <f t="shared" si="13"/>
        <v>-60</v>
      </c>
      <c r="L143" s="134"/>
      <c r="M143" s="136">
        <f t="shared" si="14"/>
        <v>0</v>
      </c>
    </row>
    <row r="144" spans="1:13">
      <c r="A144" s="150"/>
      <c r="G144" s="120"/>
      <c r="H144" s="134">
        <v>139</v>
      </c>
      <c r="I144" s="135" t="str">
        <f t="shared" si="15"/>
        <v/>
      </c>
      <c r="J144" s="134">
        <f t="shared" si="16"/>
        <v>-6</v>
      </c>
      <c r="K144" s="134">
        <f t="shared" si="13"/>
        <v>-60</v>
      </c>
      <c r="L144" s="134"/>
      <c r="M144" s="136">
        <f t="shared" si="14"/>
        <v>0</v>
      </c>
    </row>
    <row r="145" spans="1:13">
      <c r="A145" s="150"/>
      <c r="G145" s="120"/>
      <c r="H145" s="134">
        <v>140</v>
      </c>
      <c r="I145" s="135" t="str">
        <f t="shared" si="15"/>
        <v/>
      </c>
      <c r="J145" s="134">
        <f t="shared" si="16"/>
        <v>-6</v>
      </c>
      <c r="K145" s="134">
        <f t="shared" si="13"/>
        <v>-60</v>
      </c>
      <c r="L145" s="134"/>
      <c r="M145" s="136">
        <f t="shared" si="14"/>
        <v>0</v>
      </c>
    </row>
    <row r="146" spans="1:13">
      <c r="A146" s="150"/>
      <c r="G146" s="120"/>
      <c r="H146" s="134">
        <v>141</v>
      </c>
      <c r="I146" s="135" t="str">
        <f t="shared" si="15"/>
        <v/>
      </c>
      <c r="J146" s="134">
        <f t="shared" si="16"/>
        <v>-6</v>
      </c>
      <c r="K146" s="134">
        <f t="shared" si="13"/>
        <v>-60</v>
      </c>
      <c r="L146" s="134"/>
      <c r="M146" s="136">
        <f t="shared" si="14"/>
        <v>0</v>
      </c>
    </row>
    <row r="147" spans="1:13">
      <c r="A147" s="150"/>
      <c r="G147" s="120"/>
      <c r="H147" s="134">
        <v>142</v>
      </c>
      <c r="I147" s="135" t="str">
        <f t="shared" si="15"/>
        <v/>
      </c>
      <c r="J147" s="134">
        <f t="shared" si="16"/>
        <v>-6</v>
      </c>
      <c r="K147" s="134">
        <f t="shared" si="13"/>
        <v>-60</v>
      </c>
      <c r="L147" s="134"/>
      <c r="M147" s="136">
        <f t="shared" si="14"/>
        <v>0</v>
      </c>
    </row>
    <row r="148" spans="1:13">
      <c r="A148" s="150"/>
      <c r="G148" s="120"/>
      <c r="H148" s="134">
        <v>143</v>
      </c>
      <c r="I148" s="135" t="str">
        <f t="shared" si="15"/>
        <v/>
      </c>
      <c r="J148" s="134">
        <f t="shared" si="16"/>
        <v>-6</v>
      </c>
      <c r="K148" s="134">
        <f t="shared" si="13"/>
        <v>-60</v>
      </c>
      <c r="L148" s="134"/>
      <c r="M148" s="136">
        <f t="shared" si="14"/>
        <v>0</v>
      </c>
    </row>
    <row r="149" spans="1:13">
      <c r="A149" s="150"/>
      <c r="G149" s="120"/>
      <c r="H149" s="134">
        <v>144</v>
      </c>
      <c r="I149" s="135" t="str">
        <f t="shared" si="15"/>
        <v/>
      </c>
      <c r="J149" s="134">
        <f t="shared" si="16"/>
        <v>-6</v>
      </c>
      <c r="K149" s="134">
        <f t="shared" si="13"/>
        <v>-60</v>
      </c>
      <c r="L149" s="134"/>
      <c r="M149" s="136">
        <f t="shared" si="14"/>
        <v>0</v>
      </c>
    </row>
    <row r="150" spans="1:13">
      <c r="A150" s="150"/>
      <c r="G150" s="120"/>
      <c r="H150" s="134">
        <v>145</v>
      </c>
      <c r="I150" s="135" t="str">
        <f t="shared" si="15"/>
        <v/>
      </c>
      <c r="J150" s="134">
        <f t="shared" si="16"/>
        <v>-6</v>
      </c>
      <c r="K150" s="134">
        <f t="shared" si="13"/>
        <v>-60</v>
      </c>
      <c r="L150" s="134"/>
      <c r="M150" s="136">
        <f t="shared" si="14"/>
        <v>0</v>
      </c>
    </row>
    <row r="151" spans="1:13">
      <c r="A151" s="150"/>
      <c r="G151" s="120"/>
      <c r="H151" s="134">
        <v>146</v>
      </c>
      <c r="I151" s="135" t="str">
        <f t="shared" si="15"/>
        <v/>
      </c>
      <c r="J151" s="134">
        <f t="shared" si="16"/>
        <v>-6</v>
      </c>
      <c r="K151" s="134">
        <f t="shared" si="13"/>
        <v>-60</v>
      </c>
      <c r="L151" s="134"/>
      <c r="M151" s="136">
        <f t="shared" si="14"/>
        <v>0</v>
      </c>
    </row>
    <row r="152" spans="1:13">
      <c r="A152" s="150"/>
      <c r="G152" s="120"/>
      <c r="H152" s="134">
        <v>147</v>
      </c>
      <c r="I152" s="135" t="str">
        <f t="shared" si="15"/>
        <v/>
      </c>
      <c r="J152" s="134">
        <f t="shared" si="16"/>
        <v>-6</v>
      </c>
      <c r="K152" s="134">
        <f t="shared" si="13"/>
        <v>-60</v>
      </c>
      <c r="L152" s="134"/>
      <c r="M152" s="136">
        <f t="shared" si="14"/>
        <v>0</v>
      </c>
    </row>
    <row r="153" spans="1:13">
      <c r="A153" s="150"/>
      <c r="G153" s="120"/>
      <c r="H153" s="134">
        <v>148</v>
      </c>
      <c r="I153" s="135" t="str">
        <f t="shared" si="15"/>
        <v/>
      </c>
      <c r="J153" s="134">
        <f t="shared" si="16"/>
        <v>-6</v>
      </c>
      <c r="K153" s="134">
        <f t="shared" si="13"/>
        <v>-60</v>
      </c>
      <c r="L153" s="134"/>
      <c r="M153" s="136">
        <f t="shared" si="14"/>
        <v>0</v>
      </c>
    </row>
    <row r="154" spans="1:13">
      <c r="A154" s="150"/>
      <c r="G154" s="120"/>
      <c r="H154" s="134">
        <v>149</v>
      </c>
      <c r="I154" s="135" t="str">
        <f t="shared" si="15"/>
        <v/>
      </c>
      <c r="J154" s="134">
        <f t="shared" si="16"/>
        <v>-6</v>
      </c>
      <c r="K154" s="134">
        <f t="shared" si="13"/>
        <v>-60</v>
      </c>
      <c r="L154" s="134"/>
      <c r="M154" s="136">
        <f t="shared" si="14"/>
        <v>0</v>
      </c>
    </row>
    <row r="155" spans="1:13">
      <c r="A155" s="150"/>
      <c r="G155" s="120"/>
      <c r="H155" s="134">
        <v>150</v>
      </c>
      <c r="I155" s="135" t="str">
        <f t="shared" si="15"/>
        <v/>
      </c>
      <c r="J155" s="134">
        <f t="shared" si="16"/>
        <v>-6</v>
      </c>
      <c r="K155" s="134">
        <f t="shared" si="13"/>
        <v>-60</v>
      </c>
      <c r="L155" s="134"/>
      <c r="M155" s="136">
        <f t="shared" si="14"/>
        <v>0</v>
      </c>
    </row>
    <row r="156" spans="1:13">
      <c r="A156" s="150"/>
      <c r="G156" s="120"/>
      <c r="H156" s="134">
        <v>151</v>
      </c>
      <c r="I156" s="135" t="str">
        <f t="shared" si="15"/>
        <v/>
      </c>
      <c r="J156" s="134">
        <f t="shared" si="16"/>
        <v>-6</v>
      </c>
      <c r="K156" s="134">
        <f t="shared" si="13"/>
        <v>-60</v>
      </c>
      <c r="L156" s="134"/>
      <c r="M156" s="136">
        <f t="shared" si="14"/>
        <v>0</v>
      </c>
    </row>
    <row r="157" spans="1:13">
      <c r="A157" s="150"/>
      <c r="G157" s="120"/>
      <c r="H157" s="134">
        <v>152</v>
      </c>
      <c r="I157" s="135" t="str">
        <f t="shared" si="15"/>
        <v/>
      </c>
      <c r="J157" s="134">
        <f t="shared" si="16"/>
        <v>-6</v>
      </c>
      <c r="K157" s="134">
        <f t="shared" si="13"/>
        <v>-60</v>
      </c>
      <c r="L157" s="134"/>
      <c r="M157" s="136">
        <f t="shared" si="14"/>
        <v>0</v>
      </c>
    </row>
    <row r="158" spans="1:13">
      <c r="A158" s="150"/>
      <c r="G158" s="120"/>
      <c r="H158" s="134">
        <v>153</v>
      </c>
      <c r="I158" s="135" t="str">
        <f t="shared" si="15"/>
        <v/>
      </c>
      <c r="J158" s="134">
        <f t="shared" si="16"/>
        <v>-6</v>
      </c>
      <c r="K158" s="134">
        <f t="shared" si="13"/>
        <v>-60</v>
      </c>
      <c r="L158" s="134"/>
      <c r="M158" s="136">
        <f t="shared" si="14"/>
        <v>0</v>
      </c>
    </row>
    <row r="159" spans="1:13">
      <c r="A159" s="150"/>
      <c r="G159" s="120"/>
      <c r="H159" s="134">
        <v>154</v>
      </c>
      <c r="I159" s="135" t="str">
        <f t="shared" si="15"/>
        <v/>
      </c>
      <c r="J159" s="134">
        <f t="shared" si="16"/>
        <v>-6</v>
      </c>
      <c r="K159" s="134">
        <f t="shared" si="13"/>
        <v>-60</v>
      </c>
      <c r="L159" s="134"/>
      <c r="M159" s="136">
        <f t="shared" si="14"/>
        <v>0</v>
      </c>
    </row>
    <row r="160" spans="1:13">
      <c r="A160" s="150"/>
      <c r="G160" s="120"/>
      <c r="H160" s="134">
        <v>155</v>
      </c>
      <c r="I160" s="135" t="str">
        <f t="shared" si="15"/>
        <v/>
      </c>
      <c r="J160" s="134">
        <f t="shared" si="16"/>
        <v>-6</v>
      </c>
      <c r="K160" s="134">
        <f t="shared" si="13"/>
        <v>-60</v>
      </c>
      <c r="L160" s="134"/>
      <c r="M160" s="136">
        <f t="shared" si="14"/>
        <v>0</v>
      </c>
    </row>
    <row r="161" spans="1:13">
      <c r="A161" s="150"/>
      <c r="G161" s="120"/>
      <c r="H161" s="134">
        <v>156</v>
      </c>
      <c r="I161" s="135" t="str">
        <f t="shared" si="15"/>
        <v/>
      </c>
      <c r="J161" s="134">
        <f t="shared" si="16"/>
        <v>-6</v>
      </c>
      <c r="K161" s="134">
        <f t="shared" si="13"/>
        <v>-60</v>
      </c>
      <c r="L161" s="134"/>
      <c r="M161" s="136">
        <f t="shared" si="14"/>
        <v>0</v>
      </c>
    </row>
    <row r="162" spans="1:13">
      <c r="A162" s="150"/>
      <c r="G162" s="120"/>
      <c r="H162" s="134">
        <v>157</v>
      </c>
      <c r="I162" s="135" t="str">
        <f t="shared" si="15"/>
        <v/>
      </c>
      <c r="J162" s="134">
        <f t="shared" si="16"/>
        <v>-6</v>
      </c>
      <c r="K162" s="134">
        <f t="shared" si="13"/>
        <v>-60</v>
      </c>
      <c r="L162" s="134"/>
      <c r="M162" s="136">
        <f t="shared" si="14"/>
        <v>0</v>
      </c>
    </row>
    <row r="163" spans="1:13">
      <c r="A163" s="150"/>
      <c r="G163" s="120"/>
      <c r="H163" s="134">
        <v>158</v>
      </c>
      <c r="I163" s="135" t="str">
        <f t="shared" si="15"/>
        <v/>
      </c>
      <c r="J163" s="134">
        <f t="shared" si="16"/>
        <v>-6</v>
      </c>
      <c r="K163" s="134">
        <f t="shared" si="13"/>
        <v>-60</v>
      </c>
      <c r="L163" s="134"/>
      <c r="M163" s="136">
        <f t="shared" si="14"/>
        <v>0</v>
      </c>
    </row>
    <row r="164" spans="1:13">
      <c r="A164" s="150"/>
      <c r="G164" s="120"/>
      <c r="H164" s="134">
        <v>159</v>
      </c>
      <c r="I164" s="135" t="str">
        <f t="shared" si="15"/>
        <v/>
      </c>
      <c r="J164" s="134">
        <f t="shared" si="16"/>
        <v>-6</v>
      </c>
      <c r="K164" s="134">
        <f t="shared" si="13"/>
        <v>-60</v>
      </c>
      <c r="L164" s="134"/>
      <c r="M164" s="136">
        <f t="shared" si="14"/>
        <v>0</v>
      </c>
    </row>
    <row r="165" spans="1:13">
      <c r="A165" s="150"/>
      <c r="G165" s="120"/>
      <c r="H165" s="134">
        <v>160</v>
      </c>
      <c r="I165" s="135" t="str">
        <f t="shared" si="15"/>
        <v/>
      </c>
      <c r="J165" s="134">
        <f t="shared" si="16"/>
        <v>-6</v>
      </c>
      <c r="K165" s="134">
        <f t="shared" si="13"/>
        <v>-60</v>
      </c>
      <c r="L165" s="134"/>
      <c r="M165" s="136">
        <f t="shared" si="14"/>
        <v>0</v>
      </c>
    </row>
    <row r="166" spans="1:13">
      <c r="A166" s="150"/>
      <c r="G166" s="120"/>
      <c r="H166" s="134">
        <v>161</v>
      </c>
      <c r="I166" s="135" t="str">
        <f t="shared" si="15"/>
        <v/>
      </c>
      <c r="J166" s="134">
        <f t="shared" si="16"/>
        <v>-6</v>
      </c>
      <c r="K166" s="134">
        <f t="shared" si="13"/>
        <v>-60</v>
      </c>
      <c r="L166" s="134"/>
      <c r="M166" s="136">
        <f t="shared" si="14"/>
        <v>0</v>
      </c>
    </row>
    <row r="167" spans="1:13">
      <c r="A167" s="150"/>
      <c r="G167" s="120"/>
      <c r="H167" s="134">
        <v>162</v>
      </c>
      <c r="I167" s="135" t="str">
        <f t="shared" si="15"/>
        <v/>
      </c>
      <c r="J167" s="134">
        <f t="shared" si="16"/>
        <v>-6</v>
      </c>
      <c r="K167" s="134">
        <f t="shared" si="13"/>
        <v>-60</v>
      </c>
      <c r="L167" s="134"/>
      <c r="M167" s="136">
        <f t="shared" si="14"/>
        <v>0</v>
      </c>
    </row>
    <row r="168" spans="1:13">
      <c r="A168" s="150"/>
      <c r="G168" s="120"/>
      <c r="H168" s="134">
        <v>163</v>
      </c>
      <c r="I168" s="135" t="str">
        <f t="shared" si="15"/>
        <v/>
      </c>
      <c r="J168" s="134">
        <f t="shared" si="16"/>
        <v>-6</v>
      </c>
      <c r="K168" s="134">
        <f t="shared" si="13"/>
        <v>-60</v>
      </c>
      <c r="L168" s="134"/>
      <c r="M168" s="136">
        <f t="shared" si="14"/>
        <v>0</v>
      </c>
    </row>
    <row r="169" spans="1:13">
      <c r="A169" s="150"/>
      <c r="G169" s="120"/>
      <c r="H169" s="134">
        <v>164</v>
      </c>
      <c r="I169" s="135" t="str">
        <f t="shared" si="15"/>
        <v/>
      </c>
      <c r="J169" s="134">
        <f t="shared" si="16"/>
        <v>-6</v>
      </c>
      <c r="K169" s="134">
        <f t="shared" si="13"/>
        <v>-60</v>
      </c>
      <c r="L169" s="134"/>
      <c r="M169" s="136">
        <f t="shared" si="14"/>
        <v>0</v>
      </c>
    </row>
    <row r="170" spans="1:13">
      <c r="A170" s="150"/>
      <c r="G170" s="120"/>
      <c r="H170" s="134">
        <v>165</v>
      </c>
      <c r="I170" s="135" t="str">
        <f t="shared" si="15"/>
        <v/>
      </c>
      <c r="J170" s="134">
        <f t="shared" si="16"/>
        <v>-6</v>
      </c>
      <c r="K170" s="134">
        <f t="shared" si="13"/>
        <v>-60</v>
      </c>
      <c r="L170" s="134"/>
      <c r="M170" s="136">
        <f t="shared" si="14"/>
        <v>0</v>
      </c>
    </row>
    <row r="171" spans="1:13">
      <c r="A171" s="150"/>
      <c r="G171" s="120"/>
      <c r="H171" s="134">
        <v>166</v>
      </c>
      <c r="I171" s="135" t="str">
        <f t="shared" si="15"/>
        <v/>
      </c>
      <c r="J171" s="134">
        <f t="shared" si="16"/>
        <v>-6</v>
      </c>
      <c r="K171" s="134">
        <f t="shared" si="13"/>
        <v>-60</v>
      </c>
      <c r="L171" s="134"/>
      <c r="M171" s="136">
        <f t="shared" si="14"/>
        <v>0</v>
      </c>
    </row>
    <row r="172" spans="1:13">
      <c r="A172" s="150"/>
      <c r="G172" s="120"/>
      <c r="H172" s="134">
        <v>167</v>
      </c>
      <c r="I172" s="135" t="str">
        <f t="shared" si="15"/>
        <v/>
      </c>
      <c r="J172" s="134">
        <f t="shared" si="16"/>
        <v>-6</v>
      </c>
      <c r="K172" s="134">
        <f t="shared" si="13"/>
        <v>-60</v>
      </c>
      <c r="L172" s="134"/>
      <c r="M172" s="136">
        <f t="shared" si="14"/>
        <v>0</v>
      </c>
    </row>
    <row r="173" spans="1:13">
      <c r="A173" s="150"/>
      <c r="G173" s="120"/>
      <c r="H173" s="134">
        <v>168</v>
      </c>
      <c r="I173" s="135" t="str">
        <f t="shared" si="15"/>
        <v/>
      </c>
      <c r="J173" s="134">
        <f t="shared" si="16"/>
        <v>-6</v>
      </c>
      <c r="K173" s="134">
        <f t="shared" si="13"/>
        <v>-60</v>
      </c>
      <c r="L173" s="134"/>
      <c r="M173" s="136">
        <f t="shared" si="14"/>
        <v>0</v>
      </c>
    </row>
    <row r="174" spans="1:13">
      <c r="A174" s="150"/>
      <c r="G174" s="120"/>
      <c r="H174" s="134">
        <v>169</v>
      </c>
      <c r="I174" s="135" t="str">
        <f t="shared" si="15"/>
        <v/>
      </c>
      <c r="J174" s="134">
        <f t="shared" si="16"/>
        <v>-6</v>
      </c>
      <c r="K174" s="134">
        <f t="shared" si="13"/>
        <v>-60</v>
      </c>
      <c r="L174" s="134"/>
      <c r="M174" s="136">
        <f t="shared" si="14"/>
        <v>0</v>
      </c>
    </row>
    <row r="175" spans="1:13">
      <c r="A175" s="150"/>
      <c r="G175" s="120"/>
      <c r="H175" s="134">
        <v>170</v>
      </c>
      <c r="I175" s="135" t="str">
        <f t="shared" si="15"/>
        <v/>
      </c>
      <c r="J175" s="134">
        <f t="shared" si="16"/>
        <v>-6</v>
      </c>
      <c r="K175" s="134">
        <f t="shared" si="13"/>
        <v>-60</v>
      </c>
      <c r="L175" s="134"/>
      <c r="M175" s="136">
        <f t="shared" si="14"/>
        <v>0</v>
      </c>
    </row>
    <row r="176" spans="1:13">
      <c r="A176" s="150"/>
      <c r="G176" s="120"/>
      <c r="H176" s="134">
        <v>171</v>
      </c>
      <c r="I176" s="135" t="str">
        <f t="shared" si="15"/>
        <v/>
      </c>
      <c r="J176" s="134">
        <f t="shared" si="16"/>
        <v>-6</v>
      </c>
      <c r="K176" s="134">
        <f t="shared" si="13"/>
        <v>-60</v>
      </c>
      <c r="L176" s="134"/>
      <c r="M176" s="136">
        <f t="shared" si="14"/>
        <v>0</v>
      </c>
    </row>
    <row r="177" spans="1:13">
      <c r="A177" s="150"/>
      <c r="G177" s="120"/>
      <c r="H177" s="134">
        <v>172</v>
      </c>
      <c r="I177" s="135" t="str">
        <f t="shared" si="15"/>
        <v/>
      </c>
      <c r="J177" s="134">
        <f t="shared" si="16"/>
        <v>-6</v>
      </c>
      <c r="K177" s="134">
        <f t="shared" si="13"/>
        <v>-60</v>
      </c>
      <c r="L177" s="134"/>
      <c r="M177" s="136">
        <f t="shared" si="14"/>
        <v>0</v>
      </c>
    </row>
    <row r="178" spans="1:13">
      <c r="A178" s="150"/>
      <c r="G178" s="120"/>
      <c r="H178" s="134">
        <v>173</v>
      </c>
      <c r="I178" s="135" t="str">
        <f t="shared" si="15"/>
        <v/>
      </c>
      <c r="J178" s="134">
        <f t="shared" si="16"/>
        <v>-6</v>
      </c>
      <c r="K178" s="134">
        <f t="shared" si="13"/>
        <v>-60</v>
      </c>
      <c r="L178" s="134"/>
      <c r="M178" s="136">
        <f t="shared" si="14"/>
        <v>0</v>
      </c>
    </row>
    <row r="179" spans="1:13">
      <c r="A179" s="150"/>
      <c r="G179" s="120"/>
      <c r="H179" s="134">
        <v>174</v>
      </c>
      <c r="I179" s="135" t="str">
        <f t="shared" si="15"/>
        <v/>
      </c>
      <c r="J179" s="134">
        <f t="shared" si="16"/>
        <v>-6</v>
      </c>
      <c r="K179" s="134">
        <f t="shared" si="13"/>
        <v>-60</v>
      </c>
      <c r="L179" s="134"/>
      <c r="M179" s="136">
        <f t="shared" si="14"/>
        <v>0</v>
      </c>
    </row>
    <row r="180" spans="1:13">
      <c r="A180" s="150"/>
      <c r="G180" s="120"/>
      <c r="H180" s="134">
        <v>175</v>
      </c>
      <c r="I180" s="135" t="str">
        <f t="shared" si="15"/>
        <v/>
      </c>
      <c r="J180" s="134">
        <f t="shared" si="16"/>
        <v>-6</v>
      </c>
      <c r="K180" s="134">
        <f t="shared" si="13"/>
        <v>-60</v>
      </c>
      <c r="L180" s="134"/>
      <c r="M180" s="136">
        <f t="shared" si="14"/>
        <v>0</v>
      </c>
    </row>
    <row r="181" spans="1:13">
      <c r="A181" s="150"/>
      <c r="G181" s="120"/>
      <c r="H181" s="134">
        <v>176</v>
      </c>
      <c r="I181" s="135" t="str">
        <f t="shared" si="15"/>
        <v/>
      </c>
      <c r="J181" s="134">
        <f t="shared" si="16"/>
        <v>-6</v>
      </c>
      <c r="K181" s="134">
        <f t="shared" si="13"/>
        <v>-60</v>
      </c>
      <c r="L181" s="134"/>
      <c r="M181" s="136">
        <f t="shared" si="14"/>
        <v>0</v>
      </c>
    </row>
    <row r="182" spans="1:13">
      <c r="A182" s="150"/>
      <c r="G182" s="120"/>
      <c r="H182" s="134">
        <v>177</v>
      </c>
      <c r="I182" s="135" t="str">
        <f t="shared" si="15"/>
        <v/>
      </c>
      <c r="J182" s="134">
        <f t="shared" si="16"/>
        <v>-6</v>
      </c>
      <c r="K182" s="134">
        <f t="shared" si="13"/>
        <v>-60</v>
      </c>
      <c r="L182" s="134"/>
      <c r="M182" s="136">
        <f t="shared" si="14"/>
        <v>0</v>
      </c>
    </row>
    <row r="183" spans="1:13">
      <c r="A183" s="150"/>
      <c r="G183" s="120"/>
      <c r="H183" s="134">
        <v>178</v>
      </c>
      <c r="I183" s="135" t="str">
        <f t="shared" si="15"/>
        <v/>
      </c>
      <c r="J183" s="134">
        <f t="shared" si="16"/>
        <v>-6</v>
      </c>
      <c r="K183" s="134">
        <f t="shared" si="13"/>
        <v>-60</v>
      </c>
      <c r="L183" s="134"/>
      <c r="M183" s="136">
        <f t="shared" si="14"/>
        <v>0</v>
      </c>
    </row>
    <row r="184" spans="1:13">
      <c r="A184" s="150"/>
      <c r="G184" s="120"/>
      <c r="H184" s="134">
        <v>179</v>
      </c>
      <c r="I184" s="135" t="str">
        <f t="shared" si="15"/>
        <v/>
      </c>
      <c r="J184" s="134">
        <f t="shared" si="16"/>
        <v>-6</v>
      </c>
      <c r="K184" s="134">
        <f t="shared" si="13"/>
        <v>-60</v>
      </c>
      <c r="L184" s="134"/>
      <c r="M184" s="136">
        <f t="shared" si="14"/>
        <v>0</v>
      </c>
    </row>
    <row r="185" spans="1:13">
      <c r="A185" s="150"/>
      <c r="G185" s="120"/>
      <c r="H185" s="134">
        <v>180</v>
      </c>
      <c r="I185" s="135" t="str">
        <f t="shared" si="15"/>
        <v/>
      </c>
      <c r="J185" s="134">
        <f t="shared" si="16"/>
        <v>-6</v>
      </c>
      <c r="K185" s="134">
        <f t="shared" si="13"/>
        <v>-60</v>
      </c>
      <c r="L185" s="134"/>
      <c r="M185" s="136">
        <f t="shared" si="14"/>
        <v>0</v>
      </c>
    </row>
    <row r="186" spans="1:13">
      <c r="A186" s="150"/>
      <c r="G186" s="120"/>
      <c r="H186" s="134">
        <v>181</v>
      </c>
      <c r="I186" s="135" t="str">
        <f t="shared" si="15"/>
        <v/>
      </c>
      <c r="J186" s="134">
        <f t="shared" si="16"/>
        <v>-6</v>
      </c>
      <c r="K186" s="134">
        <f t="shared" si="13"/>
        <v>-60</v>
      </c>
      <c r="L186" s="134"/>
      <c r="M186" s="136">
        <f t="shared" si="14"/>
        <v>0</v>
      </c>
    </row>
    <row r="187" spans="1:13">
      <c r="A187" s="150"/>
      <c r="G187" s="120"/>
      <c r="H187" s="134">
        <v>182</v>
      </c>
      <c r="I187" s="135" t="str">
        <f t="shared" si="15"/>
        <v/>
      </c>
      <c r="J187" s="134">
        <f t="shared" si="16"/>
        <v>-6</v>
      </c>
      <c r="K187" s="134">
        <f t="shared" si="13"/>
        <v>-60</v>
      </c>
      <c r="L187" s="134"/>
      <c r="M187" s="136">
        <f t="shared" si="14"/>
        <v>0</v>
      </c>
    </row>
    <row r="188" spans="1:13">
      <c r="A188" s="150"/>
      <c r="G188" s="120"/>
      <c r="H188" s="134">
        <v>183</v>
      </c>
      <c r="I188" s="135" t="str">
        <f t="shared" si="15"/>
        <v/>
      </c>
      <c r="J188" s="134">
        <f t="shared" si="16"/>
        <v>-6</v>
      </c>
      <c r="K188" s="134">
        <f t="shared" si="13"/>
        <v>-60</v>
      </c>
      <c r="L188" s="134"/>
      <c r="M188" s="136">
        <f t="shared" si="14"/>
        <v>0</v>
      </c>
    </row>
    <row r="189" spans="1:13">
      <c r="A189" s="150"/>
      <c r="G189" s="120"/>
      <c r="H189" s="134">
        <v>184</v>
      </c>
      <c r="I189" s="135" t="str">
        <f t="shared" si="15"/>
        <v/>
      </c>
      <c r="J189" s="134">
        <f t="shared" si="16"/>
        <v>-6</v>
      </c>
      <c r="K189" s="134">
        <f t="shared" si="13"/>
        <v>-60</v>
      </c>
      <c r="L189" s="134"/>
      <c r="M189" s="136">
        <f t="shared" si="14"/>
        <v>0</v>
      </c>
    </row>
    <row r="190" spans="1:13">
      <c r="A190" s="150"/>
      <c r="G190" s="120"/>
      <c r="H190" s="134">
        <v>185</v>
      </c>
      <c r="I190" s="135" t="str">
        <f t="shared" si="15"/>
        <v/>
      </c>
      <c r="J190" s="134">
        <f t="shared" si="16"/>
        <v>-6</v>
      </c>
      <c r="K190" s="134">
        <f t="shared" si="13"/>
        <v>-60</v>
      </c>
      <c r="L190" s="134"/>
      <c r="M190" s="136">
        <f t="shared" si="14"/>
        <v>0</v>
      </c>
    </row>
    <row r="191" spans="1:13">
      <c r="A191" s="150"/>
      <c r="G191" s="120"/>
      <c r="H191" s="134">
        <v>186</v>
      </c>
      <c r="I191" s="135" t="str">
        <f t="shared" si="15"/>
        <v/>
      </c>
      <c r="J191" s="134">
        <f t="shared" si="16"/>
        <v>-6</v>
      </c>
      <c r="K191" s="134">
        <f t="shared" si="13"/>
        <v>-60</v>
      </c>
      <c r="L191" s="134"/>
      <c r="M191" s="136">
        <f t="shared" si="14"/>
        <v>0</v>
      </c>
    </row>
    <row r="192" spans="1:13">
      <c r="A192" s="150"/>
      <c r="G192" s="120"/>
      <c r="H192" s="134">
        <v>187</v>
      </c>
      <c r="I192" s="135" t="str">
        <f t="shared" si="15"/>
        <v/>
      </c>
      <c r="J192" s="134">
        <f t="shared" si="16"/>
        <v>-6</v>
      </c>
      <c r="K192" s="134">
        <f t="shared" si="13"/>
        <v>-60</v>
      </c>
      <c r="L192" s="134"/>
      <c r="M192" s="136">
        <f t="shared" si="14"/>
        <v>0</v>
      </c>
    </row>
    <row r="193" spans="1:13">
      <c r="A193" s="150"/>
      <c r="G193" s="120"/>
      <c r="H193" s="134">
        <v>188</v>
      </c>
      <c r="I193" s="135" t="str">
        <f t="shared" si="15"/>
        <v/>
      </c>
      <c r="J193" s="134">
        <f t="shared" si="16"/>
        <v>-6</v>
      </c>
      <c r="K193" s="134">
        <f t="shared" si="13"/>
        <v>-60</v>
      </c>
      <c r="L193" s="134"/>
      <c r="M193" s="136">
        <f t="shared" si="14"/>
        <v>0</v>
      </c>
    </row>
    <row r="194" spans="1:13">
      <c r="A194" s="150"/>
      <c r="G194" s="120"/>
      <c r="H194" s="134">
        <v>189</v>
      </c>
      <c r="I194" s="135" t="str">
        <f t="shared" si="15"/>
        <v/>
      </c>
      <c r="J194" s="134">
        <f t="shared" si="16"/>
        <v>-6</v>
      </c>
      <c r="K194" s="134">
        <f t="shared" si="13"/>
        <v>-60</v>
      </c>
      <c r="L194" s="134"/>
      <c r="M194" s="136">
        <f t="shared" si="14"/>
        <v>0</v>
      </c>
    </row>
    <row r="195" spans="1:13">
      <c r="A195" s="150"/>
      <c r="G195" s="120"/>
      <c r="H195" s="134">
        <v>190</v>
      </c>
      <c r="I195" s="135" t="str">
        <f t="shared" si="15"/>
        <v/>
      </c>
      <c r="J195" s="134">
        <f t="shared" si="16"/>
        <v>-6</v>
      </c>
      <c r="K195" s="134">
        <f t="shared" si="13"/>
        <v>-60</v>
      </c>
      <c r="L195" s="134"/>
      <c r="M195" s="136">
        <f t="shared" si="14"/>
        <v>0</v>
      </c>
    </row>
    <row r="196" spans="1:13">
      <c r="A196" s="150"/>
      <c r="G196" s="120"/>
      <c r="H196" s="134">
        <v>191</v>
      </c>
      <c r="I196" s="135" t="str">
        <f t="shared" si="15"/>
        <v/>
      </c>
      <c r="J196" s="134">
        <f t="shared" si="16"/>
        <v>-6</v>
      </c>
      <c r="K196" s="134">
        <f t="shared" si="13"/>
        <v>-60</v>
      </c>
      <c r="L196" s="134"/>
      <c r="M196" s="136">
        <f t="shared" si="14"/>
        <v>0</v>
      </c>
    </row>
    <row r="197" spans="1:13">
      <c r="A197" s="150"/>
      <c r="G197" s="120"/>
      <c r="H197" s="134">
        <v>192</v>
      </c>
      <c r="I197" s="135" t="str">
        <f t="shared" si="15"/>
        <v/>
      </c>
      <c r="J197" s="134">
        <f t="shared" si="16"/>
        <v>-6</v>
      </c>
      <c r="K197" s="134">
        <f t="shared" si="13"/>
        <v>-60</v>
      </c>
      <c r="L197" s="134"/>
      <c r="M197" s="136">
        <f t="shared" si="14"/>
        <v>0</v>
      </c>
    </row>
    <row r="198" spans="1:13">
      <c r="A198" s="150"/>
      <c r="G198" s="120"/>
      <c r="H198" s="134">
        <v>193</v>
      </c>
      <c r="I198" s="135" t="str">
        <f t="shared" si="15"/>
        <v/>
      </c>
      <c r="J198" s="134">
        <f t="shared" si="16"/>
        <v>-6</v>
      </c>
      <c r="K198" s="134">
        <f t="shared" ref="K198:K261" si="17">J198*$J$2</f>
        <v>-60</v>
      </c>
      <c r="L198" s="134"/>
      <c r="M198" s="136">
        <f t="shared" ref="M198:M261" si="18">IF(I198&lt;&gt;"",K198+I198+L198,0)</f>
        <v>0</v>
      </c>
    </row>
    <row r="199" spans="1:13">
      <c r="A199" s="150"/>
      <c r="G199" s="120"/>
      <c r="H199" s="134">
        <v>194</v>
      </c>
      <c r="I199" s="135" t="str">
        <f t="shared" ref="I199:I262" si="19">IF(H199&lt;$H$2+1,($I$2-($I$2-1)*(LOG(H199)/LOG($H$2))),"")</f>
        <v/>
      </c>
      <c r="J199" s="134">
        <f t="shared" ref="J199:J262" si="20">INT(LOG($H$2,2))-ROUNDUP(LOG(H199,2),0)+IF(OR($H$2=1,$H$2=2,$H$2=4,$H$2=8,$H$2=16,$H$2=32,$H$2=64,$H$2=128,$H$2=256),0,1)</f>
        <v>-6</v>
      </c>
      <c r="K199" s="134">
        <f t="shared" si="17"/>
        <v>-60</v>
      </c>
      <c r="L199" s="134"/>
      <c r="M199" s="136">
        <f t="shared" si="18"/>
        <v>0</v>
      </c>
    </row>
    <row r="200" spans="1:13">
      <c r="A200" s="150"/>
      <c r="G200" s="120"/>
      <c r="H200" s="134">
        <v>195</v>
      </c>
      <c r="I200" s="135" t="str">
        <f t="shared" si="19"/>
        <v/>
      </c>
      <c r="J200" s="134">
        <f t="shared" si="20"/>
        <v>-6</v>
      </c>
      <c r="K200" s="134">
        <f t="shared" si="17"/>
        <v>-60</v>
      </c>
      <c r="L200" s="134"/>
      <c r="M200" s="136">
        <f t="shared" si="18"/>
        <v>0</v>
      </c>
    </row>
    <row r="201" spans="1:13">
      <c r="A201" s="150"/>
      <c r="G201" s="120"/>
      <c r="H201" s="134">
        <v>196</v>
      </c>
      <c r="I201" s="135" t="str">
        <f t="shared" si="19"/>
        <v/>
      </c>
      <c r="J201" s="134">
        <f t="shared" si="20"/>
        <v>-6</v>
      </c>
      <c r="K201" s="134">
        <f t="shared" si="17"/>
        <v>-60</v>
      </c>
      <c r="L201" s="134"/>
      <c r="M201" s="136">
        <f t="shared" si="18"/>
        <v>0</v>
      </c>
    </row>
    <row r="202" spans="1:13">
      <c r="A202" s="150"/>
      <c r="G202" s="120"/>
      <c r="H202" s="134">
        <v>197</v>
      </c>
      <c r="I202" s="135" t="str">
        <f t="shared" si="19"/>
        <v/>
      </c>
      <c r="J202" s="134">
        <f t="shared" si="20"/>
        <v>-6</v>
      </c>
      <c r="K202" s="134">
        <f t="shared" si="17"/>
        <v>-60</v>
      </c>
      <c r="L202" s="134"/>
      <c r="M202" s="136">
        <f t="shared" si="18"/>
        <v>0</v>
      </c>
    </row>
    <row r="203" spans="1:13">
      <c r="A203" s="150"/>
      <c r="G203" s="120"/>
      <c r="H203" s="134">
        <v>198</v>
      </c>
      <c r="I203" s="135" t="str">
        <f t="shared" si="19"/>
        <v/>
      </c>
      <c r="J203" s="134">
        <f t="shared" si="20"/>
        <v>-6</v>
      </c>
      <c r="K203" s="134">
        <f t="shared" si="17"/>
        <v>-60</v>
      </c>
      <c r="L203" s="134"/>
      <c r="M203" s="136">
        <f t="shared" si="18"/>
        <v>0</v>
      </c>
    </row>
    <row r="204" spans="1:13">
      <c r="A204" s="150"/>
      <c r="G204" s="120"/>
      <c r="H204" s="134">
        <v>199</v>
      </c>
      <c r="I204" s="135" t="str">
        <f t="shared" si="19"/>
        <v/>
      </c>
      <c r="J204" s="134">
        <f t="shared" si="20"/>
        <v>-6</v>
      </c>
      <c r="K204" s="134">
        <f t="shared" si="17"/>
        <v>-60</v>
      </c>
      <c r="L204" s="134"/>
      <c r="M204" s="136">
        <f t="shared" si="18"/>
        <v>0</v>
      </c>
    </row>
    <row r="205" spans="1:13">
      <c r="A205" s="150"/>
      <c r="G205" s="120"/>
      <c r="H205" s="134">
        <v>200</v>
      </c>
      <c r="I205" s="135" t="str">
        <f t="shared" si="19"/>
        <v/>
      </c>
      <c r="J205" s="134">
        <f t="shared" si="20"/>
        <v>-6</v>
      </c>
      <c r="K205" s="134">
        <f t="shared" si="17"/>
        <v>-60</v>
      </c>
      <c r="L205" s="134"/>
      <c r="M205" s="136">
        <f t="shared" si="18"/>
        <v>0</v>
      </c>
    </row>
    <row r="206" spans="1:13">
      <c r="A206" s="150"/>
      <c r="G206" s="120"/>
      <c r="H206" s="134">
        <v>201</v>
      </c>
      <c r="I206" s="135" t="str">
        <f t="shared" si="19"/>
        <v/>
      </c>
      <c r="J206" s="134">
        <f t="shared" si="20"/>
        <v>-6</v>
      </c>
      <c r="K206" s="134">
        <f t="shared" si="17"/>
        <v>-60</v>
      </c>
      <c r="L206" s="134"/>
      <c r="M206" s="136">
        <f t="shared" si="18"/>
        <v>0</v>
      </c>
    </row>
    <row r="207" spans="1:13">
      <c r="A207" s="150"/>
      <c r="G207" s="120"/>
      <c r="H207" s="134">
        <v>202</v>
      </c>
      <c r="I207" s="135" t="str">
        <f t="shared" si="19"/>
        <v/>
      </c>
      <c r="J207" s="134">
        <f t="shared" si="20"/>
        <v>-6</v>
      </c>
      <c r="K207" s="134">
        <f t="shared" si="17"/>
        <v>-60</v>
      </c>
      <c r="L207" s="134"/>
      <c r="M207" s="136">
        <f t="shared" si="18"/>
        <v>0</v>
      </c>
    </row>
    <row r="208" spans="1:13">
      <c r="A208" s="150"/>
      <c r="G208" s="120"/>
      <c r="H208" s="134">
        <v>203</v>
      </c>
      <c r="I208" s="135" t="str">
        <f t="shared" si="19"/>
        <v/>
      </c>
      <c r="J208" s="134">
        <f t="shared" si="20"/>
        <v>-6</v>
      </c>
      <c r="K208" s="134">
        <f t="shared" si="17"/>
        <v>-60</v>
      </c>
      <c r="L208" s="134"/>
      <c r="M208" s="136">
        <f t="shared" si="18"/>
        <v>0</v>
      </c>
    </row>
    <row r="209" spans="1:13">
      <c r="A209" s="150"/>
      <c r="G209" s="120"/>
      <c r="H209" s="134">
        <v>204</v>
      </c>
      <c r="I209" s="135" t="str">
        <f t="shared" si="19"/>
        <v/>
      </c>
      <c r="J209" s="134">
        <f t="shared" si="20"/>
        <v>-6</v>
      </c>
      <c r="K209" s="134">
        <f t="shared" si="17"/>
        <v>-60</v>
      </c>
      <c r="L209" s="134"/>
      <c r="M209" s="136">
        <f t="shared" si="18"/>
        <v>0</v>
      </c>
    </row>
    <row r="210" spans="1:13">
      <c r="A210" s="150"/>
      <c r="G210" s="120"/>
      <c r="H210" s="134">
        <v>205</v>
      </c>
      <c r="I210" s="135" t="str">
        <f t="shared" si="19"/>
        <v/>
      </c>
      <c r="J210" s="134">
        <f t="shared" si="20"/>
        <v>-6</v>
      </c>
      <c r="K210" s="134">
        <f t="shared" si="17"/>
        <v>-60</v>
      </c>
      <c r="L210" s="134"/>
      <c r="M210" s="136">
        <f t="shared" si="18"/>
        <v>0</v>
      </c>
    </row>
    <row r="211" spans="1:13">
      <c r="A211" s="150"/>
      <c r="G211" s="120"/>
      <c r="H211" s="134">
        <v>206</v>
      </c>
      <c r="I211" s="135" t="str">
        <f t="shared" si="19"/>
        <v/>
      </c>
      <c r="J211" s="134">
        <f t="shared" si="20"/>
        <v>-6</v>
      </c>
      <c r="K211" s="134">
        <f t="shared" si="17"/>
        <v>-60</v>
      </c>
      <c r="L211" s="134"/>
      <c r="M211" s="136">
        <f t="shared" si="18"/>
        <v>0</v>
      </c>
    </row>
    <row r="212" spans="1:13">
      <c r="A212" s="150"/>
      <c r="G212" s="120"/>
      <c r="H212" s="134">
        <v>207</v>
      </c>
      <c r="I212" s="135" t="str">
        <f t="shared" si="19"/>
        <v/>
      </c>
      <c r="J212" s="134">
        <f t="shared" si="20"/>
        <v>-6</v>
      </c>
      <c r="K212" s="134">
        <f t="shared" si="17"/>
        <v>-60</v>
      </c>
      <c r="L212" s="134"/>
      <c r="M212" s="136">
        <f t="shared" si="18"/>
        <v>0</v>
      </c>
    </row>
    <row r="213" spans="1:13">
      <c r="A213" s="150"/>
      <c r="G213" s="120"/>
      <c r="H213" s="134">
        <v>208</v>
      </c>
      <c r="I213" s="135" t="str">
        <f t="shared" si="19"/>
        <v/>
      </c>
      <c r="J213" s="134">
        <f t="shared" si="20"/>
        <v>-6</v>
      </c>
      <c r="K213" s="134">
        <f t="shared" si="17"/>
        <v>-60</v>
      </c>
      <c r="L213" s="134"/>
      <c r="M213" s="136">
        <f t="shared" si="18"/>
        <v>0</v>
      </c>
    </row>
    <row r="214" spans="1:13">
      <c r="A214" s="150"/>
      <c r="G214" s="120"/>
      <c r="H214" s="134">
        <v>209</v>
      </c>
      <c r="I214" s="135" t="str">
        <f t="shared" si="19"/>
        <v/>
      </c>
      <c r="J214" s="134">
        <f t="shared" si="20"/>
        <v>-6</v>
      </c>
      <c r="K214" s="134">
        <f t="shared" si="17"/>
        <v>-60</v>
      </c>
      <c r="L214" s="134"/>
      <c r="M214" s="136">
        <f t="shared" si="18"/>
        <v>0</v>
      </c>
    </row>
    <row r="215" spans="1:13">
      <c r="A215" s="150"/>
      <c r="G215" s="120"/>
      <c r="H215" s="134">
        <v>210</v>
      </c>
      <c r="I215" s="135" t="str">
        <f t="shared" si="19"/>
        <v/>
      </c>
      <c r="J215" s="134">
        <f t="shared" si="20"/>
        <v>-6</v>
      </c>
      <c r="K215" s="134">
        <f t="shared" si="17"/>
        <v>-60</v>
      </c>
      <c r="L215" s="134"/>
      <c r="M215" s="136">
        <f t="shared" si="18"/>
        <v>0</v>
      </c>
    </row>
    <row r="216" spans="1:13">
      <c r="A216" s="150"/>
      <c r="G216" s="120"/>
      <c r="H216" s="134">
        <v>211</v>
      </c>
      <c r="I216" s="135" t="str">
        <f t="shared" si="19"/>
        <v/>
      </c>
      <c r="J216" s="134">
        <f t="shared" si="20"/>
        <v>-6</v>
      </c>
      <c r="K216" s="134">
        <f t="shared" si="17"/>
        <v>-60</v>
      </c>
      <c r="L216" s="134"/>
      <c r="M216" s="136">
        <f t="shared" si="18"/>
        <v>0</v>
      </c>
    </row>
    <row r="217" spans="1:13">
      <c r="A217" s="150"/>
      <c r="G217" s="120"/>
      <c r="H217" s="134">
        <v>212</v>
      </c>
      <c r="I217" s="135" t="str">
        <f t="shared" si="19"/>
        <v/>
      </c>
      <c r="J217" s="134">
        <f t="shared" si="20"/>
        <v>-6</v>
      </c>
      <c r="K217" s="134">
        <f t="shared" si="17"/>
        <v>-60</v>
      </c>
      <c r="L217" s="134"/>
      <c r="M217" s="136">
        <f t="shared" si="18"/>
        <v>0</v>
      </c>
    </row>
    <row r="218" spans="1:13">
      <c r="A218" s="150"/>
      <c r="G218" s="120"/>
      <c r="H218" s="134">
        <v>213</v>
      </c>
      <c r="I218" s="135" t="str">
        <f t="shared" si="19"/>
        <v/>
      </c>
      <c r="J218" s="134">
        <f t="shared" si="20"/>
        <v>-6</v>
      </c>
      <c r="K218" s="134">
        <f t="shared" si="17"/>
        <v>-60</v>
      </c>
      <c r="L218" s="134"/>
      <c r="M218" s="136">
        <f t="shared" si="18"/>
        <v>0</v>
      </c>
    </row>
    <row r="219" spans="1:13">
      <c r="A219" s="150"/>
      <c r="G219" s="120"/>
      <c r="H219" s="134">
        <v>214</v>
      </c>
      <c r="I219" s="135" t="str">
        <f t="shared" si="19"/>
        <v/>
      </c>
      <c r="J219" s="134">
        <f t="shared" si="20"/>
        <v>-6</v>
      </c>
      <c r="K219" s="134">
        <f t="shared" si="17"/>
        <v>-60</v>
      </c>
      <c r="L219" s="134"/>
      <c r="M219" s="136">
        <f t="shared" si="18"/>
        <v>0</v>
      </c>
    </row>
    <row r="220" spans="1:13">
      <c r="A220" s="150"/>
      <c r="G220" s="120"/>
      <c r="H220" s="134">
        <v>215</v>
      </c>
      <c r="I220" s="135" t="str">
        <f t="shared" si="19"/>
        <v/>
      </c>
      <c r="J220" s="134">
        <f t="shared" si="20"/>
        <v>-6</v>
      </c>
      <c r="K220" s="134">
        <f t="shared" si="17"/>
        <v>-60</v>
      </c>
      <c r="L220" s="134"/>
      <c r="M220" s="136">
        <f t="shared" si="18"/>
        <v>0</v>
      </c>
    </row>
    <row r="221" spans="1:13">
      <c r="A221" s="150"/>
      <c r="G221" s="120"/>
      <c r="H221" s="134">
        <v>216</v>
      </c>
      <c r="I221" s="135" t="str">
        <f t="shared" si="19"/>
        <v/>
      </c>
      <c r="J221" s="134">
        <f t="shared" si="20"/>
        <v>-6</v>
      </c>
      <c r="K221" s="134">
        <f t="shared" si="17"/>
        <v>-60</v>
      </c>
      <c r="L221" s="134"/>
      <c r="M221" s="136">
        <f t="shared" si="18"/>
        <v>0</v>
      </c>
    </row>
    <row r="222" spans="1:13">
      <c r="A222" s="150"/>
      <c r="G222" s="120"/>
      <c r="H222" s="134">
        <v>217</v>
      </c>
      <c r="I222" s="135" t="str">
        <f t="shared" si="19"/>
        <v/>
      </c>
      <c r="J222" s="134">
        <f t="shared" si="20"/>
        <v>-6</v>
      </c>
      <c r="K222" s="134">
        <f t="shared" si="17"/>
        <v>-60</v>
      </c>
      <c r="L222" s="134"/>
      <c r="M222" s="136">
        <f t="shared" si="18"/>
        <v>0</v>
      </c>
    </row>
    <row r="223" spans="1:13">
      <c r="A223" s="150"/>
      <c r="G223" s="120"/>
      <c r="H223" s="134">
        <v>218</v>
      </c>
      <c r="I223" s="135" t="str">
        <f t="shared" si="19"/>
        <v/>
      </c>
      <c r="J223" s="134">
        <f t="shared" si="20"/>
        <v>-6</v>
      </c>
      <c r="K223" s="134">
        <f t="shared" si="17"/>
        <v>-60</v>
      </c>
      <c r="L223" s="134"/>
      <c r="M223" s="136">
        <f t="shared" si="18"/>
        <v>0</v>
      </c>
    </row>
    <row r="224" spans="1:13">
      <c r="A224" s="150"/>
      <c r="G224" s="120"/>
      <c r="H224" s="134">
        <v>219</v>
      </c>
      <c r="I224" s="135" t="str">
        <f t="shared" si="19"/>
        <v/>
      </c>
      <c r="J224" s="134">
        <f t="shared" si="20"/>
        <v>-6</v>
      </c>
      <c r="K224" s="134">
        <f t="shared" si="17"/>
        <v>-60</v>
      </c>
      <c r="L224" s="134"/>
      <c r="M224" s="136">
        <f t="shared" si="18"/>
        <v>0</v>
      </c>
    </row>
    <row r="225" spans="1:13">
      <c r="A225" s="150"/>
      <c r="G225" s="120"/>
      <c r="H225" s="134">
        <v>220</v>
      </c>
      <c r="I225" s="135" t="str">
        <f t="shared" si="19"/>
        <v/>
      </c>
      <c r="J225" s="134">
        <f t="shared" si="20"/>
        <v>-6</v>
      </c>
      <c r="K225" s="134">
        <f t="shared" si="17"/>
        <v>-60</v>
      </c>
      <c r="L225" s="134"/>
      <c r="M225" s="136">
        <f t="shared" si="18"/>
        <v>0</v>
      </c>
    </row>
    <row r="226" spans="1:13">
      <c r="A226" s="150"/>
      <c r="G226" s="120"/>
      <c r="H226" s="134">
        <v>221</v>
      </c>
      <c r="I226" s="135" t="str">
        <f t="shared" si="19"/>
        <v/>
      </c>
      <c r="J226" s="134">
        <f t="shared" si="20"/>
        <v>-6</v>
      </c>
      <c r="K226" s="134">
        <f t="shared" si="17"/>
        <v>-60</v>
      </c>
      <c r="L226" s="134"/>
      <c r="M226" s="136">
        <f t="shared" si="18"/>
        <v>0</v>
      </c>
    </row>
    <row r="227" spans="1:13">
      <c r="A227" s="150"/>
      <c r="G227" s="120"/>
      <c r="H227" s="134">
        <v>222</v>
      </c>
      <c r="I227" s="135" t="str">
        <f t="shared" si="19"/>
        <v/>
      </c>
      <c r="J227" s="134">
        <f t="shared" si="20"/>
        <v>-6</v>
      </c>
      <c r="K227" s="134">
        <f t="shared" si="17"/>
        <v>-60</v>
      </c>
      <c r="L227" s="134"/>
      <c r="M227" s="136">
        <f t="shared" si="18"/>
        <v>0</v>
      </c>
    </row>
    <row r="228" spans="1:13">
      <c r="A228" s="150"/>
      <c r="G228" s="120"/>
      <c r="H228" s="134">
        <v>223</v>
      </c>
      <c r="I228" s="135" t="str">
        <f t="shared" si="19"/>
        <v/>
      </c>
      <c r="J228" s="134">
        <f t="shared" si="20"/>
        <v>-6</v>
      </c>
      <c r="K228" s="134">
        <f t="shared" si="17"/>
        <v>-60</v>
      </c>
      <c r="L228" s="134"/>
      <c r="M228" s="136">
        <f t="shared" si="18"/>
        <v>0</v>
      </c>
    </row>
    <row r="229" spans="1:13">
      <c r="A229" s="150"/>
      <c r="G229" s="120"/>
      <c r="H229" s="134">
        <v>224</v>
      </c>
      <c r="I229" s="135" t="str">
        <f t="shared" si="19"/>
        <v/>
      </c>
      <c r="J229" s="134">
        <f t="shared" si="20"/>
        <v>-6</v>
      </c>
      <c r="K229" s="134">
        <f t="shared" si="17"/>
        <v>-60</v>
      </c>
      <c r="L229" s="134"/>
      <c r="M229" s="136">
        <f t="shared" si="18"/>
        <v>0</v>
      </c>
    </row>
    <row r="230" spans="1:13">
      <c r="A230" s="150"/>
      <c r="G230" s="120"/>
      <c r="H230" s="134">
        <v>225</v>
      </c>
      <c r="I230" s="135" t="str">
        <f t="shared" si="19"/>
        <v/>
      </c>
      <c r="J230" s="134">
        <f t="shared" si="20"/>
        <v>-6</v>
      </c>
      <c r="K230" s="134">
        <f t="shared" si="17"/>
        <v>-60</v>
      </c>
      <c r="L230" s="134"/>
      <c r="M230" s="136">
        <f t="shared" si="18"/>
        <v>0</v>
      </c>
    </row>
    <row r="231" spans="1:13">
      <c r="A231" s="150"/>
      <c r="G231" s="120"/>
      <c r="H231" s="134">
        <v>226</v>
      </c>
      <c r="I231" s="135" t="str">
        <f t="shared" si="19"/>
        <v/>
      </c>
      <c r="J231" s="134">
        <f t="shared" si="20"/>
        <v>-6</v>
      </c>
      <c r="K231" s="134">
        <f t="shared" si="17"/>
        <v>-60</v>
      </c>
      <c r="L231" s="134"/>
      <c r="M231" s="136">
        <f t="shared" si="18"/>
        <v>0</v>
      </c>
    </row>
    <row r="232" spans="1:13">
      <c r="A232" s="150"/>
      <c r="G232" s="120"/>
      <c r="H232" s="134">
        <v>227</v>
      </c>
      <c r="I232" s="135" t="str">
        <f t="shared" si="19"/>
        <v/>
      </c>
      <c r="J232" s="134">
        <f t="shared" si="20"/>
        <v>-6</v>
      </c>
      <c r="K232" s="134">
        <f t="shared" si="17"/>
        <v>-60</v>
      </c>
      <c r="L232" s="134"/>
      <c r="M232" s="136">
        <f t="shared" si="18"/>
        <v>0</v>
      </c>
    </row>
    <row r="233" spans="1:13">
      <c r="A233" s="150"/>
      <c r="G233" s="120"/>
      <c r="H233" s="134">
        <v>228</v>
      </c>
      <c r="I233" s="135" t="str">
        <f t="shared" si="19"/>
        <v/>
      </c>
      <c r="J233" s="134">
        <f t="shared" si="20"/>
        <v>-6</v>
      </c>
      <c r="K233" s="134">
        <f t="shared" si="17"/>
        <v>-60</v>
      </c>
      <c r="L233" s="134"/>
      <c r="M233" s="136">
        <f t="shared" si="18"/>
        <v>0</v>
      </c>
    </row>
    <row r="234" spans="1:13">
      <c r="A234" s="150"/>
      <c r="G234" s="120"/>
      <c r="H234" s="134">
        <v>229</v>
      </c>
      <c r="I234" s="135" t="str">
        <f t="shared" si="19"/>
        <v/>
      </c>
      <c r="J234" s="134">
        <f t="shared" si="20"/>
        <v>-6</v>
      </c>
      <c r="K234" s="134">
        <f t="shared" si="17"/>
        <v>-60</v>
      </c>
      <c r="L234" s="134"/>
      <c r="M234" s="136">
        <f t="shared" si="18"/>
        <v>0</v>
      </c>
    </row>
    <row r="235" spans="1:13">
      <c r="A235" s="150"/>
      <c r="G235" s="120"/>
      <c r="H235" s="134">
        <v>230</v>
      </c>
      <c r="I235" s="135" t="str">
        <f t="shared" si="19"/>
        <v/>
      </c>
      <c r="J235" s="134">
        <f t="shared" si="20"/>
        <v>-6</v>
      </c>
      <c r="K235" s="134">
        <f t="shared" si="17"/>
        <v>-60</v>
      </c>
      <c r="L235" s="134"/>
      <c r="M235" s="136">
        <f t="shared" si="18"/>
        <v>0</v>
      </c>
    </row>
    <row r="236" spans="1:13">
      <c r="A236" s="150"/>
      <c r="G236" s="120"/>
      <c r="H236" s="134">
        <v>231</v>
      </c>
      <c r="I236" s="135" t="str">
        <f t="shared" si="19"/>
        <v/>
      </c>
      <c r="J236" s="134">
        <f t="shared" si="20"/>
        <v>-6</v>
      </c>
      <c r="K236" s="134">
        <f t="shared" si="17"/>
        <v>-60</v>
      </c>
      <c r="L236" s="134"/>
      <c r="M236" s="136">
        <f t="shared" si="18"/>
        <v>0</v>
      </c>
    </row>
    <row r="237" spans="1:13">
      <c r="A237" s="150"/>
      <c r="G237" s="120"/>
      <c r="H237" s="134">
        <v>232</v>
      </c>
      <c r="I237" s="135" t="str">
        <f t="shared" si="19"/>
        <v/>
      </c>
      <c r="J237" s="134">
        <f t="shared" si="20"/>
        <v>-6</v>
      </c>
      <c r="K237" s="134">
        <f t="shared" si="17"/>
        <v>-60</v>
      </c>
      <c r="L237" s="134"/>
      <c r="M237" s="136">
        <f t="shared" si="18"/>
        <v>0</v>
      </c>
    </row>
    <row r="238" spans="1:13">
      <c r="A238" s="150"/>
      <c r="G238" s="120"/>
      <c r="H238" s="134">
        <v>233</v>
      </c>
      <c r="I238" s="135" t="str">
        <f t="shared" si="19"/>
        <v/>
      </c>
      <c r="J238" s="134">
        <f t="shared" si="20"/>
        <v>-6</v>
      </c>
      <c r="K238" s="134">
        <f t="shared" si="17"/>
        <v>-60</v>
      </c>
      <c r="L238" s="134"/>
      <c r="M238" s="136">
        <f t="shared" si="18"/>
        <v>0</v>
      </c>
    </row>
    <row r="239" spans="1:13">
      <c r="A239" s="150"/>
      <c r="G239" s="120"/>
      <c r="H239" s="134">
        <v>234</v>
      </c>
      <c r="I239" s="135" t="str">
        <f t="shared" si="19"/>
        <v/>
      </c>
      <c r="J239" s="134">
        <f t="shared" si="20"/>
        <v>-6</v>
      </c>
      <c r="K239" s="134">
        <f t="shared" si="17"/>
        <v>-60</v>
      </c>
      <c r="L239" s="134"/>
      <c r="M239" s="136">
        <f t="shared" si="18"/>
        <v>0</v>
      </c>
    </row>
    <row r="240" spans="1:13">
      <c r="A240" s="150"/>
      <c r="G240" s="120"/>
      <c r="H240" s="134">
        <v>235</v>
      </c>
      <c r="I240" s="135" t="str">
        <f t="shared" si="19"/>
        <v/>
      </c>
      <c r="J240" s="134">
        <f t="shared" si="20"/>
        <v>-6</v>
      </c>
      <c r="K240" s="134">
        <f t="shared" si="17"/>
        <v>-60</v>
      </c>
      <c r="L240" s="134"/>
      <c r="M240" s="136">
        <f t="shared" si="18"/>
        <v>0</v>
      </c>
    </row>
    <row r="241" spans="1:13">
      <c r="A241" s="150"/>
      <c r="G241" s="120"/>
      <c r="H241" s="134">
        <v>236</v>
      </c>
      <c r="I241" s="135" t="str">
        <f t="shared" si="19"/>
        <v/>
      </c>
      <c r="J241" s="134">
        <f t="shared" si="20"/>
        <v>-6</v>
      </c>
      <c r="K241" s="134">
        <f t="shared" si="17"/>
        <v>-60</v>
      </c>
      <c r="L241" s="134"/>
      <c r="M241" s="136">
        <f t="shared" si="18"/>
        <v>0</v>
      </c>
    </row>
    <row r="242" spans="1:13">
      <c r="A242" s="150"/>
      <c r="G242" s="120"/>
      <c r="H242" s="134">
        <v>237</v>
      </c>
      <c r="I242" s="135" t="str">
        <f t="shared" si="19"/>
        <v/>
      </c>
      <c r="J242" s="134">
        <f t="shared" si="20"/>
        <v>-6</v>
      </c>
      <c r="K242" s="134">
        <f t="shared" si="17"/>
        <v>-60</v>
      </c>
      <c r="L242" s="134"/>
      <c r="M242" s="136">
        <f t="shared" si="18"/>
        <v>0</v>
      </c>
    </row>
    <row r="243" spans="1:13">
      <c r="A243" s="150"/>
      <c r="G243" s="120"/>
      <c r="H243" s="134">
        <v>238</v>
      </c>
      <c r="I243" s="135" t="str">
        <f t="shared" si="19"/>
        <v/>
      </c>
      <c r="J243" s="134">
        <f t="shared" si="20"/>
        <v>-6</v>
      </c>
      <c r="K243" s="134">
        <f t="shared" si="17"/>
        <v>-60</v>
      </c>
      <c r="L243" s="134"/>
      <c r="M243" s="136">
        <f t="shared" si="18"/>
        <v>0</v>
      </c>
    </row>
    <row r="244" spans="1:13">
      <c r="A244" s="150"/>
      <c r="G244" s="120"/>
      <c r="H244" s="134">
        <v>239</v>
      </c>
      <c r="I244" s="135" t="str">
        <f t="shared" si="19"/>
        <v/>
      </c>
      <c r="J244" s="134">
        <f t="shared" si="20"/>
        <v>-6</v>
      </c>
      <c r="K244" s="134">
        <f t="shared" si="17"/>
        <v>-60</v>
      </c>
      <c r="L244" s="134"/>
      <c r="M244" s="136">
        <f t="shared" si="18"/>
        <v>0</v>
      </c>
    </row>
    <row r="245" spans="1:13">
      <c r="A245" s="150"/>
      <c r="G245" s="120"/>
      <c r="H245" s="134">
        <v>240</v>
      </c>
      <c r="I245" s="135" t="str">
        <f t="shared" si="19"/>
        <v/>
      </c>
      <c r="J245" s="134">
        <f t="shared" si="20"/>
        <v>-6</v>
      </c>
      <c r="K245" s="134">
        <f t="shared" si="17"/>
        <v>-60</v>
      </c>
      <c r="L245" s="134"/>
      <c r="M245" s="136">
        <f t="shared" si="18"/>
        <v>0</v>
      </c>
    </row>
    <row r="246" spans="1:13">
      <c r="A246" s="150"/>
      <c r="G246" s="120"/>
      <c r="H246" s="134">
        <v>241</v>
      </c>
      <c r="I246" s="135" t="str">
        <f t="shared" si="19"/>
        <v/>
      </c>
      <c r="J246" s="134">
        <f t="shared" si="20"/>
        <v>-6</v>
      </c>
      <c r="K246" s="134">
        <f t="shared" si="17"/>
        <v>-60</v>
      </c>
      <c r="L246" s="134"/>
      <c r="M246" s="136">
        <f t="shared" si="18"/>
        <v>0</v>
      </c>
    </row>
    <row r="247" spans="1:13">
      <c r="A247" s="150"/>
      <c r="G247" s="120"/>
      <c r="H247" s="134">
        <v>242</v>
      </c>
      <c r="I247" s="135" t="str">
        <f t="shared" si="19"/>
        <v/>
      </c>
      <c r="J247" s="134">
        <f t="shared" si="20"/>
        <v>-6</v>
      </c>
      <c r="K247" s="134">
        <f t="shared" si="17"/>
        <v>-60</v>
      </c>
      <c r="L247" s="134"/>
      <c r="M247" s="136">
        <f t="shared" si="18"/>
        <v>0</v>
      </c>
    </row>
    <row r="248" spans="1:13">
      <c r="A248" s="150"/>
      <c r="G248" s="120"/>
      <c r="H248" s="134">
        <v>243</v>
      </c>
      <c r="I248" s="135" t="str">
        <f t="shared" si="19"/>
        <v/>
      </c>
      <c r="J248" s="134">
        <f t="shared" si="20"/>
        <v>-6</v>
      </c>
      <c r="K248" s="134">
        <f t="shared" si="17"/>
        <v>-60</v>
      </c>
      <c r="L248" s="134"/>
      <c r="M248" s="136">
        <f t="shared" si="18"/>
        <v>0</v>
      </c>
    </row>
    <row r="249" spans="1:13">
      <c r="A249" s="150"/>
      <c r="G249" s="120"/>
      <c r="H249" s="134">
        <v>244</v>
      </c>
      <c r="I249" s="135" t="str">
        <f t="shared" si="19"/>
        <v/>
      </c>
      <c r="J249" s="134">
        <f t="shared" si="20"/>
        <v>-6</v>
      </c>
      <c r="K249" s="134">
        <f t="shared" si="17"/>
        <v>-60</v>
      </c>
      <c r="L249" s="134"/>
      <c r="M249" s="136">
        <f t="shared" si="18"/>
        <v>0</v>
      </c>
    </row>
    <row r="250" spans="1:13">
      <c r="A250" s="150"/>
      <c r="G250" s="120"/>
      <c r="H250" s="134">
        <v>245</v>
      </c>
      <c r="I250" s="135" t="str">
        <f t="shared" si="19"/>
        <v/>
      </c>
      <c r="J250" s="134">
        <f t="shared" si="20"/>
        <v>-6</v>
      </c>
      <c r="K250" s="134">
        <f t="shared" si="17"/>
        <v>-60</v>
      </c>
      <c r="L250" s="134"/>
      <c r="M250" s="136">
        <f t="shared" si="18"/>
        <v>0</v>
      </c>
    </row>
    <row r="251" spans="1:13">
      <c r="A251" s="150"/>
      <c r="G251" s="120"/>
      <c r="H251" s="134">
        <v>246</v>
      </c>
      <c r="I251" s="135" t="str">
        <f t="shared" si="19"/>
        <v/>
      </c>
      <c r="J251" s="134">
        <f t="shared" si="20"/>
        <v>-6</v>
      </c>
      <c r="K251" s="134">
        <f t="shared" si="17"/>
        <v>-60</v>
      </c>
      <c r="L251" s="134"/>
      <c r="M251" s="136">
        <f t="shared" si="18"/>
        <v>0</v>
      </c>
    </row>
    <row r="252" spans="1:13">
      <c r="A252" s="150"/>
      <c r="G252" s="120"/>
      <c r="H252" s="134">
        <v>247</v>
      </c>
      <c r="I252" s="135" t="str">
        <f t="shared" si="19"/>
        <v/>
      </c>
      <c r="J252" s="134">
        <f t="shared" si="20"/>
        <v>-6</v>
      </c>
      <c r="K252" s="134">
        <f t="shared" si="17"/>
        <v>-60</v>
      </c>
      <c r="L252" s="134"/>
      <c r="M252" s="136">
        <f t="shared" si="18"/>
        <v>0</v>
      </c>
    </row>
    <row r="253" spans="1:13">
      <c r="A253" s="150"/>
      <c r="G253" s="120"/>
      <c r="H253" s="134">
        <v>248</v>
      </c>
      <c r="I253" s="135" t="str">
        <f t="shared" si="19"/>
        <v/>
      </c>
      <c r="J253" s="134">
        <f t="shared" si="20"/>
        <v>-6</v>
      </c>
      <c r="K253" s="134">
        <f t="shared" si="17"/>
        <v>-60</v>
      </c>
      <c r="L253" s="134"/>
      <c r="M253" s="136">
        <f t="shared" si="18"/>
        <v>0</v>
      </c>
    </row>
    <row r="254" spans="1:13">
      <c r="A254" s="150"/>
      <c r="G254" s="120"/>
      <c r="H254" s="134">
        <v>249</v>
      </c>
      <c r="I254" s="135" t="str">
        <f t="shared" si="19"/>
        <v/>
      </c>
      <c r="J254" s="134">
        <f t="shared" si="20"/>
        <v>-6</v>
      </c>
      <c r="K254" s="134">
        <f t="shared" si="17"/>
        <v>-60</v>
      </c>
      <c r="L254" s="134"/>
      <c r="M254" s="136">
        <f t="shared" si="18"/>
        <v>0</v>
      </c>
    </row>
    <row r="255" spans="1:13">
      <c r="A255" s="150"/>
      <c r="G255" s="120"/>
      <c r="H255" s="134">
        <v>250</v>
      </c>
      <c r="I255" s="135" t="str">
        <f t="shared" si="19"/>
        <v/>
      </c>
      <c r="J255" s="134">
        <f t="shared" si="20"/>
        <v>-6</v>
      </c>
      <c r="K255" s="134">
        <f t="shared" si="17"/>
        <v>-60</v>
      </c>
      <c r="L255" s="134"/>
      <c r="M255" s="136">
        <f t="shared" si="18"/>
        <v>0</v>
      </c>
    </row>
    <row r="256" spans="1:13">
      <c r="A256" s="150"/>
      <c r="G256" s="120"/>
      <c r="H256" s="134">
        <v>251</v>
      </c>
      <c r="I256" s="135" t="str">
        <f t="shared" si="19"/>
        <v/>
      </c>
      <c r="J256" s="134">
        <f t="shared" si="20"/>
        <v>-6</v>
      </c>
      <c r="K256" s="134">
        <f t="shared" si="17"/>
        <v>-60</v>
      </c>
      <c r="L256" s="134"/>
      <c r="M256" s="136">
        <f t="shared" si="18"/>
        <v>0</v>
      </c>
    </row>
    <row r="257" spans="1:13">
      <c r="A257" s="150"/>
      <c r="G257" s="120"/>
      <c r="H257" s="134">
        <v>252</v>
      </c>
      <c r="I257" s="135" t="str">
        <f t="shared" si="19"/>
        <v/>
      </c>
      <c r="J257" s="134">
        <f t="shared" si="20"/>
        <v>-6</v>
      </c>
      <c r="K257" s="134">
        <f t="shared" si="17"/>
        <v>-60</v>
      </c>
      <c r="L257" s="134"/>
      <c r="M257" s="136">
        <f t="shared" si="18"/>
        <v>0</v>
      </c>
    </row>
    <row r="258" spans="1:13">
      <c r="A258" s="150"/>
      <c r="G258" s="120"/>
      <c r="H258" s="134">
        <v>253</v>
      </c>
      <c r="I258" s="135" t="str">
        <f t="shared" si="19"/>
        <v/>
      </c>
      <c r="J258" s="134">
        <f t="shared" si="20"/>
        <v>-6</v>
      </c>
      <c r="K258" s="134">
        <f t="shared" si="17"/>
        <v>-60</v>
      </c>
      <c r="L258" s="134"/>
      <c r="M258" s="136">
        <f t="shared" si="18"/>
        <v>0</v>
      </c>
    </row>
    <row r="259" spans="1:13">
      <c r="A259" s="150"/>
      <c r="G259" s="120"/>
      <c r="H259" s="134">
        <v>254</v>
      </c>
      <c r="I259" s="135" t="str">
        <f t="shared" si="19"/>
        <v/>
      </c>
      <c r="J259" s="134">
        <f t="shared" si="20"/>
        <v>-6</v>
      </c>
      <c r="K259" s="134">
        <f t="shared" si="17"/>
        <v>-60</v>
      </c>
      <c r="L259" s="134"/>
      <c r="M259" s="136">
        <f t="shared" si="18"/>
        <v>0</v>
      </c>
    </row>
    <row r="260" spans="1:13">
      <c r="A260" s="150"/>
      <c r="G260" s="120"/>
      <c r="H260" s="134">
        <v>255</v>
      </c>
      <c r="I260" s="135" t="str">
        <f t="shared" si="19"/>
        <v/>
      </c>
      <c r="J260" s="134">
        <f t="shared" si="20"/>
        <v>-6</v>
      </c>
      <c r="K260" s="134">
        <f t="shared" si="17"/>
        <v>-60</v>
      </c>
      <c r="L260" s="134"/>
      <c r="M260" s="136">
        <f t="shared" si="18"/>
        <v>0</v>
      </c>
    </row>
    <row r="261" spans="1:13">
      <c r="A261" s="150"/>
      <c r="G261" s="120"/>
      <c r="H261" s="134">
        <v>256</v>
      </c>
      <c r="I261" s="135" t="str">
        <f t="shared" si="19"/>
        <v/>
      </c>
      <c r="J261" s="134">
        <f t="shared" si="20"/>
        <v>-6</v>
      </c>
      <c r="K261" s="134">
        <f t="shared" si="17"/>
        <v>-60</v>
      </c>
      <c r="L261" s="134"/>
      <c r="M261" s="136">
        <f t="shared" si="18"/>
        <v>0</v>
      </c>
    </row>
    <row r="262" spans="1:13">
      <c r="A262" s="150"/>
      <c r="G262" s="120"/>
      <c r="H262" s="134">
        <v>257</v>
      </c>
      <c r="I262" s="135" t="str">
        <f t="shared" si="19"/>
        <v/>
      </c>
      <c r="J262" s="134">
        <f t="shared" si="20"/>
        <v>-7</v>
      </c>
      <c r="K262" s="134">
        <f t="shared" ref="K262:K305" si="21">J262*$J$2</f>
        <v>-70</v>
      </c>
      <c r="L262" s="134"/>
      <c r="M262" s="136">
        <f t="shared" ref="M262:M305" si="22">IF(I262&lt;&gt;"",K262+I262+L262,0)</f>
        <v>0</v>
      </c>
    </row>
    <row r="263" spans="1:13">
      <c r="A263" s="150"/>
      <c r="G263" s="120"/>
      <c r="H263" s="134">
        <v>258</v>
      </c>
      <c r="I263" s="135" t="str">
        <f t="shared" ref="I263:I305" si="23">IF(H263&lt;$H$2+1,($I$2-($I$2-1)*(LOG(H263)/LOG($H$2))),"")</f>
        <v/>
      </c>
      <c r="J263" s="134">
        <f t="shared" ref="J263:J305" si="24">INT(LOG($H$2,2))-ROUNDUP(LOG(H263,2),0)+IF(OR($H$2=1,$H$2=2,$H$2=4,$H$2=8,$H$2=16,$H$2=32,$H$2=64,$H$2=128,$H$2=256),0,1)</f>
        <v>-7</v>
      </c>
      <c r="K263" s="134">
        <f t="shared" si="21"/>
        <v>-70</v>
      </c>
      <c r="L263" s="134"/>
      <c r="M263" s="136">
        <f t="shared" si="22"/>
        <v>0</v>
      </c>
    </row>
    <row r="264" spans="1:13">
      <c r="A264" s="150"/>
      <c r="G264" s="120"/>
      <c r="H264" s="134">
        <v>259</v>
      </c>
      <c r="I264" s="135" t="str">
        <f t="shared" si="23"/>
        <v/>
      </c>
      <c r="J264" s="134">
        <f t="shared" si="24"/>
        <v>-7</v>
      </c>
      <c r="K264" s="134">
        <f t="shared" si="21"/>
        <v>-70</v>
      </c>
      <c r="L264" s="134"/>
      <c r="M264" s="136">
        <f t="shared" si="22"/>
        <v>0</v>
      </c>
    </row>
    <row r="265" spans="1:13">
      <c r="A265" s="150"/>
      <c r="G265" s="120"/>
      <c r="H265" s="134">
        <v>260</v>
      </c>
      <c r="I265" s="135" t="str">
        <f t="shared" si="23"/>
        <v/>
      </c>
      <c r="J265" s="134">
        <f t="shared" si="24"/>
        <v>-7</v>
      </c>
      <c r="K265" s="134">
        <f t="shared" si="21"/>
        <v>-70</v>
      </c>
      <c r="L265" s="134"/>
      <c r="M265" s="136">
        <f t="shared" si="22"/>
        <v>0</v>
      </c>
    </row>
    <row r="266" spans="1:13">
      <c r="A266" s="150"/>
      <c r="G266" s="120"/>
      <c r="H266" s="134">
        <v>261</v>
      </c>
      <c r="I266" s="135" t="str">
        <f t="shared" si="23"/>
        <v/>
      </c>
      <c r="J266" s="134">
        <f t="shared" si="24"/>
        <v>-7</v>
      </c>
      <c r="K266" s="134">
        <f t="shared" si="21"/>
        <v>-70</v>
      </c>
      <c r="L266" s="134"/>
      <c r="M266" s="136">
        <f t="shared" si="22"/>
        <v>0</v>
      </c>
    </row>
    <row r="267" spans="1:13">
      <c r="A267" s="150"/>
      <c r="G267" s="120"/>
      <c r="H267" s="134">
        <v>262</v>
      </c>
      <c r="I267" s="135" t="str">
        <f t="shared" si="23"/>
        <v/>
      </c>
      <c r="J267" s="134">
        <f t="shared" si="24"/>
        <v>-7</v>
      </c>
      <c r="K267" s="134">
        <f t="shared" si="21"/>
        <v>-70</v>
      </c>
      <c r="L267" s="134"/>
      <c r="M267" s="136">
        <f t="shared" si="22"/>
        <v>0</v>
      </c>
    </row>
    <row r="268" spans="1:13">
      <c r="A268" s="150"/>
      <c r="G268" s="120"/>
      <c r="H268" s="134">
        <v>263</v>
      </c>
      <c r="I268" s="135" t="str">
        <f t="shared" si="23"/>
        <v/>
      </c>
      <c r="J268" s="134">
        <f t="shared" si="24"/>
        <v>-7</v>
      </c>
      <c r="K268" s="134">
        <f t="shared" si="21"/>
        <v>-70</v>
      </c>
      <c r="L268" s="134"/>
      <c r="M268" s="136">
        <f t="shared" si="22"/>
        <v>0</v>
      </c>
    </row>
    <row r="269" spans="1:13">
      <c r="A269" s="150"/>
      <c r="G269" s="120"/>
      <c r="H269" s="134">
        <v>264</v>
      </c>
      <c r="I269" s="135" t="str">
        <f t="shared" si="23"/>
        <v/>
      </c>
      <c r="J269" s="134">
        <f t="shared" si="24"/>
        <v>-7</v>
      </c>
      <c r="K269" s="134">
        <f t="shared" si="21"/>
        <v>-70</v>
      </c>
      <c r="L269" s="134"/>
      <c r="M269" s="136">
        <f t="shared" si="22"/>
        <v>0</v>
      </c>
    </row>
    <row r="270" spans="1:13">
      <c r="A270" s="150"/>
      <c r="G270" s="120"/>
      <c r="H270" s="134">
        <v>265</v>
      </c>
      <c r="I270" s="135" t="str">
        <f t="shared" si="23"/>
        <v/>
      </c>
      <c r="J270" s="134">
        <f t="shared" si="24"/>
        <v>-7</v>
      </c>
      <c r="K270" s="134">
        <f t="shared" si="21"/>
        <v>-70</v>
      </c>
      <c r="L270" s="134"/>
      <c r="M270" s="136">
        <f t="shared" si="22"/>
        <v>0</v>
      </c>
    </row>
    <row r="271" spans="1:13">
      <c r="A271" s="150"/>
      <c r="G271" s="120"/>
      <c r="H271" s="134">
        <v>266</v>
      </c>
      <c r="I271" s="135" t="str">
        <f t="shared" si="23"/>
        <v/>
      </c>
      <c r="J271" s="134">
        <f t="shared" si="24"/>
        <v>-7</v>
      </c>
      <c r="K271" s="134">
        <f t="shared" si="21"/>
        <v>-70</v>
      </c>
      <c r="L271" s="134"/>
      <c r="M271" s="136">
        <f t="shared" si="22"/>
        <v>0</v>
      </c>
    </row>
    <row r="272" spans="1:13">
      <c r="A272" s="150"/>
      <c r="G272" s="120"/>
      <c r="H272" s="134">
        <v>267</v>
      </c>
      <c r="I272" s="135" t="str">
        <f t="shared" si="23"/>
        <v/>
      </c>
      <c r="J272" s="134">
        <f t="shared" si="24"/>
        <v>-7</v>
      </c>
      <c r="K272" s="134">
        <f t="shared" si="21"/>
        <v>-70</v>
      </c>
      <c r="L272" s="134"/>
      <c r="M272" s="136">
        <f t="shared" si="22"/>
        <v>0</v>
      </c>
    </row>
    <row r="273" spans="1:13">
      <c r="A273" s="150"/>
      <c r="G273" s="120"/>
      <c r="H273" s="134">
        <v>268</v>
      </c>
      <c r="I273" s="135" t="str">
        <f t="shared" si="23"/>
        <v/>
      </c>
      <c r="J273" s="134">
        <f t="shared" si="24"/>
        <v>-7</v>
      </c>
      <c r="K273" s="134">
        <f t="shared" si="21"/>
        <v>-70</v>
      </c>
      <c r="L273" s="134"/>
      <c r="M273" s="136">
        <f t="shared" si="22"/>
        <v>0</v>
      </c>
    </row>
    <row r="274" spans="1:13">
      <c r="A274" s="150"/>
      <c r="G274" s="120"/>
      <c r="H274" s="134">
        <v>269</v>
      </c>
      <c r="I274" s="135" t="str">
        <f t="shared" si="23"/>
        <v/>
      </c>
      <c r="J274" s="134">
        <f t="shared" si="24"/>
        <v>-7</v>
      </c>
      <c r="K274" s="134">
        <f t="shared" si="21"/>
        <v>-70</v>
      </c>
      <c r="L274" s="134"/>
      <c r="M274" s="136">
        <f t="shared" si="22"/>
        <v>0</v>
      </c>
    </row>
    <row r="275" spans="1:13">
      <c r="A275" s="150"/>
      <c r="G275" s="120"/>
      <c r="H275" s="134">
        <v>270</v>
      </c>
      <c r="I275" s="135" t="str">
        <f t="shared" si="23"/>
        <v/>
      </c>
      <c r="J275" s="134">
        <f t="shared" si="24"/>
        <v>-7</v>
      </c>
      <c r="K275" s="134">
        <f t="shared" si="21"/>
        <v>-70</v>
      </c>
      <c r="L275" s="134"/>
      <c r="M275" s="136">
        <f t="shared" si="22"/>
        <v>0</v>
      </c>
    </row>
    <row r="276" spans="1:13">
      <c r="A276" s="150"/>
      <c r="G276" s="120"/>
      <c r="H276" s="134">
        <v>271</v>
      </c>
      <c r="I276" s="135" t="str">
        <f t="shared" si="23"/>
        <v/>
      </c>
      <c r="J276" s="134">
        <f t="shared" si="24"/>
        <v>-7</v>
      </c>
      <c r="K276" s="134">
        <f t="shared" si="21"/>
        <v>-70</v>
      </c>
      <c r="L276" s="134"/>
      <c r="M276" s="136">
        <f t="shared" si="22"/>
        <v>0</v>
      </c>
    </row>
    <row r="277" spans="1:13">
      <c r="A277" s="150"/>
      <c r="G277" s="120"/>
      <c r="H277" s="134">
        <v>272</v>
      </c>
      <c r="I277" s="135" t="str">
        <f t="shared" si="23"/>
        <v/>
      </c>
      <c r="J277" s="134">
        <f t="shared" si="24"/>
        <v>-7</v>
      </c>
      <c r="K277" s="134">
        <f t="shared" si="21"/>
        <v>-70</v>
      </c>
      <c r="L277" s="134"/>
      <c r="M277" s="136">
        <f t="shared" si="22"/>
        <v>0</v>
      </c>
    </row>
    <row r="278" spans="1:13">
      <c r="A278" s="150"/>
      <c r="G278" s="120"/>
      <c r="H278" s="134">
        <v>273</v>
      </c>
      <c r="I278" s="135" t="str">
        <f t="shared" si="23"/>
        <v/>
      </c>
      <c r="J278" s="134">
        <f t="shared" si="24"/>
        <v>-7</v>
      </c>
      <c r="K278" s="134">
        <f t="shared" si="21"/>
        <v>-70</v>
      </c>
      <c r="L278" s="134"/>
      <c r="M278" s="136">
        <f t="shared" si="22"/>
        <v>0</v>
      </c>
    </row>
    <row r="279" spans="1:13">
      <c r="A279" s="150"/>
      <c r="G279" s="120"/>
      <c r="H279" s="134">
        <v>274</v>
      </c>
      <c r="I279" s="135" t="str">
        <f t="shared" si="23"/>
        <v/>
      </c>
      <c r="J279" s="134">
        <f t="shared" si="24"/>
        <v>-7</v>
      </c>
      <c r="K279" s="134">
        <f t="shared" si="21"/>
        <v>-70</v>
      </c>
      <c r="L279" s="134"/>
      <c r="M279" s="136">
        <f t="shared" si="22"/>
        <v>0</v>
      </c>
    </row>
    <row r="280" spans="1:13">
      <c r="A280" s="150"/>
      <c r="G280" s="120"/>
      <c r="H280" s="134">
        <v>275</v>
      </c>
      <c r="I280" s="135" t="str">
        <f t="shared" si="23"/>
        <v/>
      </c>
      <c r="J280" s="134">
        <f t="shared" si="24"/>
        <v>-7</v>
      </c>
      <c r="K280" s="134">
        <f t="shared" si="21"/>
        <v>-70</v>
      </c>
      <c r="L280" s="134"/>
      <c r="M280" s="136">
        <f t="shared" si="22"/>
        <v>0</v>
      </c>
    </row>
    <row r="281" spans="1:13">
      <c r="A281" s="150"/>
      <c r="G281" s="120"/>
      <c r="H281" s="134">
        <v>276</v>
      </c>
      <c r="I281" s="135" t="str">
        <f t="shared" si="23"/>
        <v/>
      </c>
      <c r="J281" s="134">
        <f t="shared" si="24"/>
        <v>-7</v>
      </c>
      <c r="K281" s="134">
        <f t="shared" si="21"/>
        <v>-70</v>
      </c>
      <c r="L281" s="134"/>
      <c r="M281" s="136">
        <f t="shared" si="22"/>
        <v>0</v>
      </c>
    </row>
    <row r="282" spans="1:13">
      <c r="A282" s="150"/>
      <c r="G282" s="120"/>
      <c r="H282" s="134">
        <v>277</v>
      </c>
      <c r="I282" s="135" t="str">
        <f t="shared" si="23"/>
        <v/>
      </c>
      <c r="J282" s="134">
        <f t="shared" si="24"/>
        <v>-7</v>
      </c>
      <c r="K282" s="134">
        <f t="shared" si="21"/>
        <v>-70</v>
      </c>
      <c r="L282" s="134"/>
      <c r="M282" s="136">
        <f t="shared" si="22"/>
        <v>0</v>
      </c>
    </row>
    <row r="283" spans="1:13">
      <c r="A283" s="150"/>
      <c r="G283" s="120"/>
      <c r="H283" s="134">
        <v>278</v>
      </c>
      <c r="I283" s="135" t="str">
        <f t="shared" si="23"/>
        <v/>
      </c>
      <c r="J283" s="134">
        <f t="shared" si="24"/>
        <v>-7</v>
      </c>
      <c r="K283" s="134">
        <f t="shared" si="21"/>
        <v>-70</v>
      </c>
      <c r="L283" s="134"/>
      <c r="M283" s="136">
        <f t="shared" si="22"/>
        <v>0</v>
      </c>
    </row>
    <row r="284" spans="1:13">
      <c r="A284" s="150"/>
      <c r="G284" s="120"/>
      <c r="H284" s="134">
        <v>279</v>
      </c>
      <c r="I284" s="135" t="str">
        <f t="shared" si="23"/>
        <v/>
      </c>
      <c r="J284" s="134">
        <f t="shared" si="24"/>
        <v>-7</v>
      </c>
      <c r="K284" s="134">
        <f t="shared" si="21"/>
        <v>-70</v>
      </c>
      <c r="L284" s="134"/>
      <c r="M284" s="136">
        <f t="shared" si="22"/>
        <v>0</v>
      </c>
    </row>
    <row r="285" spans="1:13">
      <c r="A285" s="150"/>
      <c r="G285" s="120"/>
      <c r="H285" s="134">
        <v>280</v>
      </c>
      <c r="I285" s="135" t="str">
        <f t="shared" si="23"/>
        <v/>
      </c>
      <c r="J285" s="134">
        <f t="shared" si="24"/>
        <v>-7</v>
      </c>
      <c r="K285" s="134">
        <f t="shared" si="21"/>
        <v>-70</v>
      </c>
      <c r="L285" s="134"/>
      <c r="M285" s="136">
        <f t="shared" si="22"/>
        <v>0</v>
      </c>
    </row>
    <row r="286" spans="1:13">
      <c r="A286" s="150"/>
      <c r="G286" s="120"/>
      <c r="H286" s="134">
        <v>281</v>
      </c>
      <c r="I286" s="135" t="str">
        <f t="shared" si="23"/>
        <v/>
      </c>
      <c r="J286" s="134">
        <f t="shared" si="24"/>
        <v>-7</v>
      </c>
      <c r="K286" s="134">
        <f t="shared" si="21"/>
        <v>-70</v>
      </c>
      <c r="L286" s="134"/>
      <c r="M286" s="136">
        <f t="shared" si="22"/>
        <v>0</v>
      </c>
    </row>
    <row r="287" spans="1:13">
      <c r="A287" s="150"/>
      <c r="G287" s="120"/>
      <c r="H287" s="134">
        <v>282</v>
      </c>
      <c r="I287" s="135" t="str">
        <f t="shared" si="23"/>
        <v/>
      </c>
      <c r="J287" s="134">
        <f t="shared" si="24"/>
        <v>-7</v>
      </c>
      <c r="K287" s="134">
        <f t="shared" si="21"/>
        <v>-70</v>
      </c>
      <c r="L287" s="134"/>
      <c r="M287" s="136">
        <f t="shared" si="22"/>
        <v>0</v>
      </c>
    </row>
    <row r="288" spans="1:13">
      <c r="A288" s="150"/>
      <c r="G288" s="120"/>
      <c r="H288" s="134">
        <v>283</v>
      </c>
      <c r="I288" s="135" t="str">
        <f t="shared" si="23"/>
        <v/>
      </c>
      <c r="J288" s="134">
        <f t="shared" si="24"/>
        <v>-7</v>
      </c>
      <c r="K288" s="134">
        <f t="shared" si="21"/>
        <v>-70</v>
      </c>
      <c r="L288" s="134"/>
      <c r="M288" s="136">
        <f t="shared" si="22"/>
        <v>0</v>
      </c>
    </row>
    <row r="289" spans="1:13">
      <c r="A289" s="150"/>
      <c r="G289" s="120"/>
      <c r="H289" s="134">
        <v>284</v>
      </c>
      <c r="I289" s="135" t="str">
        <f t="shared" si="23"/>
        <v/>
      </c>
      <c r="J289" s="134">
        <f t="shared" si="24"/>
        <v>-7</v>
      </c>
      <c r="K289" s="134">
        <f t="shared" si="21"/>
        <v>-70</v>
      </c>
      <c r="L289" s="134"/>
      <c r="M289" s="136">
        <f t="shared" si="22"/>
        <v>0</v>
      </c>
    </row>
    <row r="290" spans="1:13">
      <c r="A290" s="150"/>
      <c r="G290" s="120"/>
      <c r="H290" s="134">
        <v>285</v>
      </c>
      <c r="I290" s="135" t="str">
        <f t="shared" si="23"/>
        <v/>
      </c>
      <c r="J290" s="134">
        <f t="shared" si="24"/>
        <v>-7</v>
      </c>
      <c r="K290" s="134">
        <f t="shared" si="21"/>
        <v>-70</v>
      </c>
      <c r="L290" s="134"/>
      <c r="M290" s="136">
        <f t="shared" si="22"/>
        <v>0</v>
      </c>
    </row>
    <row r="291" spans="1:13">
      <c r="A291" s="150"/>
      <c r="G291" s="120"/>
      <c r="H291" s="134">
        <v>286</v>
      </c>
      <c r="I291" s="135" t="str">
        <f t="shared" si="23"/>
        <v/>
      </c>
      <c r="J291" s="134">
        <f t="shared" si="24"/>
        <v>-7</v>
      </c>
      <c r="K291" s="134">
        <f t="shared" si="21"/>
        <v>-70</v>
      </c>
      <c r="L291" s="134"/>
      <c r="M291" s="136">
        <f t="shared" si="22"/>
        <v>0</v>
      </c>
    </row>
    <row r="292" spans="1:13">
      <c r="A292" s="150"/>
      <c r="G292" s="120"/>
      <c r="H292" s="134">
        <v>287</v>
      </c>
      <c r="I292" s="135" t="str">
        <f t="shared" si="23"/>
        <v/>
      </c>
      <c r="J292" s="134">
        <f t="shared" si="24"/>
        <v>-7</v>
      </c>
      <c r="K292" s="134">
        <f t="shared" si="21"/>
        <v>-70</v>
      </c>
      <c r="L292" s="134"/>
      <c r="M292" s="136">
        <f t="shared" si="22"/>
        <v>0</v>
      </c>
    </row>
    <row r="293" spans="1:13">
      <c r="A293" s="150"/>
      <c r="G293" s="120"/>
      <c r="H293" s="134">
        <v>288</v>
      </c>
      <c r="I293" s="135" t="str">
        <f t="shared" si="23"/>
        <v/>
      </c>
      <c r="J293" s="134">
        <f t="shared" si="24"/>
        <v>-7</v>
      </c>
      <c r="K293" s="134">
        <f t="shared" si="21"/>
        <v>-70</v>
      </c>
      <c r="L293" s="134"/>
      <c r="M293" s="136">
        <f t="shared" si="22"/>
        <v>0</v>
      </c>
    </row>
    <row r="294" spans="1:13">
      <c r="A294" s="150"/>
      <c r="G294" s="120"/>
      <c r="H294" s="134">
        <v>289</v>
      </c>
      <c r="I294" s="135" t="str">
        <f t="shared" si="23"/>
        <v/>
      </c>
      <c r="J294" s="134">
        <f t="shared" si="24"/>
        <v>-7</v>
      </c>
      <c r="K294" s="134">
        <f t="shared" si="21"/>
        <v>-70</v>
      </c>
      <c r="L294" s="134"/>
      <c r="M294" s="136">
        <f t="shared" si="22"/>
        <v>0</v>
      </c>
    </row>
    <row r="295" spans="1:13">
      <c r="A295" s="150"/>
      <c r="G295" s="120"/>
      <c r="H295" s="134">
        <v>290</v>
      </c>
      <c r="I295" s="135" t="str">
        <f t="shared" si="23"/>
        <v/>
      </c>
      <c r="J295" s="134">
        <f t="shared" si="24"/>
        <v>-7</v>
      </c>
      <c r="K295" s="134">
        <f t="shared" si="21"/>
        <v>-70</v>
      </c>
      <c r="L295" s="134"/>
      <c r="M295" s="136">
        <f t="shared" si="22"/>
        <v>0</v>
      </c>
    </row>
    <row r="296" spans="1:13">
      <c r="A296" s="150"/>
      <c r="G296" s="120"/>
      <c r="H296" s="134">
        <v>291</v>
      </c>
      <c r="I296" s="135" t="str">
        <f t="shared" si="23"/>
        <v/>
      </c>
      <c r="J296" s="134">
        <f t="shared" si="24"/>
        <v>-7</v>
      </c>
      <c r="K296" s="134">
        <f t="shared" si="21"/>
        <v>-70</v>
      </c>
      <c r="L296" s="134"/>
      <c r="M296" s="136">
        <f t="shared" si="22"/>
        <v>0</v>
      </c>
    </row>
    <row r="297" spans="1:13">
      <c r="A297" s="150"/>
      <c r="G297" s="120"/>
      <c r="H297" s="134">
        <v>292</v>
      </c>
      <c r="I297" s="135" t="str">
        <f t="shared" si="23"/>
        <v/>
      </c>
      <c r="J297" s="134">
        <f t="shared" si="24"/>
        <v>-7</v>
      </c>
      <c r="K297" s="134">
        <f t="shared" si="21"/>
        <v>-70</v>
      </c>
      <c r="L297" s="134"/>
      <c r="M297" s="136">
        <f t="shared" si="22"/>
        <v>0</v>
      </c>
    </row>
    <row r="298" spans="1:13">
      <c r="A298" s="150"/>
      <c r="G298" s="120"/>
      <c r="H298" s="134">
        <v>293</v>
      </c>
      <c r="I298" s="135" t="str">
        <f t="shared" si="23"/>
        <v/>
      </c>
      <c r="J298" s="134">
        <f t="shared" si="24"/>
        <v>-7</v>
      </c>
      <c r="K298" s="134">
        <f t="shared" si="21"/>
        <v>-70</v>
      </c>
      <c r="L298" s="134"/>
      <c r="M298" s="136">
        <f t="shared" si="22"/>
        <v>0</v>
      </c>
    </row>
    <row r="299" spans="1:13">
      <c r="A299" s="150"/>
      <c r="G299" s="120"/>
      <c r="H299" s="134">
        <v>294</v>
      </c>
      <c r="I299" s="135" t="str">
        <f t="shared" si="23"/>
        <v/>
      </c>
      <c r="J299" s="134">
        <f t="shared" si="24"/>
        <v>-7</v>
      </c>
      <c r="K299" s="134">
        <f t="shared" si="21"/>
        <v>-70</v>
      </c>
      <c r="L299" s="134"/>
      <c r="M299" s="136">
        <f t="shared" si="22"/>
        <v>0</v>
      </c>
    </row>
    <row r="300" spans="1:13">
      <c r="A300" s="150"/>
      <c r="G300" s="120"/>
      <c r="H300" s="134">
        <v>295</v>
      </c>
      <c r="I300" s="135" t="str">
        <f t="shared" si="23"/>
        <v/>
      </c>
      <c r="J300" s="134">
        <f t="shared" si="24"/>
        <v>-7</v>
      </c>
      <c r="K300" s="134">
        <f t="shared" si="21"/>
        <v>-70</v>
      </c>
      <c r="L300" s="134"/>
      <c r="M300" s="136">
        <f t="shared" si="22"/>
        <v>0</v>
      </c>
    </row>
    <row r="301" spans="1:13">
      <c r="A301" s="150"/>
      <c r="G301" s="120"/>
      <c r="H301" s="134">
        <v>296</v>
      </c>
      <c r="I301" s="135" t="str">
        <f t="shared" si="23"/>
        <v/>
      </c>
      <c r="J301" s="134">
        <f t="shared" si="24"/>
        <v>-7</v>
      </c>
      <c r="K301" s="134">
        <f t="shared" si="21"/>
        <v>-70</v>
      </c>
      <c r="L301" s="134"/>
      <c r="M301" s="136">
        <f t="shared" si="22"/>
        <v>0</v>
      </c>
    </row>
    <row r="302" spans="1:13">
      <c r="A302" s="150"/>
      <c r="G302" s="120"/>
      <c r="H302" s="134">
        <v>297</v>
      </c>
      <c r="I302" s="135" t="str">
        <f t="shared" si="23"/>
        <v/>
      </c>
      <c r="J302" s="134">
        <f t="shared" si="24"/>
        <v>-7</v>
      </c>
      <c r="K302" s="134">
        <f t="shared" si="21"/>
        <v>-70</v>
      </c>
      <c r="L302" s="134"/>
      <c r="M302" s="136">
        <f t="shared" si="22"/>
        <v>0</v>
      </c>
    </row>
    <row r="303" spans="1:13">
      <c r="A303" s="150"/>
      <c r="G303" s="120"/>
      <c r="H303" s="134">
        <v>298</v>
      </c>
      <c r="I303" s="135" t="str">
        <f t="shared" si="23"/>
        <v/>
      </c>
      <c r="J303" s="134">
        <f t="shared" si="24"/>
        <v>-7</v>
      </c>
      <c r="K303" s="134">
        <f t="shared" si="21"/>
        <v>-70</v>
      </c>
      <c r="L303" s="134"/>
      <c r="M303" s="136">
        <f t="shared" si="22"/>
        <v>0</v>
      </c>
    </row>
    <row r="304" spans="1:13">
      <c r="A304" s="150"/>
      <c r="G304" s="120"/>
      <c r="H304" s="134">
        <v>299</v>
      </c>
      <c r="I304" s="135" t="str">
        <f t="shared" si="23"/>
        <v/>
      </c>
      <c r="J304" s="134">
        <f t="shared" si="24"/>
        <v>-7</v>
      </c>
      <c r="K304" s="134">
        <f t="shared" si="21"/>
        <v>-70</v>
      </c>
      <c r="L304" s="134"/>
      <c r="M304" s="136">
        <f t="shared" si="22"/>
        <v>0</v>
      </c>
    </row>
    <row r="305" spans="1:16">
      <c r="A305" s="150"/>
      <c r="G305" s="120"/>
      <c r="H305" s="134">
        <v>300</v>
      </c>
      <c r="I305" s="135" t="str">
        <f t="shared" si="23"/>
        <v/>
      </c>
      <c r="J305" s="134">
        <f t="shared" si="24"/>
        <v>-7</v>
      </c>
      <c r="K305" s="134">
        <f t="shared" si="21"/>
        <v>-70</v>
      </c>
      <c r="L305" s="134"/>
      <c r="M305" s="136">
        <f t="shared" si="22"/>
        <v>0</v>
      </c>
    </row>
    <row r="306" spans="1:16">
      <c r="A306" s="152"/>
    </row>
    <row r="314" spans="1:16">
      <c r="L314" s="155"/>
      <c r="P314" s="145"/>
    </row>
    <row r="315" spans="1:16">
      <c r="L315" s="155"/>
      <c r="P315" s="145"/>
    </row>
    <row r="316" spans="1:16">
      <c r="L316" s="155"/>
      <c r="P316" s="145"/>
    </row>
    <row r="317" spans="1:16">
      <c r="L317" s="155"/>
      <c r="P317" s="145"/>
    </row>
  </sheetData>
  <mergeCells count="2">
    <mergeCell ref="C2:D2"/>
    <mergeCell ref="C3:D3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ED54F448-1832-488D-A0AC-F9F41B6826C0}">
      <formula1>#REF!</formula1>
    </dataValidation>
  </dataValidations>
  <hyperlinks>
    <hyperlink ref="C2:D2" r:id="rId1" display="SZCZECIN" xr:uid="{2030A0D7-22D8-444E-A662-974A0DCA4BD8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90F6C-6C30-41C6-AEBE-89E669B556C0}">
  <sheetPr>
    <tabColor theme="7" tint="0.79998168889431442"/>
  </sheetPr>
  <dimension ref="A1:AM373"/>
  <sheetViews>
    <sheetView workbookViewId="0">
      <selection activeCell="C21" sqref="C21"/>
    </sheetView>
  </sheetViews>
  <sheetFormatPr defaultColWidth="8.85546875" defaultRowHeight="15"/>
  <cols>
    <col min="1" max="1" width="8" style="3" customWidth="1"/>
    <col min="2" max="2" width="8.28515625" style="3" customWidth="1"/>
    <col min="3" max="3" width="34.7109375" style="3" customWidth="1"/>
    <col min="4" max="4" width="11.28515625" style="3" customWidth="1"/>
    <col min="5" max="6" width="8.85546875" style="3"/>
    <col min="7" max="7" width="0.85546875" style="3" customWidth="1"/>
    <col min="8" max="8" width="8.85546875" style="20"/>
    <col min="9" max="9" width="11" style="20" customWidth="1"/>
    <col min="10" max="10" width="15.28515625" style="20" customWidth="1"/>
    <col min="11" max="11" width="8.7109375" style="20" customWidth="1"/>
    <col min="12" max="12" width="11" style="20" customWidth="1"/>
    <col min="13" max="13" width="11.7109375" style="20" customWidth="1"/>
    <col min="14" max="14" width="11.7109375" style="15" customWidth="1"/>
    <col min="15" max="16" width="13.85546875" style="5" customWidth="1"/>
    <col min="17" max="19" width="8.85546875" style="5"/>
    <col min="20" max="21" width="8.85546875" style="26"/>
    <col min="22" max="22" width="12.140625" style="26" customWidth="1"/>
    <col min="23" max="23" width="27.42578125" style="26" customWidth="1"/>
    <col min="24" max="39" width="8.85546875" style="26"/>
    <col min="40" max="16384" width="8.85546875" style="3"/>
  </cols>
  <sheetData>
    <row r="1" spans="1:35">
      <c r="A1" s="5"/>
      <c r="B1" s="5"/>
      <c r="C1" s="5"/>
      <c r="D1" s="5"/>
      <c r="E1" s="5"/>
      <c r="F1" s="5"/>
      <c r="G1" s="5"/>
      <c r="H1" s="22" t="s">
        <v>40</v>
      </c>
      <c r="I1" s="12" t="s">
        <v>41</v>
      </c>
      <c r="J1" s="12" t="s">
        <v>42</v>
      </c>
      <c r="K1" s="23" t="s">
        <v>117</v>
      </c>
      <c r="L1" s="62" t="s">
        <v>118</v>
      </c>
      <c r="M1" s="321"/>
      <c r="N1" s="13"/>
    </row>
    <row r="2" spans="1:35">
      <c r="A2" s="5"/>
      <c r="B2" s="47" t="s">
        <v>44</v>
      </c>
      <c r="C2" s="342" t="s">
        <v>119</v>
      </c>
      <c r="D2" s="342"/>
      <c r="E2" s="6"/>
      <c r="F2" s="6"/>
      <c r="G2" s="6"/>
      <c r="H2" s="14">
        <v>6</v>
      </c>
      <c r="I2" s="59">
        <v>50</v>
      </c>
      <c r="J2" s="59">
        <v>10</v>
      </c>
      <c r="K2" s="60">
        <f>3*H2^(1/3)</f>
        <v>5.4513617784964188</v>
      </c>
      <c r="L2" s="61">
        <f>1.2</f>
        <v>1.2</v>
      </c>
      <c r="M2" s="13"/>
      <c r="N2" s="13"/>
    </row>
    <row r="3" spans="1:35" ht="14.25" customHeight="1">
      <c r="A3" s="5"/>
      <c r="B3" s="48" t="s">
        <v>46</v>
      </c>
      <c r="C3" s="343" t="s">
        <v>120</v>
      </c>
      <c r="D3" s="343"/>
      <c r="E3" s="7"/>
      <c r="F3" s="7"/>
      <c r="G3" s="7"/>
      <c r="H3" s="13"/>
      <c r="I3" s="13"/>
      <c r="J3" s="16"/>
      <c r="K3" s="13"/>
      <c r="L3" s="13"/>
      <c r="M3" s="13"/>
      <c r="N3" s="13"/>
    </row>
    <row r="4" spans="1:35" ht="10.35" customHeight="1">
      <c r="A4" s="8"/>
      <c r="B4" s="7"/>
      <c r="C4" s="8"/>
      <c r="D4" s="8"/>
      <c r="E4" s="8"/>
      <c r="F4" s="8"/>
      <c r="G4" s="8"/>
      <c r="H4" s="13"/>
      <c r="I4" s="13"/>
      <c r="J4" s="16"/>
      <c r="K4" s="13"/>
      <c r="L4" s="13"/>
      <c r="M4" s="13"/>
      <c r="N4" s="13"/>
    </row>
    <row r="5" spans="1:35" ht="48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9" t="s">
        <v>54</v>
      </c>
      <c r="I5" s="10" t="s">
        <v>55</v>
      </c>
      <c r="J5" s="11" t="s">
        <v>56</v>
      </c>
      <c r="K5" s="10" t="s">
        <v>57</v>
      </c>
      <c r="L5" s="10" t="s">
        <v>58</v>
      </c>
      <c r="M5" s="9" t="s">
        <v>59</v>
      </c>
      <c r="N5" s="9" t="s">
        <v>121</v>
      </c>
    </row>
    <row r="6" spans="1:35" ht="14.45" customHeight="1">
      <c r="A6" s="39">
        <f t="shared" ref="A6:A21" si="0">N6</f>
        <v>115.62490240258711</v>
      </c>
      <c r="B6" s="36">
        <v>1</v>
      </c>
      <c r="C6" s="24" t="s">
        <v>16</v>
      </c>
      <c r="D6" s="24" t="s">
        <v>122</v>
      </c>
      <c r="E6" s="24" t="s">
        <v>98</v>
      </c>
      <c r="F6" s="24" t="s">
        <v>123</v>
      </c>
      <c r="G6" s="8"/>
      <c r="H6" s="17">
        <v>1</v>
      </c>
      <c r="I6" s="18">
        <f>IF(H2=1,50,IF(H6&lt;$H$2+1,($I$2-($I$2-1)*(LOG(H6)/LOG($H$2))),""))</f>
        <v>50</v>
      </c>
      <c r="J6" s="17">
        <f>INT(LOG($H$2,2))-ROUNDUP(LOG(H6,2),0)+IF(OR($H$2=1,$H$2=2,$H$2=4,$H$2=8,$H$2=16,$H$2=32,$H$2=64,$H$2=128,$H$2=256),0,1)</f>
        <v>3</v>
      </c>
      <c r="K6" s="17">
        <f t="shared" ref="K6" si="1">J6*$J$2</f>
        <v>30</v>
      </c>
      <c r="L6" s="19">
        <f>3*K2</f>
        <v>16.354085335489255</v>
      </c>
      <c r="M6" s="19">
        <f t="shared" ref="M6:M69" si="2">IF(I6&lt;&gt;"",K6+I6+L6,0)</f>
        <v>96.354085335489259</v>
      </c>
      <c r="N6" s="19">
        <f t="shared" ref="N6:N69" si="3">IF(I6&lt;&gt;"",M6*L$2,0)</f>
        <v>115.62490240258711</v>
      </c>
    </row>
    <row r="7" spans="1:35" ht="14.45" customHeight="1">
      <c r="A7" s="40">
        <f t="shared" si="0"/>
        <v>74.336323203000362</v>
      </c>
      <c r="B7" s="35">
        <v>2</v>
      </c>
      <c r="C7" s="25" t="s">
        <v>19</v>
      </c>
      <c r="D7" s="25" t="s">
        <v>124</v>
      </c>
      <c r="E7" s="25" t="s">
        <v>98</v>
      </c>
      <c r="F7" s="25" t="s">
        <v>123</v>
      </c>
      <c r="G7" s="8"/>
      <c r="H7" s="44">
        <v>2</v>
      </c>
      <c r="I7" s="45">
        <f t="shared" ref="I7:I69" si="4">IF(H7&lt;$H$2+1,($I$2-($I$2-1)*(LOG(H7)/LOG($H$2))),"")</f>
        <v>31.044212445507462</v>
      </c>
      <c r="J7" s="44">
        <f t="shared" ref="J7:J70" si="5">INT(LOG($H$2,2))-ROUNDUP(LOG(H7,2),0)+IF(OR($H$2=1,$H$2=2,$H$2=4,$H$2=8,$H$2=16,$H$2=32,$H$2=64,$H$2=128,$H$2=256),0,1)</f>
        <v>2</v>
      </c>
      <c r="K7" s="44">
        <f t="shared" ref="K7:K69" si="6">J7*$J$2</f>
        <v>20</v>
      </c>
      <c r="L7" s="46">
        <f>2*K2</f>
        <v>10.902723556992838</v>
      </c>
      <c r="M7" s="46">
        <f t="shared" si="2"/>
        <v>61.946936002500301</v>
      </c>
      <c r="N7" s="46">
        <f t="shared" si="3"/>
        <v>74.336323203000362</v>
      </c>
    </row>
    <row r="8" spans="1:35" ht="14.45" customHeight="1">
      <c r="A8" s="39">
        <f t="shared" si="0"/>
        <v>42.488579199586745</v>
      </c>
      <c r="B8" s="36">
        <v>3</v>
      </c>
      <c r="C8" s="24" t="s">
        <v>26</v>
      </c>
      <c r="D8" s="24" t="s">
        <v>125</v>
      </c>
      <c r="E8" s="24" t="s">
        <v>98</v>
      </c>
      <c r="F8" s="24" t="s">
        <v>123</v>
      </c>
      <c r="G8" s="8"/>
      <c r="H8" s="17">
        <v>3</v>
      </c>
      <c r="I8" s="18">
        <f t="shared" si="4"/>
        <v>19.955787554492538</v>
      </c>
      <c r="J8" s="17">
        <f t="shared" si="5"/>
        <v>1</v>
      </c>
      <c r="K8" s="17">
        <f t="shared" si="6"/>
        <v>10</v>
      </c>
      <c r="L8" s="19">
        <f>K2</f>
        <v>5.4513617784964188</v>
      </c>
      <c r="M8" s="19">
        <f t="shared" si="2"/>
        <v>35.407149332988958</v>
      </c>
      <c r="N8" s="19">
        <f t="shared" si="3"/>
        <v>42.488579199586745</v>
      </c>
    </row>
    <row r="9" spans="1:35" ht="14.45" customHeight="1">
      <c r="A9" s="40">
        <f t="shared" si="0"/>
        <v>26.506109869217909</v>
      </c>
      <c r="B9" s="35">
        <v>4</v>
      </c>
      <c r="C9" s="25" t="s">
        <v>22</v>
      </c>
      <c r="D9" s="25" t="s">
        <v>126</v>
      </c>
      <c r="E9" s="25" t="s">
        <v>98</v>
      </c>
      <c r="F9" s="25" t="s">
        <v>123</v>
      </c>
      <c r="G9" s="8"/>
      <c r="H9" s="44">
        <v>4</v>
      </c>
      <c r="I9" s="45">
        <f t="shared" si="4"/>
        <v>12.088424891014924</v>
      </c>
      <c r="J9" s="44">
        <f t="shared" si="5"/>
        <v>1</v>
      </c>
      <c r="K9" s="44">
        <f t="shared" si="6"/>
        <v>10</v>
      </c>
      <c r="L9" s="46"/>
      <c r="M9" s="46">
        <f t="shared" si="2"/>
        <v>22.088424891014924</v>
      </c>
      <c r="N9" s="46">
        <f t="shared" si="3"/>
        <v>26.506109869217909</v>
      </c>
      <c r="W9" s="27"/>
      <c r="AA9" s="28"/>
      <c r="AB9" s="28"/>
      <c r="AH9" s="29"/>
    </row>
    <row r="10" spans="1:35" ht="14.45" customHeight="1">
      <c r="A10" s="249">
        <f t="shared" si="0"/>
        <v>7.1832291798090724</v>
      </c>
      <c r="B10" s="247">
        <v>5</v>
      </c>
      <c r="C10" s="248" t="s">
        <v>127</v>
      </c>
      <c r="D10" s="24" t="s">
        <v>128</v>
      </c>
      <c r="E10" s="24" t="s">
        <v>98</v>
      </c>
      <c r="F10" s="24" t="s">
        <v>123</v>
      </c>
      <c r="G10" s="8"/>
      <c r="H10" s="17">
        <v>5</v>
      </c>
      <c r="I10" s="18">
        <f t="shared" si="4"/>
        <v>5.9860243165075602</v>
      </c>
      <c r="J10" s="17">
        <f t="shared" si="5"/>
        <v>0</v>
      </c>
      <c r="K10" s="17">
        <f t="shared" si="6"/>
        <v>0</v>
      </c>
      <c r="L10" s="17"/>
      <c r="M10" s="19">
        <f t="shared" si="2"/>
        <v>5.9860243165075602</v>
      </c>
      <c r="N10" s="19">
        <f t="shared" si="3"/>
        <v>7.1832291798090724</v>
      </c>
      <c r="W10" s="27"/>
      <c r="AA10" s="28"/>
      <c r="AB10" s="28"/>
      <c r="AH10" s="29"/>
    </row>
    <row r="11" spans="1:35" ht="14.45" customHeight="1">
      <c r="A11" s="40">
        <f t="shared" si="0"/>
        <v>1.2</v>
      </c>
      <c r="B11" s="35">
        <v>6</v>
      </c>
      <c r="C11" s="25" t="s">
        <v>28</v>
      </c>
      <c r="D11" s="25" t="s">
        <v>129</v>
      </c>
      <c r="E11" s="25" t="s">
        <v>98</v>
      </c>
      <c r="F11" s="25" t="s">
        <v>123</v>
      </c>
      <c r="G11" s="8"/>
      <c r="H11" s="44">
        <v>6</v>
      </c>
      <c r="I11" s="45">
        <f t="shared" si="4"/>
        <v>1</v>
      </c>
      <c r="J11" s="44">
        <f t="shared" si="5"/>
        <v>0</v>
      </c>
      <c r="K11" s="44">
        <f t="shared" si="6"/>
        <v>0</v>
      </c>
      <c r="L11" s="44"/>
      <c r="M11" s="46">
        <f t="shared" si="2"/>
        <v>1</v>
      </c>
      <c r="N11" s="46">
        <f t="shared" si="3"/>
        <v>1.2</v>
      </c>
      <c r="W11" s="30"/>
      <c r="AA11" s="28"/>
      <c r="AB11" s="28"/>
      <c r="AH11" s="29"/>
    </row>
    <row r="12" spans="1:35" ht="14.45" customHeight="1">
      <c r="A12" s="39">
        <f t="shared" si="0"/>
        <v>0</v>
      </c>
      <c r="B12" s="36" t="str">
        <f t="shared" ref="B12:B21" si="7">IF(H12&gt;$H$2,"",(ROW()-5))</f>
        <v/>
      </c>
      <c r="C12" s="24"/>
      <c r="D12" s="24"/>
      <c r="E12" s="24"/>
      <c r="F12" s="24"/>
      <c r="G12" s="8"/>
      <c r="H12" s="17">
        <v>7</v>
      </c>
      <c r="I12" s="18" t="str">
        <f t="shared" si="4"/>
        <v/>
      </c>
      <c r="J12" s="17">
        <f t="shared" si="5"/>
        <v>0</v>
      </c>
      <c r="K12" s="17">
        <f t="shared" si="6"/>
        <v>0</v>
      </c>
      <c r="L12" s="17"/>
      <c r="M12" s="19">
        <f t="shared" si="2"/>
        <v>0</v>
      </c>
      <c r="N12" s="19">
        <f t="shared" si="3"/>
        <v>0</v>
      </c>
      <c r="AA12" s="28"/>
      <c r="AB12" s="28"/>
      <c r="AH12" s="29"/>
    </row>
    <row r="13" spans="1:35" ht="14.45" customHeight="1">
      <c r="A13" s="240">
        <v>95.015644864607268</v>
      </c>
      <c r="B13" s="241" t="s">
        <v>116</v>
      </c>
      <c r="C13" s="242" t="s">
        <v>21</v>
      </c>
      <c r="D13" s="25"/>
      <c r="E13" s="25"/>
      <c r="F13" s="25"/>
      <c r="G13" s="8"/>
      <c r="H13" s="44">
        <v>8</v>
      </c>
      <c r="I13" s="45" t="str">
        <f t="shared" si="4"/>
        <v/>
      </c>
      <c r="J13" s="44">
        <f t="shared" si="5"/>
        <v>0</v>
      </c>
      <c r="K13" s="44">
        <f t="shared" si="6"/>
        <v>0</v>
      </c>
      <c r="L13" s="44"/>
      <c r="M13" s="46">
        <f t="shared" si="2"/>
        <v>0</v>
      </c>
      <c r="N13" s="46">
        <f t="shared" si="3"/>
        <v>0</v>
      </c>
      <c r="Y13" s="27"/>
      <c r="AH13" s="29"/>
    </row>
    <row r="14" spans="1:35">
      <c r="A14" s="240">
        <v>32.534160801491105</v>
      </c>
      <c r="B14" s="241" t="s">
        <v>106</v>
      </c>
      <c r="C14" s="242" t="s">
        <v>18</v>
      </c>
      <c r="D14" s="24"/>
      <c r="E14" s="24"/>
      <c r="F14" s="24"/>
      <c r="G14" s="8"/>
      <c r="H14" s="17">
        <v>9</v>
      </c>
      <c r="I14" s="18" t="str">
        <f t="shared" si="4"/>
        <v/>
      </c>
      <c r="J14" s="17">
        <f t="shared" si="5"/>
        <v>-1</v>
      </c>
      <c r="K14" s="17">
        <f t="shared" si="6"/>
        <v>-10</v>
      </c>
      <c r="L14" s="17"/>
      <c r="M14" s="19">
        <f t="shared" si="2"/>
        <v>0</v>
      </c>
      <c r="N14" s="19">
        <f t="shared" si="3"/>
        <v>0</v>
      </c>
      <c r="Y14" s="31"/>
      <c r="AA14" s="28"/>
      <c r="AB14" s="28"/>
      <c r="AH14" s="29"/>
    </row>
    <row r="15" spans="1:35">
      <c r="A15" s="41">
        <f t="shared" si="0"/>
        <v>0</v>
      </c>
      <c r="B15" s="35" t="str">
        <f t="shared" si="7"/>
        <v/>
      </c>
      <c r="C15" s="25"/>
      <c r="D15" s="25"/>
      <c r="E15" s="25"/>
      <c r="F15" s="25"/>
      <c r="G15" s="8"/>
      <c r="H15" s="44">
        <v>10</v>
      </c>
      <c r="I15" s="45" t="str">
        <f t="shared" si="4"/>
        <v/>
      </c>
      <c r="J15" s="44">
        <f t="shared" si="5"/>
        <v>-1</v>
      </c>
      <c r="K15" s="44">
        <f t="shared" si="6"/>
        <v>-10</v>
      </c>
      <c r="L15" s="44"/>
      <c r="M15" s="46">
        <f t="shared" si="2"/>
        <v>0</v>
      </c>
      <c r="N15" s="46">
        <f t="shared" si="3"/>
        <v>0</v>
      </c>
      <c r="Y15" s="27"/>
      <c r="AA15" s="28"/>
      <c r="AB15" s="28"/>
    </row>
    <row r="16" spans="1:35">
      <c r="A16" s="42">
        <f t="shared" si="0"/>
        <v>0</v>
      </c>
      <c r="B16" s="36" t="str">
        <f t="shared" si="7"/>
        <v/>
      </c>
      <c r="C16" s="24"/>
      <c r="D16" s="24"/>
      <c r="E16" s="24"/>
      <c r="F16" s="24"/>
      <c r="G16" s="8"/>
      <c r="H16" s="17">
        <v>11</v>
      </c>
      <c r="I16" s="18" t="str">
        <f t="shared" si="4"/>
        <v/>
      </c>
      <c r="J16" s="17">
        <f t="shared" si="5"/>
        <v>-1</v>
      </c>
      <c r="K16" s="17">
        <f t="shared" si="6"/>
        <v>-10</v>
      </c>
      <c r="L16" s="17"/>
      <c r="M16" s="19">
        <f t="shared" si="2"/>
        <v>0</v>
      </c>
      <c r="N16" s="19">
        <f t="shared" si="3"/>
        <v>0</v>
      </c>
      <c r="S16" s="49"/>
      <c r="AA16" s="28"/>
      <c r="AB16" s="28"/>
      <c r="AI16" s="33"/>
    </row>
    <row r="17" spans="1:20" ht="14.25" customHeight="1">
      <c r="A17" s="41">
        <f t="shared" si="0"/>
        <v>0</v>
      </c>
      <c r="B17" s="35" t="str">
        <f t="shared" si="7"/>
        <v/>
      </c>
      <c r="C17" s="25"/>
      <c r="D17" s="25"/>
      <c r="E17" s="25"/>
      <c r="F17" s="25"/>
      <c r="G17" s="8"/>
      <c r="H17" s="44">
        <v>12</v>
      </c>
      <c r="I17" s="45" t="str">
        <f t="shared" si="4"/>
        <v/>
      </c>
      <c r="J17" s="44">
        <f t="shared" si="5"/>
        <v>-1</v>
      </c>
      <c r="K17" s="44">
        <f t="shared" si="6"/>
        <v>-10</v>
      </c>
      <c r="L17" s="44"/>
      <c r="M17" s="46">
        <f t="shared" si="2"/>
        <v>0</v>
      </c>
      <c r="N17" s="46">
        <f t="shared" si="3"/>
        <v>0</v>
      </c>
    </row>
    <row r="18" spans="1:20">
      <c r="A18" s="42">
        <f t="shared" si="0"/>
        <v>0</v>
      </c>
      <c r="B18" s="36" t="str">
        <f t="shared" si="7"/>
        <v/>
      </c>
      <c r="C18" s="24"/>
      <c r="D18" s="24"/>
      <c r="E18" s="24"/>
      <c r="F18" s="24"/>
      <c r="G18" s="8"/>
      <c r="H18" s="17">
        <v>13</v>
      </c>
      <c r="I18" s="18" t="str">
        <f t="shared" si="4"/>
        <v/>
      </c>
      <c r="J18" s="17">
        <f t="shared" si="5"/>
        <v>-1</v>
      </c>
      <c r="K18" s="17">
        <f t="shared" si="6"/>
        <v>-10</v>
      </c>
      <c r="L18" s="17"/>
      <c r="M18" s="19">
        <f t="shared" si="2"/>
        <v>0</v>
      </c>
      <c r="N18" s="19">
        <f t="shared" si="3"/>
        <v>0</v>
      </c>
    </row>
    <row r="19" spans="1:20">
      <c r="A19" s="41">
        <f t="shared" si="0"/>
        <v>0</v>
      </c>
      <c r="B19" s="35" t="str">
        <f t="shared" si="7"/>
        <v/>
      </c>
      <c r="C19" s="25"/>
      <c r="D19" s="25"/>
      <c r="E19" s="25"/>
      <c r="F19" s="25"/>
      <c r="G19" s="8"/>
      <c r="H19" s="44">
        <v>14</v>
      </c>
      <c r="I19" s="45" t="str">
        <f t="shared" si="4"/>
        <v/>
      </c>
      <c r="J19" s="44">
        <f t="shared" si="5"/>
        <v>-1</v>
      </c>
      <c r="K19" s="44">
        <f t="shared" si="6"/>
        <v>-10</v>
      </c>
      <c r="L19" s="44"/>
      <c r="M19" s="46">
        <f t="shared" si="2"/>
        <v>0</v>
      </c>
      <c r="N19" s="46">
        <f t="shared" si="3"/>
        <v>0</v>
      </c>
    </row>
    <row r="20" spans="1:20">
      <c r="A20" s="42">
        <f t="shared" si="0"/>
        <v>0</v>
      </c>
      <c r="B20" s="36" t="str">
        <f t="shared" si="7"/>
        <v/>
      </c>
      <c r="C20" s="24"/>
      <c r="D20" s="24"/>
      <c r="E20" s="24"/>
      <c r="F20" s="24"/>
      <c r="G20" s="8"/>
      <c r="H20" s="17">
        <v>17</v>
      </c>
      <c r="I20" s="18" t="str">
        <f t="shared" ref="I20" si="8">IF(H20&lt;$H$2+1,($I$2-($I$2-1)*(LOG(H20)/LOG($H$2))),"")</f>
        <v/>
      </c>
      <c r="J20" s="17">
        <f t="shared" ref="J20" si="9">INT(LOG($H$2,2))-ROUNDUP(LOG(H20,2),0)+IF(OR($H$2=1,$H$2=2,$H$2=4,$H$2=8,$H$2=16,$H$2=32,$H$2=64,$H$2=128,$H$2=256),0,1)</f>
        <v>-2</v>
      </c>
      <c r="K20" s="17">
        <f t="shared" ref="K20" si="10">J20*$J$2</f>
        <v>-20</v>
      </c>
      <c r="L20" s="17"/>
      <c r="M20" s="19">
        <f t="shared" ref="M20" si="11">IF(I20&lt;&gt;"",K20+I20+L20,0)</f>
        <v>0</v>
      </c>
      <c r="N20" s="19">
        <f t="shared" si="3"/>
        <v>0</v>
      </c>
    </row>
    <row r="21" spans="1:20">
      <c r="A21" s="41">
        <f t="shared" si="0"/>
        <v>0</v>
      </c>
      <c r="B21" s="35" t="str">
        <f t="shared" si="7"/>
        <v/>
      </c>
      <c r="C21" s="25"/>
      <c r="D21" s="25"/>
      <c r="E21" s="25"/>
      <c r="F21" s="25"/>
      <c r="G21" s="8"/>
      <c r="H21" s="44">
        <v>16</v>
      </c>
      <c r="I21" s="45" t="str">
        <f t="shared" si="4"/>
        <v/>
      </c>
      <c r="J21" s="44">
        <f t="shared" si="5"/>
        <v>-1</v>
      </c>
      <c r="K21" s="44">
        <f t="shared" si="6"/>
        <v>-10</v>
      </c>
      <c r="L21" s="44"/>
      <c r="M21" s="46">
        <f t="shared" si="2"/>
        <v>0</v>
      </c>
      <c r="N21" s="46">
        <f t="shared" si="3"/>
        <v>0</v>
      </c>
    </row>
    <row r="22" spans="1:20">
      <c r="A22" s="42">
        <f t="shared" ref="A22:A70" si="12">N22</f>
        <v>0</v>
      </c>
      <c r="B22" s="36" t="str">
        <f t="shared" ref="B22:B65" si="13">IF(H22&gt;$H$2,"",(ROW()-5))</f>
        <v/>
      </c>
      <c r="C22" s="24"/>
      <c r="D22" s="24"/>
      <c r="E22" s="24"/>
      <c r="F22" s="24"/>
      <c r="G22" s="8"/>
      <c r="H22" s="17">
        <v>17</v>
      </c>
      <c r="I22" s="18" t="str">
        <f t="shared" si="4"/>
        <v/>
      </c>
      <c r="J22" s="17">
        <f t="shared" si="5"/>
        <v>-2</v>
      </c>
      <c r="K22" s="17">
        <f t="shared" si="6"/>
        <v>-20</v>
      </c>
      <c r="L22" s="17"/>
      <c r="M22" s="19">
        <f t="shared" si="2"/>
        <v>0</v>
      </c>
      <c r="N22" s="19">
        <f t="shared" si="3"/>
        <v>0</v>
      </c>
    </row>
    <row r="23" spans="1:20">
      <c r="A23" s="41">
        <f t="shared" si="12"/>
        <v>0</v>
      </c>
      <c r="B23" s="35" t="str">
        <f t="shared" si="13"/>
        <v/>
      </c>
      <c r="C23" s="25"/>
      <c r="D23" s="25"/>
      <c r="E23" s="25"/>
      <c r="F23" s="25"/>
      <c r="G23" s="8"/>
      <c r="H23" s="44">
        <v>18</v>
      </c>
      <c r="I23" s="45" t="str">
        <f t="shared" si="4"/>
        <v/>
      </c>
      <c r="J23" s="44">
        <f t="shared" si="5"/>
        <v>-2</v>
      </c>
      <c r="K23" s="44">
        <f t="shared" si="6"/>
        <v>-20</v>
      </c>
      <c r="L23" s="44"/>
      <c r="M23" s="46">
        <f t="shared" si="2"/>
        <v>0</v>
      </c>
      <c r="N23" s="46">
        <f t="shared" si="3"/>
        <v>0</v>
      </c>
    </row>
    <row r="24" spans="1:20">
      <c r="A24" s="42">
        <f t="shared" si="12"/>
        <v>0</v>
      </c>
      <c r="B24" s="36" t="str">
        <f t="shared" si="13"/>
        <v/>
      </c>
      <c r="C24" s="24"/>
      <c r="D24" s="24"/>
      <c r="E24" s="24"/>
      <c r="F24" s="24"/>
      <c r="G24" s="8"/>
      <c r="H24" s="17">
        <v>19</v>
      </c>
      <c r="I24" s="18" t="str">
        <f t="shared" si="4"/>
        <v/>
      </c>
      <c r="J24" s="17">
        <f t="shared" si="5"/>
        <v>-2</v>
      </c>
      <c r="K24" s="17">
        <f t="shared" si="6"/>
        <v>-20</v>
      </c>
      <c r="L24" s="17"/>
      <c r="M24" s="19">
        <f t="shared" si="2"/>
        <v>0</v>
      </c>
      <c r="N24" s="19">
        <f t="shared" si="3"/>
        <v>0</v>
      </c>
      <c r="S24" s="50"/>
      <c r="T24" s="34"/>
    </row>
    <row r="25" spans="1:20">
      <c r="A25" s="41">
        <f t="shared" si="12"/>
        <v>0</v>
      </c>
      <c r="B25" s="35" t="str">
        <f t="shared" si="13"/>
        <v/>
      </c>
      <c r="C25" s="25"/>
      <c r="D25" s="25"/>
      <c r="E25" s="25"/>
      <c r="F25" s="25"/>
      <c r="G25" s="8"/>
      <c r="H25" s="44">
        <v>20</v>
      </c>
      <c r="I25" s="45" t="str">
        <f t="shared" si="4"/>
        <v/>
      </c>
      <c r="J25" s="44">
        <f t="shared" si="5"/>
        <v>-2</v>
      </c>
      <c r="K25" s="44">
        <f t="shared" si="6"/>
        <v>-20</v>
      </c>
      <c r="L25" s="44"/>
      <c r="M25" s="46">
        <f t="shared" si="2"/>
        <v>0</v>
      </c>
      <c r="N25" s="46">
        <f t="shared" si="3"/>
        <v>0</v>
      </c>
    </row>
    <row r="26" spans="1:20">
      <c r="A26" s="42">
        <f t="shared" si="12"/>
        <v>0</v>
      </c>
      <c r="B26" s="36" t="str">
        <f t="shared" si="13"/>
        <v/>
      </c>
      <c r="C26" s="24"/>
      <c r="D26" s="24"/>
      <c r="E26" s="24"/>
      <c r="F26" s="24"/>
      <c r="G26" s="8"/>
      <c r="H26" s="17">
        <v>21</v>
      </c>
      <c r="I26" s="18" t="str">
        <f t="shared" si="4"/>
        <v/>
      </c>
      <c r="J26" s="17">
        <f t="shared" si="5"/>
        <v>-2</v>
      </c>
      <c r="K26" s="17">
        <f t="shared" si="6"/>
        <v>-20</v>
      </c>
      <c r="L26" s="17"/>
      <c r="M26" s="19">
        <f t="shared" si="2"/>
        <v>0</v>
      </c>
      <c r="N26" s="19">
        <f t="shared" si="3"/>
        <v>0</v>
      </c>
    </row>
    <row r="27" spans="1:20">
      <c r="A27" s="41">
        <f t="shared" si="12"/>
        <v>0</v>
      </c>
      <c r="B27" s="35" t="str">
        <f t="shared" si="13"/>
        <v/>
      </c>
      <c r="C27" s="25"/>
      <c r="D27" s="25"/>
      <c r="E27" s="25"/>
      <c r="F27" s="25"/>
      <c r="G27" s="8"/>
      <c r="H27" s="44">
        <v>22</v>
      </c>
      <c r="I27" s="45" t="str">
        <f t="shared" si="4"/>
        <v/>
      </c>
      <c r="J27" s="44">
        <f t="shared" si="5"/>
        <v>-2</v>
      </c>
      <c r="K27" s="44">
        <f t="shared" si="6"/>
        <v>-20</v>
      </c>
      <c r="L27" s="44"/>
      <c r="M27" s="46">
        <f t="shared" si="2"/>
        <v>0</v>
      </c>
      <c r="N27" s="46">
        <f t="shared" si="3"/>
        <v>0</v>
      </c>
    </row>
    <row r="28" spans="1:20">
      <c r="A28" s="42">
        <f t="shared" si="12"/>
        <v>0</v>
      </c>
      <c r="B28" s="36" t="str">
        <f t="shared" si="13"/>
        <v/>
      </c>
      <c r="C28" s="24"/>
      <c r="D28" s="24"/>
      <c r="E28" s="24"/>
      <c r="F28" s="24"/>
      <c r="G28" s="8"/>
      <c r="H28" s="17">
        <v>23</v>
      </c>
      <c r="I28" s="18" t="str">
        <f t="shared" si="4"/>
        <v/>
      </c>
      <c r="J28" s="17">
        <f t="shared" si="5"/>
        <v>-2</v>
      </c>
      <c r="K28" s="17">
        <f t="shared" si="6"/>
        <v>-20</v>
      </c>
      <c r="L28" s="17"/>
      <c r="M28" s="19">
        <f t="shared" si="2"/>
        <v>0</v>
      </c>
      <c r="N28" s="19">
        <f t="shared" si="3"/>
        <v>0</v>
      </c>
      <c r="S28" s="50"/>
      <c r="T28" s="34"/>
    </row>
    <row r="29" spans="1:20">
      <c r="A29" s="41">
        <f t="shared" si="12"/>
        <v>0</v>
      </c>
      <c r="B29" s="35" t="str">
        <f t="shared" si="13"/>
        <v/>
      </c>
      <c r="C29" s="25"/>
      <c r="D29" s="25"/>
      <c r="E29" s="25"/>
      <c r="F29" s="25"/>
      <c r="G29" s="5"/>
      <c r="H29" s="44">
        <v>24</v>
      </c>
      <c r="I29" s="45" t="str">
        <f t="shared" si="4"/>
        <v/>
      </c>
      <c r="J29" s="44">
        <f t="shared" si="5"/>
        <v>-2</v>
      </c>
      <c r="K29" s="44">
        <f t="shared" si="6"/>
        <v>-20</v>
      </c>
      <c r="L29" s="44"/>
      <c r="M29" s="46">
        <f t="shared" si="2"/>
        <v>0</v>
      </c>
      <c r="N29" s="46">
        <f t="shared" si="3"/>
        <v>0</v>
      </c>
    </row>
    <row r="30" spans="1:20">
      <c r="A30" s="42">
        <f t="shared" si="12"/>
        <v>0</v>
      </c>
      <c r="B30" s="36" t="str">
        <f t="shared" si="13"/>
        <v/>
      </c>
      <c r="C30" s="24"/>
      <c r="D30" s="24"/>
      <c r="E30" s="24"/>
      <c r="F30" s="24"/>
      <c r="G30" s="5"/>
      <c r="H30" s="17">
        <v>25</v>
      </c>
      <c r="I30" s="18" t="str">
        <f t="shared" si="4"/>
        <v/>
      </c>
      <c r="J30" s="17">
        <f t="shared" si="5"/>
        <v>-2</v>
      </c>
      <c r="K30" s="17">
        <f t="shared" si="6"/>
        <v>-20</v>
      </c>
      <c r="L30" s="17"/>
      <c r="M30" s="19">
        <f t="shared" si="2"/>
        <v>0</v>
      </c>
      <c r="N30" s="19">
        <f t="shared" si="3"/>
        <v>0</v>
      </c>
    </row>
    <row r="31" spans="1:20">
      <c r="A31" s="41">
        <f t="shared" si="12"/>
        <v>0</v>
      </c>
      <c r="B31" s="35" t="str">
        <f t="shared" si="13"/>
        <v/>
      </c>
      <c r="C31" s="25"/>
      <c r="D31" s="25"/>
      <c r="E31" s="25"/>
      <c r="F31" s="25"/>
      <c r="G31" s="5"/>
      <c r="H31" s="44">
        <v>26</v>
      </c>
      <c r="I31" s="45" t="str">
        <f t="shared" si="4"/>
        <v/>
      </c>
      <c r="J31" s="44">
        <f t="shared" si="5"/>
        <v>-2</v>
      </c>
      <c r="K31" s="44">
        <f t="shared" si="6"/>
        <v>-20</v>
      </c>
      <c r="L31" s="44"/>
      <c r="M31" s="46">
        <f t="shared" si="2"/>
        <v>0</v>
      </c>
      <c r="N31" s="46">
        <f t="shared" si="3"/>
        <v>0</v>
      </c>
    </row>
    <row r="32" spans="1:20">
      <c r="A32" s="42">
        <f t="shared" si="12"/>
        <v>0</v>
      </c>
      <c r="B32" s="36" t="str">
        <f t="shared" si="13"/>
        <v/>
      </c>
      <c r="C32" s="24"/>
      <c r="D32" s="24"/>
      <c r="E32" s="24"/>
      <c r="F32" s="24"/>
      <c r="G32" s="5"/>
      <c r="H32" s="17">
        <v>27</v>
      </c>
      <c r="I32" s="18" t="str">
        <f t="shared" si="4"/>
        <v/>
      </c>
      <c r="J32" s="17">
        <f t="shared" si="5"/>
        <v>-2</v>
      </c>
      <c r="K32" s="17">
        <f t="shared" si="6"/>
        <v>-20</v>
      </c>
      <c r="L32" s="17"/>
      <c r="M32" s="19">
        <f t="shared" si="2"/>
        <v>0</v>
      </c>
      <c r="N32" s="19">
        <f t="shared" si="3"/>
        <v>0</v>
      </c>
      <c r="S32" s="50"/>
      <c r="T32" s="34"/>
    </row>
    <row r="33" spans="1:20">
      <c r="A33" s="41">
        <f t="shared" si="12"/>
        <v>0</v>
      </c>
      <c r="B33" s="35" t="str">
        <f t="shared" si="13"/>
        <v/>
      </c>
      <c r="C33" s="25"/>
      <c r="D33" s="25"/>
      <c r="E33" s="25"/>
      <c r="F33" s="25"/>
      <c r="G33" s="5"/>
      <c r="H33" s="44">
        <v>28</v>
      </c>
      <c r="I33" s="45" t="str">
        <f t="shared" si="4"/>
        <v/>
      </c>
      <c r="J33" s="44">
        <f t="shared" si="5"/>
        <v>-2</v>
      </c>
      <c r="K33" s="44">
        <f t="shared" si="6"/>
        <v>-20</v>
      </c>
      <c r="L33" s="44"/>
      <c r="M33" s="46">
        <f t="shared" si="2"/>
        <v>0</v>
      </c>
      <c r="N33" s="46">
        <f t="shared" si="3"/>
        <v>0</v>
      </c>
    </row>
    <row r="34" spans="1:20">
      <c r="A34" s="42">
        <f t="shared" si="12"/>
        <v>0</v>
      </c>
      <c r="B34" s="36" t="str">
        <f t="shared" si="13"/>
        <v/>
      </c>
      <c r="C34" s="24"/>
      <c r="D34" s="24"/>
      <c r="E34" s="24"/>
      <c r="F34" s="24"/>
      <c r="G34" s="5"/>
      <c r="H34" s="17">
        <v>29</v>
      </c>
      <c r="I34" s="18" t="str">
        <f t="shared" si="4"/>
        <v/>
      </c>
      <c r="J34" s="17">
        <f t="shared" si="5"/>
        <v>-2</v>
      </c>
      <c r="K34" s="17">
        <f t="shared" si="6"/>
        <v>-20</v>
      </c>
      <c r="L34" s="17"/>
      <c r="M34" s="19">
        <f t="shared" si="2"/>
        <v>0</v>
      </c>
      <c r="N34" s="19">
        <f t="shared" si="3"/>
        <v>0</v>
      </c>
    </row>
    <row r="35" spans="1:20">
      <c r="A35" s="41">
        <f t="shared" si="12"/>
        <v>0</v>
      </c>
      <c r="B35" s="35" t="str">
        <f t="shared" si="13"/>
        <v/>
      </c>
      <c r="C35" s="25"/>
      <c r="D35" s="25"/>
      <c r="E35" s="25"/>
      <c r="F35" s="25"/>
      <c r="G35" s="5"/>
      <c r="H35" s="44">
        <v>30</v>
      </c>
      <c r="I35" s="45" t="str">
        <f t="shared" si="4"/>
        <v/>
      </c>
      <c r="J35" s="44">
        <f t="shared" si="5"/>
        <v>-2</v>
      </c>
      <c r="K35" s="44">
        <f t="shared" si="6"/>
        <v>-20</v>
      </c>
      <c r="L35" s="44"/>
      <c r="M35" s="46">
        <f t="shared" si="2"/>
        <v>0</v>
      </c>
      <c r="N35" s="46">
        <f t="shared" si="3"/>
        <v>0</v>
      </c>
    </row>
    <row r="36" spans="1:20">
      <c r="A36" s="42">
        <f t="shared" si="12"/>
        <v>0</v>
      </c>
      <c r="B36" s="36" t="str">
        <f t="shared" si="13"/>
        <v/>
      </c>
      <c r="C36" s="24"/>
      <c r="D36" s="24"/>
      <c r="E36" s="24"/>
      <c r="F36" s="24"/>
      <c r="G36" s="5"/>
      <c r="H36" s="17">
        <v>31</v>
      </c>
      <c r="I36" s="18" t="str">
        <f t="shared" si="4"/>
        <v/>
      </c>
      <c r="J36" s="17">
        <f t="shared" si="5"/>
        <v>-2</v>
      </c>
      <c r="K36" s="17">
        <f t="shared" si="6"/>
        <v>-20</v>
      </c>
      <c r="L36" s="17"/>
      <c r="M36" s="19">
        <f t="shared" si="2"/>
        <v>0</v>
      </c>
      <c r="N36" s="19">
        <f t="shared" si="3"/>
        <v>0</v>
      </c>
      <c r="S36" s="50"/>
      <c r="T36" s="34"/>
    </row>
    <row r="37" spans="1:20">
      <c r="A37" s="41">
        <f t="shared" si="12"/>
        <v>0</v>
      </c>
      <c r="B37" s="35" t="str">
        <f t="shared" si="13"/>
        <v/>
      </c>
      <c r="C37" s="25"/>
      <c r="D37" s="25"/>
      <c r="E37" s="25"/>
      <c r="F37" s="25"/>
      <c r="G37" s="5"/>
      <c r="H37" s="44">
        <v>32</v>
      </c>
      <c r="I37" s="45" t="str">
        <f t="shared" si="4"/>
        <v/>
      </c>
      <c r="J37" s="44">
        <f t="shared" si="5"/>
        <v>-2</v>
      </c>
      <c r="K37" s="44">
        <f t="shared" si="6"/>
        <v>-20</v>
      </c>
      <c r="L37" s="44"/>
      <c r="M37" s="46">
        <f t="shared" si="2"/>
        <v>0</v>
      </c>
      <c r="N37" s="46">
        <f t="shared" si="3"/>
        <v>0</v>
      </c>
    </row>
    <row r="38" spans="1:20">
      <c r="A38" s="42">
        <f t="shared" si="12"/>
        <v>0</v>
      </c>
      <c r="B38" s="36" t="str">
        <f t="shared" si="13"/>
        <v/>
      </c>
      <c r="C38" s="24"/>
      <c r="D38" s="24"/>
      <c r="E38" s="24"/>
      <c r="F38" s="24"/>
      <c r="G38" s="5"/>
      <c r="H38" s="17">
        <v>33</v>
      </c>
      <c r="I38" s="18" t="str">
        <f t="shared" si="4"/>
        <v/>
      </c>
      <c r="J38" s="17">
        <f t="shared" si="5"/>
        <v>-3</v>
      </c>
      <c r="K38" s="17">
        <f t="shared" si="6"/>
        <v>-30</v>
      </c>
      <c r="L38" s="17"/>
      <c r="M38" s="19">
        <f t="shared" si="2"/>
        <v>0</v>
      </c>
      <c r="N38" s="19">
        <f t="shared" si="3"/>
        <v>0</v>
      </c>
    </row>
    <row r="39" spans="1:20">
      <c r="A39" s="41">
        <f t="shared" si="12"/>
        <v>0</v>
      </c>
      <c r="B39" s="35" t="str">
        <f t="shared" si="13"/>
        <v/>
      </c>
      <c r="C39" s="25"/>
      <c r="D39" s="25"/>
      <c r="E39" s="25"/>
      <c r="F39" s="25"/>
      <c r="G39" s="5"/>
      <c r="H39" s="44">
        <v>34</v>
      </c>
      <c r="I39" s="45" t="str">
        <f t="shared" si="4"/>
        <v/>
      </c>
      <c r="J39" s="44">
        <f t="shared" si="5"/>
        <v>-3</v>
      </c>
      <c r="K39" s="44">
        <f t="shared" si="6"/>
        <v>-30</v>
      </c>
      <c r="L39" s="44"/>
      <c r="M39" s="46">
        <f t="shared" si="2"/>
        <v>0</v>
      </c>
      <c r="N39" s="46">
        <f t="shared" si="3"/>
        <v>0</v>
      </c>
    </row>
    <row r="40" spans="1:20">
      <c r="A40" s="42">
        <f t="shared" si="12"/>
        <v>0</v>
      </c>
      <c r="B40" s="36" t="str">
        <f t="shared" si="13"/>
        <v/>
      </c>
      <c r="C40" s="24"/>
      <c r="D40" s="24"/>
      <c r="E40" s="24"/>
      <c r="F40" s="24"/>
      <c r="G40" s="5"/>
      <c r="H40" s="17">
        <v>35</v>
      </c>
      <c r="I40" s="18" t="str">
        <f t="shared" si="4"/>
        <v/>
      </c>
      <c r="J40" s="17">
        <f t="shared" si="5"/>
        <v>-3</v>
      </c>
      <c r="K40" s="17">
        <f t="shared" si="6"/>
        <v>-30</v>
      </c>
      <c r="L40" s="17"/>
      <c r="M40" s="19">
        <f t="shared" si="2"/>
        <v>0</v>
      </c>
      <c r="N40" s="19">
        <f t="shared" si="3"/>
        <v>0</v>
      </c>
    </row>
    <row r="41" spans="1:20">
      <c r="A41" s="41">
        <f t="shared" si="12"/>
        <v>0</v>
      </c>
      <c r="B41" s="35" t="str">
        <f t="shared" si="13"/>
        <v/>
      </c>
      <c r="C41" s="25"/>
      <c r="D41" s="25"/>
      <c r="E41" s="25"/>
      <c r="F41" s="25"/>
      <c r="G41" s="5"/>
      <c r="H41" s="44">
        <v>36</v>
      </c>
      <c r="I41" s="45" t="str">
        <f t="shared" si="4"/>
        <v/>
      </c>
      <c r="J41" s="44">
        <f t="shared" si="5"/>
        <v>-3</v>
      </c>
      <c r="K41" s="44">
        <f t="shared" si="6"/>
        <v>-30</v>
      </c>
      <c r="L41" s="44"/>
      <c r="M41" s="46">
        <f t="shared" si="2"/>
        <v>0</v>
      </c>
      <c r="N41" s="46">
        <f t="shared" si="3"/>
        <v>0</v>
      </c>
      <c r="T41" s="32"/>
    </row>
    <row r="42" spans="1:20">
      <c r="A42" s="42">
        <f t="shared" si="12"/>
        <v>0</v>
      </c>
      <c r="B42" s="36" t="str">
        <f t="shared" si="13"/>
        <v/>
      </c>
      <c r="C42" s="24"/>
      <c r="D42" s="24"/>
      <c r="E42" s="24"/>
      <c r="F42" s="24"/>
      <c r="G42" s="5"/>
      <c r="H42" s="17">
        <v>37</v>
      </c>
      <c r="I42" s="18" t="str">
        <f t="shared" si="4"/>
        <v/>
      </c>
      <c r="J42" s="17">
        <f t="shared" si="5"/>
        <v>-3</v>
      </c>
      <c r="K42" s="17">
        <f t="shared" si="6"/>
        <v>-30</v>
      </c>
      <c r="L42" s="17"/>
      <c r="M42" s="19">
        <f t="shared" si="2"/>
        <v>0</v>
      </c>
      <c r="N42" s="19">
        <f t="shared" si="3"/>
        <v>0</v>
      </c>
    </row>
    <row r="43" spans="1:20">
      <c r="A43" s="41">
        <f t="shared" si="12"/>
        <v>0</v>
      </c>
      <c r="B43" s="35" t="str">
        <f t="shared" si="13"/>
        <v/>
      </c>
      <c r="C43" s="25"/>
      <c r="D43" s="25"/>
      <c r="E43" s="25"/>
      <c r="F43" s="25"/>
      <c r="G43" s="5"/>
      <c r="H43" s="44">
        <v>38</v>
      </c>
      <c r="I43" s="45" t="str">
        <f t="shared" si="4"/>
        <v/>
      </c>
      <c r="J43" s="44">
        <f t="shared" si="5"/>
        <v>-3</v>
      </c>
      <c r="K43" s="44">
        <f t="shared" si="6"/>
        <v>-30</v>
      </c>
      <c r="L43" s="44"/>
      <c r="M43" s="46">
        <f t="shared" si="2"/>
        <v>0</v>
      </c>
      <c r="N43" s="46">
        <f t="shared" si="3"/>
        <v>0</v>
      </c>
    </row>
    <row r="44" spans="1:20">
      <c r="A44" s="42">
        <f t="shared" si="12"/>
        <v>0</v>
      </c>
      <c r="B44" s="36" t="str">
        <f t="shared" si="13"/>
        <v/>
      </c>
      <c r="C44" s="24"/>
      <c r="D44" s="24"/>
      <c r="E44" s="24"/>
      <c r="F44" s="24"/>
      <c r="G44" s="5"/>
      <c r="H44" s="17">
        <v>39</v>
      </c>
      <c r="I44" s="18" t="str">
        <f t="shared" si="4"/>
        <v/>
      </c>
      <c r="J44" s="17">
        <f t="shared" si="5"/>
        <v>-3</v>
      </c>
      <c r="K44" s="17">
        <f t="shared" si="6"/>
        <v>-30</v>
      </c>
      <c r="L44" s="17"/>
      <c r="M44" s="19">
        <f t="shared" si="2"/>
        <v>0</v>
      </c>
      <c r="N44" s="19">
        <f t="shared" si="3"/>
        <v>0</v>
      </c>
    </row>
    <row r="45" spans="1:20">
      <c r="A45" s="41">
        <f t="shared" si="12"/>
        <v>0</v>
      </c>
      <c r="B45" s="35" t="str">
        <f t="shared" si="13"/>
        <v/>
      </c>
      <c r="C45" s="25"/>
      <c r="D45" s="25"/>
      <c r="E45" s="25"/>
      <c r="F45" s="25"/>
      <c r="G45" s="5"/>
      <c r="H45" s="44">
        <v>40</v>
      </c>
      <c r="I45" s="45" t="str">
        <f t="shared" si="4"/>
        <v/>
      </c>
      <c r="J45" s="44">
        <f t="shared" si="5"/>
        <v>-3</v>
      </c>
      <c r="K45" s="44">
        <f t="shared" si="6"/>
        <v>-30</v>
      </c>
      <c r="L45" s="44"/>
      <c r="M45" s="46">
        <f t="shared" si="2"/>
        <v>0</v>
      </c>
      <c r="N45" s="46">
        <f t="shared" si="3"/>
        <v>0</v>
      </c>
    </row>
    <row r="46" spans="1:20">
      <c r="A46" s="42">
        <f t="shared" si="12"/>
        <v>0</v>
      </c>
      <c r="B46" s="36" t="str">
        <f t="shared" si="13"/>
        <v/>
      </c>
      <c r="C46" s="24"/>
      <c r="D46" s="24"/>
      <c r="E46" s="24"/>
      <c r="F46" s="24"/>
      <c r="G46" s="5"/>
      <c r="H46" s="17">
        <v>41</v>
      </c>
      <c r="I46" s="18" t="str">
        <f t="shared" si="4"/>
        <v/>
      </c>
      <c r="J46" s="17">
        <f t="shared" si="5"/>
        <v>-3</v>
      </c>
      <c r="K46" s="17">
        <f t="shared" si="6"/>
        <v>-30</v>
      </c>
      <c r="L46" s="17"/>
      <c r="M46" s="19">
        <f t="shared" si="2"/>
        <v>0</v>
      </c>
      <c r="N46" s="19">
        <f t="shared" si="3"/>
        <v>0</v>
      </c>
    </row>
    <row r="47" spans="1:20">
      <c r="A47" s="41">
        <f t="shared" si="12"/>
        <v>0</v>
      </c>
      <c r="B47" s="35" t="str">
        <f t="shared" si="13"/>
        <v/>
      </c>
      <c r="C47" s="25"/>
      <c r="D47" s="25"/>
      <c r="E47" s="25"/>
      <c r="F47" s="25"/>
      <c r="G47" s="5"/>
      <c r="H47" s="44">
        <v>42</v>
      </c>
      <c r="I47" s="45" t="str">
        <f t="shared" si="4"/>
        <v/>
      </c>
      <c r="J47" s="44">
        <f t="shared" si="5"/>
        <v>-3</v>
      </c>
      <c r="K47" s="44">
        <f t="shared" si="6"/>
        <v>-30</v>
      </c>
      <c r="L47" s="44"/>
      <c r="M47" s="46">
        <f t="shared" si="2"/>
        <v>0</v>
      </c>
      <c r="N47" s="46">
        <f t="shared" si="3"/>
        <v>0</v>
      </c>
    </row>
    <row r="48" spans="1:20">
      <c r="A48" s="42">
        <f t="shared" si="12"/>
        <v>0</v>
      </c>
      <c r="B48" s="36" t="str">
        <f t="shared" si="13"/>
        <v/>
      </c>
      <c r="C48" s="24"/>
      <c r="D48" s="24"/>
      <c r="E48" s="24"/>
      <c r="F48" s="24"/>
      <c r="G48" s="5"/>
      <c r="H48" s="17">
        <v>43</v>
      </c>
      <c r="I48" s="18" t="str">
        <f t="shared" si="4"/>
        <v/>
      </c>
      <c r="J48" s="17">
        <f t="shared" si="5"/>
        <v>-3</v>
      </c>
      <c r="K48" s="17">
        <f t="shared" si="6"/>
        <v>-30</v>
      </c>
      <c r="L48" s="17"/>
      <c r="M48" s="19">
        <f t="shared" si="2"/>
        <v>0</v>
      </c>
      <c r="N48" s="19">
        <f t="shared" si="3"/>
        <v>0</v>
      </c>
    </row>
    <row r="49" spans="1:14">
      <c r="A49" s="41">
        <f t="shared" si="12"/>
        <v>0</v>
      </c>
      <c r="B49" s="35" t="str">
        <f t="shared" si="13"/>
        <v/>
      </c>
      <c r="C49" s="25"/>
      <c r="D49" s="25"/>
      <c r="E49" s="25"/>
      <c r="F49" s="25"/>
      <c r="G49" s="5"/>
      <c r="H49" s="44">
        <v>44</v>
      </c>
      <c r="I49" s="45" t="str">
        <f t="shared" si="4"/>
        <v/>
      </c>
      <c r="J49" s="44">
        <f t="shared" si="5"/>
        <v>-3</v>
      </c>
      <c r="K49" s="44">
        <f t="shared" si="6"/>
        <v>-30</v>
      </c>
      <c r="L49" s="44"/>
      <c r="M49" s="46">
        <f t="shared" si="2"/>
        <v>0</v>
      </c>
      <c r="N49" s="46">
        <f t="shared" si="3"/>
        <v>0</v>
      </c>
    </row>
    <row r="50" spans="1:14">
      <c r="A50" s="42">
        <f t="shared" si="12"/>
        <v>0</v>
      </c>
      <c r="B50" s="36" t="str">
        <f t="shared" si="13"/>
        <v/>
      </c>
      <c r="C50" s="24"/>
      <c r="D50" s="24"/>
      <c r="E50" s="24"/>
      <c r="F50" s="24"/>
      <c r="G50" s="5"/>
      <c r="H50" s="17">
        <v>45</v>
      </c>
      <c r="I50" s="18" t="str">
        <f t="shared" si="4"/>
        <v/>
      </c>
      <c r="J50" s="17">
        <f t="shared" si="5"/>
        <v>-3</v>
      </c>
      <c r="K50" s="17">
        <f t="shared" si="6"/>
        <v>-30</v>
      </c>
      <c r="L50" s="17"/>
      <c r="M50" s="19">
        <f t="shared" si="2"/>
        <v>0</v>
      </c>
      <c r="N50" s="19">
        <f t="shared" si="3"/>
        <v>0</v>
      </c>
    </row>
    <row r="51" spans="1:14">
      <c r="A51" s="41">
        <f t="shared" si="12"/>
        <v>0</v>
      </c>
      <c r="B51" s="35" t="str">
        <f t="shared" si="13"/>
        <v/>
      </c>
      <c r="C51" s="25"/>
      <c r="D51" s="25"/>
      <c r="E51" s="25"/>
      <c r="F51" s="25"/>
      <c r="G51" s="5"/>
      <c r="H51" s="44">
        <v>46</v>
      </c>
      <c r="I51" s="45" t="str">
        <f t="shared" si="4"/>
        <v/>
      </c>
      <c r="J51" s="44">
        <f t="shared" si="5"/>
        <v>-3</v>
      </c>
      <c r="K51" s="44">
        <f t="shared" si="6"/>
        <v>-30</v>
      </c>
      <c r="L51" s="44"/>
      <c r="M51" s="46">
        <f t="shared" si="2"/>
        <v>0</v>
      </c>
      <c r="N51" s="46">
        <f t="shared" si="3"/>
        <v>0</v>
      </c>
    </row>
    <row r="52" spans="1:14">
      <c r="A52" s="42">
        <f t="shared" si="12"/>
        <v>0</v>
      </c>
      <c r="B52" s="36" t="str">
        <f t="shared" si="13"/>
        <v/>
      </c>
      <c r="C52" s="24"/>
      <c r="D52" s="24"/>
      <c r="E52" s="24"/>
      <c r="F52" s="24"/>
      <c r="G52" s="5"/>
      <c r="H52" s="17">
        <v>47</v>
      </c>
      <c r="I52" s="18" t="str">
        <f t="shared" si="4"/>
        <v/>
      </c>
      <c r="J52" s="17">
        <f t="shared" si="5"/>
        <v>-3</v>
      </c>
      <c r="K52" s="17">
        <f t="shared" si="6"/>
        <v>-30</v>
      </c>
      <c r="L52" s="17"/>
      <c r="M52" s="19">
        <f t="shared" si="2"/>
        <v>0</v>
      </c>
      <c r="N52" s="19">
        <f t="shared" si="3"/>
        <v>0</v>
      </c>
    </row>
    <row r="53" spans="1:14">
      <c r="A53" s="41">
        <f t="shared" si="12"/>
        <v>0</v>
      </c>
      <c r="B53" s="35" t="str">
        <f t="shared" si="13"/>
        <v/>
      </c>
      <c r="C53" s="25"/>
      <c r="D53" s="25"/>
      <c r="E53" s="25"/>
      <c r="F53" s="25"/>
      <c r="G53" s="5"/>
      <c r="H53" s="44">
        <v>48</v>
      </c>
      <c r="I53" s="45" t="str">
        <f t="shared" si="4"/>
        <v/>
      </c>
      <c r="J53" s="44">
        <f t="shared" si="5"/>
        <v>-3</v>
      </c>
      <c r="K53" s="44">
        <f t="shared" si="6"/>
        <v>-30</v>
      </c>
      <c r="L53" s="44"/>
      <c r="M53" s="46">
        <f t="shared" si="2"/>
        <v>0</v>
      </c>
      <c r="N53" s="46">
        <f t="shared" si="3"/>
        <v>0</v>
      </c>
    </row>
    <row r="54" spans="1:14">
      <c r="A54" s="42">
        <f t="shared" si="12"/>
        <v>0</v>
      </c>
      <c r="B54" s="36" t="str">
        <f t="shared" si="13"/>
        <v/>
      </c>
      <c r="C54" s="24"/>
      <c r="D54" s="24"/>
      <c r="E54" s="24"/>
      <c r="F54" s="24"/>
      <c r="G54" s="5"/>
      <c r="H54" s="17">
        <v>49</v>
      </c>
      <c r="I54" s="18" t="str">
        <f t="shared" si="4"/>
        <v/>
      </c>
      <c r="J54" s="17">
        <f t="shared" si="5"/>
        <v>-3</v>
      </c>
      <c r="K54" s="17">
        <f t="shared" si="6"/>
        <v>-30</v>
      </c>
      <c r="L54" s="17"/>
      <c r="M54" s="19">
        <f t="shared" si="2"/>
        <v>0</v>
      </c>
      <c r="N54" s="19">
        <f t="shared" si="3"/>
        <v>0</v>
      </c>
    </row>
    <row r="55" spans="1:14">
      <c r="A55" s="41">
        <f t="shared" si="12"/>
        <v>0</v>
      </c>
      <c r="B55" s="35" t="str">
        <f t="shared" si="13"/>
        <v/>
      </c>
      <c r="C55" s="25"/>
      <c r="D55" s="25"/>
      <c r="E55" s="25"/>
      <c r="F55" s="25"/>
      <c r="G55" s="5"/>
      <c r="H55" s="44">
        <v>50</v>
      </c>
      <c r="I55" s="45" t="str">
        <f t="shared" si="4"/>
        <v/>
      </c>
      <c r="J55" s="44">
        <f t="shared" si="5"/>
        <v>-3</v>
      </c>
      <c r="K55" s="44">
        <f t="shared" si="6"/>
        <v>-30</v>
      </c>
      <c r="L55" s="44"/>
      <c r="M55" s="46">
        <f t="shared" si="2"/>
        <v>0</v>
      </c>
      <c r="N55" s="46">
        <f t="shared" si="3"/>
        <v>0</v>
      </c>
    </row>
    <row r="56" spans="1:14">
      <c r="A56" s="42">
        <f t="shared" si="12"/>
        <v>0</v>
      </c>
      <c r="B56" s="36" t="str">
        <f t="shared" si="13"/>
        <v/>
      </c>
      <c r="C56" s="24"/>
      <c r="D56" s="24"/>
      <c r="E56" s="24"/>
      <c r="F56" s="24"/>
      <c r="G56" s="5"/>
      <c r="H56" s="17">
        <v>51</v>
      </c>
      <c r="I56" s="18" t="str">
        <f t="shared" si="4"/>
        <v/>
      </c>
      <c r="J56" s="17">
        <f t="shared" si="5"/>
        <v>-3</v>
      </c>
      <c r="K56" s="17">
        <f t="shared" si="6"/>
        <v>-30</v>
      </c>
      <c r="L56" s="17"/>
      <c r="M56" s="19">
        <f t="shared" si="2"/>
        <v>0</v>
      </c>
      <c r="N56" s="19">
        <f t="shared" si="3"/>
        <v>0</v>
      </c>
    </row>
    <row r="57" spans="1:14">
      <c r="A57" s="41">
        <f t="shared" si="12"/>
        <v>0</v>
      </c>
      <c r="B57" s="35" t="str">
        <f t="shared" si="13"/>
        <v/>
      </c>
      <c r="C57" s="25"/>
      <c r="D57" s="25"/>
      <c r="E57" s="25"/>
      <c r="F57" s="25"/>
      <c r="G57" s="5"/>
      <c r="H57" s="44">
        <v>52</v>
      </c>
      <c r="I57" s="45" t="str">
        <f t="shared" si="4"/>
        <v/>
      </c>
      <c r="J57" s="44">
        <f t="shared" si="5"/>
        <v>-3</v>
      </c>
      <c r="K57" s="44">
        <f t="shared" si="6"/>
        <v>-30</v>
      </c>
      <c r="L57" s="44"/>
      <c r="M57" s="46">
        <f t="shared" si="2"/>
        <v>0</v>
      </c>
      <c r="N57" s="46">
        <f t="shared" si="3"/>
        <v>0</v>
      </c>
    </row>
    <row r="58" spans="1:14">
      <c r="A58" s="42">
        <f t="shared" si="12"/>
        <v>0</v>
      </c>
      <c r="B58" s="36" t="str">
        <f t="shared" si="13"/>
        <v/>
      </c>
      <c r="C58" s="24"/>
      <c r="D58" s="24"/>
      <c r="E58" s="24"/>
      <c r="F58" s="24"/>
      <c r="G58" s="5"/>
      <c r="H58" s="17">
        <v>53</v>
      </c>
      <c r="I58" s="18" t="str">
        <f t="shared" si="4"/>
        <v/>
      </c>
      <c r="J58" s="17">
        <f t="shared" si="5"/>
        <v>-3</v>
      </c>
      <c r="K58" s="17">
        <f t="shared" si="6"/>
        <v>-30</v>
      </c>
      <c r="L58" s="17"/>
      <c r="M58" s="19">
        <f t="shared" si="2"/>
        <v>0</v>
      </c>
      <c r="N58" s="19">
        <f t="shared" si="3"/>
        <v>0</v>
      </c>
    </row>
    <row r="59" spans="1:14">
      <c r="A59" s="41">
        <f t="shared" si="12"/>
        <v>0</v>
      </c>
      <c r="B59" s="35" t="str">
        <f t="shared" si="13"/>
        <v/>
      </c>
      <c r="C59" s="25"/>
      <c r="D59" s="25"/>
      <c r="E59" s="25"/>
      <c r="F59" s="25"/>
      <c r="G59" s="5"/>
      <c r="H59" s="44">
        <v>54</v>
      </c>
      <c r="I59" s="45" t="str">
        <f t="shared" si="4"/>
        <v/>
      </c>
      <c r="J59" s="44">
        <f t="shared" si="5"/>
        <v>-3</v>
      </c>
      <c r="K59" s="44">
        <f t="shared" si="6"/>
        <v>-30</v>
      </c>
      <c r="L59" s="44"/>
      <c r="M59" s="46">
        <f t="shared" si="2"/>
        <v>0</v>
      </c>
      <c r="N59" s="46">
        <f t="shared" si="3"/>
        <v>0</v>
      </c>
    </row>
    <row r="60" spans="1:14">
      <c r="A60" s="42">
        <f t="shared" si="12"/>
        <v>0</v>
      </c>
      <c r="B60" s="36" t="str">
        <f t="shared" si="13"/>
        <v/>
      </c>
      <c r="C60" s="24"/>
      <c r="D60" s="24"/>
      <c r="E60" s="24"/>
      <c r="F60" s="24"/>
      <c r="G60" s="5"/>
      <c r="H60" s="17">
        <v>55</v>
      </c>
      <c r="I60" s="18" t="str">
        <f t="shared" si="4"/>
        <v/>
      </c>
      <c r="J60" s="17">
        <f t="shared" si="5"/>
        <v>-3</v>
      </c>
      <c r="K60" s="17">
        <f t="shared" si="6"/>
        <v>-30</v>
      </c>
      <c r="L60" s="17"/>
      <c r="M60" s="19">
        <f t="shared" si="2"/>
        <v>0</v>
      </c>
      <c r="N60" s="19">
        <f t="shared" si="3"/>
        <v>0</v>
      </c>
    </row>
    <row r="61" spans="1:14">
      <c r="A61" s="41">
        <f t="shared" si="12"/>
        <v>0</v>
      </c>
      <c r="B61" s="35" t="str">
        <f t="shared" si="13"/>
        <v/>
      </c>
      <c r="C61" s="25"/>
      <c r="D61" s="25"/>
      <c r="E61" s="25"/>
      <c r="F61" s="25"/>
      <c r="G61" s="5"/>
      <c r="H61" s="44">
        <v>56</v>
      </c>
      <c r="I61" s="45" t="str">
        <f t="shared" si="4"/>
        <v/>
      </c>
      <c r="J61" s="44">
        <f t="shared" si="5"/>
        <v>-3</v>
      </c>
      <c r="K61" s="44">
        <f t="shared" si="6"/>
        <v>-30</v>
      </c>
      <c r="L61" s="44"/>
      <c r="M61" s="46">
        <f t="shared" si="2"/>
        <v>0</v>
      </c>
      <c r="N61" s="46">
        <f t="shared" si="3"/>
        <v>0</v>
      </c>
    </row>
    <row r="62" spans="1:14">
      <c r="A62" s="42">
        <f t="shared" si="12"/>
        <v>0</v>
      </c>
      <c r="B62" s="36" t="str">
        <f t="shared" si="13"/>
        <v/>
      </c>
      <c r="C62" s="24"/>
      <c r="D62" s="24"/>
      <c r="E62" s="24"/>
      <c r="F62" s="24"/>
      <c r="G62" s="5"/>
      <c r="H62" s="17">
        <v>57</v>
      </c>
      <c r="I62" s="18" t="str">
        <f t="shared" si="4"/>
        <v/>
      </c>
      <c r="J62" s="17">
        <f t="shared" si="5"/>
        <v>-3</v>
      </c>
      <c r="K62" s="17">
        <f t="shared" si="6"/>
        <v>-30</v>
      </c>
      <c r="L62" s="17"/>
      <c r="M62" s="19">
        <f t="shared" si="2"/>
        <v>0</v>
      </c>
      <c r="N62" s="19">
        <f t="shared" si="3"/>
        <v>0</v>
      </c>
    </row>
    <row r="63" spans="1:14">
      <c r="A63" s="41">
        <f t="shared" si="12"/>
        <v>0</v>
      </c>
      <c r="B63" s="35" t="str">
        <f t="shared" si="13"/>
        <v/>
      </c>
      <c r="C63" s="25"/>
      <c r="D63" s="25"/>
      <c r="E63" s="25"/>
      <c r="F63" s="25"/>
      <c r="G63" s="5"/>
      <c r="H63" s="44">
        <v>58</v>
      </c>
      <c r="I63" s="45" t="str">
        <f t="shared" si="4"/>
        <v/>
      </c>
      <c r="J63" s="44">
        <f t="shared" si="5"/>
        <v>-3</v>
      </c>
      <c r="K63" s="44">
        <f t="shared" si="6"/>
        <v>-30</v>
      </c>
      <c r="L63" s="44"/>
      <c r="M63" s="46">
        <f t="shared" si="2"/>
        <v>0</v>
      </c>
      <c r="N63" s="46">
        <f t="shared" si="3"/>
        <v>0</v>
      </c>
    </row>
    <row r="64" spans="1:14">
      <c r="A64" s="42">
        <f t="shared" si="12"/>
        <v>0</v>
      </c>
      <c r="B64" s="36" t="str">
        <f t="shared" si="13"/>
        <v/>
      </c>
      <c r="C64" s="24"/>
      <c r="D64" s="24"/>
      <c r="E64" s="24"/>
      <c r="F64" s="24"/>
      <c r="G64" s="5"/>
      <c r="H64" s="17">
        <v>59</v>
      </c>
      <c r="I64" s="18" t="str">
        <f t="shared" si="4"/>
        <v/>
      </c>
      <c r="J64" s="17">
        <f t="shared" si="5"/>
        <v>-3</v>
      </c>
      <c r="K64" s="17">
        <f t="shared" si="6"/>
        <v>-30</v>
      </c>
      <c r="L64" s="17"/>
      <c r="M64" s="19">
        <f t="shared" si="2"/>
        <v>0</v>
      </c>
      <c r="N64" s="19">
        <f t="shared" si="3"/>
        <v>0</v>
      </c>
    </row>
    <row r="65" spans="1:14">
      <c r="A65" s="41">
        <f t="shared" si="12"/>
        <v>0</v>
      </c>
      <c r="B65" s="35" t="str">
        <f t="shared" si="13"/>
        <v/>
      </c>
      <c r="C65" s="25"/>
      <c r="D65" s="25"/>
      <c r="E65" s="25"/>
      <c r="F65" s="25"/>
      <c r="G65" s="5"/>
      <c r="H65" s="44">
        <v>60</v>
      </c>
      <c r="I65" s="45" t="str">
        <f t="shared" si="4"/>
        <v/>
      </c>
      <c r="J65" s="44">
        <f t="shared" si="5"/>
        <v>-3</v>
      </c>
      <c r="K65" s="44">
        <f t="shared" si="6"/>
        <v>-30</v>
      </c>
      <c r="L65" s="44"/>
      <c r="M65" s="46">
        <f t="shared" si="2"/>
        <v>0</v>
      </c>
      <c r="N65" s="46">
        <f t="shared" si="3"/>
        <v>0</v>
      </c>
    </row>
    <row r="66" spans="1:14">
      <c r="A66" s="43">
        <f t="shared" si="12"/>
        <v>0</v>
      </c>
      <c r="B66" s="36"/>
      <c r="G66" s="5"/>
      <c r="H66" s="17">
        <v>61</v>
      </c>
      <c r="I66" s="18" t="str">
        <f t="shared" si="4"/>
        <v/>
      </c>
      <c r="J66" s="17">
        <f t="shared" si="5"/>
        <v>-3</v>
      </c>
      <c r="K66" s="17">
        <f t="shared" si="6"/>
        <v>-30</v>
      </c>
      <c r="L66" s="17"/>
      <c r="M66" s="19">
        <f t="shared" si="2"/>
        <v>0</v>
      </c>
      <c r="N66" s="19">
        <f t="shared" si="3"/>
        <v>0</v>
      </c>
    </row>
    <row r="67" spans="1:14">
      <c r="A67" s="43">
        <f t="shared" si="12"/>
        <v>0</v>
      </c>
      <c r="B67" s="35"/>
      <c r="G67" s="5"/>
      <c r="H67" s="17">
        <v>62</v>
      </c>
      <c r="I67" s="18" t="str">
        <f t="shared" si="4"/>
        <v/>
      </c>
      <c r="J67" s="17">
        <f t="shared" si="5"/>
        <v>-3</v>
      </c>
      <c r="K67" s="17">
        <f t="shared" si="6"/>
        <v>-30</v>
      </c>
      <c r="L67" s="17"/>
      <c r="M67" s="19">
        <f t="shared" si="2"/>
        <v>0</v>
      </c>
      <c r="N67" s="19">
        <f t="shared" si="3"/>
        <v>0</v>
      </c>
    </row>
    <row r="68" spans="1:14">
      <c r="A68" s="43">
        <f t="shared" si="12"/>
        <v>0</v>
      </c>
      <c r="B68" s="36"/>
      <c r="G68" s="5"/>
      <c r="H68" s="17">
        <v>63</v>
      </c>
      <c r="I68" s="18" t="str">
        <f t="shared" si="4"/>
        <v/>
      </c>
      <c r="J68" s="17">
        <f t="shared" si="5"/>
        <v>-3</v>
      </c>
      <c r="K68" s="17">
        <f t="shared" si="6"/>
        <v>-30</v>
      </c>
      <c r="L68" s="17"/>
      <c r="M68" s="19">
        <f t="shared" si="2"/>
        <v>0</v>
      </c>
      <c r="N68" s="19">
        <f t="shared" si="3"/>
        <v>0</v>
      </c>
    </row>
    <row r="69" spans="1:14">
      <c r="A69" s="43">
        <f t="shared" si="12"/>
        <v>0</v>
      </c>
      <c r="B69" s="35"/>
      <c r="G69" s="5"/>
      <c r="H69" s="17">
        <v>64</v>
      </c>
      <c r="I69" s="18" t="str">
        <f t="shared" si="4"/>
        <v/>
      </c>
      <c r="J69" s="17">
        <f t="shared" si="5"/>
        <v>-3</v>
      </c>
      <c r="K69" s="17">
        <f t="shared" si="6"/>
        <v>-30</v>
      </c>
      <c r="L69" s="17"/>
      <c r="M69" s="19">
        <f t="shared" si="2"/>
        <v>0</v>
      </c>
      <c r="N69" s="19">
        <f t="shared" si="3"/>
        <v>0</v>
      </c>
    </row>
    <row r="70" spans="1:14">
      <c r="A70" s="43">
        <f t="shared" si="12"/>
        <v>0</v>
      </c>
      <c r="G70" s="5"/>
      <c r="H70" s="17">
        <v>65</v>
      </c>
      <c r="I70" s="18" t="str">
        <f t="shared" ref="I70:I133" si="14">IF(H70&lt;$H$2+1,($I$2-($I$2-1)*(LOG(H70)/LOG($H$2))),"")</f>
        <v/>
      </c>
      <c r="J70" s="17">
        <f t="shared" si="5"/>
        <v>-4</v>
      </c>
      <c r="K70" s="17">
        <f t="shared" ref="K70:K133" si="15">J70*$J$2</f>
        <v>-40</v>
      </c>
      <c r="L70" s="17"/>
      <c r="M70" s="19">
        <f t="shared" ref="M70:M133" si="16">IF(I70&lt;&gt;"",K70+I70+L70,0)</f>
        <v>0</v>
      </c>
      <c r="N70" s="19">
        <f t="shared" ref="N70:N133" si="17">IF(I70&lt;&gt;"",M70*L$2,0)</f>
        <v>0</v>
      </c>
    </row>
    <row r="71" spans="1:14">
      <c r="A71" s="43">
        <f t="shared" ref="A71:A134" si="18">N71</f>
        <v>0</v>
      </c>
      <c r="G71" s="5"/>
      <c r="H71" s="17">
        <v>66</v>
      </c>
      <c r="I71" s="18" t="str">
        <f t="shared" si="14"/>
        <v/>
      </c>
      <c r="J71" s="17">
        <f t="shared" ref="J71:J134" si="19">INT(LOG($H$2,2))-ROUNDUP(LOG(H71,2),0)+IF(OR($H$2=1,$H$2=2,$H$2=4,$H$2=8,$H$2=16,$H$2=32,$H$2=64,$H$2=128,$H$2=256),0,1)</f>
        <v>-4</v>
      </c>
      <c r="K71" s="17">
        <f t="shared" si="15"/>
        <v>-40</v>
      </c>
      <c r="L71" s="17"/>
      <c r="M71" s="19">
        <f t="shared" si="16"/>
        <v>0</v>
      </c>
      <c r="N71" s="19">
        <f t="shared" si="17"/>
        <v>0</v>
      </c>
    </row>
    <row r="72" spans="1:14">
      <c r="A72" s="43">
        <f t="shared" si="18"/>
        <v>0</v>
      </c>
      <c r="G72" s="5"/>
      <c r="H72" s="17">
        <v>67</v>
      </c>
      <c r="I72" s="18" t="str">
        <f t="shared" si="14"/>
        <v/>
      </c>
      <c r="J72" s="17">
        <f t="shared" si="19"/>
        <v>-4</v>
      </c>
      <c r="K72" s="17">
        <f t="shared" si="15"/>
        <v>-40</v>
      </c>
      <c r="L72" s="17"/>
      <c r="M72" s="19">
        <f t="shared" si="16"/>
        <v>0</v>
      </c>
      <c r="N72" s="19">
        <f t="shared" si="17"/>
        <v>0</v>
      </c>
    </row>
    <row r="73" spans="1:14">
      <c r="A73" s="43">
        <f t="shared" si="18"/>
        <v>0</v>
      </c>
      <c r="G73" s="5"/>
      <c r="H73" s="17">
        <v>68</v>
      </c>
      <c r="I73" s="18" t="str">
        <f t="shared" si="14"/>
        <v/>
      </c>
      <c r="J73" s="17">
        <f t="shared" si="19"/>
        <v>-4</v>
      </c>
      <c r="K73" s="17">
        <f t="shared" si="15"/>
        <v>-40</v>
      </c>
      <c r="L73" s="17"/>
      <c r="M73" s="19">
        <f t="shared" si="16"/>
        <v>0</v>
      </c>
      <c r="N73" s="19">
        <f t="shared" si="17"/>
        <v>0</v>
      </c>
    </row>
    <row r="74" spans="1:14">
      <c r="A74" s="43">
        <f t="shared" si="18"/>
        <v>0</v>
      </c>
      <c r="G74" s="5"/>
      <c r="H74" s="17">
        <v>69</v>
      </c>
      <c r="I74" s="18" t="str">
        <f t="shared" si="14"/>
        <v/>
      </c>
      <c r="J74" s="17">
        <f t="shared" si="19"/>
        <v>-4</v>
      </c>
      <c r="K74" s="17">
        <f t="shared" si="15"/>
        <v>-40</v>
      </c>
      <c r="L74" s="17"/>
      <c r="M74" s="19">
        <f t="shared" si="16"/>
        <v>0</v>
      </c>
      <c r="N74" s="19">
        <f t="shared" si="17"/>
        <v>0</v>
      </c>
    </row>
    <row r="75" spans="1:14">
      <c r="A75" s="43">
        <f t="shared" si="18"/>
        <v>0</v>
      </c>
      <c r="G75" s="5"/>
      <c r="H75" s="17">
        <v>70</v>
      </c>
      <c r="I75" s="18" t="str">
        <f t="shared" si="14"/>
        <v/>
      </c>
      <c r="J75" s="17">
        <f t="shared" si="19"/>
        <v>-4</v>
      </c>
      <c r="K75" s="17">
        <f t="shared" si="15"/>
        <v>-40</v>
      </c>
      <c r="L75" s="17"/>
      <c r="M75" s="19">
        <f t="shared" si="16"/>
        <v>0</v>
      </c>
      <c r="N75" s="19">
        <f t="shared" si="17"/>
        <v>0</v>
      </c>
    </row>
    <row r="76" spans="1:14">
      <c r="A76" s="43">
        <f t="shared" si="18"/>
        <v>0</v>
      </c>
      <c r="G76" s="5"/>
      <c r="H76" s="17">
        <v>71</v>
      </c>
      <c r="I76" s="18" t="str">
        <f t="shared" si="14"/>
        <v/>
      </c>
      <c r="J76" s="17">
        <f t="shared" si="19"/>
        <v>-4</v>
      </c>
      <c r="K76" s="17">
        <f t="shared" si="15"/>
        <v>-40</v>
      </c>
      <c r="L76" s="17"/>
      <c r="M76" s="19">
        <f t="shared" si="16"/>
        <v>0</v>
      </c>
      <c r="N76" s="19">
        <f t="shared" si="17"/>
        <v>0</v>
      </c>
    </row>
    <row r="77" spans="1:14">
      <c r="A77" s="43">
        <f t="shared" si="18"/>
        <v>0</v>
      </c>
      <c r="G77" s="5"/>
      <c r="H77" s="17">
        <v>72</v>
      </c>
      <c r="I77" s="18" t="str">
        <f t="shared" si="14"/>
        <v/>
      </c>
      <c r="J77" s="17">
        <f t="shared" si="19"/>
        <v>-4</v>
      </c>
      <c r="K77" s="17">
        <f t="shared" si="15"/>
        <v>-40</v>
      </c>
      <c r="L77" s="17"/>
      <c r="M77" s="19">
        <f t="shared" si="16"/>
        <v>0</v>
      </c>
      <c r="N77" s="19">
        <f t="shared" si="17"/>
        <v>0</v>
      </c>
    </row>
    <row r="78" spans="1:14">
      <c r="A78" s="43">
        <f t="shared" si="18"/>
        <v>0</v>
      </c>
      <c r="G78" s="5"/>
      <c r="H78" s="17">
        <v>73</v>
      </c>
      <c r="I78" s="18" t="str">
        <f t="shared" si="14"/>
        <v/>
      </c>
      <c r="J78" s="17">
        <f t="shared" si="19"/>
        <v>-4</v>
      </c>
      <c r="K78" s="17">
        <f t="shared" si="15"/>
        <v>-40</v>
      </c>
      <c r="L78" s="17"/>
      <c r="M78" s="19">
        <f t="shared" si="16"/>
        <v>0</v>
      </c>
      <c r="N78" s="19">
        <f t="shared" si="17"/>
        <v>0</v>
      </c>
    </row>
    <row r="79" spans="1:14">
      <c r="A79" s="43">
        <f t="shared" si="18"/>
        <v>0</v>
      </c>
      <c r="G79" s="5"/>
      <c r="H79" s="17">
        <v>74</v>
      </c>
      <c r="I79" s="18" t="str">
        <f t="shared" si="14"/>
        <v/>
      </c>
      <c r="J79" s="17">
        <f t="shared" si="19"/>
        <v>-4</v>
      </c>
      <c r="K79" s="17">
        <f t="shared" si="15"/>
        <v>-40</v>
      </c>
      <c r="L79" s="17"/>
      <c r="M79" s="19">
        <f t="shared" si="16"/>
        <v>0</v>
      </c>
      <c r="N79" s="19">
        <f t="shared" si="17"/>
        <v>0</v>
      </c>
    </row>
    <row r="80" spans="1:14">
      <c r="A80" s="43">
        <f t="shared" si="18"/>
        <v>0</v>
      </c>
      <c r="G80" s="5"/>
      <c r="H80" s="17">
        <v>75</v>
      </c>
      <c r="I80" s="18" t="str">
        <f t="shared" si="14"/>
        <v/>
      </c>
      <c r="J80" s="17">
        <f t="shared" si="19"/>
        <v>-4</v>
      </c>
      <c r="K80" s="17">
        <f t="shared" si="15"/>
        <v>-40</v>
      </c>
      <c r="L80" s="17"/>
      <c r="M80" s="19">
        <f t="shared" si="16"/>
        <v>0</v>
      </c>
      <c r="N80" s="19">
        <f t="shared" si="17"/>
        <v>0</v>
      </c>
    </row>
    <row r="81" spans="1:14">
      <c r="A81" s="43">
        <f t="shared" si="18"/>
        <v>0</v>
      </c>
      <c r="G81" s="5"/>
      <c r="H81" s="17">
        <v>76</v>
      </c>
      <c r="I81" s="18" t="str">
        <f t="shared" si="14"/>
        <v/>
      </c>
      <c r="J81" s="17">
        <f t="shared" si="19"/>
        <v>-4</v>
      </c>
      <c r="K81" s="17">
        <f t="shared" si="15"/>
        <v>-40</v>
      </c>
      <c r="L81" s="17"/>
      <c r="M81" s="19">
        <f t="shared" si="16"/>
        <v>0</v>
      </c>
      <c r="N81" s="19">
        <f t="shared" si="17"/>
        <v>0</v>
      </c>
    </row>
    <row r="82" spans="1:14">
      <c r="A82" s="43">
        <f t="shared" si="18"/>
        <v>0</v>
      </c>
      <c r="G82" s="5"/>
      <c r="H82" s="17">
        <v>77</v>
      </c>
      <c r="I82" s="18" t="str">
        <f t="shared" si="14"/>
        <v/>
      </c>
      <c r="J82" s="17">
        <f t="shared" si="19"/>
        <v>-4</v>
      </c>
      <c r="K82" s="17">
        <f t="shared" si="15"/>
        <v>-40</v>
      </c>
      <c r="L82" s="17"/>
      <c r="M82" s="19">
        <f t="shared" si="16"/>
        <v>0</v>
      </c>
      <c r="N82" s="19">
        <f t="shared" si="17"/>
        <v>0</v>
      </c>
    </row>
    <row r="83" spans="1:14">
      <c r="A83" s="43">
        <f t="shared" si="18"/>
        <v>0</v>
      </c>
      <c r="G83" s="5"/>
      <c r="H83" s="17">
        <v>78</v>
      </c>
      <c r="I83" s="18" t="str">
        <f t="shared" si="14"/>
        <v/>
      </c>
      <c r="J83" s="17">
        <f t="shared" si="19"/>
        <v>-4</v>
      </c>
      <c r="K83" s="17">
        <f t="shared" si="15"/>
        <v>-40</v>
      </c>
      <c r="L83" s="17"/>
      <c r="M83" s="19">
        <f t="shared" si="16"/>
        <v>0</v>
      </c>
      <c r="N83" s="19">
        <f t="shared" si="17"/>
        <v>0</v>
      </c>
    </row>
    <row r="84" spans="1:14">
      <c r="A84" s="43">
        <f t="shared" si="18"/>
        <v>0</v>
      </c>
      <c r="G84" s="5"/>
      <c r="H84" s="17">
        <v>79</v>
      </c>
      <c r="I84" s="18" t="str">
        <f t="shared" si="14"/>
        <v/>
      </c>
      <c r="J84" s="17">
        <f t="shared" si="19"/>
        <v>-4</v>
      </c>
      <c r="K84" s="17">
        <f t="shared" si="15"/>
        <v>-40</v>
      </c>
      <c r="L84" s="17"/>
      <c r="M84" s="19">
        <f t="shared" si="16"/>
        <v>0</v>
      </c>
      <c r="N84" s="19">
        <f t="shared" si="17"/>
        <v>0</v>
      </c>
    </row>
    <row r="85" spans="1:14">
      <c r="A85" s="43">
        <f t="shared" si="18"/>
        <v>0</v>
      </c>
      <c r="G85" s="5"/>
      <c r="H85" s="17">
        <v>80</v>
      </c>
      <c r="I85" s="18" t="str">
        <f t="shared" si="14"/>
        <v/>
      </c>
      <c r="J85" s="17">
        <f t="shared" si="19"/>
        <v>-4</v>
      </c>
      <c r="K85" s="17">
        <f t="shared" si="15"/>
        <v>-40</v>
      </c>
      <c r="L85" s="17"/>
      <c r="M85" s="19">
        <f t="shared" si="16"/>
        <v>0</v>
      </c>
      <c r="N85" s="19">
        <f t="shared" si="17"/>
        <v>0</v>
      </c>
    </row>
    <row r="86" spans="1:14">
      <c r="A86" s="43">
        <f t="shared" si="18"/>
        <v>0</v>
      </c>
      <c r="G86" s="5"/>
      <c r="H86" s="17">
        <v>81</v>
      </c>
      <c r="I86" s="18" t="str">
        <f t="shared" si="14"/>
        <v/>
      </c>
      <c r="J86" s="17">
        <f t="shared" si="19"/>
        <v>-4</v>
      </c>
      <c r="K86" s="17">
        <f t="shared" si="15"/>
        <v>-40</v>
      </c>
      <c r="L86" s="17"/>
      <c r="M86" s="19">
        <f t="shared" si="16"/>
        <v>0</v>
      </c>
      <c r="N86" s="19">
        <f t="shared" si="17"/>
        <v>0</v>
      </c>
    </row>
    <row r="87" spans="1:14">
      <c r="A87" s="43">
        <f t="shared" si="18"/>
        <v>0</v>
      </c>
      <c r="G87" s="5"/>
      <c r="H87" s="17">
        <v>82</v>
      </c>
      <c r="I87" s="18" t="str">
        <f t="shared" si="14"/>
        <v/>
      </c>
      <c r="J87" s="17">
        <f t="shared" si="19"/>
        <v>-4</v>
      </c>
      <c r="K87" s="17">
        <f t="shared" si="15"/>
        <v>-40</v>
      </c>
      <c r="L87" s="17"/>
      <c r="M87" s="19">
        <f t="shared" si="16"/>
        <v>0</v>
      </c>
      <c r="N87" s="19">
        <f t="shared" si="17"/>
        <v>0</v>
      </c>
    </row>
    <row r="88" spans="1:14">
      <c r="A88" s="43">
        <f t="shared" si="18"/>
        <v>0</v>
      </c>
      <c r="G88" s="5"/>
      <c r="H88" s="17">
        <v>83</v>
      </c>
      <c r="I88" s="18" t="str">
        <f t="shared" si="14"/>
        <v/>
      </c>
      <c r="J88" s="17">
        <f t="shared" si="19"/>
        <v>-4</v>
      </c>
      <c r="K88" s="17">
        <f t="shared" si="15"/>
        <v>-40</v>
      </c>
      <c r="L88" s="17"/>
      <c r="M88" s="19">
        <f t="shared" si="16"/>
        <v>0</v>
      </c>
      <c r="N88" s="19">
        <f t="shared" si="17"/>
        <v>0</v>
      </c>
    </row>
    <row r="89" spans="1:14">
      <c r="A89" s="43">
        <f t="shared" si="18"/>
        <v>0</v>
      </c>
      <c r="G89" s="5"/>
      <c r="H89" s="17">
        <v>84</v>
      </c>
      <c r="I89" s="18" t="str">
        <f t="shared" si="14"/>
        <v/>
      </c>
      <c r="J89" s="17">
        <f t="shared" si="19"/>
        <v>-4</v>
      </c>
      <c r="K89" s="17">
        <f t="shared" si="15"/>
        <v>-40</v>
      </c>
      <c r="L89" s="17"/>
      <c r="M89" s="19">
        <f t="shared" si="16"/>
        <v>0</v>
      </c>
      <c r="N89" s="19">
        <f t="shared" si="17"/>
        <v>0</v>
      </c>
    </row>
    <row r="90" spans="1:14">
      <c r="A90" s="43">
        <f t="shared" si="18"/>
        <v>0</v>
      </c>
      <c r="G90" s="5"/>
      <c r="H90" s="17">
        <v>85</v>
      </c>
      <c r="I90" s="18" t="str">
        <f t="shared" si="14"/>
        <v/>
      </c>
      <c r="J90" s="17">
        <f t="shared" si="19"/>
        <v>-4</v>
      </c>
      <c r="K90" s="17">
        <f t="shared" si="15"/>
        <v>-40</v>
      </c>
      <c r="L90" s="17"/>
      <c r="M90" s="19">
        <f t="shared" si="16"/>
        <v>0</v>
      </c>
      <c r="N90" s="19">
        <f t="shared" si="17"/>
        <v>0</v>
      </c>
    </row>
    <row r="91" spans="1:14">
      <c r="A91" s="43">
        <f t="shared" si="18"/>
        <v>0</v>
      </c>
      <c r="G91" s="5"/>
      <c r="H91" s="17">
        <v>86</v>
      </c>
      <c r="I91" s="18" t="str">
        <f t="shared" si="14"/>
        <v/>
      </c>
      <c r="J91" s="17">
        <f t="shared" si="19"/>
        <v>-4</v>
      </c>
      <c r="K91" s="17">
        <f t="shared" si="15"/>
        <v>-40</v>
      </c>
      <c r="L91" s="17"/>
      <c r="M91" s="19">
        <f t="shared" si="16"/>
        <v>0</v>
      </c>
      <c r="N91" s="19">
        <f t="shared" si="17"/>
        <v>0</v>
      </c>
    </row>
    <row r="92" spans="1:14">
      <c r="A92" s="43">
        <f t="shared" si="18"/>
        <v>0</v>
      </c>
      <c r="G92" s="5"/>
      <c r="H92" s="17">
        <v>87</v>
      </c>
      <c r="I92" s="18" t="str">
        <f t="shared" si="14"/>
        <v/>
      </c>
      <c r="J92" s="17">
        <f t="shared" si="19"/>
        <v>-4</v>
      </c>
      <c r="K92" s="17">
        <f t="shared" si="15"/>
        <v>-40</v>
      </c>
      <c r="L92" s="17"/>
      <c r="M92" s="19">
        <f t="shared" si="16"/>
        <v>0</v>
      </c>
      <c r="N92" s="19">
        <f t="shared" si="17"/>
        <v>0</v>
      </c>
    </row>
    <row r="93" spans="1:14">
      <c r="A93" s="43">
        <f t="shared" si="18"/>
        <v>0</v>
      </c>
      <c r="G93" s="5"/>
      <c r="H93" s="17">
        <v>88</v>
      </c>
      <c r="I93" s="18" t="str">
        <f t="shared" si="14"/>
        <v/>
      </c>
      <c r="J93" s="17">
        <f t="shared" si="19"/>
        <v>-4</v>
      </c>
      <c r="K93" s="17">
        <f t="shared" si="15"/>
        <v>-40</v>
      </c>
      <c r="L93" s="17"/>
      <c r="M93" s="19">
        <f t="shared" si="16"/>
        <v>0</v>
      </c>
      <c r="N93" s="19">
        <f t="shared" si="17"/>
        <v>0</v>
      </c>
    </row>
    <row r="94" spans="1:14">
      <c r="A94" s="43">
        <f t="shared" si="18"/>
        <v>0</v>
      </c>
      <c r="G94" s="5"/>
      <c r="H94" s="17">
        <v>89</v>
      </c>
      <c r="I94" s="18" t="str">
        <f t="shared" si="14"/>
        <v/>
      </c>
      <c r="J94" s="17">
        <f t="shared" si="19"/>
        <v>-4</v>
      </c>
      <c r="K94" s="17">
        <f t="shared" si="15"/>
        <v>-40</v>
      </c>
      <c r="L94" s="17"/>
      <c r="M94" s="19">
        <f t="shared" si="16"/>
        <v>0</v>
      </c>
      <c r="N94" s="19">
        <f t="shared" si="17"/>
        <v>0</v>
      </c>
    </row>
    <row r="95" spans="1:14">
      <c r="A95" s="43">
        <f t="shared" si="18"/>
        <v>0</v>
      </c>
      <c r="G95" s="5"/>
      <c r="H95" s="17">
        <v>90</v>
      </c>
      <c r="I95" s="18" t="str">
        <f t="shared" si="14"/>
        <v/>
      </c>
      <c r="J95" s="17">
        <f t="shared" si="19"/>
        <v>-4</v>
      </c>
      <c r="K95" s="17">
        <f t="shared" si="15"/>
        <v>-40</v>
      </c>
      <c r="L95" s="17"/>
      <c r="M95" s="19">
        <f t="shared" si="16"/>
        <v>0</v>
      </c>
      <c r="N95" s="19">
        <f t="shared" si="17"/>
        <v>0</v>
      </c>
    </row>
    <row r="96" spans="1:14">
      <c r="A96" s="43">
        <f t="shared" si="18"/>
        <v>0</v>
      </c>
      <c r="G96" s="5"/>
      <c r="H96" s="17">
        <v>91</v>
      </c>
      <c r="I96" s="18" t="str">
        <f t="shared" si="14"/>
        <v/>
      </c>
      <c r="J96" s="17">
        <f t="shared" si="19"/>
        <v>-4</v>
      </c>
      <c r="K96" s="17">
        <f t="shared" si="15"/>
        <v>-40</v>
      </c>
      <c r="L96" s="17"/>
      <c r="M96" s="19">
        <f t="shared" si="16"/>
        <v>0</v>
      </c>
      <c r="N96" s="19">
        <f t="shared" si="17"/>
        <v>0</v>
      </c>
    </row>
    <row r="97" spans="1:14">
      <c r="A97" s="43">
        <f t="shared" si="18"/>
        <v>0</v>
      </c>
      <c r="G97" s="5"/>
      <c r="H97" s="17">
        <v>92</v>
      </c>
      <c r="I97" s="18" t="str">
        <f t="shared" si="14"/>
        <v/>
      </c>
      <c r="J97" s="17">
        <f t="shared" si="19"/>
        <v>-4</v>
      </c>
      <c r="K97" s="17">
        <f t="shared" si="15"/>
        <v>-40</v>
      </c>
      <c r="L97" s="17"/>
      <c r="M97" s="19">
        <f t="shared" si="16"/>
        <v>0</v>
      </c>
      <c r="N97" s="19">
        <f t="shared" si="17"/>
        <v>0</v>
      </c>
    </row>
    <row r="98" spans="1:14">
      <c r="A98" s="43">
        <f t="shared" si="18"/>
        <v>0</v>
      </c>
      <c r="G98" s="5"/>
      <c r="H98" s="17">
        <v>93</v>
      </c>
      <c r="I98" s="18" t="str">
        <f t="shared" si="14"/>
        <v/>
      </c>
      <c r="J98" s="17">
        <f t="shared" si="19"/>
        <v>-4</v>
      </c>
      <c r="K98" s="17">
        <f t="shared" si="15"/>
        <v>-40</v>
      </c>
      <c r="L98" s="17"/>
      <c r="M98" s="19">
        <f t="shared" si="16"/>
        <v>0</v>
      </c>
      <c r="N98" s="19">
        <f t="shared" si="17"/>
        <v>0</v>
      </c>
    </row>
    <row r="99" spans="1:14">
      <c r="A99" s="43">
        <f t="shared" si="18"/>
        <v>0</v>
      </c>
      <c r="G99" s="5"/>
      <c r="H99" s="17">
        <v>94</v>
      </c>
      <c r="I99" s="18" t="str">
        <f t="shared" si="14"/>
        <v/>
      </c>
      <c r="J99" s="17">
        <f t="shared" si="19"/>
        <v>-4</v>
      </c>
      <c r="K99" s="17">
        <f t="shared" si="15"/>
        <v>-40</v>
      </c>
      <c r="L99" s="17"/>
      <c r="M99" s="19">
        <f t="shared" si="16"/>
        <v>0</v>
      </c>
      <c r="N99" s="19">
        <f t="shared" si="17"/>
        <v>0</v>
      </c>
    </row>
    <row r="100" spans="1:14">
      <c r="A100" s="43">
        <f t="shared" si="18"/>
        <v>0</v>
      </c>
      <c r="G100" s="5"/>
      <c r="H100" s="17">
        <v>95</v>
      </c>
      <c r="I100" s="18" t="str">
        <f t="shared" si="14"/>
        <v/>
      </c>
      <c r="J100" s="17">
        <f t="shared" si="19"/>
        <v>-4</v>
      </c>
      <c r="K100" s="17">
        <f t="shared" si="15"/>
        <v>-40</v>
      </c>
      <c r="L100" s="17"/>
      <c r="M100" s="19">
        <f t="shared" si="16"/>
        <v>0</v>
      </c>
      <c r="N100" s="19">
        <f t="shared" si="17"/>
        <v>0</v>
      </c>
    </row>
    <row r="101" spans="1:14">
      <c r="A101" s="43">
        <f t="shared" si="18"/>
        <v>0</v>
      </c>
      <c r="G101" s="5"/>
      <c r="H101" s="17">
        <v>96</v>
      </c>
      <c r="I101" s="18" t="str">
        <f t="shared" si="14"/>
        <v/>
      </c>
      <c r="J101" s="17">
        <f t="shared" si="19"/>
        <v>-4</v>
      </c>
      <c r="K101" s="17">
        <f t="shared" si="15"/>
        <v>-40</v>
      </c>
      <c r="L101" s="17"/>
      <c r="M101" s="19">
        <f t="shared" si="16"/>
        <v>0</v>
      </c>
      <c r="N101" s="19">
        <f t="shared" si="17"/>
        <v>0</v>
      </c>
    </row>
    <row r="102" spans="1:14">
      <c r="A102" s="43">
        <f t="shared" si="18"/>
        <v>0</v>
      </c>
      <c r="G102" s="5"/>
      <c r="H102" s="17">
        <v>97</v>
      </c>
      <c r="I102" s="18" t="str">
        <f t="shared" si="14"/>
        <v/>
      </c>
      <c r="J102" s="17">
        <f t="shared" si="19"/>
        <v>-4</v>
      </c>
      <c r="K102" s="17">
        <f t="shared" si="15"/>
        <v>-40</v>
      </c>
      <c r="L102" s="17"/>
      <c r="M102" s="19">
        <f t="shared" si="16"/>
        <v>0</v>
      </c>
      <c r="N102" s="19">
        <f t="shared" si="17"/>
        <v>0</v>
      </c>
    </row>
    <row r="103" spans="1:14">
      <c r="A103" s="43">
        <f t="shared" si="18"/>
        <v>0</v>
      </c>
      <c r="G103" s="5"/>
      <c r="H103" s="17">
        <v>98</v>
      </c>
      <c r="I103" s="18" t="str">
        <f t="shared" si="14"/>
        <v/>
      </c>
      <c r="J103" s="17">
        <f t="shared" si="19"/>
        <v>-4</v>
      </c>
      <c r="K103" s="17">
        <f t="shared" si="15"/>
        <v>-40</v>
      </c>
      <c r="L103" s="17"/>
      <c r="M103" s="19">
        <f t="shared" si="16"/>
        <v>0</v>
      </c>
      <c r="N103" s="19">
        <f t="shared" si="17"/>
        <v>0</v>
      </c>
    </row>
    <row r="104" spans="1:14">
      <c r="A104" s="43">
        <f t="shared" si="18"/>
        <v>0</v>
      </c>
      <c r="G104" s="5"/>
      <c r="H104" s="17">
        <v>99</v>
      </c>
      <c r="I104" s="18" t="str">
        <f t="shared" si="14"/>
        <v/>
      </c>
      <c r="J104" s="17">
        <f t="shared" si="19"/>
        <v>-4</v>
      </c>
      <c r="K104" s="17">
        <f t="shared" si="15"/>
        <v>-40</v>
      </c>
      <c r="L104" s="17"/>
      <c r="M104" s="19">
        <f t="shared" si="16"/>
        <v>0</v>
      </c>
      <c r="N104" s="19">
        <f t="shared" si="17"/>
        <v>0</v>
      </c>
    </row>
    <row r="105" spans="1:14">
      <c r="A105" s="43">
        <f t="shared" si="18"/>
        <v>0</v>
      </c>
      <c r="G105" s="5"/>
      <c r="H105" s="17">
        <v>100</v>
      </c>
      <c r="I105" s="18" t="str">
        <f t="shared" si="14"/>
        <v/>
      </c>
      <c r="J105" s="17">
        <f t="shared" si="19"/>
        <v>-4</v>
      </c>
      <c r="K105" s="17">
        <f t="shared" si="15"/>
        <v>-40</v>
      </c>
      <c r="L105" s="17"/>
      <c r="M105" s="19">
        <f t="shared" si="16"/>
        <v>0</v>
      </c>
      <c r="N105" s="19">
        <f t="shared" si="17"/>
        <v>0</v>
      </c>
    </row>
    <row r="106" spans="1:14">
      <c r="A106" s="43">
        <f t="shared" si="18"/>
        <v>0</v>
      </c>
      <c r="G106" s="5"/>
      <c r="H106" s="17">
        <v>101</v>
      </c>
      <c r="I106" s="18" t="str">
        <f t="shared" si="14"/>
        <v/>
      </c>
      <c r="J106" s="17">
        <f t="shared" si="19"/>
        <v>-4</v>
      </c>
      <c r="K106" s="17">
        <f t="shared" si="15"/>
        <v>-40</v>
      </c>
      <c r="L106" s="17"/>
      <c r="M106" s="19">
        <f t="shared" si="16"/>
        <v>0</v>
      </c>
      <c r="N106" s="19">
        <f t="shared" si="17"/>
        <v>0</v>
      </c>
    </row>
    <row r="107" spans="1:14">
      <c r="A107" s="43">
        <f t="shared" si="18"/>
        <v>0</v>
      </c>
      <c r="G107" s="5"/>
      <c r="H107" s="17">
        <v>102</v>
      </c>
      <c r="I107" s="18" t="str">
        <f t="shared" si="14"/>
        <v/>
      </c>
      <c r="J107" s="17">
        <f t="shared" si="19"/>
        <v>-4</v>
      </c>
      <c r="K107" s="17">
        <f t="shared" si="15"/>
        <v>-40</v>
      </c>
      <c r="L107" s="17"/>
      <c r="M107" s="19">
        <f t="shared" si="16"/>
        <v>0</v>
      </c>
      <c r="N107" s="19">
        <f t="shared" si="17"/>
        <v>0</v>
      </c>
    </row>
    <row r="108" spans="1:14">
      <c r="A108" s="43">
        <f t="shared" si="18"/>
        <v>0</v>
      </c>
      <c r="G108" s="5"/>
      <c r="H108" s="17">
        <v>103</v>
      </c>
      <c r="I108" s="18" t="str">
        <f t="shared" si="14"/>
        <v/>
      </c>
      <c r="J108" s="17">
        <f t="shared" si="19"/>
        <v>-4</v>
      </c>
      <c r="K108" s="17">
        <f t="shared" si="15"/>
        <v>-40</v>
      </c>
      <c r="L108" s="17"/>
      <c r="M108" s="19">
        <f t="shared" si="16"/>
        <v>0</v>
      </c>
      <c r="N108" s="19">
        <f t="shared" si="17"/>
        <v>0</v>
      </c>
    </row>
    <row r="109" spans="1:14">
      <c r="A109" s="43">
        <f t="shared" si="18"/>
        <v>0</v>
      </c>
      <c r="G109" s="5"/>
      <c r="H109" s="17">
        <v>104</v>
      </c>
      <c r="I109" s="18" t="str">
        <f t="shared" si="14"/>
        <v/>
      </c>
      <c r="J109" s="17">
        <f t="shared" si="19"/>
        <v>-4</v>
      </c>
      <c r="K109" s="17">
        <f t="shared" si="15"/>
        <v>-40</v>
      </c>
      <c r="L109" s="17"/>
      <c r="M109" s="19">
        <f t="shared" si="16"/>
        <v>0</v>
      </c>
      <c r="N109" s="19">
        <f t="shared" si="17"/>
        <v>0</v>
      </c>
    </row>
    <row r="110" spans="1:14">
      <c r="A110" s="43">
        <f t="shared" si="18"/>
        <v>0</v>
      </c>
      <c r="G110" s="5"/>
      <c r="H110" s="17">
        <v>105</v>
      </c>
      <c r="I110" s="18" t="str">
        <f t="shared" si="14"/>
        <v/>
      </c>
      <c r="J110" s="17">
        <f t="shared" si="19"/>
        <v>-4</v>
      </c>
      <c r="K110" s="17">
        <f t="shared" si="15"/>
        <v>-40</v>
      </c>
      <c r="L110" s="17"/>
      <c r="M110" s="19">
        <f t="shared" si="16"/>
        <v>0</v>
      </c>
      <c r="N110" s="19">
        <f t="shared" si="17"/>
        <v>0</v>
      </c>
    </row>
    <row r="111" spans="1:14">
      <c r="A111" s="43">
        <f t="shared" si="18"/>
        <v>0</v>
      </c>
      <c r="G111" s="5"/>
      <c r="H111" s="17">
        <v>106</v>
      </c>
      <c r="I111" s="18" t="str">
        <f t="shared" si="14"/>
        <v/>
      </c>
      <c r="J111" s="17">
        <f t="shared" si="19"/>
        <v>-4</v>
      </c>
      <c r="K111" s="17">
        <f t="shared" si="15"/>
        <v>-40</v>
      </c>
      <c r="L111" s="17"/>
      <c r="M111" s="19">
        <f t="shared" si="16"/>
        <v>0</v>
      </c>
      <c r="N111" s="19">
        <f t="shared" si="17"/>
        <v>0</v>
      </c>
    </row>
    <row r="112" spans="1:14">
      <c r="A112" s="43">
        <f t="shared" si="18"/>
        <v>0</v>
      </c>
      <c r="G112" s="5"/>
      <c r="H112" s="17">
        <v>107</v>
      </c>
      <c r="I112" s="18" t="str">
        <f t="shared" si="14"/>
        <v/>
      </c>
      <c r="J112" s="17">
        <f t="shared" si="19"/>
        <v>-4</v>
      </c>
      <c r="K112" s="17">
        <f t="shared" si="15"/>
        <v>-40</v>
      </c>
      <c r="L112" s="17"/>
      <c r="M112" s="19">
        <f t="shared" si="16"/>
        <v>0</v>
      </c>
      <c r="N112" s="19">
        <f t="shared" si="17"/>
        <v>0</v>
      </c>
    </row>
    <row r="113" spans="1:14">
      <c r="A113" s="43">
        <f t="shared" si="18"/>
        <v>0</v>
      </c>
      <c r="G113" s="5"/>
      <c r="H113" s="17">
        <v>108</v>
      </c>
      <c r="I113" s="18" t="str">
        <f t="shared" si="14"/>
        <v/>
      </c>
      <c r="J113" s="17">
        <f t="shared" si="19"/>
        <v>-4</v>
      </c>
      <c r="K113" s="17">
        <f t="shared" si="15"/>
        <v>-40</v>
      </c>
      <c r="L113" s="17"/>
      <c r="M113" s="19">
        <f t="shared" si="16"/>
        <v>0</v>
      </c>
      <c r="N113" s="19">
        <f t="shared" si="17"/>
        <v>0</v>
      </c>
    </row>
    <row r="114" spans="1:14">
      <c r="A114" s="43">
        <f t="shared" si="18"/>
        <v>0</v>
      </c>
      <c r="G114" s="5"/>
      <c r="H114" s="17">
        <v>109</v>
      </c>
      <c r="I114" s="18" t="str">
        <f t="shared" si="14"/>
        <v/>
      </c>
      <c r="J114" s="17">
        <f t="shared" si="19"/>
        <v>-4</v>
      </c>
      <c r="K114" s="17">
        <f t="shared" si="15"/>
        <v>-40</v>
      </c>
      <c r="L114" s="17"/>
      <c r="M114" s="19">
        <f t="shared" si="16"/>
        <v>0</v>
      </c>
      <c r="N114" s="19">
        <f t="shared" si="17"/>
        <v>0</v>
      </c>
    </row>
    <row r="115" spans="1:14">
      <c r="A115" s="43">
        <f t="shared" si="18"/>
        <v>0</v>
      </c>
      <c r="G115" s="5"/>
      <c r="H115" s="17">
        <v>110</v>
      </c>
      <c r="I115" s="18" t="str">
        <f t="shared" si="14"/>
        <v/>
      </c>
      <c r="J115" s="17">
        <f t="shared" si="19"/>
        <v>-4</v>
      </c>
      <c r="K115" s="17">
        <f t="shared" si="15"/>
        <v>-40</v>
      </c>
      <c r="L115" s="17"/>
      <c r="M115" s="19">
        <f t="shared" si="16"/>
        <v>0</v>
      </c>
      <c r="N115" s="19">
        <f t="shared" si="17"/>
        <v>0</v>
      </c>
    </row>
    <row r="116" spans="1:14">
      <c r="A116" s="43">
        <f t="shared" si="18"/>
        <v>0</v>
      </c>
      <c r="G116" s="5"/>
      <c r="H116" s="17">
        <v>111</v>
      </c>
      <c r="I116" s="18" t="str">
        <f t="shared" si="14"/>
        <v/>
      </c>
      <c r="J116" s="17">
        <f t="shared" si="19"/>
        <v>-4</v>
      </c>
      <c r="K116" s="17">
        <f t="shared" si="15"/>
        <v>-40</v>
      </c>
      <c r="L116" s="17"/>
      <c r="M116" s="19">
        <f t="shared" si="16"/>
        <v>0</v>
      </c>
      <c r="N116" s="19">
        <f t="shared" si="17"/>
        <v>0</v>
      </c>
    </row>
    <row r="117" spans="1:14">
      <c r="A117" s="43">
        <f t="shared" si="18"/>
        <v>0</v>
      </c>
      <c r="G117" s="5"/>
      <c r="H117" s="17">
        <v>112</v>
      </c>
      <c r="I117" s="18" t="str">
        <f t="shared" si="14"/>
        <v/>
      </c>
      <c r="J117" s="17">
        <f t="shared" si="19"/>
        <v>-4</v>
      </c>
      <c r="K117" s="17">
        <f t="shared" si="15"/>
        <v>-40</v>
      </c>
      <c r="L117" s="17"/>
      <c r="M117" s="19">
        <f t="shared" si="16"/>
        <v>0</v>
      </c>
      <c r="N117" s="19">
        <f t="shared" si="17"/>
        <v>0</v>
      </c>
    </row>
    <row r="118" spans="1:14">
      <c r="A118" s="43">
        <f t="shared" si="18"/>
        <v>0</v>
      </c>
      <c r="G118" s="5"/>
      <c r="H118" s="17">
        <v>113</v>
      </c>
      <c r="I118" s="18" t="str">
        <f t="shared" si="14"/>
        <v/>
      </c>
      <c r="J118" s="17">
        <f t="shared" si="19"/>
        <v>-4</v>
      </c>
      <c r="K118" s="17">
        <f t="shared" si="15"/>
        <v>-40</v>
      </c>
      <c r="L118" s="17"/>
      <c r="M118" s="19">
        <f t="shared" si="16"/>
        <v>0</v>
      </c>
      <c r="N118" s="19">
        <f t="shared" si="17"/>
        <v>0</v>
      </c>
    </row>
    <row r="119" spans="1:14">
      <c r="A119" s="43">
        <f t="shared" si="18"/>
        <v>0</v>
      </c>
      <c r="G119" s="5"/>
      <c r="H119" s="17">
        <v>114</v>
      </c>
      <c r="I119" s="18" t="str">
        <f t="shared" si="14"/>
        <v/>
      </c>
      <c r="J119" s="17">
        <f t="shared" si="19"/>
        <v>-4</v>
      </c>
      <c r="K119" s="17">
        <f t="shared" si="15"/>
        <v>-40</v>
      </c>
      <c r="L119" s="17"/>
      <c r="M119" s="19">
        <f t="shared" si="16"/>
        <v>0</v>
      </c>
      <c r="N119" s="19">
        <f t="shared" si="17"/>
        <v>0</v>
      </c>
    </row>
    <row r="120" spans="1:14">
      <c r="A120" s="43">
        <f t="shared" si="18"/>
        <v>0</v>
      </c>
      <c r="G120" s="5"/>
      <c r="H120" s="17">
        <v>115</v>
      </c>
      <c r="I120" s="18" t="str">
        <f t="shared" si="14"/>
        <v/>
      </c>
      <c r="J120" s="17">
        <f t="shared" si="19"/>
        <v>-4</v>
      </c>
      <c r="K120" s="17">
        <f t="shared" si="15"/>
        <v>-40</v>
      </c>
      <c r="L120" s="17"/>
      <c r="M120" s="19">
        <f t="shared" si="16"/>
        <v>0</v>
      </c>
      <c r="N120" s="19">
        <f t="shared" si="17"/>
        <v>0</v>
      </c>
    </row>
    <row r="121" spans="1:14">
      <c r="A121" s="43">
        <f t="shared" si="18"/>
        <v>0</v>
      </c>
      <c r="G121" s="5"/>
      <c r="H121" s="17">
        <v>116</v>
      </c>
      <c r="I121" s="18" t="str">
        <f t="shared" si="14"/>
        <v/>
      </c>
      <c r="J121" s="17">
        <f t="shared" si="19"/>
        <v>-4</v>
      </c>
      <c r="K121" s="17">
        <f t="shared" si="15"/>
        <v>-40</v>
      </c>
      <c r="L121" s="17"/>
      <c r="M121" s="19">
        <f t="shared" si="16"/>
        <v>0</v>
      </c>
      <c r="N121" s="19">
        <f t="shared" si="17"/>
        <v>0</v>
      </c>
    </row>
    <row r="122" spans="1:14">
      <c r="A122" s="43">
        <f t="shared" si="18"/>
        <v>0</v>
      </c>
      <c r="G122" s="5"/>
      <c r="H122" s="17">
        <v>117</v>
      </c>
      <c r="I122" s="18" t="str">
        <f t="shared" si="14"/>
        <v/>
      </c>
      <c r="J122" s="17">
        <f t="shared" si="19"/>
        <v>-4</v>
      </c>
      <c r="K122" s="17">
        <f t="shared" si="15"/>
        <v>-40</v>
      </c>
      <c r="L122" s="17"/>
      <c r="M122" s="19">
        <f t="shared" si="16"/>
        <v>0</v>
      </c>
      <c r="N122" s="19">
        <f t="shared" si="17"/>
        <v>0</v>
      </c>
    </row>
    <row r="123" spans="1:14">
      <c r="A123" s="43">
        <f t="shared" si="18"/>
        <v>0</v>
      </c>
      <c r="G123" s="5"/>
      <c r="H123" s="17">
        <v>118</v>
      </c>
      <c r="I123" s="18" t="str">
        <f t="shared" si="14"/>
        <v/>
      </c>
      <c r="J123" s="17">
        <f t="shared" si="19"/>
        <v>-4</v>
      </c>
      <c r="K123" s="17">
        <f t="shared" si="15"/>
        <v>-40</v>
      </c>
      <c r="L123" s="17"/>
      <c r="M123" s="19">
        <f t="shared" si="16"/>
        <v>0</v>
      </c>
      <c r="N123" s="19">
        <f t="shared" si="17"/>
        <v>0</v>
      </c>
    </row>
    <row r="124" spans="1:14">
      <c r="A124" s="43">
        <f t="shared" si="18"/>
        <v>0</v>
      </c>
      <c r="G124" s="5"/>
      <c r="H124" s="17">
        <v>119</v>
      </c>
      <c r="I124" s="18" t="str">
        <f t="shared" si="14"/>
        <v/>
      </c>
      <c r="J124" s="17">
        <f t="shared" si="19"/>
        <v>-4</v>
      </c>
      <c r="K124" s="17">
        <f t="shared" si="15"/>
        <v>-40</v>
      </c>
      <c r="L124" s="17"/>
      <c r="M124" s="19">
        <f t="shared" si="16"/>
        <v>0</v>
      </c>
      <c r="N124" s="19">
        <f t="shared" si="17"/>
        <v>0</v>
      </c>
    </row>
    <row r="125" spans="1:14">
      <c r="A125" s="43">
        <f t="shared" si="18"/>
        <v>0</v>
      </c>
      <c r="G125" s="5"/>
      <c r="H125" s="17">
        <v>120</v>
      </c>
      <c r="I125" s="18" t="str">
        <f t="shared" si="14"/>
        <v/>
      </c>
      <c r="J125" s="17">
        <f t="shared" si="19"/>
        <v>-4</v>
      </c>
      <c r="K125" s="17">
        <f t="shared" si="15"/>
        <v>-40</v>
      </c>
      <c r="L125" s="17"/>
      <c r="M125" s="19">
        <f t="shared" si="16"/>
        <v>0</v>
      </c>
      <c r="N125" s="19">
        <f t="shared" si="17"/>
        <v>0</v>
      </c>
    </row>
    <row r="126" spans="1:14">
      <c r="A126" s="43">
        <f t="shared" si="18"/>
        <v>0</v>
      </c>
      <c r="G126" s="5"/>
      <c r="H126" s="17">
        <v>121</v>
      </c>
      <c r="I126" s="18" t="str">
        <f t="shared" si="14"/>
        <v/>
      </c>
      <c r="J126" s="17">
        <f t="shared" si="19"/>
        <v>-4</v>
      </c>
      <c r="K126" s="17">
        <f t="shared" si="15"/>
        <v>-40</v>
      </c>
      <c r="L126" s="17"/>
      <c r="M126" s="19">
        <f t="shared" si="16"/>
        <v>0</v>
      </c>
      <c r="N126" s="19">
        <f t="shared" si="17"/>
        <v>0</v>
      </c>
    </row>
    <row r="127" spans="1:14">
      <c r="A127" s="43">
        <f t="shared" si="18"/>
        <v>0</v>
      </c>
      <c r="G127" s="5"/>
      <c r="H127" s="17">
        <v>122</v>
      </c>
      <c r="I127" s="18" t="str">
        <f t="shared" si="14"/>
        <v/>
      </c>
      <c r="J127" s="17">
        <f t="shared" si="19"/>
        <v>-4</v>
      </c>
      <c r="K127" s="17">
        <f t="shared" si="15"/>
        <v>-40</v>
      </c>
      <c r="L127" s="17"/>
      <c r="M127" s="19">
        <f t="shared" si="16"/>
        <v>0</v>
      </c>
      <c r="N127" s="19">
        <f t="shared" si="17"/>
        <v>0</v>
      </c>
    </row>
    <row r="128" spans="1:14">
      <c r="A128" s="43">
        <f t="shared" si="18"/>
        <v>0</v>
      </c>
      <c r="G128" s="5"/>
      <c r="H128" s="17">
        <v>123</v>
      </c>
      <c r="I128" s="18" t="str">
        <f t="shared" si="14"/>
        <v/>
      </c>
      <c r="J128" s="17">
        <f t="shared" si="19"/>
        <v>-4</v>
      </c>
      <c r="K128" s="17">
        <f t="shared" si="15"/>
        <v>-40</v>
      </c>
      <c r="L128" s="17"/>
      <c r="M128" s="19">
        <f t="shared" si="16"/>
        <v>0</v>
      </c>
      <c r="N128" s="19">
        <f t="shared" si="17"/>
        <v>0</v>
      </c>
    </row>
    <row r="129" spans="1:14">
      <c r="A129" s="43">
        <f t="shared" si="18"/>
        <v>0</v>
      </c>
      <c r="G129" s="5"/>
      <c r="H129" s="17">
        <v>124</v>
      </c>
      <c r="I129" s="18" t="str">
        <f t="shared" si="14"/>
        <v/>
      </c>
      <c r="J129" s="17">
        <f t="shared" si="19"/>
        <v>-4</v>
      </c>
      <c r="K129" s="17">
        <f t="shared" si="15"/>
        <v>-40</v>
      </c>
      <c r="L129" s="17"/>
      <c r="M129" s="19">
        <f t="shared" si="16"/>
        <v>0</v>
      </c>
      <c r="N129" s="19">
        <f t="shared" si="17"/>
        <v>0</v>
      </c>
    </row>
    <row r="130" spans="1:14">
      <c r="A130" s="43">
        <f t="shared" si="18"/>
        <v>0</v>
      </c>
      <c r="G130" s="5"/>
      <c r="H130" s="17">
        <v>125</v>
      </c>
      <c r="I130" s="18" t="str">
        <f t="shared" si="14"/>
        <v/>
      </c>
      <c r="J130" s="17">
        <f t="shared" si="19"/>
        <v>-4</v>
      </c>
      <c r="K130" s="17">
        <f t="shared" si="15"/>
        <v>-40</v>
      </c>
      <c r="L130" s="17"/>
      <c r="M130" s="19">
        <f t="shared" si="16"/>
        <v>0</v>
      </c>
      <c r="N130" s="19">
        <f t="shared" si="17"/>
        <v>0</v>
      </c>
    </row>
    <row r="131" spans="1:14">
      <c r="A131" s="43">
        <f t="shared" si="18"/>
        <v>0</v>
      </c>
      <c r="G131" s="5"/>
      <c r="H131" s="17">
        <v>126</v>
      </c>
      <c r="I131" s="18" t="str">
        <f t="shared" si="14"/>
        <v/>
      </c>
      <c r="J131" s="17">
        <f t="shared" si="19"/>
        <v>-4</v>
      </c>
      <c r="K131" s="17">
        <f t="shared" si="15"/>
        <v>-40</v>
      </c>
      <c r="L131" s="17"/>
      <c r="M131" s="19">
        <f t="shared" si="16"/>
        <v>0</v>
      </c>
      <c r="N131" s="19">
        <f t="shared" si="17"/>
        <v>0</v>
      </c>
    </row>
    <row r="132" spans="1:14">
      <c r="A132" s="43">
        <f t="shared" si="18"/>
        <v>0</v>
      </c>
      <c r="G132" s="5"/>
      <c r="H132" s="17">
        <v>127</v>
      </c>
      <c r="I132" s="18" t="str">
        <f t="shared" si="14"/>
        <v/>
      </c>
      <c r="J132" s="17">
        <f t="shared" si="19"/>
        <v>-4</v>
      </c>
      <c r="K132" s="17">
        <f t="shared" si="15"/>
        <v>-40</v>
      </c>
      <c r="L132" s="17"/>
      <c r="M132" s="19">
        <f t="shared" si="16"/>
        <v>0</v>
      </c>
      <c r="N132" s="19">
        <f t="shared" si="17"/>
        <v>0</v>
      </c>
    </row>
    <row r="133" spans="1:14">
      <c r="A133" s="43">
        <f t="shared" si="18"/>
        <v>0</v>
      </c>
      <c r="G133" s="5"/>
      <c r="H133" s="17">
        <v>128</v>
      </c>
      <c r="I133" s="18" t="str">
        <f t="shared" si="14"/>
        <v/>
      </c>
      <c r="J133" s="17">
        <f t="shared" si="19"/>
        <v>-4</v>
      </c>
      <c r="K133" s="17">
        <f t="shared" si="15"/>
        <v>-40</v>
      </c>
      <c r="L133" s="17"/>
      <c r="M133" s="19">
        <f t="shared" si="16"/>
        <v>0</v>
      </c>
      <c r="N133" s="19">
        <f t="shared" si="17"/>
        <v>0</v>
      </c>
    </row>
    <row r="134" spans="1:14">
      <c r="A134" s="43">
        <f t="shared" si="18"/>
        <v>0</v>
      </c>
      <c r="G134" s="5"/>
      <c r="H134" s="17">
        <v>129</v>
      </c>
      <c r="I134" s="18" t="str">
        <f t="shared" ref="I134:I197" si="20">IF(H134&lt;$H$2+1,($I$2-($I$2-1)*(LOG(H134)/LOG($H$2))),"")</f>
        <v/>
      </c>
      <c r="J134" s="17">
        <f t="shared" si="19"/>
        <v>-5</v>
      </c>
      <c r="K134" s="17">
        <f t="shared" ref="K134:K197" si="21">J134*$J$2</f>
        <v>-50</v>
      </c>
      <c r="L134" s="17"/>
      <c r="M134" s="19">
        <f t="shared" ref="M134:M197" si="22">IF(I134&lt;&gt;"",K134+I134+L134,0)</f>
        <v>0</v>
      </c>
      <c r="N134" s="19">
        <f t="shared" ref="N134:N197" si="23">IF(I134&lt;&gt;"",M134*L$2,0)</f>
        <v>0</v>
      </c>
    </row>
    <row r="135" spans="1:14">
      <c r="A135" s="43">
        <f t="shared" ref="A135:A198" si="24">N135</f>
        <v>0</v>
      </c>
      <c r="G135" s="5"/>
      <c r="H135" s="17">
        <v>130</v>
      </c>
      <c r="I135" s="18" t="str">
        <f t="shared" si="20"/>
        <v/>
      </c>
      <c r="J135" s="17">
        <f t="shared" ref="J135:J198" si="25">INT(LOG($H$2,2))-ROUNDUP(LOG(H135,2),0)+IF(OR($H$2=1,$H$2=2,$H$2=4,$H$2=8,$H$2=16,$H$2=32,$H$2=64,$H$2=128,$H$2=256),0,1)</f>
        <v>-5</v>
      </c>
      <c r="K135" s="17">
        <f t="shared" si="21"/>
        <v>-50</v>
      </c>
      <c r="L135" s="17"/>
      <c r="M135" s="19">
        <f t="shared" si="22"/>
        <v>0</v>
      </c>
      <c r="N135" s="19">
        <f t="shared" si="23"/>
        <v>0</v>
      </c>
    </row>
    <row r="136" spans="1:14">
      <c r="A136" s="43">
        <f t="shared" si="24"/>
        <v>0</v>
      </c>
      <c r="G136" s="5"/>
      <c r="H136" s="17">
        <v>131</v>
      </c>
      <c r="I136" s="18" t="str">
        <f t="shared" si="20"/>
        <v/>
      </c>
      <c r="J136" s="17">
        <f t="shared" si="25"/>
        <v>-5</v>
      </c>
      <c r="K136" s="17">
        <f t="shared" si="21"/>
        <v>-50</v>
      </c>
      <c r="L136" s="17"/>
      <c r="M136" s="19">
        <f t="shared" si="22"/>
        <v>0</v>
      </c>
      <c r="N136" s="19">
        <f t="shared" si="23"/>
        <v>0</v>
      </c>
    </row>
    <row r="137" spans="1:14">
      <c r="A137" s="43">
        <f t="shared" si="24"/>
        <v>0</v>
      </c>
      <c r="G137" s="5"/>
      <c r="H137" s="17">
        <v>132</v>
      </c>
      <c r="I137" s="18" t="str">
        <f t="shared" si="20"/>
        <v/>
      </c>
      <c r="J137" s="17">
        <f t="shared" si="25"/>
        <v>-5</v>
      </c>
      <c r="K137" s="17">
        <f t="shared" si="21"/>
        <v>-50</v>
      </c>
      <c r="L137" s="17"/>
      <c r="M137" s="19">
        <f t="shared" si="22"/>
        <v>0</v>
      </c>
      <c r="N137" s="19">
        <f t="shared" si="23"/>
        <v>0</v>
      </c>
    </row>
    <row r="138" spans="1:14">
      <c r="A138" s="43">
        <f t="shared" si="24"/>
        <v>0</v>
      </c>
      <c r="G138" s="5"/>
      <c r="H138" s="17">
        <v>133</v>
      </c>
      <c r="I138" s="18" t="str">
        <f t="shared" si="20"/>
        <v/>
      </c>
      <c r="J138" s="17">
        <f t="shared" si="25"/>
        <v>-5</v>
      </c>
      <c r="K138" s="17">
        <f t="shared" si="21"/>
        <v>-50</v>
      </c>
      <c r="L138" s="17"/>
      <c r="M138" s="19">
        <f t="shared" si="22"/>
        <v>0</v>
      </c>
      <c r="N138" s="19">
        <f t="shared" si="23"/>
        <v>0</v>
      </c>
    </row>
    <row r="139" spans="1:14">
      <c r="A139" s="43">
        <f t="shared" si="24"/>
        <v>0</v>
      </c>
      <c r="G139" s="5"/>
      <c r="H139" s="17">
        <v>134</v>
      </c>
      <c r="I139" s="18" t="str">
        <f t="shared" si="20"/>
        <v/>
      </c>
      <c r="J139" s="17">
        <f t="shared" si="25"/>
        <v>-5</v>
      </c>
      <c r="K139" s="17">
        <f t="shared" si="21"/>
        <v>-50</v>
      </c>
      <c r="L139" s="17"/>
      <c r="M139" s="19">
        <f t="shared" si="22"/>
        <v>0</v>
      </c>
      <c r="N139" s="19">
        <f t="shared" si="23"/>
        <v>0</v>
      </c>
    </row>
    <row r="140" spans="1:14">
      <c r="A140" s="43">
        <f t="shared" si="24"/>
        <v>0</v>
      </c>
      <c r="G140" s="5"/>
      <c r="H140" s="17">
        <v>135</v>
      </c>
      <c r="I140" s="18" t="str">
        <f t="shared" si="20"/>
        <v/>
      </c>
      <c r="J140" s="17">
        <f t="shared" si="25"/>
        <v>-5</v>
      </c>
      <c r="K140" s="17">
        <f t="shared" si="21"/>
        <v>-50</v>
      </c>
      <c r="L140" s="17"/>
      <c r="M140" s="19">
        <f t="shared" si="22"/>
        <v>0</v>
      </c>
      <c r="N140" s="19">
        <f t="shared" si="23"/>
        <v>0</v>
      </c>
    </row>
    <row r="141" spans="1:14">
      <c r="A141" s="43">
        <f t="shared" si="24"/>
        <v>0</v>
      </c>
      <c r="G141" s="5"/>
      <c r="H141" s="17">
        <v>136</v>
      </c>
      <c r="I141" s="18" t="str">
        <f t="shared" si="20"/>
        <v/>
      </c>
      <c r="J141" s="17">
        <f t="shared" si="25"/>
        <v>-5</v>
      </c>
      <c r="K141" s="17">
        <f t="shared" si="21"/>
        <v>-50</v>
      </c>
      <c r="L141" s="17"/>
      <c r="M141" s="19">
        <f t="shared" si="22"/>
        <v>0</v>
      </c>
      <c r="N141" s="19">
        <f t="shared" si="23"/>
        <v>0</v>
      </c>
    </row>
    <row r="142" spans="1:14">
      <c r="A142" s="43">
        <f t="shared" si="24"/>
        <v>0</v>
      </c>
      <c r="G142" s="5"/>
      <c r="H142" s="17">
        <v>137</v>
      </c>
      <c r="I142" s="18" t="str">
        <f t="shared" si="20"/>
        <v/>
      </c>
      <c r="J142" s="17">
        <f t="shared" si="25"/>
        <v>-5</v>
      </c>
      <c r="K142" s="17">
        <f t="shared" si="21"/>
        <v>-50</v>
      </c>
      <c r="L142" s="17"/>
      <c r="M142" s="19">
        <f t="shared" si="22"/>
        <v>0</v>
      </c>
      <c r="N142" s="19">
        <f t="shared" si="23"/>
        <v>0</v>
      </c>
    </row>
    <row r="143" spans="1:14">
      <c r="A143" s="43">
        <f t="shared" si="24"/>
        <v>0</v>
      </c>
      <c r="G143" s="5"/>
      <c r="H143" s="17">
        <v>138</v>
      </c>
      <c r="I143" s="18" t="str">
        <f t="shared" si="20"/>
        <v/>
      </c>
      <c r="J143" s="17">
        <f t="shared" si="25"/>
        <v>-5</v>
      </c>
      <c r="K143" s="17">
        <f t="shared" si="21"/>
        <v>-50</v>
      </c>
      <c r="L143" s="17"/>
      <c r="M143" s="19">
        <f t="shared" si="22"/>
        <v>0</v>
      </c>
      <c r="N143" s="19">
        <f t="shared" si="23"/>
        <v>0</v>
      </c>
    </row>
    <row r="144" spans="1:14">
      <c r="A144" s="43">
        <f t="shared" si="24"/>
        <v>0</v>
      </c>
      <c r="G144" s="5"/>
      <c r="H144" s="17">
        <v>139</v>
      </c>
      <c r="I144" s="18" t="str">
        <f t="shared" si="20"/>
        <v/>
      </c>
      <c r="J144" s="17">
        <f t="shared" si="25"/>
        <v>-5</v>
      </c>
      <c r="K144" s="17">
        <f t="shared" si="21"/>
        <v>-50</v>
      </c>
      <c r="L144" s="17"/>
      <c r="M144" s="19">
        <f t="shared" si="22"/>
        <v>0</v>
      </c>
      <c r="N144" s="19">
        <f t="shared" si="23"/>
        <v>0</v>
      </c>
    </row>
    <row r="145" spans="1:14">
      <c r="A145" s="43">
        <f t="shared" si="24"/>
        <v>0</v>
      </c>
      <c r="G145" s="5"/>
      <c r="H145" s="17">
        <v>140</v>
      </c>
      <c r="I145" s="18" t="str">
        <f t="shared" si="20"/>
        <v/>
      </c>
      <c r="J145" s="17">
        <f t="shared" si="25"/>
        <v>-5</v>
      </c>
      <c r="K145" s="17">
        <f t="shared" si="21"/>
        <v>-50</v>
      </c>
      <c r="L145" s="17"/>
      <c r="M145" s="19">
        <f t="shared" si="22"/>
        <v>0</v>
      </c>
      <c r="N145" s="19">
        <f t="shared" si="23"/>
        <v>0</v>
      </c>
    </row>
    <row r="146" spans="1:14">
      <c r="A146" s="43">
        <f t="shared" si="24"/>
        <v>0</v>
      </c>
      <c r="G146" s="5"/>
      <c r="H146" s="17">
        <v>141</v>
      </c>
      <c r="I146" s="18" t="str">
        <f t="shared" si="20"/>
        <v/>
      </c>
      <c r="J146" s="17">
        <f t="shared" si="25"/>
        <v>-5</v>
      </c>
      <c r="K146" s="17">
        <f t="shared" si="21"/>
        <v>-50</v>
      </c>
      <c r="L146" s="17"/>
      <c r="M146" s="19">
        <f t="shared" si="22"/>
        <v>0</v>
      </c>
      <c r="N146" s="19">
        <f t="shared" si="23"/>
        <v>0</v>
      </c>
    </row>
    <row r="147" spans="1:14">
      <c r="A147" s="43">
        <f t="shared" si="24"/>
        <v>0</v>
      </c>
      <c r="G147" s="5"/>
      <c r="H147" s="17">
        <v>142</v>
      </c>
      <c r="I147" s="18" t="str">
        <f t="shared" si="20"/>
        <v/>
      </c>
      <c r="J147" s="17">
        <f t="shared" si="25"/>
        <v>-5</v>
      </c>
      <c r="K147" s="17">
        <f t="shared" si="21"/>
        <v>-50</v>
      </c>
      <c r="L147" s="17"/>
      <c r="M147" s="19">
        <f t="shared" si="22"/>
        <v>0</v>
      </c>
      <c r="N147" s="19">
        <f t="shared" si="23"/>
        <v>0</v>
      </c>
    </row>
    <row r="148" spans="1:14">
      <c r="A148" s="43">
        <f t="shared" si="24"/>
        <v>0</v>
      </c>
      <c r="G148" s="5"/>
      <c r="H148" s="17">
        <v>143</v>
      </c>
      <c r="I148" s="18" t="str">
        <f t="shared" si="20"/>
        <v/>
      </c>
      <c r="J148" s="17">
        <f t="shared" si="25"/>
        <v>-5</v>
      </c>
      <c r="K148" s="17">
        <f t="shared" si="21"/>
        <v>-50</v>
      </c>
      <c r="L148" s="17"/>
      <c r="M148" s="19">
        <f t="shared" si="22"/>
        <v>0</v>
      </c>
      <c r="N148" s="19">
        <f t="shared" si="23"/>
        <v>0</v>
      </c>
    </row>
    <row r="149" spans="1:14">
      <c r="A149" s="43">
        <f t="shared" si="24"/>
        <v>0</v>
      </c>
      <c r="G149" s="5"/>
      <c r="H149" s="17">
        <v>144</v>
      </c>
      <c r="I149" s="18" t="str">
        <f t="shared" si="20"/>
        <v/>
      </c>
      <c r="J149" s="17">
        <f t="shared" si="25"/>
        <v>-5</v>
      </c>
      <c r="K149" s="17">
        <f t="shared" si="21"/>
        <v>-50</v>
      </c>
      <c r="L149" s="17"/>
      <c r="M149" s="19">
        <f t="shared" si="22"/>
        <v>0</v>
      </c>
      <c r="N149" s="19">
        <f t="shared" si="23"/>
        <v>0</v>
      </c>
    </row>
    <row r="150" spans="1:14">
      <c r="A150" s="43">
        <f t="shared" si="24"/>
        <v>0</v>
      </c>
      <c r="G150" s="5"/>
      <c r="H150" s="17">
        <v>145</v>
      </c>
      <c r="I150" s="18" t="str">
        <f t="shared" si="20"/>
        <v/>
      </c>
      <c r="J150" s="17">
        <f t="shared" si="25"/>
        <v>-5</v>
      </c>
      <c r="K150" s="17">
        <f t="shared" si="21"/>
        <v>-50</v>
      </c>
      <c r="L150" s="17"/>
      <c r="M150" s="19">
        <f t="shared" si="22"/>
        <v>0</v>
      </c>
      <c r="N150" s="19">
        <f t="shared" si="23"/>
        <v>0</v>
      </c>
    </row>
    <row r="151" spans="1:14">
      <c r="A151" s="43">
        <f t="shared" si="24"/>
        <v>0</v>
      </c>
      <c r="G151" s="5"/>
      <c r="H151" s="17">
        <v>146</v>
      </c>
      <c r="I151" s="18" t="str">
        <f t="shared" si="20"/>
        <v/>
      </c>
      <c r="J151" s="17">
        <f t="shared" si="25"/>
        <v>-5</v>
      </c>
      <c r="K151" s="17">
        <f t="shared" si="21"/>
        <v>-50</v>
      </c>
      <c r="L151" s="17"/>
      <c r="M151" s="19">
        <f t="shared" si="22"/>
        <v>0</v>
      </c>
      <c r="N151" s="19">
        <f t="shared" si="23"/>
        <v>0</v>
      </c>
    </row>
    <row r="152" spans="1:14">
      <c r="A152" s="43">
        <f t="shared" si="24"/>
        <v>0</v>
      </c>
      <c r="G152" s="5"/>
      <c r="H152" s="17">
        <v>147</v>
      </c>
      <c r="I152" s="18" t="str">
        <f t="shared" si="20"/>
        <v/>
      </c>
      <c r="J152" s="17">
        <f t="shared" si="25"/>
        <v>-5</v>
      </c>
      <c r="K152" s="17">
        <f t="shared" si="21"/>
        <v>-50</v>
      </c>
      <c r="L152" s="17"/>
      <c r="M152" s="19">
        <f t="shared" si="22"/>
        <v>0</v>
      </c>
      <c r="N152" s="19">
        <f t="shared" si="23"/>
        <v>0</v>
      </c>
    </row>
    <row r="153" spans="1:14">
      <c r="A153" s="43">
        <f t="shared" si="24"/>
        <v>0</v>
      </c>
      <c r="G153" s="5"/>
      <c r="H153" s="17">
        <v>148</v>
      </c>
      <c r="I153" s="18" t="str">
        <f t="shared" si="20"/>
        <v/>
      </c>
      <c r="J153" s="17">
        <f t="shared" si="25"/>
        <v>-5</v>
      </c>
      <c r="K153" s="17">
        <f t="shared" si="21"/>
        <v>-50</v>
      </c>
      <c r="L153" s="17"/>
      <c r="M153" s="19">
        <f t="shared" si="22"/>
        <v>0</v>
      </c>
      <c r="N153" s="19">
        <f t="shared" si="23"/>
        <v>0</v>
      </c>
    </row>
    <row r="154" spans="1:14">
      <c r="A154" s="43">
        <f t="shared" si="24"/>
        <v>0</v>
      </c>
      <c r="G154" s="5"/>
      <c r="H154" s="17">
        <v>149</v>
      </c>
      <c r="I154" s="18" t="str">
        <f t="shared" si="20"/>
        <v/>
      </c>
      <c r="J154" s="17">
        <f t="shared" si="25"/>
        <v>-5</v>
      </c>
      <c r="K154" s="17">
        <f t="shared" si="21"/>
        <v>-50</v>
      </c>
      <c r="L154" s="17"/>
      <c r="M154" s="19">
        <f t="shared" si="22"/>
        <v>0</v>
      </c>
      <c r="N154" s="19">
        <f t="shared" si="23"/>
        <v>0</v>
      </c>
    </row>
    <row r="155" spans="1:14">
      <c r="A155" s="43">
        <f t="shared" si="24"/>
        <v>0</v>
      </c>
      <c r="G155" s="5"/>
      <c r="H155" s="17">
        <v>150</v>
      </c>
      <c r="I155" s="18" t="str">
        <f t="shared" si="20"/>
        <v/>
      </c>
      <c r="J155" s="17">
        <f t="shared" si="25"/>
        <v>-5</v>
      </c>
      <c r="K155" s="17">
        <f t="shared" si="21"/>
        <v>-50</v>
      </c>
      <c r="L155" s="17"/>
      <c r="M155" s="19">
        <f t="shared" si="22"/>
        <v>0</v>
      </c>
      <c r="N155" s="19">
        <f t="shared" si="23"/>
        <v>0</v>
      </c>
    </row>
    <row r="156" spans="1:14">
      <c r="A156" s="43">
        <f t="shared" si="24"/>
        <v>0</v>
      </c>
      <c r="G156" s="5"/>
      <c r="H156" s="17">
        <v>151</v>
      </c>
      <c r="I156" s="18" t="str">
        <f t="shared" si="20"/>
        <v/>
      </c>
      <c r="J156" s="17">
        <f t="shared" si="25"/>
        <v>-5</v>
      </c>
      <c r="K156" s="17">
        <f t="shared" si="21"/>
        <v>-50</v>
      </c>
      <c r="L156" s="17"/>
      <c r="M156" s="19">
        <f t="shared" si="22"/>
        <v>0</v>
      </c>
      <c r="N156" s="19">
        <f t="shared" si="23"/>
        <v>0</v>
      </c>
    </row>
    <row r="157" spans="1:14">
      <c r="A157" s="43">
        <f t="shared" si="24"/>
        <v>0</v>
      </c>
      <c r="G157" s="5"/>
      <c r="H157" s="17">
        <v>152</v>
      </c>
      <c r="I157" s="18" t="str">
        <f t="shared" si="20"/>
        <v/>
      </c>
      <c r="J157" s="17">
        <f t="shared" si="25"/>
        <v>-5</v>
      </c>
      <c r="K157" s="17">
        <f t="shared" si="21"/>
        <v>-50</v>
      </c>
      <c r="L157" s="17"/>
      <c r="M157" s="19">
        <f t="shared" si="22"/>
        <v>0</v>
      </c>
      <c r="N157" s="19">
        <f t="shared" si="23"/>
        <v>0</v>
      </c>
    </row>
    <row r="158" spans="1:14">
      <c r="A158" s="43">
        <f t="shared" si="24"/>
        <v>0</v>
      </c>
      <c r="G158" s="5"/>
      <c r="H158" s="17">
        <v>153</v>
      </c>
      <c r="I158" s="18" t="str">
        <f t="shared" si="20"/>
        <v/>
      </c>
      <c r="J158" s="17">
        <f t="shared" si="25"/>
        <v>-5</v>
      </c>
      <c r="K158" s="17">
        <f t="shared" si="21"/>
        <v>-50</v>
      </c>
      <c r="L158" s="17"/>
      <c r="M158" s="19">
        <f t="shared" si="22"/>
        <v>0</v>
      </c>
      <c r="N158" s="19">
        <f t="shared" si="23"/>
        <v>0</v>
      </c>
    </row>
    <row r="159" spans="1:14">
      <c r="A159" s="43">
        <f t="shared" si="24"/>
        <v>0</v>
      </c>
      <c r="G159" s="5"/>
      <c r="H159" s="17">
        <v>154</v>
      </c>
      <c r="I159" s="18" t="str">
        <f t="shared" si="20"/>
        <v/>
      </c>
      <c r="J159" s="17">
        <f t="shared" si="25"/>
        <v>-5</v>
      </c>
      <c r="K159" s="17">
        <f t="shared" si="21"/>
        <v>-50</v>
      </c>
      <c r="L159" s="17"/>
      <c r="M159" s="19">
        <f t="shared" si="22"/>
        <v>0</v>
      </c>
      <c r="N159" s="19">
        <f t="shared" si="23"/>
        <v>0</v>
      </c>
    </row>
    <row r="160" spans="1:14">
      <c r="A160" s="43">
        <f t="shared" si="24"/>
        <v>0</v>
      </c>
      <c r="G160" s="5"/>
      <c r="H160" s="17">
        <v>155</v>
      </c>
      <c r="I160" s="18" t="str">
        <f t="shared" si="20"/>
        <v/>
      </c>
      <c r="J160" s="17">
        <f t="shared" si="25"/>
        <v>-5</v>
      </c>
      <c r="K160" s="17">
        <f t="shared" si="21"/>
        <v>-50</v>
      </c>
      <c r="L160" s="17"/>
      <c r="M160" s="19">
        <f t="shared" si="22"/>
        <v>0</v>
      </c>
      <c r="N160" s="19">
        <f t="shared" si="23"/>
        <v>0</v>
      </c>
    </row>
    <row r="161" spans="1:14">
      <c r="A161" s="43">
        <f t="shared" si="24"/>
        <v>0</v>
      </c>
      <c r="G161" s="5"/>
      <c r="H161" s="17">
        <v>156</v>
      </c>
      <c r="I161" s="18" t="str">
        <f t="shared" si="20"/>
        <v/>
      </c>
      <c r="J161" s="17">
        <f t="shared" si="25"/>
        <v>-5</v>
      </c>
      <c r="K161" s="17">
        <f t="shared" si="21"/>
        <v>-50</v>
      </c>
      <c r="L161" s="17"/>
      <c r="M161" s="19">
        <f t="shared" si="22"/>
        <v>0</v>
      </c>
      <c r="N161" s="19">
        <f t="shared" si="23"/>
        <v>0</v>
      </c>
    </row>
    <row r="162" spans="1:14">
      <c r="A162" s="43">
        <f t="shared" si="24"/>
        <v>0</v>
      </c>
      <c r="G162" s="5"/>
      <c r="H162" s="17">
        <v>157</v>
      </c>
      <c r="I162" s="18" t="str">
        <f t="shared" si="20"/>
        <v/>
      </c>
      <c r="J162" s="17">
        <f t="shared" si="25"/>
        <v>-5</v>
      </c>
      <c r="K162" s="17">
        <f t="shared" si="21"/>
        <v>-50</v>
      </c>
      <c r="L162" s="17"/>
      <c r="M162" s="19">
        <f t="shared" si="22"/>
        <v>0</v>
      </c>
      <c r="N162" s="19">
        <f t="shared" si="23"/>
        <v>0</v>
      </c>
    </row>
    <row r="163" spans="1:14">
      <c r="A163" s="43">
        <f t="shared" si="24"/>
        <v>0</v>
      </c>
      <c r="G163" s="5"/>
      <c r="H163" s="17">
        <v>158</v>
      </c>
      <c r="I163" s="18" t="str">
        <f t="shared" si="20"/>
        <v/>
      </c>
      <c r="J163" s="17">
        <f t="shared" si="25"/>
        <v>-5</v>
      </c>
      <c r="K163" s="17">
        <f t="shared" si="21"/>
        <v>-50</v>
      </c>
      <c r="L163" s="17"/>
      <c r="M163" s="19">
        <f t="shared" si="22"/>
        <v>0</v>
      </c>
      <c r="N163" s="19">
        <f t="shared" si="23"/>
        <v>0</v>
      </c>
    </row>
    <row r="164" spans="1:14">
      <c r="A164" s="43">
        <f t="shared" si="24"/>
        <v>0</v>
      </c>
      <c r="G164" s="5"/>
      <c r="H164" s="17">
        <v>159</v>
      </c>
      <c r="I164" s="18" t="str">
        <f t="shared" si="20"/>
        <v/>
      </c>
      <c r="J164" s="17">
        <f t="shared" si="25"/>
        <v>-5</v>
      </c>
      <c r="K164" s="17">
        <f t="shared" si="21"/>
        <v>-50</v>
      </c>
      <c r="L164" s="17"/>
      <c r="M164" s="19">
        <f t="shared" si="22"/>
        <v>0</v>
      </c>
      <c r="N164" s="19">
        <f t="shared" si="23"/>
        <v>0</v>
      </c>
    </row>
    <row r="165" spans="1:14">
      <c r="A165" s="43">
        <f t="shared" si="24"/>
        <v>0</v>
      </c>
      <c r="G165" s="5"/>
      <c r="H165" s="17">
        <v>160</v>
      </c>
      <c r="I165" s="18" t="str">
        <f t="shared" si="20"/>
        <v/>
      </c>
      <c r="J165" s="17">
        <f t="shared" si="25"/>
        <v>-5</v>
      </c>
      <c r="K165" s="17">
        <f t="shared" si="21"/>
        <v>-50</v>
      </c>
      <c r="L165" s="17"/>
      <c r="M165" s="19">
        <f t="shared" si="22"/>
        <v>0</v>
      </c>
      <c r="N165" s="19">
        <f t="shared" si="23"/>
        <v>0</v>
      </c>
    </row>
    <row r="166" spans="1:14">
      <c r="A166" s="43">
        <f t="shared" si="24"/>
        <v>0</v>
      </c>
      <c r="G166" s="5"/>
      <c r="H166" s="17">
        <v>161</v>
      </c>
      <c r="I166" s="18" t="str">
        <f t="shared" si="20"/>
        <v/>
      </c>
      <c r="J166" s="17">
        <f t="shared" si="25"/>
        <v>-5</v>
      </c>
      <c r="K166" s="17">
        <f t="shared" si="21"/>
        <v>-50</v>
      </c>
      <c r="L166" s="17"/>
      <c r="M166" s="19">
        <f t="shared" si="22"/>
        <v>0</v>
      </c>
      <c r="N166" s="19">
        <f t="shared" si="23"/>
        <v>0</v>
      </c>
    </row>
    <row r="167" spans="1:14">
      <c r="A167" s="43">
        <f t="shared" si="24"/>
        <v>0</v>
      </c>
      <c r="G167" s="5"/>
      <c r="H167" s="17">
        <v>162</v>
      </c>
      <c r="I167" s="18" t="str">
        <f t="shared" si="20"/>
        <v/>
      </c>
      <c r="J167" s="17">
        <f t="shared" si="25"/>
        <v>-5</v>
      </c>
      <c r="K167" s="17">
        <f t="shared" si="21"/>
        <v>-50</v>
      </c>
      <c r="L167" s="17"/>
      <c r="M167" s="19">
        <f t="shared" si="22"/>
        <v>0</v>
      </c>
      <c r="N167" s="19">
        <f t="shared" si="23"/>
        <v>0</v>
      </c>
    </row>
    <row r="168" spans="1:14">
      <c r="A168" s="43">
        <f t="shared" si="24"/>
        <v>0</v>
      </c>
      <c r="G168" s="5"/>
      <c r="H168" s="17">
        <v>163</v>
      </c>
      <c r="I168" s="18" t="str">
        <f t="shared" si="20"/>
        <v/>
      </c>
      <c r="J168" s="17">
        <f t="shared" si="25"/>
        <v>-5</v>
      </c>
      <c r="K168" s="17">
        <f t="shared" si="21"/>
        <v>-50</v>
      </c>
      <c r="L168" s="17"/>
      <c r="M168" s="19">
        <f t="shared" si="22"/>
        <v>0</v>
      </c>
      <c r="N168" s="19">
        <f t="shared" si="23"/>
        <v>0</v>
      </c>
    </row>
    <row r="169" spans="1:14">
      <c r="A169" s="43">
        <f t="shared" si="24"/>
        <v>0</v>
      </c>
      <c r="G169" s="5"/>
      <c r="H169" s="17">
        <v>164</v>
      </c>
      <c r="I169" s="18" t="str">
        <f t="shared" si="20"/>
        <v/>
      </c>
      <c r="J169" s="17">
        <f t="shared" si="25"/>
        <v>-5</v>
      </c>
      <c r="K169" s="17">
        <f t="shared" si="21"/>
        <v>-50</v>
      </c>
      <c r="L169" s="17"/>
      <c r="M169" s="19">
        <f t="shared" si="22"/>
        <v>0</v>
      </c>
      <c r="N169" s="19">
        <f t="shared" si="23"/>
        <v>0</v>
      </c>
    </row>
    <row r="170" spans="1:14">
      <c r="A170" s="43">
        <f t="shared" si="24"/>
        <v>0</v>
      </c>
      <c r="G170" s="5"/>
      <c r="H170" s="17">
        <v>165</v>
      </c>
      <c r="I170" s="18" t="str">
        <f t="shared" si="20"/>
        <v/>
      </c>
      <c r="J170" s="17">
        <f t="shared" si="25"/>
        <v>-5</v>
      </c>
      <c r="K170" s="17">
        <f t="shared" si="21"/>
        <v>-50</v>
      </c>
      <c r="L170" s="17"/>
      <c r="M170" s="19">
        <f t="shared" si="22"/>
        <v>0</v>
      </c>
      <c r="N170" s="19">
        <f t="shared" si="23"/>
        <v>0</v>
      </c>
    </row>
    <row r="171" spans="1:14">
      <c r="A171" s="43">
        <f t="shared" si="24"/>
        <v>0</v>
      </c>
      <c r="G171" s="5"/>
      <c r="H171" s="17">
        <v>166</v>
      </c>
      <c r="I171" s="18" t="str">
        <f t="shared" si="20"/>
        <v/>
      </c>
      <c r="J171" s="17">
        <f t="shared" si="25"/>
        <v>-5</v>
      </c>
      <c r="K171" s="17">
        <f t="shared" si="21"/>
        <v>-50</v>
      </c>
      <c r="L171" s="17"/>
      <c r="M171" s="19">
        <f t="shared" si="22"/>
        <v>0</v>
      </c>
      <c r="N171" s="19">
        <f t="shared" si="23"/>
        <v>0</v>
      </c>
    </row>
    <row r="172" spans="1:14">
      <c r="A172" s="43">
        <f t="shared" si="24"/>
        <v>0</v>
      </c>
      <c r="G172" s="5"/>
      <c r="H172" s="17">
        <v>167</v>
      </c>
      <c r="I172" s="18" t="str">
        <f t="shared" si="20"/>
        <v/>
      </c>
      <c r="J172" s="17">
        <f t="shared" si="25"/>
        <v>-5</v>
      </c>
      <c r="K172" s="17">
        <f t="shared" si="21"/>
        <v>-50</v>
      </c>
      <c r="L172" s="17"/>
      <c r="M172" s="19">
        <f t="shared" si="22"/>
        <v>0</v>
      </c>
      <c r="N172" s="19">
        <f t="shared" si="23"/>
        <v>0</v>
      </c>
    </row>
    <row r="173" spans="1:14">
      <c r="A173" s="43">
        <f t="shared" si="24"/>
        <v>0</v>
      </c>
      <c r="G173" s="5"/>
      <c r="H173" s="17">
        <v>168</v>
      </c>
      <c r="I173" s="18" t="str">
        <f t="shared" si="20"/>
        <v/>
      </c>
      <c r="J173" s="17">
        <f t="shared" si="25"/>
        <v>-5</v>
      </c>
      <c r="K173" s="17">
        <f t="shared" si="21"/>
        <v>-50</v>
      </c>
      <c r="L173" s="17"/>
      <c r="M173" s="19">
        <f t="shared" si="22"/>
        <v>0</v>
      </c>
      <c r="N173" s="19">
        <f t="shared" si="23"/>
        <v>0</v>
      </c>
    </row>
    <row r="174" spans="1:14">
      <c r="A174" s="43">
        <f t="shared" si="24"/>
        <v>0</v>
      </c>
      <c r="G174" s="5"/>
      <c r="H174" s="17">
        <v>169</v>
      </c>
      <c r="I174" s="18" t="str">
        <f t="shared" si="20"/>
        <v/>
      </c>
      <c r="J174" s="17">
        <f t="shared" si="25"/>
        <v>-5</v>
      </c>
      <c r="K174" s="17">
        <f t="shared" si="21"/>
        <v>-50</v>
      </c>
      <c r="L174" s="17"/>
      <c r="M174" s="19">
        <f t="shared" si="22"/>
        <v>0</v>
      </c>
      <c r="N174" s="19">
        <f t="shared" si="23"/>
        <v>0</v>
      </c>
    </row>
    <row r="175" spans="1:14">
      <c r="A175" s="43">
        <f t="shared" si="24"/>
        <v>0</v>
      </c>
      <c r="G175" s="5"/>
      <c r="H175" s="17">
        <v>170</v>
      </c>
      <c r="I175" s="18" t="str">
        <f t="shared" si="20"/>
        <v/>
      </c>
      <c r="J175" s="17">
        <f t="shared" si="25"/>
        <v>-5</v>
      </c>
      <c r="K175" s="17">
        <f t="shared" si="21"/>
        <v>-50</v>
      </c>
      <c r="L175" s="17"/>
      <c r="M175" s="19">
        <f t="shared" si="22"/>
        <v>0</v>
      </c>
      <c r="N175" s="19">
        <f t="shared" si="23"/>
        <v>0</v>
      </c>
    </row>
    <row r="176" spans="1:14">
      <c r="A176" s="43">
        <f t="shared" si="24"/>
        <v>0</v>
      </c>
      <c r="G176" s="5"/>
      <c r="H176" s="17">
        <v>171</v>
      </c>
      <c r="I176" s="18" t="str">
        <f t="shared" si="20"/>
        <v/>
      </c>
      <c r="J176" s="17">
        <f t="shared" si="25"/>
        <v>-5</v>
      </c>
      <c r="K176" s="17">
        <f t="shared" si="21"/>
        <v>-50</v>
      </c>
      <c r="L176" s="17"/>
      <c r="M176" s="19">
        <f t="shared" si="22"/>
        <v>0</v>
      </c>
      <c r="N176" s="19">
        <f t="shared" si="23"/>
        <v>0</v>
      </c>
    </row>
    <row r="177" spans="1:14">
      <c r="A177" s="43">
        <f t="shared" si="24"/>
        <v>0</v>
      </c>
      <c r="G177" s="5"/>
      <c r="H177" s="17">
        <v>172</v>
      </c>
      <c r="I177" s="18" t="str">
        <f t="shared" si="20"/>
        <v/>
      </c>
      <c r="J177" s="17">
        <f t="shared" si="25"/>
        <v>-5</v>
      </c>
      <c r="K177" s="17">
        <f t="shared" si="21"/>
        <v>-50</v>
      </c>
      <c r="L177" s="17"/>
      <c r="M177" s="19">
        <f t="shared" si="22"/>
        <v>0</v>
      </c>
      <c r="N177" s="19">
        <f t="shared" si="23"/>
        <v>0</v>
      </c>
    </row>
    <row r="178" spans="1:14">
      <c r="A178" s="43">
        <f t="shared" si="24"/>
        <v>0</v>
      </c>
      <c r="G178" s="5"/>
      <c r="H178" s="17">
        <v>173</v>
      </c>
      <c r="I178" s="18" t="str">
        <f t="shared" si="20"/>
        <v/>
      </c>
      <c r="J178" s="17">
        <f t="shared" si="25"/>
        <v>-5</v>
      </c>
      <c r="K178" s="17">
        <f t="shared" si="21"/>
        <v>-50</v>
      </c>
      <c r="L178" s="17"/>
      <c r="M178" s="19">
        <f t="shared" si="22"/>
        <v>0</v>
      </c>
      <c r="N178" s="19">
        <f t="shared" si="23"/>
        <v>0</v>
      </c>
    </row>
    <row r="179" spans="1:14">
      <c r="A179" s="43">
        <f t="shared" si="24"/>
        <v>0</v>
      </c>
      <c r="G179" s="5"/>
      <c r="H179" s="17">
        <v>174</v>
      </c>
      <c r="I179" s="18" t="str">
        <f t="shared" si="20"/>
        <v/>
      </c>
      <c r="J179" s="17">
        <f t="shared" si="25"/>
        <v>-5</v>
      </c>
      <c r="K179" s="17">
        <f t="shared" si="21"/>
        <v>-50</v>
      </c>
      <c r="L179" s="17"/>
      <c r="M179" s="19">
        <f t="shared" si="22"/>
        <v>0</v>
      </c>
      <c r="N179" s="19">
        <f t="shared" si="23"/>
        <v>0</v>
      </c>
    </row>
    <row r="180" spans="1:14">
      <c r="A180" s="43">
        <f t="shared" si="24"/>
        <v>0</v>
      </c>
      <c r="G180" s="5"/>
      <c r="H180" s="17">
        <v>175</v>
      </c>
      <c r="I180" s="18" t="str">
        <f t="shared" si="20"/>
        <v/>
      </c>
      <c r="J180" s="17">
        <f t="shared" si="25"/>
        <v>-5</v>
      </c>
      <c r="K180" s="17">
        <f t="shared" si="21"/>
        <v>-50</v>
      </c>
      <c r="L180" s="17"/>
      <c r="M180" s="19">
        <f t="shared" si="22"/>
        <v>0</v>
      </c>
      <c r="N180" s="19">
        <f t="shared" si="23"/>
        <v>0</v>
      </c>
    </row>
    <row r="181" spans="1:14">
      <c r="A181" s="43">
        <f t="shared" si="24"/>
        <v>0</v>
      </c>
      <c r="G181" s="5"/>
      <c r="H181" s="17">
        <v>176</v>
      </c>
      <c r="I181" s="18" t="str">
        <f t="shared" si="20"/>
        <v/>
      </c>
      <c r="J181" s="17">
        <f t="shared" si="25"/>
        <v>-5</v>
      </c>
      <c r="K181" s="17">
        <f t="shared" si="21"/>
        <v>-50</v>
      </c>
      <c r="L181" s="17"/>
      <c r="M181" s="19">
        <f t="shared" si="22"/>
        <v>0</v>
      </c>
      <c r="N181" s="19">
        <f t="shared" si="23"/>
        <v>0</v>
      </c>
    </row>
    <row r="182" spans="1:14">
      <c r="A182" s="43">
        <f t="shared" si="24"/>
        <v>0</v>
      </c>
      <c r="G182" s="5"/>
      <c r="H182" s="17">
        <v>177</v>
      </c>
      <c r="I182" s="18" t="str">
        <f t="shared" si="20"/>
        <v/>
      </c>
      <c r="J182" s="17">
        <f t="shared" si="25"/>
        <v>-5</v>
      </c>
      <c r="K182" s="17">
        <f t="shared" si="21"/>
        <v>-50</v>
      </c>
      <c r="L182" s="17"/>
      <c r="M182" s="19">
        <f t="shared" si="22"/>
        <v>0</v>
      </c>
      <c r="N182" s="19">
        <f t="shared" si="23"/>
        <v>0</v>
      </c>
    </row>
    <row r="183" spans="1:14">
      <c r="A183" s="43">
        <f t="shared" si="24"/>
        <v>0</v>
      </c>
      <c r="G183" s="5"/>
      <c r="H183" s="17">
        <v>178</v>
      </c>
      <c r="I183" s="18" t="str">
        <f t="shared" si="20"/>
        <v/>
      </c>
      <c r="J183" s="17">
        <f t="shared" si="25"/>
        <v>-5</v>
      </c>
      <c r="K183" s="17">
        <f t="shared" si="21"/>
        <v>-50</v>
      </c>
      <c r="L183" s="17"/>
      <c r="M183" s="19">
        <f t="shared" si="22"/>
        <v>0</v>
      </c>
      <c r="N183" s="19">
        <f t="shared" si="23"/>
        <v>0</v>
      </c>
    </row>
    <row r="184" spans="1:14">
      <c r="A184" s="43">
        <f t="shared" si="24"/>
        <v>0</v>
      </c>
      <c r="G184" s="5"/>
      <c r="H184" s="17">
        <v>179</v>
      </c>
      <c r="I184" s="18" t="str">
        <f t="shared" si="20"/>
        <v/>
      </c>
      <c r="J184" s="17">
        <f t="shared" si="25"/>
        <v>-5</v>
      </c>
      <c r="K184" s="17">
        <f t="shared" si="21"/>
        <v>-50</v>
      </c>
      <c r="L184" s="17"/>
      <c r="M184" s="19">
        <f t="shared" si="22"/>
        <v>0</v>
      </c>
      <c r="N184" s="19">
        <f t="shared" si="23"/>
        <v>0</v>
      </c>
    </row>
    <row r="185" spans="1:14">
      <c r="A185" s="43">
        <f t="shared" si="24"/>
        <v>0</v>
      </c>
      <c r="G185" s="5"/>
      <c r="H185" s="17">
        <v>180</v>
      </c>
      <c r="I185" s="18" t="str">
        <f t="shared" si="20"/>
        <v/>
      </c>
      <c r="J185" s="17">
        <f t="shared" si="25"/>
        <v>-5</v>
      </c>
      <c r="K185" s="17">
        <f t="shared" si="21"/>
        <v>-50</v>
      </c>
      <c r="L185" s="17"/>
      <c r="M185" s="19">
        <f t="shared" si="22"/>
        <v>0</v>
      </c>
      <c r="N185" s="19">
        <f t="shared" si="23"/>
        <v>0</v>
      </c>
    </row>
    <row r="186" spans="1:14">
      <c r="A186" s="43">
        <f t="shared" si="24"/>
        <v>0</v>
      </c>
      <c r="G186" s="5"/>
      <c r="H186" s="17">
        <v>181</v>
      </c>
      <c r="I186" s="18" t="str">
        <f t="shared" si="20"/>
        <v/>
      </c>
      <c r="J186" s="17">
        <f t="shared" si="25"/>
        <v>-5</v>
      </c>
      <c r="K186" s="17">
        <f t="shared" si="21"/>
        <v>-50</v>
      </c>
      <c r="L186" s="17"/>
      <c r="M186" s="19">
        <f t="shared" si="22"/>
        <v>0</v>
      </c>
      <c r="N186" s="19">
        <f t="shared" si="23"/>
        <v>0</v>
      </c>
    </row>
    <row r="187" spans="1:14">
      <c r="A187" s="43">
        <f t="shared" si="24"/>
        <v>0</v>
      </c>
      <c r="G187" s="5"/>
      <c r="H187" s="17">
        <v>182</v>
      </c>
      <c r="I187" s="18" t="str">
        <f t="shared" si="20"/>
        <v/>
      </c>
      <c r="J187" s="17">
        <f t="shared" si="25"/>
        <v>-5</v>
      </c>
      <c r="K187" s="17">
        <f t="shared" si="21"/>
        <v>-50</v>
      </c>
      <c r="L187" s="17"/>
      <c r="M187" s="19">
        <f t="shared" si="22"/>
        <v>0</v>
      </c>
      <c r="N187" s="19">
        <f t="shared" si="23"/>
        <v>0</v>
      </c>
    </row>
    <row r="188" spans="1:14">
      <c r="A188" s="43">
        <f t="shared" si="24"/>
        <v>0</v>
      </c>
      <c r="G188" s="5"/>
      <c r="H188" s="17">
        <v>183</v>
      </c>
      <c r="I188" s="18" t="str">
        <f t="shared" si="20"/>
        <v/>
      </c>
      <c r="J188" s="17">
        <f t="shared" si="25"/>
        <v>-5</v>
      </c>
      <c r="K188" s="17">
        <f t="shared" si="21"/>
        <v>-50</v>
      </c>
      <c r="L188" s="17"/>
      <c r="M188" s="19">
        <f t="shared" si="22"/>
        <v>0</v>
      </c>
      <c r="N188" s="19">
        <f t="shared" si="23"/>
        <v>0</v>
      </c>
    </row>
    <row r="189" spans="1:14">
      <c r="A189" s="43">
        <f t="shared" si="24"/>
        <v>0</v>
      </c>
      <c r="G189" s="5"/>
      <c r="H189" s="17">
        <v>184</v>
      </c>
      <c r="I189" s="18" t="str">
        <f t="shared" si="20"/>
        <v/>
      </c>
      <c r="J189" s="17">
        <f t="shared" si="25"/>
        <v>-5</v>
      </c>
      <c r="K189" s="17">
        <f t="shared" si="21"/>
        <v>-50</v>
      </c>
      <c r="L189" s="17"/>
      <c r="M189" s="19">
        <f t="shared" si="22"/>
        <v>0</v>
      </c>
      <c r="N189" s="19">
        <f t="shared" si="23"/>
        <v>0</v>
      </c>
    </row>
    <row r="190" spans="1:14">
      <c r="A190" s="43">
        <f t="shared" si="24"/>
        <v>0</v>
      </c>
      <c r="G190" s="5"/>
      <c r="H190" s="17">
        <v>185</v>
      </c>
      <c r="I190" s="18" t="str">
        <f t="shared" si="20"/>
        <v/>
      </c>
      <c r="J190" s="17">
        <f t="shared" si="25"/>
        <v>-5</v>
      </c>
      <c r="K190" s="17">
        <f t="shared" si="21"/>
        <v>-50</v>
      </c>
      <c r="L190" s="17"/>
      <c r="M190" s="19">
        <f t="shared" si="22"/>
        <v>0</v>
      </c>
      <c r="N190" s="19">
        <f t="shared" si="23"/>
        <v>0</v>
      </c>
    </row>
    <row r="191" spans="1:14">
      <c r="A191" s="43">
        <f t="shared" si="24"/>
        <v>0</v>
      </c>
      <c r="G191" s="5"/>
      <c r="H191" s="17">
        <v>186</v>
      </c>
      <c r="I191" s="18" t="str">
        <f t="shared" si="20"/>
        <v/>
      </c>
      <c r="J191" s="17">
        <f t="shared" si="25"/>
        <v>-5</v>
      </c>
      <c r="K191" s="17">
        <f t="shared" si="21"/>
        <v>-50</v>
      </c>
      <c r="L191" s="17"/>
      <c r="M191" s="19">
        <f t="shared" si="22"/>
        <v>0</v>
      </c>
      <c r="N191" s="19">
        <f t="shared" si="23"/>
        <v>0</v>
      </c>
    </row>
    <row r="192" spans="1:14">
      <c r="A192" s="43">
        <f t="shared" si="24"/>
        <v>0</v>
      </c>
      <c r="G192" s="5"/>
      <c r="H192" s="17">
        <v>187</v>
      </c>
      <c r="I192" s="18" t="str">
        <f t="shared" si="20"/>
        <v/>
      </c>
      <c r="J192" s="17">
        <f t="shared" si="25"/>
        <v>-5</v>
      </c>
      <c r="K192" s="17">
        <f t="shared" si="21"/>
        <v>-50</v>
      </c>
      <c r="L192" s="17"/>
      <c r="M192" s="19">
        <f t="shared" si="22"/>
        <v>0</v>
      </c>
      <c r="N192" s="19">
        <f t="shared" si="23"/>
        <v>0</v>
      </c>
    </row>
    <row r="193" spans="1:14">
      <c r="A193" s="43">
        <f t="shared" si="24"/>
        <v>0</v>
      </c>
      <c r="G193" s="5"/>
      <c r="H193" s="17">
        <v>188</v>
      </c>
      <c r="I193" s="18" t="str">
        <f t="shared" si="20"/>
        <v/>
      </c>
      <c r="J193" s="17">
        <f t="shared" si="25"/>
        <v>-5</v>
      </c>
      <c r="K193" s="17">
        <f t="shared" si="21"/>
        <v>-50</v>
      </c>
      <c r="L193" s="17"/>
      <c r="M193" s="19">
        <f t="shared" si="22"/>
        <v>0</v>
      </c>
      <c r="N193" s="19">
        <f t="shared" si="23"/>
        <v>0</v>
      </c>
    </row>
    <row r="194" spans="1:14">
      <c r="A194" s="43">
        <f t="shared" si="24"/>
        <v>0</v>
      </c>
      <c r="G194" s="5"/>
      <c r="H194" s="17">
        <v>189</v>
      </c>
      <c r="I194" s="18" t="str">
        <f t="shared" si="20"/>
        <v/>
      </c>
      <c r="J194" s="17">
        <f t="shared" si="25"/>
        <v>-5</v>
      </c>
      <c r="K194" s="17">
        <f t="shared" si="21"/>
        <v>-50</v>
      </c>
      <c r="L194" s="17"/>
      <c r="M194" s="19">
        <f t="shared" si="22"/>
        <v>0</v>
      </c>
      <c r="N194" s="19">
        <f t="shared" si="23"/>
        <v>0</v>
      </c>
    </row>
    <row r="195" spans="1:14">
      <c r="A195" s="43">
        <f t="shared" si="24"/>
        <v>0</v>
      </c>
      <c r="G195" s="5"/>
      <c r="H195" s="17">
        <v>190</v>
      </c>
      <c r="I195" s="18" t="str">
        <f t="shared" si="20"/>
        <v/>
      </c>
      <c r="J195" s="17">
        <f t="shared" si="25"/>
        <v>-5</v>
      </c>
      <c r="K195" s="17">
        <f t="shared" si="21"/>
        <v>-50</v>
      </c>
      <c r="L195" s="17"/>
      <c r="M195" s="19">
        <f t="shared" si="22"/>
        <v>0</v>
      </c>
      <c r="N195" s="19">
        <f t="shared" si="23"/>
        <v>0</v>
      </c>
    </row>
    <row r="196" spans="1:14">
      <c r="A196" s="43">
        <f t="shared" si="24"/>
        <v>0</v>
      </c>
      <c r="G196" s="5"/>
      <c r="H196" s="17">
        <v>191</v>
      </c>
      <c r="I196" s="18" t="str">
        <f t="shared" si="20"/>
        <v/>
      </c>
      <c r="J196" s="17">
        <f t="shared" si="25"/>
        <v>-5</v>
      </c>
      <c r="K196" s="17">
        <f t="shared" si="21"/>
        <v>-50</v>
      </c>
      <c r="L196" s="17"/>
      <c r="M196" s="19">
        <f t="shared" si="22"/>
        <v>0</v>
      </c>
      <c r="N196" s="19">
        <f t="shared" si="23"/>
        <v>0</v>
      </c>
    </row>
    <row r="197" spans="1:14">
      <c r="A197" s="43">
        <f t="shared" si="24"/>
        <v>0</v>
      </c>
      <c r="G197" s="5"/>
      <c r="H197" s="17">
        <v>192</v>
      </c>
      <c r="I197" s="18" t="str">
        <f t="shared" si="20"/>
        <v/>
      </c>
      <c r="J197" s="17">
        <f t="shared" si="25"/>
        <v>-5</v>
      </c>
      <c r="K197" s="17">
        <f t="shared" si="21"/>
        <v>-50</v>
      </c>
      <c r="L197" s="17"/>
      <c r="M197" s="19">
        <f t="shared" si="22"/>
        <v>0</v>
      </c>
      <c r="N197" s="19">
        <f t="shared" si="23"/>
        <v>0</v>
      </c>
    </row>
    <row r="198" spans="1:14">
      <c r="A198" s="43">
        <f t="shared" si="24"/>
        <v>0</v>
      </c>
      <c r="G198" s="5"/>
      <c r="H198" s="17">
        <v>193</v>
      </c>
      <c r="I198" s="18" t="str">
        <f t="shared" ref="I198:I261" si="26">IF(H198&lt;$H$2+1,($I$2-($I$2-1)*(LOG(H198)/LOG($H$2))),"")</f>
        <v/>
      </c>
      <c r="J198" s="17">
        <f t="shared" si="25"/>
        <v>-5</v>
      </c>
      <c r="K198" s="17">
        <f t="shared" ref="K198:K261" si="27">J198*$J$2</f>
        <v>-50</v>
      </c>
      <c r="L198" s="17"/>
      <c r="M198" s="19">
        <f t="shared" ref="M198:M261" si="28">IF(I198&lt;&gt;"",K198+I198+L198,0)</f>
        <v>0</v>
      </c>
      <c r="N198" s="19">
        <f t="shared" ref="N198:N261" si="29">IF(I198&lt;&gt;"",M198*L$2,0)</f>
        <v>0</v>
      </c>
    </row>
    <row r="199" spans="1:14">
      <c r="A199" s="43">
        <f t="shared" ref="A199:A262" si="30">N199</f>
        <v>0</v>
      </c>
      <c r="G199" s="5"/>
      <c r="H199" s="17">
        <v>194</v>
      </c>
      <c r="I199" s="18" t="str">
        <f t="shared" si="26"/>
        <v/>
      </c>
      <c r="J199" s="17">
        <f t="shared" ref="J199:J262" si="31">INT(LOG($H$2,2))-ROUNDUP(LOG(H199,2),0)+IF(OR($H$2=1,$H$2=2,$H$2=4,$H$2=8,$H$2=16,$H$2=32,$H$2=64,$H$2=128,$H$2=256),0,1)</f>
        <v>-5</v>
      </c>
      <c r="K199" s="17">
        <f t="shared" si="27"/>
        <v>-50</v>
      </c>
      <c r="L199" s="17"/>
      <c r="M199" s="19">
        <f t="shared" si="28"/>
        <v>0</v>
      </c>
      <c r="N199" s="19">
        <f t="shared" si="29"/>
        <v>0</v>
      </c>
    </row>
    <row r="200" spans="1:14">
      <c r="A200" s="43">
        <f t="shared" si="30"/>
        <v>0</v>
      </c>
      <c r="G200" s="5"/>
      <c r="H200" s="17">
        <v>195</v>
      </c>
      <c r="I200" s="18" t="str">
        <f t="shared" si="26"/>
        <v/>
      </c>
      <c r="J200" s="17">
        <f t="shared" si="31"/>
        <v>-5</v>
      </c>
      <c r="K200" s="17">
        <f t="shared" si="27"/>
        <v>-50</v>
      </c>
      <c r="L200" s="17"/>
      <c r="M200" s="19">
        <f t="shared" si="28"/>
        <v>0</v>
      </c>
      <c r="N200" s="19">
        <f t="shared" si="29"/>
        <v>0</v>
      </c>
    </row>
    <row r="201" spans="1:14">
      <c r="A201" s="43">
        <f t="shared" si="30"/>
        <v>0</v>
      </c>
      <c r="G201" s="5"/>
      <c r="H201" s="17">
        <v>196</v>
      </c>
      <c r="I201" s="18" t="str">
        <f t="shared" si="26"/>
        <v/>
      </c>
      <c r="J201" s="17">
        <f t="shared" si="31"/>
        <v>-5</v>
      </c>
      <c r="K201" s="17">
        <f t="shared" si="27"/>
        <v>-50</v>
      </c>
      <c r="L201" s="17"/>
      <c r="M201" s="19">
        <f t="shared" si="28"/>
        <v>0</v>
      </c>
      <c r="N201" s="19">
        <f t="shared" si="29"/>
        <v>0</v>
      </c>
    </row>
    <row r="202" spans="1:14">
      <c r="A202" s="43">
        <f t="shared" si="30"/>
        <v>0</v>
      </c>
      <c r="G202" s="5"/>
      <c r="H202" s="17">
        <v>197</v>
      </c>
      <c r="I202" s="18" t="str">
        <f t="shared" si="26"/>
        <v/>
      </c>
      <c r="J202" s="17">
        <f t="shared" si="31"/>
        <v>-5</v>
      </c>
      <c r="K202" s="17">
        <f t="shared" si="27"/>
        <v>-50</v>
      </c>
      <c r="L202" s="17"/>
      <c r="M202" s="19">
        <f t="shared" si="28"/>
        <v>0</v>
      </c>
      <c r="N202" s="19">
        <f t="shared" si="29"/>
        <v>0</v>
      </c>
    </row>
    <row r="203" spans="1:14">
      <c r="A203" s="43">
        <f t="shared" si="30"/>
        <v>0</v>
      </c>
      <c r="G203" s="5"/>
      <c r="H203" s="17">
        <v>198</v>
      </c>
      <c r="I203" s="18" t="str">
        <f t="shared" si="26"/>
        <v/>
      </c>
      <c r="J203" s="17">
        <f t="shared" si="31"/>
        <v>-5</v>
      </c>
      <c r="K203" s="17">
        <f t="shared" si="27"/>
        <v>-50</v>
      </c>
      <c r="L203" s="17"/>
      <c r="M203" s="19">
        <f t="shared" si="28"/>
        <v>0</v>
      </c>
      <c r="N203" s="19">
        <f t="shared" si="29"/>
        <v>0</v>
      </c>
    </row>
    <row r="204" spans="1:14">
      <c r="A204" s="43">
        <f t="shared" si="30"/>
        <v>0</v>
      </c>
      <c r="G204" s="5"/>
      <c r="H204" s="17">
        <v>199</v>
      </c>
      <c r="I204" s="18" t="str">
        <f t="shared" si="26"/>
        <v/>
      </c>
      <c r="J204" s="17">
        <f t="shared" si="31"/>
        <v>-5</v>
      </c>
      <c r="K204" s="17">
        <f t="shared" si="27"/>
        <v>-50</v>
      </c>
      <c r="L204" s="17"/>
      <c r="M204" s="19">
        <f t="shared" si="28"/>
        <v>0</v>
      </c>
      <c r="N204" s="19">
        <f t="shared" si="29"/>
        <v>0</v>
      </c>
    </row>
    <row r="205" spans="1:14">
      <c r="A205" s="43">
        <f t="shared" si="30"/>
        <v>0</v>
      </c>
      <c r="G205" s="5"/>
      <c r="H205" s="17">
        <v>200</v>
      </c>
      <c r="I205" s="18" t="str">
        <f t="shared" si="26"/>
        <v/>
      </c>
      <c r="J205" s="17">
        <f t="shared" si="31"/>
        <v>-5</v>
      </c>
      <c r="K205" s="17">
        <f t="shared" si="27"/>
        <v>-50</v>
      </c>
      <c r="L205" s="17"/>
      <c r="M205" s="19">
        <f t="shared" si="28"/>
        <v>0</v>
      </c>
      <c r="N205" s="19">
        <f t="shared" si="29"/>
        <v>0</v>
      </c>
    </row>
    <row r="206" spans="1:14">
      <c r="A206" s="43">
        <f t="shared" si="30"/>
        <v>0</v>
      </c>
      <c r="G206" s="5"/>
      <c r="H206" s="17">
        <v>201</v>
      </c>
      <c r="I206" s="18" t="str">
        <f t="shared" si="26"/>
        <v/>
      </c>
      <c r="J206" s="17">
        <f t="shared" si="31"/>
        <v>-5</v>
      </c>
      <c r="K206" s="17">
        <f t="shared" si="27"/>
        <v>-50</v>
      </c>
      <c r="L206" s="17"/>
      <c r="M206" s="19">
        <f t="shared" si="28"/>
        <v>0</v>
      </c>
      <c r="N206" s="19">
        <f t="shared" si="29"/>
        <v>0</v>
      </c>
    </row>
    <row r="207" spans="1:14">
      <c r="A207" s="43">
        <f t="shared" si="30"/>
        <v>0</v>
      </c>
      <c r="G207" s="5"/>
      <c r="H207" s="17">
        <v>202</v>
      </c>
      <c r="I207" s="18" t="str">
        <f t="shared" si="26"/>
        <v/>
      </c>
      <c r="J207" s="17">
        <f t="shared" si="31"/>
        <v>-5</v>
      </c>
      <c r="K207" s="17">
        <f t="shared" si="27"/>
        <v>-50</v>
      </c>
      <c r="L207" s="17"/>
      <c r="M207" s="19">
        <f t="shared" si="28"/>
        <v>0</v>
      </c>
      <c r="N207" s="19">
        <f t="shared" si="29"/>
        <v>0</v>
      </c>
    </row>
    <row r="208" spans="1:14">
      <c r="A208" s="43">
        <f t="shared" si="30"/>
        <v>0</v>
      </c>
      <c r="G208" s="5"/>
      <c r="H208" s="17">
        <v>203</v>
      </c>
      <c r="I208" s="18" t="str">
        <f t="shared" si="26"/>
        <v/>
      </c>
      <c r="J208" s="17">
        <f t="shared" si="31"/>
        <v>-5</v>
      </c>
      <c r="K208" s="17">
        <f t="shared" si="27"/>
        <v>-50</v>
      </c>
      <c r="L208" s="17"/>
      <c r="M208" s="19">
        <f t="shared" si="28"/>
        <v>0</v>
      </c>
      <c r="N208" s="19">
        <f t="shared" si="29"/>
        <v>0</v>
      </c>
    </row>
    <row r="209" spans="1:14">
      <c r="A209" s="43">
        <f t="shared" si="30"/>
        <v>0</v>
      </c>
      <c r="G209" s="5"/>
      <c r="H209" s="17">
        <v>204</v>
      </c>
      <c r="I209" s="18" t="str">
        <f t="shared" si="26"/>
        <v/>
      </c>
      <c r="J209" s="17">
        <f t="shared" si="31"/>
        <v>-5</v>
      </c>
      <c r="K209" s="17">
        <f t="shared" si="27"/>
        <v>-50</v>
      </c>
      <c r="L209" s="17"/>
      <c r="M209" s="19">
        <f t="shared" si="28"/>
        <v>0</v>
      </c>
      <c r="N209" s="19">
        <f t="shared" si="29"/>
        <v>0</v>
      </c>
    </row>
    <row r="210" spans="1:14">
      <c r="A210" s="43">
        <f t="shared" si="30"/>
        <v>0</v>
      </c>
      <c r="G210" s="5"/>
      <c r="H210" s="17">
        <v>205</v>
      </c>
      <c r="I210" s="18" t="str">
        <f t="shared" si="26"/>
        <v/>
      </c>
      <c r="J210" s="17">
        <f t="shared" si="31"/>
        <v>-5</v>
      </c>
      <c r="K210" s="17">
        <f t="shared" si="27"/>
        <v>-50</v>
      </c>
      <c r="L210" s="17"/>
      <c r="M210" s="19">
        <f t="shared" si="28"/>
        <v>0</v>
      </c>
      <c r="N210" s="19">
        <f t="shared" si="29"/>
        <v>0</v>
      </c>
    </row>
    <row r="211" spans="1:14">
      <c r="A211" s="43">
        <f t="shared" si="30"/>
        <v>0</v>
      </c>
      <c r="G211" s="5"/>
      <c r="H211" s="17">
        <v>206</v>
      </c>
      <c r="I211" s="18" t="str">
        <f t="shared" si="26"/>
        <v/>
      </c>
      <c r="J211" s="17">
        <f t="shared" si="31"/>
        <v>-5</v>
      </c>
      <c r="K211" s="17">
        <f t="shared" si="27"/>
        <v>-50</v>
      </c>
      <c r="L211" s="17"/>
      <c r="M211" s="19">
        <f t="shared" si="28"/>
        <v>0</v>
      </c>
      <c r="N211" s="19">
        <f t="shared" si="29"/>
        <v>0</v>
      </c>
    </row>
    <row r="212" spans="1:14">
      <c r="A212" s="43">
        <f t="shared" si="30"/>
        <v>0</v>
      </c>
      <c r="G212" s="5"/>
      <c r="H212" s="17">
        <v>207</v>
      </c>
      <c r="I212" s="18" t="str">
        <f t="shared" si="26"/>
        <v/>
      </c>
      <c r="J212" s="17">
        <f t="shared" si="31"/>
        <v>-5</v>
      </c>
      <c r="K212" s="17">
        <f t="shared" si="27"/>
        <v>-50</v>
      </c>
      <c r="L212" s="17"/>
      <c r="M212" s="19">
        <f t="shared" si="28"/>
        <v>0</v>
      </c>
      <c r="N212" s="19">
        <f t="shared" si="29"/>
        <v>0</v>
      </c>
    </row>
    <row r="213" spans="1:14">
      <c r="A213" s="43">
        <f t="shared" si="30"/>
        <v>0</v>
      </c>
      <c r="G213" s="5"/>
      <c r="H213" s="17">
        <v>208</v>
      </c>
      <c r="I213" s="18" t="str">
        <f t="shared" si="26"/>
        <v/>
      </c>
      <c r="J213" s="17">
        <f t="shared" si="31"/>
        <v>-5</v>
      </c>
      <c r="K213" s="17">
        <f t="shared" si="27"/>
        <v>-50</v>
      </c>
      <c r="L213" s="17"/>
      <c r="M213" s="19">
        <f t="shared" si="28"/>
        <v>0</v>
      </c>
      <c r="N213" s="19">
        <f t="shared" si="29"/>
        <v>0</v>
      </c>
    </row>
    <row r="214" spans="1:14">
      <c r="A214" s="43">
        <f t="shared" si="30"/>
        <v>0</v>
      </c>
      <c r="G214" s="5"/>
      <c r="H214" s="17">
        <v>209</v>
      </c>
      <c r="I214" s="18" t="str">
        <f t="shared" si="26"/>
        <v/>
      </c>
      <c r="J214" s="17">
        <f t="shared" si="31"/>
        <v>-5</v>
      </c>
      <c r="K214" s="17">
        <f t="shared" si="27"/>
        <v>-50</v>
      </c>
      <c r="L214" s="17"/>
      <c r="M214" s="19">
        <f t="shared" si="28"/>
        <v>0</v>
      </c>
      <c r="N214" s="19">
        <f t="shared" si="29"/>
        <v>0</v>
      </c>
    </row>
    <row r="215" spans="1:14">
      <c r="A215" s="43">
        <f t="shared" si="30"/>
        <v>0</v>
      </c>
      <c r="G215" s="5"/>
      <c r="H215" s="17">
        <v>210</v>
      </c>
      <c r="I215" s="18" t="str">
        <f t="shared" si="26"/>
        <v/>
      </c>
      <c r="J215" s="17">
        <f t="shared" si="31"/>
        <v>-5</v>
      </c>
      <c r="K215" s="17">
        <f t="shared" si="27"/>
        <v>-50</v>
      </c>
      <c r="L215" s="17"/>
      <c r="M215" s="19">
        <f t="shared" si="28"/>
        <v>0</v>
      </c>
      <c r="N215" s="19">
        <f t="shared" si="29"/>
        <v>0</v>
      </c>
    </row>
    <row r="216" spans="1:14">
      <c r="A216" s="43">
        <f t="shared" si="30"/>
        <v>0</v>
      </c>
      <c r="G216" s="5"/>
      <c r="H216" s="17">
        <v>211</v>
      </c>
      <c r="I216" s="18" t="str">
        <f t="shared" si="26"/>
        <v/>
      </c>
      <c r="J216" s="17">
        <f t="shared" si="31"/>
        <v>-5</v>
      </c>
      <c r="K216" s="17">
        <f t="shared" si="27"/>
        <v>-50</v>
      </c>
      <c r="L216" s="17"/>
      <c r="M216" s="19">
        <f t="shared" si="28"/>
        <v>0</v>
      </c>
      <c r="N216" s="19">
        <f t="shared" si="29"/>
        <v>0</v>
      </c>
    </row>
    <row r="217" spans="1:14">
      <c r="A217" s="43">
        <f t="shared" si="30"/>
        <v>0</v>
      </c>
      <c r="G217" s="5"/>
      <c r="H217" s="17">
        <v>212</v>
      </c>
      <c r="I217" s="18" t="str">
        <f t="shared" si="26"/>
        <v/>
      </c>
      <c r="J217" s="17">
        <f t="shared" si="31"/>
        <v>-5</v>
      </c>
      <c r="K217" s="17">
        <f t="shared" si="27"/>
        <v>-50</v>
      </c>
      <c r="L217" s="17"/>
      <c r="M217" s="19">
        <f t="shared" si="28"/>
        <v>0</v>
      </c>
      <c r="N217" s="19">
        <f t="shared" si="29"/>
        <v>0</v>
      </c>
    </row>
    <row r="218" spans="1:14">
      <c r="A218" s="43">
        <f t="shared" si="30"/>
        <v>0</v>
      </c>
      <c r="G218" s="5"/>
      <c r="H218" s="17">
        <v>213</v>
      </c>
      <c r="I218" s="18" t="str">
        <f t="shared" si="26"/>
        <v/>
      </c>
      <c r="J218" s="17">
        <f t="shared" si="31"/>
        <v>-5</v>
      </c>
      <c r="K218" s="17">
        <f t="shared" si="27"/>
        <v>-50</v>
      </c>
      <c r="L218" s="17"/>
      <c r="M218" s="19">
        <f t="shared" si="28"/>
        <v>0</v>
      </c>
      <c r="N218" s="19">
        <f t="shared" si="29"/>
        <v>0</v>
      </c>
    </row>
    <row r="219" spans="1:14">
      <c r="A219" s="43">
        <f t="shared" si="30"/>
        <v>0</v>
      </c>
      <c r="G219" s="5"/>
      <c r="H219" s="17">
        <v>214</v>
      </c>
      <c r="I219" s="18" t="str">
        <f t="shared" si="26"/>
        <v/>
      </c>
      <c r="J219" s="17">
        <f t="shared" si="31"/>
        <v>-5</v>
      </c>
      <c r="K219" s="17">
        <f t="shared" si="27"/>
        <v>-50</v>
      </c>
      <c r="L219" s="17"/>
      <c r="M219" s="19">
        <f t="shared" si="28"/>
        <v>0</v>
      </c>
      <c r="N219" s="19">
        <f t="shared" si="29"/>
        <v>0</v>
      </c>
    </row>
    <row r="220" spans="1:14">
      <c r="A220" s="43">
        <f t="shared" si="30"/>
        <v>0</v>
      </c>
      <c r="G220" s="5"/>
      <c r="H220" s="17">
        <v>215</v>
      </c>
      <c r="I220" s="18" t="str">
        <f t="shared" si="26"/>
        <v/>
      </c>
      <c r="J220" s="17">
        <f t="shared" si="31"/>
        <v>-5</v>
      </c>
      <c r="K220" s="17">
        <f t="shared" si="27"/>
        <v>-50</v>
      </c>
      <c r="L220" s="17"/>
      <c r="M220" s="19">
        <f t="shared" si="28"/>
        <v>0</v>
      </c>
      <c r="N220" s="19">
        <f t="shared" si="29"/>
        <v>0</v>
      </c>
    </row>
    <row r="221" spans="1:14">
      <c r="A221" s="43">
        <f t="shared" si="30"/>
        <v>0</v>
      </c>
      <c r="G221" s="5"/>
      <c r="H221" s="17">
        <v>216</v>
      </c>
      <c r="I221" s="18" t="str">
        <f t="shared" si="26"/>
        <v/>
      </c>
      <c r="J221" s="17">
        <f t="shared" si="31"/>
        <v>-5</v>
      </c>
      <c r="K221" s="17">
        <f t="shared" si="27"/>
        <v>-50</v>
      </c>
      <c r="L221" s="17"/>
      <c r="M221" s="19">
        <f t="shared" si="28"/>
        <v>0</v>
      </c>
      <c r="N221" s="19">
        <f t="shared" si="29"/>
        <v>0</v>
      </c>
    </row>
    <row r="222" spans="1:14">
      <c r="A222" s="43">
        <f t="shared" si="30"/>
        <v>0</v>
      </c>
      <c r="G222" s="5"/>
      <c r="H222" s="17">
        <v>217</v>
      </c>
      <c r="I222" s="18" t="str">
        <f t="shared" si="26"/>
        <v/>
      </c>
      <c r="J222" s="17">
        <f t="shared" si="31"/>
        <v>-5</v>
      </c>
      <c r="K222" s="17">
        <f t="shared" si="27"/>
        <v>-50</v>
      </c>
      <c r="L222" s="17"/>
      <c r="M222" s="19">
        <f t="shared" si="28"/>
        <v>0</v>
      </c>
      <c r="N222" s="19">
        <f t="shared" si="29"/>
        <v>0</v>
      </c>
    </row>
    <row r="223" spans="1:14">
      <c r="A223" s="43">
        <f t="shared" si="30"/>
        <v>0</v>
      </c>
      <c r="G223" s="5"/>
      <c r="H223" s="17">
        <v>218</v>
      </c>
      <c r="I223" s="18" t="str">
        <f t="shared" si="26"/>
        <v/>
      </c>
      <c r="J223" s="17">
        <f t="shared" si="31"/>
        <v>-5</v>
      </c>
      <c r="K223" s="17">
        <f t="shared" si="27"/>
        <v>-50</v>
      </c>
      <c r="L223" s="17"/>
      <c r="M223" s="19">
        <f t="shared" si="28"/>
        <v>0</v>
      </c>
      <c r="N223" s="19">
        <f t="shared" si="29"/>
        <v>0</v>
      </c>
    </row>
    <row r="224" spans="1:14">
      <c r="A224" s="43">
        <f t="shared" si="30"/>
        <v>0</v>
      </c>
      <c r="G224" s="5"/>
      <c r="H224" s="17">
        <v>219</v>
      </c>
      <c r="I224" s="18" t="str">
        <f t="shared" si="26"/>
        <v/>
      </c>
      <c r="J224" s="17">
        <f t="shared" si="31"/>
        <v>-5</v>
      </c>
      <c r="K224" s="17">
        <f t="shared" si="27"/>
        <v>-50</v>
      </c>
      <c r="L224" s="17"/>
      <c r="M224" s="19">
        <f t="shared" si="28"/>
        <v>0</v>
      </c>
      <c r="N224" s="19">
        <f t="shared" si="29"/>
        <v>0</v>
      </c>
    </row>
    <row r="225" spans="1:14">
      <c r="A225" s="43">
        <f t="shared" si="30"/>
        <v>0</v>
      </c>
      <c r="G225" s="5"/>
      <c r="H225" s="17">
        <v>220</v>
      </c>
      <c r="I225" s="18" t="str">
        <f t="shared" si="26"/>
        <v/>
      </c>
      <c r="J225" s="17">
        <f t="shared" si="31"/>
        <v>-5</v>
      </c>
      <c r="K225" s="17">
        <f t="shared" si="27"/>
        <v>-50</v>
      </c>
      <c r="L225" s="17"/>
      <c r="M225" s="19">
        <f t="shared" si="28"/>
        <v>0</v>
      </c>
      <c r="N225" s="19">
        <f t="shared" si="29"/>
        <v>0</v>
      </c>
    </row>
    <row r="226" spans="1:14">
      <c r="A226" s="43">
        <f t="shared" si="30"/>
        <v>0</v>
      </c>
      <c r="G226" s="5"/>
      <c r="H226" s="17">
        <v>221</v>
      </c>
      <c r="I226" s="18" t="str">
        <f t="shared" si="26"/>
        <v/>
      </c>
      <c r="J226" s="17">
        <f t="shared" si="31"/>
        <v>-5</v>
      </c>
      <c r="K226" s="17">
        <f t="shared" si="27"/>
        <v>-50</v>
      </c>
      <c r="L226" s="17"/>
      <c r="M226" s="19">
        <f t="shared" si="28"/>
        <v>0</v>
      </c>
      <c r="N226" s="19">
        <f t="shared" si="29"/>
        <v>0</v>
      </c>
    </row>
    <row r="227" spans="1:14">
      <c r="A227" s="43">
        <f t="shared" si="30"/>
        <v>0</v>
      </c>
      <c r="G227" s="5"/>
      <c r="H227" s="17">
        <v>222</v>
      </c>
      <c r="I227" s="18" t="str">
        <f t="shared" si="26"/>
        <v/>
      </c>
      <c r="J227" s="17">
        <f t="shared" si="31"/>
        <v>-5</v>
      </c>
      <c r="K227" s="17">
        <f t="shared" si="27"/>
        <v>-50</v>
      </c>
      <c r="L227" s="17"/>
      <c r="M227" s="19">
        <f t="shared" si="28"/>
        <v>0</v>
      </c>
      <c r="N227" s="19">
        <f t="shared" si="29"/>
        <v>0</v>
      </c>
    </row>
    <row r="228" spans="1:14">
      <c r="A228" s="43">
        <f t="shared" si="30"/>
        <v>0</v>
      </c>
      <c r="G228" s="5"/>
      <c r="H228" s="17">
        <v>223</v>
      </c>
      <c r="I228" s="18" t="str">
        <f t="shared" si="26"/>
        <v/>
      </c>
      <c r="J228" s="17">
        <f t="shared" si="31"/>
        <v>-5</v>
      </c>
      <c r="K228" s="17">
        <f t="shared" si="27"/>
        <v>-50</v>
      </c>
      <c r="L228" s="17"/>
      <c r="M228" s="19">
        <f t="shared" si="28"/>
        <v>0</v>
      </c>
      <c r="N228" s="19">
        <f t="shared" si="29"/>
        <v>0</v>
      </c>
    </row>
    <row r="229" spans="1:14">
      <c r="A229" s="43">
        <f t="shared" si="30"/>
        <v>0</v>
      </c>
      <c r="G229" s="5"/>
      <c r="H229" s="17">
        <v>224</v>
      </c>
      <c r="I229" s="18" t="str">
        <f t="shared" si="26"/>
        <v/>
      </c>
      <c r="J229" s="17">
        <f t="shared" si="31"/>
        <v>-5</v>
      </c>
      <c r="K229" s="17">
        <f t="shared" si="27"/>
        <v>-50</v>
      </c>
      <c r="L229" s="17"/>
      <c r="M229" s="19">
        <f t="shared" si="28"/>
        <v>0</v>
      </c>
      <c r="N229" s="19">
        <f t="shared" si="29"/>
        <v>0</v>
      </c>
    </row>
    <row r="230" spans="1:14">
      <c r="A230" s="43">
        <f t="shared" si="30"/>
        <v>0</v>
      </c>
      <c r="G230" s="5"/>
      <c r="H230" s="17">
        <v>225</v>
      </c>
      <c r="I230" s="18" t="str">
        <f t="shared" si="26"/>
        <v/>
      </c>
      <c r="J230" s="17">
        <f t="shared" si="31"/>
        <v>-5</v>
      </c>
      <c r="K230" s="17">
        <f t="shared" si="27"/>
        <v>-50</v>
      </c>
      <c r="L230" s="17"/>
      <c r="M230" s="19">
        <f t="shared" si="28"/>
        <v>0</v>
      </c>
      <c r="N230" s="19">
        <f t="shared" si="29"/>
        <v>0</v>
      </c>
    </row>
    <row r="231" spans="1:14">
      <c r="A231" s="43">
        <f t="shared" si="30"/>
        <v>0</v>
      </c>
      <c r="G231" s="5"/>
      <c r="H231" s="17">
        <v>226</v>
      </c>
      <c r="I231" s="18" t="str">
        <f t="shared" si="26"/>
        <v/>
      </c>
      <c r="J231" s="17">
        <f t="shared" si="31"/>
        <v>-5</v>
      </c>
      <c r="K231" s="17">
        <f t="shared" si="27"/>
        <v>-50</v>
      </c>
      <c r="L231" s="17"/>
      <c r="M231" s="19">
        <f t="shared" si="28"/>
        <v>0</v>
      </c>
      <c r="N231" s="19">
        <f t="shared" si="29"/>
        <v>0</v>
      </c>
    </row>
    <row r="232" spans="1:14">
      <c r="A232" s="43">
        <f t="shared" si="30"/>
        <v>0</v>
      </c>
      <c r="G232" s="5"/>
      <c r="H232" s="17">
        <v>227</v>
      </c>
      <c r="I232" s="18" t="str">
        <f t="shared" si="26"/>
        <v/>
      </c>
      <c r="J232" s="17">
        <f t="shared" si="31"/>
        <v>-5</v>
      </c>
      <c r="K232" s="17">
        <f t="shared" si="27"/>
        <v>-50</v>
      </c>
      <c r="L232" s="17"/>
      <c r="M232" s="19">
        <f t="shared" si="28"/>
        <v>0</v>
      </c>
      <c r="N232" s="19">
        <f t="shared" si="29"/>
        <v>0</v>
      </c>
    </row>
    <row r="233" spans="1:14">
      <c r="A233" s="43">
        <f t="shared" si="30"/>
        <v>0</v>
      </c>
      <c r="G233" s="5"/>
      <c r="H233" s="17">
        <v>228</v>
      </c>
      <c r="I233" s="18" t="str">
        <f t="shared" si="26"/>
        <v/>
      </c>
      <c r="J233" s="17">
        <f t="shared" si="31"/>
        <v>-5</v>
      </c>
      <c r="K233" s="17">
        <f t="shared" si="27"/>
        <v>-50</v>
      </c>
      <c r="L233" s="17"/>
      <c r="M233" s="19">
        <f t="shared" si="28"/>
        <v>0</v>
      </c>
      <c r="N233" s="19">
        <f t="shared" si="29"/>
        <v>0</v>
      </c>
    </row>
    <row r="234" spans="1:14">
      <c r="A234" s="43">
        <f t="shared" si="30"/>
        <v>0</v>
      </c>
      <c r="G234" s="5"/>
      <c r="H234" s="17">
        <v>229</v>
      </c>
      <c r="I234" s="18" t="str">
        <f t="shared" si="26"/>
        <v/>
      </c>
      <c r="J234" s="17">
        <f t="shared" si="31"/>
        <v>-5</v>
      </c>
      <c r="K234" s="17">
        <f t="shared" si="27"/>
        <v>-50</v>
      </c>
      <c r="L234" s="17"/>
      <c r="M234" s="19">
        <f t="shared" si="28"/>
        <v>0</v>
      </c>
      <c r="N234" s="19">
        <f t="shared" si="29"/>
        <v>0</v>
      </c>
    </row>
    <row r="235" spans="1:14">
      <c r="A235" s="43">
        <f t="shared" si="30"/>
        <v>0</v>
      </c>
      <c r="G235" s="5"/>
      <c r="H235" s="17">
        <v>230</v>
      </c>
      <c r="I235" s="18" t="str">
        <f t="shared" si="26"/>
        <v/>
      </c>
      <c r="J235" s="17">
        <f t="shared" si="31"/>
        <v>-5</v>
      </c>
      <c r="K235" s="17">
        <f t="shared" si="27"/>
        <v>-50</v>
      </c>
      <c r="L235" s="17"/>
      <c r="M235" s="19">
        <f t="shared" si="28"/>
        <v>0</v>
      </c>
      <c r="N235" s="19">
        <f t="shared" si="29"/>
        <v>0</v>
      </c>
    </row>
    <row r="236" spans="1:14">
      <c r="A236" s="43">
        <f t="shared" si="30"/>
        <v>0</v>
      </c>
      <c r="G236" s="5"/>
      <c r="H236" s="17">
        <v>231</v>
      </c>
      <c r="I236" s="18" t="str">
        <f t="shared" si="26"/>
        <v/>
      </c>
      <c r="J236" s="17">
        <f t="shared" si="31"/>
        <v>-5</v>
      </c>
      <c r="K236" s="17">
        <f t="shared" si="27"/>
        <v>-50</v>
      </c>
      <c r="L236" s="17"/>
      <c r="M236" s="19">
        <f t="shared" si="28"/>
        <v>0</v>
      </c>
      <c r="N236" s="19">
        <f t="shared" si="29"/>
        <v>0</v>
      </c>
    </row>
    <row r="237" spans="1:14">
      <c r="A237" s="43">
        <f t="shared" si="30"/>
        <v>0</v>
      </c>
      <c r="G237" s="5"/>
      <c r="H237" s="17">
        <v>232</v>
      </c>
      <c r="I237" s="18" t="str">
        <f t="shared" si="26"/>
        <v/>
      </c>
      <c r="J237" s="17">
        <f t="shared" si="31"/>
        <v>-5</v>
      </c>
      <c r="K237" s="17">
        <f t="shared" si="27"/>
        <v>-50</v>
      </c>
      <c r="L237" s="17"/>
      <c r="M237" s="19">
        <f t="shared" si="28"/>
        <v>0</v>
      </c>
      <c r="N237" s="19">
        <f t="shared" si="29"/>
        <v>0</v>
      </c>
    </row>
    <row r="238" spans="1:14">
      <c r="A238" s="43">
        <f t="shared" si="30"/>
        <v>0</v>
      </c>
      <c r="G238" s="5"/>
      <c r="H238" s="17">
        <v>233</v>
      </c>
      <c r="I238" s="18" t="str">
        <f t="shared" si="26"/>
        <v/>
      </c>
      <c r="J238" s="17">
        <f t="shared" si="31"/>
        <v>-5</v>
      </c>
      <c r="K238" s="17">
        <f t="shared" si="27"/>
        <v>-50</v>
      </c>
      <c r="L238" s="17"/>
      <c r="M238" s="19">
        <f t="shared" si="28"/>
        <v>0</v>
      </c>
      <c r="N238" s="19">
        <f t="shared" si="29"/>
        <v>0</v>
      </c>
    </row>
    <row r="239" spans="1:14">
      <c r="A239" s="43">
        <f t="shared" si="30"/>
        <v>0</v>
      </c>
      <c r="G239" s="5"/>
      <c r="H239" s="17">
        <v>234</v>
      </c>
      <c r="I239" s="18" t="str">
        <f t="shared" si="26"/>
        <v/>
      </c>
      <c r="J239" s="17">
        <f t="shared" si="31"/>
        <v>-5</v>
      </c>
      <c r="K239" s="17">
        <f t="shared" si="27"/>
        <v>-50</v>
      </c>
      <c r="L239" s="17"/>
      <c r="M239" s="19">
        <f t="shared" si="28"/>
        <v>0</v>
      </c>
      <c r="N239" s="19">
        <f t="shared" si="29"/>
        <v>0</v>
      </c>
    </row>
    <row r="240" spans="1:14">
      <c r="A240" s="43">
        <f t="shared" si="30"/>
        <v>0</v>
      </c>
      <c r="G240" s="5"/>
      <c r="H240" s="17">
        <v>235</v>
      </c>
      <c r="I240" s="18" t="str">
        <f t="shared" si="26"/>
        <v/>
      </c>
      <c r="J240" s="17">
        <f t="shared" si="31"/>
        <v>-5</v>
      </c>
      <c r="K240" s="17">
        <f t="shared" si="27"/>
        <v>-50</v>
      </c>
      <c r="L240" s="17"/>
      <c r="M240" s="19">
        <f t="shared" si="28"/>
        <v>0</v>
      </c>
      <c r="N240" s="19">
        <f t="shared" si="29"/>
        <v>0</v>
      </c>
    </row>
    <row r="241" spans="1:14">
      <c r="A241" s="43">
        <f t="shared" si="30"/>
        <v>0</v>
      </c>
      <c r="G241" s="5"/>
      <c r="H241" s="17">
        <v>236</v>
      </c>
      <c r="I241" s="18" t="str">
        <f t="shared" si="26"/>
        <v/>
      </c>
      <c r="J241" s="17">
        <f t="shared" si="31"/>
        <v>-5</v>
      </c>
      <c r="K241" s="17">
        <f t="shared" si="27"/>
        <v>-50</v>
      </c>
      <c r="L241" s="17"/>
      <c r="M241" s="19">
        <f t="shared" si="28"/>
        <v>0</v>
      </c>
      <c r="N241" s="19">
        <f t="shared" si="29"/>
        <v>0</v>
      </c>
    </row>
    <row r="242" spans="1:14">
      <c r="A242" s="43">
        <f t="shared" si="30"/>
        <v>0</v>
      </c>
      <c r="G242" s="5"/>
      <c r="H242" s="17">
        <v>237</v>
      </c>
      <c r="I242" s="18" t="str">
        <f t="shared" si="26"/>
        <v/>
      </c>
      <c r="J242" s="17">
        <f t="shared" si="31"/>
        <v>-5</v>
      </c>
      <c r="K242" s="17">
        <f t="shared" si="27"/>
        <v>-50</v>
      </c>
      <c r="L242" s="17"/>
      <c r="M242" s="19">
        <f t="shared" si="28"/>
        <v>0</v>
      </c>
      <c r="N242" s="19">
        <f t="shared" si="29"/>
        <v>0</v>
      </c>
    </row>
    <row r="243" spans="1:14">
      <c r="A243" s="43">
        <f t="shared" si="30"/>
        <v>0</v>
      </c>
      <c r="G243" s="5"/>
      <c r="H243" s="17">
        <v>238</v>
      </c>
      <c r="I243" s="18" t="str">
        <f t="shared" si="26"/>
        <v/>
      </c>
      <c r="J243" s="17">
        <f t="shared" si="31"/>
        <v>-5</v>
      </c>
      <c r="K243" s="17">
        <f t="shared" si="27"/>
        <v>-50</v>
      </c>
      <c r="L243" s="17"/>
      <c r="M243" s="19">
        <f t="shared" si="28"/>
        <v>0</v>
      </c>
      <c r="N243" s="19">
        <f t="shared" si="29"/>
        <v>0</v>
      </c>
    </row>
    <row r="244" spans="1:14">
      <c r="A244" s="43">
        <f t="shared" si="30"/>
        <v>0</v>
      </c>
      <c r="G244" s="5"/>
      <c r="H244" s="17">
        <v>239</v>
      </c>
      <c r="I244" s="18" t="str">
        <f t="shared" si="26"/>
        <v/>
      </c>
      <c r="J244" s="17">
        <f t="shared" si="31"/>
        <v>-5</v>
      </c>
      <c r="K244" s="17">
        <f t="shared" si="27"/>
        <v>-50</v>
      </c>
      <c r="L244" s="17"/>
      <c r="M244" s="19">
        <f t="shared" si="28"/>
        <v>0</v>
      </c>
      <c r="N244" s="19">
        <f t="shared" si="29"/>
        <v>0</v>
      </c>
    </row>
    <row r="245" spans="1:14">
      <c r="A245" s="43">
        <f t="shared" si="30"/>
        <v>0</v>
      </c>
      <c r="G245" s="5"/>
      <c r="H245" s="17">
        <v>240</v>
      </c>
      <c r="I245" s="18" t="str">
        <f t="shared" si="26"/>
        <v/>
      </c>
      <c r="J245" s="17">
        <f t="shared" si="31"/>
        <v>-5</v>
      </c>
      <c r="K245" s="17">
        <f t="shared" si="27"/>
        <v>-50</v>
      </c>
      <c r="L245" s="17"/>
      <c r="M245" s="19">
        <f t="shared" si="28"/>
        <v>0</v>
      </c>
      <c r="N245" s="19">
        <f t="shared" si="29"/>
        <v>0</v>
      </c>
    </row>
    <row r="246" spans="1:14">
      <c r="A246" s="43">
        <f t="shared" si="30"/>
        <v>0</v>
      </c>
      <c r="G246" s="5"/>
      <c r="H246" s="17">
        <v>241</v>
      </c>
      <c r="I246" s="18" t="str">
        <f t="shared" si="26"/>
        <v/>
      </c>
      <c r="J246" s="17">
        <f t="shared" si="31"/>
        <v>-5</v>
      </c>
      <c r="K246" s="17">
        <f t="shared" si="27"/>
        <v>-50</v>
      </c>
      <c r="L246" s="17"/>
      <c r="M246" s="19">
        <f t="shared" si="28"/>
        <v>0</v>
      </c>
      <c r="N246" s="19">
        <f t="shared" si="29"/>
        <v>0</v>
      </c>
    </row>
    <row r="247" spans="1:14">
      <c r="A247" s="43">
        <f t="shared" si="30"/>
        <v>0</v>
      </c>
      <c r="G247" s="5"/>
      <c r="H247" s="17">
        <v>242</v>
      </c>
      <c r="I247" s="18" t="str">
        <f t="shared" si="26"/>
        <v/>
      </c>
      <c r="J247" s="17">
        <f t="shared" si="31"/>
        <v>-5</v>
      </c>
      <c r="K247" s="17">
        <f t="shared" si="27"/>
        <v>-50</v>
      </c>
      <c r="L247" s="17"/>
      <c r="M247" s="19">
        <f t="shared" si="28"/>
        <v>0</v>
      </c>
      <c r="N247" s="19">
        <f t="shared" si="29"/>
        <v>0</v>
      </c>
    </row>
    <row r="248" spans="1:14">
      <c r="A248" s="43">
        <f t="shared" si="30"/>
        <v>0</v>
      </c>
      <c r="G248" s="5"/>
      <c r="H248" s="17">
        <v>243</v>
      </c>
      <c r="I248" s="18" t="str">
        <f t="shared" si="26"/>
        <v/>
      </c>
      <c r="J248" s="17">
        <f t="shared" si="31"/>
        <v>-5</v>
      </c>
      <c r="K248" s="17">
        <f t="shared" si="27"/>
        <v>-50</v>
      </c>
      <c r="L248" s="17"/>
      <c r="M248" s="19">
        <f t="shared" si="28"/>
        <v>0</v>
      </c>
      <c r="N248" s="19">
        <f t="shared" si="29"/>
        <v>0</v>
      </c>
    </row>
    <row r="249" spans="1:14">
      <c r="A249" s="43">
        <f t="shared" si="30"/>
        <v>0</v>
      </c>
      <c r="G249" s="5"/>
      <c r="H249" s="17">
        <v>244</v>
      </c>
      <c r="I249" s="18" t="str">
        <f t="shared" si="26"/>
        <v/>
      </c>
      <c r="J249" s="17">
        <f t="shared" si="31"/>
        <v>-5</v>
      </c>
      <c r="K249" s="17">
        <f t="shared" si="27"/>
        <v>-50</v>
      </c>
      <c r="L249" s="17"/>
      <c r="M249" s="19">
        <f t="shared" si="28"/>
        <v>0</v>
      </c>
      <c r="N249" s="19">
        <f t="shared" si="29"/>
        <v>0</v>
      </c>
    </row>
    <row r="250" spans="1:14">
      <c r="A250" s="43">
        <f t="shared" si="30"/>
        <v>0</v>
      </c>
      <c r="G250" s="5"/>
      <c r="H250" s="17">
        <v>245</v>
      </c>
      <c r="I250" s="18" t="str">
        <f t="shared" si="26"/>
        <v/>
      </c>
      <c r="J250" s="17">
        <f t="shared" si="31"/>
        <v>-5</v>
      </c>
      <c r="K250" s="17">
        <f t="shared" si="27"/>
        <v>-50</v>
      </c>
      <c r="L250" s="17"/>
      <c r="M250" s="19">
        <f t="shared" si="28"/>
        <v>0</v>
      </c>
      <c r="N250" s="19">
        <f t="shared" si="29"/>
        <v>0</v>
      </c>
    </row>
    <row r="251" spans="1:14">
      <c r="A251" s="43">
        <f t="shared" si="30"/>
        <v>0</v>
      </c>
      <c r="G251" s="5"/>
      <c r="H251" s="17">
        <v>246</v>
      </c>
      <c r="I251" s="18" t="str">
        <f t="shared" si="26"/>
        <v/>
      </c>
      <c r="J251" s="17">
        <f t="shared" si="31"/>
        <v>-5</v>
      </c>
      <c r="K251" s="17">
        <f t="shared" si="27"/>
        <v>-50</v>
      </c>
      <c r="L251" s="17"/>
      <c r="M251" s="19">
        <f t="shared" si="28"/>
        <v>0</v>
      </c>
      <c r="N251" s="19">
        <f t="shared" si="29"/>
        <v>0</v>
      </c>
    </row>
    <row r="252" spans="1:14">
      <c r="A252" s="43">
        <f t="shared" si="30"/>
        <v>0</v>
      </c>
      <c r="G252" s="5"/>
      <c r="H252" s="17">
        <v>247</v>
      </c>
      <c r="I252" s="18" t="str">
        <f t="shared" si="26"/>
        <v/>
      </c>
      <c r="J252" s="17">
        <f t="shared" si="31"/>
        <v>-5</v>
      </c>
      <c r="K252" s="17">
        <f t="shared" si="27"/>
        <v>-50</v>
      </c>
      <c r="L252" s="17"/>
      <c r="M252" s="19">
        <f t="shared" si="28"/>
        <v>0</v>
      </c>
      <c r="N252" s="19">
        <f t="shared" si="29"/>
        <v>0</v>
      </c>
    </row>
    <row r="253" spans="1:14">
      <c r="A253" s="43">
        <f t="shared" si="30"/>
        <v>0</v>
      </c>
      <c r="G253" s="5"/>
      <c r="H253" s="17">
        <v>248</v>
      </c>
      <c r="I253" s="18" t="str">
        <f t="shared" si="26"/>
        <v/>
      </c>
      <c r="J253" s="17">
        <f t="shared" si="31"/>
        <v>-5</v>
      </c>
      <c r="K253" s="17">
        <f t="shared" si="27"/>
        <v>-50</v>
      </c>
      <c r="L253" s="17"/>
      <c r="M253" s="19">
        <f t="shared" si="28"/>
        <v>0</v>
      </c>
      <c r="N253" s="19">
        <f t="shared" si="29"/>
        <v>0</v>
      </c>
    </row>
    <row r="254" spans="1:14">
      <c r="A254" s="43">
        <f t="shared" si="30"/>
        <v>0</v>
      </c>
      <c r="G254" s="5"/>
      <c r="H254" s="17">
        <v>249</v>
      </c>
      <c r="I254" s="18" t="str">
        <f t="shared" si="26"/>
        <v/>
      </c>
      <c r="J254" s="17">
        <f t="shared" si="31"/>
        <v>-5</v>
      </c>
      <c r="K254" s="17">
        <f t="shared" si="27"/>
        <v>-50</v>
      </c>
      <c r="L254" s="17"/>
      <c r="M254" s="19">
        <f t="shared" si="28"/>
        <v>0</v>
      </c>
      <c r="N254" s="19">
        <f t="shared" si="29"/>
        <v>0</v>
      </c>
    </row>
    <row r="255" spans="1:14">
      <c r="A255" s="43">
        <f t="shared" si="30"/>
        <v>0</v>
      </c>
      <c r="G255" s="5"/>
      <c r="H255" s="17">
        <v>250</v>
      </c>
      <c r="I255" s="18" t="str">
        <f t="shared" si="26"/>
        <v/>
      </c>
      <c r="J255" s="17">
        <f t="shared" si="31"/>
        <v>-5</v>
      </c>
      <c r="K255" s="17">
        <f t="shared" si="27"/>
        <v>-50</v>
      </c>
      <c r="L255" s="17"/>
      <c r="M255" s="19">
        <f t="shared" si="28"/>
        <v>0</v>
      </c>
      <c r="N255" s="19">
        <f t="shared" si="29"/>
        <v>0</v>
      </c>
    </row>
    <row r="256" spans="1:14">
      <c r="A256" s="43">
        <f t="shared" si="30"/>
        <v>0</v>
      </c>
      <c r="G256" s="5"/>
      <c r="H256" s="17">
        <v>251</v>
      </c>
      <c r="I256" s="18" t="str">
        <f t="shared" si="26"/>
        <v/>
      </c>
      <c r="J256" s="17">
        <f t="shared" si="31"/>
        <v>-5</v>
      </c>
      <c r="K256" s="17">
        <f t="shared" si="27"/>
        <v>-50</v>
      </c>
      <c r="L256" s="17"/>
      <c r="M256" s="19">
        <f t="shared" si="28"/>
        <v>0</v>
      </c>
      <c r="N256" s="19">
        <f t="shared" si="29"/>
        <v>0</v>
      </c>
    </row>
    <row r="257" spans="1:14">
      <c r="A257" s="43">
        <f t="shared" si="30"/>
        <v>0</v>
      </c>
      <c r="G257" s="5"/>
      <c r="H257" s="17">
        <v>252</v>
      </c>
      <c r="I257" s="18" t="str">
        <f t="shared" si="26"/>
        <v/>
      </c>
      <c r="J257" s="17">
        <f t="shared" si="31"/>
        <v>-5</v>
      </c>
      <c r="K257" s="17">
        <f t="shared" si="27"/>
        <v>-50</v>
      </c>
      <c r="L257" s="17"/>
      <c r="M257" s="19">
        <f t="shared" si="28"/>
        <v>0</v>
      </c>
      <c r="N257" s="19">
        <f t="shared" si="29"/>
        <v>0</v>
      </c>
    </row>
    <row r="258" spans="1:14">
      <c r="A258" s="43">
        <f t="shared" si="30"/>
        <v>0</v>
      </c>
      <c r="G258" s="5"/>
      <c r="H258" s="17">
        <v>253</v>
      </c>
      <c r="I258" s="18" t="str">
        <f t="shared" si="26"/>
        <v/>
      </c>
      <c r="J258" s="17">
        <f t="shared" si="31"/>
        <v>-5</v>
      </c>
      <c r="K258" s="17">
        <f t="shared" si="27"/>
        <v>-50</v>
      </c>
      <c r="L258" s="17"/>
      <c r="M258" s="19">
        <f t="shared" si="28"/>
        <v>0</v>
      </c>
      <c r="N258" s="19">
        <f t="shared" si="29"/>
        <v>0</v>
      </c>
    </row>
    <row r="259" spans="1:14">
      <c r="A259" s="43">
        <f t="shared" si="30"/>
        <v>0</v>
      </c>
      <c r="G259" s="5"/>
      <c r="H259" s="17">
        <v>254</v>
      </c>
      <c r="I259" s="18" t="str">
        <f t="shared" si="26"/>
        <v/>
      </c>
      <c r="J259" s="17">
        <f t="shared" si="31"/>
        <v>-5</v>
      </c>
      <c r="K259" s="17">
        <f t="shared" si="27"/>
        <v>-50</v>
      </c>
      <c r="L259" s="17"/>
      <c r="M259" s="19">
        <f t="shared" si="28"/>
        <v>0</v>
      </c>
      <c r="N259" s="19">
        <f t="shared" si="29"/>
        <v>0</v>
      </c>
    </row>
    <row r="260" spans="1:14">
      <c r="A260" s="43">
        <f t="shared" si="30"/>
        <v>0</v>
      </c>
      <c r="G260" s="5"/>
      <c r="H260" s="17">
        <v>255</v>
      </c>
      <c r="I260" s="18" t="str">
        <f t="shared" si="26"/>
        <v/>
      </c>
      <c r="J260" s="17">
        <f t="shared" si="31"/>
        <v>-5</v>
      </c>
      <c r="K260" s="17">
        <f t="shared" si="27"/>
        <v>-50</v>
      </c>
      <c r="L260" s="17"/>
      <c r="M260" s="19">
        <f t="shared" si="28"/>
        <v>0</v>
      </c>
      <c r="N260" s="19">
        <f t="shared" si="29"/>
        <v>0</v>
      </c>
    </row>
    <row r="261" spans="1:14">
      <c r="A261" s="43">
        <f t="shared" si="30"/>
        <v>0</v>
      </c>
      <c r="G261" s="5"/>
      <c r="H261" s="17">
        <v>256</v>
      </c>
      <c r="I261" s="18" t="str">
        <f t="shared" si="26"/>
        <v/>
      </c>
      <c r="J261" s="17">
        <f t="shared" si="31"/>
        <v>-5</v>
      </c>
      <c r="K261" s="17">
        <f t="shared" si="27"/>
        <v>-50</v>
      </c>
      <c r="L261" s="17"/>
      <c r="M261" s="19">
        <f t="shared" si="28"/>
        <v>0</v>
      </c>
      <c r="N261" s="19">
        <f t="shared" si="29"/>
        <v>0</v>
      </c>
    </row>
    <row r="262" spans="1:14">
      <c r="A262" s="43">
        <f t="shared" si="30"/>
        <v>0</v>
      </c>
      <c r="G262" s="5"/>
      <c r="H262" s="17">
        <v>257</v>
      </c>
      <c r="I262" s="18" t="str">
        <f t="shared" ref="I262:I305" si="32">IF(H262&lt;$H$2+1,($I$2-($I$2-1)*(LOG(H262)/LOG($H$2))),"")</f>
        <v/>
      </c>
      <c r="J262" s="17">
        <f t="shared" si="31"/>
        <v>-6</v>
      </c>
      <c r="K262" s="17">
        <f t="shared" ref="K262:K305" si="33">J262*$J$2</f>
        <v>-60</v>
      </c>
      <c r="L262" s="17"/>
      <c r="M262" s="19">
        <f t="shared" ref="M262:M305" si="34">IF(I262&lt;&gt;"",K262+I262+L262,0)</f>
        <v>0</v>
      </c>
      <c r="N262" s="19">
        <f t="shared" ref="N262:N305" si="35">IF(I262&lt;&gt;"",M262*L$2,0)</f>
        <v>0</v>
      </c>
    </row>
    <row r="263" spans="1:14">
      <c r="A263" s="43">
        <f t="shared" ref="A263:A305" si="36">N263</f>
        <v>0</v>
      </c>
      <c r="G263" s="5"/>
      <c r="H263" s="17">
        <v>258</v>
      </c>
      <c r="I263" s="18" t="str">
        <f t="shared" si="32"/>
        <v/>
      </c>
      <c r="J263" s="17">
        <f t="shared" ref="J263:J326" si="37">INT(LOG($H$2,2))-ROUNDUP(LOG(H263,2),0)+IF(OR($H$2=1,$H$2=2,$H$2=4,$H$2=8,$H$2=16,$H$2=32,$H$2=64,$H$2=128,$H$2=256),0,1)</f>
        <v>-6</v>
      </c>
      <c r="K263" s="17">
        <f t="shared" si="33"/>
        <v>-60</v>
      </c>
      <c r="L263" s="17"/>
      <c r="M263" s="19">
        <f t="shared" si="34"/>
        <v>0</v>
      </c>
      <c r="N263" s="19">
        <f t="shared" si="35"/>
        <v>0</v>
      </c>
    </row>
    <row r="264" spans="1:14">
      <c r="A264" s="43">
        <f t="shared" si="36"/>
        <v>0</v>
      </c>
      <c r="G264" s="5"/>
      <c r="H264" s="17">
        <v>259</v>
      </c>
      <c r="I264" s="18" t="str">
        <f t="shared" si="32"/>
        <v/>
      </c>
      <c r="J264" s="17">
        <f t="shared" si="37"/>
        <v>-6</v>
      </c>
      <c r="K264" s="17">
        <f t="shared" si="33"/>
        <v>-60</v>
      </c>
      <c r="L264" s="17"/>
      <c r="M264" s="19">
        <f t="shared" si="34"/>
        <v>0</v>
      </c>
      <c r="N264" s="19">
        <f t="shared" si="35"/>
        <v>0</v>
      </c>
    </row>
    <row r="265" spans="1:14">
      <c r="A265" s="43">
        <f t="shared" si="36"/>
        <v>0</v>
      </c>
      <c r="G265" s="5"/>
      <c r="H265" s="17">
        <v>260</v>
      </c>
      <c r="I265" s="18" t="str">
        <f t="shared" si="32"/>
        <v/>
      </c>
      <c r="J265" s="17">
        <f t="shared" si="37"/>
        <v>-6</v>
      </c>
      <c r="K265" s="17">
        <f t="shared" si="33"/>
        <v>-60</v>
      </c>
      <c r="L265" s="17"/>
      <c r="M265" s="19">
        <f t="shared" si="34"/>
        <v>0</v>
      </c>
      <c r="N265" s="19">
        <f t="shared" si="35"/>
        <v>0</v>
      </c>
    </row>
    <row r="266" spans="1:14">
      <c r="A266" s="43">
        <f t="shared" si="36"/>
        <v>0</v>
      </c>
      <c r="G266" s="5"/>
      <c r="H266" s="17">
        <v>261</v>
      </c>
      <c r="I266" s="18" t="str">
        <f t="shared" si="32"/>
        <v/>
      </c>
      <c r="J266" s="17">
        <f t="shared" si="37"/>
        <v>-6</v>
      </c>
      <c r="K266" s="17">
        <f t="shared" si="33"/>
        <v>-60</v>
      </c>
      <c r="L266" s="17"/>
      <c r="M266" s="19">
        <f t="shared" si="34"/>
        <v>0</v>
      </c>
      <c r="N266" s="19">
        <f t="shared" si="35"/>
        <v>0</v>
      </c>
    </row>
    <row r="267" spans="1:14">
      <c r="A267" s="43">
        <f t="shared" si="36"/>
        <v>0</v>
      </c>
      <c r="G267" s="5"/>
      <c r="H267" s="17">
        <v>262</v>
      </c>
      <c r="I267" s="18" t="str">
        <f t="shared" si="32"/>
        <v/>
      </c>
      <c r="J267" s="17">
        <f t="shared" si="37"/>
        <v>-6</v>
      </c>
      <c r="K267" s="17">
        <f t="shared" si="33"/>
        <v>-60</v>
      </c>
      <c r="L267" s="17"/>
      <c r="M267" s="19">
        <f t="shared" si="34"/>
        <v>0</v>
      </c>
      <c r="N267" s="19">
        <f t="shared" si="35"/>
        <v>0</v>
      </c>
    </row>
    <row r="268" spans="1:14">
      <c r="A268" s="43">
        <f t="shared" si="36"/>
        <v>0</v>
      </c>
      <c r="G268" s="5"/>
      <c r="H268" s="17">
        <v>263</v>
      </c>
      <c r="I268" s="18" t="str">
        <f t="shared" si="32"/>
        <v/>
      </c>
      <c r="J268" s="17">
        <f t="shared" si="37"/>
        <v>-6</v>
      </c>
      <c r="K268" s="17">
        <f t="shared" si="33"/>
        <v>-60</v>
      </c>
      <c r="L268" s="17"/>
      <c r="M268" s="19">
        <f t="shared" si="34"/>
        <v>0</v>
      </c>
      <c r="N268" s="19">
        <f t="shared" si="35"/>
        <v>0</v>
      </c>
    </row>
    <row r="269" spans="1:14">
      <c r="A269" s="43">
        <f t="shared" si="36"/>
        <v>0</v>
      </c>
      <c r="G269" s="5"/>
      <c r="H269" s="17">
        <v>264</v>
      </c>
      <c r="I269" s="18" t="str">
        <f t="shared" si="32"/>
        <v/>
      </c>
      <c r="J269" s="17">
        <f t="shared" si="37"/>
        <v>-6</v>
      </c>
      <c r="K269" s="17">
        <f t="shared" si="33"/>
        <v>-60</v>
      </c>
      <c r="L269" s="17"/>
      <c r="M269" s="19">
        <f t="shared" si="34"/>
        <v>0</v>
      </c>
      <c r="N269" s="19">
        <f t="shared" si="35"/>
        <v>0</v>
      </c>
    </row>
    <row r="270" spans="1:14">
      <c r="A270" s="43">
        <f t="shared" si="36"/>
        <v>0</v>
      </c>
      <c r="G270" s="5"/>
      <c r="H270" s="17">
        <v>265</v>
      </c>
      <c r="I270" s="18" t="str">
        <f t="shared" si="32"/>
        <v/>
      </c>
      <c r="J270" s="17">
        <f t="shared" si="37"/>
        <v>-6</v>
      </c>
      <c r="K270" s="17">
        <f t="shared" si="33"/>
        <v>-60</v>
      </c>
      <c r="L270" s="17"/>
      <c r="M270" s="19">
        <f t="shared" si="34"/>
        <v>0</v>
      </c>
      <c r="N270" s="19">
        <f t="shared" si="35"/>
        <v>0</v>
      </c>
    </row>
    <row r="271" spans="1:14">
      <c r="A271" s="43">
        <f t="shared" si="36"/>
        <v>0</v>
      </c>
      <c r="G271" s="5"/>
      <c r="H271" s="17">
        <v>266</v>
      </c>
      <c r="I271" s="18" t="str">
        <f t="shared" si="32"/>
        <v/>
      </c>
      <c r="J271" s="17">
        <f t="shared" si="37"/>
        <v>-6</v>
      </c>
      <c r="K271" s="17">
        <f t="shared" si="33"/>
        <v>-60</v>
      </c>
      <c r="L271" s="17"/>
      <c r="M271" s="19">
        <f t="shared" si="34"/>
        <v>0</v>
      </c>
      <c r="N271" s="19">
        <f t="shared" si="35"/>
        <v>0</v>
      </c>
    </row>
    <row r="272" spans="1:14">
      <c r="A272" s="43">
        <f t="shared" si="36"/>
        <v>0</v>
      </c>
      <c r="G272" s="5"/>
      <c r="H272" s="17">
        <v>267</v>
      </c>
      <c r="I272" s="18" t="str">
        <f t="shared" si="32"/>
        <v/>
      </c>
      <c r="J272" s="17">
        <f t="shared" si="37"/>
        <v>-6</v>
      </c>
      <c r="K272" s="17">
        <f t="shared" si="33"/>
        <v>-60</v>
      </c>
      <c r="L272" s="17"/>
      <c r="M272" s="19">
        <f t="shared" si="34"/>
        <v>0</v>
      </c>
      <c r="N272" s="19">
        <f t="shared" si="35"/>
        <v>0</v>
      </c>
    </row>
    <row r="273" spans="1:14">
      <c r="A273" s="43">
        <f t="shared" si="36"/>
        <v>0</v>
      </c>
      <c r="G273" s="5"/>
      <c r="H273" s="17">
        <v>268</v>
      </c>
      <c r="I273" s="18" t="str">
        <f t="shared" si="32"/>
        <v/>
      </c>
      <c r="J273" s="17">
        <f t="shared" si="37"/>
        <v>-6</v>
      </c>
      <c r="K273" s="17">
        <f t="shared" si="33"/>
        <v>-60</v>
      </c>
      <c r="L273" s="17"/>
      <c r="M273" s="19">
        <f t="shared" si="34"/>
        <v>0</v>
      </c>
      <c r="N273" s="19">
        <f t="shared" si="35"/>
        <v>0</v>
      </c>
    </row>
    <row r="274" spans="1:14">
      <c r="A274" s="43">
        <f t="shared" si="36"/>
        <v>0</v>
      </c>
      <c r="G274" s="5"/>
      <c r="H274" s="17">
        <v>269</v>
      </c>
      <c r="I274" s="18" t="str">
        <f t="shared" si="32"/>
        <v/>
      </c>
      <c r="J274" s="17">
        <f t="shared" si="37"/>
        <v>-6</v>
      </c>
      <c r="K274" s="17">
        <f t="shared" si="33"/>
        <v>-60</v>
      </c>
      <c r="L274" s="17"/>
      <c r="M274" s="19">
        <f t="shared" si="34"/>
        <v>0</v>
      </c>
      <c r="N274" s="19">
        <f t="shared" si="35"/>
        <v>0</v>
      </c>
    </row>
    <row r="275" spans="1:14">
      <c r="A275" s="43">
        <f t="shared" si="36"/>
        <v>0</v>
      </c>
      <c r="G275" s="5"/>
      <c r="H275" s="17">
        <v>270</v>
      </c>
      <c r="I275" s="18" t="str">
        <f t="shared" si="32"/>
        <v/>
      </c>
      <c r="J275" s="17">
        <f t="shared" si="37"/>
        <v>-6</v>
      </c>
      <c r="K275" s="17">
        <f t="shared" si="33"/>
        <v>-60</v>
      </c>
      <c r="L275" s="17"/>
      <c r="M275" s="19">
        <f t="shared" si="34"/>
        <v>0</v>
      </c>
      <c r="N275" s="19">
        <f t="shared" si="35"/>
        <v>0</v>
      </c>
    </row>
    <row r="276" spans="1:14">
      <c r="A276" s="43">
        <f t="shared" si="36"/>
        <v>0</v>
      </c>
      <c r="G276" s="5"/>
      <c r="H276" s="17">
        <v>271</v>
      </c>
      <c r="I276" s="18" t="str">
        <f t="shared" si="32"/>
        <v/>
      </c>
      <c r="J276" s="17">
        <f t="shared" si="37"/>
        <v>-6</v>
      </c>
      <c r="K276" s="17">
        <f t="shared" si="33"/>
        <v>-60</v>
      </c>
      <c r="L276" s="17"/>
      <c r="M276" s="19">
        <f t="shared" si="34"/>
        <v>0</v>
      </c>
      <c r="N276" s="19">
        <f t="shared" si="35"/>
        <v>0</v>
      </c>
    </row>
    <row r="277" spans="1:14">
      <c r="A277" s="43">
        <f t="shared" si="36"/>
        <v>0</v>
      </c>
      <c r="G277" s="5"/>
      <c r="H277" s="17">
        <v>272</v>
      </c>
      <c r="I277" s="18" t="str">
        <f t="shared" si="32"/>
        <v/>
      </c>
      <c r="J277" s="17">
        <f t="shared" si="37"/>
        <v>-6</v>
      </c>
      <c r="K277" s="17">
        <f t="shared" si="33"/>
        <v>-60</v>
      </c>
      <c r="L277" s="17"/>
      <c r="M277" s="19">
        <f t="shared" si="34"/>
        <v>0</v>
      </c>
      <c r="N277" s="19">
        <f t="shared" si="35"/>
        <v>0</v>
      </c>
    </row>
    <row r="278" spans="1:14">
      <c r="A278" s="43">
        <f t="shared" si="36"/>
        <v>0</v>
      </c>
      <c r="G278" s="5"/>
      <c r="H278" s="17">
        <v>273</v>
      </c>
      <c r="I278" s="18" t="str">
        <f t="shared" si="32"/>
        <v/>
      </c>
      <c r="J278" s="17">
        <f t="shared" si="37"/>
        <v>-6</v>
      </c>
      <c r="K278" s="17">
        <f t="shared" si="33"/>
        <v>-60</v>
      </c>
      <c r="L278" s="17"/>
      <c r="M278" s="19">
        <f t="shared" si="34"/>
        <v>0</v>
      </c>
      <c r="N278" s="19">
        <f t="shared" si="35"/>
        <v>0</v>
      </c>
    </row>
    <row r="279" spans="1:14">
      <c r="A279" s="43">
        <f t="shared" si="36"/>
        <v>0</v>
      </c>
      <c r="G279" s="5"/>
      <c r="H279" s="17">
        <v>274</v>
      </c>
      <c r="I279" s="18" t="str">
        <f t="shared" si="32"/>
        <v/>
      </c>
      <c r="J279" s="17">
        <f t="shared" si="37"/>
        <v>-6</v>
      </c>
      <c r="K279" s="17">
        <f t="shared" si="33"/>
        <v>-60</v>
      </c>
      <c r="L279" s="17"/>
      <c r="M279" s="19">
        <f t="shared" si="34"/>
        <v>0</v>
      </c>
      <c r="N279" s="19">
        <f t="shared" si="35"/>
        <v>0</v>
      </c>
    </row>
    <row r="280" spans="1:14">
      <c r="A280" s="43">
        <f t="shared" si="36"/>
        <v>0</v>
      </c>
      <c r="G280" s="5"/>
      <c r="H280" s="17">
        <v>275</v>
      </c>
      <c r="I280" s="18" t="str">
        <f t="shared" si="32"/>
        <v/>
      </c>
      <c r="J280" s="17">
        <f t="shared" si="37"/>
        <v>-6</v>
      </c>
      <c r="K280" s="17">
        <f t="shared" si="33"/>
        <v>-60</v>
      </c>
      <c r="L280" s="17"/>
      <c r="M280" s="19">
        <f t="shared" si="34"/>
        <v>0</v>
      </c>
      <c r="N280" s="19">
        <f t="shared" si="35"/>
        <v>0</v>
      </c>
    </row>
    <row r="281" spans="1:14">
      <c r="A281" s="43">
        <f t="shared" si="36"/>
        <v>0</v>
      </c>
      <c r="G281" s="5"/>
      <c r="H281" s="17">
        <v>276</v>
      </c>
      <c r="I281" s="18" t="str">
        <f t="shared" si="32"/>
        <v/>
      </c>
      <c r="J281" s="17">
        <f t="shared" si="37"/>
        <v>-6</v>
      </c>
      <c r="K281" s="17">
        <f t="shared" si="33"/>
        <v>-60</v>
      </c>
      <c r="L281" s="17"/>
      <c r="M281" s="19">
        <f t="shared" si="34"/>
        <v>0</v>
      </c>
      <c r="N281" s="19">
        <f t="shared" si="35"/>
        <v>0</v>
      </c>
    </row>
    <row r="282" spans="1:14">
      <c r="A282" s="43">
        <f t="shared" si="36"/>
        <v>0</v>
      </c>
      <c r="G282" s="5"/>
      <c r="H282" s="17">
        <v>277</v>
      </c>
      <c r="I282" s="18" t="str">
        <f t="shared" si="32"/>
        <v/>
      </c>
      <c r="J282" s="17">
        <f t="shared" si="37"/>
        <v>-6</v>
      </c>
      <c r="K282" s="17">
        <f t="shared" si="33"/>
        <v>-60</v>
      </c>
      <c r="L282" s="17"/>
      <c r="M282" s="19">
        <f t="shared" si="34"/>
        <v>0</v>
      </c>
      <c r="N282" s="19">
        <f t="shared" si="35"/>
        <v>0</v>
      </c>
    </row>
    <row r="283" spans="1:14">
      <c r="A283" s="43">
        <f t="shared" si="36"/>
        <v>0</v>
      </c>
      <c r="G283" s="5"/>
      <c r="H283" s="17">
        <v>278</v>
      </c>
      <c r="I283" s="18" t="str">
        <f t="shared" si="32"/>
        <v/>
      </c>
      <c r="J283" s="17">
        <f t="shared" si="37"/>
        <v>-6</v>
      </c>
      <c r="K283" s="17">
        <f t="shared" si="33"/>
        <v>-60</v>
      </c>
      <c r="L283" s="17"/>
      <c r="M283" s="19">
        <f t="shared" si="34"/>
        <v>0</v>
      </c>
      <c r="N283" s="19">
        <f t="shared" si="35"/>
        <v>0</v>
      </c>
    </row>
    <row r="284" spans="1:14">
      <c r="A284" s="43">
        <f t="shared" si="36"/>
        <v>0</v>
      </c>
      <c r="G284" s="5"/>
      <c r="H284" s="17">
        <v>279</v>
      </c>
      <c r="I284" s="18" t="str">
        <f t="shared" si="32"/>
        <v/>
      </c>
      <c r="J284" s="17">
        <f t="shared" si="37"/>
        <v>-6</v>
      </c>
      <c r="K284" s="17">
        <f t="shared" si="33"/>
        <v>-60</v>
      </c>
      <c r="L284" s="17"/>
      <c r="M284" s="19">
        <f t="shared" si="34"/>
        <v>0</v>
      </c>
      <c r="N284" s="19">
        <f t="shared" si="35"/>
        <v>0</v>
      </c>
    </row>
    <row r="285" spans="1:14">
      <c r="A285" s="43">
        <f t="shared" si="36"/>
        <v>0</v>
      </c>
      <c r="G285" s="5"/>
      <c r="H285" s="17">
        <v>280</v>
      </c>
      <c r="I285" s="18" t="str">
        <f t="shared" si="32"/>
        <v/>
      </c>
      <c r="J285" s="17">
        <f t="shared" si="37"/>
        <v>-6</v>
      </c>
      <c r="K285" s="17">
        <f t="shared" si="33"/>
        <v>-60</v>
      </c>
      <c r="L285" s="17"/>
      <c r="M285" s="19">
        <f t="shared" si="34"/>
        <v>0</v>
      </c>
      <c r="N285" s="19">
        <f t="shared" si="35"/>
        <v>0</v>
      </c>
    </row>
    <row r="286" spans="1:14">
      <c r="A286" s="43">
        <f t="shared" si="36"/>
        <v>0</v>
      </c>
      <c r="G286" s="5"/>
      <c r="H286" s="17">
        <v>281</v>
      </c>
      <c r="I286" s="18" t="str">
        <f t="shared" si="32"/>
        <v/>
      </c>
      <c r="J286" s="17">
        <f t="shared" si="37"/>
        <v>-6</v>
      </c>
      <c r="K286" s="17">
        <f t="shared" si="33"/>
        <v>-60</v>
      </c>
      <c r="L286" s="17"/>
      <c r="M286" s="19">
        <f t="shared" si="34"/>
        <v>0</v>
      </c>
      <c r="N286" s="19">
        <f t="shared" si="35"/>
        <v>0</v>
      </c>
    </row>
    <row r="287" spans="1:14">
      <c r="A287" s="43">
        <f t="shared" si="36"/>
        <v>0</v>
      </c>
      <c r="G287" s="5"/>
      <c r="H287" s="17">
        <v>282</v>
      </c>
      <c r="I287" s="18" t="str">
        <f t="shared" si="32"/>
        <v/>
      </c>
      <c r="J287" s="17">
        <f t="shared" si="37"/>
        <v>-6</v>
      </c>
      <c r="K287" s="17">
        <f t="shared" si="33"/>
        <v>-60</v>
      </c>
      <c r="L287" s="17"/>
      <c r="M287" s="19">
        <f t="shared" si="34"/>
        <v>0</v>
      </c>
      <c r="N287" s="19">
        <f t="shared" si="35"/>
        <v>0</v>
      </c>
    </row>
    <row r="288" spans="1:14">
      <c r="A288" s="43">
        <f t="shared" si="36"/>
        <v>0</v>
      </c>
      <c r="G288" s="5"/>
      <c r="H288" s="17">
        <v>283</v>
      </c>
      <c r="I288" s="18" t="str">
        <f t="shared" si="32"/>
        <v/>
      </c>
      <c r="J288" s="17">
        <f t="shared" si="37"/>
        <v>-6</v>
      </c>
      <c r="K288" s="17">
        <f t="shared" si="33"/>
        <v>-60</v>
      </c>
      <c r="L288" s="17"/>
      <c r="M288" s="19">
        <f t="shared" si="34"/>
        <v>0</v>
      </c>
      <c r="N288" s="19">
        <f t="shared" si="35"/>
        <v>0</v>
      </c>
    </row>
    <row r="289" spans="1:14">
      <c r="A289" s="43">
        <f t="shared" si="36"/>
        <v>0</v>
      </c>
      <c r="G289" s="5"/>
      <c r="H289" s="17">
        <v>284</v>
      </c>
      <c r="I289" s="18" t="str">
        <f t="shared" si="32"/>
        <v/>
      </c>
      <c r="J289" s="17">
        <f t="shared" si="37"/>
        <v>-6</v>
      </c>
      <c r="K289" s="17">
        <f t="shared" si="33"/>
        <v>-60</v>
      </c>
      <c r="L289" s="17"/>
      <c r="M289" s="19">
        <f t="shared" si="34"/>
        <v>0</v>
      </c>
      <c r="N289" s="19">
        <f t="shared" si="35"/>
        <v>0</v>
      </c>
    </row>
    <row r="290" spans="1:14">
      <c r="A290" s="43">
        <f t="shared" si="36"/>
        <v>0</v>
      </c>
      <c r="G290" s="5"/>
      <c r="H290" s="17">
        <v>285</v>
      </c>
      <c r="I290" s="18" t="str">
        <f t="shared" si="32"/>
        <v/>
      </c>
      <c r="J290" s="17">
        <f t="shared" si="37"/>
        <v>-6</v>
      </c>
      <c r="K290" s="17">
        <f t="shared" si="33"/>
        <v>-60</v>
      </c>
      <c r="L290" s="17"/>
      <c r="M290" s="19">
        <f t="shared" si="34"/>
        <v>0</v>
      </c>
      <c r="N290" s="19">
        <f t="shared" si="35"/>
        <v>0</v>
      </c>
    </row>
    <row r="291" spans="1:14">
      <c r="A291" s="43">
        <f t="shared" si="36"/>
        <v>0</v>
      </c>
      <c r="G291" s="5"/>
      <c r="H291" s="17">
        <v>286</v>
      </c>
      <c r="I291" s="18" t="str">
        <f t="shared" si="32"/>
        <v/>
      </c>
      <c r="J291" s="17">
        <f t="shared" si="37"/>
        <v>-6</v>
      </c>
      <c r="K291" s="17">
        <f t="shared" si="33"/>
        <v>-60</v>
      </c>
      <c r="L291" s="17"/>
      <c r="M291" s="19">
        <f t="shared" si="34"/>
        <v>0</v>
      </c>
      <c r="N291" s="19">
        <f t="shared" si="35"/>
        <v>0</v>
      </c>
    </row>
    <row r="292" spans="1:14">
      <c r="A292" s="43">
        <f t="shared" si="36"/>
        <v>0</v>
      </c>
      <c r="G292" s="5"/>
      <c r="H292" s="17">
        <v>287</v>
      </c>
      <c r="I292" s="18" t="str">
        <f t="shared" si="32"/>
        <v/>
      </c>
      <c r="J292" s="17">
        <f t="shared" si="37"/>
        <v>-6</v>
      </c>
      <c r="K292" s="17">
        <f t="shared" si="33"/>
        <v>-60</v>
      </c>
      <c r="L292" s="17"/>
      <c r="M292" s="19">
        <f t="shared" si="34"/>
        <v>0</v>
      </c>
      <c r="N292" s="19">
        <f t="shared" si="35"/>
        <v>0</v>
      </c>
    </row>
    <row r="293" spans="1:14">
      <c r="A293" s="43">
        <f t="shared" si="36"/>
        <v>0</v>
      </c>
      <c r="G293" s="5"/>
      <c r="H293" s="17">
        <v>288</v>
      </c>
      <c r="I293" s="18" t="str">
        <f t="shared" si="32"/>
        <v/>
      </c>
      <c r="J293" s="17">
        <f t="shared" si="37"/>
        <v>-6</v>
      </c>
      <c r="K293" s="17">
        <f t="shared" si="33"/>
        <v>-60</v>
      </c>
      <c r="L293" s="17"/>
      <c r="M293" s="19">
        <f t="shared" si="34"/>
        <v>0</v>
      </c>
      <c r="N293" s="19">
        <f t="shared" si="35"/>
        <v>0</v>
      </c>
    </row>
    <row r="294" spans="1:14">
      <c r="A294" s="43">
        <f t="shared" si="36"/>
        <v>0</v>
      </c>
      <c r="G294" s="5"/>
      <c r="H294" s="17">
        <v>289</v>
      </c>
      <c r="I294" s="18" t="str">
        <f t="shared" si="32"/>
        <v/>
      </c>
      <c r="J294" s="17">
        <f t="shared" si="37"/>
        <v>-6</v>
      </c>
      <c r="K294" s="17">
        <f t="shared" si="33"/>
        <v>-60</v>
      </c>
      <c r="L294" s="17"/>
      <c r="M294" s="19">
        <f t="shared" si="34"/>
        <v>0</v>
      </c>
      <c r="N294" s="19">
        <f t="shared" si="35"/>
        <v>0</v>
      </c>
    </row>
    <row r="295" spans="1:14">
      <c r="A295" s="43">
        <f t="shared" si="36"/>
        <v>0</v>
      </c>
      <c r="G295" s="5"/>
      <c r="H295" s="17">
        <v>290</v>
      </c>
      <c r="I295" s="18" t="str">
        <f t="shared" si="32"/>
        <v/>
      </c>
      <c r="J295" s="17">
        <f t="shared" si="37"/>
        <v>-6</v>
      </c>
      <c r="K295" s="17">
        <f t="shared" si="33"/>
        <v>-60</v>
      </c>
      <c r="L295" s="17"/>
      <c r="M295" s="19">
        <f t="shared" si="34"/>
        <v>0</v>
      </c>
      <c r="N295" s="19">
        <f t="shared" si="35"/>
        <v>0</v>
      </c>
    </row>
    <row r="296" spans="1:14">
      <c r="A296" s="43">
        <f t="shared" si="36"/>
        <v>0</v>
      </c>
      <c r="G296" s="5"/>
      <c r="H296" s="17">
        <v>291</v>
      </c>
      <c r="I296" s="18" t="str">
        <f t="shared" si="32"/>
        <v/>
      </c>
      <c r="J296" s="17">
        <f t="shared" si="37"/>
        <v>-6</v>
      </c>
      <c r="K296" s="17">
        <f t="shared" si="33"/>
        <v>-60</v>
      </c>
      <c r="L296" s="17"/>
      <c r="M296" s="19">
        <f t="shared" si="34"/>
        <v>0</v>
      </c>
      <c r="N296" s="19">
        <f t="shared" si="35"/>
        <v>0</v>
      </c>
    </row>
    <row r="297" spans="1:14">
      <c r="A297" s="43">
        <f t="shared" si="36"/>
        <v>0</v>
      </c>
      <c r="G297" s="5"/>
      <c r="H297" s="17">
        <v>292</v>
      </c>
      <c r="I297" s="18" t="str">
        <f t="shared" si="32"/>
        <v/>
      </c>
      <c r="J297" s="17">
        <f t="shared" si="37"/>
        <v>-6</v>
      </c>
      <c r="K297" s="17">
        <f t="shared" si="33"/>
        <v>-60</v>
      </c>
      <c r="L297" s="17"/>
      <c r="M297" s="19">
        <f t="shared" si="34"/>
        <v>0</v>
      </c>
      <c r="N297" s="19">
        <f t="shared" si="35"/>
        <v>0</v>
      </c>
    </row>
    <row r="298" spans="1:14">
      <c r="A298" s="43">
        <f t="shared" si="36"/>
        <v>0</v>
      </c>
      <c r="G298" s="5"/>
      <c r="H298" s="17">
        <v>293</v>
      </c>
      <c r="I298" s="18" t="str">
        <f t="shared" si="32"/>
        <v/>
      </c>
      <c r="J298" s="17">
        <f t="shared" si="37"/>
        <v>-6</v>
      </c>
      <c r="K298" s="17">
        <f t="shared" si="33"/>
        <v>-60</v>
      </c>
      <c r="L298" s="17"/>
      <c r="M298" s="19">
        <f t="shared" si="34"/>
        <v>0</v>
      </c>
      <c r="N298" s="19">
        <f t="shared" si="35"/>
        <v>0</v>
      </c>
    </row>
    <row r="299" spans="1:14">
      <c r="A299" s="43">
        <f t="shared" si="36"/>
        <v>0</v>
      </c>
      <c r="G299" s="5"/>
      <c r="H299" s="17">
        <v>294</v>
      </c>
      <c r="I299" s="18" t="str">
        <f t="shared" si="32"/>
        <v/>
      </c>
      <c r="J299" s="17">
        <f t="shared" si="37"/>
        <v>-6</v>
      </c>
      <c r="K299" s="17">
        <f t="shared" si="33"/>
        <v>-60</v>
      </c>
      <c r="L299" s="17"/>
      <c r="M299" s="19">
        <f t="shared" si="34"/>
        <v>0</v>
      </c>
      <c r="N299" s="19">
        <f t="shared" si="35"/>
        <v>0</v>
      </c>
    </row>
    <row r="300" spans="1:14">
      <c r="A300" s="43">
        <f t="shared" si="36"/>
        <v>0</v>
      </c>
      <c r="G300" s="5"/>
      <c r="H300" s="17">
        <v>295</v>
      </c>
      <c r="I300" s="18" t="str">
        <f t="shared" si="32"/>
        <v/>
      </c>
      <c r="J300" s="17">
        <f t="shared" si="37"/>
        <v>-6</v>
      </c>
      <c r="K300" s="17">
        <f t="shared" si="33"/>
        <v>-60</v>
      </c>
      <c r="L300" s="17"/>
      <c r="M300" s="19">
        <f t="shared" si="34"/>
        <v>0</v>
      </c>
      <c r="N300" s="19">
        <f t="shared" si="35"/>
        <v>0</v>
      </c>
    </row>
    <row r="301" spans="1:14">
      <c r="A301" s="43">
        <f t="shared" si="36"/>
        <v>0</v>
      </c>
      <c r="G301" s="5"/>
      <c r="H301" s="17">
        <v>296</v>
      </c>
      <c r="I301" s="18" t="str">
        <f t="shared" si="32"/>
        <v/>
      </c>
      <c r="J301" s="17">
        <f t="shared" si="37"/>
        <v>-6</v>
      </c>
      <c r="K301" s="17">
        <f t="shared" si="33"/>
        <v>-60</v>
      </c>
      <c r="L301" s="17"/>
      <c r="M301" s="19">
        <f t="shared" si="34"/>
        <v>0</v>
      </c>
      <c r="N301" s="19">
        <f t="shared" si="35"/>
        <v>0</v>
      </c>
    </row>
    <row r="302" spans="1:14">
      <c r="A302" s="43">
        <f t="shared" si="36"/>
        <v>0</v>
      </c>
      <c r="G302" s="5"/>
      <c r="H302" s="17">
        <v>297</v>
      </c>
      <c r="I302" s="18" t="str">
        <f t="shared" si="32"/>
        <v/>
      </c>
      <c r="J302" s="17">
        <f t="shared" si="37"/>
        <v>-6</v>
      </c>
      <c r="K302" s="17">
        <f t="shared" si="33"/>
        <v>-60</v>
      </c>
      <c r="L302" s="17"/>
      <c r="M302" s="19">
        <f t="shared" si="34"/>
        <v>0</v>
      </c>
      <c r="N302" s="19">
        <f t="shared" si="35"/>
        <v>0</v>
      </c>
    </row>
    <row r="303" spans="1:14">
      <c r="A303" s="43">
        <f t="shared" si="36"/>
        <v>0</v>
      </c>
      <c r="G303" s="5"/>
      <c r="H303" s="17">
        <v>298</v>
      </c>
      <c r="I303" s="18" t="str">
        <f t="shared" si="32"/>
        <v/>
      </c>
      <c r="J303" s="17">
        <f t="shared" si="37"/>
        <v>-6</v>
      </c>
      <c r="K303" s="17">
        <f t="shared" si="33"/>
        <v>-60</v>
      </c>
      <c r="L303" s="17"/>
      <c r="M303" s="19">
        <f t="shared" si="34"/>
        <v>0</v>
      </c>
      <c r="N303" s="19">
        <f t="shared" si="35"/>
        <v>0</v>
      </c>
    </row>
    <row r="304" spans="1:14">
      <c r="A304" s="43">
        <f t="shared" si="36"/>
        <v>0</v>
      </c>
      <c r="G304" s="5"/>
      <c r="H304" s="17">
        <v>299</v>
      </c>
      <c r="I304" s="18" t="str">
        <f t="shared" si="32"/>
        <v/>
      </c>
      <c r="J304" s="17">
        <f t="shared" si="37"/>
        <v>-6</v>
      </c>
      <c r="K304" s="17">
        <f t="shared" si="33"/>
        <v>-60</v>
      </c>
      <c r="L304" s="17"/>
      <c r="M304" s="19">
        <f t="shared" si="34"/>
        <v>0</v>
      </c>
      <c r="N304" s="19">
        <f t="shared" si="35"/>
        <v>0</v>
      </c>
    </row>
    <row r="305" spans="1:17">
      <c r="A305" s="43">
        <f t="shared" si="36"/>
        <v>0</v>
      </c>
      <c r="G305" s="5"/>
      <c r="H305" s="17">
        <v>300</v>
      </c>
      <c r="I305" s="18" t="str">
        <f t="shared" si="32"/>
        <v/>
      </c>
      <c r="J305" s="17">
        <f t="shared" si="37"/>
        <v>-6</v>
      </c>
      <c r="K305" s="17">
        <f t="shared" si="33"/>
        <v>-60</v>
      </c>
      <c r="L305" s="17"/>
      <c r="M305" s="19">
        <f t="shared" si="34"/>
        <v>0</v>
      </c>
      <c r="N305" s="19">
        <f t="shared" si="35"/>
        <v>0</v>
      </c>
    </row>
    <row r="306" spans="1:17">
      <c r="A306" s="4"/>
      <c r="J306" s="20" t="e">
        <f t="shared" si="37"/>
        <v>#NUM!</v>
      </c>
    </row>
    <row r="307" spans="1:17">
      <c r="J307" s="20" t="e">
        <f t="shared" si="37"/>
        <v>#NUM!</v>
      </c>
    </row>
    <row r="308" spans="1:17">
      <c r="J308" s="20" t="e">
        <f t="shared" si="37"/>
        <v>#NUM!</v>
      </c>
    </row>
    <row r="309" spans="1:17">
      <c r="J309" s="20" t="e">
        <f t="shared" si="37"/>
        <v>#NUM!</v>
      </c>
    </row>
    <row r="310" spans="1:17">
      <c r="J310" s="20" t="e">
        <f t="shared" si="37"/>
        <v>#NUM!</v>
      </c>
    </row>
    <row r="311" spans="1:17">
      <c r="J311" s="20" t="e">
        <f t="shared" si="37"/>
        <v>#NUM!</v>
      </c>
    </row>
    <row r="312" spans="1:17">
      <c r="J312" s="20" t="e">
        <f t="shared" si="37"/>
        <v>#NUM!</v>
      </c>
    </row>
    <row r="313" spans="1:17">
      <c r="J313" s="20" t="e">
        <f t="shared" si="37"/>
        <v>#NUM!</v>
      </c>
    </row>
    <row r="314" spans="1:17">
      <c r="J314" s="20" t="e">
        <f t="shared" si="37"/>
        <v>#NUM!</v>
      </c>
      <c r="L314" s="21"/>
      <c r="M314" s="21"/>
      <c r="Q314" s="49"/>
    </row>
    <row r="315" spans="1:17">
      <c r="J315" s="20" t="e">
        <f t="shared" si="37"/>
        <v>#NUM!</v>
      </c>
      <c r="L315" s="21"/>
      <c r="M315" s="21"/>
      <c r="Q315" s="49"/>
    </row>
    <row r="316" spans="1:17">
      <c r="J316" s="20" t="e">
        <f t="shared" si="37"/>
        <v>#NUM!</v>
      </c>
      <c r="L316" s="21"/>
      <c r="M316" s="21"/>
      <c r="Q316" s="49"/>
    </row>
    <row r="317" spans="1:17">
      <c r="J317" s="20" t="e">
        <f t="shared" si="37"/>
        <v>#NUM!</v>
      </c>
      <c r="L317" s="21"/>
      <c r="M317" s="21"/>
      <c r="Q317" s="49"/>
    </row>
    <row r="318" spans="1:17">
      <c r="J318" s="20" t="e">
        <f t="shared" si="37"/>
        <v>#NUM!</v>
      </c>
    </row>
    <row r="319" spans="1:17">
      <c r="J319" s="20" t="e">
        <f t="shared" si="37"/>
        <v>#NUM!</v>
      </c>
    </row>
    <row r="320" spans="1:17">
      <c r="J320" s="20" t="e">
        <f t="shared" si="37"/>
        <v>#NUM!</v>
      </c>
    </row>
    <row r="321" spans="10:10">
      <c r="J321" s="20" t="e">
        <f t="shared" si="37"/>
        <v>#NUM!</v>
      </c>
    </row>
    <row r="322" spans="10:10">
      <c r="J322" s="20" t="e">
        <f t="shared" si="37"/>
        <v>#NUM!</v>
      </c>
    </row>
    <row r="323" spans="10:10">
      <c r="J323" s="20" t="e">
        <f t="shared" si="37"/>
        <v>#NUM!</v>
      </c>
    </row>
    <row r="324" spans="10:10">
      <c r="J324" s="20" t="e">
        <f t="shared" si="37"/>
        <v>#NUM!</v>
      </c>
    </row>
    <row r="325" spans="10:10">
      <c r="J325" s="20" t="e">
        <f t="shared" si="37"/>
        <v>#NUM!</v>
      </c>
    </row>
    <row r="326" spans="10:10">
      <c r="J326" s="20" t="e">
        <f t="shared" si="37"/>
        <v>#NUM!</v>
      </c>
    </row>
    <row r="327" spans="10:10">
      <c r="J327" s="20" t="e">
        <f t="shared" ref="J327:J373" si="38">INT(LOG($H$2,2))-ROUNDUP(LOG(H327,2),0)+IF(OR($H$2=1,$H$2=2,$H$2=4,$H$2=8,$H$2=16,$H$2=32,$H$2=64,$H$2=128,$H$2=256),0,1)</f>
        <v>#NUM!</v>
      </c>
    </row>
    <row r="328" spans="10:10">
      <c r="J328" s="20" t="e">
        <f t="shared" si="38"/>
        <v>#NUM!</v>
      </c>
    </row>
    <row r="329" spans="10:10">
      <c r="J329" s="20" t="e">
        <f t="shared" si="38"/>
        <v>#NUM!</v>
      </c>
    </row>
    <row r="330" spans="10:10">
      <c r="J330" s="20" t="e">
        <f t="shared" si="38"/>
        <v>#NUM!</v>
      </c>
    </row>
    <row r="331" spans="10:10">
      <c r="J331" s="20" t="e">
        <f t="shared" si="38"/>
        <v>#NUM!</v>
      </c>
    </row>
    <row r="332" spans="10:10">
      <c r="J332" s="20" t="e">
        <f t="shared" si="38"/>
        <v>#NUM!</v>
      </c>
    </row>
    <row r="333" spans="10:10">
      <c r="J333" s="20" t="e">
        <f t="shared" si="38"/>
        <v>#NUM!</v>
      </c>
    </row>
    <row r="334" spans="10:10">
      <c r="J334" s="20" t="e">
        <f t="shared" si="38"/>
        <v>#NUM!</v>
      </c>
    </row>
    <row r="335" spans="10:10">
      <c r="J335" s="20" t="e">
        <f t="shared" si="38"/>
        <v>#NUM!</v>
      </c>
    </row>
    <row r="336" spans="10:10">
      <c r="J336" s="20" t="e">
        <f t="shared" si="38"/>
        <v>#NUM!</v>
      </c>
    </row>
    <row r="337" spans="10:10">
      <c r="J337" s="20" t="e">
        <f t="shared" si="38"/>
        <v>#NUM!</v>
      </c>
    </row>
    <row r="338" spans="10:10">
      <c r="J338" s="20" t="e">
        <f t="shared" si="38"/>
        <v>#NUM!</v>
      </c>
    </row>
    <row r="339" spans="10:10">
      <c r="J339" s="20" t="e">
        <f t="shared" si="38"/>
        <v>#NUM!</v>
      </c>
    </row>
    <row r="340" spans="10:10">
      <c r="J340" s="20" t="e">
        <f t="shared" si="38"/>
        <v>#NUM!</v>
      </c>
    </row>
    <row r="341" spans="10:10">
      <c r="J341" s="20" t="e">
        <f t="shared" si="38"/>
        <v>#NUM!</v>
      </c>
    </row>
    <row r="342" spans="10:10">
      <c r="J342" s="20" t="e">
        <f t="shared" si="38"/>
        <v>#NUM!</v>
      </c>
    </row>
    <row r="343" spans="10:10">
      <c r="J343" s="20" t="e">
        <f t="shared" si="38"/>
        <v>#NUM!</v>
      </c>
    </row>
    <row r="344" spans="10:10">
      <c r="J344" s="20" t="e">
        <f t="shared" si="38"/>
        <v>#NUM!</v>
      </c>
    </row>
    <row r="345" spans="10:10">
      <c r="J345" s="20" t="e">
        <f t="shared" si="38"/>
        <v>#NUM!</v>
      </c>
    </row>
    <row r="346" spans="10:10">
      <c r="J346" s="20" t="e">
        <f t="shared" si="38"/>
        <v>#NUM!</v>
      </c>
    </row>
    <row r="347" spans="10:10">
      <c r="J347" s="20" t="e">
        <f t="shared" si="38"/>
        <v>#NUM!</v>
      </c>
    </row>
    <row r="348" spans="10:10">
      <c r="J348" s="20" t="e">
        <f t="shared" si="38"/>
        <v>#NUM!</v>
      </c>
    </row>
    <row r="349" spans="10:10">
      <c r="J349" s="20" t="e">
        <f t="shared" si="38"/>
        <v>#NUM!</v>
      </c>
    </row>
    <row r="350" spans="10:10">
      <c r="J350" s="20" t="e">
        <f t="shared" si="38"/>
        <v>#NUM!</v>
      </c>
    </row>
    <row r="351" spans="10:10">
      <c r="J351" s="20" t="e">
        <f t="shared" si="38"/>
        <v>#NUM!</v>
      </c>
    </row>
    <row r="352" spans="10:10">
      <c r="J352" s="20" t="e">
        <f t="shared" si="38"/>
        <v>#NUM!</v>
      </c>
    </row>
    <row r="353" spans="10:10">
      <c r="J353" s="20" t="e">
        <f t="shared" si="38"/>
        <v>#NUM!</v>
      </c>
    </row>
    <row r="354" spans="10:10">
      <c r="J354" s="20" t="e">
        <f t="shared" si="38"/>
        <v>#NUM!</v>
      </c>
    </row>
    <row r="355" spans="10:10">
      <c r="J355" s="20" t="e">
        <f t="shared" si="38"/>
        <v>#NUM!</v>
      </c>
    </row>
    <row r="356" spans="10:10">
      <c r="J356" s="20" t="e">
        <f t="shared" si="38"/>
        <v>#NUM!</v>
      </c>
    </row>
    <row r="357" spans="10:10">
      <c r="J357" s="20" t="e">
        <f t="shared" si="38"/>
        <v>#NUM!</v>
      </c>
    </row>
    <row r="358" spans="10:10">
      <c r="J358" s="20" t="e">
        <f t="shared" si="38"/>
        <v>#NUM!</v>
      </c>
    </row>
    <row r="359" spans="10:10">
      <c r="J359" s="20" t="e">
        <f t="shared" si="38"/>
        <v>#NUM!</v>
      </c>
    </row>
    <row r="360" spans="10:10">
      <c r="J360" s="20" t="e">
        <f t="shared" si="38"/>
        <v>#NUM!</v>
      </c>
    </row>
    <row r="361" spans="10:10">
      <c r="J361" s="20" t="e">
        <f t="shared" si="38"/>
        <v>#NUM!</v>
      </c>
    </row>
    <row r="362" spans="10:10">
      <c r="J362" s="20" t="e">
        <f t="shared" si="38"/>
        <v>#NUM!</v>
      </c>
    </row>
    <row r="363" spans="10:10">
      <c r="J363" s="20" t="e">
        <f t="shared" si="38"/>
        <v>#NUM!</v>
      </c>
    </row>
    <row r="364" spans="10:10">
      <c r="J364" s="20" t="e">
        <f t="shared" si="38"/>
        <v>#NUM!</v>
      </c>
    </row>
    <row r="365" spans="10:10">
      <c r="J365" s="20" t="e">
        <f t="shared" si="38"/>
        <v>#NUM!</v>
      </c>
    </row>
    <row r="366" spans="10:10">
      <c r="J366" s="20" t="e">
        <f t="shared" si="38"/>
        <v>#NUM!</v>
      </c>
    </row>
    <row r="367" spans="10:10">
      <c r="J367" s="20" t="e">
        <f t="shared" si="38"/>
        <v>#NUM!</v>
      </c>
    </row>
    <row r="368" spans="10:10">
      <c r="J368" s="20" t="e">
        <f t="shared" si="38"/>
        <v>#NUM!</v>
      </c>
    </row>
    <row r="369" spans="10:10">
      <c r="J369" s="20" t="e">
        <f t="shared" si="38"/>
        <v>#NUM!</v>
      </c>
    </row>
    <row r="370" spans="10:10">
      <c r="J370" s="20" t="e">
        <f t="shared" si="38"/>
        <v>#NUM!</v>
      </c>
    </row>
    <row r="371" spans="10:10">
      <c r="J371" s="20" t="e">
        <f t="shared" si="38"/>
        <v>#NUM!</v>
      </c>
    </row>
    <row r="372" spans="10:10">
      <c r="J372" s="20" t="e">
        <f t="shared" si="38"/>
        <v>#NUM!</v>
      </c>
    </row>
    <row r="373" spans="10:10">
      <c r="J373" s="20" t="e">
        <f t="shared" si="38"/>
        <v>#NUM!</v>
      </c>
    </row>
  </sheetData>
  <mergeCells count="2">
    <mergeCell ref="C2:D2"/>
    <mergeCell ref="C3:D3"/>
  </mergeCells>
  <conditionalFormatting sqref="L6:N6 J7:N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C6C166D9-3A2A-4D04-AC4E-CA8CC3FBB9E7}">
      <formula1>#REF!</formula1>
    </dataValidation>
  </dataValidations>
  <hyperlinks>
    <hyperlink ref="C2" r:id="rId1" location="today" display="https://www.fencingtimelive.com/tournaments/eventSchedule/B2C615704AB84D0F85BBFF395C07BA41 - today" xr:uid="{BE80FA12-7A85-4BEB-A3F8-51710057AA25}"/>
    <hyperlink ref="C2:D2" r:id="rId2" display="PABIANICE" xr:uid="{C306AB31-DB94-44C6-ADC7-1CF4542E01C5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52B5-D7B1-4259-8584-1B877B9BDBBD}">
  <dimension ref="A1:BG30"/>
  <sheetViews>
    <sheetView workbookViewId="0">
      <selection activeCell="A6" sqref="A6"/>
    </sheetView>
  </sheetViews>
  <sheetFormatPr defaultColWidth="11.5703125" defaultRowHeight="12.75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5" width="5.140625" customWidth="1"/>
    <col min="6" max="6" width="6.42578125" bestFit="1" customWidth="1"/>
    <col min="7" max="7" width="5.28515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3" width="5.140625" customWidth="1"/>
    <col min="14" max="14" width="6.42578125" bestFit="1" customWidth="1"/>
    <col min="15" max="15" width="5.140625" customWidth="1"/>
    <col min="16" max="16" width="6.42578125" bestFit="1" customWidth="1"/>
    <col min="17" max="17" width="2" customWidth="1"/>
    <col min="18" max="18" width="5.140625" customWidth="1"/>
    <col min="19" max="19" width="6.42578125" bestFit="1" customWidth="1"/>
    <col min="20" max="20" width="5.140625" customWidth="1"/>
    <col min="21" max="21" width="6.42578125" bestFit="1" customWidth="1"/>
    <col min="22" max="22" width="5.140625" customWidth="1"/>
    <col min="23" max="23" width="6.42578125" bestFit="1" customWidth="1"/>
    <col min="24" max="35" width="6.42578125" customWidth="1"/>
    <col min="36" max="36" width="5.140625" customWidth="1"/>
    <col min="37" max="37" width="6.42578125" bestFit="1" customWidth="1"/>
    <col min="38" max="38" width="4.5703125" customWidth="1"/>
    <col min="39" max="42" width="11.5703125" hidden="1" customWidth="1"/>
    <col min="43" max="43" width="3.42578125" hidden="1" customWidth="1"/>
    <col min="44" max="49" width="7.7109375" hidden="1" customWidth="1"/>
    <col min="50" max="50" width="2.7109375" hidden="1" customWidth="1"/>
    <col min="51" max="59" width="7" hidden="1" customWidth="1"/>
  </cols>
  <sheetData>
    <row r="1" spans="1:59" ht="13.7" customHeight="1" thickTop="1">
      <c r="A1" s="56"/>
      <c r="B1" s="56"/>
      <c r="C1" s="56"/>
      <c r="D1" s="360" t="s">
        <v>130</v>
      </c>
      <c r="E1" s="360"/>
      <c r="F1" s="360"/>
      <c r="G1" s="360"/>
      <c r="H1" s="360"/>
      <c r="I1" s="360"/>
      <c r="J1" s="360"/>
      <c r="K1" s="360"/>
      <c r="L1" s="360"/>
      <c r="M1" s="360"/>
      <c r="N1" s="360"/>
      <c r="O1" s="360"/>
      <c r="P1" s="360"/>
      <c r="R1" s="351" t="s">
        <v>131</v>
      </c>
      <c r="S1" s="352"/>
      <c r="T1" s="352"/>
      <c r="U1" s="352"/>
      <c r="V1" s="352"/>
      <c r="W1" s="352"/>
      <c r="X1" s="352"/>
      <c r="Y1" s="352"/>
      <c r="Z1" s="352"/>
      <c r="AA1" s="352"/>
      <c r="AB1" s="352"/>
      <c r="AC1" s="352"/>
      <c r="AD1" s="352"/>
      <c r="AE1" s="352"/>
      <c r="AF1" s="352"/>
      <c r="AG1" s="352"/>
      <c r="AH1" s="352"/>
      <c r="AI1" s="352"/>
      <c r="AJ1" s="352"/>
      <c r="AK1" s="353"/>
    </row>
    <row r="2" spans="1:59" ht="13.7" customHeight="1">
      <c r="A2" s="56"/>
      <c r="B2" s="195" t="s">
        <v>0</v>
      </c>
      <c r="C2" s="56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360"/>
      <c r="P2" s="360"/>
      <c r="R2" s="354"/>
      <c r="S2" s="355"/>
      <c r="T2" s="355"/>
      <c r="U2" s="355"/>
      <c r="V2" s="355"/>
      <c r="W2" s="355"/>
      <c r="X2" s="355"/>
      <c r="Y2" s="355"/>
      <c r="Z2" s="355"/>
      <c r="AA2" s="355"/>
      <c r="AB2" s="355"/>
      <c r="AC2" s="355"/>
      <c r="AD2" s="355"/>
      <c r="AE2" s="355"/>
      <c r="AF2" s="355"/>
      <c r="AG2" s="355"/>
      <c r="AH2" s="355"/>
      <c r="AI2" s="355"/>
      <c r="AJ2" s="355"/>
      <c r="AK2" s="356"/>
    </row>
    <row r="3" spans="1:59" ht="13.7" customHeight="1" thickBot="1">
      <c r="A3" s="56"/>
      <c r="B3" s="56"/>
      <c r="C3" s="56"/>
      <c r="D3" s="65" t="s">
        <v>132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R3" s="357"/>
      <c r="S3" s="358"/>
      <c r="T3" s="358"/>
      <c r="U3" s="358"/>
      <c r="V3" s="358"/>
      <c r="W3" s="358"/>
      <c r="X3" s="358"/>
      <c r="Y3" s="358"/>
      <c r="Z3" s="358"/>
      <c r="AA3" s="358"/>
      <c r="AB3" s="358"/>
      <c r="AC3" s="358"/>
      <c r="AD3" s="358"/>
      <c r="AE3" s="358"/>
      <c r="AF3" s="358"/>
      <c r="AG3" s="358"/>
      <c r="AH3" s="358"/>
      <c r="AI3" s="358"/>
      <c r="AJ3" s="358"/>
      <c r="AK3" s="359"/>
    </row>
    <row r="4" spans="1:59" ht="24.75" customHeight="1" thickTop="1">
      <c r="A4" s="344" t="s">
        <v>4</v>
      </c>
      <c r="B4" s="346" t="s">
        <v>5</v>
      </c>
      <c r="C4" s="346" t="s">
        <v>133</v>
      </c>
      <c r="D4" s="346" t="s">
        <v>7</v>
      </c>
      <c r="E4" s="361" t="s">
        <v>8</v>
      </c>
      <c r="F4" s="362"/>
      <c r="G4" s="361" t="s">
        <v>9</v>
      </c>
      <c r="H4" s="362"/>
      <c r="I4" s="333" t="s">
        <v>10</v>
      </c>
      <c r="J4" s="334"/>
      <c r="K4" s="333" t="s">
        <v>11</v>
      </c>
      <c r="L4" s="334"/>
      <c r="M4" s="333" t="s">
        <v>12</v>
      </c>
      <c r="N4" s="334"/>
      <c r="O4" s="361" t="s">
        <v>13</v>
      </c>
      <c r="P4" s="362"/>
      <c r="R4" s="349" t="s">
        <v>134</v>
      </c>
      <c r="S4" s="350"/>
      <c r="T4" s="349" t="s">
        <v>135</v>
      </c>
      <c r="U4" s="350"/>
      <c r="V4" s="349" t="s">
        <v>136</v>
      </c>
      <c r="W4" s="350"/>
      <c r="X4" s="349" t="s">
        <v>137</v>
      </c>
      <c r="Y4" s="350"/>
      <c r="Z4" s="349" t="s">
        <v>138</v>
      </c>
      <c r="AA4" s="350"/>
      <c r="AB4" s="349" t="s">
        <v>139</v>
      </c>
      <c r="AC4" s="350"/>
      <c r="AD4" s="349" t="s">
        <v>140</v>
      </c>
      <c r="AE4" s="350"/>
      <c r="AF4" s="349" t="s">
        <v>141</v>
      </c>
      <c r="AG4" s="350"/>
      <c r="AH4" s="349" t="s">
        <v>142</v>
      </c>
      <c r="AI4" s="350"/>
      <c r="AJ4" s="349" t="s">
        <v>143</v>
      </c>
      <c r="AK4" s="350"/>
    </row>
    <row r="5" spans="1:59" ht="18" customHeight="1">
      <c r="A5" s="345"/>
      <c r="B5" s="347"/>
      <c r="C5" s="347"/>
      <c r="D5" s="348"/>
      <c r="E5" s="66" t="s">
        <v>14</v>
      </c>
      <c r="F5" s="66" t="s">
        <v>15</v>
      </c>
      <c r="G5" s="66" t="s">
        <v>14</v>
      </c>
      <c r="H5" s="67" t="s">
        <v>15</v>
      </c>
      <c r="I5" s="38" t="s">
        <v>14</v>
      </c>
      <c r="J5" s="53" t="s">
        <v>15</v>
      </c>
      <c r="K5" s="38" t="s">
        <v>14</v>
      </c>
      <c r="L5" s="53" t="s">
        <v>15</v>
      </c>
      <c r="M5" s="38" t="s">
        <v>14</v>
      </c>
      <c r="N5" s="53" t="s">
        <v>15</v>
      </c>
      <c r="O5" s="66" t="s">
        <v>14</v>
      </c>
      <c r="P5" s="67" t="s">
        <v>15</v>
      </c>
      <c r="R5" s="68" t="s">
        <v>14</v>
      </c>
      <c r="S5" s="69" t="s">
        <v>15</v>
      </c>
      <c r="T5" s="68" t="s">
        <v>14</v>
      </c>
      <c r="U5" s="69" t="s">
        <v>15</v>
      </c>
      <c r="V5" s="68" t="s">
        <v>14</v>
      </c>
      <c r="W5" s="69" t="s">
        <v>15</v>
      </c>
      <c r="X5" s="68" t="s">
        <v>14</v>
      </c>
      <c r="Y5" s="69" t="s">
        <v>15</v>
      </c>
      <c r="Z5" s="68" t="s">
        <v>14</v>
      </c>
      <c r="AA5" s="69" t="s">
        <v>15</v>
      </c>
      <c r="AB5" s="68" t="s">
        <v>14</v>
      </c>
      <c r="AC5" s="69" t="s">
        <v>15</v>
      </c>
      <c r="AD5" s="68" t="s">
        <v>14</v>
      </c>
      <c r="AE5" s="69" t="s">
        <v>15</v>
      </c>
      <c r="AF5" s="68" t="s">
        <v>14</v>
      </c>
      <c r="AG5" s="69" t="s">
        <v>15</v>
      </c>
      <c r="AH5" s="68" t="s">
        <v>14</v>
      </c>
      <c r="AI5" s="69" t="s">
        <v>15</v>
      </c>
      <c r="AJ5" s="68" t="s">
        <v>14</v>
      </c>
      <c r="AK5" s="69" t="s">
        <v>15</v>
      </c>
      <c r="AM5" s="274" t="s">
        <v>144</v>
      </c>
      <c r="AN5" s="274" t="s">
        <v>145</v>
      </c>
      <c r="AO5" s="274" t="s">
        <v>146</v>
      </c>
      <c r="AP5" s="274" t="s">
        <v>147</v>
      </c>
      <c r="AR5" t="s">
        <v>148</v>
      </c>
      <c r="AS5" t="s">
        <v>149</v>
      </c>
      <c r="AT5" t="s">
        <v>150</v>
      </c>
      <c r="AU5" t="s">
        <v>151</v>
      </c>
      <c r="AV5" t="s">
        <v>152</v>
      </c>
      <c r="AW5" t="s">
        <v>153</v>
      </c>
      <c r="AY5" t="s">
        <v>154</v>
      </c>
      <c r="AZ5" t="s">
        <v>155</v>
      </c>
      <c r="BA5" t="s">
        <v>156</v>
      </c>
      <c r="BB5" t="s">
        <v>157</v>
      </c>
      <c r="BC5" t="s">
        <v>158</v>
      </c>
      <c r="BD5" t="s">
        <v>159</v>
      </c>
      <c r="BE5" t="s">
        <v>160</v>
      </c>
      <c r="BF5" t="s">
        <v>161</v>
      </c>
      <c r="BG5" t="s">
        <v>162</v>
      </c>
    </row>
    <row r="6" spans="1:59" ht="14.85" customHeight="1">
      <c r="A6" s="54">
        <f>ROW()-5</f>
        <v>1</v>
      </c>
      <c r="B6" s="244" t="s">
        <v>18</v>
      </c>
      <c r="C6" s="272" t="str" cm="1">
        <f t="array" ref="C6">IF(AND(COUNTIF(E6:P6,"")&lt;3,SUM(LARGE((S6,U6,W6,Y6,AA6,AC6,AE6,AG6,AI6,AK6),{1;2;3;4}))&gt;=150),"kadra A",
IF(AND(COUNTIF(E6:P6,"")&lt;3,SUM(LARGE((S6,U6,W6,Y6,AA6,AC6,AE6,AG6,AI6,AK6),{1;2;3;4}))&gt;=75),"kadra B",
IF(COUNTIF(E6:P6,"")&lt;4,"kadra C",
IF(B6="","","kadra D")
)))</f>
        <v>kadra A</v>
      </c>
      <c r="D6" s="273">
        <f>IF(C6="kadra A",AM6,IF(C6="kadra B",AN6,IF(C6="kadra C",AO6,IF(C6="kadra D",AP6,0))))</f>
        <v>594.79751178198342</v>
      </c>
      <c r="E6" s="64">
        <f>_xlfn.XLOOKUP($B6,'PP1'!$C$6:$C$150,'PP1'!$B$6:$B$150,"")</f>
        <v>4</v>
      </c>
      <c r="F6" s="117">
        <f>_xlfn.XLOOKUP(E6,'PP1'!$B$6:$B$75,'PP1'!$A$6:$A$75,0)</f>
        <v>27.333333333333329</v>
      </c>
      <c r="G6" s="64">
        <f>_xlfn.XLOOKUP($B6,'PP2'!$C$6:$C$150,'PP2'!$B$6:$B$150,"")</f>
        <v>1</v>
      </c>
      <c r="H6" s="119">
        <f>_xlfn.XLOOKUP(G6,'PP2'!$B$6:$B$75,'PP2'!$A$6:$A$75,0)</f>
        <v>98</v>
      </c>
      <c r="I6" s="115">
        <f>_xlfn.XLOOKUP($B6,'PP3'!$C$6:$C$150,'PP3'!$B$6:$B$150,"")</f>
        <v>3</v>
      </c>
      <c r="J6" s="119">
        <f>_xlfn.XLOOKUP(I6,'PP3'!$B$6:$B$75,'PP3'!$A$6:$A$75,0)</f>
        <v>69.722604245105629</v>
      </c>
      <c r="K6" s="115" t="str">
        <f>_xlfn.XLOOKUP($B6,'PP4'!$C$6:$C$150,'PP4'!$B$6:$B$150,"")</f>
        <v>5k1</v>
      </c>
      <c r="L6" s="119">
        <f>_xlfn.XLOOKUP(K6,'PP4'!$B$6:$B$75,'PP4'!$A$6:$A$75,0)</f>
        <v>12.07517445017308</v>
      </c>
      <c r="M6" s="115" t="str">
        <f>_xlfn.XLOOKUP($B6,'PP5'!$C$6:$C$150,'PP5'!$B$6:$B$150,"")</f>
        <v/>
      </c>
      <c r="N6" s="119">
        <f>_xlfn.XLOOKUP(M6,'PP5'!$B$6:$B$75,'PP5'!$A$6:$A$75,0)</f>
        <v>0</v>
      </c>
      <c r="O6" s="64" t="str">
        <f>_xlfn.XLOOKUP(B6,MPW!C$6:C$150,MPW!B$6:B$150,"")</f>
        <v>5k1</v>
      </c>
      <c r="P6" s="119">
        <f>_xlfn.XLOOKUP(O6,MPW!B$6:B$75,MPW!A$6:A$75,0)</f>
        <v>32.534160801491105</v>
      </c>
      <c r="R6" s="63">
        <f>_xlfn.XLOOKUP($B6,'PEW1'!$C$6:$C$150,'PEW1'!$B$6:$B$150,"")</f>
        <v>14</v>
      </c>
      <c r="S6" s="71">
        <f>_xlfn.XLOOKUP(R6,'PEW1'!$B$6:$B$75,'PEW1'!$A$6:$A$75,0)</f>
        <v>38.015787932264367</v>
      </c>
      <c r="T6" s="63">
        <f>_xlfn.XLOOKUP($B6,'PEW2'!$C$6:$C$150,'PEW2'!$B$6:$B$150,"")</f>
        <v>1</v>
      </c>
      <c r="U6" s="71">
        <f>_xlfn.XLOOKUP(T6,'PEW2'!$B$6:$B$75,'PEW2'!$A$6:$A$75,0)</f>
        <v>138.86780896996243</v>
      </c>
      <c r="V6" s="63" t="str">
        <f>_xlfn.XLOOKUP($B6,'PEW3'!$C$6:$C$150,'PEW3'!$B$6:$B$150,"")</f>
        <v>3k1</v>
      </c>
      <c r="W6" s="71">
        <f>_xlfn.XLOOKUP(V6,'PEW3'!$B$6:$B$75,'PEW3'!$A$6:$A$75,0)</f>
        <v>70.99063342421114</v>
      </c>
      <c r="X6" s="63" t="str">
        <f>_xlfn.XLOOKUP($B6,'PEW4'!$C$6:$C$150,'PEW4'!$B$6:$B$150,"")</f>
        <v>2k1</v>
      </c>
      <c r="Y6" s="71">
        <f>_xlfn.XLOOKUP(X6,'PEW4'!$B$6:$B$75,'PEW4'!$A$6:$A$75,0)</f>
        <v>113.42218180519998</v>
      </c>
      <c r="Z6" s="63" t="str">
        <f>_xlfn.XLOOKUP($B6,'PEW5'!$C$6:$C$150,'PEW5'!$B$6:$B$150,"")</f>
        <v>11k1</v>
      </c>
      <c r="AA6" s="71">
        <f>_xlfn.XLOOKUP(Z6,'PEW5'!$B$6:$B$75,'PEW5'!$A$6:$A$75,0)</f>
        <v>20.778581783035108</v>
      </c>
      <c r="AB6" s="63" t="str">
        <f>_xlfn.XLOOKUP($B6,'PEW6'!$C$6:$C$150,'PEW6'!$B$6:$B$150,"")</f>
        <v>6k1</v>
      </c>
      <c r="AC6" s="71">
        <f>_xlfn.XLOOKUP(AB6,'PEW6'!$B$6:$B$75,'PEW6'!$A$6:$A$75,0)</f>
        <v>43.926789202679778</v>
      </c>
      <c r="AD6" s="63" t="str">
        <f>_xlfn.XLOOKUP($B6,'PEW7'!$C$6:$C$150,'PEW7'!$B$6:$B$150,"")</f>
        <v/>
      </c>
      <c r="AE6" s="71">
        <f>_xlfn.XLOOKUP(AD6,'PEW7'!$B$6:$B$75,'PEW7'!$A$6:$A$75,0)</f>
        <v>0</v>
      </c>
      <c r="AF6" s="63" t="str">
        <f>_xlfn.XLOOKUP($B6,PS!$C$6:$C$150,PS!$B$6:$B$150,"")</f>
        <v>8k1</v>
      </c>
      <c r="AG6" s="71">
        <f>_xlfn.XLOOKUP(AF6,PS!$B$6:$B$75,PS!$A$6:$A$75,0)</f>
        <v>0</v>
      </c>
      <c r="AH6" s="63" t="str">
        <f>_xlfn.XLOOKUP($B6,IMEW!$C$6:$C$150,IMEW!$B$6:$B$150,"")</f>
        <v>3k1</v>
      </c>
      <c r="AI6" s="71">
        <f>_xlfn.XLOOKUP(AH6,IMEW!$B$6:$B$75,IMEW!$A$6:$A$75,0)</f>
        <v>0</v>
      </c>
      <c r="AJ6" s="63" cm="1">
        <f t="array" ref="AJ6">_xlfn.XLOOKUP($B6,IMSW!C$6:C$201,IMSW!$B$6:B$201,"")</f>
        <v>37</v>
      </c>
      <c r="AK6" s="72">
        <f>_xlfn.XLOOKUP(AJ6,IMSW!$B$6:$B$201,IMSW!$A$6:$A$201,0)</f>
        <v>19.144337963817293</v>
      </c>
      <c r="AM6" s="275" cm="1">
        <f t="array" ref="AM6">IF(AY6&gt;=150,SUM(AR6,AS6,AT6,AU6,AY6)+SUM(LARGE((AV6,AW6,AZ6,BA6,BB6),{1;2;3})),
        IF(AY6+AZ6&gt;=150,SUM(AR6,AS6,AT6,AU6,AY6,AZ6)+SUM(LARGE((AV6,AW6,BA6,BB6),{1;2})),
               IF(AY6+AZ6+BA6&gt;=150,SUM(AR6,AS6,AT6,AU6,AY6,AZ6,BA6)+SUM(LARGE((AV6,AW6,BB6),1)),
                      IF(AY6+AZ6+BA6+BB6&gt;=150,SUM(AR6,AS6,AT6,AU6,AY6,AZ6,BA6,BB6),0)
                     )
              )
       )</f>
        <v>594.79751178198342</v>
      </c>
      <c r="AN6" s="275" cm="1">
        <f t="array" ref="AN6">IF(AY6&gt;=75,SUM(AR6,AS6,AT6,AU6,AY6)+SUM(LARGE((AV6,AW6,AZ6,BA6,BB6),{1;2;3})),
        IF(AY6+AZ6&gt;=75,SUM(AR6,AS6,AT6,AU6,AY6,AZ6)+SUM(LARGE((AV6,AW6,BA6,BB6),{1;2})),
               IF(AY6+AZ6+BA6&gt;=75,SUM(AR6,AS6,AT6,AU6,AY6,AZ6,BA6)+SUM(LARGE((AV6,AW6,BB6),1)),
                      IF(AY6+AZ6+BA6+BB6&gt;=75,SUM(AR6,AS6,AT6,AU6,AY6,AZ6,BA6,BB6),0)
                     )
              )
       )</f>
        <v>594.79751178198342</v>
      </c>
      <c r="AO6" s="275" cm="1">
        <f t="array" ref="AO6">SUM(AR6:AT6)+SUM(LARGE((AU6:BC6),{1;2;3;4;5}))</f>
        <v>605.47996638091445</v>
      </c>
      <c r="AP6" s="275" cm="1">
        <f t="array" ref="AP6">SUM(LARGE((AR6:BF6),{1;2;3;4;5;6;7;8}))</f>
        <v>605.47996638091445</v>
      </c>
      <c r="AQ6" s="275"/>
      <c r="AR6" s="275">
        <f>LARGE((F6,H6,J6,L6,N6,P6),1)</f>
        <v>98</v>
      </c>
      <c r="AS6" s="275">
        <f>LARGE((F6,H6,J6,L6,N6,P6),2)</f>
        <v>69.722604245105629</v>
      </c>
      <c r="AT6" s="275">
        <f>LARGE((F6,H6,J6,L6,N6,P6),3)</f>
        <v>32.534160801491105</v>
      </c>
      <c r="AU6" s="275">
        <f>LARGE((F6,H6,J6,L6,N6,P6),4)</f>
        <v>27.333333333333329</v>
      </c>
      <c r="AV6" s="275">
        <f>LARGE((F6,H6,J6,L6,N6,P6),5)</f>
        <v>12.07517445017308</v>
      </c>
      <c r="AW6" s="275">
        <f>LARGE((F6,H6,J6,L6,N6,P6),6)</f>
        <v>0</v>
      </c>
      <c r="AY6" s="275">
        <f>LARGE((S6,U6,W6,Y6,AA6,AC6,AE6,AG6,AI6,AK6),1)</f>
        <v>138.86780896996243</v>
      </c>
      <c r="AZ6" s="275">
        <f>LARGE((S6,U6,W6,Y6,AA6,AC6,AE6,AG6,AI6,AK6),2)</f>
        <v>113.42218180519998</v>
      </c>
      <c r="BA6" s="275">
        <f>LARGE((S6,U6,W6,Y6,AA6,AC6,AE6,AG6,AI6,AK6),3)</f>
        <v>70.99063342421114</v>
      </c>
      <c r="BB6" s="275">
        <f>LARGE((S6,U6,W6,Y6,AA6,AC6,AE6,AG6,AI6,AK6),4)</f>
        <v>43.926789202679778</v>
      </c>
      <c r="BC6" s="275">
        <f>LARGE((S6,U6,W6,Y6,AA6,AC6,AE6,AG6,AI6,AK6),5)</f>
        <v>38.015787932264367</v>
      </c>
      <c r="BD6" s="275">
        <f>LARGE((S6,U6,W6,Y6,AA6,AC6,AE6,AG6,AI6,AK6),6)</f>
        <v>20.778581783035108</v>
      </c>
      <c r="BE6" s="275">
        <f>LARGE((S6,U6,W6,Y6,AA6,AC6,AE6,AG6,AI6,AK6),7)</f>
        <v>19.144337963817293</v>
      </c>
      <c r="BF6" s="275">
        <f>LARGE((S6,U6,W6,Y6,AA6,AC6,AE6,AG6,AI6,AK6),8)</f>
        <v>0</v>
      </c>
      <c r="BG6" s="275">
        <f>LARGE((S6,U6,W6,Y6,AA6,AC6,AE6,AG6,AI6,AK6),9)</f>
        <v>0</v>
      </c>
    </row>
    <row r="7" spans="1:59" ht="14.85" customHeight="1">
      <c r="A7" s="54">
        <f>ROW()-5</f>
        <v>2</v>
      </c>
      <c r="B7" s="51" t="s">
        <v>16</v>
      </c>
      <c r="C7" s="272" t="str" cm="1">
        <f t="array" ref="C7">IF(AND(COUNTIF(E7:P7,"")&lt;3,SUM(LARGE((S7,U7,W7,Y7,AA7,AC7,AE7,AG7,AI7,AK7),{1;2;3;4}))&gt;=150),"kadra A",
IF(AND(COUNTIF(E7:P7,"")&lt;3,SUM(LARGE((S7,U7,W7,Y7,AA7,AC7,AE7,AG7,AI7,AK7),{1;2;3;4}))&gt;=75),"kadra B",
IF(COUNTIF(E7:P7,"")&lt;4,"kadra C",
IF(B7="","","kadra D")
)))</f>
        <v>kadra A</v>
      </c>
      <c r="D7" s="273">
        <f>IF(C7="kadra A",AM7,IF(C7="kadra B",AN7,IF(C7="kadra C",AO7,IF(C7="kadra D",AP7,0))))</f>
        <v>517.79427153924962</v>
      </c>
      <c r="E7" s="64">
        <f>_xlfn.XLOOKUP($B7,'PP1'!$C$6:$C$150,'PP1'!$B$6:$B$150,"")</f>
        <v>1</v>
      </c>
      <c r="F7" s="117">
        <f>_xlfn.XLOOKUP(E7,'PP1'!$B$6:$B$75,'PP1'!$A$6:$A$75,0)</f>
        <v>98</v>
      </c>
      <c r="G7" s="64" t="str">
        <f>_xlfn.XLOOKUP($B7,'PP2'!$C$6:$C$150,'PP2'!$B$6:$B$150,"")</f>
        <v/>
      </c>
      <c r="H7" s="119">
        <f>_xlfn.XLOOKUP(G7,'PP2'!$B$6:$B$75,'PP2'!$A$6:$A$75,0)</f>
        <v>0</v>
      </c>
      <c r="I7" s="115">
        <f>_xlfn.XLOOKUP($B7,'PP3'!$C$6:$C$150,'PP3'!$B$6:$B$150,"")</f>
        <v>5</v>
      </c>
      <c r="J7" s="119">
        <f>_xlfn.XLOOKUP(I7,'PP3'!$B$6:$B$75,'PP3'!$A$6:$A$75,0)</f>
        <v>43.216474083087775</v>
      </c>
      <c r="K7" s="115">
        <f>_xlfn.XLOOKUP($B7,'PP4'!$C$6:$C$150,'PP4'!$B$6:$B$150,"")</f>
        <v>2</v>
      </c>
      <c r="L7" s="119">
        <f>_xlfn.XLOOKUP(K7,'PP4'!$B$6:$B$75,'PP4'!$A$6:$A$75,0)</f>
        <v>65.666666666666657</v>
      </c>
      <c r="M7" s="115" t="str">
        <f>_xlfn.XLOOKUP($B7,'PP5'!$C$6:$C$150,'PP5'!$B$6:$B$150,"")</f>
        <v/>
      </c>
      <c r="N7" s="119">
        <f>_xlfn.XLOOKUP(M7,'PP5'!$B$6:$B$75,'PP5'!$A$6:$A$75,0)</f>
        <v>0</v>
      </c>
      <c r="O7" s="64">
        <f>_xlfn.XLOOKUP(B7,MPW!C$6:C$150,MPW!B$6:B$150,"")</f>
        <v>1</v>
      </c>
      <c r="P7" s="119">
        <f>_xlfn.XLOOKUP(O7,MPW!B$6:B$75,MPW!A$6:A$75,0)</f>
        <v>115.62490240258711</v>
      </c>
      <c r="R7" s="63" t="str">
        <f>_xlfn.XLOOKUP($B7,'PEW1'!$C$6:$C$150,'PEW1'!$B$6:$B$150,"")</f>
        <v/>
      </c>
      <c r="S7" s="71">
        <f>_xlfn.XLOOKUP(R7,'PEW1'!$B$6:$B$75,'PEW1'!$A$6:$A$75,0)</f>
        <v>0</v>
      </c>
      <c r="T7" s="63" t="str">
        <f>_xlfn.XLOOKUP($B7,'PEW2'!$C$6:$C$150,'PEW2'!$B$6:$B$150,"")</f>
        <v/>
      </c>
      <c r="U7" s="71">
        <f>_xlfn.XLOOKUP(T7,'PEW2'!$B$6:$B$75,'PEW2'!$A$6:$A$75,0)</f>
        <v>0</v>
      </c>
      <c r="V7" s="63" t="str">
        <f>_xlfn.XLOOKUP($B7,'PEW3'!$C$6:$C$150,'PEW3'!$B$6:$B$150,"")</f>
        <v/>
      </c>
      <c r="W7" s="71">
        <f>_xlfn.XLOOKUP(V7,'PEW3'!$B$6:$B$75,'PEW3'!$A$6:$A$75,0)</f>
        <v>0</v>
      </c>
      <c r="X7" s="63" t="str">
        <f>_xlfn.XLOOKUP($B7,'PEW4'!$C$6:$C$150,'PEW4'!$B$6:$B$150,"")</f>
        <v/>
      </c>
      <c r="Y7" s="71">
        <f>_xlfn.XLOOKUP(X7,'PEW4'!$B$6:$B$75,'PEW4'!$A$6:$A$75,0)</f>
        <v>0</v>
      </c>
      <c r="Z7" s="63" t="str">
        <f>_xlfn.XLOOKUP($B7,'PEW5'!$C$6:$C$150,'PEW5'!$B$6:$B$150,"")</f>
        <v/>
      </c>
      <c r="AA7" s="71">
        <f>_xlfn.XLOOKUP(Z7,'PEW5'!$B$6:$B$75,'PEW5'!$A$6:$A$75,0)</f>
        <v>0</v>
      </c>
      <c r="AB7" s="63">
        <f>_xlfn.XLOOKUP($B7,'PEW6'!$C$6:$C$150,'PEW6'!$B$6:$B$150,"")</f>
        <v>9</v>
      </c>
      <c r="AC7" s="71">
        <f>_xlfn.XLOOKUP(AB7,'PEW6'!$B$6:$B$75,'PEW6'!$A$6:$A$75,0)</f>
        <v>41.716955580169966</v>
      </c>
      <c r="AD7" s="63" t="str">
        <f>_xlfn.XLOOKUP($B7,'PEW7'!$C$6:$C$150,'PEW7'!$B$6:$B$150,"")</f>
        <v/>
      </c>
      <c r="AE7" s="71">
        <f>_xlfn.XLOOKUP(AD7,'PEW7'!$B$6:$B$75,'PEW7'!$A$6:$A$75,0)</f>
        <v>0</v>
      </c>
      <c r="AF7" s="63" t="str">
        <f>_xlfn.XLOOKUP($B7,PS!$C$6:$C$150,PS!$B$6:$B$150,"")</f>
        <v/>
      </c>
      <c r="AG7" s="71">
        <f>_xlfn.XLOOKUP(AF7,PS!$B$6:$B$75,PS!$A$6:$A$75,0)</f>
        <v>0</v>
      </c>
      <c r="AH7" s="63">
        <f>_xlfn.XLOOKUP($B7,IMEW!$C$6:$C$150,IMEW!$B$6:$B$150,"")</f>
        <v>6</v>
      </c>
      <c r="AI7" s="71">
        <f>_xlfn.XLOOKUP(AH7,IMEW!$B$6:$B$75,IMEW!$A$6:$A$75,0)</f>
        <v>85.586236173364256</v>
      </c>
      <c r="AJ7" s="63" cm="1">
        <f t="array" ref="AJ7">_xlfn.XLOOKUP($B7,IMSW!C$6:C$201,IMSW!$B$6:B$201,"")</f>
        <v>7</v>
      </c>
      <c r="AK7" s="72">
        <f>_xlfn.XLOOKUP(AJ7,IMSW!$B$6:$B$201,IMSW!$A$6:$A$201,0)</f>
        <v>67.983036633373928</v>
      </c>
      <c r="AM7" s="275" cm="1">
        <f t="array" ref="AM7">IF(AY7&gt;=150,SUM(AR7,AS7,AT7,AU7,AY7)+SUM(LARGE((AV7,AW7,AZ7,BA7,BB7),{1;2;3})),
        IF(AY7+AZ7&gt;=150,SUM(AR7,AS7,AT7,AU7,AY7,AZ7)+SUM(LARGE((AV7,AW7,BA7,BB7),{1;2})),
               IF(AY7+AZ7+BA7&gt;=150,SUM(AR7,AS7,AT7,AU7,AY7,AZ7,BA7)+SUM(LARGE((AV7,AW7,BB7),1)),
                      IF(AY7+AZ7+BA7+BB7&gt;=150,SUM(AR7,AS7,AT7,AU7,AY7,AZ7,BA7,BB7),0)
                     )
              )
       )</f>
        <v>517.79427153924962</v>
      </c>
      <c r="AN7" s="275" cm="1">
        <f t="array" ref="AN7">IF(AY7&gt;=75,SUM(AR7,AS7,AT7,AU7,AY7)+SUM(LARGE((AV7,AW7,AZ7,BA7,BB7),{1;2;3})),
        IF(AY7+AZ7&gt;=75,SUM(AR7,AS7,AT7,AU7,AY7,AZ7)+SUM(LARGE((AV7,AW7,BA7,BB7),{1;2})),
               IF(AY7+AZ7+BA7&gt;=75,SUM(AR7,AS7,AT7,AU7,AY7,AZ7,BA7)+SUM(LARGE((AV7,AW7,BB7),1)),
                      IF(AY7+AZ7+BA7+BB7&gt;=75,SUM(AR7,AS7,AT7,AU7,AY7,AZ7,BA7,BB7),0)
                     )
              )
       )</f>
        <v>517.79427153924962</v>
      </c>
      <c r="AO7" s="275" cm="1">
        <f t="array" ref="AO7">SUM(AR7:AT7)+SUM(LARGE((AU7:BC7),{1;2;3;4;5}))</f>
        <v>517.79427153924973</v>
      </c>
      <c r="AP7" s="275" cm="1">
        <f t="array" ref="AP7">SUM(LARGE((AR7:BF7),{1;2;3;4;5;6;7;8}))</f>
        <v>517.79427153924962</v>
      </c>
      <c r="AQ7" s="275"/>
      <c r="AR7" s="275">
        <f>LARGE((F7,H7,J7,L7,N7,P7),1)</f>
        <v>115.62490240258711</v>
      </c>
      <c r="AS7" s="275">
        <f>LARGE((F7,H7,J7,L7,N7,P7),2)</f>
        <v>98</v>
      </c>
      <c r="AT7" s="275">
        <f>LARGE((F7,H7,J7,L7,N7,P7),3)</f>
        <v>65.666666666666657</v>
      </c>
      <c r="AU7" s="275">
        <f>LARGE((F7,H7,J7,L7,N7,P7),4)</f>
        <v>43.216474083087775</v>
      </c>
      <c r="AV7" s="275">
        <f>LARGE((F7,H7,J7,L7,N7,P7),5)</f>
        <v>0</v>
      </c>
      <c r="AW7" s="275">
        <f>LARGE((F7,H7,J7,L7,N7,P7),6)</f>
        <v>0</v>
      </c>
      <c r="AY7" s="275">
        <f>LARGE((S7,U7,W7,Y7,AA7,AC7,AE7,AG7,AI7,AK7),1)</f>
        <v>85.586236173364256</v>
      </c>
      <c r="AZ7" s="275">
        <f>LARGE((S7,U7,W7,Y7,AA7,AC7,AE7,AG7,AI7,AK7),2)</f>
        <v>67.983036633373928</v>
      </c>
      <c r="BA7" s="275">
        <f>LARGE((S7,U7,W7,Y7,AA7,AC7,AE7,AG7,AI7,AK7),3)</f>
        <v>41.716955580169966</v>
      </c>
      <c r="BB7" s="275">
        <f>LARGE((S7,U7,W7,Y7,AA7,AC7,AE7,AG7,AI7,AK7),4)</f>
        <v>0</v>
      </c>
      <c r="BC7" s="275">
        <f>LARGE((S7,U7,W7,Y7,AA7,AC7,AE7,AG7,AI7,AK7),5)</f>
        <v>0</v>
      </c>
      <c r="BD7" s="275">
        <f>LARGE((S7,U7,W7,Y7,AA7,AC7,AE7,AG7,AI7,AK7),6)</f>
        <v>0</v>
      </c>
      <c r="BE7" s="275">
        <f>LARGE((S7,U7,W7,Y7,AA7,AC7,AE7,AG7,AI7,AK7),7)</f>
        <v>0</v>
      </c>
      <c r="BF7" s="275">
        <f>LARGE((S7,U7,W7,Y7,AA7,AC7,AE7,AG7,AI7,AK7),8)</f>
        <v>0</v>
      </c>
      <c r="BG7" s="275">
        <f>LARGE((S7,U7,W7,Y7,AA7,AC7,AE7,AG7,AI7,AK7),9)</f>
        <v>0</v>
      </c>
    </row>
    <row r="8" spans="1:59" ht="14.85" customHeight="1">
      <c r="A8" s="54">
        <f>ROW()-5</f>
        <v>3</v>
      </c>
      <c r="B8" s="51" t="s">
        <v>17</v>
      </c>
      <c r="C8" s="272" t="str" cm="1">
        <f t="array" ref="C8">IF(AND(COUNTIF(E8:P8,"")&lt;3,SUM(LARGE((S8,U8,W8,Y8,AA8,AC8,AE8,AG8,AI8,AK8),{1;2;3;4}))&gt;=150),"kadra A",
IF(AND(COUNTIF(E8:P8,"")&lt;3,SUM(LARGE((S8,U8,W8,Y8,AA8,AC8,AE8,AG8,AI8,AK8),{1;2;3;4}))&gt;=75),"kadra B",
IF(COUNTIF(E8:P8,"")&lt;4,"kadra C",
IF(B8="","","kadra D")
)))</f>
        <v>kadra C</v>
      </c>
      <c r="D8" s="273">
        <f>IF(C8="kadra A",AM8,IF(C8="kadra B",AN8,IF(C8="kadra C",AO8,IF(C8="kadra D",AP8,0))))</f>
        <v>992.09314880668285</v>
      </c>
      <c r="E8" s="64">
        <f>_xlfn.XLOOKUP($B8,'PP1'!$C$6:$C$150,'PP1'!$B$6:$B$150,"")</f>
        <v>2</v>
      </c>
      <c r="F8" s="117">
        <f>_xlfn.XLOOKUP(E8,'PP1'!$B$6:$B$75,'PP1'!$A$6:$A$75,0)</f>
        <v>65.666666666666657</v>
      </c>
      <c r="G8" s="64" t="str">
        <f>_xlfn.XLOOKUP($B8,'PP2'!$C$6:$C$150,'PP2'!$B$6:$B$150,"")</f>
        <v/>
      </c>
      <c r="H8" s="119">
        <f>_xlfn.XLOOKUP(G8,'PP2'!$B$6:$B$75,'PP2'!$A$6:$A$75,0)</f>
        <v>0</v>
      </c>
      <c r="I8" s="115">
        <f>_xlfn.XLOOKUP($B8,'PP3'!$C$6:$C$150,'PP3'!$B$6:$B$150,"")</f>
        <v>1</v>
      </c>
      <c r="J8" s="119">
        <f>_xlfn.XLOOKUP(I8,'PP3'!$B$6:$B$75,'PP3'!$A$6:$A$75,0)</f>
        <v>124.0156148384975</v>
      </c>
      <c r="K8" s="115">
        <f>_xlfn.XLOOKUP($B8,'PP4'!$C$6:$C$150,'PP4'!$B$6:$B$150,"")</f>
        <v>1</v>
      </c>
      <c r="L8" s="119">
        <f>_xlfn.XLOOKUP(K8,'PP4'!$B$6:$B$75,'PP4'!$A$6:$A$75,0)</f>
        <v>98</v>
      </c>
      <c r="M8" s="115" t="str">
        <f>_xlfn.XLOOKUP($B8,'PP5'!$C$6:$C$150,'PP5'!$B$6:$B$150,"")</f>
        <v/>
      </c>
      <c r="N8" s="119">
        <f>_xlfn.XLOOKUP(M8,'PP5'!$B$6:$B$75,'PP5'!$A$6:$A$75,0)</f>
        <v>0</v>
      </c>
      <c r="O8" s="64" t="str">
        <f>_xlfn.XLOOKUP(B8,MPW!C$6:C$150,MPW!B$6:B$150,"")</f>
        <v/>
      </c>
      <c r="P8" s="119">
        <f>_xlfn.XLOOKUP(O8,MPW!B$6:B$75,MPW!A$6:A$75,0)</f>
        <v>0</v>
      </c>
      <c r="R8" s="63">
        <f>_xlfn.XLOOKUP($B8,'PEW1'!$C$6:$C$150,'PEW1'!$B$6:$B$150,"")</f>
        <v>1</v>
      </c>
      <c r="S8" s="71">
        <f>_xlfn.XLOOKUP(R8,'PEW1'!$B$6:$B$75,'PEW1'!$A$6:$A$75,0)</f>
        <v>144.63651018149125</v>
      </c>
      <c r="T8" s="63" t="str">
        <f>_xlfn.XLOOKUP($B8,'PEW2'!$C$6:$C$150,'PEW2'!$B$6:$B$150,"")</f>
        <v/>
      </c>
      <c r="U8" s="71">
        <f>_xlfn.XLOOKUP(T8,'PEW2'!$B$6:$B$75,'PEW2'!$A$6:$A$75,0)</f>
        <v>0</v>
      </c>
      <c r="V8" s="63">
        <f>_xlfn.XLOOKUP($B8,'PEW3'!$C$6:$C$150,'PEW3'!$B$6:$B$150,"")</f>
        <v>1</v>
      </c>
      <c r="W8" s="71">
        <f>_xlfn.XLOOKUP(V8,'PEW3'!$B$6:$B$75,'PEW3'!$A$6:$A$75,0)</f>
        <v>143.80657178798964</v>
      </c>
      <c r="X8" s="63">
        <f>_xlfn.XLOOKUP($B8,'PEW4'!$C$6:$C$150,'PEW4'!$B$6:$B$150,"")</f>
        <v>2</v>
      </c>
      <c r="Y8" s="71">
        <f>_xlfn.XLOOKUP(X8,'PEW4'!$B$6:$B$75,'PEW4'!$A$6:$A$75,0)</f>
        <v>115.83333333333331</v>
      </c>
      <c r="Z8" s="63" t="str">
        <f>_xlfn.XLOOKUP($B8,'PEW5'!$C$6:$C$150,'PEW5'!$B$6:$B$150,"")</f>
        <v/>
      </c>
      <c r="AA8" s="71">
        <f>_xlfn.XLOOKUP(Z8,'PEW5'!$B$6:$B$75,'PEW5'!$A$6:$A$75,0)</f>
        <v>0</v>
      </c>
      <c r="AB8" s="63">
        <f>_xlfn.XLOOKUP($B8,'PEW6'!$C$6:$C$150,'PEW6'!$B$6:$B$150,"")</f>
        <v>1</v>
      </c>
      <c r="AC8" s="71">
        <f>_xlfn.XLOOKUP(AB8,'PEW6'!$B$6:$B$75,'PEW6'!$A$6:$A$75,0)</f>
        <v>142.01203974041056</v>
      </c>
      <c r="AD8" s="63" t="str">
        <f>_xlfn.XLOOKUP($B8,'PEW7'!$C$6:$C$150,'PEW7'!$B$6:$B$150,"")</f>
        <v/>
      </c>
      <c r="AE8" s="71">
        <f>_xlfn.XLOOKUP(AD8,'PEW7'!$B$6:$B$75,'PEW7'!$A$6:$A$75,0)</f>
        <v>0</v>
      </c>
      <c r="AF8" s="63" t="str">
        <f>_xlfn.XLOOKUP($B8,PS!$C$6:$C$150,PS!$B$6:$B$150,"")</f>
        <v/>
      </c>
      <c r="AG8" s="71">
        <f>_xlfn.XLOOKUP(AF8,PS!$B$6:$B$75,PS!$A$6:$A$75,0)</f>
        <v>0</v>
      </c>
      <c r="AH8" s="63">
        <f>_xlfn.XLOOKUP($B8,IMEW!$C$6:$C$150,IMEW!$B$6:$B$150,"")</f>
        <v>19</v>
      </c>
      <c r="AI8" s="71">
        <f>_xlfn.XLOOKUP(AH8,IMEW!$B$6:$B$75,IMEW!$A$6:$A$75,0)</f>
        <v>47.166953480976922</v>
      </c>
      <c r="AJ8" s="63" cm="1">
        <f t="array" ref="AJ8">_xlfn.XLOOKUP($B8,IMSW!C$6:C$201,IMSW!$B$6:B$201,"")</f>
        <v>1</v>
      </c>
      <c r="AK8" s="72">
        <f>_xlfn.XLOOKUP(AJ8,IMSW!$B$6:$B$201,IMSW!$A$6:$A$201,0)</f>
        <v>158.12241225829405</v>
      </c>
      <c r="AM8" s="275" cm="1">
        <f t="array" ref="AM8">IF(AY8&gt;=150,SUM(AR8,AS8,AT8,AU8,AY8)+SUM(LARGE((AV8,AW8,AZ8,BA8,BB8),{1;2;3})),
        IF(AY8+AZ8&gt;=150,SUM(AR8,AS8,AT8,AU8,AY8,AZ8)+SUM(LARGE((AV8,AW8,BA8,BB8),{1;2})),
               IF(AY8+AZ8+BA8&gt;=150,SUM(AR8,AS8,AT8,AU8,AY8,AZ8,BA8)+SUM(LARGE((AV8,AW8,BB8),1)),
                      IF(AY8+AZ8+BA8+BB8&gt;=150,SUM(AR8,AS8,AT8,AU8,AY8,AZ8,BA8,BB8),0)
                     )
              )
       )</f>
        <v>876.25981547334959</v>
      </c>
      <c r="AN8" s="275" cm="1">
        <f t="array" ref="AN8">IF(AY8&gt;=75,SUM(AR8,AS8,AT8,AU8,AY8)+SUM(LARGE((AV8,AW8,AZ8,BA8,BB8),{1;2;3})),
        IF(AY8+AZ8&gt;=75,SUM(AR8,AS8,AT8,AU8,AY8,AZ8)+SUM(LARGE((AV8,AW8,BA8,BB8),{1;2})),
               IF(AY8+AZ8+BA8&gt;=75,SUM(AR8,AS8,AT8,AU8,AY8,AZ8,BA8)+SUM(LARGE((AV8,AW8,BB8),1)),
                      IF(AY8+AZ8+BA8+BB8&gt;=75,SUM(AR8,AS8,AT8,AU8,AY8,AZ8,BA8,BB8),0)
                     )
              )
       )</f>
        <v>876.25981547334959</v>
      </c>
      <c r="AO8" s="275" cm="1">
        <f t="array" ref="AO8">SUM(AR8:AT8)+SUM(LARGE((AU8:BC8),{1;2;3;4;5}))</f>
        <v>992.09314880668285</v>
      </c>
      <c r="AP8" s="275" cm="1">
        <f t="array" ref="AP8">SUM(LARGE((AR8:BF8),{1;2;3;4;5;6;7;8}))</f>
        <v>992.09314880668296</v>
      </c>
      <c r="AQ8" s="275"/>
      <c r="AR8" s="275">
        <f>LARGE((F8,H8,J8,L8,N8,P8),1)</f>
        <v>124.0156148384975</v>
      </c>
      <c r="AS8" s="275">
        <f>LARGE((F8,H8,J8,L8,N8,P8),2)</f>
        <v>98</v>
      </c>
      <c r="AT8" s="275">
        <f>LARGE((F8,H8,J8,L8,N8,P8),3)</f>
        <v>65.666666666666657</v>
      </c>
      <c r="AU8" s="275">
        <f>LARGE((F8,H8,J8,L8,N8,P8),4)</f>
        <v>0</v>
      </c>
      <c r="AV8" s="275">
        <f>LARGE((F8,H8,J8,L8,N8,P8),5)</f>
        <v>0</v>
      </c>
      <c r="AW8" s="275">
        <f>LARGE((F8,H8,J8,L8,N8,P8),6)</f>
        <v>0</v>
      </c>
      <c r="AY8" s="275">
        <f>LARGE((S8,U8,W8,Y8,AA8,AC8,AE8,AG8,AI8,AK8),1)</f>
        <v>158.12241225829405</v>
      </c>
      <c r="AZ8" s="275">
        <f>LARGE((S8,U8,W8,Y8,AA8,AC8,AE8,AG8,AI8,AK8),2)</f>
        <v>144.63651018149125</v>
      </c>
      <c r="BA8" s="275">
        <f>LARGE((S8,U8,W8,Y8,AA8,AC8,AE8,AG8,AI8,AK8),3)</f>
        <v>143.80657178798964</v>
      </c>
      <c r="BB8" s="275">
        <f>LARGE((S8,U8,W8,Y8,AA8,AC8,AE8,AG8,AI8,AK8),4)</f>
        <v>142.01203974041056</v>
      </c>
      <c r="BC8" s="275">
        <f>LARGE((S8,U8,W8,Y8,AA8,AC8,AE8,AG8,AI8,AK8),5)</f>
        <v>115.83333333333331</v>
      </c>
      <c r="BD8" s="275">
        <f>LARGE((S8,U8,W8,Y8,AA8,AC8,AE8,AG8,AI8,AK8),6)</f>
        <v>47.166953480976922</v>
      </c>
      <c r="BE8" s="275">
        <f>LARGE((S8,U8,W8,Y8,AA8,AC8,AE8,AG8,AI8,AK8),7)</f>
        <v>0</v>
      </c>
      <c r="BF8" s="275">
        <f>LARGE((S8,U8,W8,Y8,AA8,AC8,AE8,AG8,AI8,AK8),8)</f>
        <v>0</v>
      </c>
      <c r="BG8" s="275">
        <f>LARGE((S8,U8,W8,Y8,AA8,AC8,AE8,AG8,AI8,AK8),9)</f>
        <v>0</v>
      </c>
    </row>
    <row r="9" spans="1:59" ht="14.85" customHeight="1">
      <c r="A9" s="54">
        <f>ROW()-5</f>
        <v>4</v>
      </c>
      <c r="B9" s="51" t="s">
        <v>19</v>
      </c>
      <c r="C9" s="272" t="str" cm="1">
        <f t="array" ref="C9">IF(AND(COUNTIF(E9:P9,"")&lt;3,SUM(LARGE((S9,U9,W9,Y9,AA9,AC9,AE9,AG9,AI9,AK9),{1;2;3;4}))&gt;=150),"kadra A",
IF(AND(COUNTIF(E9:P9,"")&lt;3,SUM(LARGE((S9,U9,W9,Y9,AA9,AC9,AE9,AG9,AI9,AK9),{1;2;3;4}))&gt;=75),"kadra B",
IF(COUNTIF(E9:P9,"")&lt;4,"kadra C",
IF(B9="","","kadra D")
)))</f>
        <v>kadra C</v>
      </c>
      <c r="D9" s="273">
        <f>IF(C9="kadra A",AM9,IF(C9="kadra B",AN9,IF(C9="kadra C",AO9,IF(C9="kadra D",AP9,0))))</f>
        <v>249.28471279205758</v>
      </c>
      <c r="E9" s="64">
        <f>_xlfn.XLOOKUP($B9,'PP1'!$C$6:$C$150,'PP1'!$B$6:$B$150,"")</f>
        <v>3</v>
      </c>
      <c r="F9" s="117">
        <f>_xlfn.XLOOKUP(E9,'PP1'!$B$6:$B$75,'PP1'!$A$6:$A$75,0)</f>
        <v>40.112279154887787</v>
      </c>
      <c r="G9" s="64" t="str">
        <f>_xlfn.XLOOKUP($B9,'PP2'!$C$6:$C$150,'PP2'!$B$6:$B$150,"")</f>
        <v/>
      </c>
      <c r="H9" s="119">
        <f>_xlfn.XLOOKUP(G9,'PP2'!$B$6:$B$75,'PP2'!$A$6:$A$75,0)</f>
        <v>0</v>
      </c>
      <c r="I9" s="115">
        <f>_xlfn.XLOOKUP($B9,'PP3'!$C$6:$C$150,'PP3'!$B$6:$B$150,"")</f>
        <v>2</v>
      </c>
      <c r="J9" s="119">
        <f>_xlfn.XLOOKUP(I9,'PP3'!$B$6:$B$75,'PP3'!$A$6:$A$75,0)</f>
        <v>94.47537313736639</v>
      </c>
      <c r="K9" s="115" t="str">
        <f>_xlfn.XLOOKUP($B9,'PP4'!$C$6:$C$150,'PP4'!$B$6:$B$150,"")</f>
        <v/>
      </c>
      <c r="L9" s="119">
        <f>_xlfn.XLOOKUP(K9,'PP4'!$B$6:$B$75,'PP4'!$A$6:$A$75,0)</f>
        <v>0</v>
      </c>
      <c r="M9" s="115" t="str">
        <f>_xlfn.XLOOKUP($B9,'PP5'!$C$6:$C$150,'PP5'!$B$6:$B$150,"")</f>
        <v/>
      </c>
      <c r="N9" s="119">
        <f>_xlfn.XLOOKUP(M9,'PP5'!$B$6:$B$75,'PP5'!$A$6:$A$75,0)</f>
        <v>0</v>
      </c>
      <c r="O9" s="64">
        <f>_xlfn.XLOOKUP(B9,MPW!C$6:C$150,MPW!B$6:B$150,"")</f>
        <v>2</v>
      </c>
      <c r="P9" s="119">
        <f>_xlfn.XLOOKUP(O9,MPW!B$6:B$75,MPW!A$6:A$75,0)</f>
        <v>74.336323203000362</v>
      </c>
      <c r="R9" s="63" t="str">
        <f>_xlfn.XLOOKUP($B9,'PEW1'!$C$6:$C$150,'PEW1'!$B$6:$B$150,"")</f>
        <v/>
      </c>
      <c r="S9" s="71">
        <f>_xlfn.XLOOKUP(R9,'PEW1'!$B$6:$B$75,'PEW1'!$A$6:$A$75,0)</f>
        <v>0</v>
      </c>
      <c r="T9" s="63" t="str">
        <f>_xlfn.XLOOKUP($B9,'PEW2'!$C$6:$C$150,'PEW2'!$B$6:$B$150,"")</f>
        <v/>
      </c>
      <c r="U9" s="71">
        <f>_xlfn.XLOOKUP(T9,'PEW2'!$B$6:$B$75,'PEW2'!$A$6:$A$75,0)</f>
        <v>0</v>
      </c>
      <c r="V9" s="63" t="str">
        <f>_xlfn.XLOOKUP($B9,'PEW3'!$C$6:$C$150,'PEW3'!$B$6:$B$150,"")</f>
        <v/>
      </c>
      <c r="W9" s="71">
        <f>_xlfn.XLOOKUP(V9,'PEW3'!$B$6:$B$75,'PEW3'!$A$6:$A$75,0)</f>
        <v>0</v>
      </c>
      <c r="X9" s="63" t="str">
        <f>_xlfn.XLOOKUP($B9,'PEW4'!$C$6:$C$150,'PEW4'!$B$6:$B$150,"")</f>
        <v/>
      </c>
      <c r="Y9" s="71">
        <f>_xlfn.XLOOKUP(X9,'PEW4'!$B$6:$B$75,'PEW4'!$A$6:$A$75,0)</f>
        <v>0</v>
      </c>
      <c r="Z9" s="63" t="str">
        <f>_xlfn.XLOOKUP($B9,'PEW5'!$C$6:$C$150,'PEW5'!$B$6:$B$150,"")</f>
        <v/>
      </c>
      <c r="AA9" s="71">
        <f>_xlfn.XLOOKUP(Z9,'PEW5'!$B$6:$B$75,'PEW5'!$A$6:$A$75,0)</f>
        <v>0</v>
      </c>
      <c r="AB9" s="63">
        <f>_xlfn.XLOOKUP($B9,'PEW6'!$C$6:$C$150,'PEW6'!$B$6:$B$150,"")</f>
        <v>10</v>
      </c>
      <c r="AC9" s="71">
        <f>_xlfn.XLOOKUP(AB9,'PEW6'!$B$6:$B$75,'PEW6'!$A$6:$A$75,0)</f>
        <v>40.360737296803066</v>
      </c>
      <c r="AD9" s="63" t="str">
        <f>_xlfn.XLOOKUP($B9,'PEW7'!$C$6:$C$150,'PEW7'!$B$6:$B$150,"")</f>
        <v/>
      </c>
      <c r="AE9" s="71">
        <f>_xlfn.XLOOKUP(AD9,'PEW7'!$B$6:$B$75,'PEW7'!$A$6:$A$75,0)</f>
        <v>0</v>
      </c>
      <c r="AF9" s="63" t="str">
        <f>_xlfn.XLOOKUP($B9,PS!$C$6:$C$150,PS!$B$6:$B$150,"")</f>
        <v/>
      </c>
      <c r="AG9" s="71">
        <f>_xlfn.XLOOKUP(AF9,PS!$B$6:$B$75,PS!$A$6:$A$75,0)</f>
        <v>0</v>
      </c>
      <c r="AH9" s="63" t="str">
        <f>_xlfn.XLOOKUP($B9,IMEW!$C$6:$C$150,IMEW!$B$6:$B$150,"")</f>
        <v/>
      </c>
      <c r="AI9" s="71">
        <f>_xlfn.XLOOKUP(AH9,IMEW!$B$6:$B$75,IMEW!$A$6:$A$75,0)</f>
        <v>0</v>
      </c>
      <c r="AJ9" s="63" t="str" cm="1">
        <f t="array" ref="AJ9">_xlfn.XLOOKUP($B9,IMSW!C$6:C$201,IMSW!$B$6:B$201,"")</f>
        <v/>
      </c>
      <c r="AK9" s="72">
        <f>_xlfn.XLOOKUP(AJ9,IMSW!$B$6:$B$201,IMSW!$A$6:$A$201,0)</f>
        <v>0</v>
      </c>
      <c r="AM9" s="275" cm="1">
        <f t="array" ref="AM9">IF(AY9&gt;=150,SUM(AR9,AS9,AT9,AU9,AY9)+SUM(LARGE((AV9,AW9,AZ9,BA9,BB9),{1;2;3})),
        IF(AY9+AZ9&gt;=150,SUM(AR9,AS9,AT9,AU9,AY9,AZ9)+SUM(LARGE((AV9,AW9,BA9,BB9),{1;2})),
               IF(AY9+AZ9+BA9&gt;=150,SUM(AR9,AS9,AT9,AU9,AY9,AZ9,BA9)+SUM(LARGE((AV9,AW9,BB9),1)),
                      IF(AY9+AZ9+BA9+BB9&gt;=150,SUM(AR9,AS9,AT9,AU9,AY9,AZ9,BA9,BB9),0)
                     )
              )
       )</f>
        <v>0</v>
      </c>
      <c r="AN9" s="275" cm="1">
        <f t="array" ref="AN9">IF(AY9&gt;=75,SUM(AR9,AS9,AT9,AU9,AY9)+SUM(LARGE((AV9,AW9,AZ9,BA9,BB9),{1;2;3})),
        IF(AY9+AZ9&gt;=75,SUM(AR9,AS9,AT9,AU9,AY9,AZ9)+SUM(LARGE((AV9,AW9,BA9,BB9),{1;2})),
               IF(AY9+AZ9+BA9&gt;=75,SUM(AR9,AS9,AT9,AU9,AY9,AZ9,BA9)+SUM(LARGE((AV9,AW9,BB9),1)),
                      IF(AY9+AZ9+BA9+BB9&gt;=75,SUM(AR9,AS9,AT9,AU9,AY9,AZ9,BA9,BB9),0)
                     )
              )
       )</f>
        <v>0</v>
      </c>
      <c r="AO9" s="275" cm="1">
        <f t="array" ref="AO9">SUM(AR9:AT9)+SUM(LARGE((AU9:BC9),{1;2;3;4;5}))</f>
        <v>249.28471279205758</v>
      </c>
      <c r="AP9" s="275" cm="1">
        <f t="array" ref="AP9">SUM(LARGE((AR9:BF9),{1;2;3;4;5;6;7;8}))</f>
        <v>249.28471279205763</v>
      </c>
      <c r="AQ9" s="275"/>
      <c r="AR9" s="275">
        <f>LARGE((F9,H9,J9,L9,N9,P9),1)</f>
        <v>94.47537313736639</v>
      </c>
      <c r="AS9" s="275">
        <f>LARGE((F9,H9,J9,L9,N9,P9),2)</f>
        <v>74.336323203000362</v>
      </c>
      <c r="AT9" s="275">
        <f>LARGE((F9,H9,J9,L9,N9,P9),3)</f>
        <v>40.112279154887787</v>
      </c>
      <c r="AU9" s="275">
        <f>LARGE((F9,H9,J9,L9,N9,P9),4)</f>
        <v>0</v>
      </c>
      <c r="AV9" s="275">
        <f>LARGE((F9,H9,J9,L9,N9,P9),5)</f>
        <v>0</v>
      </c>
      <c r="AW9" s="275">
        <f>LARGE((F9,H9,J9,L9,N9,P9),6)</f>
        <v>0</v>
      </c>
      <c r="AY9" s="275">
        <f>LARGE((S9,U9,W9,Y9,AA9,AC9,AE9,AG9,AI9,AK9),1)</f>
        <v>40.360737296803066</v>
      </c>
      <c r="AZ9" s="275">
        <f>LARGE((S9,U9,W9,Y9,AA9,AC9,AE9,AG9,AI9,AK9),2)</f>
        <v>0</v>
      </c>
      <c r="BA9" s="275">
        <f>LARGE((S9,U9,W9,Y9,AA9,AC9,AE9,AG9,AI9,AK9),3)</f>
        <v>0</v>
      </c>
      <c r="BB9" s="275">
        <f>LARGE((S9,U9,W9,Y9,AA9,AC9,AE9,AG9,AI9,AK9),4)</f>
        <v>0</v>
      </c>
      <c r="BC9" s="275">
        <f>LARGE((S9,U9,W9,Y9,AA9,AC9,AE9,AG9,AI9,AK9),5)</f>
        <v>0</v>
      </c>
      <c r="BD9" s="275">
        <f>LARGE((S9,U9,W9,Y9,AA9,AC9,AE9,AG9,AI9,AK9),6)</f>
        <v>0</v>
      </c>
      <c r="BE9" s="275">
        <f>LARGE((S9,U9,W9,Y9,AA9,AC9,AE9,AG9,AI9,AK9),7)</f>
        <v>0</v>
      </c>
      <c r="BF9" s="275">
        <f>LARGE((S9,U9,W9,Y9,AA9,AC9,AE9,AG9,AI9,AK9),8)</f>
        <v>0</v>
      </c>
      <c r="BG9" s="275">
        <f>LARGE((S9,U9,W9,Y9,AA9,AC9,AE9,AG9,AI9,AK9),9)</f>
        <v>0</v>
      </c>
    </row>
    <row r="10" spans="1:59" ht="14.85" customHeight="1">
      <c r="A10" s="54">
        <f>ROW()-5</f>
        <v>5</v>
      </c>
      <c r="B10" s="51" t="s">
        <v>20</v>
      </c>
      <c r="C10" s="272" t="str" cm="1">
        <f t="array" ref="C10">IF(AND(COUNTIF(E10:P10,"")&lt;3,SUM(LARGE((S10,U10,W10,Y10,AA10,AC10,AE10,AG10,AI10,AK10),{1;2;3;4}))&gt;=150),"kadra A",
IF(AND(COUNTIF(E10:P10,"")&lt;3,SUM(LARGE((S10,U10,W10,Y10,AA10,AC10,AE10,AG10,AI10,AK10),{1;2;3;4}))&gt;=75),"kadra B",
IF(COUNTIF(E10:P10,"")&lt;4,"kadra C",
IF(B10="","","kadra D")
)))</f>
        <v>kadra C</v>
      </c>
      <c r="D10" s="273">
        <f>IF(C10="kadra A",AM10,IF(C10="kadra B",AN10,IF(C10="kadra C",AO10,IF(C10="kadra D",AP10,0))))</f>
        <v>185.46324918243309</v>
      </c>
      <c r="E10" s="64">
        <f>_xlfn.XLOOKUP($B10,'PP1'!$C$6:$C$150,'PP1'!$B$6:$B$150,"")</f>
        <v>5</v>
      </c>
      <c r="F10" s="117">
        <f>_xlfn.XLOOKUP(E10,'PP1'!$B$6:$B$75,'PP1'!$A$6:$A$75,0)</f>
        <v>12.07517445017308</v>
      </c>
      <c r="G10" s="64">
        <f>_xlfn.XLOOKUP($B10,'PP2'!$C$6:$C$150,'PP2'!$B$6:$B$150,"")</f>
        <v>2</v>
      </c>
      <c r="H10" s="119">
        <f>_xlfn.XLOOKUP(G10,'PP2'!$B$6:$B$75,'PP2'!$A$6:$A$75,0)</f>
        <v>65.666666666666657</v>
      </c>
      <c r="I10" s="115">
        <f>_xlfn.XLOOKUP($B10,'PP3'!$C$6:$C$150,'PP3'!$B$6:$B$150,"")</f>
        <v>9</v>
      </c>
      <c r="J10" s="119">
        <f>_xlfn.XLOOKUP(I10,'PP3'!$B$6:$B$75,'PP3'!$A$6:$A$75,0)</f>
        <v>23.434798597879578</v>
      </c>
      <c r="K10" s="115" t="str">
        <f>_xlfn.XLOOKUP($B10,'PP4'!$C$6:$C$150,'PP4'!$B$6:$B$150,"")</f>
        <v/>
      </c>
      <c r="L10" s="119">
        <f>_xlfn.XLOOKUP(K10,'PP4'!$B$6:$B$75,'PP4'!$A$6:$A$75,0)</f>
        <v>0</v>
      </c>
      <c r="M10" s="115">
        <f>_xlfn.XLOOKUP($B10,'PP5'!$C$6:$C$150,'PP5'!$B$6:$B$150,"")</f>
        <v>1</v>
      </c>
      <c r="N10" s="119">
        <f>_xlfn.XLOOKUP(M10,'PP5'!$B$6:$B$75,'PP5'!$A$6:$A$75,0)</f>
        <v>84.286609467713788</v>
      </c>
      <c r="O10" s="64" t="str">
        <f>_xlfn.XLOOKUP(B10,MPW!C$6:C$150,MPW!B$6:B$150,"")</f>
        <v/>
      </c>
      <c r="P10" s="119">
        <f>_xlfn.XLOOKUP(O10,MPW!B$6:B$75,MPW!A$6:A$75,0)</f>
        <v>0</v>
      </c>
      <c r="R10" s="63" t="str">
        <f>_xlfn.XLOOKUP($B10,'PEW1'!$C$6:$C$150,'PEW1'!$B$6:$B$150,"")</f>
        <v/>
      </c>
      <c r="S10" s="71">
        <f>_xlfn.XLOOKUP(R10,'PEW1'!$B$6:$B$75,'PEW1'!$A$6:$A$75,0)</f>
        <v>0</v>
      </c>
      <c r="T10" s="63" t="str">
        <f>_xlfn.XLOOKUP($B10,'PEW2'!$C$6:$C$150,'PEW2'!$B$6:$B$150,"")</f>
        <v/>
      </c>
      <c r="U10" s="71">
        <f>_xlfn.XLOOKUP(T10,'PEW2'!$B$6:$B$75,'PEW2'!$A$6:$A$75,0)</f>
        <v>0</v>
      </c>
      <c r="V10" s="63" t="str">
        <f>_xlfn.XLOOKUP($B10,'PEW3'!$C$6:$C$150,'PEW3'!$B$6:$B$150,"")</f>
        <v/>
      </c>
      <c r="W10" s="71">
        <f>_xlfn.XLOOKUP(V10,'PEW3'!$B$6:$B$75,'PEW3'!$A$6:$A$75,0)</f>
        <v>0</v>
      </c>
      <c r="X10" s="63" t="str">
        <f>_xlfn.XLOOKUP($B10,'PEW4'!$C$6:$C$150,'PEW4'!$B$6:$B$150,"")</f>
        <v/>
      </c>
      <c r="Y10" s="71">
        <f>_xlfn.XLOOKUP(X10,'PEW4'!$B$6:$B$75,'PEW4'!$A$6:$A$75,0)</f>
        <v>0</v>
      </c>
      <c r="Z10" s="63" t="str">
        <f>_xlfn.XLOOKUP($B10,'PEW5'!$C$6:$C$150,'PEW5'!$B$6:$B$150,"")</f>
        <v/>
      </c>
      <c r="AA10" s="71">
        <f>_xlfn.XLOOKUP(Z10,'PEW5'!$B$6:$B$75,'PEW5'!$A$6:$A$75,0)</f>
        <v>0</v>
      </c>
      <c r="AB10" s="63" t="str">
        <f>_xlfn.XLOOKUP($B10,'PEW6'!$C$6:$C$150,'PEW6'!$B$6:$B$150,"")</f>
        <v/>
      </c>
      <c r="AC10" s="71">
        <f>_xlfn.XLOOKUP(AB10,'PEW6'!$B$6:$B$75,'PEW6'!$A$6:$A$75,0)</f>
        <v>0</v>
      </c>
      <c r="AD10" s="63" t="str">
        <f>_xlfn.XLOOKUP($B10,'PEW7'!$C$6:$C$150,'PEW7'!$B$6:$B$150,"")</f>
        <v/>
      </c>
      <c r="AE10" s="71">
        <f>_xlfn.XLOOKUP(AD10,'PEW7'!$B$6:$B$75,'PEW7'!$A$6:$A$75,0)</f>
        <v>0</v>
      </c>
      <c r="AF10" s="63" t="str">
        <f>_xlfn.XLOOKUP($B10,PS!$C$6:$C$150,PS!$B$6:$B$150,"")</f>
        <v/>
      </c>
      <c r="AG10" s="71">
        <f>_xlfn.XLOOKUP(AF10,PS!$B$6:$B$75,PS!$A$6:$A$75,0)</f>
        <v>0</v>
      </c>
      <c r="AH10" s="63" t="str">
        <f>_xlfn.XLOOKUP($B10,IMEW!$C$6:$C$150,IMEW!$B$6:$B$150,"")</f>
        <v/>
      </c>
      <c r="AI10" s="71">
        <f>_xlfn.XLOOKUP(AH10,IMEW!$B$6:$B$75,IMEW!$A$6:$A$75,0)</f>
        <v>0</v>
      </c>
      <c r="AJ10" s="63" t="str" cm="1">
        <f t="array" ref="AJ10">_xlfn.XLOOKUP($B10,IMSW!C$6:C$201,IMSW!$B$6:B$201,"")</f>
        <v/>
      </c>
      <c r="AK10" s="72">
        <f>_xlfn.XLOOKUP(AJ10,IMSW!$B$6:$B$201,IMSW!$A$6:$A$201,0)</f>
        <v>0</v>
      </c>
      <c r="AM10" s="275" cm="1">
        <f t="array" ref="AM10">IF(AY10&gt;=150,SUM(AR10,AS10,AT10,AU10,AY10)+SUM(LARGE((AV10,AW10,AZ10,BA10,BB10),{1;2;3})),
        IF(AY10+AZ10&gt;=150,SUM(AR10,AS10,AT10,AU10,AY10,AZ10)+SUM(LARGE((AV10,AW10,BA10,BB10),{1;2})),
               IF(AY10+AZ10+BA10&gt;=150,SUM(AR10,AS10,AT10,AU10,AY10,AZ10,BA10)+SUM(LARGE((AV10,AW10,BB10),1)),
                      IF(AY10+AZ10+BA10+BB10&gt;=150,SUM(AR10,AS10,AT10,AU10,AY10,AZ10,BA10,BB10),0)
                     )
              )
       )</f>
        <v>0</v>
      </c>
      <c r="AN10" s="275" cm="1">
        <f t="array" ref="AN10">IF(AY10&gt;=75,SUM(AR10,AS10,AT10,AU10,AY10)+SUM(LARGE((AV10,AW10,AZ10,BA10,BB10),{1;2;3})),
        IF(AY10+AZ10&gt;=75,SUM(AR10,AS10,AT10,AU10,AY10,AZ10)+SUM(LARGE((AV10,AW10,BA10,BB10),{1;2})),
               IF(AY10+AZ10+BA10&gt;=75,SUM(AR10,AS10,AT10,AU10,AY10,AZ10,BA10)+SUM(LARGE((AV10,AW10,BB10),1)),
                      IF(AY10+AZ10+BA10+BB10&gt;=75,SUM(AR10,AS10,AT10,AU10,AY10,AZ10,BA10,BB10),0)
                     )
              )
       )</f>
        <v>0</v>
      </c>
      <c r="AO10" s="275" cm="1">
        <f t="array" ref="AO10">SUM(AR10:AT10)+SUM(LARGE((AU10:BC10),{1;2;3;4;5}))</f>
        <v>185.46324918243309</v>
      </c>
      <c r="AP10" s="275" cm="1">
        <f t="array" ref="AP10">SUM(LARGE((AR10:BF10),{1;2;3;4;5;6;7;8}))</f>
        <v>185.46324918243309</v>
      </c>
      <c r="AQ10" s="275"/>
      <c r="AR10" s="275">
        <f>LARGE((F10,H10,J10,L10,N10,P10),1)</f>
        <v>84.286609467713788</v>
      </c>
      <c r="AS10" s="275">
        <f>LARGE((F10,H10,J10,L10,N10,P10),2)</f>
        <v>65.666666666666657</v>
      </c>
      <c r="AT10" s="275">
        <f>LARGE((F10,H10,J10,L10,N10,P10),3)</f>
        <v>23.434798597879578</v>
      </c>
      <c r="AU10" s="275">
        <f>LARGE((F10,H10,J10,L10,N10,P10),4)</f>
        <v>12.07517445017308</v>
      </c>
      <c r="AV10" s="275">
        <f>LARGE((F10,H10,J10,L10,N10,P10),5)</f>
        <v>0</v>
      </c>
      <c r="AW10" s="275">
        <f>LARGE((F10,H10,J10,L10,N10,P10),6)</f>
        <v>0</v>
      </c>
      <c r="AY10" s="275">
        <f>LARGE((S10,U10,W10,Y10,AA10,AC10,AE10,AG10,AI10,AK10),1)</f>
        <v>0</v>
      </c>
      <c r="AZ10" s="275">
        <f>LARGE((S10,U10,W10,Y10,AA10,AC10,AE10,AG10,AI10,AK10),2)</f>
        <v>0</v>
      </c>
      <c r="BA10" s="275">
        <f>LARGE((S10,U10,W10,Y10,AA10,AC10,AE10,AG10,AI10,AK10),3)</f>
        <v>0</v>
      </c>
      <c r="BB10" s="275">
        <f>LARGE((S10,U10,W10,Y10,AA10,AC10,AE10,AG10,AI10,AK10),4)</f>
        <v>0</v>
      </c>
      <c r="BC10" s="275">
        <f>LARGE((S10,U10,W10,Y10,AA10,AC10,AE10,AG10,AI10,AK10),5)</f>
        <v>0</v>
      </c>
      <c r="BD10" s="275">
        <f>LARGE((S10,U10,W10,Y10,AA10,AC10,AE10,AG10,AI10,AK10),6)</f>
        <v>0</v>
      </c>
      <c r="BE10" s="275">
        <f>LARGE((S10,U10,W10,Y10,AA10,AC10,AE10,AG10,AI10,AK10),7)</f>
        <v>0</v>
      </c>
      <c r="BF10" s="275">
        <f>LARGE((S10,U10,W10,Y10,AA10,AC10,AE10,AG10,AI10,AK10),8)</f>
        <v>0</v>
      </c>
      <c r="BG10" s="275">
        <f>LARGE((S10,U10,W10,Y10,AA10,AC10,AE10,AG10,AI10,AK10),9)</f>
        <v>0</v>
      </c>
    </row>
    <row r="11" spans="1:59" ht="14.85" customHeight="1">
      <c r="A11" s="54">
        <f>ROW()-5</f>
        <v>6</v>
      </c>
      <c r="B11" s="51" t="s">
        <v>22</v>
      </c>
      <c r="C11" s="272" t="str" cm="1">
        <f t="array" ref="C11">IF(AND(COUNTIF(E11:P11,"")&lt;3,SUM(LARGE((S11,U11,W11,Y11,AA11,AC11,AE11,AG11,AI11,AK11),{1;2;3;4}))&gt;=150),"kadra A",
IF(AND(COUNTIF(E11:P11,"")&lt;3,SUM(LARGE((S11,U11,W11,Y11,AA11,AC11,AE11,AG11,AI11,AK11),{1;2;3;4}))&gt;=75),"kadra B",
IF(COUNTIF(E11:P11,"")&lt;4,"kadra C",
IF(B11="","","kadra D")
)))</f>
        <v>kadra C</v>
      </c>
      <c r="D11" s="273">
        <f>IF(C11="kadra A",AM11,IF(C11="kadra B",AN11,IF(C11="kadra C",AO11,IF(C11="kadra D",AP11,0))))</f>
        <v>173.29221203792065</v>
      </c>
      <c r="E11" s="64" t="str">
        <f>_xlfn.XLOOKUP($B11,'PP1'!$C$6:$C$150,'PP1'!$B$6:$B$150,"")</f>
        <v/>
      </c>
      <c r="F11" s="117">
        <f>_xlfn.XLOOKUP(E11,'PP1'!$B$6:$B$75,'PP1'!$A$6:$A$75,0)</f>
        <v>0</v>
      </c>
      <c r="G11" s="64">
        <f>_xlfn.XLOOKUP($B11,'PP2'!$C$6:$C$150,'PP2'!$B$6:$B$150,"")</f>
        <v>3</v>
      </c>
      <c r="H11" s="119">
        <f>_xlfn.XLOOKUP(G11,'PP2'!$B$6:$B$75,'PP2'!$A$6:$A$75,0)</f>
        <v>40.112279154887787</v>
      </c>
      <c r="I11" s="115">
        <f>_xlfn.XLOOKUP($B11,'PP3'!$C$6:$C$150,'PP3'!$B$6:$B$150,"")</f>
        <v>10</v>
      </c>
      <c r="J11" s="119">
        <f>_xlfn.XLOOKUP(I11,'PP3'!$B$6:$B$75,'PP3'!$A$6:$A$75,0)</f>
        <v>21.681437328122506</v>
      </c>
      <c r="K11" s="115" t="str">
        <f>_xlfn.XLOOKUP($B11,'PP4'!$C$6:$C$150,'PP4'!$B$6:$B$150,"")</f>
        <v/>
      </c>
      <c r="L11" s="119">
        <f>_xlfn.XLOOKUP(K11,'PP4'!$B$6:$B$75,'PP4'!$A$6:$A$75,0)</f>
        <v>0</v>
      </c>
      <c r="M11" s="115">
        <f>_xlfn.XLOOKUP($B11,'PP5'!$C$6:$C$150,'PP5'!$B$6:$B$150,"")</f>
        <v>2</v>
      </c>
      <c r="N11" s="119">
        <f>_xlfn.XLOOKUP(M11,'PP5'!$B$6:$B$75,'PP5'!$A$6:$A$75,0)</f>
        <v>45.024406311809194</v>
      </c>
      <c r="O11" s="64">
        <f>_xlfn.XLOOKUP(B11,MPW!C$6:C$150,MPW!B$6:B$150,"")</f>
        <v>4</v>
      </c>
      <c r="P11" s="119">
        <f>_xlfn.XLOOKUP(O11,MPW!B$6:B$75,MPW!A$6:A$75,0)</f>
        <v>26.506109869217909</v>
      </c>
      <c r="R11" s="63" t="str">
        <f>_xlfn.XLOOKUP($B11,'PEW1'!$C$6:$C$150,'PEW1'!$B$6:$B$150,"")</f>
        <v/>
      </c>
      <c r="S11" s="71">
        <f>_xlfn.XLOOKUP(R11,'PEW1'!$B$6:$B$75,'PEW1'!$A$6:$A$75,0)</f>
        <v>0</v>
      </c>
      <c r="T11" s="63" t="str">
        <f>_xlfn.XLOOKUP($B11,'PEW2'!$C$6:$C$150,'PEW2'!$B$6:$B$150,"")</f>
        <v/>
      </c>
      <c r="U11" s="71">
        <f>_xlfn.XLOOKUP(T11,'PEW2'!$B$6:$B$75,'PEW2'!$A$6:$A$75,0)</f>
        <v>0</v>
      </c>
      <c r="V11" s="63" t="str">
        <f>_xlfn.XLOOKUP($B11,'PEW3'!$C$6:$C$150,'PEW3'!$B$6:$B$150,"")</f>
        <v/>
      </c>
      <c r="W11" s="71">
        <f>_xlfn.XLOOKUP(V11,'PEW3'!$B$6:$B$75,'PEW3'!$A$6:$A$75,0)</f>
        <v>0</v>
      </c>
      <c r="X11" s="63" t="str">
        <f>_xlfn.XLOOKUP($B11,'PEW4'!$C$6:$C$150,'PEW4'!$B$6:$B$150,"")</f>
        <v/>
      </c>
      <c r="Y11" s="71">
        <f>_xlfn.XLOOKUP(X11,'PEW4'!$B$6:$B$75,'PEW4'!$A$6:$A$75,0)</f>
        <v>0</v>
      </c>
      <c r="Z11" s="63" t="str">
        <f>_xlfn.XLOOKUP($B11,'PEW5'!$C$6:$C$150,'PEW5'!$B$6:$B$150,"")</f>
        <v/>
      </c>
      <c r="AA11" s="71">
        <f>_xlfn.XLOOKUP(Z11,'PEW5'!$B$6:$B$75,'PEW5'!$A$6:$A$75,0)</f>
        <v>0</v>
      </c>
      <c r="AB11" s="63">
        <f>_xlfn.XLOOKUP($B11,'PEW6'!$C$6:$C$150,'PEW6'!$B$6:$B$150,"")</f>
        <v>17</v>
      </c>
      <c r="AC11" s="71">
        <f>_xlfn.XLOOKUP(AB11,'PEW6'!$B$6:$B$75,'PEW6'!$A$6:$A$75,0)</f>
        <v>23.530401176404027</v>
      </c>
      <c r="AD11" s="63" t="str">
        <f>_xlfn.XLOOKUP($B11,'PEW7'!$C$6:$C$150,'PEW7'!$B$6:$B$150,"")</f>
        <v/>
      </c>
      <c r="AE11" s="71">
        <f>_xlfn.XLOOKUP(AD11,'PEW7'!$B$6:$B$75,'PEW7'!$A$6:$A$75,0)</f>
        <v>0</v>
      </c>
      <c r="AF11" s="63" t="str">
        <f>_xlfn.XLOOKUP($B11,PS!$C$6:$C$150,PS!$B$6:$B$150,"")</f>
        <v/>
      </c>
      <c r="AG11" s="71">
        <f>_xlfn.XLOOKUP(AF11,PS!$B$6:$B$75,PS!$A$6:$A$75,0)</f>
        <v>0</v>
      </c>
      <c r="AH11" s="63" t="str">
        <f>_xlfn.XLOOKUP($B11,IMEW!$C$6:$C$150,IMEW!$B$6:$B$150,"")</f>
        <v/>
      </c>
      <c r="AI11" s="71">
        <f>_xlfn.XLOOKUP(AH11,IMEW!$B$6:$B$75,IMEW!$A$6:$A$75,0)</f>
        <v>0</v>
      </c>
      <c r="AJ11" s="63" cm="1">
        <f t="array" ref="AJ11">_xlfn.XLOOKUP($B11,IMSW!C$6:C$201,IMSW!$B$6:B$201,"")</f>
        <v>47</v>
      </c>
      <c r="AK11" s="72">
        <f>_xlfn.XLOOKUP(AJ11,IMSW!$B$6:$B$201,IMSW!$A$6:$A$201,0)</f>
        <v>16.437578197479226</v>
      </c>
      <c r="AM11" s="275" cm="1">
        <f t="array" ref="AM11">IF(AY11&gt;=150,SUM(AR11,AS11,AT11,AU11,AY11)+SUM(LARGE((AV11,AW11,AZ11,BA11,BB11),{1;2;3})),
        IF(AY11+AZ11&gt;=150,SUM(AR11,AS11,AT11,AU11,AY11,AZ11)+SUM(LARGE((AV11,AW11,BA11,BB11),{1;2})),
               IF(AY11+AZ11+BA11&gt;=150,SUM(AR11,AS11,AT11,AU11,AY11,AZ11,BA11)+SUM(LARGE((AV11,AW11,BB11),1)),
                      IF(AY11+AZ11+BA11+BB11&gt;=150,SUM(AR11,AS11,AT11,AU11,AY11,AZ11,BA11,BB11),0)
                     )
              )
       )</f>
        <v>0</v>
      </c>
      <c r="AN11" s="275" cm="1">
        <f t="array" ref="AN11">IF(AY11&gt;=75,SUM(AR11,AS11,AT11,AU11,AY11)+SUM(LARGE((AV11,AW11,AZ11,BA11,BB11),{1;2;3})),
        IF(AY11+AZ11&gt;=75,SUM(AR11,AS11,AT11,AU11,AY11,AZ11)+SUM(LARGE((AV11,AW11,BA11,BB11),{1;2})),
               IF(AY11+AZ11+BA11&gt;=75,SUM(AR11,AS11,AT11,AU11,AY11,AZ11,BA11)+SUM(LARGE((AV11,AW11,BB11),1)),
                      IF(AY11+AZ11+BA11+BB11&gt;=75,SUM(AR11,AS11,AT11,AU11,AY11,AZ11,BA11,BB11),0)
                     )
              )
       )</f>
        <v>0</v>
      </c>
      <c r="AO11" s="275" cm="1">
        <f t="array" ref="AO11">SUM(AR11:AT11)+SUM(LARGE((AU11:BC11),{1;2;3;4;5}))</f>
        <v>173.29221203792065</v>
      </c>
      <c r="AP11" s="275" cm="1">
        <f t="array" ref="AP11">SUM(LARGE((AR11:BF11),{1;2;3;4;5;6;7;8}))</f>
        <v>173.29221203792065</v>
      </c>
      <c r="AQ11" s="275"/>
      <c r="AR11" s="275">
        <f>LARGE((F11,H11,J11,L11,N11,P11),1)</f>
        <v>45.024406311809194</v>
      </c>
      <c r="AS11" s="275">
        <f>LARGE((F11,H11,J11,L11,N11,P11),2)</f>
        <v>40.112279154887787</v>
      </c>
      <c r="AT11" s="275">
        <f>LARGE((F11,H11,J11,L11,N11,P11),3)</f>
        <v>26.506109869217909</v>
      </c>
      <c r="AU11" s="275">
        <f>LARGE((F11,H11,J11,L11,N11,P11),4)</f>
        <v>21.681437328122506</v>
      </c>
      <c r="AV11" s="275">
        <f>LARGE((F11,H11,J11,L11,N11,P11),5)</f>
        <v>0</v>
      </c>
      <c r="AW11" s="275">
        <f>LARGE((F11,H11,J11,L11,N11,P11),6)</f>
        <v>0</v>
      </c>
      <c r="AY11" s="275">
        <f>LARGE((S11,U11,W11,Y11,AA11,AC11,AE11,AG11,AI11,AK11),1)</f>
        <v>23.530401176404027</v>
      </c>
      <c r="AZ11" s="275">
        <f>LARGE((S11,U11,W11,Y11,AA11,AC11,AE11,AG11,AI11,AK11),2)</f>
        <v>16.437578197479226</v>
      </c>
      <c r="BA11" s="275">
        <f>LARGE((S11,U11,W11,Y11,AA11,AC11,AE11,AG11,AI11,AK11),3)</f>
        <v>0</v>
      </c>
      <c r="BB11" s="275">
        <f>LARGE((S11,U11,W11,Y11,AA11,AC11,AE11,AG11,AI11,AK11),4)</f>
        <v>0</v>
      </c>
      <c r="BC11" s="275">
        <f>LARGE((S11,U11,W11,Y11,AA11,AC11,AE11,AG11,AI11,AK11),5)</f>
        <v>0</v>
      </c>
      <c r="BD11" s="275">
        <f>LARGE((S11,U11,W11,Y11,AA11,AC11,AE11,AG11,AI11,AK11),6)</f>
        <v>0</v>
      </c>
      <c r="BE11" s="275">
        <f>LARGE((S11,U11,W11,Y11,AA11,AC11,AE11,AG11,AI11,AK11),7)</f>
        <v>0</v>
      </c>
      <c r="BF11" s="275">
        <f>LARGE((S11,U11,W11,Y11,AA11,AC11,AE11,AG11,AI11,AK11),8)</f>
        <v>0</v>
      </c>
      <c r="BG11" s="275">
        <f>LARGE((S11,U11,W11,Y11,AA11,AC11,AE11,AG11,AI11,AK11),9)</f>
        <v>0</v>
      </c>
    </row>
    <row r="12" spans="1:59" ht="14.85" customHeight="1">
      <c r="A12" s="54">
        <f>ROW()-5</f>
        <v>7</v>
      </c>
      <c r="B12" s="239" t="s">
        <v>23</v>
      </c>
      <c r="C12" s="272" t="str" cm="1">
        <f t="array" ref="C12">IF(AND(COUNTIF(E12:P12,"")&lt;3,SUM(LARGE((S12,U12,W12,Y12,AA12,AC12,AE12,AG12,AI12,AK12),{1;2;3;4}))&gt;=150),"kadra A",
IF(AND(COUNTIF(E12:P12,"")&lt;3,SUM(LARGE((S12,U12,W12,Y12,AA12,AC12,AE12,AG12,AI12,AK12),{1;2;3;4}))&gt;=75),"kadra B",
IF(COUNTIF(E12:P12,"")&lt;4,"kadra C",
IF(B12="","","kadra D")
)))</f>
        <v>kadra C</v>
      </c>
      <c r="D12" s="273">
        <f>IF(C12="kadra A",AM12,IF(C12="kadra B",AN12,IF(C12="kadra C",AO12,IF(C12="kadra D",AP12,0))))</f>
        <v>91.437790778228234</v>
      </c>
      <c r="E12" s="64" t="str">
        <f>_xlfn.XLOOKUP($B12,'PP1'!$C$6:$C$150,'PP1'!$B$6:$B$150,"")</f>
        <v/>
      </c>
      <c r="F12" s="117">
        <f>_xlfn.XLOOKUP(E12,'PP1'!$B$6:$B$75,'PP1'!$A$6:$A$75,0)</f>
        <v>0</v>
      </c>
      <c r="G12" s="64" t="str">
        <f>_xlfn.XLOOKUP($B12,'PP2'!$C$6:$C$150,'PP2'!$B$6:$B$150,"")</f>
        <v/>
      </c>
      <c r="H12" s="119">
        <f>_xlfn.XLOOKUP(G12,'PP2'!$B$6:$B$75,'PP2'!$A$6:$A$75,0)</f>
        <v>0</v>
      </c>
      <c r="I12" s="115">
        <f>_xlfn.XLOOKUP($B12,'PP3'!$C$6:$C$150,'PP3'!$B$6:$B$150,"")</f>
        <v>8</v>
      </c>
      <c r="J12" s="119">
        <f>_xlfn.XLOOKUP(I12,'PP3'!$B$6:$B$75,'PP3'!$A$6:$A$75,0)</f>
        <v>35.394889735104179</v>
      </c>
      <c r="K12" s="115">
        <f>_xlfn.XLOOKUP($B12,'PP4'!$C$6:$C$150,'PP4'!$B$6:$B$150,"")</f>
        <v>3</v>
      </c>
      <c r="L12" s="119">
        <f>_xlfn.XLOOKUP(K12,'PP4'!$B$6:$B$75,'PP4'!$A$6:$A$75,0)</f>
        <v>40.112279154887787</v>
      </c>
      <c r="M12" s="115">
        <f>_xlfn.XLOOKUP($B12,'PP5'!$C$6:$C$150,'PP5'!$B$6:$B$150,"")</f>
        <v>3</v>
      </c>
      <c r="N12" s="119">
        <f>_xlfn.XLOOKUP(M12,'PP5'!$B$6:$B$75,'PP5'!$A$6:$A$75,0)</f>
        <v>15.930621888236271</v>
      </c>
      <c r="O12" s="64" t="str">
        <f>_xlfn.XLOOKUP(B12,MPW!C$6:C$150,MPW!B$6:B$150,"")</f>
        <v/>
      </c>
      <c r="P12" s="119">
        <f>_xlfn.XLOOKUP(O12,MPW!B$6:B$75,MPW!A$6:A$75,0)</f>
        <v>0</v>
      </c>
      <c r="R12" s="63" t="str">
        <f>_xlfn.XLOOKUP($B12,'PEW1'!$C$6:$C$150,'PEW1'!$B$6:$B$150,"")</f>
        <v/>
      </c>
      <c r="S12" s="71">
        <f>_xlfn.XLOOKUP(R12,'PEW1'!$B$6:$B$75,'PEW1'!$A$6:$A$75,0)</f>
        <v>0</v>
      </c>
      <c r="T12" s="63" t="str">
        <f>_xlfn.XLOOKUP($B12,'PEW2'!$C$6:$C$150,'PEW2'!$B$6:$B$150,"")</f>
        <v/>
      </c>
      <c r="U12" s="71">
        <f>_xlfn.XLOOKUP(T12,'PEW2'!$B$6:$B$75,'PEW2'!$A$6:$A$75,0)</f>
        <v>0</v>
      </c>
      <c r="V12" s="63" t="str">
        <f>_xlfn.XLOOKUP($B12,'PEW3'!$C$6:$C$150,'PEW3'!$B$6:$B$150,"")</f>
        <v/>
      </c>
      <c r="W12" s="71">
        <f>_xlfn.XLOOKUP(V12,'PEW3'!$B$6:$B$75,'PEW3'!$A$6:$A$75,0)</f>
        <v>0</v>
      </c>
      <c r="X12" s="63" t="str">
        <f>_xlfn.XLOOKUP($B12,'PEW4'!$C$6:$C$150,'PEW4'!$B$6:$B$150,"")</f>
        <v/>
      </c>
      <c r="Y12" s="71">
        <f>_xlfn.XLOOKUP(X12,'PEW4'!$B$6:$B$75,'PEW4'!$A$6:$A$75,0)</f>
        <v>0</v>
      </c>
      <c r="Z12" s="63" t="str">
        <f>_xlfn.XLOOKUP($B12,'PEW5'!$C$6:$C$150,'PEW5'!$B$6:$B$150,"")</f>
        <v/>
      </c>
      <c r="AA12" s="71">
        <f>_xlfn.XLOOKUP(Z12,'PEW5'!$B$6:$B$75,'PEW5'!$A$6:$A$75,0)</f>
        <v>0</v>
      </c>
      <c r="AB12" s="63" t="str">
        <f>_xlfn.XLOOKUP($B12,'PEW6'!$C$6:$C$150,'PEW6'!$B$6:$B$150,"")</f>
        <v/>
      </c>
      <c r="AC12" s="71">
        <f>_xlfn.XLOOKUP(AB12,'PEW6'!$B$6:$B$75,'PEW6'!$A$6:$A$75,0)</f>
        <v>0</v>
      </c>
      <c r="AD12" s="63" t="str">
        <f>_xlfn.XLOOKUP($B12,'PEW7'!$C$6:$C$150,'PEW7'!$B$6:$B$150,"")</f>
        <v/>
      </c>
      <c r="AE12" s="71">
        <f>_xlfn.XLOOKUP(AD12,'PEW7'!$B$6:$B$75,'PEW7'!$A$6:$A$75,0)</f>
        <v>0</v>
      </c>
      <c r="AF12" s="63" t="str">
        <f>_xlfn.XLOOKUP($B12,PS!$C$6:$C$150,PS!$B$6:$B$150,"")</f>
        <v/>
      </c>
      <c r="AG12" s="71">
        <f>_xlfn.XLOOKUP(AF12,PS!$B$6:$B$75,PS!$A$6:$A$75,0)</f>
        <v>0</v>
      </c>
      <c r="AH12" s="63" t="str">
        <f>_xlfn.XLOOKUP($B12,IMEW!$C$6:$C$150,IMEW!$B$6:$B$150,"")</f>
        <v/>
      </c>
      <c r="AI12" s="71">
        <f>_xlfn.XLOOKUP(AH12,IMEW!$B$6:$B$75,IMEW!$A$6:$A$75,0)</f>
        <v>0</v>
      </c>
      <c r="AJ12" s="63" t="str" cm="1">
        <f t="array" ref="AJ12">_xlfn.XLOOKUP($B12,IMSW!C$6:C$201,IMSW!$B$6:B$201,"")</f>
        <v/>
      </c>
      <c r="AK12" s="72">
        <f>_xlfn.XLOOKUP(AJ12,IMSW!$B$6:$B$201,IMSW!$A$6:$A$201,0)</f>
        <v>0</v>
      </c>
      <c r="AM12" s="275" cm="1">
        <f t="array" ref="AM12">IF(AY12&gt;=150,SUM(AR12,AS12,AT12,AU12,AY12)+SUM(LARGE((AV12,AW12,AZ12,BA12,BB12),{1;2;3})),
        IF(AY12+AZ12&gt;=150,SUM(AR12,AS12,AT12,AU12,AY12,AZ12)+SUM(LARGE((AV12,AW12,BA12,BB12),{1;2})),
               IF(AY12+AZ12+BA12&gt;=150,SUM(AR12,AS12,AT12,AU12,AY12,AZ12,BA12)+SUM(LARGE((AV12,AW12,BB12),1)),
                      IF(AY12+AZ12+BA12+BB12&gt;=150,SUM(AR12,AS12,AT12,AU12,AY12,AZ12,BA12,BB12),0)
                     )
              )
       )</f>
        <v>0</v>
      </c>
      <c r="AN12" s="275" cm="1">
        <f t="array" ref="AN12">IF(AY12&gt;=75,SUM(AR12,AS12,AT12,AU12,AY12)+SUM(LARGE((AV12,AW12,AZ12,BA12,BB12),{1;2;3})),
        IF(AY12+AZ12&gt;=75,SUM(AR12,AS12,AT12,AU12,AY12,AZ12)+SUM(LARGE((AV12,AW12,BA12,BB12),{1;2})),
               IF(AY12+AZ12+BA12&gt;=75,SUM(AR12,AS12,AT12,AU12,AY12,AZ12,BA12)+SUM(LARGE((AV12,AW12,BB12),1)),
                      IF(AY12+AZ12+BA12+BB12&gt;=75,SUM(AR12,AS12,AT12,AU12,AY12,AZ12,BA12,BB12),0)
                     )
              )
       )</f>
        <v>0</v>
      </c>
      <c r="AO12" s="275" cm="1">
        <f t="array" ref="AO12">SUM(AR12:AT12)+SUM(LARGE((AU12:BC12),{1;2;3;4;5}))</f>
        <v>91.437790778228234</v>
      </c>
      <c r="AP12" s="275" cm="1">
        <f t="array" ref="AP12">SUM(LARGE((AR12:BF12),{1;2;3;4;5;6;7;8}))</f>
        <v>91.437790778228234</v>
      </c>
      <c r="AQ12" s="275"/>
      <c r="AR12" s="275">
        <f>LARGE((F12,H12,J12,L12,N12,P12),1)</f>
        <v>40.112279154887787</v>
      </c>
      <c r="AS12" s="275">
        <f>LARGE((F12,H12,J12,L12,N12,P12),2)</f>
        <v>35.394889735104179</v>
      </c>
      <c r="AT12" s="275">
        <f>LARGE((F12,H12,J12,L12,N12,P12),3)</f>
        <v>15.930621888236271</v>
      </c>
      <c r="AU12" s="275">
        <f>LARGE((F12,H12,J12,L12,N12,P12),4)</f>
        <v>0</v>
      </c>
      <c r="AV12" s="275">
        <f>LARGE((F12,H12,J12,L12,N12,P12),5)</f>
        <v>0</v>
      </c>
      <c r="AW12" s="275">
        <f>LARGE((F12,H12,J12,L12,N12,P12),6)</f>
        <v>0</v>
      </c>
      <c r="AY12" s="275">
        <f>LARGE((S12,U12,W12,Y12,AA12,AC12,AE12,AG12,AI12,AK12),1)</f>
        <v>0</v>
      </c>
      <c r="AZ12" s="275">
        <f>LARGE((S12,U12,W12,Y12,AA12,AC12,AE12,AG12,AI12,AK12),2)</f>
        <v>0</v>
      </c>
      <c r="BA12" s="275">
        <f>LARGE((S12,U12,W12,Y12,AA12,AC12,AE12,AG12,AI12,AK12),3)</f>
        <v>0</v>
      </c>
      <c r="BB12" s="275">
        <f>LARGE((S12,U12,W12,Y12,AA12,AC12,AE12,AG12,AI12,AK12),4)</f>
        <v>0</v>
      </c>
      <c r="BC12" s="275">
        <f>LARGE((S12,U12,W12,Y12,AA12,AC12,AE12,AG12,AI12,AK12),5)</f>
        <v>0</v>
      </c>
      <c r="BD12" s="275">
        <f>LARGE((S12,U12,W12,Y12,AA12,AC12,AE12,AG12,AI12,AK12),6)</f>
        <v>0</v>
      </c>
      <c r="BE12" s="275">
        <f>LARGE((S12,U12,W12,Y12,AA12,AC12,AE12,AG12,AI12,AK12),7)</f>
        <v>0</v>
      </c>
      <c r="BF12" s="275">
        <f>LARGE((S12,U12,W12,Y12,AA12,AC12,AE12,AG12,AI12,AK12),8)</f>
        <v>0</v>
      </c>
      <c r="BG12" s="275">
        <f>LARGE((S12,U12,W12,Y12,AA12,AC12,AE12,AG12,AI12,AK12),9)</f>
        <v>0</v>
      </c>
    </row>
    <row r="13" spans="1:59" ht="14.85" customHeight="1">
      <c r="A13" s="54">
        <f>ROW()-5</f>
        <v>8</v>
      </c>
      <c r="B13" s="51" t="s">
        <v>28</v>
      </c>
      <c r="C13" s="272" t="str" cm="1">
        <f t="array" ref="C13">IF(AND(COUNTIF(E13:P13,"")&lt;3,SUM(LARGE((S13,U13,W13,Y13,AA13,AC13,AE13,AG13,AI13,AK13),{1;2;3;4}))&gt;=150),"kadra A",
IF(AND(COUNTIF(E13:P13,"")&lt;3,SUM(LARGE((S13,U13,W13,Y13,AA13,AC13,AE13,AG13,AI13,AK13),{1;2;3;4}))&gt;=75),"kadra B",
IF(COUNTIF(E13:P13,"")&lt;4,"kadra C",
IF(B13="","","kadra D")
)))</f>
        <v>kadra C</v>
      </c>
      <c r="D13" s="273">
        <f>IF(C13="kadra A",AM13,IF(C13="kadra B",AN13,IF(C13="kadra C",AO13,IF(C13="kadra D",AP13,0))))</f>
        <v>91.169644049027838</v>
      </c>
      <c r="E13" s="64">
        <f>_xlfn.XLOOKUP($B13,'PP1'!$C$6:$C$150,'PP1'!$B$6:$B$150,"")</f>
        <v>6</v>
      </c>
      <c r="F13" s="117">
        <f>_xlfn.XLOOKUP(E13,'PP1'!$B$6:$B$75,'PP1'!$A$6:$A$75,0)</f>
        <v>7.7789458215544443</v>
      </c>
      <c r="G13" s="64">
        <f>_xlfn.XLOOKUP($B13,'PP2'!$C$6:$C$150,'PP2'!$B$6:$B$150,"")</f>
        <v>6</v>
      </c>
      <c r="H13" s="119">
        <f>_xlfn.XLOOKUP(G13,'PP2'!$B$6:$B$75,'PP2'!$A$6:$A$75,0)</f>
        <v>7.7789458215544443</v>
      </c>
      <c r="I13" s="115">
        <f>_xlfn.XLOOKUP($B13,'PP3'!$C$6:$C$150,'PP3'!$B$6:$B$150,"")</f>
        <v>17</v>
      </c>
      <c r="J13" s="119">
        <f>_xlfn.XLOOKUP(I13,'PP3'!$B$6:$B$75,'PP3'!$A$6:$A$75,0)</f>
        <v>2.8509658916225433</v>
      </c>
      <c r="K13" s="115">
        <f>_xlfn.XLOOKUP($B13,'PP4'!$C$6:$C$150,'PP4'!$B$6:$B$150,"")</f>
        <v>5</v>
      </c>
      <c r="L13" s="119">
        <f>_xlfn.XLOOKUP(K13,'PP4'!$B$6:$B$75,'PP4'!$A$6:$A$75,0)</f>
        <v>12.07517445017308</v>
      </c>
      <c r="M13" s="115" t="str">
        <f>_xlfn.XLOOKUP($B13,'PP5'!$C$6:$C$150,'PP5'!$B$6:$B$150,"")</f>
        <v/>
      </c>
      <c r="N13" s="119">
        <f>_xlfn.XLOOKUP(M13,'PP5'!$B$6:$B$75,'PP5'!$A$6:$A$75,0)</f>
        <v>0</v>
      </c>
      <c r="O13" s="64">
        <f>_xlfn.XLOOKUP(B13,MPW!C$6:C$150,MPW!B$6:B$150,"")</f>
        <v>6</v>
      </c>
      <c r="P13" s="119">
        <f>_xlfn.XLOOKUP(O13,MPW!B$6:B$75,MPW!A$6:A$75,0)</f>
        <v>1.2</v>
      </c>
      <c r="R13" s="63" t="str">
        <f>_xlfn.XLOOKUP($B13,'PEW1'!$C$6:$C$150,'PEW1'!$B$6:$B$150,"")</f>
        <v/>
      </c>
      <c r="S13" s="71">
        <f>_xlfn.XLOOKUP(R13,'PEW1'!$B$6:$B$75,'PEW1'!$A$6:$A$75,0)</f>
        <v>0</v>
      </c>
      <c r="T13" s="63">
        <f>_xlfn.XLOOKUP($B13,'PEW2'!$C$6:$C$150,'PEW2'!$B$6:$B$150,"")</f>
        <v>24</v>
      </c>
      <c r="U13" s="71">
        <f>_xlfn.XLOOKUP(T13,'PEW2'!$B$6:$B$75,'PEW2'!$A$6:$A$75,0)</f>
        <v>15.462805399529465</v>
      </c>
      <c r="V13" s="63">
        <f>_xlfn.XLOOKUP($B13,'PEW3'!$C$6:$C$150,'PEW3'!$B$6:$B$150,"")</f>
        <v>39</v>
      </c>
      <c r="W13" s="71">
        <f>_xlfn.XLOOKUP(V13,'PEW3'!$B$6:$B$75,'PEW3'!$A$6:$A$75,0)</f>
        <v>4.7855612209265814</v>
      </c>
      <c r="X13" s="63">
        <f>_xlfn.XLOOKUP($B13,'PEW4'!$C$6:$C$150,'PEW4'!$B$6:$B$150,"")</f>
        <v>31</v>
      </c>
      <c r="Y13" s="71">
        <f>_xlfn.XLOOKUP(X13,'PEW4'!$B$6:$B$75,'PEW4'!$A$6:$A$75,0)</f>
        <v>19.540730131840519</v>
      </c>
      <c r="Z13" s="63">
        <f>_xlfn.XLOOKUP($B13,'PEW5'!$C$6:$C$150,'PEW5'!$B$6:$B$150,"")</f>
        <v>22</v>
      </c>
      <c r="AA13" s="71">
        <f>_xlfn.XLOOKUP(Z13,'PEW5'!$B$6:$B$75,'PEW5'!$A$6:$A$75,0)</f>
        <v>5.8935222540335985</v>
      </c>
      <c r="AB13" s="63">
        <f>_xlfn.XLOOKUP($B13,'PEW6'!$C$6:$C$150,'PEW6'!$B$6:$B$150,"")</f>
        <v>35</v>
      </c>
      <c r="AC13" s="71">
        <f>_xlfn.XLOOKUP(AB13,'PEW6'!$B$6:$B$75,'PEW6'!$A$6:$A$75,0)</f>
        <v>4.2349616018906389</v>
      </c>
      <c r="AD13" s="63" t="str">
        <f>_xlfn.XLOOKUP($B13,'PEW7'!$C$6:$C$150,'PEW7'!$B$6:$B$150,"")</f>
        <v/>
      </c>
      <c r="AE13" s="71">
        <f>_xlfn.XLOOKUP(AD13,'PEW7'!$B$6:$B$75,'PEW7'!$A$6:$A$75,0)</f>
        <v>0</v>
      </c>
      <c r="AF13" s="63">
        <f>_xlfn.XLOOKUP($B13,PS!$C$6:$C$150,PS!$B$6:$B$150,"")</f>
        <v>41</v>
      </c>
      <c r="AG13" s="71">
        <f>_xlfn.XLOOKUP(AF13,PS!$B$6:$B$75,PS!$A$6:$A$75,0)</f>
        <v>17.853958949415706</v>
      </c>
      <c r="AH13" s="63">
        <f>_xlfn.XLOOKUP($B13,IMEW!$C$6:$C$150,IMEW!$B$6:$B$150,"")</f>
        <v>78</v>
      </c>
      <c r="AI13" s="71">
        <f>_xlfn.XLOOKUP(AH13,IMEW!$B$6:$B$75,IMEW!$A$6:$A$75,0)</f>
        <v>0</v>
      </c>
      <c r="AJ13" s="63" t="str" cm="1">
        <f t="array" ref="AJ13">_xlfn.XLOOKUP($B13,IMSW!C$6:C$201,IMSW!$B$6:B$201,"")</f>
        <v/>
      </c>
      <c r="AK13" s="72">
        <f>_xlfn.XLOOKUP(AJ13,IMSW!$B$6:$B$201,IMSW!$A$6:$A$201,0)</f>
        <v>0</v>
      </c>
      <c r="AM13" s="275" cm="1">
        <f t="array" ref="AM13">IF(AY13&gt;=150,SUM(AR13,AS13,AT13,AU13,AY13)+SUM(LARGE((AV13,AW13,AZ13,BA13,BB13),{1;2;3})),
        IF(AY13+AZ13&gt;=150,SUM(AR13,AS13,AT13,AU13,AY13,AZ13)+SUM(LARGE((AV13,AW13,BA13,BB13),{1;2})),
               IF(AY13+AZ13+BA13&gt;=150,SUM(AR13,AS13,AT13,AU13,AY13,AZ13,BA13)+SUM(LARGE((AV13,AW13,BB13),1)),
                      IF(AY13+AZ13+BA13+BB13&gt;=150,SUM(AR13,AS13,AT13,AU13,AY13,AZ13,BA13,BB13),0)
                     )
              )
       )</f>
        <v>0</v>
      </c>
      <c r="AN13" s="275" cm="1">
        <f t="array" ref="AN13">IF(AY13&gt;=75,SUM(AR13,AS13,AT13,AU13,AY13)+SUM(LARGE((AV13,AW13,AZ13,BA13,BB13),{1;2;3})),
        IF(AY13+AZ13&gt;=75,SUM(AR13,AS13,AT13,AU13,AY13,AZ13)+SUM(LARGE((AV13,AW13,BA13,BB13),{1;2})),
               IF(AY13+AZ13+BA13&gt;=75,SUM(AR13,AS13,AT13,AU13,AY13,AZ13,BA13)+SUM(LARGE((AV13,AW13,BB13),1)),
                      IF(AY13+AZ13+BA13+BB13&gt;=75,SUM(AR13,AS13,AT13,AU13,AY13,AZ13,BA13,BB13),0)
                     )
              )
       )</f>
        <v>0</v>
      </c>
      <c r="AO13" s="275" cm="1">
        <f t="array" ref="AO13">SUM(AR13:AT13)+SUM(LARGE((AU13:BC13),{1;2;3;4;5}))</f>
        <v>91.169644049027838</v>
      </c>
      <c r="AP13" s="275" cm="1">
        <f t="array" ref="AP13">SUM(LARGE((AR13:BF13),{1;2;3;4;5;6;7;8}))</f>
        <v>91.169644049027838</v>
      </c>
      <c r="AQ13" s="275"/>
      <c r="AR13" s="275">
        <f>LARGE((F13,H13,J13,L13,N13,P13),1)</f>
        <v>12.07517445017308</v>
      </c>
      <c r="AS13" s="275">
        <f>LARGE((F13,H13,J13,L13,N13,P13),2)</f>
        <v>7.7789458215544443</v>
      </c>
      <c r="AT13" s="275">
        <f>LARGE((F13,H13,J13,L13,N13,P13),3)</f>
        <v>7.7789458215544443</v>
      </c>
      <c r="AU13" s="275">
        <f>LARGE((F13,H13,J13,L13,N13,P13),4)</f>
        <v>2.8509658916225433</v>
      </c>
      <c r="AV13" s="275">
        <f>LARGE((F13,H13,J13,L13,N13,P13),5)</f>
        <v>1.2</v>
      </c>
      <c r="AW13" s="275">
        <f>LARGE((F13,H13,J13,L13,N13,P13),6)</f>
        <v>0</v>
      </c>
      <c r="AY13" s="275">
        <f>LARGE((S13,U13,W13,Y13,AA13,AC13,AE13,AG13,AI13,AK13),1)</f>
        <v>19.540730131840519</v>
      </c>
      <c r="AZ13" s="275">
        <f>LARGE((S13,U13,W13,Y13,AA13,AC13,AE13,AG13,AI13,AK13),2)</f>
        <v>17.853958949415706</v>
      </c>
      <c r="BA13" s="275">
        <f>LARGE((S13,U13,W13,Y13,AA13,AC13,AE13,AG13,AI13,AK13),3)</f>
        <v>15.462805399529465</v>
      </c>
      <c r="BB13" s="275">
        <f>LARGE((S13,U13,W13,Y13,AA13,AC13,AE13,AG13,AI13,AK13),4)</f>
        <v>5.8935222540335985</v>
      </c>
      <c r="BC13" s="275">
        <f>LARGE((S13,U13,W13,Y13,AA13,AC13,AE13,AG13,AI13,AK13),5)</f>
        <v>4.7855612209265814</v>
      </c>
      <c r="BD13" s="275">
        <f>LARGE((S13,U13,W13,Y13,AA13,AC13,AE13,AG13,AI13,AK13),6)</f>
        <v>4.2349616018906389</v>
      </c>
      <c r="BE13" s="275">
        <f>LARGE((S13,U13,W13,Y13,AA13,AC13,AE13,AG13,AI13,AK13),7)</f>
        <v>0</v>
      </c>
      <c r="BF13" s="275">
        <f>LARGE((S13,U13,W13,Y13,AA13,AC13,AE13,AG13,AI13,AK13),8)</f>
        <v>0</v>
      </c>
      <c r="BG13" s="275">
        <f>LARGE((S13,U13,W13,Y13,AA13,AC13,AE13,AG13,AI13,AK13),9)</f>
        <v>0</v>
      </c>
    </row>
    <row r="14" spans="1:59" ht="14.85" customHeight="1">
      <c r="A14" s="54">
        <f>ROW()-5</f>
        <v>9</v>
      </c>
      <c r="B14" s="51" t="s">
        <v>29</v>
      </c>
      <c r="C14" s="272" t="str" cm="1">
        <f t="array" ref="C14">IF(AND(COUNTIF(E14:P14,"")&lt;3,SUM(LARGE((S14,U14,W14,Y14,AA14,AC14,AE14,AG14,AI14,AK14),{1;2;3;4}))&gt;=150),"kadra A",
IF(AND(COUNTIF(E14:P14,"")&lt;3,SUM(LARGE((S14,U14,W14,Y14,AA14,AC14,AE14,AG14,AI14,AK14),{1;2;3;4}))&gt;=75),"kadra B",
IF(COUNTIF(E14:P14,"")&lt;4,"kadra C",
IF(B14="","","kadra D")
)))</f>
        <v>kadra C</v>
      </c>
      <c r="D14" s="273">
        <f>IF(C14="kadra A",AM14,IF(C14="kadra B",AN14,IF(C14="kadra C",AO14,IF(C14="kadra D",AP14,0))))</f>
        <v>37.786749865211753</v>
      </c>
      <c r="E14" s="64">
        <f>_xlfn.XLOOKUP($B14,'PP1'!$C$6:$C$150,'PP1'!$B$6:$B$150,"")</f>
        <v>7</v>
      </c>
      <c r="F14" s="117">
        <f>_xlfn.XLOOKUP(E14,'PP1'!$B$6:$B$75,'PP1'!$A$6:$A$75,0)</f>
        <v>4.1465362730591337</v>
      </c>
      <c r="G14" s="64">
        <f>_xlfn.XLOOKUP($B14,'PP2'!$C$6:$C$150,'PP2'!$B$6:$B$150,"")</f>
        <v>5</v>
      </c>
      <c r="H14" s="119">
        <f>_xlfn.XLOOKUP(G14,'PP2'!$B$6:$B$75,'PP2'!$A$6:$A$75,0)</f>
        <v>12.07517445017308</v>
      </c>
      <c r="I14" s="115">
        <f>_xlfn.XLOOKUP($B14,'PP3'!$C$6:$C$150,'PP3'!$B$6:$B$150,"")</f>
        <v>16</v>
      </c>
      <c r="J14" s="119">
        <f>_xlfn.XLOOKUP(I14,'PP3'!$B$6:$B$75,'PP3'!$A$6:$A$75,0)</f>
        <v>13.859852980138903</v>
      </c>
      <c r="K14" s="115">
        <f>_xlfn.XLOOKUP($B14,'PP4'!$C$6:$C$150,'PP4'!$B$6:$B$150,"")</f>
        <v>8</v>
      </c>
      <c r="L14" s="119">
        <f>_xlfn.XLOOKUP(K14,'PP4'!$B$6:$B$75,'PP4'!$A$6:$A$75,0)</f>
        <v>1</v>
      </c>
      <c r="M14" s="115">
        <f>_xlfn.XLOOKUP($B14,'PP5'!$C$6:$C$150,'PP5'!$B$6:$B$150,"")</f>
        <v>4</v>
      </c>
      <c r="N14" s="119">
        <f>_xlfn.XLOOKUP(M14,'PP5'!$B$6:$B$75,'PP5'!$A$6:$A$75,0)</f>
        <v>1</v>
      </c>
      <c r="O14" s="64" t="str">
        <f>_xlfn.XLOOKUP(B14,MPW!C$6:C$150,MPW!B$6:B$150,"")</f>
        <v/>
      </c>
      <c r="P14" s="119">
        <f>_xlfn.XLOOKUP(O14,MPW!B$6:B$75,MPW!A$6:A$75,0)</f>
        <v>0</v>
      </c>
      <c r="R14" s="63">
        <f>_xlfn.XLOOKUP($B14,'PEW1'!$C$6:$C$150,'PEW1'!$B$6:$B$150,"")</f>
        <v>43</v>
      </c>
      <c r="S14" s="71">
        <f>_xlfn.XLOOKUP(R14,'PEW1'!$B$6:$B$75,'PEW1'!$A$6:$A$75,0)</f>
        <v>4.4159117804868728</v>
      </c>
      <c r="T14" s="63" t="str">
        <f>_xlfn.XLOOKUP($B14,'PEW2'!$C$6:$C$150,'PEW2'!$B$6:$B$150,"")</f>
        <v/>
      </c>
      <c r="U14" s="71">
        <f>_xlfn.XLOOKUP(T14,'PEW2'!$B$6:$B$75,'PEW2'!$A$6:$A$75,0)</f>
        <v>0</v>
      </c>
      <c r="V14" s="63" t="str">
        <f>_xlfn.XLOOKUP($B14,'PEW3'!$C$6:$C$150,'PEW3'!$B$6:$B$150,"")</f>
        <v/>
      </c>
      <c r="W14" s="71">
        <f>_xlfn.XLOOKUP(V14,'PEW3'!$B$6:$B$75,'PEW3'!$A$6:$A$75,0)</f>
        <v>0</v>
      </c>
      <c r="X14" s="63" t="str">
        <f>_xlfn.XLOOKUP($B14,'PEW4'!$C$6:$C$150,'PEW4'!$B$6:$B$150,"")</f>
        <v/>
      </c>
      <c r="Y14" s="71">
        <f>_xlfn.XLOOKUP(X14,'PEW4'!$B$6:$B$75,'PEW4'!$A$6:$A$75,0)</f>
        <v>0</v>
      </c>
      <c r="Z14" s="63" t="str">
        <f>_xlfn.XLOOKUP($B14,'PEW5'!$C$6:$C$150,'PEW5'!$B$6:$B$150,"")</f>
        <v/>
      </c>
      <c r="AA14" s="71">
        <f>_xlfn.XLOOKUP(Z14,'PEW5'!$B$6:$B$75,'PEW5'!$A$6:$A$75,0)</f>
        <v>0</v>
      </c>
      <c r="AB14" s="63">
        <f>_xlfn.XLOOKUP($B14,'PEW6'!$C$6:$C$150,'PEW6'!$B$6:$B$150,"")</f>
        <v>44</v>
      </c>
      <c r="AC14" s="71">
        <f>_xlfn.XLOOKUP(AB14,'PEW6'!$B$6:$B$75,'PEW6'!$A$6:$A$75,0)</f>
        <v>1.2892743813537635</v>
      </c>
      <c r="AD14" s="63" t="str">
        <f>_xlfn.XLOOKUP($B14,'PEW7'!$C$6:$C$150,'PEW7'!$B$6:$B$150,"")</f>
        <v/>
      </c>
      <c r="AE14" s="71">
        <f>_xlfn.XLOOKUP(AD14,'PEW7'!$B$6:$B$75,'PEW7'!$A$6:$A$75,0)</f>
        <v>0</v>
      </c>
      <c r="AF14" s="63" t="str">
        <f>_xlfn.XLOOKUP($B14,PS!$C$6:$C$150,PS!$B$6:$B$150,"")</f>
        <v/>
      </c>
      <c r="AG14" s="71">
        <f>_xlfn.XLOOKUP(AF14,PS!$B$6:$B$75,PS!$A$6:$A$75,0)</f>
        <v>0</v>
      </c>
      <c r="AH14" s="63" t="str">
        <f>_xlfn.XLOOKUP($B14,IMEW!$C$6:$C$150,IMEW!$B$6:$B$150,"")</f>
        <v/>
      </c>
      <c r="AI14" s="71">
        <f>_xlfn.XLOOKUP(AH14,IMEW!$B$6:$B$75,IMEW!$A$6:$A$75,0)</f>
        <v>0</v>
      </c>
      <c r="AJ14" s="63" t="str" cm="1">
        <f t="array" ref="AJ14">_xlfn.XLOOKUP($B14,IMSW!C$6:C$201,IMSW!$B$6:B$201,"")</f>
        <v/>
      </c>
      <c r="AK14" s="72">
        <f>_xlfn.XLOOKUP(AJ14,IMSW!$B$6:$B$201,IMSW!$A$6:$A$201,0)</f>
        <v>0</v>
      </c>
      <c r="AM14" s="275" cm="1">
        <f t="array" ref="AM14">IF(AY14&gt;=150,SUM(AR14,AS14,AT14,AU14,AY14)+SUM(LARGE((AV14,AW14,AZ14,BA14,BB14),{1;2;3})),
        IF(AY14+AZ14&gt;=150,SUM(AR14,AS14,AT14,AU14,AY14,AZ14)+SUM(LARGE((AV14,AW14,BA14,BB14),{1;2})),
               IF(AY14+AZ14+BA14&gt;=150,SUM(AR14,AS14,AT14,AU14,AY14,AZ14,BA14)+SUM(LARGE((AV14,AW14,BB14),1)),
                      IF(AY14+AZ14+BA14+BB14&gt;=150,SUM(AR14,AS14,AT14,AU14,AY14,AZ14,BA14,BB14),0)
                     )
              )
       )</f>
        <v>0</v>
      </c>
      <c r="AN14" s="275" cm="1">
        <f t="array" ref="AN14">IF(AY14&gt;=75,SUM(AR14,AS14,AT14,AU14,AY14)+SUM(LARGE((AV14,AW14,AZ14,BA14,BB14),{1;2;3})),
        IF(AY14+AZ14&gt;=75,SUM(AR14,AS14,AT14,AU14,AY14,AZ14)+SUM(LARGE((AV14,AW14,BA14,BB14),{1;2})),
               IF(AY14+AZ14+BA14&gt;=75,SUM(AR14,AS14,AT14,AU14,AY14,AZ14,BA14)+SUM(LARGE((AV14,AW14,BB14),1)),
                      IF(AY14+AZ14+BA14+BB14&gt;=75,SUM(AR14,AS14,AT14,AU14,AY14,AZ14,BA14,BB14),0)
                     )
              )
       )</f>
        <v>0</v>
      </c>
      <c r="AO14" s="275" cm="1">
        <f t="array" ref="AO14">SUM(AR14:AT14)+SUM(LARGE((AU14:BC14),{1;2;3;4;5}))</f>
        <v>37.786749865211753</v>
      </c>
      <c r="AP14" s="275" cm="1">
        <f t="array" ref="AP14">SUM(LARGE((AR14:BF14),{1;2;3;4;5;6;7;8}))</f>
        <v>37.786749865211753</v>
      </c>
      <c r="AQ14" s="275"/>
      <c r="AR14" s="275">
        <f>LARGE((F14,H14,J14,L14,N14,P14),1)</f>
        <v>13.859852980138903</v>
      </c>
      <c r="AS14" s="275">
        <f>LARGE((F14,H14,J14,L14,N14,P14),2)</f>
        <v>12.07517445017308</v>
      </c>
      <c r="AT14" s="275">
        <f>LARGE((F14,H14,J14,L14,N14,P14),3)</f>
        <v>4.1465362730591337</v>
      </c>
      <c r="AU14" s="275">
        <f>LARGE((F14,H14,J14,L14,N14,P14),4)</f>
        <v>1</v>
      </c>
      <c r="AV14" s="275">
        <f>LARGE((F14,H14,J14,L14,N14,P14),5)</f>
        <v>1</v>
      </c>
      <c r="AW14" s="275">
        <f>LARGE((F14,H14,J14,L14,N14,P14),6)</f>
        <v>0</v>
      </c>
      <c r="AY14" s="275">
        <f>LARGE((S14,U14,W14,Y14,AA14,AC14,AE14,AG14,AI14,AK14),1)</f>
        <v>4.4159117804868728</v>
      </c>
      <c r="AZ14" s="275">
        <f>LARGE((S14,U14,W14,Y14,AA14,AC14,AE14,AG14,AI14,AK14),2)</f>
        <v>1.2892743813537635</v>
      </c>
      <c r="BA14" s="275">
        <f>LARGE((S14,U14,W14,Y14,AA14,AC14,AE14,AG14,AI14,AK14),3)</f>
        <v>0</v>
      </c>
      <c r="BB14" s="275">
        <f>LARGE((S14,U14,W14,Y14,AA14,AC14,AE14,AG14,AI14,AK14),4)</f>
        <v>0</v>
      </c>
      <c r="BC14" s="275">
        <f>LARGE((S14,U14,W14,Y14,AA14,AC14,AE14,AG14,AI14,AK14),5)</f>
        <v>0</v>
      </c>
      <c r="BD14" s="275">
        <f>LARGE((S14,U14,W14,Y14,AA14,AC14,AE14,AG14,AI14,AK14),6)</f>
        <v>0</v>
      </c>
      <c r="BE14" s="275">
        <f>LARGE((S14,U14,W14,Y14,AA14,AC14,AE14,AG14,AI14,AK14),7)</f>
        <v>0</v>
      </c>
      <c r="BF14" s="275">
        <f>LARGE((S14,U14,W14,Y14,AA14,AC14,AE14,AG14,AI14,AK14),8)</f>
        <v>0</v>
      </c>
      <c r="BG14" s="275">
        <f>LARGE((S14,U14,W14,Y14,AA14,AC14,AE14,AG14,AI14,AK14),9)</f>
        <v>0</v>
      </c>
    </row>
    <row r="15" spans="1:59" ht="14.85" customHeight="1">
      <c r="A15" s="54">
        <f>ROW()-5</f>
        <v>10</v>
      </c>
      <c r="B15" s="244" t="s">
        <v>21</v>
      </c>
      <c r="C15" s="272" t="str" cm="1">
        <f t="array" ref="C15">IF(AND(COUNTIF(E15:P15,"")&lt;3,SUM(LARGE((S15,U15,W15,Y15,AA15,AC15,AE15,AG15,AI15,AK15),{1;2;3;4}))&gt;=150),"kadra A",
IF(AND(COUNTIF(E15:P15,"")&lt;3,SUM(LARGE((S15,U15,W15,Y15,AA15,AC15,AE15,AG15,AI15,AK15),{1;2;3;4}))&gt;=75),"kadra B",
IF(COUNTIF(E15:P15,"")&lt;4,"kadra C",
IF(B15="","","kadra D")
)))</f>
        <v>kadra D</v>
      </c>
      <c r="D15" s="273">
        <f>IF(C15="kadra A",AM15,IF(C15="kadra B",AN15,IF(C15="kadra C",AO15,IF(C15="kadra D",AP15,0))))</f>
        <v>183.45597044340701</v>
      </c>
      <c r="E15" s="64" t="str">
        <f>_xlfn.XLOOKUP($B15,'PP1'!$C$6:$C$150,'PP1'!$B$6:$B$150,"")</f>
        <v/>
      </c>
      <c r="F15" s="117">
        <f>_xlfn.XLOOKUP(E15,'PP1'!$B$6:$B$75,'PP1'!$A$6:$A$75,0)</f>
        <v>0</v>
      </c>
      <c r="G15" s="64" t="str">
        <f>_xlfn.XLOOKUP($B15,'PP2'!$C$6:$C$150,'PP2'!$B$6:$B$150,"")</f>
        <v/>
      </c>
      <c r="H15" s="119">
        <f>_xlfn.XLOOKUP(G15,'PP2'!$B$6:$B$75,'PP2'!$A$6:$A$75,0)</f>
        <v>0</v>
      </c>
      <c r="I15" s="115" t="str">
        <f>_xlfn.XLOOKUP($B15,'PP3'!$C$6:$C$150,'PP3'!$B$6:$B$150,"")</f>
        <v/>
      </c>
      <c r="J15" s="119">
        <f>_xlfn.XLOOKUP(I15,'PP3'!$B$6:$B$75,'PP3'!$A$6:$A$75,0)</f>
        <v>0</v>
      </c>
      <c r="K15" s="115" t="str">
        <f>_xlfn.XLOOKUP($B15,'PP4'!$C$6:$C$150,'PP4'!$B$6:$B$150,"")</f>
        <v/>
      </c>
      <c r="L15" s="119">
        <f>_xlfn.XLOOKUP(K15,'PP4'!$B$6:$B$75,'PP4'!$A$6:$A$75,0)</f>
        <v>0</v>
      </c>
      <c r="M15" s="115" t="str">
        <f>_xlfn.XLOOKUP($B15,'PP5'!$C$6:$C$150,'PP5'!$B$6:$B$150,"")</f>
        <v>2k1</v>
      </c>
      <c r="N15" s="119">
        <f>_xlfn.XLOOKUP(M15,'PP5'!$B$6:$B$75,'PP5'!$A$6:$A$75,0)</f>
        <v>61.946936002500301</v>
      </c>
      <c r="O15" s="64" t="str">
        <f>_xlfn.XLOOKUP(B15,MPW!C$6:C$150,MPW!B$6:B$150,"")</f>
        <v>2k1</v>
      </c>
      <c r="P15" s="119">
        <f>_xlfn.XLOOKUP(O15,MPW!B$6:B$75,MPW!A$6:A$75,0)</f>
        <v>95.015644864607268</v>
      </c>
      <c r="R15" s="63" t="str">
        <f>_xlfn.XLOOKUP($B15,'PEW1'!$C$6:$C$150,'PEW1'!$B$6:$B$150,"")</f>
        <v/>
      </c>
      <c r="S15" s="71">
        <f>_xlfn.XLOOKUP(R15,'PEW1'!$B$6:$B$75,'PEW1'!$A$6:$A$75,0)</f>
        <v>0</v>
      </c>
      <c r="T15" s="63" t="str">
        <f>_xlfn.XLOOKUP($B15,'PEW2'!$C$6:$C$150,'PEW2'!$B$6:$B$150,"")</f>
        <v/>
      </c>
      <c r="U15" s="71">
        <f>_xlfn.XLOOKUP(T15,'PEW2'!$B$6:$B$75,'PEW2'!$A$6:$A$75,0)</f>
        <v>0</v>
      </c>
      <c r="V15" s="63" t="str">
        <f>_xlfn.XLOOKUP($B15,'PEW3'!$C$6:$C$150,'PEW3'!$B$6:$B$150,"")</f>
        <v/>
      </c>
      <c r="W15" s="71">
        <f>_xlfn.XLOOKUP(V15,'PEW3'!$B$6:$B$75,'PEW3'!$A$6:$A$75,0)</f>
        <v>0</v>
      </c>
      <c r="X15" s="63" t="str">
        <f>_xlfn.XLOOKUP($B15,'PEW4'!$C$6:$C$150,'PEW4'!$B$6:$B$150,"")</f>
        <v/>
      </c>
      <c r="Y15" s="71">
        <f>_xlfn.XLOOKUP(X15,'PEW4'!$B$6:$B$75,'PEW4'!$A$6:$A$75,0)</f>
        <v>0</v>
      </c>
      <c r="Z15" s="63" t="str">
        <f>_xlfn.XLOOKUP($B15,'PEW5'!$C$6:$C$150,'PEW5'!$B$6:$B$150,"")</f>
        <v/>
      </c>
      <c r="AA15" s="71">
        <f>_xlfn.XLOOKUP(Z15,'PEW5'!$B$6:$B$75,'PEW5'!$A$6:$A$75,0)</f>
        <v>0</v>
      </c>
      <c r="AB15" s="63" t="str">
        <f>_xlfn.XLOOKUP($B15,'PEW6'!$C$6:$C$150,'PEW6'!$B$6:$B$150,"")</f>
        <v>10k1</v>
      </c>
      <c r="AC15" s="71">
        <f>_xlfn.XLOOKUP(AB15,'PEW6'!$B$6:$B$75,'PEW6'!$A$6:$A$75,0)</f>
        <v>26.493389576299435</v>
      </c>
      <c r="AD15" s="63" t="str">
        <f>_xlfn.XLOOKUP($B15,'PEW7'!$C$6:$C$150,'PEW7'!$B$6:$B$150,"")</f>
        <v/>
      </c>
      <c r="AE15" s="71">
        <f>_xlfn.XLOOKUP(AD15,'PEW7'!$B$6:$B$75,'PEW7'!$A$6:$A$75,0)</f>
        <v>0</v>
      </c>
      <c r="AF15" s="63" t="str">
        <f>_xlfn.XLOOKUP($B15,PS!$C$6:$C$150,PS!$B$6:$B$150,"")</f>
        <v/>
      </c>
      <c r="AG15" s="71">
        <f>_xlfn.XLOOKUP(AF15,PS!$B$6:$B$75,PS!$A$6:$A$75,0)</f>
        <v>0</v>
      </c>
      <c r="AH15" s="63" t="str">
        <f>_xlfn.XLOOKUP($B15,IMEW!$C$6:$C$150,IMEW!$B$6:$B$150,"")</f>
        <v/>
      </c>
      <c r="AI15" s="71">
        <f>_xlfn.XLOOKUP(AH15,IMEW!$B$6:$B$75,IMEW!$A$6:$A$75,0)</f>
        <v>0</v>
      </c>
      <c r="AJ15" s="63" t="str" cm="1">
        <f t="array" ref="AJ15">_xlfn.XLOOKUP($B15,IMSW!C$6:C$201,IMSW!$B$6:B$201,"")</f>
        <v/>
      </c>
      <c r="AK15" s="72">
        <f>_xlfn.XLOOKUP(AJ15,IMSW!$B$6:$B$201,IMSW!$A$6:$A$201,0)</f>
        <v>0</v>
      </c>
      <c r="AM15" s="275" cm="1">
        <f t="array" ref="AM15">IF(AY15&gt;=150,SUM(AR15,AS15,AT15,AU15,AY15)+SUM(LARGE((AV15,AW15,AZ15,BA15,BB15),{1;2;3})),
        IF(AY15+AZ15&gt;=150,SUM(AR15,AS15,AT15,AU15,AY15,AZ15)+SUM(LARGE((AV15,AW15,BA15,BB15),{1;2})),
               IF(AY15+AZ15+BA15&gt;=150,SUM(AR15,AS15,AT15,AU15,AY15,AZ15,BA15)+SUM(LARGE((AV15,AW15,BB15),1)),
                      IF(AY15+AZ15+BA15+BB15&gt;=150,SUM(AR15,AS15,AT15,AU15,AY15,AZ15,BA15,BB15),0)
                     )
              )
       )</f>
        <v>0</v>
      </c>
      <c r="AN15" s="275" cm="1">
        <f t="array" ref="AN15">IF(AY15&gt;=75,SUM(AR15,AS15,AT15,AU15,AY15)+SUM(LARGE((AV15,AW15,AZ15,BA15,BB15),{1;2;3})),
        IF(AY15+AZ15&gt;=75,SUM(AR15,AS15,AT15,AU15,AY15,AZ15)+SUM(LARGE((AV15,AW15,BA15,BB15),{1;2})),
               IF(AY15+AZ15+BA15&gt;=75,SUM(AR15,AS15,AT15,AU15,AY15,AZ15,BA15)+SUM(LARGE((AV15,AW15,BB15),1)),
                      IF(AY15+AZ15+BA15+BB15&gt;=75,SUM(AR15,AS15,AT15,AU15,AY15,AZ15,BA15,BB15),0)
                     )
              )
       )</f>
        <v>0</v>
      </c>
      <c r="AO15" s="275" cm="1">
        <f t="array" ref="AO15">SUM(AR15:AT15)+SUM(LARGE((AU15:BC15),{1;2;3;4;5}))</f>
        <v>183.45597044340701</v>
      </c>
      <c r="AP15" s="275" cm="1">
        <f t="array" ref="AP15">SUM(LARGE((AR15:BF15),{1;2;3;4;5;6;7;8}))</f>
        <v>183.45597044340701</v>
      </c>
      <c r="AQ15" s="275"/>
      <c r="AR15" s="275">
        <f>LARGE((F15,H15,J15,L15,N15,P15),1)</f>
        <v>95.015644864607268</v>
      </c>
      <c r="AS15" s="275">
        <f>LARGE((F15,H15,J15,L15,N15,P15),2)</f>
        <v>61.946936002500301</v>
      </c>
      <c r="AT15" s="275">
        <f>LARGE((F15,H15,J15,L15,N15,P15),3)</f>
        <v>0</v>
      </c>
      <c r="AU15" s="275">
        <f>LARGE((F15,H15,J15,L15,N15,P15),4)</f>
        <v>0</v>
      </c>
      <c r="AV15" s="275">
        <f>LARGE((F15,H15,J15,L15,N15,P15),5)</f>
        <v>0</v>
      </c>
      <c r="AW15" s="275">
        <f>LARGE((F15,H15,J15,L15,N15,P15),6)</f>
        <v>0</v>
      </c>
      <c r="AY15" s="275">
        <f>LARGE((S15,U15,W15,Y15,AA15,AC15,AE15,AG15,AI15,AK15),1)</f>
        <v>26.493389576299435</v>
      </c>
      <c r="AZ15" s="275">
        <f>LARGE((S15,U15,W15,Y15,AA15,AC15,AE15,AG15,AI15,AK15),2)</f>
        <v>0</v>
      </c>
      <c r="BA15" s="275">
        <f>LARGE((S15,U15,W15,Y15,AA15,AC15,AE15,AG15,AI15,AK15),3)</f>
        <v>0</v>
      </c>
      <c r="BB15" s="275">
        <f>LARGE((S15,U15,W15,Y15,AA15,AC15,AE15,AG15,AI15,AK15),4)</f>
        <v>0</v>
      </c>
      <c r="BC15" s="275">
        <f>LARGE((S15,U15,W15,Y15,AA15,AC15,AE15,AG15,AI15,AK15),5)</f>
        <v>0</v>
      </c>
      <c r="BD15" s="275">
        <f>LARGE((S15,U15,W15,Y15,AA15,AC15,AE15,AG15,AI15,AK15),6)</f>
        <v>0</v>
      </c>
      <c r="BE15" s="275">
        <f>LARGE((S15,U15,W15,Y15,AA15,AC15,AE15,AG15,AI15,AK15),7)</f>
        <v>0</v>
      </c>
      <c r="BF15" s="275">
        <f>LARGE((S15,U15,W15,Y15,AA15,AC15,AE15,AG15,AI15,AK15),8)</f>
        <v>0</v>
      </c>
      <c r="BG15" s="275">
        <f>LARGE((S15,U15,W15,Y15,AA15,AC15,AE15,AG15,AI15,AK15),9)</f>
        <v>0</v>
      </c>
    </row>
    <row r="16" spans="1:59" ht="14.85" customHeight="1">
      <c r="A16" s="54">
        <f>ROW()-5</f>
        <v>11</v>
      </c>
      <c r="B16" s="51" t="s">
        <v>24</v>
      </c>
      <c r="C16" s="272" t="str" cm="1">
        <f t="array" ref="C16">IF(AND(COUNTIF(E16:P16,"")&lt;3,SUM(LARGE((S16,U16,W16,Y16,AA16,AC16,AE16,AG16,AI16,AK16),{1;2;3;4}))&gt;=150),"kadra A",
IF(AND(COUNTIF(E16:P16,"")&lt;3,SUM(LARGE((S16,U16,W16,Y16,AA16,AC16,AE16,AG16,AI16,AK16),{1;2;3;4}))&gt;=75),"kadra B",
IF(COUNTIF(E16:P16,"")&lt;4,"kadra C",
IF(B16="","","kadra D")
)))</f>
        <v>kadra D</v>
      </c>
      <c r="D16" s="273">
        <f>IF(C16="kadra A",AM16,IF(C16="kadra B",AN16,IF(C16="kadra C",AO16,IF(C16="kadra D",AP16,0))))</f>
        <v>89.367095343034038</v>
      </c>
      <c r="E16" s="64" t="str">
        <f>_xlfn.XLOOKUP($B16,'PP1'!$C$6:$C$150,'PP1'!$B$6:$B$150,"")</f>
        <v/>
      </c>
      <c r="F16" s="117">
        <f>_xlfn.XLOOKUP(E16,'PP1'!$B$6:$B$75,'PP1'!$A$6:$A$75,0)</f>
        <v>0</v>
      </c>
      <c r="G16" s="64" t="str">
        <f>_xlfn.XLOOKUP($B16,'PP2'!$C$6:$C$150,'PP2'!$B$6:$B$150,"")</f>
        <v/>
      </c>
      <c r="H16" s="119">
        <f>_xlfn.XLOOKUP(G16,'PP2'!$B$6:$B$75,'PP2'!$A$6:$A$75,0)</f>
        <v>0</v>
      </c>
      <c r="I16" s="115">
        <f>_xlfn.XLOOKUP($B16,'PP3'!$C$6:$C$150,'PP3'!$B$6:$B$150,"")</f>
        <v>6</v>
      </c>
      <c r="J16" s="119">
        <f>_xlfn.XLOOKUP(I16,'PP3'!$B$6:$B$75,'PP3'!$A$6:$A$75,0)</f>
        <v>40.18236254397452</v>
      </c>
      <c r="K16" s="115">
        <f>_xlfn.XLOOKUP($B16,'PP4'!$C$6:$C$150,'PP4'!$B$6:$B$150,"")</f>
        <v>4</v>
      </c>
      <c r="L16" s="119">
        <f>_xlfn.XLOOKUP(K16,'PP4'!$B$6:$B$75,'PP4'!$A$6:$A$75,0)</f>
        <v>27.333333333333329</v>
      </c>
      <c r="M16" s="115" t="str">
        <f>_xlfn.XLOOKUP($B16,'PP5'!$C$6:$C$150,'PP5'!$B$6:$B$150,"")</f>
        <v/>
      </c>
      <c r="N16" s="119">
        <f>_xlfn.XLOOKUP(M16,'PP5'!$B$6:$B$75,'PP5'!$A$6:$A$75,0)</f>
        <v>0</v>
      </c>
      <c r="O16" s="64" t="str">
        <f>_xlfn.XLOOKUP(B16,MPW!C$6:C$150,MPW!B$6:B$150,"")</f>
        <v/>
      </c>
      <c r="P16" s="119">
        <f>_xlfn.XLOOKUP(O16,MPW!B$6:B$75,MPW!A$6:A$75,0)</f>
        <v>0</v>
      </c>
      <c r="R16" s="63" t="str">
        <f>_xlfn.XLOOKUP($B16,'PEW1'!$C$6:$C$150,'PEW1'!$B$6:$B$150,"")</f>
        <v/>
      </c>
      <c r="S16" s="71">
        <f>_xlfn.XLOOKUP(R16,'PEW1'!$B$6:$B$75,'PEW1'!$A$6:$A$75,0)</f>
        <v>0</v>
      </c>
      <c r="T16" s="63" t="str">
        <f>_xlfn.XLOOKUP($B16,'PEW2'!$C$6:$C$150,'PEW2'!$B$6:$B$150,"")</f>
        <v/>
      </c>
      <c r="U16" s="71">
        <f>_xlfn.XLOOKUP(T16,'PEW2'!$B$6:$B$75,'PEW2'!$A$6:$A$75,0)</f>
        <v>0</v>
      </c>
      <c r="V16" s="63">
        <f>_xlfn.XLOOKUP($B16,'PEW3'!$C$6:$C$150,'PEW3'!$B$6:$B$150,"")</f>
        <v>22</v>
      </c>
      <c r="W16" s="71">
        <f>_xlfn.XLOOKUP(V16,'PEW3'!$B$6:$B$75,'PEW3'!$A$6:$A$75,0)</f>
        <v>21.851399465726189</v>
      </c>
      <c r="X16" s="63" t="str">
        <f>_xlfn.XLOOKUP($B16,'PEW4'!$C$6:$C$150,'PEW4'!$B$6:$B$150,"")</f>
        <v/>
      </c>
      <c r="Y16" s="71">
        <f>_xlfn.XLOOKUP(X16,'PEW4'!$B$6:$B$75,'PEW4'!$A$6:$A$75,0)</f>
        <v>0</v>
      </c>
      <c r="Z16" s="63" t="str">
        <f>_xlfn.XLOOKUP($B16,'PEW5'!$C$6:$C$150,'PEW5'!$B$6:$B$150,"")</f>
        <v/>
      </c>
      <c r="AA16" s="71">
        <f>_xlfn.XLOOKUP(Z16,'PEW5'!$B$6:$B$75,'PEW5'!$A$6:$A$75,0)</f>
        <v>0</v>
      </c>
      <c r="AB16" s="63" t="str">
        <f>_xlfn.XLOOKUP($B16,'PEW6'!$C$6:$C$150,'PEW6'!$B$6:$B$150,"")</f>
        <v/>
      </c>
      <c r="AC16" s="71">
        <f>_xlfn.XLOOKUP(AB16,'PEW6'!$B$6:$B$75,'PEW6'!$A$6:$A$75,0)</f>
        <v>0</v>
      </c>
      <c r="AD16" s="63" t="str">
        <f>_xlfn.XLOOKUP($B16,'PEW7'!$C$6:$C$150,'PEW7'!$B$6:$B$150,"")</f>
        <v/>
      </c>
      <c r="AE16" s="71">
        <f>_xlfn.XLOOKUP(AD16,'PEW7'!$B$6:$B$75,'PEW7'!$A$6:$A$75,0)</f>
        <v>0</v>
      </c>
      <c r="AF16" s="63" t="str">
        <f>_xlfn.XLOOKUP($B16,PS!$C$6:$C$150,PS!$B$6:$B$150,"")</f>
        <v/>
      </c>
      <c r="AG16" s="71">
        <f>_xlfn.XLOOKUP(AF16,PS!$B$6:$B$75,PS!$A$6:$A$75,0)</f>
        <v>0</v>
      </c>
      <c r="AH16" s="63" t="str">
        <f>_xlfn.XLOOKUP($B16,IMEW!$C$6:$C$150,IMEW!$B$6:$B$150,"")</f>
        <v/>
      </c>
      <c r="AI16" s="71">
        <f>_xlfn.XLOOKUP(AH16,IMEW!$B$6:$B$75,IMEW!$A$6:$A$75,0)</f>
        <v>0</v>
      </c>
      <c r="AJ16" s="63" t="str" cm="1">
        <f t="array" ref="AJ16">_xlfn.XLOOKUP($B16,IMSW!C$6:C$201,IMSW!$B$6:B$201,"")</f>
        <v/>
      </c>
      <c r="AK16" s="72">
        <f>_xlfn.XLOOKUP(AJ16,IMSW!$B$6:$B$201,IMSW!$A$6:$A$201,0)</f>
        <v>0</v>
      </c>
      <c r="AM16" s="275" cm="1">
        <f t="array" ref="AM16">IF(AY16&gt;=150,SUM(AR16,AS16,AT16,AU16,AY16)+SUM(LARGE((AV16,AW16,AZ16,BA16,BB16),{1;2;3})),
        IF(AY16+AZ16&gt;=150,SUM(AR16,AS16,AT16,AU16,AY16,AZ16)+SUM(LARGE((AV16,AW16,BA16,BB16),{1;2})),
               IF(AY16+AZ16+BA16&gt;=150,SUM(AR16,AS16,AT16,AU16,AY16,AZ16,BA16)+SUM(LARGE((AV16,AW16,BB16),1)),
                      IF(AY16+AZ16+BA16+BB16&gt;=150,SUM(AR16,AS16,AT16,AU16,AY16,AZ16,BA16,BB16),0)
                     )
              )
       )</f>
        <v>0</v>
      </c>
      <c r="AN16" s="275" cm="1">
        <f t="array" ref="AN16">IF(AY16&gt;=75,SUM(AR16,AS16,AT16,AU16,AY16)+SUM(LARGE((AV16,AW16,AZ16,BA16,BB16),{1;2;3})),
        IF(AY16+AZ16&gt;=75,SUM(AR16,AS16,AT16,AU16,AY16,AZ16)+SUM(LARGE((AV16,AW16,BA16,BB16),{1;2})),
               IF(AY16+AZ16+BA16&gt;=75,SUM(AR16,AS16,AT16,AU16,AY16,AZ16,BA16)+SUM(LARGE((AV16,AW16,BB16),1)),
                      IF(AY16+AZ16+BA16+BB16&gt;=75,SUM(AR16,AS16,AT16,AU16,AY16,AZ16,BA16,BB16),0)
                     )
              )
       )</f>
        <v>0</v>
      </c>
      <c r="AO16" s="275" cm="1">
        <f t="array" ref="AO16">SUM(AR16:AT16)+SUM(LARGE((AU16:BC16),{1;2;3;4;5}))</f>
        <v>89.367095343034038</v>
      </c>
      <c r="AP16" s="275" cm="1">
        <f t="array" ref="AP16">SUM(LARGE((AR16:BF16),{1;2;3;4;5;6;7;8}))</f>
        <v>89.367095343034038</v>
      </c>
      <c r="AQ16" s="275"/>
      <c r="AR16" s="275">
        <f>LARGE((F16,H16,J16,L16,N16,P16),1)</f>
        <v>40.18236254397452</v>
      </c>
      <c r="AS16" s="275">
        <f>LARGE((F16,H16,J16,L16,N16,P16),2)</f>
        <v>27.333333333333329</v>
      </c>
      <c r="AT16" s="275">
        <f>LARGE((F16,H16,J16,L16,N16,P16),3)</f>
        <v>0</v>
      </c>
      <c r="AU16" s="275">
        <f>LARGE((F16,H16,J16,L16,N16,P16),4)</f>
        <v>0</v>
      </c>
      <c r="AV16" s="275">
        <f>LARGE((F16,H16,J16,L16,N16,P16),5)</f>
        <v>0</v>
      </c>
      <c r="AW16" s="275">
        <f>LARGE((F16,H16,J16,L16,N16,P16),6)</f>
        <v>0</v>
      </c>
      <c r="AY16" s="275">
        <f>LARGE((S16,U16,W16,Y16,AA16,AC16,AE16,AG16,AI16,AK16),1)</f>
        <v>21.851399465726189</v>
      </c>
      <c r="AZ16" s="275">
        <f>LARGE((S16,U16,W16,Y16,AA16,AC16,AE16,AG16,AI16,AK16),2)</f>
        <v>0</v>
      </c>
      <c r="BA16" s="275">
        <f>LARGE((S16,U16,W16,Y16,AA16,AC16,AE16,AG16,AI16,AK16),3)</f>
        <v>0</v>
      </c>
      <c r="BB16" s="275">
        <f>LARGE((S16,U16,W16,Y16,AA16,AC16,AE16,AG16,AI16,AK16),4)</f>
        <v>0</v>
      </c>
      <c r="BC16" s="275">
        <f>LARGE((S16,U16,W16,Y16,AA16,AC16,AE16,AG16,AI16,AK16),5)</f>
        <v>0</v>
      </c>
      <c r="BD16" s="275">
        <f>LARGE((S16,U16,W16,Y16,AA16,AC16,AE16,AG16,AI16,AK16),6)</f>
        <v>0</v>
      </c>
      <c r="BE16" s="275">
        <f>LARGE((S16,U16,W16,Y16,AA16,AC16,AE16,AG16,AI16,AK16),7)</f>
        <v>0</v>
      </c>
      <c r="BF16" s="275">
        <f>LARGE((S16,U16,W16,Y16,AA16,AC16,AE16,AG16,AI16,AK16),8)</f>
        <v>0</v>
      </c>
      <c r="BG16" s="275">
        <f>LARGE((S16,U16,W16,Y16,AA16,AC16,AE16,AG16,AI16,AK16),9)</f>
        <v>0</v>
      </c>
    </row>
    <row r="17" spans="1:59" ht="14.85" customHeight="1">
      <c r="A17" s="54">
        <f>ROW()-5</f>
        <v>12</v>
      </c>
      <c r="B17" s="51" t="s">
        <v>27</v>
      </c>
      <c r="C17" s="272" t="str" cm="1">
        <f t="array" ref="C17">IF(AND(COUNTIF(E17:P17,"")&lt;3,SUM(LARGE((S17,U17,W17,Y17,AA17,AC17,AE17,AG17,AI17,AK17),{1;2;3;4}))&gt;=150),"kadra A",
IF(AND(COUNTIF(E17:P17,"")&lt;3,SUM(LARGE((S17,U17,W17,Y17,AA17,AC17,AE17,AG17,AI17,AK17),{1;2;3;4}))&gt;=75),"kadra B",
IF(COUNTIF(E17:P17,"")&lt;4,"kadra C",
IF(B17="","","kadra D")
)))</f>
        <v>kadra D</v>
      </c>
      <c r="D17" s="273">
        <f>IF(C17="kadra A",AM17,IF(C17="kadra B",AN17,IF(C17="kadra C",AO17,IF(C17="kadra D",AP17,0))))</f>
        <v>57.256448727851549</v>
      </c>
      <c r="E17" s="64" t="str">
        <f>_xlfn.XLOOKUP($B17,'PP1'!$C$6:$C$150,'PP1'!$B$6:$B$150,"")</f>
        <v/>
      </c>
      <c r="F17" s="117">
        <f>_xlfn.XLOOKUP(E17,'PP1'!$B$6:$B$75,'PP1'!$A$6:$A$75,0)</f>
        <v>0</v>
      </c>
      <c r="G17" s="64" t="str">
        <f>_xlfn.XLOOKUP($B17,'PP2'!$C$6:$C$150,'PP2'!$B$6:$B$150,"")</f>
        <v/>
      </c>
      <c r="H17" s="119">
        <f>_xlfn.XLOOKUP(G17,'PP2'!$B$6:$B$75,'PP2'!$A$6:$A$75,0)</f>
        <v>0</v>
      </c>
      <c r="I17" s="115">
        <f>_xlfn.XLOOKUP($B17,'PP3'!$C$6:$C$150,'PP3'!$B$6:$B$150,"")</f>
        <v>7</v>
      </c>
      <c r="J17" s="119">
        <f>_xlfn.XLOOKUP(I17,'PP3'!$B$6:$B$75,'PP3'!$A$6:$A$75,0)</f>
        <v>37.617057789832863</v>
      </c>
      <c r="K17" s="115" t="str">
        <f>_xlfn.XLOOKUP($B17,'PP4'!$C$6:$C$150,'PP4'!$B$6:$B$150,"")</f>
        <v/>
      </c>
      <c r="L17" s="119">
        <f>_xlfn.XLOOKUP(K17,'PP4'!$B$6:$B$75,'PP4'!$A$6:$A$75,0)</f>
        <v>0</v>
      </c>
      <c r="M17" s="115" t="str">
        <f>_xlfn.XLOOKUP($B17,'PP5'!$C$6:$C$150,'PP5'!$B$6:$B$150,"")</f>
        <v/>
      </c>
      <c r="N17" s="119">
        <f>_xlfn.XLOOKUP(M17,'PP5'!$B$6:$B$75,'PP5'!$A$6:$A$75,0)</f>
        <v>0</v>
      </c>
      <c r="O17" s="64" t="str">
        <f>_xlfn.XLOOKUP(B17,MPW!C$6:C$150,MPW!B$6:B$150,"")</f>
        <v/>
      </c>
      <c r="P17" s="119">
        <f>_xlfn.XLOOKUP(O17,MPW!B$6:B$75,MPW!A$6:A$75,0)</f>
        <v>0</v>
      </c>
      <c r="R17" s="63" t="str">
        <f>_xlfn.XLOOKUP($B17,'PEW1'!$C$6:$C$150,'PEW1'!$B$6:$B$150,"")</f>
        <v/>
      </c>
      <c r="S17" s="71">
        <f>_xlfn.XLOOKUP(R17,'PEW1'!$B$6:$B$75,'PEW1'!$A$6:$A$75,0)</f>
        <v>0</v>
      </c>
      <c r="T17" s="63" t="str">
        <f>_xlfn.XLOOKUP($B17,'PEW2'!$C$6:$C$150,'PEW2'!$B$6:$B$150,"")</f>
        <v/>
      </c>
      <c r="U17" s="71">
        <f>_xlfn.XLOOKUP(T17,'PEW2'!$B$6:$B$75,'PEW2'!$A$6:$A$75,0)</f>
        <v>0</v>
      </c>
      <c r="V17" s="63" t="str">
        <f>_xlfn.XLOOKUP($B17,'PEW3'!$C$6:$C$150,'PEW3'!$B$6:$B$150,"")</f>
        <v/>
      </c>
      <c r="W17" s="71">
        <f>_xlfn.XLOOKUP(V17,'PEW3'!$B$6:$B$75,'PEW3'!$A$6:$A$75,0)</f>
        <v>0</v>
      </c>
      <c r="X17" s="63" t="str">
        <f>_xlfn.XLOOKUP($B17,'PEW4'!$C$6:$C$150,'PEW4'!$B$6:$B$150,"")</f>
        <v/>
      </c>
      <c r="Y17" s="71">
        <f>_xlfn.XLOOKUP(X17,'PEW4'!$B$6:$B$75,'PEW4'!$A$6:$A$75,0)</f>
        <v>0</v>
      </c>
      <c r="Z17" s="63" t="str">
        <f>_xlfn.XLOOKUP($B17,'PEW5'!$C$6:$C$150,'PEW5'!$B$6:$B$150,"")</f>
        <v/>
      </c>
      <c r="AA17" s="71">
        <f>_xlfn.XLOOKUP(Z17,'PEW5'!$B$6:$B$75,'PEW5'!$A$6:$A$75,0)</f>
        <v>0</v>
      </c>
      <c r="AB17" s="63">
        <f>_xlfn.XLOOKUP($B17,'PEW6'!$C$6:$C$150,'PEW6'!$B$6:$B$150,"")</f>
        <v>23</v>
      </c>
      <c r="AC17" s="71">
        <f>_xlfn.XLOOKUP(AB17,'PEW6'!$B$6:$B$75,'PEW6'!$A$6:$A$75,0)</f>
        <v>19.639390938018686</v>
      </c>
      <c r="AD17" s="63" t="str">
        <f>_xlfn.XLOOKUP($B17,'PEW7'!$C$6:$C$150,'PEW7'!$B$6:$B$150,"")</f>
        <v/>
      </c>
      <c r="AE17" s="71">
        <f>_xlfn.XLOOKUP(AD17,'PEW7'!$B$6:$B$75,'PEW7'!$A$6:$A$75,0)</f>
        <v>0</v>
      </c>
      <c r="AF17" s="63" t="str">
        <f>_xlfn.XLOOKUP($B17,PS!$C$6:$C$150,PS!$B$6:$B$150,"")</f>
        <v/>
      </c>
      <c r="AG17" s="71">
        <f>_xlfn.XLOOKUP(AF17,PS!$B$6:$B$75,PS!$A$6:$A$75,0)</f>
        <v>0</v>
      </c>
      <c r="AH17" s="63" t="str">
        <f>_xlfn.XLOOKUP($B17,IMEW!$C$6:$C$150,IMEW!$B$6:$B$150,"")</f>
        <v/>
      </c>
      <c r="AI17" s="71">
        <f>_xlfn.XLOOKUP(AH17,IMEW!$B$6:$B$75,IMEW!$A$6:$A$75,0)</f>
        <v>0</v>
      </c>
      <c r="AJ17" s="63" t="str" cm="1">
        <f t="array" ref="AJ17">_xlfn.XLOOKUP($B17,IMSW!C$6:C$201,IMSW!$B$6:B$201,"")</f>
        <v/>
      </c>
      <c r="AK17" s="72">
        <f>_xlfn.XLOOKUP(AJ17,IMSW!$B$6:$B$201,IMSW!$A$6:$A$201,0)</f>
        <v>0</v>
      </c>
      <c r="AM17" s="275" cm="1">
        <f t="array" ref="AM17">IF(AY17&gt;=150,SUM(AR17,AS17,AT17,AU17,AY17)+SUM(LARGE((AV17,AW17,AZ17,BA17,BB17),{1;2;3})),
        IF(AY17+AZ17&gt;=150,SUM(AR17,AS17,AT17,AU17,AY17,AZ17)+SUM(LARGE((AV17,AW17,BA17,BB17),{1;2})),
               IF(AY17+AZ17+BA17&gt;=150,SUM(AR17,AS17,AT17,AU17,AY17,AZ17,BA17)+SUM(LARGE((AV17,AW17,BB17),1)),
                      IF(AY17+AZ17+BA17+BB17&gt;=150,SUM(AR17,AS17,AT17,AU17,AY17,AZ17,BA17,BB17),0)
                     )
              )
       )</f>
        <v>0</v>
      </c>
      <c r="AN17" s="275" cm="1">
        <f t="array" ref="AN17">IF(AY17&gt;=75,SUM(AR17,AS17,AT17,AU17,AY17)+SUM(LARGE((AV17,AW17,AZ17,BA17,BB17),{1;2;3})),
        IF(AY17+AZ17&gt;=75,SUM(AR17,AS17,AT17,AU17,AY17,AZ17)+SUM(LARGE((AV17,AW17,BA17,BB17),{1;2})),
               IF(AY17+AZ17+BA17&gt;=75,SUM(AR17,AS17,AT17,AU17,AY17,AZ17,BA17)+SUM(LARGE((AV17,AW17,BB17),1)),
                      IF(AY17+AZ17+BA17+BB17&gt;=75,SUM(AR17,AS17,AT17,AU17,AY17,AZ17,BA17,BB17),0)
                     )
              )
       )</f>
        <v>0</v>
      </c>
      <c r="AO17" s="275" cm="1">
        <f t="array" ref="AO17">SUM(AR17:AT17)+SUM(LARGE((AU17:BC17),{1;2;3;4;5}))</f>
        <v>57.256448727851549</v>
      </c>
      <c r="AP17" s="275" cm="1">
        <f t="array" ref="AP17">SUM(LARGE((AR17:BF17),{1;2;3;4;5;6;7;8}))</f>
        <v>57.256448727851549</v>
      </c>
      <c r="AQ17" s="275"/>
      <c r="AR17" s="275">
        <f>LARGE((F17,H17,J17,L17,N17,P17),1)</f>
        <v>37.617057789832863</v>
      </c>
      <c r="AS17" s="275">
        <f>LARGE((F17,H17,J17,L17,N17,P17),2)</f>
        <v>0</v>
      </c>
      <c r="AT17" s="275">
        <f>LARGE((F17,H17,J17,L17,N17,P17),3)</f>
        <v>0</v>
      </c>
      <c r="AU17" s="275">
        <f>LARGE((F17,H17,J17,L17,N17,P17),4)</f>
        <v>0</v>
      </c>
      <c r="AV17" s="275">
        <f>LARGE((F17,H17,J17,L17,N17,P17),5)</f>
        <v>0</v>
      </c>
      <c r="AW17" s="275">
        <f>LARGE((F17,H17,J17,L17,N17,P17),6)</f>
        <v>0</v>
      </c>
      <c r="AY17" s="275">
        <f>LARGE((S17,U17,W17,Y17,AA17,AC17,AE17,AG17,AI17,AK17),1)</f>
        <v>19.639390938018686</v>
      </c>
      <c r="AZ17" s="275">
        <f>LARGE((S17,U17,W17,Y17,AA17,AC17,AE17,AG17,AI17,AK17),2)</f>
        <v>0</v>
      </c>
      <c r="BA17" s="275">
        <f>LARGE((S17,U17,W17,Y17,AA17,AC17,AE17,AG17,AI17,AK17),3)</f>
        <v>0</v>
      </c>
      <c r="BB17" s="275">
        <f>LARGE((S17,U17,W17,Y17,AA17,AC17,AE17,AG17,AI17,AK17),4)</f>
        <v>0</v>
      </c>
      <c r="BC17" s="275">
        <f>LARGE((S17,U17,W17,Y17,AA17,AC17,AE17,AG17,AI17,AK17),5)</f>
        <v>0</v>
      </c>
      <c r="BD17" s="275">
        <f>LARGE((S17,U17,W17,Y17,AA17,AC17,AE17,AG17,AI17,AK17),6)</f>
        <v>0</v>
      </c>
      <c r="BE17" s="275">
        <f>LARGE((S17,U17,W17,Y17,AA17,AC17,AE17,AG17,AI17,AK17),7)</f>
        <v>0</v>
      </c>
      <c r="BF17" s="275">
        <f>LARGE((S17,U17,W17,Y17,AA17,AC17,AE17,AG17,AI17,AK17),8)</f>
        <v>0</v>
      </c>
      <c r="BG17" s="275">
        <f>LARGE((S17,U17,W17,Y17,AA17,AC17,AE17,AG17,AI17,AK17),9)</f>
        <v>0</v>
      </c>
    </row>
    <row r="18" spans="1:59" ht="14.85" customHeight="1">
      <c r="A18" s="54">
        <f>ROW()-5</f>
        <v>13</v>
      </c>
      <c r="B18" s="197" t="s">
        <v>27</v>
      </c>
      <c r="C18" s="272" t="str" cm="1">
        <f t="array" ref="C18">IF(AND(COUNTIF(E18:P18,"")&lt;3,SUM(LARGE((S18,U18,W18,Y18,AA18,AC18,AE18,AG18,AI18,AK18),{1;2;3;4}))&gt;=150),"kadra A",
IF(AND(COUNTIF(E18:P18,"")&lt;3,SUM(LARGE((S18,U18,W18,Y18,AA18,AC18,AE18,AG18,AI18,AK18),{1;2;3;4}))&gt;=75),"kadra B",
IF(COUNTIF(E18:P18,"")&lt;4,"kadra C",
IF(B18="","","kadra D")
)))</f>
        <v>kadra D</v>
      </c>
      <c r="D18" s="273">
        <f>IF(C18="kadra A",AM18,IF(C18="kadra B",AN18,IF(C18="kadra C",AO18,IF(C18="kadra D",AP18,0))))</f>
        <v>57.256448727851549</v>
      </c>
      <c r="E18" s="64" t="str">
        <f>_xlfn.XLOOKUP($B18,'PP1'!$C$6:$C$150,'PP1'!$B$6:$B$150,"")</f>
        <v/>
      </c>
      <c r="F18" s="117">
        <f>_xlfn.XLOOKUP(E18,'PP1'!$B$6:$B$75,'PP1'!$A$6:$A$75,0)</f>
        <v>0</v>
      </c>
      <c r="G18" s="64" t="str">
        <f>_xlfn.XLOOKUP($B18,'PP2'!$C$6:$C$150,'PP2'!$B$6:$B$150,"")</f>
        <v/>
      </c>
      <c r="H18" s="119">
        <f>_xlfn.XLOOKUP(G18,'PP2'!$B$6:$B$75,'PP2'!$A$6:$A$75,0)</f>
        <v>0</v>
      </c>
      <c r="I18" s="115">
        <f>_xlfn.XLOOKUP($B18,'PP3'!$C$6:$C$150,'PP3'!$B$6:$B$150,"")</f>
        <v>7</v>
      </c>
      <c r="J18" s="119">
        <f>_xlfn.XLOOKUP(I18,'PP3'!$B$6:$B$75,'PP3'!$A$6:$A$75,0)</f>
        <v>37.617057789832863</v>
      </c>
      <c r="K18" s="115" t="str">
        <f>_xlfn.XLOOKUP($B18,'PP4'!$C$6:$C$150,'PP4'!$B$6:$B$150,"")</f>
        <v/>
      </c>
      <c r="L18" s="119">
        <f>_xlfn.XLOOKUP(K18,'PP4'!$B$6:$B$75,'PP4'!$A$6:$A$75,0)</f>
        <v>0</v>
      </c>
      <c r="M18" s="115" t="str">
        <f>_xlfn.XLOOKUP($B18,'PP5'!$C$6:$C$150,'PP5'!$B$6:$B$150,"")</f>
        <v/>
      </c>
      <c r="N18" s="119">
        <f>_xlfn.XLOOKUP(M18,'PP5'!$B$6:$B$75,'PP5'!$A$6:$A$75,0)</f>
        <v>0</v>
      </c>
      <c r="O18" s="64" t="str">
        <f>_xlfn.XLOOKUP(B18,MPW!C$6:C$150,MPW!B$6:B$150,"")</f>
        <v/>
      </c>
      <c r="P18" s="119">
        <f>_xlfn.XLOOKUP(O18,MPW!B$6:B$75,MPW!A$6:A$75,0)</f>
        <v>0</v>
      </c>
      <c r="R18" s="63" t="str">
        <f>_xlfn.XLOOKUP($B18,'PEW1'!$C$6:$C$150,'PEW1'!$B$6:$B$150,"")</f>
        <v/>
      </c>
      <c r="S18" s="71">
        <f>_xlfn.XLOOKUP(R18,'PEW1'!$B$6:$B$75,'PEW1'!$A$6:$A$75,0)</f>
        <v>0</v>
      </c>
      <c r="T18" s="63" t="str">
        <f>_xlfn.XLOOKUP($B18,'PEW2'!$C$6:$C$150,'PEW2'!$B$6:$B$150,"")</f>
        <v/>
      </c>
      <c r="U18" s="71">
        <f>_xlfn.XLOOKUP(T18,'PEW2'!$B$6:$B$75,'PEW2'!$A$6:$A$75,0)</f>
        <v>0</v>
      </c>
      <c r="V18" s="63" t="str">
        <f>_xlfn.XLOOKUP($B18,'PEW3'!$C$6:$C$150,'PEW3'!$B$6:$B$150,"")</f>
        <v/>
      </c>
      <c r="W18" s="71">
        <f>_xlfn.XLOOKUP(V18,'PEW3'!$B$6:$B$75,'PEW3'!$A$6:$A$75,0)</f>
        <v>0</v>
      </c>
      <c r="X18" s="63" t="str">
        <f>_xlfn.XLOOKUP($B18,'PEW4'!$C$6:$C$150,'PEW4'!$B$6:$B$150,"")</f>
        <v/>
      </c>
      <c r="Y18" s="71">
        <f>_xlfn.XLOOKUP(X18,'PEW4'!$B$6:$B$75,'PEW4'!$A$6:$A$75,0)</f>
        <v>0</v>
      </c>
      <c r="Z18" s="63" t="str">
        <f>_xlfn.XLOOKUP($B18,'PEW5'!$C$6:$C$150,'PEW5'!$B$6:$B$150,"")</f>
        <v/>
      </c>
      <c r="AA18" s="71">
        <f>_xlfn.XLOOKUP(Z18,'PEW5'!$B$6:$B$75,'PEW5'!$A$6:$A$75,0)</f>
        <v>0</v>
      </c>
      <c r="AB18" s="63">
        <f>_xlfn.XLOOKUP($B18,'PEW6'!$C$6:$C$150,'PEW6'!$B$6:$B$150,"")</f>
        <v>23</v>
      </c>
      <c r="AC18" s="71">
        <f>_xlfn.XLOOKUP(AB18,'PEW6'!$B$6:$B$75,'PEW6'!$A$6:$A$75,0)</f>
        <v>19.639390938018686</v>
      </c>
      <c r="AD18" s="63" t="str">
        <f>_xlfn.XLOOKUP($B18,'PEW7'!$C$6:$C$150,'PEW7'!$B$6:$B$150,"")</f>
        <v/>
      </c>
      <c r="AE18" s="71">
        <f>_xlfn.XLOOKUP(AD18,'PEW7'!$B$6:$B$75,'PEW7'!$A$6:$A$75,0)</f>
        <v>0</v>
      </c>
      <c r="AF18" s="63" t="str">
        <f>_xlfn.XLOOKUP($B18,PS!$C$6:$C$150,PS!$B$6:$B$150,"")</f>
        <v/>
      </c>
      <c r="AG18" s="71">
        <f>_xlfn.XLOOKUP(AF18,PS!$B$6:$B$75,PS!$A$6:$A$75,0)</f>
        <v>0</v>
      </c>
      <c r="AH18" s="63" t="str">
        <f>_xlfn.XLOOKUP($B18,IMEW!$C$6:$C$150,IMEW!$B$6:$B$150,"")</f>
        <v/>
      </c>
      <c r="AI18" s="71">
        <f>_xlfn.XLOOKUP(AH18,IMEW!$B$6:$B$75,IMEW!$A$6:$A$75,0)</f>
        <v>0</v>
      </c>
      <c r="AJ18" s="63" t="str" cm="1">
        <f t="array" ref="AJ18">_xlfn.XLOOKUP($B18,IMSW!C$6:C$201,IMSW!$B$6:B$201,"")</f>
        <v/>
      </c>
      <c r="AK18" s="72">
        <f>_xlfn.XLOOKUP(AJ18,IMSW!$B$6:$B$201,IMSW!$A$6:$A$201,0)</f>
        <v>0</v>
      </c>
      <c r="AM18" s="275" cm="1">
        <f t="array" ref="AM18">IF(AY18&gt;=150,SUM(AR18,AS18,AT18,AU18,AY18)+SUM(LARGE((AV18,AW18,AZ18,BA18,BB18),{1;2;3})),
        IF(AY18+AZ18&gt;=150,SUM(AR18,AS18,AT18,AU18,AY18,AZ18)+SUM(LARGE((AV18,AW18,BA18,BB18),{1;2})),
               IF(AY18+AZ18+BA18&gt;=150,SUM(AR18,AS18,AT18,AU18,AY18,AZ18,BA18)+SUM(LARGE((AV18,AW18,BB18),1)),
                      IF(AY18+AZ18+BA18+BB18&gt;=150,SUM(AR18,AS18,AT18,AU18,AY18,AZ18,BA18,BB18),0)
                     )
              )
       )</f>
        <v>0</v>
      </c>
      <c r="AN18" s="275" cm="1">
        <f t="array" ref="AN18">IF(AY18&gt;=75,SUM(AR18,AS18,AT18,AU18,AY18)+SUM(LARGE((AV18,AW18,AZ18,BA18,BB18),{1;2;3})),
        IF(AY18+AZ18&gt;=75,SUM(AR18,AS18,AT18,AU18,AY18,AZ18)+SUM(LARGE((AV18,AW18,BA18,BB18),{1;2})),
               IF(AY18+AZ18+BA18&gt;=75,SUM(AR18,AS18,AT18,AU18,AY18,AZ18,BA18)+SUM(LARGE((AV18,AW18,BB18),1)),
                      IF(AY18+AZ18+BA18+BB18&gt;=75,SUM(AR18,AS18,AT18,AU18,AY18,AZ18,BA18,BB18),0)
                     )
              )
       )</f>
        <v>0</v>
      </c>
      <c r="AO18" s="275" cm="1">
        <f t="array" ref="AO18">SUM(AR18:AT18)+SUM(LARGE((AU18:BC18),{1;2;3;4;5}))</f>
        <v>57.256448727851549</v>
      </c>
      <c r="AP18" s="275" cm="1">
        <f t="array" ref="AP18">SUM(LARGE((AR18:BF18),{1;2;3;4;5;6;7;8}))</f>
        <v>57.256448727851549</v>
      </c>
      <c r="AQ18" s="275"/>
      <c r="AR18" s="275">
        <f>LARGE((F18,H18,J18,L18,N18,P18),1)</f>
        <v>37.617057789832863</v>
      </c>
      <c r="AS18" s="275">
        <f>LARGE((F18,H18,J18,L18,N18,P18),2)</f>
        <v>0</v>
      </c>
      <c r="AT18" s="275">
        <f>LARGE((F18,H18,J18,L18,N18,P18),3)</f>
        <v>0</v>
      </c>
      <c r="AU18" s="275">
        <f>LARGE((F18,H18,J18,L18,N18,P18),4)</f>
        <v>0</v>
      </c>
      <c r="AV18" s="275">
        <f>LARGE((F18,H18,J18,L18,N18,P18),5)</f>
        <v>0</v>
      </c>
      <c r="AW18" s="275">
        <f>LARGE((F18,H18,J18,L18,N18,P18),6)</f>
        <v>0</v>
      </c>
      <c r="AY18" s="275">
        <f>LARGE((S18,U18,W18,Y18,AA18,AC18,AE18,AG18,AI18,AK18),1)</f>
        <v>19.639390938018686</v>
      </c>
      <c r="AZ18" s="275">
        <f>LARGE((S18,U18,W18,Y18,AA18,AC18,AE18,AG18,AI18,AK18),2)</f>
        <v>0</v>
      </c>
      <c r="BA18" s="275">
        <f>LARGE((S18,U18,W18,Y18,AA18,AC18,AE18,AG18,AI18,AK18),3)</f>
        <v>0</v>
      </c>
      <c r="BB18" s="275">
        <f>LARGE((S18,U18,W18,Y18,AA18,AC18,AE18,AG18,AI18,AK18),4)</f>
        <v>0</v>
      </c>
      <c r="BC18" s="275">
        <f>LARGE((S18,U18,W18,Y18,AA18,AC18,AE18,AG18,AI18,AK18),5)</f>
        <v>0</v>
      </c>
      <c r="BD18" s="275">
        <f>LARGE((S18,U18,W18,Y18,AA18,AC18,AE18,AG18,AI18,AK18),6)</f>
        <v>0</v>
      </c>
      <c r="BE18" s="275">
        <f>LARGE((S18,U18,W18,Y18,AA18,AC18,AE18,AG18,AI18,AK18),7)</f>
        <v>0</v>
      </c>
      <c r="BF18" s="275">
        <f>LARGE((S18,U18,W18,Y18,AA18,AC18,AE18,AG18,AI18,AK18),8)</f>
        <v>0</v>
      </c>
      <c r="BG18" s="275">
        <f>LARGE((S18,U18,W18,Y18,AA18,AC18,AE18,AG18,AI18,AK18),9)</f>
        <v>0</v>
      </c>
    </row>
    <row r="19" spans="1:59" ht="14.85" customHeight="1">
      <c r="A19" s="54">
        <f>ROW()-5</f>
        <v>14</v>
      </c>
      <c r="B19" s="51" t="s">
        <v>26</v>
      </c>
      <c r="C19" s="272" t="str" cm="1">
        <f t="array" ref="C19">IF(AND(COUNTIF(E19:P19,"")&lt;3,SUM(LARGE((S19,U19,W19,Y19,AA19,AC19,AE19,AG19,AI19,AK19),{1;2;3;4}))&gt;=150),"kadra A",
IF(AND(COUNTIF(E19:P19,"")&lt;3,SUM(LARGE((S19,U19,W19,Y19,AA19,AC19,AE19,AG19,AI19,AK19),{1;2;3;4}))&gt;=75),"kadra B",
IF(COUNTIF(E19:P19,"")&lt;4,"kadra C",
IF(B19="","","kadra D")
)))</f>
        <v>kadra D</v>
      </c>
      <c r="D19" s="273">
        <f>IF(C19="kadra A",AM19,IF(C19="kadra B",AN19,IF(C19="kadra C",AO19,IF(C19="kadra D",AP19,0))))</f>
        <v>42.488579199586745</v>
      </c>
      <c r="E19" s="64" t="str">
        <f>_xlfn.XLOOKUP($B19,'PP1'!$C$6:$C$150,'PP1'!$B$6:$B$150,"")</f>
        <v/>
      </c>
      <c r="F19" s="117">
        <f>_xlfn.XLOOKUP(E19,'PP1'!$B$6:$B$75,'PP1'!$A$6:$A$75,0)</f>
        <v>0</v>
      </c>
      <c r="G19" s="64" t="str">
        <f>_xlfn.XLOOKUP($B19,'PP2'!$C$6:$C$150,'PP2'!$B$6:$B$150,"")</f>
        <v/>
      </c>
      <c r="H19" s="119">
        <f>_xlfn.XLOOKUP(G19,'PP2'!$B$6:$B$75,'PP2'!$A$6:$A$75,0)</f>
        <v>0</v>
      </c>
      <c r="I19" s="115" t="str">
        <f>_xlfn.XLOOKUP($B19,'PP3'!$C$6:$C$150,'PP3'!$B$6:$B$150,"")</f>
        <v/>
      </c>
      <c r="J19" s="119">
        <f>_xlfn.XLOOKUP(I19,'PP3'!$B$6:$B$75,'PP3'!$A$6:$A$75,0)</f>
        <v>0</v>
      </c>
      <c r="K19" s="115" t="str">
        <f>_xlfn.XLOOKUP($B19,'PP4'!$C$6:$C$150,'PP4'!$B$6:$B$150,"")</f>
        <v/>
      </c>
      <c r="L19" s="119">
        <f>_xlfn.XLOOKUP(K19,'PP4'!$B$6:$B$75,'PP4'!$A$6:$A$75,0)</f>
        <v>0</v>
      </c>
      <c r="M19" s="115" t="str">
        <f>_xlfn.XLOOKUP($B19,'PP5'!$C$6:$C$150,'PP5'!$B$6:$B$150,"")</f>
        <v/>
      </c>
      <c r="N19" s="119">
        <f>_xlfn.XLOOKUP(M19,'PP5'!$B$6:$B$75,'PP5'!$A$6:$A$75,0)</f>
        <v>0</v>
      </c>
      <c r="O19" s="64">
        <f>_xlfn.XLOOKUP(B19,MPW!C$6:C$150,MPW!B$6:B$150,"")</f>
        <v>3</v>
      </c>
      <c r="P19" s="119">
        <f>_xlfn.XLOOKUP(O19,MPW!B$6:B$75,MPW!A$6:A$75,0)</f>
        <v>42.488579199586745</v>
      </c>
      <c r="R19" s="63" t="str">
        <f>_xlfn.XLOOKUP($B19,'PEW1'!$C$6:$C$150,'PEW1'!$B$6:$B$150,"")</f>
        <v/>
      </c>
      <c r="S19" s="71">
        <f>_xlfn.XLOOKUP(R19,'PEW1'!$B$6:$B$75,'PEW1'!$A$6:$A$75,0)</f>
        <v>0</v>
      </c>
      <c r="T19" s="63" t="str">
        <f>_xlfn.XLOOKUP($B19,'PEW2'!$C$6:$C$150,'PEW2'!$B$6:$B$150,"")</f>
        <v/>
      </c>
      <c r="U19" s="71">
        <f>_xlfn.XLOOKUP(T19,'PEW2'!$B$6:$B$75,'PEW2'!$A$6:$A$75,0)</f>
        <v>0</v>
      </c>
      <c r="V19" s="63" t="str">
        <f>_xlfn.XLOOKUP($B19,'PEW3'!$C$6:$C$150,'PEW3'!$B$6:$B$150,"")</f>
        <v/>
      </c>
      <c r="W19" s="71">
        <f>_xlfn.XLOOKUP(V19,'PEW3'!$B$6:$B$75,'PEW3'!$A$6:$A$75,0)</f>
        <v>0</v>
      </c>
      <c r="X19" s="63" t="str">
        <f>_xlfn.XLOOKUP($B19,'PEW4'!$C$6:$C$150,'PEW4'!$B$6:$B$150,"")</f>
        <v/>
      </c>
      <c r="Y19" s="71">
        <f>_xlfn.XLOOKUP(X19,'PEW4'!$B$6:$B$75,'PEW4'!$A$6:$A$75,0)</f>
        <v>0</v>
      </c>
      <c r="Z19" s="63" t="str">
        <f>_xlfn.XLOOKUP($B19,'PEW5'!$C$6:$C$150,'PEW5'!$B$6:$B$150,"")</f>
        <v/>
      </c>
      <c r="AA19" s="71">
        <f>_xlfn.XLOOKUP(Z19,'PEW5'!$B$6:$B$75,'PEW5'!$A$6:$A$75,0)</f>
        <v>0</v>
      </c>
      <c r="AB19" s="63" t="str">
        <f>_xlfn.XLOOKUP($B19,'PEW6'!$C$6:$C$150,'PEW6'!$B$6:$B$150,"")</f>
        <v/>
      </c>
      <c r="AC19" s="71">
        <f>_xlfn.XLOOKUP(AB19,'PEW6'!$B$6:$B$75,'PEW6'!$A$6:$A$75,0)</f>
        <v>0</v>
      </c>
      <c r="AD19" s="63" t="str">
        <f>_xlfn.XLOOKUP($B19,'PEW7'!$C$6:$C$150,'PEW7'!$B$6:$B$150,"")</f>
        <v/>
      </c>
      <c r="AE19" s="71">
        <f>_xlfn.XLOOKUP(AD19,'PEW7'!$B$6:$B$75,'PEW7'!$A$6:$A$75,0)</f>
        <v>0</v>
      </c>
      <c r="AF19" s="63" t="str">
        <f>_xlfn.XLOOKUP($B19,PS!$C$6:$C$150,PS!$B$6:$B$150,"")</f>
        <v/>
      </c>
      <c r="AG19" s="71">
        <f>_xlfn.XLOOKUP(AF19,PS!$B$6:$B$75,PS!$A$6:$A$75,0)</f>
        <v>0</v>
      </c>
      <c r="AH19" s="63" t="str">
        <f>_xlfn.XLOOKUP($B19,IMEW!$C$6:$C$150,IMEW!$B$6:$B$150,"")</f>
        <v/>
      </c>
      <c r="AI19" s="71">
        <f>_xlfn.XLOOKUP(AH19,IMEW!$B$6:$B$75,IMEW!$A$6:$A$75,0)</f>
        <v>0</v>
      </c>
      <c r="AJ19" s="63" t="str" cm="1">
        <f t="array" ref="AJ19">_xlfn.XLOOKUP($B19,IMSW!C$6:C$201,IMSW!$B$6:B$201,"")</f>
        <v/>
      </c>
      <c r="AK19" s="72">
        <f>_xlfn.XLOOKUP(AJ19,IMSW!$B$6:$B$201,IMSW!$A$6:$A$201,0)</f>
        <v>0</v>
      </c>
      <c r="AM19" s="275" cm="1">
        <f t="array" ref="AM19">IF(AY19&gt;=150,SUM(AR19,AS19,AT19,AU19,AY19)+SUM(LARGE((AV19,AW19,AZ19,BA19,BB19),{1;2;3})),
        IF(AY19+AZ19&gt;=150,SUM(AR19,AS19,AT19,AU19,AY19,AZ19)+SUM(LARGE((AV19,AW19,BA19,BB19),{1;2})),
               IF(AY19+AZ19+BA19&gt;=150,SUM(AR19,AS19,AT19,AU19,AY19,AZ19,BA19)+SUM(LARGE((AV19,AW19,BB19),1)),
                      IF(AY19+AZ19+BA19+BB19&gt;=150,SUM(AR19,AS19,AT19,AU19,AY19,AZ19,BA19,BB19),0)
                     )
              )
       )</f>
        <v>0</v>
      </c>
      <c r="AN19" s="275" cm="1">
        <f t="array" ref="AN19">IF(AY19&gt;=75,SUM(AR19,AS19,AT19,AU19,AY19)+SUM(LARGE((AV19,AW19,AZ19,BA19,BB19),{1;2;3})),
        IF(AY19+AZ19&gt;=75,SUM(AR19,AS19,AT19,AU19,AY19,AZ19)+SUM(LARGE((AV19,AW19,BA19,BB19),{1;2})),
               IF(AY19+AZ19+BA19&gt;=75,SUM(AR19,AS19,AT19,AU19,AY19,AZ19,BA19)+SUM(LARGE((AV19,AW19,BB19),1)),
                      IF(AY19+AZ19+BA19+BB19&gt;=75,SUM(AR19,AS19,AT19,AU19,AY19,AZ19,BA19,BB19),0)
                     )
              )
       )</f>
        <v>0</v>
      </c>
      <c r="AO19" s="275" cm="1">
        <f t="array" ref="AO19">SUM(AR19:AT19)+SUM(LARGE((AU19:BC19),{1;2;3;4;5}))</f>
        <v>42.488579199586745</v>
      </c>
      <c r="AP19" s="275" cm="1">
        <f t="array" ref="AP19">SUM(LARGE((AR19:BF19),{1;2;3;4;5;6;7;8}))</f>
        <v>42.488579199586745</v>
      </c>
      <c r="AQ19" s="275"/>
      <c r="AR19" s="275">
        <f>LARGE((F19,H19,J19,L19,N19,P19),1)</f>
        <v>42.488579199586745</v>
      </c>
      <c r="AS19" s="275">
        <f>LARGE((F19,H19,J19,L19,N19,P19),2)</f>
        <v>0</v>
      </c>
      <c r="AT19" s="275">
        <f>LARGE((F19,H19,J19,L19,N19,P19),3)</f>
        <v>0</v>
      </c>
      <c r="AU19" s="275">
        <f>LARGE((F19,H19,J19,L19,N19,P19),4)</f>
        <v>0</v>
      </c>
      <c r="AV19" s="275">
        <f>LARGE((F19,H19,J19,L19,N19,P19),5)</f>
        <v>0</v>
      </c>
      <c r="AW19" s="275">
        <f>LARGE((F19,H19,J19,L19,N19,P19),6)</f>
        <v>0</v>
      </c>
      <c r="AY19" s="275">
        <f>LARGE((S19,U19,W19,Y19,AA19,AC19,AE19,AG19,AI19,AK19),1)</f>
        <v>0</v>
      </c>
      <c r="AZ19" s="275">
        <f>LARGE((S19,U19,W19,Y19,AA19,AC19,AE19,AG19,AI19,AK19),2)</f>
        <v>0</v>
      </c>
      <c r="BA19" s="275">
        <f>LARGE((S19,U19,W19,Y19,AA19,AC19,AE19,AG19,AI19,AK19),3)</f>
        <v>0</v>
      </c>
      <c r="BB19" s="275">
        <f>LARGE((S19,U19,W19,Y19,AA19,AC19,AE19,AG19,AI19,AK19),4)</f>
        <v>0</v>
      </c>
      <c r="BC19" s="275">
        <f>LARGE((S19,U19,W19,Y19,AA19,AC19,AE19,AG19,AI19,AK19),5)</f>
        <v>0</v>
      </c>
      <c r="BD19" s="275">
        <f>LARGE((S19,U19,W19,Y19,AA19,AC19,AE19,AG19,AI19,AK19),6)</f>
        <v>0</v>
      </c>
      <c r="BE19" s="275">
        <f>LARGE((S19,U19,W19,Y19,AA19,AC19,AE19,AG19,AI19,AK19),7)</f>
        <v>0</v>
      </c>
      <c r="BF19" s="275">
        <f>LARGE((S19,U19,W19,Y19,AA19,AC19,AE19,AG19,AI19,AK19),8)</f>
        <v>0</v>
      </c>
      <c r="BG19" s="275">
        <f>LARGE((S19,U19,W19,Y19,AA19,AC19,AE19,AG19,AI19,AK19),9)</f>
        <v>0</v>
      </c>
    </row>
    <row r="20" spans="1:59" ht="14.85" customHeight="1">
      <c r="A20" s="54">
        <f>ROW()-5</f>
        <v>15</v>
      </c>
      <c r="B20" s="51" t="s">
        <v>32</v>
      </c>
      <c r="C20" s="272" t="str" cm="1">
        <f t="array" ref="C20">IF(AND(COUNTIF(E20:P20,"")&lt;3,SUM(LARGE((S20,U20,W20,Y20,AA20,AC20,AE20,AG20,AI20,AK20),{1;2;3;4}))&gt;=150),"kadra A",
IF(AND(COUNTIF(E20:P20,"")&lt;3,SUM(LARGE((S20,U20,W20,Y20,AA20,AC20,AE20,AG20,AI20,AK20),{1;2;3;4}))&gt;=75),"kadra B",
IF(COUNTIF(E20:P20,"")&lt;4,"kadra C",
IF(B20="","","kadra D")
)))</f>
        <v>kadra D</v>
      </c>
      <c r="D20" s="273">
        <f>IF(C20="kadra A",AM20,IF(C20="kadra B",AN20,IF(C20="kadra C",AO20,IF(C20="kadra D",AP20,0))))</f>
        <v>39.01307714895642</v>
      </c>
      <c r="E20" s="64" t="str">
        <f>_xlfn.XLOOKUP($B20,'PP1'!$C$6:$C$150,'PP1'!$B$6:$B$150,"")</f>
        <v/>
      </c>
      <c r="F20" s="117">
        <f>_xlfn.XLOOKUP(E20,'PP1'!$B$6:$B$75,'PP1'!$A$6:$A$75,0)</f>
        <v>0</v>
      </c>
      <c r="G20" s="64" t="str">
        <f>_xlfn.XLOOKUP($B20,'PP2'!$C$6:$C$150,'PP2'!$B$6:$B$150,"")</f>
        <v/>
      </c>
      <c r="H20" s="119">
        <f>_xlfn.XLOOKUP(G20,'PP2'!$B$6:$B$75,'PP2'!$A$6:$A$75,0)</f>
        <v>0</v>
      </c>
      <c r="I20" s="115">
        <f>_xlfn.XLOOKUP($B20,'PP3'!$C$6:$C$150,'PP3'!$B$6:$B$150,"")</f>
        <v>12</v>
      </c>
      <c r="J20" s="119">
        <f>_xlfn.XLOOKUP(I20,'PP3'!$B$6:$B$75,'PP3'!$A$6:$A$75,0)</f>
        <v>18.647325789009237</v>
      </c>
      <c r="K20" s="115">
        <f>_xlfn.XLOOKUP($B20,'PP4'!$C$6:$C$150,'PP4'!$B$6:$B$150,"")</f>
        <v>7</v>
      </c>
      <c r="L20" s="119">
        <f>_xlfn.XLOOKUP(K20,'PP4'!$B$6:$B$75,'PP4'!$A$6:$A$75,0)</f>
        <v>4.1465362730591337</v>
      </c>
      <c r="M20" s="115" t="str">
        <f>_xlfn.XLOOKUP($B20,'PP5'!$C$6:$C$150,'PP5'!$B$6:$B$150,"")</f>
        <v/>
      </c>
      <c r="N20" s="119">
        <f>_xlfn.XLOOKUP(M20,'PP5'!$B$6:$B$75,'PP5'!$A$6:$A$75,0)</f>
        <v>0</v>
      </c>
      <c r="O20" s="64" t="str">
        <f>_xlfn.XLOOKUP(B20,MPW!C$6:C$150,MPW!B$6:B$150,"")</f>
        <v/>
      </c>
      <c r="P20" s="119">
        <f>_xlfn.XLOOKUP(O20,MPW!B$6:B$75,MPW!A$6:A$75,0)</f>
        <v>0</v>
      </c>
      <c r="R20" s="63" t="str">
        <f>_xlfn.XLOOKUP($B20,'PEW1'!$C$6:$C$150,'PEW1'!$B$6:$B$150,"")</f>
        <v/>
      </c>
      <c r="S20" s="71">
        <f>_xlfn.XLOOKUP(R20,'PEW1'!$B$6:$B$75,'PEW1'!$A$6:$A$75,0)</f>
        <v>0</v>
      </c>
      <c r="T20" s="63" t="str">
        <f>_xlfn.XLOOKUP($B20,'PEW2'!$C$6:$C$150,'PEW2'!$B$6:$B$150,"")</f>
        <v/>
      </c>
      <c r="U20" s="71">
        <f>_xlfn.XLOOKUP(T20,'PEW2'!$B$6:$B$75,'PEW2'!$A$6:$A$75,0)</f>
        <v>0</v>
      </c>
      <c r="V20" s="63" t="str">
        <f>_xlfn.XLOOKUP($B20,'PEW3'!$C$6:$C$150,'PEW3'!$B$6:$B$150,"")</f>
        <v/>
      </c>
      <c r="W20" s="71">
        <f>_xlfn.XLOOKUP(V20,'PEW3'!$B$6:$B$75,'PEW3'!$A$6:$A$75,0)</f>
        <v>0</v>
      </c>
      <c r="X20" s="63" t="str">
        <f>_xlfn.XLOOKUP($B20,'PEW4'!$C$6:$C$150,'PEW4'!$B$6:$B$150,"")</f>
        <v/>
      </c>
      <c r="Y20" s="71">
        <f>_xlfn.XLOOKUP(X20,'PEW4'!$B$6:$B$75,'PEW4'!$A$6:$A$75,0)</f>
        <v>0</v>
      </c>
      <c r="Z20" s="63" t="str">
        <f>_xlfn.XLOOKUP($B20,'PEW5'!$C$6:$C$150,'PEW5'!$B$6:$B$150,"")</f>
        <v/>
      </c>
      <c r="AA20" s="71">
        <f>_xlfn.XLOOKUP(Z20,'PEW5'!$B$6:$B$75,'PEW5'!$A$6:$A$75,0)</f>
        <v>0</v>
      </c>
      <c r="AB20" s="63">
        <f>_xlfn.XLOOKUP($B20,'PEW6'!$C$6:$C$150,'PEW6'!$B$6:$B$150,"")</f>
        <v>30</v>
      </c>
      <c r="AC20" s="71">
        <f>_xlfn.XLOOKUP(AB20,'PEW6'!$B$6:$B$75,'PEW6'!$A$6:$A$75,0)</f>
        <v>16.219215086888049</v>
      </c>
      <c r="AD20" s="63" t="str">
        <f>_xlfn.XLOOKUP($B20,'PEW7'!$C$6:$C$150,'PEW7'!$B$6:$B$150,"")</f>
        <v/>
      </c>
      <c r="AE20" s="71">
        <f>_xlfn.XLOOKUP(AD20,'PEW7'!$B$6:$B$75,'PEW7'!$A$6:$A$75,0)</f>
        <v>0</v>
      </c>
      <c r="AF20" s="63" t="str">
        <f>_xlfn.XLOOKUP($B20,PS!$C$6:$C$150,PS!$B$6:$B$150,"")</f>
        <v/>
      </c>
      <c r="AG20" s="71">
        <f>_xlfn.XLOOKUP(AF20,PS!$B$6:$B$75,PS!$A$6:$A$75,0)</f>
        <v>0</v>
      </c>
      <c r="AH20" s="63" t="str">
        <f>_xlfn.XLOOKUP($B20,IMEW!$C$6:$C$150,IMEW!$B$6:$B$150,"")</f>
        <v/>
      </c>
      <c r="AI20" s="71">
        <f>_xlfn.XLOOKUP(AH20,IMEW!$B$6:$B$75,IMEW!$A$6:$A$75,0)</f>
        <v>0</v>
      </c>
      <c r="AJ20" s="63" t="str" cm="1">
        <f t="array" ref="AJ20">_xlfn.XLOOKUP($B20,IMSW!C$6:C$201,IMSW!$B$6:B$201,"")</f>
        <v/>
      </c>
      <c r="AK20" s="72">
        <f>_xlfn.XLOOKUP(AJ20,IMSW!$B$6:$B$201,IMSW!$A$6:$A$201,0)</f>
        <v>0</v>
      </c>
      <c r="AM20" s="275" cm="1">
        <f t="array" ref="AM20">IF(AY20&gt;=150,SUM(AR20,AS20,AT20,AU20,AY20)+SUM(LARGE((AV20,AW20,AZ20,BA20,BB20),{1;2;3})),
        IF(AY20+AZ20&gt;=150,SUM(AR20,AS20,AT20,AU20,AY20,AZ20)+SUM(LARGE((AV20,AW20,BA20,BB20),{1;2})),
               IF(AY20+AZ20+BA20&gt;=150,SUM(AR20,AS20,AT20,AU20,AY20,AZ20,BA20)+SUM(LARGE((AV20,AW20,BB20),1)),
                      IF(AY20+AZ20+BA20+BB20&gt;=150,SUM(AR20,AS20,AT20,AU20,AY20,AZ20,BA20,BB20),0)
                     )
              )
       )</f>
        <v>0</v>
      </c>
      <c r="AN20" s="275" cm="1">
        <f t="array" ref="AN20">IF(AY20&gt;=75,SUM(AR20,AS20,AT20,AU20,AY20)+SUM(LARGE((AV20,AW20,AZ20,BA20,BB20),{1;2;3})),
        IF(AY20+AZ20&gt;=75,SUM(AR20,AS20,AT20,AU20,AY20,AZ20)+SUM(LARGE((AV20,AW20,BA20,BB20),{1;2})),
               IF(AY20+AZ20+BA20&gt;=75,SUM(AR20,AS20,AT20,AU20,AY20,AZ20,BA20)+SUM(LARGE((AV20,AW20,BB20),1)),
                      IF(AY20+AZ20+BA20+BB20&gt;=75,SUM(AR20,AS20,AT20,AU20,AY20,AZ20,BA20,BB20),0)
                     )
              )
       )</f>
        <v>0</v>
      </c>
      <c r="AO20" s="275" cm="1">
        <f t="array" ref="AO20">SUM(AR20:AT20)+SUM(LARGE((AU20:BC20),{1;2;3;4;5}))</f>
        <v>39.01307714895642</v>
      </c>
      <c r="AP20" s="275" cm="1">
        <f t="array" ref="AP20">SUM(LARGE((AR20:BF20),{1;2;3;4;5;6;7;8}))</f>
        <v>39.01307714895642</v>
      </c>
      <c r="AQ20" s="275"/>
      <c r="AR20" s="275">
        <f>LARGE((F20,H20,J20,L20,N20,P20),1)</f>
        <v>18.647325789009237</v>
      </c>
      <c r="AS20" s="275">
        <f>LARGE((F20,H20,J20,L20,N20,P20),2)</f>
        <v>4.1465362730591337</v>
      </c>
      <c r="AT20" s="275">
        <f>LARGE((F20,H20,J20,L20,N20,P20),3)</f>
        <v>0</v>
      </c>
      <c r="AU20" s="275">
        <f>LARGE((F20,H20,J20,L20,N20,P20),4)</f>
        <v>0</v>
      </c>
      <c r="AV20" s="275">
        <f>LARGE((F20,H20,J20,L20,N20,P20),5)</f>
        <v>0</v>
      </c>
      <c r="AW20" s="275">
        <f>LARGE((F20,H20,J20,L20,N20,P20),6)</f>
        <v>0</v>
      </c>
      <c r="AY20" s="275">
        <f>LARGE((S20,U20,W20,Y20,AA20,AC20,AE20,AG20,AI20,AK20),1)</f>
        <v>16.219215086888049</v>
      </c>
      <c r="AZ20" s="275">
        <f>LARGE((S20,U20,W20,Y20,AA20,AC20,AE20,AG20,AI20,AK20),2)</f>
        <v>0</v>
      </c>
      <c r="BA20" s="275">
        <f>LARGE((S20,U20,W20,Y20,AA20,AC20,AE20,AG20,AI20,AK20),3)</f>
        <v>0</v>
      </c>
      <c r="BB20" s="275">
        <f>LARGE((S20,U20,W20,Y20,AA20,AC20,AE20,AG20,AI20,AK20),4)</f>
        <v>0</v>
      </c>
      <c r="BC20" s="275">
        <f>LARGE((S20,U20,W20,Y20,AA20,AC20,AE20,AG20,AI20,AK20),5)</f>
        <v>0</v>
      </c>
      <c r="BD20" s="275">
        <f>LARGE((S20,U20,W20,Y20,AA20,AC20,AE20,AG20,AI20,AK20),6)</f>
        <v>0</v>
      </c>
      <c r="BE20" s="275">
        <f>LARGE((S20,U20,W20,Y20,AA20,AC20,AE20,AG20,AI20,AK20),7)</f>
        <v>0</v>
      </c>
      <c r="BF20" s="275">
        <f>LARGE((S20,U20,W20,Y20,AA20,AC20,AE20,AG20,AI20,AK20),8)</f>
        <v>0</v>
      </c>
      <c r="BG20" s="275">
        <f>LARGE((S20,U20,W20,Y20,AA20,AC20,AE20,AG20,AI20,AK20),9)</f>
        <v>0</v>
      </c>
    </row>
    <row r="21" spans="1:59" ht="14.85" customHeight="1">
      <c r="A21" s="54">
        <f>ROW()-5</f>
        <v>16</v>
      </c>
      <c r="B21" s="51" t="s">
        <v>163</v>
      </c>
      <c r="C21" s="272" t="str" cm="1">
        <f t="array" ref="C21">IF(AND(COUNTIF(E21:P21,"")&lt;3,SUM(LARGE((S21,U21,W21,Y21,AA21,AC21,AE21,AG21,AI21,AK21),{1;2;3;4}))&gt;=150),"kadra A",
IF(AND(COUNTIF(E21:P21,"")&lt;3,SUM(LARGE((S21,U21,W21,Y21,AA21,AC21,AE21,AG21,AI21,AK21),{1;2;3;4}))&gt;=75),"kadra B",
IF(COUNTIF(E21:P21,"")&lt;4,"kadra C",
IF(B21="","","kadra D")
)))</f>
        <v>kadra D</v>
      </c>
      <c r="D21" s="273">
        <f>IF(C21="kadra A",AM21,IF(C21="kadra B",AN21,IF(C21="kadra C",AO21,IF(C21="kadra D",AP21,0))))</f>
        <v>36.029610059033629</v>
      </c>
      <c r="E21" s="64" t="str">
        <f>_xlfn.XLOOKUP($B21,'PP1'!$C$6:$C$150,'PP1'!$B$6:$B$150,"")</f>
        <v/>
      </c>
      <c r="F21" s="117">
        <f>_xlfn.XLOOKUP(E21,'PP1'!$B$6:$B$75,'PP1'!$A$6:$A$75,0)</f>
        <v>0</v>
      </c>
      <c r="G21" s="64" t="str">
        <f>_xlfn.XLOOKUP($B21,'PP2'!$C$6:$C$150,'PP2'!$B$6:$B$150,"")</f>
        <v/>
      </c>
      <c r="H21" s="119">
        <f>_xlfn.XLOOKUP(G21,'PP2'!$B$6:$B$75,'PP2'!$A$6:$A$75,0)</f>
        <v>0</v>
      </c>
      <c r="I21" s="115" t="str">
        <f>_xlfn.XLOOKUP($B21,'PP3'!$C$6:$C$150,'PP3'!$B$6:$B$150,"")</f>
        <v/>
      </c>
      <c r="J21" s="119">
        <f>_xlfn.XLOOKUP(I21,'PP3'!$B$6:$B$75,'PP3'!$A$6:$A$75,0)</f>
        <v>0</v>
      </c>
      <c r="K21" s="115" t="str">
        <f>_xlfn.XLOOKUP($B21,'PP4'!$C$6:$C$150,'PP4'!$B$6:$B$150,"")</f>
        <v/>
      </c>
      <c r="L21" s="119">
        <f>_xlfn.XLOOKUP(K21,'PP4'!$B$6:$B$75,'PP4'!$A$6:$A$75,0)</f>
        <v>0</v>
      </c>
      <c r="M21" s="115" t="str">
        <f>_xlfn.XLOOKUP($B21,'PP5'!$C$6:$C$150,'PP5'!$B$6:$B$150,"")</f>
        <v/>
      </c>
      <c r="N21" s="119">
        <f>_xlfn.XLOOKUP(M21,'PP5'!$B$6:$B$75,'PP5'!$A$6:$A$75,0)</f>
        <v>0</v>
      </c>
      <c r="O21" s="64" t="str">
        <f>_xlfn.XLOOKUP(B21,MPW!C$6:C$150,MPW!B$6:B$150,"")</f>
        <v/>
      </c>
      <c r="P21" s="119">
        <f>_xlfn.XLOOKUP(O21,MPW!B$6:B$75,MPW!A$6:A$75,0)</f>
        <v>0</v>
      </c>
      <c r="R21" s="63" t="str">
        <f>_xlfn.XLOOKUP($B21,'PEW1'!$C$6:$C$150,'PEW1'!$B$6:$B$150,"")</f>
        <v/>
      </c>
      <c r="S21" s="71">
        <f>_xlfn.XLOOKUP(R21,'PEW1'!$B$6:$B$75,'PEW1'!$A$6:$A$75,0)</f>
        <v>0</v>
      </c>
      <c r="T21" s="63" t="str">
        <f>_xlfn.XLOOKUP($B21,'PEW2'!$C$6:$C$150,'PEW2'!$B$6:$B$150,"")</f>
        <v/>
      </c>
      <c r="U21" s="71">
        <f>_xlfn.XLOOKUP(T21,'PEW2'!$B$6:$B$75,'PEW2'!$A$6:$A$75,0)</f>
        <v>0</v>
      </c>
      <c r="V21" s="63" t="str">
        <f>_xlfn.XLOOKUP($B21,'PEW3'!$C$6:$C$150,'PEW3'!$B$6:$B$150,"")</f>
        <v/>
      </c>
      <c r="W21" s="71">
        <f>_xlfn.XLOOKUP(V21,'PEW3'!$B$6:$B$75,'PEW3'!$A$6:$A$75,0)</f>
        <v>0</v>
      </c>
      <c r="X21" s="63" t="str">
        <f>_xlfn.XLOOKUP($B21,'PEW4'!$C$6:$C$150,'PEW4'!$B$6:$B$150,"")</f>
        <v/>
      </c>
      <c r="Y21" s="71">
        <f>_xlfn.XLOOKUP(X21,'PEW4'!$B$6:$B$75,'PEW4'!$A$6:$A$75,0)</f>
        <v>0</v>
      </c>
      <c r="Z21" s="63" t="str">
        <f>_xlfn.XLOOKUP($B21,'PEW5'!$C$6:$C$150,'PEW5'!$B$6:$B$150,"")</f>
        <v/>
      </c>
      <c r="AA21" s="71">
        <f>_xlfn.XLOOKUP(Z21,'PEW5'!$B$6:$B$75,'PEW5'!$A$6:$A$75,0)</f>
        <v>0</v>
      </c>
      <c r="AB21" s="63">
        <f>_xlfn.XLOOKUP($B21,'PEW6'!$C$6:$C$150,'PEW6'!$B$6:$B$150,"")</f>
        <v>14</v>
      </c>
      <c r="AC21" s="71">
        <f>_xlfn.XLOOKUP(AB21,'PEW6'!$B$6:$B$75,'PEW6'!$A$6:$A$75,0)</f>
        <v>36.029610059033629</v>
      </c>
      <c r="AD21" s="63" t="str">
        <f>_xlfn.XLOOKUP($B21,'PEW7'!$C$6:$C$150,'PEW7'!$B$6:$B$150,"")</f>
        <v/>
      </c>
      <c r="AE21" s="71">
        <f>_xlfn.XLOOKUP(AD21,'PEW7'!$B$6:$B$75,'PEW7'!$A$6:$A$75,0)</f>
        <v>0</v>
      </c>
      <c r="AF21" s="63" t="str">
        <f>_xlfn.XLOOKUP($B21,PS!$C$6:$C$150,PS!$B$6:$B$150,"")</f>
        <v/>
      </c>
      <c r="AG21" s="71">
        <f>_xlfn.XLOOKUP(AF21,PS!$B$6:$B$75,PS!$A$6:$A$75,0)</f>
        <v>0</v>
      </c>
      <c r="AH21" s="63" t="str">
        <f>_xlfn.XLOOKUP($B21,IMEW!$C$6:$C$150,IMEW!$B$6:$B$150,"")</f>
        <v/>
      </c>
      <c r="AI21" s="71">
        <f>_xlfn.XLOOKUP(AH21,IMEW!$B$6:$B$75,IMEW!$A$6:$A$75,0)</f>
        <v>0</v>
      </c>
      <c r="AJ21" s="63" t="str" cm="1">
        <f t="array" ref="AJ21">_xlfn.XLOOKUP($B21,IMSW!C$6:C$201,IMSW!$B$6:B$201,"")</f>
        <v/>
      </c>
      <c r="AK21" s="72">
        <f>_xlfn.XLOOKUP(AJ21,IMSW!$B$6:$B$201,IMSW!$A$6:$A$201,0)</f>
        <v>0</v>
      </c>
      <c r="AM21" s="275" cm="1">
        <f t="array" ref="AM21">IF(AY21&gt;=150,SUM(AR21,AS21,AT21,AU21,AY21)+SUM(LARGE((AV21,AW21,AZ21,BA21,BB21),{1;2;3})),
        IF(AY21+AZ21&gt;=150,SUM(AR21,AS21,AT21,AU21,AY21,AZ21)+SUM(LARGE((AV21,AW21,BA21,BB21),{1;2})),
               IF(AY21+AZ21+BA21&gt;=150,SUM(AR21,AS21,AT21,AU21,AY21,AZ21,BA21)+SUM(LARGE((AV21,AW21,BB21),1)),
                      IF(AY21+AZ21+BA21+BB21&gt;=150,SUM(AR21,AS21,AT21,AU21,AY21,AZ21,BA21,BB21),0)
                     )
              )
       )</f>
        <v>0</v>
      </c>
      <c r="AN21" s="275" cm="1">
        <f t="array" ref="AN21">IF(AY21&gt;=75,SUM(AR21,AS21,AT21,AU21,AY21)+SUM(LARGE((AV21,AW21,AZ21,BA21,BB21),{1;2;3})),
        IF(AY21+AZ21&gt;=75,SUM(AR21,AS21,AT21,AU21,AY21,AZ21)+SUM(LARGE((AV21,AW21,BA21,BB21),{1;2})),
               IF(AY21+AZ21+BA21&gt;=75,SUM(AR21,AS21,AT21,AU21,AY21,AZ21,BA21)+SUM(LARGE((AV21,AW21,BB21),1)),
                      IF(AY21+AZ21+BA21+BB21&gt;=75,SUM(AR21,AS21,AT21,AU21,AY21,AZ21,BA21,BB21),0)
                     )
              )
       )</f>
        <v>0</v>
      </c>
      <c r="AO21" s="275" cm="1">
        <f t="array" ref="AO21">SUM(AR21:AT21)+SUM(LARGE((AU21:BC21),{1;2;3;4;5}))</f>
        <v>36.029610059033629</v>
      </c>
      <c r="AP21" s="275" cm="1">
        <f t="array" ref="AP21">SUM(LARGE((AR21:BF21),{1;2;3;4;5;6;7;8}))</f>
        <v>36.029610059033629</v>
      </c>
      <c r="AQ21" s="275"/>
      <c r="AR21" s="275">
        <f>LARGE((F21,H21,J21,L21,N21,P21),1)</f>
        <v>0</v>
      </c>
      <c r="AS21" s="275">
        <f>LARGE((F21,H21,J21,L21,N21,P21),2)</f>
        <v>0</v>
      </c>
      <c r="AT21" s="275">
        <f>LARGE((F21,H21,J21,L21,N21,P21),3)</f>
        <v>0</v>
      </c>
      <c r="AU21" s="275">
        <f>LARGE((F21,H21,J21,L21,N21,P21),4)</f>
        <v>0</v>
      </c>
      <c r="AV21" s="275">
        <f>LARGE((F21,H21,J21,L21,N21,P21),5)</f>
        <v>0</v>
      </c>
      <c r="AW21" s="275">
        <f>LARGE((F21,H21,J21,L21,N21,P21),6)</f>
        <v>0</v>
      </c>
      <c r="AY21" s="275">
        <f>LARGE((S21,U21,W21,Y21,AA21,AC21,AE21,AG21,AI21,AK21),1)</f>
        <v>36.029610059033629</v>
      </c>
      <c r="AZ21" s="275">
        <f>LARGE((S21,U21,W21,Y21,AA21,AC21,AE21,AG21,AI21,AK21),2)</f>
        <v>0</v>
      </c>
      <c r="BA21" s="275">
        <f>LARGE((S21,U21,W21,Y21,AA21,AC21,AE21,AG21,AI21,AK21),3)</f>
        <v>0</v>
      </c>
      <c r="BB21" s="275">
        <f>LARGE((S21,U21,W21,Y21,AA21,AC21,AE21,AG21,AI21,AK21),4)</f>
        <v>0</v>
      </c>
      <c r="BC21" s="275">
        <f>LARGE((S21,U21,W21,Y21,AA21,AC21,AE21,AG21,AI21,AK21),5)</f>
        <v>0</v>
      </c>
      <c r="BD21" s="275">
        <f>LARGE((S21,U21,W21,Y21,AA21,AC21,AE21,AG21,AI21,AK21),6)</f>
        <v>0</v>
      </c>
      <c r="BE21" s="275">
        <f>LARGE((S21,U21,W21,Y21,AA21,AC21,AE21,AG21,AI21,AK21),7)</f>
        <v>0</v>
      </c>
      <c r="BF21" s="275">
        <f>LARGE((S21,U21,W21,Y21,AA21,AC21,AE21,AG21,AI21,AK21),8)</f>
        <v>0</v>
      </c>
      <c r="BG21" s="275">
        <f>LARGE((S21,U21,W21,Y21,AA21,AC21,AE21,AG21,AI21,AK21),9)</f>
        <v>0</v>
      </c>
    </row>
    <row r="22" spans="1:59" ht="14.85" customHeight="1">
      <c r="A22" s="54">
        <f>ROW()-5</f>
        <v>17</v>
      </c>
      <c r="B22" s="320" t="s">
        <v>30</v>
      </c>
      <c r="C22" s="272" t="str" cm="1">
        <f t="array" ref="C22">IF(AND(COUNTIF(E22:P22,"")&lt;3,SUM(LARGE((S22,U22,W22,Y22,AA22,AC22,AE22,AG22,AI22,AK22),{1;2;3;4}))&gt;=150),"kadra A",
IF(AND(COUNTIF(E22:P22,"")&lt;3,SUM(LARGE((S22,U22,W22,Y22,AA22,AC22,AE22,AG22,AI22,AK22),{1;2;3;4}))&gt;=75),"kadra B",
IF(COUNTIF(E22:P22,"")&lt;4,"kadra C",
IF(B22="","","kadra D")
)))</f>
        <v>kadra D</v>
      </c>
      <c r="D22" s="273">
        <f>IF(C22="kadra A",AM22,IF(C22="kadra B",AN22,IF(C22="kadra C",AO22,IF(C22="kadra D",AP22,0))))</f>
        <v>27.333333333333329</v>
      </c>
      <c r="E22" s="64" t="str">
        <f>_xlfn.XLOOKUP($B22,'PP1'!$C$6:$C$150,'PP1'!$B$6:$B$150,"")</f>
        <v/>
      </c>
      <c r="F22" s="117">
        <f>_xlfn.XLOOKUP(E22,'PP1'!$B$6:$B$75,'PP1'!$A$6:$A$75,0)</f>
        <v>0</v>
      </c>
      <c r="G22" s="64">
        <f>_xlfn.XLOOKUP($B22,'PP2'!$C$6:$C$150,'PP2'!$B$6:$B$150,"")</f>
        <v>4</v>
      </c>
      <c r="H22" s="119">
        <f>_xlfn.XLOOKUP(G22,'PP2'!$B$6:$B$75,'PP2'!$A$6:$A$75,0)</f>
        <v>27.333333333333329</v>
      </c>
      <c r="I22" s="115" t="str">
        <f>_xlfn.XLOOKUP($B22,'PP3'!$C$6:$C$150,'PP3'!$B$6:$B$150,"")</f>
        <v/>
      </c>
      <c r="J22" s="119">
        <f>_xlfn.XLOOKUP(I22,'PP3'!$B$6:$B$75,'PP3'!$A$6:$A$75,0)</f>
        <v>0</v>
      </c>
      <c r="K22" s="115" t="str">
        <f>_xlfn.XLOOKUP($B22,'PP4'!$C$6:$C$150,'PP4'!$B$6:$B$150,"")</f>
        <v/>
      </c>
      <c r="L22" s="119">
        <f>_xlfn.XLOOKUP(K22,'PP4'!$B$6:$B$75,'PP4'!$A$6:$A$75,0)</f>
        <v>0</v>
      </c>
      <c r="M22" s="115" t="str">
        <f>_xlfn.XLOOKUP($B22,'PP5'!$C$6:$C$150,'PP5'!$B$6:$B$150,"")</f>
        <v/>
      </c>
      <c r="N22" s="119">
        <f>_xlfn.XLOOKUP(M22,'PP5'!$B$6:$B$75,'PP5'!$A$6:$A$75,0)</f>
        <v>0</v>
      </c>
      <c r="O22" s="64" t="str">
        <f>_xlfn.XLOOKUP(B22,MPW!C$6:C$150,MPW!B$6:B$150,"")</f>
        <v/>
      </c>
      <c r="P22" s="119">
        <f>_xlfn.XLOOKUP(O22,MPW!B$6:B$75,MPW!A$6:A$75,0)</f>
        <v>0</v>
      </c>
      <c r="R22" s="63" t="str">
        <f>_xlfn.XLOOKUP($B22,'PEW1'!$C$6:$C$150,'PEW1'!$B$6:$B$150,"")</f>
        <v/>
      </c>
      <c r="S22" s="71">
        <f>_xlfn.XLOOKUP(R22,'PEW1'!$B$6:$B$75,'PEW1'!$A$6:$A$75,0)</f>
        <v>0</v>
      </c>
      <c r="T22" s="63" t="str">
        <f>_xlfn.XLOOKUP($B22,'PEW2'!$C$6:$C$150,'PEW2'!$B$6:$B$150,"")</f>
        <v/>
      </c>
      <c r="U22" s="71">
        <f>_xlfn.XLOOKUP(T22,'PEW2'!$B$6:$B$75,'PEW2'!$A$6:$A$75,0)</f>
        <v>0</v>
      </c>
      <c r="V22" s="63" t="str">
        <f>_xlfn.XLOOKUP($B22,'PEW3'!$C$6:$C$150,'PEW3'!$B$6:$B$150,"")</f>
        <v/>
      </c>
      <c r="W22" s="71">
        <f>_xlfn.XLOOKUP(V22,'PEW3'!$B$6:$B$75,'PEW3'!$A$6:$A$75,0)</f>
        <v>0</v>
      </c>
      <c r="X22" s="63" t="str">
        <f>_xlfn.XLOOKUP($B22,'PEW4'!$C$6:$C$150,'PEW4'!$B$6:$B$150,"")</f>
        <v/>
      </c>
      <c r="Y22" s="71">
        <f>_xlfn.XLOOKUP(X22,'PEW4'!$B$6:$B$75,'PEW4'!$A$6:$A$75,0)</f>
        <v>0</v>
      </c>
      <c r="Z22" s="63" t="str">
        <f>_xlfn.XLOOKUP($B22,'PEW5'!$C$6:$C$150,'PEW5'!$B$6:$B$150,"")</f>
        <v/>
      </c>
      <c r="AA22" s="71">
        <f>_xlfn.XLOOKUP(Z22,'PEW5'!$B$6:$B$75,'PEW5'!$A$6:$A$75,0)</f>
        <v>0</v>
      </c>
      <c r="AB22" s="63" t="str">
        <f>_xlfn.XLOOKUP($B22,'PEW6'!$C$6:$C$150,'PEW6'!$B$6:$B$150,"")</f>
        <v/>
      </c>
      <c r="AC22" s="71">
        <f>_xlfn.XLOOKUP(AB22,'PEW6'!$B$6:$B$75,'PEW6'!$A$6:$A$75,0)</f>
        <v>0</v>
      </c>
      <c r="AD22" s="63" t="str">
        <f>_xlfn.XLOOKUP($B22,'PEW7'!$C$6:$C$150,'PEW7'!$B$6:$B$150,"")</f>
        <v/>
      </c>
      <c r="AE22" s="71">
        <f>_xlfn.XLOOKUP(AD22,'PEW7'!$B$6:$B$75,'PEW7'!$A$6:$A$75,0)</f>
        <v>0</v>
      </c>
      <c r="AF22" s="63" t="str">
        <f>_xlfn.XLOOKUP($B22,PS!$C$6:$C$150,PS!$B$6:$B$150,"")</f>
        <v/>
      </c>
      <c r="AG22" s="71">
        <f>_xlfn.XLOOKUP(AF22,PS!$B$6:$B$75,PS!$A$6:$A$75,0)</f>
        <v>0</v>
      </c>
      <c r="AH22" s="63" t="str">
        <f>_xlfn.XLOOKUP($B22,IMEW!$C$6:$C$150,IMEW!$B$6:$B$150,"")</f>
        <v/>
      </c>
      <c r="AI22" s="71">
        <f>_xlfn.XLOOKUP(AH22,IMEW!$B$6:$B$75,IMEW!$A$6:$A$75,0)</f>
        <v>0</v>
      </c>
      <c r="AJ22" s="63" t="str" cm="1">
        <f t="array" ref="AJ22">_xlfn.XLOOKUP($B22,IMSW!C$6:C$201,IMSW!$B$6:B$201,"")</f>
        <v/>
      </c>
      <c r="AK22" s="72">
        <f>_xlfn.XLOOKUP(AJ22,IMSW!$B$6:$B$201,IMSW!$A$6:$A$201,0)</f>
        <v>0</v>
      </c>
      <c r="AM22" s="275" cm="1">
        <f t="array" ref="AM22">IF(AY22&gt;=150,SUM(AR22,AS22,AT22,AU22,AY22)+SUM(LARGE((AV22,AW22,AZ22,BA22,BB22),{1;2;3})),
        IF(AY22+AZ22&gt;=150,SUM(AR22,AS22,AT22,AU22,AY22,AZ22)+SUM(LARGE((AV22,AW22,BA22,BB22),{1;2})),
               IF(AY22+AZ22+BA22&gt;=150,SUM(AR22,AS22,AT22,AU22,AY22,AZ22,BA22)+SUM(LARGE((AV22,AW22,BB22),1)),
                      IF(AY22+AZ22+BA22+BB22&gt;=150,SUM(AR22,AS22,AT22,AU22,AY22,AZ22,BA22,BB22),0)
                     )
              )
       )</f>
        <v>0</v>
      </c>
      <c r="AN22" s="275" cm="1">
        <f t="array" ref="AN22">IF(AY22&gt;=75,SUM(AR22,AS22,AT22,AU22,AY22)+SUM(LARGE((AV22,AW22,AZ22,BA22,BB22),{1;2;3})),
        IF(AY22+AZ22&gt;=75,SUM(AR22,AS22,AT22,AU22,AY22,AZ22)+SUM(LARGE((AV22,AW22,BA22,BB22),{1;2})),
               IF(AY22+AZ22+BA22&gt;=75,SUM(AR22,AS22,AT22,AU22,AY22,AZ22,BA22)+SUM(LARGE((AV22,AW22,BB22),1)),
                      IF(AY22+AZ22+BA22+BB22&gt;=75,SUM(AR22,AS22,AT22,AU22,AY22,AZ22,BA22,BB22),0)
                     )
              )
       )</f>
        <v>0</v>
      </c>
      <c r="AO22" s="275" cm="1">
        <f t="array" ref="AO22">SUM(AR22:AT22)+SUM(LARGE((AU22:BC22),{1;2;3;4;5}))</f>
        <v>27.333333333333329</v>
      </c>
      <c r="AP22" s="275" cm="1">
        <f t="array" ref="AP22">SUM(LARGE((AR22:BF22),{1;2;3;4;5;6;7;8}))</f>
        <v>27.333333333333329</v>
      </c>
      <c r="AQ22" s="275"/>
      <c r="AR22" s="275">
        <f>LARGE((F22,H22,J22,L22,N22,P22),1)</f>
        <v>27.333333333333329</v>
      </c>
      <c r="AS22" s="275">
        <f>LARGE((F22,H22,J22,L22,N22,P22),2)</f>
        <v>0</v>
      </c>
      <c r="AT22" s="275">
        <f>LARGE((F22,H22,J22,L22,N22,P22),3)</f>
        <v>0</v>
      </c>
      <c r="AU22" s="275">
        <f>LARGE((F22,H22,J22,L22,N22,P22),4)</f>
        <v>0</v>
      </c>
      <c r="AV22" s="275">
        <f>LARGE((F22,H22,J22,L22,N22,P22),5)</f>
        <v>0</v>
      </c>
      <c r="AW22" s="275">
        <f>LARGE((F22,H22,J22,L22,N22,P22),6)</f>
        <v>0</v>
      </c>
      <c r="AY22" s="275">
        <f>LARGE((S22,U22,W22,Y22,AA22,AC22,AE22,AG22,AI22,AK22),1)</f>
        <v>0</v>
      </c>
      <c r="AZ22" s="275">
        <f>LARGE((S22,U22,W22,Y22,AA22,AC22,AE22,AG22,AI22,AK22),2)</f>
        <v>0</v>
      </c>
      <c r="BA22" s="275">
        <f>LARGE((S22,U22,W22,Y22,AA22,AC22,AE22,AG22,AI22,AK22),3)</f>
        <v>0</v>
      </c>
      <c r="BB22" s="275">
        <f>LARGE((S22,U22,W22,Y22,AA22,AC22,AE22,AG22,AI22,AK22),4)</f>
        <v>0</v>
      </c>
      <c r="BC22" s="275">
        <f>LARGE((S22,U22,W22,Y22,AA22,AC22,AE22,AG22,AI22,AK22),5)</f>
        <v>0</v>
      </c>
      <c r="BD22" s="275">
        <f>LARGE((S22,U22,W22,Y22,AA22,AC22,AE22,AG22,AI22,AK22),6)</f>
        <v>0</v>
      </c>
      <c r="BE22" s="275">
        <f>LARGE((S22,U22,W22,Y22,AA22,AC22,AE22,AG22,AI22,AK22),7)</f>
        <v>0</v>
      </c>
      <c r="BF22" s="275">
        <f>LARGE((S22,U22,W22,Y22,AA22,AC22,AE22,AG22,AI22,AK22),8)</f>
        <v>0</v>
      </c>
      <c r="BG22" s="275">
        <f>LARGE((S22,U22,W22,Y22,AA22,AC22,AE22,AG22,AI22,AK22),9)</f>
        <v>0</v>
      </c>
    </row>
    <row r="23" spans="1:59" ht="14.85" customHeight="1">
      <c r="A23" s="54">
        <f>ROW()-5</f>
        <v>18</v>
      </c>
      <c r="B23" s="323" t="s">
        <v>31</v>
      </c>
      <c r="C23" s="272" t="str" cm="1">
        <f t="array" ref="C23">IF(AND(COUNTIF(E23:P23,"")&lt;3,SUM(LARGE((S23,U23,W23,Y23,AA23,AC23,AE23,AG23,AI23,AK23),{1;2;3;4}))&gt;=150),"kadra A",
IF(AND(COUNTIF(E23:P23,"")&lt;3,SUM(LARGE((S23,U23,W23,Y23,AA23,AC23,AE23,AG23,AI23,AK23),{1;2;3;4}))&gt;=75),"kadra B",
IF(COUNTIF(E23:P23,"")&lt;4,"kadra C",
IF(B23="","","kadra D")
)))</f>
        <v>kadra D</v>
      </c>
      <c r="D23" s="273">
        <f>IF(C23="kadra A",AM23,IF(C23="kadra B",AN23,IF(C23="kadra C",AO23,IF(C23="kadra D",AP23,0))))</f>
        <v>26.679436990954862</v>
      </c>
      <c r="E23" s="64" t="str">
        <f>_xlfn.XLOOKUP($B23,'PP1'!$C$6:$C$150,'PP1'!$B$6:$B$150,"")</f>
        <v/>
      </c>
      <c r="F23" s="117">
        <f>_xlfn.XLOOKUP(E23,'PP1'!$B$6:$B$75,'PP1'!$A$6:$A$75,0)</f>
        <v>0</v>
      </c>
      <c r="G23" s="64" t="str">
        <f>_xlfn.XLOOKUP($B23,'PP2'!$C$6:$C$150,'PP2'!$B$6:$B$150,"")</f>
        <v/>
      </c>
      <c r="H23" s="119">
        <f>_xlfn.XLOOKUP(G23,'PP2'!$B$6:$B$75,'PP2'!$A$6:$A$75,0)</f>
        <v>0</v>
      </c>
      <c r="I23" s="115">
        <f>_xlfn.XLOOKUP($B23,'PP3'!$C$6:$C$150,'PP3'!$B$6:$B$150,"")</f>
        <v>13</v>
      </c>
      <c r="J23" s="119">
        <f>_xlfn.XLOOKUP(I23,'PP3'!$B$6:$B$75,'PP3'!$A$6:$A$75,0)</f>
        <v>17.315291841709161</v>
      </c>
      <c r="K23" s="115">
        <f>_xlfn.XLOOKUP($B23,'PP4'!$C$6:$C$150,'PP4'!$B$6:$B$150,"")</f>
        <v>6</v>
      </c>
      <c r="L23" s="119">
        <f>_xlfn.XLOOKUP(K23,'PP4'!$B$6:$B$75,'PP4'!$A$6:$A$75,0)</f>
        <v>7.7789458215544443</v>
      </c>
      <c r="M23" s="115" t="str">
        <f>_xlfn.XLOOKUP($B23,'PP5'!$C$6:$C$150,'PP5'!$B$6:$B$150,"")</f>
        <v/>
      </c>
      <c r="N23" s="119">
        <f>_xlfn.XLOOKUP(M23,'PP5'!$B$6:$B$75,'PP5'!$A$6:$A$75,0)</f>
        <v>0</v>
      </c>
      <c r="O23" s="64" t="str">
        <f>_xlfn.XLOOKUP(B23,MPW!C$6:C$150,MPW!B$6:B$150,"")</f>
        <v/>
      </c>
      <c r="P23" s="119">
        <f>_xlfn.XLOOKUP(O23,MPW!B$6:B$75,MPW!A$6:A$75,0)</f>
        <v>0</v>
      </c>
      <c r="R23" s="63" t="str">
        <f>_xlfn.XLOOKUP($B23,'PEW1'!$C$6:$C$150,'PEW1'!$B$6:$B$150,"")</f>
        <v/>
      </c>
      <c r="S23" s="71">
        <f>_xlfn.XLOOKUP(R23,'PEW1'!$B$6:$B$75,'PEW1'!$A$6:$A$75,0)</f>
        <v>0</v>
      </c>
      <c r="T23" s="63" t="str">
        <f>_xlfn.XLOOKUP($B23,'PEW2'!$C$6:$C$150,'PEW2'!$B$6:$B$150,"")</f>
        <v/>
      </c>
      <c r="U23" s="71">
        <f>_xlfn.XLOOKUP(T23,'PEW2'!$B$6:$B$75,'PEW2'!$A$6:$A$75,0)</f>
        <v>0</v>
      </c>
      <c r="V23" s="63" t="str">
        <f>_xlfn.XLOOKUP($B23,'PEW3'!$C$6:$C$150,'PEW3'!$B$6:$B$150,"")</f>
        <v/>
      </c>
      <c r="W23" s="71">
        <f>_xlfn.XLOOKUP(V23,'PEW3'!$B$6:$B$75,'PEW3'!$A$6:$A$75,0)</f>
        <v>0</v>
      </c>
      <c r="X23" s="63" t="str">
        <f>_xlfn.XLOOKUP($B23,'PEW4'!$C$6:$C$150,'PEW4'!$B$6:$B$150,"")</f>
        <v/>
      </c>
      <c r="Y23" s="71">
        <f>_xlfn.XLOOKUP(X23,'PEW4'!$B$6:$B$75,'PEW4'!$A$6:$A$75,0)</f>
        <v>0</v>
      </c>
      <c r="Z23" s="63" t="str">
        <f>_xlfn.XLOOKUP($B23,'PEW5'!$C$6:$C$150,'PEW5'!$B$6:$B$150,"")</f>
        <v/>
      </c>
      <c r="AA23" s="71">
        <f>_xlfn.XLOOKUP(Z23,'PEW5'!$B$6:$B$75,'PEW5'!$A$6:$A$75,0)</f>
        <v>0</v>
      </c>
      <c r="AB23" s="63">
        <f>_xlfn.XLOOKUP($B23,'PEW6'!$C$6:$C$150,'PEW6'!$B$6:$B$150,"")</f>
        <v>43</v>
      </c>
      <c r="AC23" s="71">
        <f>_xlfn.XLOOKUP(AB23,'PEW6'!$B$6:$B$75,'PEW6'!$A$6:$A$75,0)</f>
        <v>1.5851993276912566</v>
      </c>
      <c r="AD23" s="63" t="str">
        <f>_xlfn.XLOOKUP($B23,'PEW7'!$C$6:$C$150,'PEW7'!$B$6:$B$150,"")</f>
        <v/>
      </c>
      <c r="AE23" s="71">
        <f>_xlfn.XLOOKUP(AD23,'PEW7'!$B$6:$B$75,'PEW7'!$A$6:$A$75,0)</f>
        <v>0</v>
      </c>
      <c r="AF23" s="63" t="str">
        <f>_xlfn.XLOOKUP($B23,PS!$C$6:$C$150,PS!$B$6:$B$150,"")</f>
        <v/>
      </c>
      <c r="AG23" s="71">
        <f>_xlfn.XLOOKUP(AF23,PS!$B$6:$B$75,PS!$A$6:$A$75,0)</f>
        <v>0</v>
      </c>
      <c r="AH23" s="63" t="str">
        <f>_xlfn.XLOOKUP($B23,IMEW!$C$6:$C$150,IMEW!$B$6:$B$150,"")</f>
        <v/>
      </c>
      <c r="AI23" s="71">
        <f>_xlfn.XLOOKUP(AH23,IMEW!$B$6:$B$75,IMEW!$A$6:$A$75,0)</f>
        <v>0</v>
      </c>
      <c r="AJ23" s="63" t="str" cm="1">
        <f t="array" ref="AJ23">_xlfn.XLOOKUP($B23,IMSW!C$6:C$201,IMSW!$B$6:B$201,"")</f>
        <v/>
      </c>
      <c r="AK23" s="72">
        <f>_xlfn.XLOOKUP(AJ23,IMSW!$B$6:$B$201,IMSW!$A$6:$A$201,0)</f>
        <v>0</v>
      </c>
      <c r="AM23" s="275" cm="1">
        <f t="array" ref="AM23">IF(AY23&gt;=150,SUM(AR23,AS23,AT23,AU23,AY23)+SUM(LARGE((AV23,AW23,AZ23,BA23,BB23),{1;2;3})),
        IF(AY23+AZ23&gt;=150,SUM(AR23,AS23,AT23,AU23,AY23,AZ23)+SUM(LARGE((AV23,AW23,BA23,BB23),{1;2})),
               IF(AY23+AZ23+BA23&gt;=150,SUM(AR23,AS23,AT23,AU23,AY23,AZ23,BA23)+SUM(LARGE((AV23,AW23,BB23),1)),
                      IF(AY23+AZ23+BA23+BB23&gt;=150,SUM(AR23,AS23,AT23,AU23,AY23,AZ23,BA23,BB23),0)
                     )
              )
       )</f>
        <v>0</v>
      </c>
      <c r="AN23" s="275" cm="1">
        <f t="array" ref="AN23">IF(AY23&gt;=75,SUM(AR23,AS23,AT23,AU23,AY23)+SUM(LARGE((AV23,AW23,AZ23,BA23,BB23),{1;2;3})),
        IF(AY23+AZ23&gt;=75,SUM(AR23,AS23,AT23,AU23,AY23,AZ23)+SUM(LARGE((AV23,AW23,BA23,BB23),{1;2})),
               IF(AY23+AZ23+BA23&gt;=75,SUM(AR23,AS23,AT23,AU23,AY23,AZ23,BA23)+SUM(LARGE((AV23,AW23,BB23),1)),
                      IF(AY23+AZ23+BA23+BB23&gt;=75,SUM(AR23,AS23,AT23,AU23,AY23,AZ23,BA23,BB23),0)
                     )
              )
       )</f>
        <v>0</v>
      </c>
      <c r="AO23" s="275" cm="1">
        <f t="array" ref="AO23">SUM(AR23:AT23)+SUM(LARGE((AU23:BC23),{1;2;3;4;5}))</f>
        <v>26.679436990954862</v>
      </c>
      <c r="AP23" s="275" cm="1">
        <f t="array" ref="AP23">SUM(LARGE((AR23:BF23),{1;2;3;4;5;6;7;8}))</f>
        <v>26.679436990954862</v>
      </c>
      <c r="AQ23" s="275"/>
      <c r="AR23" s="275">
        <f>LARGE((F23,H23,J23,L23,N23,P23),1)</f>
        <v>17.315291841709161</v>
      </c>
      <c r="AS23" s="275">
        <f>LARGE((F23,H23,J23,L23,N23,P23),2)</f>
        <v>7.7789458215544443</v>
      </c>
      <c r="AT23" s="275">
        <f>LARGE((F23,H23,J23,L23,N23,P23),3)</f>
        <v>0</v>
      </c>
      <c r="AU23" s="275">
        <f>LARGE((F23,H23,J23,L23,N23,P23),4)</f>
        <v>0</v>
      </c>
      <c r="AV23" s="275">
        <f>LARGE((F23,H23,J23,L23,N23,P23),5)</f>
        <v>0</v>
      </c>
      <c r="AW23" s="275">
        <f>LARGE((F23,H23,J23,L23,N23,P23),6)</f>
        <v>0</v>
      </c>
      <c r="AY23" s="275">
        <f>LARGE((S23,U23,W23,Y23,AA23,AC23,AE23,AG23,AI23,AK23),1)</f>
        <v>1.5851993276912566</v>
      </c>
      <c r="AZ23" s="275">
        <f>LARGE((S23,U23,W23,Y23,AA23,AC23,AE23,AG23,AI23,AK23),2)</f>
        <v>0</v>
      </c>
      <c r="BA23" s="275">
        <f>LARGE((S23,U23,W23,Y23,AA23,AC23,AE23,AG23,AI23,AK23),3)</f>
        <v>0</v>
      </c>
      <c r="BB23" s="275">
        <f>LARGE((S23,U23,W23,Y23,AA23,AC23,AE23,AG23,AI23,AK23),4)</f>
        <v>0</v>
      </c>
      <c r="BC23" s="275">
        <f>LARGE((S23,U23,W23,Y23,AA23,AC23,AE23,AG23,AI23,AK23),5)</f>
        <v>0</v>
      </c>
      <c r="BD23" s="275">
        <f>LARGE((S23,U23,W23,Y23,AA23,AC23,AE23,AG23,AI23,AK23),6)</f>
        <v>0</v>
      </c>
      <c r="BE23" s="275">
        <f>LARGE((S23,U23,W23,Y23,AA23,AC23,AE23,AG23,AI23,AK23),7)</f>
        <v>0</v>
      </c>
      <c r="BF23" s="275">
        <f>LARGE((S23,U23,W23,Y23,AA23,AC23,AE23,AG23,AI23,AK23),8)</f>
        <v>0</v>
      </c>
      <c r="BG23" s="275">
        <f>LARGE((S23,U23,W23,Y23,AA23,AC23,AE23,AG23,AI23,AK23),9)</f>
        <v>0</v>
      </c>
    </row>
    <row r="24" spans="1:59" ht="14.85" customHeight="1">
      <c r="A24" s="54">
        <f>ROW()-5</f>
        <v>19</v>
      </c>
      <c r="B24" s="320" t="s">
        <v>34</v>
      </c>
      <c r="C24" s="272" t="str" cm="1">
        <f t="array" ref="C24">IF(AND(COUNTIF(E24:P24,"")&lt;3,SUM(LARGE((S24,U24,W24,Y24,AA24,AC24,AE24,AG24,AI24,AK24),{1;2;3;4}))&gt;=150),"kadra A",
IF(AND(COUNTIF(E24:P24,"")&lt;3,SUM(LARGE((S24,U24,W24,Y24,AA24,AC24,AE24,AG24,AI24,AK24),{1;2;3;4}))&gt;=75),"kadra B",
IF(COUNTIF(E24:P24,"")&lt;4,"kadra C",
IF(B24="","","kadra D")
)))</f>
        <v>kadra D</v>
      </c>
      <c r="D24" s="273">
        <f>IF(C24="kadra A",AM24,IF(C24="kadra B",AN24,IF(C24="kadra C",AO24,IF(C24="kadra D",AP24,0))))</f>
        <v>17.082021034867594</v>
      </c>
      <c r="E24" s="64" t="str">
        <f>_xlfn.XLOOKUP($B24,'PP1'!$C$6:$C$150,'PP1'!$B$6:$B$150,"")</f>
        <v/>
      </c>
      <c r="F24" s="117">
        <f>_xlfn.XLOOKUP(E24,'PP1'!$B$6:$B$75,'PP1'!$A$6:$A$75,0)</f>
        <v>0</v>
      </c>
      <c r="G24" s="64">
        <f>_xlfn.XLOOKUP($B24,'PP2'!$C$6:$C$150,'PP2'!$B$6:$B$150,"")</f>
        <v>8</v>
      </c>
      <c r="H24" s="119">
        <f>_xlfn.XLOOKUP(G24,'PP2'!$B$6:$B$75,'PP2'!$A$6:$A$75,0)</f>
        <v>1</v>
      </c>
      <c r="I24" s="115">
        <f>_xlfn.XLOOKUP($B24,'PP3'!$C$6:$C$150,'PP3'!$B$6:$B$150,"")</f>
        <v>14</v>
      </c>
      <c r="J24" s="119">
        <f>_xlfn.XLOOKUP(I24,'PP3'!$B$6:$B$75,'PP3'!$A$6:$A$75,0)</f>
        <v>16.082021034867594</v>
      </c>
      <c r="K24" s="115" t="str">
        <f>_xlfn.XLOOKUP($B24,'PP4'!$C$6:$C$150,'PP4'!$B$6:$B$150,"")</f>
        <v/>
      </c>
      <c r="L24" s="119">
        <f>_xlfn.XLOOKUP(K24,'PP4'!$B$6:$B$75,'PP4'!$A$6:$A$75,0)</f>
        <v>0</v>
      </c>
      <c r="M24" s="115" t="str">
        <f>_xlfn.XLOOKUP($B24,'PP5'!$C$6:$C$150,'PP5'!$B$6:$B$150,"")</f>
        <v/>
      </c>
      <c r="N24" s="119">
        <f>_xlfn.XLOOKUP(M24,'PP5'!$B$6:$B$75,'PP5'!$A$6:$A$75,0)</f>
        <v>0</v>
      </c>
      <c r="O24" s="64" t="str">
        <f>_xlfn.XLOOKUP(B24,MPW!C$6:C$150,MPW!B$6:B$150,"")</f>
        <v/>
      </c>
      <c r="P24" s="119">
        <f>_xlfn.XLOOKUP(O24,MPW!B$6:B$75,MPW!A$6:A$75,0)</f>
        <v>0</v>
      </c>
      <c r="R24" s="63" t="str">
        <f>_xlfn.XLOOKUP($B24,'PEW1'!$C$6:$C$150,'PEW1'!$B$6:$B$150,"")</f>
        <v/>
      </c>
      <c r="S24" s="71">
        <f>_xlfn.XLOOKUP(R24,'PEW1'!$B$6:$B$75,'PEW1'!$A$6:$A$75,0)</f>
        <v>0</v>
      </c>
      <c r="T24" s="63" t="str">
        <f>_xlfn.XLOOKUP($B24,'PEW2'!$C$6:$C$150,'PEW2'!$B$6:$B$150,"")</f>
        <v/>
      </c>
      <c r="U24" s="71">
        <f>_xlfn.XLOOKUP(T24,'PEW2'!$B$6:$B$75,'PEW2'!$A$6:$A$75,0)</f>
        <v>0</v>
      </c>
      <c r="V24" s="63" t="str">
        <f>_xlfn.XLOOKUP($B24,'PEW3'!$C$6:$C$150,'PEW3'!$B$6:$B$150,"")</f>
        <v/>
      </c>
      <c r="W24" s="71">
        <f>_xlfn.XLOOKUP(V24,'PEW3'!$B$6:$B$75,'PEW3'!$A$6:$A$75,0)</f>
        <v>0</v>
      </c>
      <c r="X24" s="63" t="str">
        <f>_xlfn.XLOOKUP($B24,'PEW4'!$C$6:$C$150,'PEW4'!$B$6:$B$150,"")</f>
        <v/>
      </c>
      <c r="Y24" s="71">
        <f>_xlfn.XLOOKUP(X24,'PEW4'!$B$6:$B$75,'PEW4'!$A$6:$A$75,0)</f>
        <v>0</v>
      </c>
      <c r="Z24" s="63" t="str">
        <f>_xlfn.XLOOKUP($B24,'PEW5'!$C$6:$C$150,'PEW5'!$B$6:$B$150,"")</f>
        <v/>
      </c>
      <c r="AA24" s="71">
        <f>_xlfn.XLOOKUP(Z24,'PEW5'!$B$6:$B$75,'PEW5'!$A$6:$A$75,0)</f>
        <v>0</v>
      </c>
      <c r="AB24" s="63" t="str">
        <f>_xlfn.XLOOKUP($B24,'PEW6'!$C$6:$C$150,'PEW6'!$B$6:$B$150,"")</f>
        <v/>
      </c>
      <c r="AC24" s="71">
        <f>_xlfn.XLOOKUP(AB24,'PEW6'!$B$6:$B$75,'PEW6'!$A$6:$A$75,0)</f>
        <v>0</v>
      </c>
      <c r="AD24" s="63" t="str">
        <f>_xlfn.XLOOKUP($B24,'PEW7'!$C$6:$C$150,'PEW7'!$B$6:$B$150,"")</f>
        <v/>
      </c>
      <c r="AE24" s="71">
        <f>_xlfn.XLOOKUP(AD24,'PEW7'!$B$6:$B$75,'PEW7'!$A$6:$A$75,0)</f>
        <v>0</v>
      </c>
      <c r="AF24" s="63" t="str">
        <f>_xlfn.XLOOKUP($B24,PS!$C$6:$C$150,PS!$B$6:$B$150,"")</f>
        <v/>
      </c>
      <c r="AG24" s="71">
        <f>_xlfn.XLOOKUP(AF24,PS!$B$6:$B$75,PS!$A$6:$A$75,0)</f>
        <v>0</v>
      </c>
      <c r="AH24" s="63" t="str">
        <f>_xlfn.XLOOKUP($B24,IMEW!$C$6:$C$150,IMEW!$B$6:$B$150,"")</f>
        <v/>
      </c>
      <c r="AI24" s="71">
        <f>_xlfn.XLOOKUP(AH24,IMEW!$B$6:$B$75,IMEW!$A$6:$A$75,0)</f>
        <v>0</v>
      </c>
      <c r="AJ24" s="63" t="str" cm="1">
        <f t="array" ref="AJ24">_xlfn.XLOOKUP($B24,IMSW!C$6:C$201,IMSW!$B$6:B$201,"")</f>
        <v/>
      </c>
      <c r="AK24" s="72">
        <f>_xlfn.XLOOKUP(AJ24,IMSW!$B$6:$B$201,IMSW!$A$6:$A$201,0)</f>
        <v>0</v>
      </c>
      <c r="AM24" s="275" cm="1">
        <f t="array" ref="AM24">IF(AY24&gt;=150,SUM(AR24,AS24,AT24,AU24,AY24)+SUM(LARGE((AV24,AW24,AZ24,BA24,BB24),{1;2;3})),
        IF(AY24+AZ24&gt;=150,SUM(AR24,AS24,AT24,AU24,AY24,AZ24)+SUM(LARGE((AV24,AW24,BA24,BB24),{1;2})),
               IF(AY24+AZ24+BA24&gt;=150,SUM(AR24,AS24,AT24,AU24,AY24,AZ24,BA24)+SUM(LARGE((AV24,AW24,BB24),1)),
                      IF(AY24+AZ24+BA24+BB24&gt;=150,SUM(AR24,AS24,AT24,AU24,AY24,AZ24,BA24,BB24),0)
                     )
              )
       )</f>
        <v>0</v>
      </c>
      <c r="AN24" s="275" cm="1">
        <f t="array" ref="AN24">IF(AY24&gt;=75,SUM(AR24,AS24,AT24,AU24,AY24)+SUM(LARGE((AV24,AW24,AZ24,BA24,BB24),{1;2;3})),
        IF(AY24+AZ24&gt;=75,SUM(AR24,AS24,AT24,AU24,AY24,AZ24)+SUM(LARGE((AV24,AW24,BA24,BB24),{1;2})),
               IF(AY24+AZ24+BA24&gt;=75,SUM(AR24,AS24,AT24,AU24,AY24,AZ24,BA24)+SUM(LARGE((AV24,AW24,BB24),1)),
                      IF(AY24+AZ24+BA24+BB24&gt;=75,SUM(AR24,AS24,AT24,AU24,AY24,AZ24,BA24,BB24),0)
                     )
              )
       )</f>
        <v>0</v>
      </c>
      <c r="AO24" s="275" cm="1">
        <f t="array" ref="AO24">SUM(AR24:AT24)+SUM(LARGE((AU24:BC24),{1;2;3;4;5}))</f>
        <v>17.082021034867594</v>
      </c>
      <c r="AP24" s="275" cm="1">
        <f t="array" ref="AP24">SUM(LARGE((AR24:BF24),{1;2;3;4;5;6;7;8}))</f>
        <v>17.082021034867594</v>
      </c>
      <c r="AQ24" s="275"/>
      <c r="AR24" s="275">
        <f>LARGE((F24,H24,J24,L24,N24,P24),1)</f>
        <v>16.082021034867594</v>
      </c>
      <c r="AS24" s="275">
        <f>LARGE((F24,H24,J24,L24,N24,P24),2)</f>
        <v>1</v>
      </c>
      <c r="AT24" s="275">
        <f>LARGE((F24,H24,J24,L24,N24,P24),3)</f>
        <v>0</v>
      </c>
      <c r="AU24" s="275">
        <f>LARGE((F24,H24,J24,L24,N24,P24),4)</f>
        <v>0</v>
      </c>
      <c r="AV24" s="275">
        <f>LARGE((F24,H24,J24,L24,N24,P24),5)</f>
        <v>0</v>
      </c>
      <c r="AW24" s="275">
        <f>LARGE((F24,H24,J24,L24,N24,P24),6)</f>
        <v>0</v>
      </c>
      <c r="AY24" s="275">
        <f>LARGE((S24,U24,W24,Y24,AA24,AC24,AE24,AG24,AI24,AK24),1)</f>
        <v>0</v>
      </c>
      <c r="AZ24" s="275">
        <f>LARGE((S24,U24,W24,Y24,AA24,AC24,AE24,AG24,AI24,AK24),2)</f>
        <v>0</v>
      </c>
      <c r="BA24" s="275">
        <f>LARGE((S24,U24,W24,Y24,AA24,AC24,AE24,AG24,AI24,AK24),3)</f>
        <v>0</v>
      </c>
      <c r="BB24" s="275">
        <f>LARGE((S24,U24,W24,Y24,AA24,AC24,AE24,AG24,AI24,AK24),4)</f>
        <v>0</v>
      </c>
      <c r="BC24" s="275">
        <f>LARGE((S24,U24,W24,Y24,AA24,AC24,AE24,AG24,AI24,AK24),5)</f>
        <v>0</v>
      </c>
      <c r="BD24" s="275">
        <f>LARGE((S24,U24,W24,Y24,AA24,AC24,AE24,AG24,AI24,AK24),6)</f>
        <v>0</v>
      </c>
      <c r="BE24" s="275">
        <f>LARGE((S24,U24,W24,Y24,AA24,AC24,AE24,AG24,AI24,AK24),7)</f>
        <v>0</v>
      </c>
      <c r="BF24" s="275">
        <f>LARGE((S24,U24,W24,Y24,AA24,AC24,AE24,AG24,AI24,AK24),8)</f>
        <v>0</v>
      </c>
      <c r="BG24" s="275">
        <f>LARGE((S24,U24,W24,Y24,AA24,AC24,AE24,AG24,AI24,AK24),9)</f>
        <v>0</v>
      </c>
    </row>
    <row r="25" spans="1:59" ht="14.85" customHeight="1">
      <c r="A25" s="54">
        <f>ROW()-5</f>
        <v>20</v>
      </c>
      <c r="B25" s="320" t="s">
        <v>35</v>
      </c>
      <c r="C25" s="272" t="str" cm="1">
        <f t="array" ref="C25">IF(AND(COUNTIF(E25:P25,"")&lt;3,SUM(LARGE((S25,U25,W25,Y25,AA25,AC25,AE25,AG25,AI25,AK25),{1;2;3;4}))&gt;=150),"kadra A",
IF(AND(COUNTIF(E25:P25,"")&lt;3,SUM(LARGE((S25,U25,W25,Y25,AA25,AC25,AE25,AG25,AI25,AK25),{1;2;3;4}))&gt;=75),"kadra B",
IF(COUNTIF(E25:P25,"")&lt;4,"kadra C",
IF(B25="","","kadra D")
)))</f>
        <v>kadra D</v>
      </c>
      <c r="D25" s="273">
        <f>IF(C25="kadra A",AM25,IF(C25="kadra B",AN25,IF(C25="kadra C",AO25,IF(C25="kadra D",AP25,0))))</f>
        <v>14.933873382027564</v>
      </c>
      <c r="E25" s="64" t="str">
        <f>_xlfn.XLOOKUP($B25,'PP1'!$C$6:$C$150,'PP1'!$B$6:$B$150,"")</f>
        <v/>
      </c>
      <c r="F25" s="117">
        <f>_xlfn.XLOOKUP(E25,'PP1'!$B$6:$B$75,'PP1'!$A$6:$A$75,0)</f>
        <v>0</v>
      </c>
      <c r="G25" s="64" t="str">
        <f>_xlfn.XLOOKUP($B25,'PP2'!$C$6:$C$150,'PP2'!$B$6:$B$150,"")</f>
        <v/>
      </c>
      <c r="H25" s="119">
        <f>_xlfn.XLOOKUP(G25,'PP2'!$B$6:$B$75,'PP2'!$A$6:$A$75,0)</f>
        <v>0</v>
      </c>
      <c r="I25" s="115">
        <f>_xlfn.XLOOKUP($B25,'PP3'!$C$6:$C$150,'PP3'!$B$6:$B$150,"")</f>
        <v>15</v>
      </c>
      <c r="J25" s="119">
        <f>_xlfn.XLOOKUP(I25,'PP3'!$B$6:$B$75,'PP3'!$A$6:$A$75,0)</f>
        <v>14.933873382027564</v>
      </c>
      <c r="K25" s="115" t="str">
        <f>_xlfn.XLOOKUP($B25,'PP4'!$C$6:$C$150,'PP4'!$B$6:$B$150,"")</f>
        <v/>
      </c>
      <c r="L25" s="119">
        <f>_xlfn.XLOOKUP(K25,'PP4'!$B$6:$B$75,'PP4'!$A$6:$A$75,0)</f>
        <v>0</v>
      </c>
      <c r="M25" s="115" t="str">
        <f>_xlfn.XLOOKUP($B25,'PP5'!$C$6:$C$150,'PP5'!$B$6:$B$150,"")</f>
        <v/>
      </c>
      <c r="N25" s="119">
        <f>_xlfn.XLOOKUP(M25,'PP5'!$B$6:$B$75,'PP5'!$A$6:$A$75,0)</f>
        <v>0</v>
      </c>
      <c r="O25" s="64" t="str">
        <f>_xlfn.XLOOKUP(B25,MPW!C$6:C$150,MPW!B$6:B$150,"")</f>
        <v/>
      </c>
      <c r="P25" s="119">
        <f>_xlfn.XLOOKUP(O25,MPW!B$6:B$75,MPW!A$6:A$75,0)</f>
        <v>0</v>
      </c>
      <c r="R25" s="63" t="str">
        <f>_xlfn.XLOOKUP($B25,'PEW1'!$C$6:$C$150,'PEW1'!$B$6:$B$150,"")</f>
        <v/>
      </c>
      <c r="S25" s="71">
        <f>_xlfn.XLOOKUP(R25,'PEW1'!$B$6:$B$75,'PEW1'!$A$6:$A$75,0)</f>
        <v>0</v>
      </c>
      <c r="T25" s="63" t="str">
        <f>_xlfn.XLOOKUP($B25,'PEW2'!$C$6:$C$150,'PEW2'!$B$6:$B$150,"")</f>
        <v/>
      </c>
      <c r="U25" s="71">
        <f>_xlfn.XLOOKUP(T25,'PEW2'!$B$6:$B$75,'PEW2'!$A$6:$A$75,0)</f>
        <v>0</v>
      </c>
      <c r="V25" s="63" t="str">
        <f>_xlfn.XLOOKUP($B25,'PEW3'!$C$6:$C$150,'PEW3'!$B$6:$B$150,"")</f>
        <v/>
      </c>
      <c r="W25" s="71">
        <f>_xlfn.XLOOKUP(V25,'PEW3'!$B$6:$B$75,'PEW3'!$A$6:$A$75,0)</f>
        <v>0</v>
      </c>
      <c r="X25" s="63" t="str">
        <f>_xlfn.XLOOKUP($B25,'PEW4'!$C$6:$C$150,'PEW4'!$B$6:$B$150,"")</f>
        <v/>
      </c>
      <c r="Y25" s="71">
        <f>_xlfn.XLOOKUP(X25,'PEW4'!$B$6:$B$75,'PEW4'!$A$6:$A$75,0)</f>
        <v>0</v>
      </c>
      <c r="Z25" s="63" t="str">
        <f>_xlfn.XLOOKUP($B25,'PEW5'!$C$6:$C$150,'PEW5'!$B$6:$B$150,"")</f>
        <v/>
      </c>
      <c r="AA25" s="71">
        <f>_xlfn.XLOOKUP(Z25,'PEW5'!$B$6:$B$75,'PEW5'!$A$6:$A$75,0)</f>
        <v>0</v>
      </c>
      <c r="AB25" s="63" t="str">
        <f>_xlfn.XLOOKUP($B25,'PEW6'!$C$6:$C$150,'PEW6'!$B$6:$B$150,"")</f>
        <v/>
      </c>
      <c r="AC25" s="71">
        <f>_xlfn.XLOOKUP(AB25,'PEW6'!$B$6:$B$75,'PEW6'!$A$6:$A$75,0)</f>
        <v>0</v>
      </c>
      <c r="AD25" s="63" t="str">
        <f>_xlfn.XLOOKUP($B25,'PEW7'!$C$6:$C$150,'PEW7'!$B$6:$B$150,"")</f>
        <v/>
      </c>
      <c r="AE25" s="71">
        <f>_xlfn.XLOOKUP(AD25,'PEW7'!$B$6:$B$75,'PEW7'!$A$6:$A$75,0)</f>
        <v>0</v>
      </c>
      <c r="AF25" s="63" t="str">
        <f>_xlfn.XLOOKUP($B25,PS!$C$6:$C$150,PS!$B$6:$B$150,"")</f>
        <v/>
      </c>
      <c r="AG25" s="71">
        <f>_xlfn.XLOOKUP(AF25,PS!$B$6:$B$75,PS!$A$6:$A$75,0)</f>
        <v>0</v>
      </c>
      <c r="AH25" s="63" t="str">
        <f>_xlfn.XLOOKUP($B25,IMEW!$C$6:$C$150,IMEW!$B$6:$B$150,"")</f>
        <v/>
      </c>
      <c r="AI25" s="71">
        <f>_xlfn.XLOOKUP(AH25,IMEW!$B$6:$B$75,IMEW!$A$6:$A$75,0)</f>
        <v>0</v>
      </c>
      <c r="AJ25" s="63" t="str" cm="1">
        <f t="array" ref="AJ25">_xlfn.XLOOKUP($B25,IMSW!C$6:C$201,IMSW!$B$6:B$201,"")</f>
        <v/>
      </c>
      <c r="AK25" s="72">
        <f>_xlfn.XLOOKUP(AJ25,IMSW!$B$6:$B$201,IMSW!$A$6:$A$201,0)</f>
        <v>0</v>
      </c>
      <c r="AM25" s="275" cm="1">
        <f t="array" ref="AM25">IF(AY25&gt;=150,SUM(AR25,AS25,AT25,AU25,AY25)+SUM(LARGE((AV25,AW25,AZ25,BA25,BB25),{1;2;3})),
        IF(AY25+AZ25&gt;=150,SUM(AR25,AS25,AT25,AU25,AY25,AZ25)+SUM(LARGE((AV25,AW25,BA25,BB25),{1;2})),
               IF(AY25+AZ25+BA25&gt;=150,SUM(AR25,AS25,AT25,AU25,AY25,AZ25,BA25)+SUM(LARGE((AV25,AW25,BB25),1)),
                      IF(AY25+AZ25+BA25+BB25&gt;=150,SUM(AR25,AS25,AT25,AU25,AY25,AZ25,BA25,BB25),0)
                     )
              )
       )</f>
        <v>0</v>
      </c>
      <c r="AN25" s="275" cm="1">
        <f t="array" ref="AN25">IF(AY25&gt;=75,SUM(AR25,AS25,AT25,AU25,AY25)+SUM(LARGE((AV25,AW25,AZ25,BA25,BB25),{1;2;3})),
        IF(AY25+AZ25&gt;=75,SUM(AR25,AS25,AT25,AU25,AY25,AZ25)+SUM(LARGE((AV25,AW25,BA25,BB25),{1;2})),
               IF(AY25+AZ25+BA25&gt;=75,SUM(AR25,AS25,AT25,AU25,AY25,AZ25,BA25)+SUM(LARGE((AV25,AW25,BB25),1)),
                      IF(AY25+AZ25+BA25+BB25&gt;=75,SUM(AR25,AS25,AT25,AU25,AY25,AZ25,BA25,BB25),0)
                     )
              )
       )</f>
        <v>0</v>
      </c>
      <c r="AO25" s="275" cm="1">
        <f t="array" ref="AO25">SUM(AR25:AT25)+SUM(LARGE((AU25:BC25),{1;2;3;4;5}))</f>
        <v>14.933873382027564</v>
      </c>
      <c r="AP25" s="275" cm="1">
        <f t="array" ref="AP25">SUM(LARGE((AR25:BF25),{1;2;3;4;5;6;7;8}))</f>
        <v>14.933873382027564</v>
      </c>
      <c r="AQ25" s="275"/>
      <c r="AR25" s="275">
        <f>LARGE((F25,H25,J25,L25,N25,P25),1)</f>
        <v>14.933873382027564</v>
      </c>
      <c r="AS25" s="275">
        <f>LARGE((F25,H25,J25,L25,N25,P25),2)</f>
        <v>0</v>
      </c>
      <c r="AT25" s="275">
        <f>LARGE((F25,H25,J25,L25,N25,P25),3)</f>
        <v>0</v>
      </c>
      <c r="AU25" s="275">
        <f>LARGE((F25,H25,J25,L25,N25,P25),4)</f>
        <v>0</v>
      </c>
      <c r="AV25" s="275">
        <f>LARGE((F25,H25,J25,L25,N25,P25),5)</f>
        <v>0</v>
      </c>
      <c r="AW25" s="275">
        <f>LARGE((F25,H25,J25,L25,N25,P25),6)</f>
        <v>0</v>
      </c>
      <c r="AY25" s="275">
        <f>LARGE((S25,U25,W25,Y25,AA25,AC25,AE25,AG25,AI25,AK25),1)</f>
        <v>0</v>
      </c>
      <c r="AZ25" s="275">
        <f>LARGE((S25,U25,W25,Y25,AA25,AC25,AE25,AG25,AI25,AK25),2)</f>
        <v>0</v>
      </c>
      <c r="BA25" s="275">
        <f>LARGE((S25,U25,W25,Y25,AA25,AC25,AE25,AG25,AI25,AK25),3)</f>
        <v>0</v>
      </c>
      <c r="BB25" s="275">
        <f>LARGE((S25,U25,W25,Y25,AA25,AC25,AE25,AG25,AI25,AK25),4)</f>
        <v>0</v>
      </c>
      <c r="BC25" s="275">
        <f>LARGE((S25,U25,W25,Y25,AA25,AC25,AE25,AG25,AI25,AK25),5)</f>
        <v>0</v>
      </c>
      <c r="BD25" s="275">
        <f>LARGE((S25,U25,W25,Y25,AA25,AC25,AE25,AG25,AI25,AK25),6)</f>
        <v>0</v>
      </c>
      <c r="BE25" s="275">
        <f>LARGE((S25,U25,W25,Y25,AA25,AC25,AE25,AG25,AI25,AK25),7)</f>
        <v>0</v>
      </c>
      <c r="BF25" s="275">
        <f>LARGE((S25,U25,W25,Y25,AA25,AC25,AE25,AG25,AI25,AK25),8)</f>
        <v>0</v>
      </c>
      <c r="BG25" s="275">
        <f>LARGE((S25,U25,W25,Y25,AA25,AC25,AE25,AG25,AI25,AK25),9)</f>
        <v>0</v>
      </c>
    </row>
    <row r="26" spans="1:59" ht="14.85" customHeight="1">
      <c r="A26" s="54">
        <f>ROW()-5</f>
        <v>21</v>
      </c>
      <c r="B26" s="322" t="s">
        <v>36</v>
      </c>
      <c r="C26" s="272" t="str" cm="1">
        <f t="array" ref="C26">IF(AND(COUNTIF(E26:P26,"")&lt;3,SUM(LARGE((S26,U26,W26,Y26,AA26,AC26,AE26,AG26,AI26,AK26),{1;2;3;4}))&gt;=150),"kadra A",
IF(AND(COUNTIF(E26:P26,"")&lt;3,SUM(LARGE((S26,U26,W26,Y26,AA26,AC26,AE26,AG26,AI26,AK26),{1;2;3;4}))&gt;=75),"kadra B",
IF(COUNTIF(E26:P26,"")&lt;4,"kadra C",
IF(B26="","","kadra D")
)))</f>
        <v>kadra D</v>
      </c>
      <c r="D26" s="273">
        <f>IF(C26="kadra A",AM26,IF(C26="kadra B",AN26,IF(C26="kadra C",AO26,IF(C26="kadra D",AP26,0))))</f>
        <v>13.475859018204893</v>
      </c>
      <c r="E26" s="64" t="str">
        <f>_xlfn.XLOOKUP($B26,'PP1'!$C$6:$C$150,'PP1'!$B$6:$B$150,"")</f>
        <v/>
      </c>
      <c r="F26" s="117">
        <f>_xlfn.XLOOKUP(E26,'PP1'!$B$6:$B$75,'PP1'!$A$6:$A$75,0)</f>
        <v>0</v>
      </c>
      <c r="G26" s="64" t="str">
        <f>_xlfn.XLOOKUP($B26,'PP2'!$C$6:$C$150,'PP2'!$B$6:$B$150,"")</f>
        <v/>
      </c>
      <c r="H26" s="119">
        <f>_xlfn.XLOOKUP(G26,'PP2'!$B$6:$B$75,'PP2'!$A$6:$A$75,0)</f>
        <v>0</v>
      </c>
      <c r="I26" s="115" t="str">
        <f>_xlfn.XLOOKUP($B26,'PP3'!$C$6:$C$150,'PP3'!$B$6:$B$150,"")</f>
        <v/>
      </c>
      <c r="J26" s="119">
        <f>_xlfn.XLOOKUP(I26,'PP3'!$B$6:$B$75,'PP3'!$A$6:$A$75,0)</f>
        <v>0</v>
      </c>
      <c r="K26" s="115" t="str">
        <f>_xlfn.XLOOKUP($B26,'PP4'!$C$6:$C$150,'PP4'!$B$6:$B$150,"")</f>
        <v>6k1</v>
      </c>
      <c r="L26" s="119">
        <f>_xlfn.XLOOKUP(K26,'PP4'!$B$6:$B$75,'PP4'!$A$6:$A$75,0)</f>
        <v>7.7789458215544443</v>
      </c>
      <c r="M26" s="115" t="str">
        <f>_xlfn.XLOOKUP($B26,'PP5'!$C$6:$C$150,'PP5'!$B$6:$B$150,"")</f>
        <v/>
      </c>
      <c r="N26" s="119">
        <f>_xlfn.XLOOKUP(M26,'PP5'!$B$6:$B$75,'PP5'!$A$6:$A$75,0)</f>
        <v>0</v>
      </c>
      <c r="O26" s="64" t="str">
        <f>_xlfn.XLOOKUP(B26,MPW!C$6:C$150,MPW!B$6:B$150,"")</f>
        <v/>
      </c>
      <c r="P26" s="119">
        <f>_xlfn.XLOOKUP(O26,MPW!B$6:B$75,MPW!A$6:A$75,0)</f>
        <v>0</v>
      </c>
      <c r="R26" s="63" t="str">
        <f>_xlfn.XLOOKUP($B26,'PEW1'!$C$6:$C$150,'PEW1'!$B$6:$B$150,"")</f>
        <v/>
      </c>
      <c r="S26" s="71">
        <f>_xlfn.XLOOKUP(R26,'PEW1'!$B$6:$B$75,'PEW1'!$A$6:$A$75,0)</f>
        <v>0</v>
      </c>
      <c r="T26" s="63" t="str">
        <f>_xlfn.XLOOKUP($B26,'PEW2'!$C$6:$C$150,'PEW2'!$B$6:$B$150,"")</f>
        <v/>
      </c>
      <c r="U26" s="71">
        <f>_xlfn.XLOOKUP(T26,'PEW2'!$B$6:$B$75,'PEW2'!$A$6:$A$75,0)</f>
        <v>0</v>
      </c>
      <c r="V26" s="63" t="str">
        <f>_xlfn.XLOOKUP($B26,'PEW3'!$C$6:$C$150,'PEW3'!$B$6:$B$150,"")</f>
        <v/>
      </c>
      <c r="W26" s="71">
        <f>_xlfn.XLOOKUP(V26,'PEW3'!$B$6:$B$75,'PEW3'!$A$6:$A$75,0)</f>
        <v>0</v>
      </c>
      <c r="X26" s="63" t="str">
        <f>_xlfn.XLOOKUP($B26,'PEW4'!$C$6:$C$150,'PEW4'!$B$6:$B$150,"")</f>
        <v/>
      </c>
      <c r="Y26" s="71">
        <f>_xlfn.XLOOKUP(X26,'PEW4'!$B$6:$B$75,'PEW4'!$A$6:$A$75,0)</f>
        <v>0</v>
      </c>
      <c r="Z26" s="63" t="str">
        <f>_xlfn.XLOOKUP($B26,'PEW5'!$C$6:$C$150,'PEW5'!$B$6:$B$150,"")</f>
        <v/>
      </c>
      <c r="AA26" s="71">
        <f>_xlfn.XLOOKUP(Z26,'PEW5'!$B$6:$B$75,'PEW5'!$A$6:$A$75,0)</f>
        <v>0</v>
      </c>
      <c r="AB26" s="63" t="str">
        <f>_xlfn.XLOOKUP($B26,'PEW6'!$C$6:$C$150,'PEW6'!$B$6:$B$150,"")</f>
        <v>21k1</v>
      </c>
      <c r="AC26" s="71">
        <f>_xlfn.XLOOKUP(AB26,'PEW6'!$B$6:$B$75,'PEW6'!$A$6:$A$75,0)</f>
        <v>5.6969131966504492</v>
      </c>
      <c r="AD26" s="63" t="str">
        <f>_xlfn.XLOOKUP($B26,'PEW7'!$C$6:$C$150,'PEW7'!$B$6:$B$150,"")</f>
        <v/>
      </c>
      <c r="AE26" s="71">
        <f>_xlfn.XLOOKUP(AD26,'PEW7'!$B$6:$B$75,'PEW7'!$A$6:$A$75,0)</f>
        <v>0</v>
      </c>
      <c r="AF26" s="63" t="str">
        <f>_xlfn.XLOOKUP($B26,PS!$C$6:$C$150,PS!$B$6:$B$150,"")</f>
        <v/>
      </c>
      <c r="AG26" s="71">
        <f>_xlfn.XLOOKUP(AF26,PS!$B$6:$B$75,PS!$A$6:$A$75,0)</f>
        <v>0</v>
      </c>
      <c r="AH26" s="63" t="str">
        <f>_xlfn.XLOOKUP($B26,IMEW!$C$6:$C$150,IMEW!$B$6:$B$150,"")</f>
        <v/>
      </c>
      <c r="AI26" s="71">
        <f>_xlfn.XLOOKUP(AH26,IMEW!$B$6:$B$75,IMEW!$A$6:$A$75,0)</f>
        <v>0</v>
      </c>
      <c r="AJ26" s="63" t="str" cm="1">
        <f t="array" ref="AJ26">_xlfn.XLOOKUP($B26,IMSW!C$6:C$201,IMSW!$B$6:B$201,"")</f>
        <v/>
      </c>
      <c r="AK26" s="72">
        <f>_xlfn.XLOOKUP(AJ26,IMSW!$B$6:$B$201,IMSW!$A$6:$A$201,0)</f>
        <v>0</v>
      </c>
      <c r="AM26" s="275" cm="1">
        <f t="array" ref="AM26">IF(AY26&gt;=150,SUM(AR26,AS26,AT26,AU26,AY26)+SUM(LARGE((AV26,AW26,AZ26,BA26,BB26),{1;2;3})),
        IF(AY26+AZ26&gt;=150,SUM(AR26,AS26,AT26,AU26,AY26,AZ26)+SUM(LARGE((AV26,AW26,BA26,BB26),{1;2})),
               IF(AY26+AZ26+BA26&gt;=150,SUM(AR26,AS26,AT26,AU26,AY26,AZ26,BA26)+SUM(LARGE((AV26,AW26,BB26),1)),
                      IF(AY26+AZ26+BA26+BB26&gt;=150,SUM(AR26,AS26,AT26,AU26,AY26,AZ26,BA26,BB26),0)
                     )
              )
       )</f>
        <v>0</v>
      </c>
      <c r="AN26" s="275" cm="1">
        <f t="array" ref="AN26">IF(AY26&gt;=75,SUM(AR26,AS26,AT26,AU26,AY26)+SUM(LARGE((AV26,AW26,AZ26,BA26,BB26),{1;2;3})),
        IF(AY26+AZ26&gt;=75,SUM(AR26,AS26,AT26,AU26,AY26,AZ26)+SUM(LARGE((AV26,AW26,BA26,BB26),{1;2})),
               IF(AY26+AZ26+BA26&gt;=75,SUM(AR26,AS26,AT26,AU26,AY26,AZ26,BA26)+SUM(LARGE((AV26,AW26,BB26),1)),
                      IF(AY26+AZ26+BA26+BB26&gt;=75,SUM(AR26,AS26,AT26,AU26,AY26,AZ26,BA26,BB26),0)
                     )
              )
       )</f>
        <v>0</v>
      </c>
      <c r="AO26" s="275" cm="1">
        <f t="array" ref="AO26">SUM(AR26:AT26)+SUM(LARGE((AU26:BC26),{1;2;3;4;5}))</f>
        <v>13.475859018204893</v>
      </c>
      <c r="AP26" s="275" cm="1">
        <f t="array" ref="AP26">SUM(LARGE((AR26:BF26),{1;2;3;4;5;6;7;8}))</f>
        <v>13.475859018204893</v>
      </c>
      <c r="AQ26" s="275"/>
      <c r="AR26" s="275">
        <f>LARGE((F26,H26,J26,L26,N26,P26),1)</f>
        <v>7.7789458215544443</v>
      </c>
      <c r="AS26" s="275">
        <f>LARGE((F26,H26,J26,L26,N26,P26),2)</f>
        <v>0</v>
      </c>
      <c r="AT26" s="275">
        <f>LARGE((F26,H26,J26,L26,N26,P26),3)</f>
        <v>0</v>
      </c>
      <c r="AU26" s="275">
        <f>LARGE((F26,H26,J26,L26,N26,P26),4)</f>
        <v>0</v>
      </c>
      <c r="AV26" s="275">
        <f>LARGE((F26,H26,J26,L26,N26,P26),5)</f>
        <v>0</v>
      </c>
      <c r="AW26" s="275">
        <f>LARGE((F26,H26,J26,L26,N26,P26),6)</f>
        <v>0</v>
      </c>
      <c r="AY26" s="275">
        <f>LARGE((S26,U26,W26,Y26,AA26,AC26,AE26,AG26,AI26,AK26),1)</f>
        <v>5.6969131966504492</v>
      </c>
      <c r="AZ26" s="275">
        <f>LARGE((S26,U26,W26,Y26,AA26,AC26,AE26,AG26,AI26,AK26),2)</f>
        <v>0</v>
      </c>
      <c r="BA26" s="275">
        <f>LARGE((S26,U26,W26,Y26,AA26,AC26,AE26,AG26,AI26,AK26),3)</f>
        <v>0</v>
      </c>
      <c r="BB26" s="275">
        <f>LARGE((S26,U26,W26,Y26,AA26,AC26,AE26,AG26,AI26,AK26),4)</f>
        <v>0</v>
      </c>
      <c r="BC26" s="275">
        <f>LARGE((S26,U26,W26,Y26,AA26,AC26,AE26,AG26,AI26,AK26),5)</f>
        <v>0</v>
      </c>
      <c r="BD26" s="275">
        <f>LARGE((S26,U26,W26,Y26,AA26,AC26,AE26,AG26,AI26,AK26),6)</f>
        <v>0</v>
      </c>
      <c r="BE26" s="275">
        <f>LARGE((S26,U26,W26,Y26,AA26,AC26,AE26,AG26,AI26,AK26),7)</f>
        <v>0</v>
      </c>
      <c r="BF26" s="275">
        <f>LARGE((S26,U26,W26,Y26,AA26,AC26,AE26,AG26,AI26,AK26),8)</f>
        <v>0</v>
      </c>
      <c r="BG26" s="275">
        <f>LARGE((S26,U26,W26,Y26,AA26,AC26,AE26,AG26,AI26,AK26),9)</f>
        <v>0</v>
      </c>
    </row>
    <row r="27" spans="1:59" ht="14.85" customHeight="1">
      <c r="A27" s="54">
        <f>ROW()-5</f>
        <v>22</v>
      </c>
      <c r="B27" s="320" t="s">
        <v>37</v>
      </c>
      <c r="C27" s="272" t="str" cm="1">
        <f t="array" ref="C27">IF(AND(COUNTIF(E27:P27,"")&lt;3,SUM(LARGE((S27,U27,W27,Y27,AA27,AC27,AE27,AG27,AI27,AK27),{1;2;3;4}))&gt;=150),"kadra A",
IF(AND(COUNTIF(E27:P27,"")&lt;3,SUM(LARGE((S27,U27,W27,Y27,AA27,AC27,AE27,AG27,AI27,AK27),{1;2;3;4}))&gt;=75),"kadra B",
IF(COUNTIF(E27:P27,"")&lt;4,"kadra C",
IF(B27="","","kadra D")
)))</f>
        <v>kadra D</v>
      </c>
      <c r="D27" s="273">
        <f>IF(C27="kadra A",AM27,IF(C27="kadra B",AN27,IF(C27="kadra C",AO27,IF(C27="kadra D",AP27,0))))</f>
        <v>5.1465362730591337</v>
      </c>
      <c r="E27" s="64">
        <f>_xlfn.XLOOKUP($B27,'PP1'!$C$6:$C$150,'PP1'!$B$6:$B$150,"")</f>
        <v>8</v>
      </c>
      <c r="F27" s="117">
        <f>_xlfn.XLOOKUP(E27,'PP1'!$B$6:$B$75,'PP1'!$A$6:$A$75,0)</f>
        <v>1</v>
      </c>
      <c r="G27" s="64">
        <f>_xlfn.XLOOKUP($B27,'PP2'!$C$6:$C$150,'PP2'!$B$6:$B$150,"")</f>
        <v>7</v>
      </c>
      <c r="H27" s="119">
        <f>_xlfn.XLOOKUP(G27,'PP2'!$B$6:$B$75,'PP2'!$A$6:$A$75,0)</f>
        <v>4.1465362730591337</v>
      </c>
      <c r="I27" s="115" t="str">
        <f>_xlfn.XLOOKUP($B27,'PP3'!$C$6:$C$150,'PP3'!$B$6:$B$150,"")</f>
        <v/>
      </c>
      <c r="J27" s="119">
        <f>_xlfn.XLOOKUP(I27,'PP3'!$B$6:$B$75,'PP3'!$A$6:$A$75,0)</f>
        <v>0</v>
      </c>
      <c r="K27" s="115" t="str">
        <f>_xlfn.XLOOKUP($B27,'PP4'!$C$6:$C$150,'PP4'!$B$6:$B$150,"")</f>
        <v/>
      </c>
      <c r="L27" s="119">
        <f>_xlfn.XLOOKUP(K27,'PP4'!$B$6:$B$75,'PP4'!$A$6:$A$75,0)</f>
        <v>0</v>
      </c>
      <c r="M27" s="115" t="str">
        <f>_xlfn.XLOOKUP($B27,'PP5'!$C$6:$C$150,'PP5'!$B$6:$B$150,"")</f>
        <v/>
      </c>
      <c r="N27" s="119">
        <f>_xlfn.XLOOKUP(M27,'PP5'!$B$6:$B$75,'PP5'!$A$6:$A$75,0)</f>
        <v>0</v>
      </c>
      <c r="O27" s="64" t="str">
        <f>_xlfn.XLOOKUP(B27,MPW!C$6:C$150,MPW!B$6:B$150,"")</f>
        <v/>
      </c>
      <c r="P27" s="119">
        <f>_xlfn.XLOOKUP(O27,MPW!B$6:B$75,MPW!A$6:A$75,0)</f>
        <v>0</v>
      </c>
      <c r="R27" s="63" t="str">
        <f>_xlfn.XLOOKUP($B27,'PEW1'!$C$6:$C$150,'PEW1'!$B$6:$B$150,"")</f>
        <v/>
      </c>
      <c r="S27" s="71">
        <f>_xlfn.XLOOKUP(R27,'PEW1'!$B$6:$B$75,'PEW1'!$A$6:$A$75,0)</f>
        <v>0</v>
      </c>
      <c r="T27" s="63" t="str">
        <f>_xlfn.XLOOKUP($B27,'PEW2'!$C$6:$C$150,'PEW2'!$B$6:$B$150,"")</f>
        <v/>
      </c>
      <c r="U27" s="71">
        <f>_xlfn.XLOOKUP(T27,'PEW2'!$B$6:$B$75,'PEW2'!$A$6:$A$75,0)</f>
        <v>0</v>
      </c>
      <c r="V27" s="63" t="str">
        <f>_xlfn.XLOOKUP($B27,'PEW3'!$C$6:$C$150,'PEW3'!$B$6:$B$150,"")</f>
        <v/>
      </c>
      <c r="W27" s="71">
        <f>_xlfn.XLOOKUP(V27,'PEW3'!$B$6:$B$75,'PEW3'!$A$6:$A$75,0)</f>
        <v>0</v>
      </c>
      <c r="X27" s="63" t="str">
        <f>_xlfn.XLOOKUP($B27,'PEW4'!$C$6:$C$150,'PEW4'!$B$6:$B$150,"")</f>
        <v/>
      </c>
      <c r="Y27" s="71">
        <f>_xlfn.XLOOKUP(X27,'PEW4'!$B$6:$B$75,'PEW4'!$A$6:$A$75,0)</f>
        <v>0</v>
      </c>
      <c r="Z27" s="63" t="str">
        <f>_xlfn.XLOOKUP($B27,'PEW5'!$C$6:$C$150,'PEW5'!$B$6:$B$150,"")</f>
        <v/>
      </c>
      <c r="AA27" s="71">
        <f>_xlfn.XLOOKUP(Z27,'PEW5'!$B$6:$B$75,'PEW5'!$A$6:$A$75,0)</f>
        <v>0</v>
      </c>
      <c r="AB27" s="63" t="str">
        <f>_xlfn.XLOOKUP($B27,'PEW6'!$C$6:$C$150,'PEW6'!$B$6:$B$150,"")</f>
        <v/>
      </c>
      <c r="AC27" s="71">
        <f>_xlfn.XLOOKUP(AB27,'PEW6'!$B$6:$B$75,'PEW6'!$A$6:$A$75,0)</f>
        <v>0</v>
      </c>
      <c r="AD27" s="63" t="str">
        <f>_xlfn.XLOOKUP($B27,'PEW7'!$C$6:$C$150,'PEW7'!$B$6:$B$150,"")</f>
        <v/>
      </c>
      <c r="AE27" s="71">
        <f>_xlfn.XLOOKUP(AD27,'PEW7'!$B$6:$B$75,'PEW7'!$A$6:$A$75,0)</f>
        <v>0</v>
      </c>
      <c r="AF27" s="63" t="str">
        <f>_xlfn.XLOOKUP($B27,PS!$C$6:$C$150,PS!$B$6:$B$150,"")</f>
        <v/>
      </c>
      <c r="AG27" s="71">
        <f>_xlfn.XLOOKUP(AF27,PS!$B$6:$B$75,PS!$A$6:$A$75,0)</f>
        <v>0</v>
      </c>
      <c r="AH27" s="63" t="str">
        <f>_xlfn.XLOOKUP($B27,IMEW!$C$6:$C$150,IMEW!$B$6:$B$150,"")</f>
        <v/>
      </c>
      <c r="AI27" s="71">
        <f>_xlfn.XLOOKUP(AH27,IMEW!$B$6:$B$75,IMEW!$A$6:$A$75,0)</f>
        <v>0</v>
      </c>
      <c r="AJ27" s="63" t="str" cm="1">
        <f t="array" ref="AJ27">_xlfn.XLOOKUP($B27,IMSW!C$6:C$201,IMSW!$B$6:B$201,"")</f>
        <v/>
      </c>
      <c r="AK27" s="72">
        <f>_xlfn.XLOOKUP(AJ27,IMSW!$B$6:$B$201,IMSW!$A$6:$A$201,0)</f>
        <v>0</v>
      </c>
      <c r="AM27" s="275" cm="1">
        <f t="array" ref="AM27">IF(AY27&gt;=150,SUM(AR27,AS27,AT27,AU27,AY27)+SUM(LARGE((AV27,AW27,AZ27,BA27,BB27),{1;2;3})),
        IF(AY27+AZ27&gt;=150,SUM(AR27,AS27,AT27,AU27,AY27,AZ27)+SUM(LARGE((AV27,AW27,BA27,BB27),{1;2})),
               IF(AY27+AZ27+BA27&gt;=150,SUM(AR27,AS27,AT27,AU27,AY27,AZ27,BA27)+SUM(LARGE((AV27,AW27,BB27),1)),
                      IF(AY27+AZ27+BA27+BB27&gt;=150,SUM(AR27,AS27,AT27,AU27,AY27,AZ27,BA27,BB27),0)
                     )
              )
       )</f>
        <v>0</v>
      </c>
      <c r="AN27" s="275" cm="1">
        <f t="array" ref="AN27">IF(AY27&gt;=75,SUM(AR27,AS27,AT27,AU27,AY27)+SUM(LARGE((AV27,AW27,AZ27,BA27,BB27),{1;2;3})),
        IF(AY27+AZ27&gt;=75,SUM(AR27,AS27,AT27,AU27,AY27,AZ27)+SUM(LARGE((AV27,AW27,BA27,BB27),{1;2})),
               IF(AY27+AZ27+BA27&gt;=75,SUM(AR27,AS27,AT27,AU27,AY27,AZ27,BA27)+SUM(LARGE((AV27,AW27,BB27),1)),
                      IF(AY27+AZ27+BA27+BB27&gt;=75,SUM(AR27,AS27,AT27,AU27,AY27,AZ27,BA27,BB27),0)
                     )
              )
       )</f>
        <v>0</v>
      </c>
      <c r="AO27" s="275" cm="1">
        <f t="array" ref="AO27">SUM(AR27:AT27)+SUM(LARGE((AU27:BC27),{1;2;3;4;5}))</f>
        <v>5.1465362730591337</v>
      </c>
      <c r="AP27" s="275" cm="1">
        <f t="array" ref="AP27">SUM(LARGE((AR27:BF27),{1;2;3;4;5;6;7;8}))</f>
        <v>5.1465362730591337</v>
      </c>
      <c r="AQ27" s="275"/>
      <c r="AR27" s="275">
        <f>LARGE((F27,H27,J27,L27,N27,P27),1)</f>
        <v>4.1465362730591337</v>
      </c>
      <c r="AS27" s="275">
        <f>LARGE((F27,H27,J27,L27,N27,P27),2)</f>
        <v>1</v>
      </c>
      <c r="AT27" s="275">
        <f>LARGE((F27,H27,J27,L27,N27,P27),3)</f>
        <v>0</v>
      </c>
      <c r="AU27" s="275">
        <f>LARGE((F27,H27,J27,L27,N27,P27),4)</f>
        <v>0</v>
      </c>
      <c r="AV27" s="275">
        <f>LARGE((F27,H27,J27,L27,N27,P27),5)</f>
        <v>0</v>
      </c>
      <c r="AW27" s="275">
        <f>LARGE((F27,H27,J27,L27,N27,P27),6)</f>
        <v>0</v>
      </c>
      <c r="AY27" s="275">
        <f>LARGE((S27,U27,W27,Y27,AA27,AC27,AE27,AG27,AI27,AK27),1)</f>
        <v>0</v>
      </c>
      <c r="AZ27" s="275">
        <f>LARGE((S27,U27,W27,Y27,AA27,AC27,AE27,AG27,AI27,AK27),2)</f>
        <v>0</v>
      </c>
      <c r="BA27" s="275">
        <f>LARGE((S27,U27,W27,Y27,AA27,AC27,AE27,AG27,AI27,AK27),3)</f>
        <v>0</v>
      </c>
      <c r="BB27" s="275">
        <f>LARGE((S27,U27,W27,Y27,AA27,AC27,AE27,AG27,AI27,AK27),4)</f>
        <v>0</v>
      </c>
      <c r="BC27" s="275">
        <f>LARGE((S27,U27,W27,Y27,AA27,AC27,AE27,AG27,AI27,AK27),5)</f>
        <v>0</v>
      </c>
      <c r="BD27" s="275">
        <f>LARGE((S27,U27,W27,Y27,AA27,AC27,AE27,AG27,AI27,AK27),6)</f>
        <v>0</v>
      </c>
      <c r="BE27" s="275">
        <f>LARGE((S27,U27,W27,Y27,AA27,AC27,AE27,AG27,AI27,AK27),7)</f>
        <v>0</v>
      </c>
      <c r="BF27" s="275">
        <f>LARGE((S27,U27,W27,Y27,AA27,AC27,AE27,AG27,AI27,AK27),8)</f>
        <v>0</v>
      </c>
      <c r="BG27" s="275">
        <f>LARGE((S27,U27,W27,Y27,AA27,AC27,AE27,AG27,AI27,AK27),9)</f>
        <v>0</v>
      </c>
    </row>
    <row r="28" spans="1:59" ht="14.85" customHeight="1">
      <c r="A28" s="54">
        <f>ROW()-5</f>
        <v>23</v>
      </c>
      <c r="B28" s="51" t="s">
        <v>164</v>
      </c>
      <c r="C28" s="272" t="str" cm="1">
        <f t="array" ref="C28">IF(AND(COUNTIF(E28:P28,"")&lt;3,SUM(LARGE((S28,U28,W28,Y28,AA28,AC28,AE28,AG28,AI28,AK28),{1;2;3;4}))&gt;=150),"kadra A",
IF(AND(COUNTIF(E28:P28,"")&lt;3,SUM(LARGE((S28,U28,W28,Y28,AA28,AC28,AE28,AG28,AI28,AK28),{1;2;3;4}))&gt;=75),"kadra B",
IF(COUNTIF(E28:P28,"")&lt;4,"kadra C",
IF(B28="","","kadra D")
)))</f>
        <v>kadra D</v>
      </c>
      <c r="D28" s="273">
        <f>IF(C28="kadra A",AM28,IF(C28="kadra B",AN28,IF(C28="kadra C",AO28,IF(C28="kadra D",AP28,0))))</f>
        <v>2.8420181345827942</v>
      </c>
      <c r="E28" s="64" t="str">
        <f>_xlfn.XLOOKUP($B28,'PP1'!$C$6:$C$150,'PP1'!$B$6:$B$150,"")</f>
        <v/>
      </c>
      <c r="F28" s="117">
        <f>_xlfn.XLOOKUP(E28,'PP1'!$B$6:$B$75,'PP1'!$A$6:$A$75,0)</f>
        <v>0</v>
      </c>
      <c r="G28" s="64" t="str">
        <f>_xlfn.XLOOKUP($B28,'PP2'!$C$6:$C$150,'PP2'!$B$6:$B$150,"")</f>
        <v/>
      </c>
      <c r="H28" s="119">
        <f>_xlfn.XLOOKUP(G28,'PP2'!$B$6:$B$75,'PP2'!$A$6:$A$75,0)</f>
        <v>0</v>
      </c>
      <c r="I28" s="115" t="str">
        <f>_xlfn.XLOOKUP($B28,'PP3'!$C$6:$C$150,'PP3'!$B$6:$B$150,"")</f>
        <v/>
      </c>
      <c r="J28" s="119">
        <f>_xlfn.XLOOKUP(I28,'PP3'!$B$6:$B$75,'PP3'!$A$6:$A$75,0)</f>
        <v>0</v>
      </c>
      <c r="K28" s="115" t="str">
        <f>_xlfn.XLOOKUP($B28,'PP4'!$C$6:$C$150,'PP4'!$B$6:$B$150,"")</f>
        <v/>
      </c>
      <c r="L28" s="119">
        <f>_xlfn.XLOOKUP(K28,'PP4'!$B$6:$B$75,'PP4'!$A$6:$A$75,0)</f>
        <v>0</v>
      </c>
      <c r="M28" s="115" t="str">
        <f>_xlfn.XLOOKUP($B28,'PP5'!$C$6:$C$150,'PP5'!$B$6:$B$150,"")</f>
        <v/>
      </c>
      <c r="N28" s="119">
        <f>_xlfn.XLOOKUP(M28,'PP5'!$B$6:$B$75,'PP5'!$A$6:$A$75,0)</f>
        <v>0</v>
      </c>
      <c r="O28" s="64" t="str">
        <f>_xlfn.XLOOKUP(B28,MPW!C$6:C$150,MPW!B$6:B$150,"")</f>
        <v/>
      </c>
      <c r="P28" s="119">
        <f>_xlfn.XLOOKUP(O28,MPW!B$6:B$75,MPW!A$6:A$75,0)</f>
        <v>0</v>
      </c>
      <c r="R28" s="63" t="str">
        <f>_xlfn.XLOOKUP($B28,'PEW1'!$C$6:$C$150,'PEW1'!$B$6:$B$150,"")</f>
        <v/>
      </c>
      <c r="S28" s="71">
        <f>_xlfn.XLOOKUP(R28,'PEW1'!$B$6:$B$75,'PEW1'!$A$6:$A$75,0)</f>
        <v>0</v>
      </c>
      <c r="T28" s="63" t="str">
        <f>_xlfn.XLOOKUP($B28,'PEW2'!$C$6:$C$150,'PEW2'!$B$6:$B$150,"")</f>
        <v/>
      </c>
      <c r="U28" s="71">
        <f>_xlfn.XLOOKUP(T28,'PEW2'!$B$6:$B$75,'PEW2'!$A$6:$A$75,0)</f>
        <v>0</v>
      </c>
      <c r="V28" s="63" t="str">
        <f>_xlfn.XLOOKUP($B28,'PEW3'!$C$6:$C$150,'PEW3'!$B$6:$B$150,"")</f>
        <v/>
      </c>
      <c r="W28" s="71">
        <f>_xlfn.XLOOKUP(V28,'PEW3'!$B$6:$B$75,'PEW3'!$A$6:$A$75,0)</f>
        <v>0</v>
      </c>
      <c r="X28" s="63" t="str">
        <f>_xlfn.XLOOKUP($B28,'PEW4'!$C$6:$C$150,'PEW4'!$B$6:$B$150,"")</f>
        <v/>
      </c>
      <c r="Y28" s="71">
        <f>_xlfn.XLOOKUP(X28,'PEW4'!$B$6:$B$75,'PEW4'!$A$6:$A$75,0)</f>
        <v>0</v>
      </c>
      <c r="Z28" s="63" t="str">
        <f>_xlfn.XLOOKUP($B28,'PEW5'!$C$6:$C$150,'PEW5'!$B$6:$B$150,"")</f>
        <v/>
      </c>
      <c r="AA28" s="71">
        <f>_xlfn.XLOOKUP(Z28,'PEW5'!$B$6:$B$75,'PEW5'!$A$6:$A$75,0)</f>
        <v>0</v>
      </c>
      <c r="AB28" s="63">
        <f>_xlfn.XLOOKUP($B28,'PEW6'!$C$6:$C$150,'PEW6'!$B$6:$B$150,"")</f>
        <v>39</v>
      </c>
      <c r="AC28" s="71">
        <f>_xlfn.XLOOKUP(AB28,'PEW6'!$B$6:$B$75,'PEW6'!$A$6:$A$75,0)</f>
        <v>2.8420181345827942</v>
      </c>
      <c r="AD28" s="63" t="str">
        <f>_xlfn.XLOOKUP($B28,'PEW7'!$C$6:$C$150,'PEW7'!$B$6:$B$150,"")</f>
        <v/>
      </c>
      <c r="AE28" s="71">
        <f>_xlfn.XLOOKUP(AD28,'PEW7'!$B$6:$B$75,'PEW7'!$A$6:$A$75,0)</f>
        <v>0</v>
      </c>
      <c r="AF28" s="63" t="str">
        <f>_xlfn.XLOOKUP($B28,PS!$C$6:$C$150,PS!$B$6:$B$150,"")</f>
        <v/>
      </c>
      <c r="AG28" s="71">
        <f>_xlfn.XLOOKUP(AF28,PS!$B$6:$B$75,PS!$A$6:$A$75,0)</f>
        <v>0</v>
      </c>
      <c r="AH28" s="63" t="str">
        <f>_xlfn.XLOOKUP($B28,IMEW!$C$6:$C$150,IMEW!$B$6:$B$150,"")</f>
        <v/>
      </c>
      <c r="AI28" s="71">
        <f>_xlfn.XLOOKUP(AH28,IMEW!$B$6:$B$75,IMEW!$A$6:$A$75,0)</f>
        <v>0</v>
      </c>
      <c r="AJ28" s="63" t="str" cm="1">
        <f t="array" ref="AJ28">_xlfn.XLOOKUP($B28,IMSW!C$6:C$201,IMSW!$B$6:B$201,"")</f>
        <v/>
      </c>
      <c r="AK28" s="72">
        <f>_xlfn.XLOOKUP(AJ28,IMSW!$B$6:$B$201,IMSW!$A$6:$A$201,0)</f>
        <v>0</v>
      </c>
      <c r="AM28" s="275" cm="1">
        <f t="array" ref="AM28">IF(AY28&gt;=150,SUM(AR28,AS28,AT28,AU28,AY28)+SUM(LARGE((AV28,AW28,AZ28,BA28,BB28),{1;2;3})),
        IF(AY28+AZ28&gt;=150,SUM(AR28,AS28,AT28,AU28,AY28,AZ28)+SUM(LARGE((AV28,AW28,BA28,BB28),{1;2})),
               IF(AY28+AZ28+BA28&gt;=150,SUM(AR28,AS28,AT28,AU28,AY28,AZ28,BA28)+SUM(LARGE((AV28,AW28,BB28),1)),
                      IF(AY28+AZ28+BA28+BB28&gt;=150,SUM(AR28,AS28,AT28,AU28,AY28,AZ28,BA28,BB28),0)
                     )
              )
       )</f>
        <v>0</v>
      </c>
      <c r="AN28" s="275" cm="1">
        <f t="array" ref="AN28">IF(AY28&gt;=75,SUM(AR28,AS28,AT28,AU28,AY28)+SUM(LARGE((AV28,AW28,AZ28,BA28,BB28),{1;2;3})),
        IF(AY28+AZ28&gt;=75,SUM(AR28,AS28,AT28,AU28,AY28,AZ28)+SUM(LARGE((AV28,AW28,BA28,BB28),{1;2})),
               IF(AY28+AZ28+BA28&gt;=75,SUM(AR28,AS28,AT28,AU28,AY28,AZ28,BA28)+SUM(LARGE((AV28,AW28,BB28),1)),
                      IF(AY28+AZ28+BA28+BB28&gt;=75,SUM(AR28,AS28,AT28,AU28,AY28,AZ28,BA28,BB28),0)
                     )
              )
       )</f>
        <v>0</v>
      </c>
      <c r="AO28" s="275" cm="1">
        <f t="array" ref="AO28">SUM(AR28:AT28)+SUM(LARGE((AU28:BC28),{1;2;3;4;5}))</f>
        <v>2.8420181345827942</v>
      </c>
      <c r="AP28" s="275" cm="1">
        <f t="array" ref="AP28">SUM(LARGE((AR28:BF28),{1;2;3;4;5;6;7;8}))</f>
        <v>2.8420181345827942</v>
      </c>
      <c r="AQ28" s="275"/>
      <c r="AR28" s="275">
        <f>LARGE((F28,H28,J28,L28,N28,P28),1)</f>
        <v>0</v>
      </c>
      <c r="AS28" s="275">
        <f>LARGE((F28,H28,J28,L28,N28,P28),2)</f>
        <v>0</v>
      </c>
      <c r="AT28" s="275">
        <f>LARGE((F28,H28,J28,L28,N28,P28),3)</f>
        <v>0</v>
      </c>
      <c r="AU28" s="275">
        <f>LARGE((F28,H28,J28,L28,N28,P28),4)</f>
        <v>0</v>
      </c>
      <c r="AV28" s="275">
        <f>LARGE((F28,H28,J28,L28,N28,P28),5)</f>
        <v>0</v>
      </c>
      <c r="AW28" s="275">
        <f>LARGE((F28,H28,J28,L28,N28,P28),6)</f>
        <v>0</v>
      </c>
      <c r="AY28" s="275">
        <f>LARGE((S28,U28,W28,Y28,AA28,AC28,AE28,AG28,AI28,AK28),1)</f>
        <v>2.8420181345827942</v>
      </c>
      <c r="AZ28" s="275">
        <f>LARGE((S28,U28,W28,Y28,AA28,AC28,AE28,AG28,AI28,AK28),2)</f>
        <v>0</v>
      </c>
      <c r="BA28" s="275">
        <f>LARGE((S28,U28,W28,Y28,AA28,AC28,AE28,AG28,AI28,AK28),3)</f>
        <v>0</v>
      </c>
      <c r="BB28" s="275">
        <f>LARGE((S28,U28,W28,Y28,AA28,AC28,AE28,AG28,AI28,AK28),4)</f>
        <v>0</v>
      </c>
      <c r="BC28" s="275">
        <f>LARGE((S28,U28,W28,Y28,AA28,AC28,AE28,AG28,AI28,AK28),5)</f>
        <v>0</v>
      </c>
      <c r="BD28" s="275">
        <f>LARGE((S28,U28,W28,Y28,AA28,AC28,AE28,AG28,AI28,AK28),6)</f>
        <v>0</v>
      </c>
      <c r="BE28" s="275">
        <f>LARGE((S28,U28,W28,Y28,AA28,AC28,AE28,AG28,AI28,AK28),7)</f>
        <v>0</v>
      </c>
      <c r="BF28" s="275">
        <f>LARGE((S28,U28,W28,Y28,AA28,AC28,AE28,AG28,AI28,AK28),8)</f>
        <v>0</v>
      </c>
      <c r="BG28" s="275">
        <f>LARGE((S28,U28,W28,Y28,AA28,AC28,AE28,AG28,AI28,AK28),9)</f>
        <v>0</v>
      </c>
    </row>
    <row r="29" spans="1:59" ht="14.85" customHeight="1">
      <c r="A29" s="54">
        <f>ROW()-5</f>
        <v>24</v>
      </c>
      <c r="B29" s="51" t="s">
        <v>165</v>
      </c>
      <c r="C29" s="272" t="str" cm="1">
        <f t="array" ref="C29">IF(AND(COUNTIF(E29:P29,"")&lt;3,SUM(LARGE((S29,U29,W29,Y29,AA29,AC29,AE29,AG29,AI29,AK29),{1;2;3;4}))&gt;=150),"kadra A",
IF(AND(COUNTIF(E29:P29,"")&lt;3,SUM(LARGE((S29,U29,W29,Y29,AA29,AC29,AE29,AG29,AI29,AK29),{1;2;3;4}))&gt;=75),"kadra B",
IF(COUNTIF(E29:P29,"")&lt;4,"kadra C",
IF(B29="","","kadra D")
)))</f>
        <v>kadra D</v>
      </c>
      <c r="D29" s="273">
        <f>IF(C29="kadra A",AM29,IF(C29="kadra B",AN29,IF(C29="kadra C",AO29,IF(C29="kadra D",AP29,0))))</f>
        <v>2.1982755872086273</v>
      </c>
      <c r="E29" s="64" t="str">
        <f>_xlfn.XLOOKUP($B29,'PP1'!$C$6:$C$150,'PP1'!$B$6:$B$150,"")</f>
        <v/>
      </c>
      <c r="F29" s="117">
        <f>_xlfn.XLOOKUP(E29,'PP1'!$B$6:$B$75,'PP1'!$A$6:$A$75,0)</f>
        <v>0</v>
      </c>
      <c r="G29" s="64" t="str">
        <f>_xlfn.XLOOKUP($B29,'PP2'!$C$6:$C$150,'PP2'!$B$6:$B$150,"")</f>
        <v/>
      </c>
      <c r="H29" s="119">
        <f>_xlfn.XLOOKUP(G29,'PP2'!$B$6:$B$75,'PP2'!$A$6:$A$75,0)</f>
        <v>0</v>
      </c>
      <c r="I29" s="115" t="str">
        <f>_xlfn.XLOOKUP($B29,'PP3'!$C$6:$C$150,'PP3'!$B$6:$B$150,"")</f>
        <v/>
      </c>
      <c r="J29" s="119">
        <f>_xlfn.XLOOKUP(I29,'PP3'!$B$6:$B$75,'PP3'!$A$6:$A$75,0)</f>
        <v>0</v>
      </c>
      <c r="K29" s="115" t="str">
        <f>_xlfn.XLOOKUP($B29,'PP4'!$C$6:$C$150,'PP4'!$B$6:$B$150,"")</f>
        <v/>
      </c>
      <c r="L29" s="119">
        <f>_xlfn.XLOOKUP(K29,'PP4'!$B$6:$B$75,'PP4'!$A$6:$A$75,0)</f>
        <v>0</v>
      </c>
      <c r="M29" s="115" t="str">
        <f>_xlfn.XLOOKUP($B29,'PP5'!$C$6:$C$150,'PP5'!$B$6:$B$150,"")</f>
        <v/>
      </c>
      <c r="N29" s="119">
        <f>_xlfn.XLOOKUP(M29,'PP5'!$B$6:$B$75,'PP5'!$A$6:$A$75,0)</f>
        <v>0</v>
      </c>
      <c r="O29" s="64" t="str">
        <f>_xlfn.XLOOKUP(B29,MPW!C$6:C$150,MPW!B$6:B$150,"")</f>
        <v/>
      </c>
      <c r="P29" s="119">
        <f>_xlfn.XLOOKUP(O29,MPW!B$6:B$75,MPW!A$6:A$75,0)</f>
        <v>0</v>
      </c>
      <c r="R29" s="63" t="str">
        <f>_xlfn.XLOOKUP($B29,'PEW1'!$C$6:$C$150,'PEW1'!$B$6:$B$150,"")</f>
        <v/>
      </c>
      <c r="S29" s="71">
        <f>_xlfn.XLOOKUP(R29,'PEW1'!$B$6:$B$75,'PEW1'!$A$6:$A$75,0)</f>
        <v>0</v>
      </c>
      <c r="T29" s="63" t="str">
        <f>_xlfn.XLOOKUP($B29,'PEW2'!$C$6:$C$150,'PEW2'!$B$6:$B$150,"")</f>
        <v/>
      </c>
      <c r="U29" s="71">
        <f>_xlfn.XLOOKUP(T29,'PEW2'!$B$6:$B$75,'PEW2'!$A$6:$A$75,0)</f>
        <v>0</v>
      </c>
      <c r="V29" s="63" t="str">
        <f>_xlfn.XLOOKUP($B29,'PEW3'!$C$6:$C$150,'PEW3'!$B$6:$B$150,"")</f>
        <v/>
      </c>
      <c r="W29" s="71">
        <f>_xlfn.XLOOKUP(V29,'PEW3'!$B$6:$B$75,'PEW3'!$A$6:$A$75,0)</f>
        <v>0</v>
      </c>
      <c r="X29" s="63" t="str">
        <f>_xlfn.XLOOKUP($B29,'PEW4'!$C$6:$C$150,'PEW4'!$B$6:$B$150,"")</f>
        <v/>
      </c>
      <c r="Y29" s="71">
        <f>_xlfn.XLOOKUP(X29,'PEW4'!$B$6:$B$75,'PEW4'!$A$6:$A$75,0)</f>
        <v>0</v>
      </c>
      <c r="Z29" s="63" t="str">
        <f>_xlfn.XLOOKUP($B29,'PEW5'!$C$6:$C$150,'PEW5'!$B$6:$B$150,"")</f>
        <v/>
      </c>
      <c r="AA29" s="71">
        <f>_xlfn.XLOOKUP(Z29,'PEW5'!$B$6:$B$75,'PEW5'!$A$6:$A$75,0)</f>
        <v>0</v>
      </c>
      <c r="AB29" s="63">
        <f>_xlfn.XLOOKUP($B29,'PEW6'!$C$6:$C$150,'PEW6'!$B$6:$B$150,"")</f>
        <v>41</v>
      </c>
      <c r="AC29" s="71">
        <f>_xlfn.XLOOKUP(AB29,'PEW6'!$B$6:$B$75,'PEW6'!$A$6:$A$75,0)</f>
        <v>2.1982755872086273</v>
      </c>
      <c r="AD29" s="63" t="str">
        <f>_xlfn.XLOOKUP($B29,'PEW7'!$C$6:$C$150,'PEW7'!$B$6:$B$150,"")</f>
        <v/>
      </c>
      <c r="AE29" s="71">
        <f>_xlfn.XLOOKUP(AD29,'PEW7'!$B$6:$B$75,'PEW7'!$A$6:$A$75,0)</f>
        <v>0</v>
      </c>
      <c r="AF29" s="63" t="str">
        <f>_xlfn.XLOOKUP($B29,PS!$C$6:$C$150,PS!$B$6:$B$150,"")</f>
        <v/>
      </c>
      <c r="AG29" s="71">
        <f>_xlfn.XLOOKUP(AF29,PS!$B$6:$B$75,PS!$A$6:$A$75,0)</f>
        <v>0</v>
      </c>
      <c r="AH29" s="63" t="str">
        <f>_xlfn.XLOOKUP($B29,IMEW!$C$6:$C$150,IMEW!$B$6:$B$150,"")</f>
        <v/>
      </c>
      <c r="AI29" s="71">
        <f>_xlfn.XLOOKUP(AH29,IMEW!$B$6:$B$75,IMEW!$A$6:$A$75,0)</f>
        <v>0</v>
      </c>
      <c r="AJ29" s="63" t="str" cm="1">
        <f t="array" ref="AJ29">_xlfn.XLOOKUP($B29,IMSW!C$6:C$201,IMSW!$B$6:B$201,"")</f>
        <v/>
      </c>
      <c r="AK29" s="72">
        <f>_xlfn.XLOOKUP(AJ29,IMSW!$B$6:$B$201,IMSW!$A$6:$A$201,0)</f>
        <v>0</v>
      </c>
      <c r="AM29" s="275" cm="1">
        <f t="array" ref="AM29">IF(AY29&gt;=150,SUM(AR29,AS29,AT29,AU29,AY29)+SUM(LARGE((AV29,AW29,AZ29,BA29,BB29),{1;2;3})),
        IF(AY29+AZ29&gt;=150,SUM(AR29,AS29,AT29,AU29,AY29,AZ29)+SUM(LARGE((AV29,AW29,BA29,BB29),{1;2})),
               IF(AY29+AZ29+BA29&gt;=150,SUM(AR29,AS29,AT29,AU29,AY29,AZ29,BA29)+SUM(LARGE((AV29,AW29,BB29),1)),
                      IF(AY29+AZ29+BA29+BB29&gt;=150,SUM(AR29,AS29,AT29,AU29,AY29,AZ29,BA29,BB29),0)
                     )
              )
       )</f>
        <v>0</v>
      </c>
      <c r="AN29" s="275" cm="1">
        <f t="array" ref="AN29">IF(AY29&gt;=75,SUM(AR29,AS29,AT29,AU29,AY29)+SUM(LARGE((AV29,AW29,AZ29,BA29,BB29),{1;2;3})),
        IF(AY29+AZ29&gt;=75,SUM(AR29,AS29,AT29,AU29,AY29,AZ29)+SUM(LARGE((AV29,AW29,BA29,BB29),{1;2})),
               IF(AY29+AZ29+BA29&gt;=75,SUM(AR29,AS29,AT29,AU29,AY29,AZ29,BA29)+SUM(LARGE((AV29,AW29,BB29),1)),
                      IF(AY29+AZ29+BA29+BB29&gt;=75,SUM(AR29,AS29,AT29,AU29,AY29,AZ29,BA29,BB29),0)
                     )
              )
       )</f>
        <v>0</v>
      </c>
      <c r="AO29" s="275" cm="1">
        <f t="array" ref="AO29">SUM(AR29:AT29)+SUM(LARGE((AU29:BC29),{1;2;3;4;5}))</f>
        <v>2.1982755872086273</v>
      </c>
      <c r="AP29" s="275" cm="1">
        <f t="array" ref="AP29">SUM(LARGE((AR29:BF29),{1;2;3;4;5;6;7;8}))</f>
        <v>2.1982755872086273</v>
      </c>
      <c r="AQ29" s="275"/>
      <c r="AR29" s="275">
        <f>LARGE((F29,H29,J29,L29,N29,P29),1)</f>
        <v>0</v>
      </c>
      <c r="AS29" s="275">
        <f>LARGE((F29,H29,J29,L29,N29,P29),2)</f>
        <v>0</v>
      </c>
      <c r="AT29" s="275">
        <f>LARGE((F29,H29,J29,L29,N29,P29),3)</f>
        <v>0</v>
      </c>
      <c r="AU29" s="275">
        <f>LARGE((F29,H29,J29,L29,N29,P29),4)</f>
        <v>0</v>
      </c>
      <c r="AV29" s="275">
        <f>LARGE((F29,H29,J29,L29,N29,P29),5)</f>
        <v>0</v>
      </c>
      <c r="AW29" s="275">
        <f>LARGE((F29,H29,J29,L29,N29,P29),6)</f>
        <v>0</v>
      </c>
      <c r="AY29" s="275">
        <f>LARGE((S29,U29,W29,Y29,AA29,AC29,AE29,AG29,AI29,AK29),1)</f>
        <v>2.1982755872086273</v>
      </c>
      <c r="AZ29" s="275">
        <f>LARGE((S29,U29,W29,Y29,AA29,AC29,AE29,AG29,AI29,AK29),2)</f>
        <v>0</v>
      </c>
      <c r="BA29" s="275">
        <f>LARGE((S29,U29,W29,Y29,AA29,AC29,AE29,AG29,AI29,AK29),3)</f>
        <v>0</v>
      </c>
      <c r="BB29" s="275">
        <f>LARGE((S29,U29,W29,Y29,AA29,AC29,AE29,AG29,AI29,AK29),4)</f>
        <v>0</v>
      </c>
      <c r="BC29" s="275">
        <f>LARGE((S29,U29,W29,Y29,AA29,AC29,AE29,AG29,AI29,AK29),5)</f>
        <v>0</v>
      </c>
      <c r="BD29" s="275">
        <f>LARGE((S29,U29,W29,Y29,AA29,AC29,AE29,AG29,AI29,AK29),6)</f>
        <v>0</v>
      </c>
      <c r="BE29" s="275">
        <f>LARGE((S29,U29,W29,Y29,AA29,AC29,AE29,AG29,AI29,AK29),7)</f>
        <v>0</v>
      </c>
      <c r="BF29" s="275">
        <f>LARGE((S29,U29,W29,Y29,AA29,AC29,AE29,AG29,AI29,AK29),8)</f>
        <v>0</v>
      </c>
      <c r="BG29" s="275">
        <f>LARGE((S29,U29,W29,Y29,AA29,AC29,AE29,AG29,AI29,AK29),9)</f>
        <v>0</v>
      </c>
    </row>
    <row r="30" spans="1:59" ht="14.85" customHeight="1">
      <c r="A30" s="54">
        <f>ROW()-5</f>
        <v>25</v>
      </c>
      <c r="B30" s="51" t="s">
        <v>166</v>
      </c>
      <c r="C30" s="272" t="str" cm="1">
        <f t="array" ref="C30">IF(AND(COUNTIF(E30:P30,"")&lt;3,SUM(LARGE((S30,U30,W30,Y30,AA30,AC30,AE30,AG30,AI30,AK30),{1;2;3;4}))&gt;=150),"kadra A",
IF(AND(COUNTIF(E30:P30,"")&lt;3,SUM(LARGE((S30,U30,W30,Y30,AA30,AC30,AE30,AG30,AI30,AK30),{1;2;3;4}))&gt;=75),"kadra B",
IF(COUNTIF(E30:P30,"")&lt;4,"kadra C",
IF(B30="","","kadra D")
)))</f>
        <v>kadra D</v>
      </c>
      <c r="D30" s="273">
        <f>IF(C30="kadra A",AM30,IF(C30="kadra B",AN30,IF(C30="kadra C",AO30,IF(C30="kadra D",AP30,0))))</f>
        <v>1</v>
      </c>
      <c r="E30" s="64" t="str">
        <f>_xlfn.XLOOKUP($B30,'PP1'!$C$6:$C$150,'PP1'!$B$6:$B$150,"")</f>
        <v/>
      </c>
      <c r="F30" s="117">
        <f>_xlfn.XLOOKUP(E30,'PP1'!$B$6:$B$75,'PP1'!$A$6:$A$75,0)</f>
        <v>0</v>
      </c>
      <c r="G30" s="64" t="str">
        <f>_xlfn.XLOOKUP($B30,'PP2'!$C$6:$C$150,'PP2'!$B$6:$B$150,"")</f>
        <v/>
      </c>
      <c r="H30" s="119">
        <f>_xlfn.XLOOKUP(G30,'PP2'!$B$6:$B$75,'PP2'!$A$6:$A$75,0)</f>
        <v>0</v>
      </c>
      <c r="I30" s="115" t="str">
        <f>_xlfn.XLOOKUP($B30,'PP3'!$C$6:$C$150,'PP3'!$B$6:$B$150,"")</f>
        <v/>
      </c>
      <c r="J30" s="119">
        <f>_xlfn.XLOOKUP(I30,'PP3'!$B$6:$B$75,'PP3'!$A$6:$A$75,0)</f>
        <v>0</v>
      </c>
      <c r="K30" s="115" t="str">
        <f>_xlfn.XLOOKUP($B30,'PP4'!$C$6:$C$150,'PP4'!$B$6:$B$150,"")</f>
        <v/>
      </c>
      <c r="L30" s="119">
        <f>_xlfn.XLOOKUP(K30,'PP4'!$B$6:$B$75,'PP4'!$A$6:$A$75,0)</f>
        <v>0</v>
      </c>
      <c r="M30" s="115" t="str">
        <f>_xlfn.XLOOKUP($B30,'PP5'!$C$6:$C$150,'PP5'!$B$6:$B$150,"")</f>
        <v/>
      </c>
      <c r="N30" s="119">
        <f>_xlfn.XLOOKUP(M30,'PP5'!$B$6:$B$75,'PP5'!$A$6:$A$75,0)</f>
        <v>0</v>
      </c>
      <c r="O30" s="64" t="str">
        <f>_xlfn.XLOOKUP(B30,MPW!C$6:C$150,MPW!B$6:B$150,"")</f>
        <v/>
      </c>
      <c r="P30" s="119">
        <f>_xlfn.XLOOKUP(O30,MPW!B$6:B$75,MPW!A$6:A$75,0)</f>
        <v>0</v>
      </c>
      <c r="R30" s="63" t="str">
        <f>_xlfn.XLOOKUP($B30,'PEW1'!$C$6:$C$150,'PEW1'!$B$6:$B$150,"")</f>
        <v/>
      </c>
      <c r="S30" s="71">
        <f>_xlfn.XLOOKUP(R30,'PEW1'!$B$6:$B$75,'PEW1'!$A$6:$A$75,0)</f>
        <v>0</v>
      </c>
      <c r="T30" s="63" t="str">
        <f>_xlfn.XLOOKUP($B30,'PEW2'!$C$6:$C$150,'PEW2'!$B$6:$B$150,"")</f>
        <v/>
      </c>
      <c r="U30" s="71">
        <f>_xlfn.XLOOKUP(T30,'PEW2'!$B$6:$B$75,'PEW2'!$A$6:$A$75,0)</f>
        <v>0</v>
      </c>
      <c r="V30" s="63" t="str">
        <f>_xlfn.XLOOKUP($B30,'PEW3'!$C$6:$C$150,'PEW3'!$B$6:$B$150,"")</f>
        <v/>
      </c>
      <c r="W30" s="71">
        <f>_xlfn.XLOOKUP(V30,'PEW3'!$B$6:$B$75,'PEW3'!$A$6:$A$75,0)</f>
        <v>0</v>
      </c>
      <c r="X30" s="63" t="str">
        <f>_xlfn.XLOOKUP($B30,'PEW4'!$C$6:$C$150,'PEW4'!$B$6:$B$150,"")</f>
        <v/>
      </c>
      <c r="Y30" s="71">
        <f>_xlfn.XLOOKUP(X30,'PEW4'!$B$6:$B$75,'PEW4'!$A$6:$A$75,0)</f>
        <v>0</v>
      </c>
      <c r="Z30" s="63" t="str">
        <f>_xlfn.XLOOKUP($B30,'PEW5'!$C$6:$C$150,'PEW5'!$B$6:$B$150,"")</f>
        <v/>
      </c>
      <c r="AA30" s="71">
        <f>_xlfn.XLOOKUP(Z30,'PEW5'!$B$6:$B$75,'PEW5'!$A$6:$A$75,0)</f>
        <v>0</v>
      </c>
      <c r="AB30" s="63">
        <f>_xlfn.XLOOKUP($B30,'PEW6'!$C$6:$C$150,'PEW6'!$B$6:$B$150,"")</f>
        <v>45</v>
      </c>
      <c r="AC30" s="71">
        <f>_xlfn.XLOOKUP(AB30,'PEW6'!$B$6:$B$75,'PEW6'!$A$6:$A$75,0)</f>
        <v>1</v>
      </c>
      <c r="AD30" s="63" t="str">
        <f>_xlfn.XLOOKUP($B30,'PEW7'!$C$6:$C$150,'PEW7'!$B$6:$B$150,"")</f>
        <v/>
      </c>
      <c r="AE30" s="71">
        <f>_xlfn.XLOOKUP(AD30,'PEW7'!$B$6:$B$75,'PEW7'!$A$6:$A$75,0)</f>
        <v>0</v>
      </c>
      <c r="AF30" s="63" t="str">
        <f>_xlfn.XLOOKUP($B30,PS!$C$6:$C$150,PS!$B$6:$B$150,"")</f>
        <v/>
      </c>
      <c r="AG30" s="71">
        <f>_xlfn.XLOOKUP(AF30,PS!$B$6:$B$75,PS!$A$6:$A$75,0)</f>
        <v>0</v>
      </c>
      <c r="AH30" s="63" t="str">
        <f>_xlfn.XLOOKUP($B30,IMEW!$C$6:$C$150,IMEW!$B$6:$B$150,"")</f>
        <v/>
      </c>
      <c r="AI30" s="71">
        <f>_xlfn.XLOOKUP(AH30,IMEW!$B$6:$B$75,IMEW!$A$6:$A$75,0)</f>
        <v>0</v>
      </c>
      <c r="AJ30" s="63" t="str" cm="1">
        <f t="array" ref="AJ30">_xlfn.XLOOKUP($B30,IMSW!C$6:C$201,IMSW!$B$6:B$201,"")</f>
        <v/>
      </c>
      <c r="AK30" s="72">
        <f>_xlfn.XLOOKUP(AJ30,IMSW!$B$6:$B$201,IMSW!$A$6:$A$201,0)</f>
        <v>0</v>
      </c>
      <c r="AM30" s="275" cm="1">
        <f t="array" ref="AM30">IF(AY30&gt;=150,SUM(AR30,AS30,AT30,AU30,AY30)+SUM(LARGE((AV30,AW30,AZ30,BA30,BB30),{1;2;3})),
        IF(AY30+AZ30&gt;=150,SUM(AR30,AS30,AT30,AU30,AY30,AZ30)+SUM(LARGE((AV30,AW30,BA30,BB30),{1;2})),
               IF(AY30+AZ30+BA30&gt;=150,SUM(AR30,AS30,AT30,AU30,AY30,AZ30,BA30)+SUM(LARGE((AV30,AW30,BB30),1)),
                      IF(AY30+AZ30+BA30+BB30&gt;=150,SUM(AR30,AS30,AT30,AU30,AY30,AZ30,BA30,BB30),0)
                     )
              )
       )</f>
        <v>0</v>
      </c>
      <c r="AN30" s="275" cm="1">
        <f t="array" ref="AN30">IF(AY30&gt;=75,SUM(AR30,AS30,AT30,AU30,AY30)+SUM(LARGE((AV30,AW30,AZ30,BA30,BB30),{1;2;3})),
        IF(AY30+AZ30&gt;=75,SUM(AR30,AS30,AT30,AU30,AY30,AZ30)+SUM(LARGE((AV30,AW30,BA30,BB30),{1;2})),
               IF(AY30+AZ30+BA30&gt;=75,SUM(AR30,AS30,AT30,AU30,AY30,AZ30,BA30)+SUM(LARGE((AV30,AW30,BB30),1)),
                      IF(AY30+AZ30+BA30+BB30&gt;=75,SUM(AR30,AS30,AT30,AU30,AY30,AZ30,BA30,BB30),0)
                     )
              )
       )</f>
        <v>0</v>
      </c>
      <c r="AO30" s="275" cm="1">
        <f t="array" ref="AO30">SUM(AR30:AT30)+SUM(LARGE((AU30:BC30),{1;2;3;4;5}))</f>
        <v>1</v>
      </c>
      <c r="AP30" s="275" cm="1">
        <f t="array" ref="AP30">SUM(LARGE((AR30:BF30),{1;2;3;4;5;6;7;8}))</f>
        <v>1</v>
      </c>
      <c r="AQ30" s="275"/>
      <c r="AR30" s="275">
        <f>LARGE((F30,H30,J30,L30,N30,P30),1)</f>
        <v>0</v>
      </c>
      <c r="AS30" s="275">
        <f>LARGE((F30,H30,J30,L30,N30,P30),2)</f>
        <v>0</v>
      </c>
      <c r="AT30" s="275">
        <f>LARGE((F30,H30,J30,L30,N30,P30),3)</f>
        <v>0</v>
      </c>
      <c r="AU30" s="275">
        <f>LARGE((F30,H30,J30,L30,N30,P30),4)</f>
        <v>0</v>
      </c>
      <c r="AV30" s="275">
        <f>LARGE((F30,H30,J30,L30,N30,P30),5)</f>
        <v>0</v>
      </c>
      <c r="AW30" s="275">
        <f>LARGE((F30,H30,J30,L30,N30,P30),6)</f>
        <v>0</v>
      </c>
      <c r="AY30" s="275">
        <f>LARGE((S30,U30,W30,Y30,AA30,AC30,AE30,AG30,AI30,AK30),1)</f>
        <v>1</v>
      </c>
      <c r="AZ30" s="275">
        <f>LARGE((S30,U30,W30,Y30,AA30,AC30,AE30,AG30,AI30,AK30),2)</f>
        <v>0</v>
      </c>
      <c r="BA30" s="275">
        <f>LARGE((S30,U30,W30,Y30,AA30,AC30,AE30,AG30,AI30,AK30),3)</f>
        <v>0</v>
      </c>
      <c r="BB30" s="275">
        <f>LARGE((S30,U30,W30,Y30,AA30,AC30,AE30,AG30,AI30,AK30),4)</f>
        <v>0</v>
      </c>
      <c r="BC30" s="275">
        <f>LARGE((S30,U30,W30,Y30,AA30,AC30,AE30,AG30,AI30,AK30),5)</f>
        <v>0</v>
      </c>
      <c r="BD30" s="275">
        <f>LARGE((S30,U30,W30,Y30,AA30,AC30,AE30,AG30,AI30,AK30),6)</f>
        <v>0</v>
      </c>
      <c r="BE30" s="275">
        <f>LARGE((S30,U30,W30,Y30,AA30,AC30,AE30,AG30,AI30,AK30),7)</f>
        <v>0</v>
      </c>
      <c r="BF30" s="275">
        <f>LARGE((S30,U30,W30,Y30,AA30,AC30,AE30,AG30,AI30,AK30),8)</f>
        <v>0</v>
      </c>
      <c r="BG30" s="275">
        <f>LARGE((S30,U30,W30,Y30,AA30,AC30,AE30,AG30,AI30,AK30),9)</f>
        <v>0</v>
      </c>
    </row>
  </sheetData>
  <autoFilter ref="A5:BG5" xr:uid="{926852B5-D7B1-4259-8584-1B877B9BDBBD}">
    <sortState xmlns:xlrd2="http://schemas.microsoft.com/office/spreadsheetml/2017/richdata2" ref="A7:BG30">
      <sortCondition ref="C5"/>
    </sortState>
  </autoFilter>
  <mergeCells count="22">
    <mergeCell ref="R1:AK3"/>
    <mergeCell ref="D1:P2"/>
    <mergeCell ref="E4:F4"/>
    <mergeCell ref="R4:S4"/>
    <mergeCell ref="G4:H4"/>
    <mergeCell ref="O4:P4"/>
    <mergeCell ref="I4:J4"/>
    <mergeCell ref="K4:L4"/>
    <mergeCell ref="M4:N4"/>
    <mergeCell ref="X4:Y4"/>
    <mergeCell ref="Z4:AA4"/>
    <mergeCell ref="AB4:AC4"/>
    <mergeCell ref="AH4:AI4"/>
    <mergeCell ref="A4:A5"/>
    <mergeCell ref="B4:B5"/>
    <mergeCell ref="C4:C5"/>
    <mergeCell ref="D4:D5"/>
    <mergeCell ref="AJ4:AK4"/>
    <mergeCell ref="AD4:AE4"/>
    <mergeCell ref="T4:U4"/>
    <mergeCell ref="V4:W4"/>
    <mergeCell ref="AF4:AG4"/>
  </mergeCells>
  <conditionalFormatting sqref="A6:A30">
    <cfRule type="cellIs" dxfId="27" priority="23" operator="equal">
      <formula>3</formula>
    </cfRule>
    <cfRule type="cellIs" dxfId="26" priority="24" operator="equal">
      <formula>2</formula>
    </cfRule>
    <cfRule type="cellIs" dxfId="25" priority="25" operator="equal">
      <formula>1</formula>
    </cfRule>
  </conditionalFormatting>
  <conditionalFormatting sqref="C6:C30">
    <cfRule type="cellIs" dxfId="24" priority="6" operator="equal">
      <formula>"kadra C"</formula>
    </cfRule>
    <cfRule type="cellIs" dxfId="23" priority="8" operator="equal">
      <formula>"kadra B"</formula>
    </cfRule>
    <cfRule type="cellIs" dxfId="22" priority="10" operator="equal">
      <formula>"kadra A"</formula>
    </cfRule>
  </conditionalFormatting>
  <conditionalFormatting sqref="D6:D30">
    <cfRule type="expression" dxfId="21" priority="5">
      <formula>$C6="kadra C"</formula>
    </cfRule>
    <cfRule type="expression" dxfId="20" priority="7">
      <formula>$C6="kadra B"</formula>
    </cfRule>
    <cfRule type="expression" dxfId="19" priority="9">
      <formula>$C6="kadra A"</formula>
    </cfRule>
  </conditionalFormatting>
  <conditionalFormatting sqref="D6:P27">
    <cfRule type="cellIs" dxfId="18" priority="12" operator="equal">
      <formula>0</formula>
    </cfRule>
  </conditionalFormatting>
  <conditionalFormatting sqref="R6:AK30 D28:P30">
    <cfRule type="cellIs" dxfId="17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20FE-30FA-46B3-A2A3-5D92FA0CC8D0}">
  <sheetPr codeName="Sheet4">
    <tabColor rgb="FF92D050"/>
  </sheetPr>
  <dimension ref="A1:AL373"/>
  <sheetViews>
    <sheetView workbookViewId="0">
      <selection activeCell="C19" sqref="C19"/>
    </sheetView>
  </sheetViews>
  <sheetFormatPr defaultColWidth="8.85546875" defaultRowHeight="15"/>
  <cols>
    <col min="1" max="1" width="8" style="233" customWidth="1"/>
    <col min="2" max="2" width="8.28515625" style="233" customWidth="1"/>
    <col min="3" max="3" width="34.7109375" style="233" customWidth="1"/>
    <col min="4" max="4" width="41.28515625" style="233" customWidth="1"/>
    <col min="5" max="6" width="8.85546875" style="233"/>
    <col min="7" max="7" width="2.7109375" style="233" customWidth="1"/>
    <col min="8" max="8" width="8.85546875" style="236"/>
    <col min="9" max="9" width="11" style="236" customWidth="1"/>
    <col min="10" max="10" width="15.28515625" style="236" customWidth="1"/>
    <col min="11" max="11" width="8.7109375" style="236" customWidth="1"/>
    <col min="12" max="12" width="11" style="236" customWidth="1"/>
    <col min="13" max="13" width="11.7109375" style="237" customWidth="1"/>
    <col min="14" max="15" width="13.85546875" style="203" customWidth="1"/>
    <col min="16" max="18" width="8.85546875" style="203"/>
    <col min="19" max="20" width="8.85546875" style="208"/>
    <col min="21" max="21" width="12.140625" style="208" customWidth="1"/>
    <col min="22" max="22" width="27.42578125" style="208" customWidth="1"/>
    <col min="23" max="38" width="8.85546875" style="208"/>
    <col min="39" max="16384" width="8.85546875" style="233"/>
  </cols>
  <sheetData>
    <row r="1" spans="1:34" ht="18.75">
      <c r="A1" s="203"/>
      <c r="B1" s="251" t="s">
        <v>44</v>
      </c>
      <c r="C1" s="252" t="s">
        <v>167</v>
      </c>
      <c r="D1" s="253"/>
      <c r="E1" s="203"/>
      <c r="F1" s="203"/>
      <c r="G1" s="203"/>
      <c r="H1" s="204" t="s">
        <v>40</v>
      </c>
      <c r="I1" s="205" t="s">
        <v>41</v>
      </c>
      <c r="J1" s="205" t="s">
        <v>42</v>
      </c>
      <c r="K1" s="206" t="s">
        <v>43</v>
      </c>
      <c r="L1" s="207"/>
      <c r="M1" s="207"/>
    </row>
    <row r="2" spans="1:34">
      <c r="A2" s="253" t="s">
        <v>61</v>
      </c>
      <c r="B2" s="251" t="s">
        <v>62</v>
      </c>
      <c r="C2" s="254" t="s">
        <v>168</v>
      </c>
      <c r="D2" s="255"/>
      <c r="E2" s="256"/>
      <c r="F2" s="256"/>
      <c r="G2" s="256"/>
      <c r="H2" s="209">
        <v>57</v>
      </c>
      <c r="I2" s="210">
        <v>50</v>
      </c>
      <c r="J2" s="210">
        <v>10</v>
      </c>
      <c r="K2" s="211">
        <f>3*H2^(1/3)</f>
        <v>11.545503393830414</v>
      </c>
      <c r="L2" s="207"/>
      <c r="M2" s="207"/>
    </row>
    <row r="3" spans="1:34" ht="14.25" customHeight="1">
      <c r="A3" s="257"/>
      <c r="B3" s="258" t="s">
        <v>46</v>
      </c>
      <c r="C3" s="254"/>
      <c r="D3" s="255"/>
      <c r="E3" s="259"/>
      <c r="F3" s="259"/>
      <c r="G3" s="259"/>
      <c r="H3" s="207"/>
      <c r="I3" s="207"/>
      <c r="J3" s="213"/>
      <c r="K3" s="207"/>
      <c r="L3" s="207"/>
      <c r="M3" s="207"/>
    </row>
    <row r="4" spans="1:34" ht="10.35" customHeight="1">
      <c r="A4" s="260"/>
      <c r="B4" s="259"/>
      <c r="C4" s="261" t="s">
        <v>169</v>
      </c>
      <c r="D4" s="260"/>
      <c r="E4" s="260"/>
      <c r="F4" s="260"/>
      <c r="G4" s="260"/>
      <c r="H4" s="207"/>
      <c r="I4" s="207"/>
      <c r="J4" s="213"/>
      <c r="K4" s="207"/>
      <c r="L4" s="207"/>
      <c r="M4" s="207"/>
    </row>
    <row r="5" spans="1:34" ht="48">
      <c r="A5" s="262" t="s">
        <v>48</v>
      </c>
      <c r="B5" s="263" t="s">
        <v>49</v>
      </c>
      <c r="C5" s="262" t="s">
        <v>50</v>
      </c>
      <c r="D5" s="262" t="s">
        <v>51</v>
      </c>
      <c r="E5" s="262" t="s">
        <v>52</v>
      </c>
      <c r="F5" s="262" t="s">
        <v>53</v>
      </c>
      <c r="G5" s="260"/>
      <c r="H5" s="214" t="s">
        <v>54</v>
      </c>
      <c r="I5" s="215" t="s">
        <v>55</v>
      </c>
      <c r="J5" s="216" t="s">
        <v>56</v>
      </c>
      <c r="K5" s="215" t="s">
        <v>57</v>
      </c>
      <c r="L5" s="215" t="s">
        <v>58</v>
      </c>
      <c r="M5" s="214" t="s">
        <v>59</v>
      </c>
    </row>
    <row r="6" spans="1:34" s="208" customFormat="1" ht="14.45" customHeight="1">
      <c r="A6" s="264">
        <f>M6</f>
        <v>144.63651018149125</v>
      </c>
      <c r="B6" s="265">
        <f t="shared" ref="B6:B69" si="0">IF(H6&gt;$H$2,"",(ROW()-5))</f>
        <v>1</v>
      </c>
      <c r="C6" s="266" t="s">
        <v>17</v>
      </c>
      <c r="D6" s="266"/>
      <c r="E6" s="266"/>
      <c r="F6" s="266" t="s">
        <v>80</v>
      </c>
      <c r="G6" s="260"/>
      <c r="H6" s="217">
        <v>1</v>
      </c>
      <c r="I6" s="218">
        <f>IF(H2=1,50,IF(H6&lt;$H$2+1,($I$2-($I$2-1)*(LOG(H6)/LOG($H$2))),""))</f>
        <v>50</v>
      </c>
      <c r="J6" s="217">
        <f>INT(LOG($H$2,2))-ROUNDUP(LOG(H6,2),0)+IF(OR($H$2=1,$H$2=2,$H$2=4,$H$2=8,$H$2=16,$H$2=32,$H$2=64,$H$2=128,$H$2=256),0,1)</f>
        <v>6</v>
      </c>
      <c r="K6" s="217">
        <f t="shared" ref="K6:K69" si="1">J6*$J$2</f>
        <v>60</v>
      </c>
      <c r="L6" s="219">
        <f>3*K2</f>
        <v>34.636510181491239</v>
      </c>
      <c r="M6" s="219">
        <f t="shared" ref="M6:M69" si="2">IF(I6&lt;&gt;"",K6+I6+L6,0)</f>
        <v>144.63651018149125</v>
      </c>
      <c r="N6" s="203"/>
      <c r="O6" s="203"/>
      <c r="P6" s="203"/>
      <c r="Q6" s="203"/>
      <c r="R6" s="203"/>
    </row>
    <row r="7" spans="1:34" s="208" customFormat="1" ht="14.45" customHeight="1">
      <c r="A7" s="267">
        <f t="shared" ref="A7:A70" si="3">M7</f>
        <v>114.69036835953906</v>
      </c>
      <c r="B7" s="268">
        <f t="shared" si="0"/>
        <v>2</v>
      </c>
      <c r="C7" s="269" t="s">
        <v>170</v>
      </c>
      <c r="D7" s="269"/>
      <c r="E7" s="269"/>
      <c r="F7" s="269" t="s">
        <v>171</v>
      </c>
      <c r="G7" s="260"/>
      <c r="H7" s="220">
        <v>2</v>
      </c>
      <c r="I7" s="221">
        <f t="shared" ref="I7:I70" si="4">IF(H7&lt;$H$2+1,($I$2-($I$2-1)*(LOG(H7)/LOG($H$2))),"")</f>
        <v>41.599361571878241</v>
      </c>
      <c r="J7" s="220">
        <f t="shared" ref="J7:J70" si="5">INT(LOG($H$2,2))-ROUNDUP(LOG(H7,2),0)+IF(OR($H$2=1,$H$2=2,$H$2=4,$H$2=8,$H$2=16,$H$2=32,$H$2=64,$H$2=128,$H$2=256),0,1)</f>
        <v>5</v>
      </c>
      <c r="K7" s="220">
        <f t="shared" si="1"/>
        <v>50</v>
      </c>
      <c r="L7" s="222">
        <f>2*K2</f>
        <v>23.091006787660827</v>
      </c>
      <c r="M7" s="222">
        <f t="shared" si="2"/>
        <v>114.69036835953906</v>
      </c>
      <c r="N7" s="203"/>
      <c r="O7" s="203"/>
      <c r="P7" s="203"/>
      <c r="Q7" s="203"/>
      <c r="R7" s="203"/>
    </row>
    <row r="8" spans="1:34" s="208" customFormat="1" ht="14.45" customHeight="1">
      <c r="A8" s="264">
        <f t="shared" si="3"/>
        <v>88.230806503140315</v>
      </c>
      <c r="B8" s="265">
        <f t="shared" si="0"/>
        <v>3</v>
      </c>
      <c r="C8" s="266" t="s">
        <v>172</v>
      </c>
      <c r="D8" s="266"/>
      <c r="E8" s="266"/>
      <c r="F8" s="266" t="s">
        <v>173</v>
      </c>
      <c r="G8" s="260"/>
      <c r="H8" s="217">
        <v>3</v>
      </c>
      <c r="I8" s="218">
        <f t="shared" si="4"/>
        <v>36.685303109309892</v>
      </c>
      <c r="J8" s="217">
        <f t="shared" si="5"/>
        <v>4</v>
      </c>
      <c r="K8" s="217">
        <f t="shared" si="1"/>
        <v>40</v>
      </c>
      <c r="L8" s="219">
        <f>K2</f>
        <v>11.545503393830414</v>
      </c>
      <c r="M8" s="219">
        <f t="shared" si="2"/>
        <v>88.230806503140315</v>
      </c>
      <c r="N8" s="203"/>
      <c r="O8" s="203"/>
      <c r="P8" s="203"/>
      <c r="Q8" s="203"/>
      <c r="R8" s="203"/>
    </row>
    <row r="9" spans="1:34" s="208" customFormat="1" ht="14.45" customHeight="1">
      <c r="A9" s="267">
        <f t="shared" si="3"/>
        <v>73.198723143756482</v>
      </c>
      <c r="B9" s="268">
        <f t="shared" si="0"/>
        <v>4</v>
      </c>
      <c r="C9" s="269" t="s">
        <v>174</v>
      </c>
      <c r="D9" s="269"/>
      <c r="E9" s="269"/>
      <c r="F9" s="269" t="s">
        <v>175</v>
      </c>
      <c r="G9" s="260"/>
      <c r="H9" s="220">
        <v>4</v>
      </c>
      <c r="I9" s="221">
        <f t="shared" si="4"/>
        <v>33.198723143756482</v>
      </c>
      <c r="J9" s="220">
        <f t="shared" si="5"/>
        <v>4</v>
      </c>
      <c r="K9" s="220">
        <f t="shared" si="1"/>
        <v>40</v>
      </c>
      <c r="L9" s="222"/>
      <c r="M9" s="222">
        <f t="shared" si="2"/>
        <v>73.198723143756482</v>
      </c>
      <c r="N9" s="203"/>
      <c r="O9" s="203"/>
      <c r="P9" s="203"/>
      <c r="Q9" s="203"/>
      <c r="R9" s="203"/>
      <c r="V9" s="223"/>
      <c r="Z9" s="224"/>
      <c r="AA9" s="224"/>
      <c r="AG9" s="225"/>
    </row>
    <row r="10" spans="1:34" s="208" customFormat="1" ht="14.45" customHeight="1">
      <c r="A10" s="264">
        <f t="shared" si="3"/>
        <v>60.494321618753673</v>
      </c>
      <c r="B10" s="265">
        <f t="shared" si="0"/>
        <v>5</v>
      </c>
      <c r="C10" s="266" t="s">
        <v>176</v>
      </c>
      <c r="D10" s="266"/>
      <c r="E10" s="266"/>
      <c r="F10" s="266" t="s">
        <v>177</v>
      </c>
      <c r="G10" s="260"/>
      <c r="H10" s="217">
        <v>5</v>
      </c>
      <c r="I10" s="218">
        <f t="shared" si="4"/>
        <v>30.494321618753677</v>
      </c>
      <c r="J10" s="217">
        <f t="shared" si="5"/>
        <v>3</v>
      </c>
      <c r="K10" s="217">
        <f t="shared" si="1"/>
        <v>30</v>
      </c>
      <c r="L10" s="217"/>
      <c r="M10" s="219">
        <f t="shared" si="2"/>
        <v>60.494321618753673</v>
      </c>
      <c r="N10" s="203"/>
      <c r="O10" s="203"/>
      <c r="P10" s="203"/>
      <c r="Q10" s="203"/>
      <c r="R10" s="203"/>
      <c r="V10" s="223"/>
      <c r="Z10" s="224"/>
      <c r="AA10" s="224"/>
      <c r="AG10" s="225"/>
    </row>
    <row r="11" spans="1:34" s="208" customFormat="1" ht="14.45" customHeight="1">
      <c r="A11" s="267">
        <f t="shared" si="3"/>
        <v>58.284664681188133</v>
      </c>
      <c r="B11" s="268">
        <f t="shared" si="0"/>
        <v>6</v>
      </c>
      <c r="C11" s="269" t="s">
        <v>178</v>
      </c>
      <c r="D11" s="269"/>
      <c r="E11" s="269"/>
      <c r="F11" s="269" t="s">
        <v>179</v>
      </c>
      <c r="G11" s="260"/>
      <c r="H11" s="220">
        <v>6</v>
      </c>
      <c r="I11" s="221">
        <f t="shared" si="4"/>
        <v>28.284664681188136</v>
      </c>
      <c r="J11" s="220">
        <f t="shared" si="5"/>
        <v>3</v>
      </c>
      <c r="K11" s="220">
        <f t="shared" si="1"/>
        <v>30</v>
      </c>
      <c r="L11" s="220"/>
      <c r="M11" s="222">
        <f t="shared" si="2"/>
        <v>58.284664681188133</v>
      </c>
      <c r="N11" s="203"/>
      <c r="O11" s="203"/>
      <c r="P11" s="203"/>
      <c r="Q11" s="203"/>
      <c r="R11" s="203"/>
      <c r="V11" s="226"/>
      <c r="Z11" s="224"/>
      <c r="AA11" s="224"/>
      <c r="AG11" s="225"/>
    </row>
    <row r="12" spans="1:34" s="208" customFormat="1" ht="14.45" customHeight="1">
      <c r="A12" s="264">
        <f t="shared" si="3"/>
        <v>56.416426360386126</v>
      </c>
      <c r="B12" s="265">
        <f t="shared" si="0"/>
        <v>7</v>
      </c>
      <c r="C12" s="266" t="s">
        <v>180</v>
      </c>
      <c r="D12" s="266"/>
      <c r="E12" s="266"/>
      <c r="F12" s="266" t="s">
        <v>175</v>
      </c>
      <c r="G12" s="260"/>
      <c r="H12" s="217">
        <v>7</v>
      </c>
      <c r="I12" s="218">
        <f t="shared" si="4"/>
        <v>26.416426360386126</v>
      </c>
      <c r="J12" s="217">
        <f t="shared" si="5"/>
        <v>3</v>
      </c>
      <c r="K12" s="217">
        <f t="shared" si="1"/>
        <v>30</v>
      </c>
      <c r="L12" s="217"/>
      <c r="M12" s="219">
        <f t="shared" si="2"/>
        <v>56.416426360386126</v>
      </c>
      <c r="N12" s="203"/>
      <c r="O12" s="203"/>
      <c r="P12" s="203"/>
      <c r="Q12" s="203"/>
      <c r="R12" s="203"/>
      <c r="Z12" s="224"/>
      <c r="AA12" s="224"/>
      <c r="AG12" s="225"/>
    </row>
    <row r="13" spans="1:34" s="208" customFormat="1" ht="14.45" customHeight="1">
      <c r="A13" s="270">
        <f t="shared" si="3"/>
        <v>54.798084715634722</v>
      </c>
      <c r="B13" s="268">
        <f t="shared" si="0"/>
        <v>8</v>
      </c>
      <c r="C13" s="269" t="s">
        <v>181</v>
      </c>
      <c r="D13" s="269"/>
      <c r="E13" s="269"/>
      <c r="F13" s="269" t="s">
        <v>182</v>
      </c>
      <c r="G13" s="260"/>
      <c r="H13" s="220">
        <v>8</v>
      </c>
      <c r="I13" s="221">
        <f t="shared" si="4"/>
        <v>24.798084715634722</v>
      </c>
      <c r="J13" s="220">
        <f t="shared" si="5"/>
        <v>3</v>
      </c>
      <c r="K13" s="220">
        <f t="shared" si="1"/>
        <v>30</v>
      </c>
      <c r="L13" s="220"/>
      <c r="M13" s="222">
        <f t="shared" si="2"/>
        <v>54.798084715634722</v>
      </c>
      <c r="N13" s="203"/>
      <c r="O13" s="203"/>
      <c r="P13" s="203"/>
      <c r="Q13" s="203"/>
      <c r="R13" s="203"/>
      <c r="X13" s="223"/>
      <c r="AG13" s="225"/>
    </row>
    <row r="14" spans="1:34" s="208" customFormat="1" ht="15.75" customHeight="1">
      <c r="A14" s="271">
        <f t="shared" si="3"/>
        <v>43.370606218619784</v>
      </c>
      <c r="B14" s="265">
        <f t="shared" si="0"/>
        <v>9</v>
      </c>
      <c r="C14" s="266" t="s">
        <v>183</v>
      </c>
      <c r="D14" s="266"/>
      <c r="E14" s="266"/>
      <c r="F14" s="266" t="s">
        <v>175</v>
      </c>
      <c r="G14" s="260"/>
      <c r="H14" s="217">
        <v>9</v>
      </c>
      <c r="I14" s="218">
        <f t="shared" si="4"/>
        <v>23.370606218619788</v>
      </c>
      <c r="J14" s="217">
        <f t="shared" si="5"/>
        <v>2</v>
      </c>
      <c r="K14" s="217">
        <f t="shared" si="1"/>
        <v>20</v>
      </c>
      <c r="L14" s="217"/>
      <c r="M14" s="219">
        <f t="shared" si="2"/>
        <v>43.370606218619784</v>
      </c>
      <c r="N14" s="203"/>
      <c r="O14" s="203"/>
      <c r="P14" s="203"/>
      <c r="Q14" s="203"/>
      <c r="R14" s="203"/>
      <c r="X14" s="227"/>
      <c r="Z14" s="224"/>
      <c r="AA14" s="224"/>
      <c r="AG14" s="225"/>
    </row>
    <row r="15" spans="1:34" s="208" customFormat="1">
      <c r="A15" s="270">
        <f t="shared" si="3"/>
        <v>42.093683190631921</v>
      </c>
      <c r="B15" s="268">
        <f t="shared" si="0"/>
        <v>10</v>
      </c>
      <c r="C15" s="269" t="s">
        <v>184</v>
      </c>
      <c r="D15" s="269"/>
      <c r="E15" s="269"/>
      <c r="F15" s="269" t="s">
        <v>185</v>
      </c>
      <c r="G15" s="260"/>
      <c r="H15" s="220">
        <v>10</v>
      </c>
      <c r="I15" s="221">
        <f t="shared" si="4"/>
        <v>22.093683190631918</v>
      </c>
      <c r="J15" s="220">
        <f t="shared" si="5"/>
        <v>2</v>
      </c>
      <c r="K15" s="220">
        <f t="shared" si="1"/>
        <v>20</v>
      </c>
      <c r="L15" s="220"/>
      <c r="M15" s="222">
        <f t="shared" si="2"/>
        <v>42.093683190631921</v>
      </c>
      <c r="N15" s="203"/>
      <c r="O15" s="203"/>
      <c r="P15" s="203"/>
      <c r="Q15" s="203"/>
      <c r="R15" s="203"/>
      <c r="X15" s="223"/>
      <c r="Z15" s="224"/>
      <c r="AA15" s="224"/>
    </row>
    <row r="16" spans="1:34" s="208" customFormat="1">
      <c r="A16" s="271">
        <f t="shared" si="3"/>
        <v>40.938565805016061</v>
      </c>
      <c r="B16" s="265">
        <f t="shared" si="0"/>
        <v>11</v>
      </c>
      <c r="C16" s="266" t="s">
        <v>186</v>
      </c>
      <c r="D16" s="266"/>
      <c r="E16" s="266"/>
      <c r="F16" s="266" t="s">
        <v>182</v>
      </c>
      <c r="G16" s="260"/>
      <c r="H16" s="217">
        <v>11</v>
      </c>
      <c r="I16" s="218">
        <f t="shared" si="4"/>
        <v>20.938565805016061</v>
      </c>
      <c r="J16" s="217">
        <f t="shared" si="5"/>
        <v>2</v>
      </c>
      <c r="K16" s="217">
        <f t="shared" si="1"/>
        <v>20</v>
      </c>
      <c r="L16" s="217"/>
      <c r="M16" s="219">
        <f t="shared" si="2"/>
        <v>40.938565805016061</v>
      </c>
      <c r="N16" s="203"/>
      <c r="O16" s="203"/>
      <c r="P16" s="203"/>
      <c r="Q16" s="203"/>
      <c r="R16" s="228"/>
      <c r="Z16" s="224"/>
      <c r="AA16" s="224"/>
      <c r="AH16" s="229"/>
    </row>
    <row r="17" spans="1:19" s="208" customFormat="1">
      <c r="A17" s="270">
        <f t="shared" si="3"/>
        <v>39.884026253066374</v>
      </c>
      <c r="B17" s="268">
        <f t="shared" si="0"/>
        <v>12</v>
      </c>
      <c r="C17" s="269" t="s">
        <v>187</v>
      </c>
      <c r="D17" s="269"/>
      <c r="E17" s="269"/>
      <c r="F17" s="269" t="s">
        <v>179</v>
      </c>
      <c r="G17" s="260"/>
      <c r="H17" s="220">
        <v>12</v>
      </c>
      <c r="I17" s="221">
        <f t="shared" si="4"/>
        <v>19.884026253066374</v>
      </c>
      <c r="J17" s="220">
        <f t="shared" si="5"/>
        <v>2</v>
      </c>
      <c r="K17" s="220">
        <f t="shared" si="1"/>
        <v>20</v>
      </c>
      <c r="L17" s="220"/>
      <c r="M17" s="222">
        <f t="shared" si="2"/>
        <v>39.884026253066374</v>
      </c>
      <c r="N17" s="203"/>
      <c r="O17" s="203"/>
      <c r="P17" s="203"/>
      <c r="Q17" s="203"/>
      <c r="R17" s="203"/>
    </row>
    <row r="18" spans="1:19" s="208" customFormat="1">
      <c r="A18" s="271">
        <f t="shared" si="3"/>
        <v>38.913943902835889</v>
      </c>
      <c r="B18" s="265">
        <f t="shared" si="0"/>
        <v>13</v>
      </c>
      <c r="C18" s="266" t="s">
        <v>188</v>
      </c>
      <c r="D18" s="266"/>
      <c r="E18" s="266"/>
      <c r="F18" s="266" t="s">
        <v>177</v>
      </c>
      <c r="G18" s="260"/>
      <c r="H18" s="217">
        <v>13</v>
      </c>
      <c r="I18" s="218">
        <f t="shared" si="4"/>
        <v>18.913943902835889</v>
      </c>
      <c r="J18" s="217">
        <f t="shared" si="5"/>
        <v>2</v>
      </c>
      <c r="K18" s="217">
        <f t="shared" si="1"/>
        <v>20</v>
      </c>
      <c r="L18" s="217"/>
      <c r="M18" s="219">
        <f t="shared" si="2"/>
        <v>38.913943902835889</v>
      </c>
      <c r="N18" s="203"/>
      <c r="O18" s="203"/>
      <c r="P18" s="203"/>
      <c r="Q18" s="203"/>
      <c r="R18" s="203"/>
    </row>
    <row r="19" spans="1:19" s="208" customFormat="1">
      <c r="A19" s="270">
        <f t="shared" si="3"/>
        <v>38.015787932264367</v>
      </c>
      <c r="B19" s="268">
        <f t="shared" si="0"/>
        <v>14</v>
      </c>
      <c r="C19" s="269" t="s">
        <v>18</v>
      </c>
      <c r="D19" s="269"/>
      <c r="E19" s="269"/>
      <c r="F19" s="269" t="s">
        <v>80</v>
      </c>
      <c r="G19" s="260"/>
      <c r="H19" s="220">
        <v>14</v>
      </c>
      <c r="I19" s="221">
        <f t="shared" si="4"/>
        <v>18.015787932264367</v>
      </c>
      <c r="J19" s="220">
        <f t="shared" si="5"/>
        <v>2</v>
      </c>
      <c r="K19" s="220">
        <f t="shared" si="1"/>
        <v>20</v>
      </c>
      <c r="L19" s="220"/>
      <c r="M19" s="222">
        <f t="shared" si="2"/>
        <v>38.015787932264367</v>
      </c>
      <c r="N19" s="203"/>
      <c r="O19" s="203"/>
      <c r="P19" s="203"/>
      <c r="Q19" s="203"/>
      <c r="R19" s="203"/>
    </row>
    <row r="20" spans="1:19" s="208" customFormat="1">
      <c r="A20" s="271">
        <f t="shared" si="3"/>
        <v>37.179624728063565</v>
      </c>
      <c r="B20" s="265">
        <f t="shared" si="0"/>
        <v>15</v>
      </c>
      <c r="C20" s="266" t="s">
        <v>189</v>
      </c>
      <c r="D20" s="266"/>
      <c r="E20" s="266"/>
      <c r="F20" s="266" t="s">
        <v>190</v>
      </c>
      <c r="G20" s="260"/>
      <c r="H20" s="217">
        <v>15</v>
      </c>
      <c r="I20" s="218">
        <f t="shared" si="4"/>
        <v>17.179624728063565</v>
      </c>
      <c r="J20" s="217">
        <f t="shared" si="5"/>
        <v>2</v>
      </c>
      <c r="K20" s="217">
        <f t="shared" si="1"/>
        <v>20</v>
      </c>
      <c r="L20" s="217"/>
      <c r="M20" s="219">
        <f t="shared" si="2"/>
        <v>37.179624728063565</v>
      </c>
      <c r="N20" s="203"/>
      <c r="O20" s="203"/>
      <c r="P20" s="203"/>
      <c r="Q20" s="203"/>
      <c r="R20" s="230"/>
      <c r="S20" s="231"/>
    </row>
    <row r="21" spans="1:19" s="208" customFormat="1">
      <c r="A21" s="270">
        <f t="shared" si="3"/>
        <v>36.397446287512963</v>
      </c>
      <c r="B21" s="268">
        <f t="shared" si="0"/>
        <v>16</v>
      </c>
      <c r="C21" s="269" t="s">
        <v>191</v>
      </c>
      <c r="D21" s="269"/>
      <c r="E21" s="269"/>
      <c r="F21" s="269" t="s">
        <v>177</v>
      </c>
      <c r="G21" s="260"/>
      <c r="H21" s="220">
        <v>16</v>
      </c>
      <c r="I21" s="221">
        <f t="shared" si="4"/>
        <v>16.397446287512963</v>
      </c>
      <c r="J21" s="220">
        <f t="shared" si="5"/>
        <v>2</v>
      </c>
      <c r="K21" s="220">
        <f t="shared" si="1"/>
        <v>20</v>
      </c>
      <c r="L21" s="220"/>
      <c r="M21" s="222">
        <f t="shared" si="2"/>
        <v>36.397446287512963</v>
      </c>
      <c r="N21" s="203"/>
      <c r="O21" s="203"/>
      <c r="P21" s="203"/>
      <c r="Q21" s="203"/>
      <c r="R21" s="203"/>
    </row>
    <row r="22" spans="1:19" s="208" customFormat="1">
      <c r="A22" s="271">
        <f t="shared" si="3"/>
        <v>25.662702582272651</v>
      </c>
      <c r="B22" s="265">
        <f t="shared" si="0"/>
        <v>17</v>
      </c>
      <c r="C22" s="266" t="s">
        <v>192</v>
      </c>
      <c r="D22" s="266"/>
      <c r="E22" s="266"/>
      <c r="F22" s="266" t="s">
        <v>177</v>
      </c>
      <c r="G22" s="260"/>
      <c r="H22" s="217">
        <v>17</v>
      </c>
      <c r="I22" s="218">
        <f t="shared" si="4"/>
        <v>15.662702582272651</v>
      </c>
      <c r="J22" s="217">
        <f t="shared" si="5"/>
        <v>1</v>
      </c>
      <c r="K22" s="217">
        <f t="shared" si="1"/>
        <v>10</v>
      </c>
      <c r="L22" s="217"/>
      <c r="M22" s="219">
        <f t="shared" si="2"/>
        <v>25.662702582272651</v>
      </c>
      <c r="N22" s="203"/>
      <c r="O22" s="203"/>
      <c r="P22" s="203"/>
      <c r="Q22" s="203"/>
      <c r="R22" s="203"/>
    </row>
    <row r="23" spans="1:19" s="208" customFormat="1">
      <c r="A23" s="270">
        <f t="shared" si="3"/>
        <v>24.969967790498032</v>
      </c>
      <c r="B23" s="268">
        <f t="shared" si="0"/>
        <v>18</v>
      </c>
      <c r="C23" s="269" t="s">
        <v>193</v>
      </c>
      <c r="D23" s="269"/>
      <c r="E23" s="269"/>
      <c r="F23" s="269" t="s">
        <v>177</v>
      </c>
      <c r="G23" s="260"/>
      <c r="H23" s="220">
        <v>18</v>
      </c>
      <c r="I23" s="221">
        <f t="shared" si="4"/>
        <v>14.969967790498032</v>
      </c>
      <c r="J23" s="220">
        <f t="shared" si="5"/>
        <v>1</v>
      </c>
      <c r="K23" s="220">
        <f t="shared" si="1"/>
        <v>10</v>
      </c>
      <c r="L23" s="220"/>
      <c r="M23" s="222">
        <f t="shared" si="2"/>
        <v>24.969967790498032</v>
      </c>
      <c r="N23" s="203"/>
      <c r="O23" s="203"/>
      <c r="P23" s="203"/>
      <c r="Q23" s="203"/>
      <c r="R23" s="203"/>
    </row>
    <row r="24" spans="1:19" s="208" customFormat="1">
      <c r="A24" s="271">
        <f t="shared" si="3"/>
        <v>24.314696890690108</v>
      </c>
      <c r="B24" s="265">
        <f t="shared" si="0"/>
        <v>19</v>
      </c>
      <c r="C24" s="266" t="s">
        <v>194</v>
      </c>
      <c r="D24" s="266"/>
      <c r="E24" s="266"/>
      <c r="F24" s="266" t="s">
        <v>171</v>
      </c>
      <c r="G24" s="260"/>
      <c r="H24" s="217">
        <v>19</v>
      </c>
      <c r="I24" s="218">
        <f t="shared" si="4"/>
        <v>14.314696890690108</v>
      </c>
      <c r="J24" s="217">
        <f t="shared" si="5"/>
        <v>1</v>
      </c>
      <c r="K24" s="217">
        <f t="shared" si="1"/>
        <v>10</v>
      </c>
      <c r="L24" s="217"/>
      <c r="M24" s="219">
        <f t="shared" si="2"/>
        <v>24.314696890690108</v>
      </c>
      <c r="N24" s="203"/>
      <c r="O24" s="203"/>
      <c r="P24" s="203"/>
      <c r="Q24" s="203"/>
      <c r="R24" s="230"/>
      <c r="S24" s="231"/>
    </row>
    <row r="25" spans="1:19" s="208" customFormat="1">
      <c r="A25" s="270">
        <f t="shared" si="3"/>
        <v>23.693044762510162</v>
      </c>
      <c r="B25" s="268">
        <f t="shared" si="0"/>
        <v>20</v>
      </c>
      <c r="C25" s="269" t="s">
        <v>195</v>
      </c>
      <c r="D25" s="269"/>
      <c r="E25" s="269"/>
      <c r="F25" s="269" t="s">
        <v>196</v>
      </c>
      <c r="G25" s="260"/>
      <c r="H25" s="220">
        <v>20</v>
      </c>
      <c r="I25" s="221">
        <f t="shared" si="4"/>
        <v>13.693044762510162</v>
      </c>
      <c r="J25" s="220">
        <f t="shared" si="5"/>
        <v>1</v>
      </c>
      <c r="K25" s="220">
        <f t="shared" si="1"/>
        <v>10</v>
      </c>
      <c r="L25" s="220"/>
      <c r="M25" s="222">
        <f t="shared" si="2"/>
        <v>23.693044762510162</v>
      </c>
      <c r="N25" s="203"/>
      <c r="O25" s="203"/>
      <c r="P25" s="203"/>
      <c r="Q25" s="203"/>
      <c r="R25" s="203"/>
    </row>
    <row r="26" spans="1:19" s="208" customFormat="1">
      <c r="A26" s="271">
        <f t="shared" si="3"/>
        <v>23.101729469696025</v>
      </c>
      <c r="B26" s="265">
        <f t="shared" si="0"/>
        <v>21</v>
      </c>
      <c r="C26" s="266" t="s">
        <v>197</v>
      </c>
      <c r="D26" s="266"/>
      <c r="E26" s="266"/>
      <c r="F26" s="266" t="s">
        <v>198</v>
      </c>
      <c r="G26" s="260"/>
      <c r="H26" s="217">
        <v>21</v>
      </c>
      <c r="I26" s="218">
        <f t="shared" si="4"/>
        <v>13.101729469696025</v>
      </c>
      <c r="J26" s="217">
        <f t="shared" si="5"/>
        <v>1</v>
      </c>
      <c r="K26" s="217">
        <f t="shared" si="1"/>
        <v>10</v>
      </c>
      <c r="L26" s="217"/>
      <c r="M26" s="219">
        <f t="shared" si="2"/>
        <v>23.101729469696025</v>
      </c>
      <c r="N26" s="203"/>
      <c r="O26" s="203"/>
      <c r="P26" s="203"/>
      <c r="Q26" s="203"/>
      <c r="R26" s="203"/>
    </row>
    <row r="27" spans="1:19" s="208" customFormat="1">
      <c r="A27" s="270">
        <f t="shared" si="3"/>
        <v>22.537927376894309</v>
      </c>
      <c r="B27" s="268">
        <f t="shared" si="0"/>
        <v>22</v>
      </c>
      <c r="C27" s="269" t="s">
        <v>199</v>
      </c>
      <c r="D27" s="269"/>
      <c r="E27" s="269"/>
      <c r="F27" s="269" t="s">
        <v>175</v>
      </c>
      <c r="G27" s="260"/>
      <c r="H27" s="220">
        <v>22</v>
      </c>
      <c r="I27" s="221">
        <f t="shared" si="4"/>
        <v>12.537927376894309</v>
      </c>
      <c r="J27" s="220">
        <f t="shared" si="5"/>
        <v>1</v>
      </c>
      <c r="K27" s="220">
        <f t="shared" si="1"/>
        <v>10</v>
      </c>
      <c r="L27" s="220"/>
      <c r="M27" s="222">
        <f t="shared" si="2"/>
        <v>22.537927376894309</v>
      </c>
      <c r="N27" s="203"/>
      <c r="O27" s="203"/>
      <c r="P27" s="203"/>
      <c r="Q27" s="203"/>
      <c r="R27" s="203"/>
    </row>
    <row r="28" spans="1:19" s="208" customFormat="1">
      <c r="A28" s="271">
        <f t="shared" si="3"/>
        <v>21.999191599957832</v>
      </c>
      <c r="B28" s="265">
        <f t="shared" si="0"/>
        <v>23</v>
      </c>
      <c r="C28" s="266" t="s">
        <v>200</v>
      </c>
      <c r="D28" s="266"/>
      <c r="E28" s="266"/>
      <c r="F28" s="266" t="s">
        <v>171</v>
      </c>
      <c r="G28" s="260"/>
      <c r="H28" s="217">
        <v>23</v>
      </c>
      <c r="I28" s="218">
        <f t="shared" si="4"/>
        <v>11.999191599957832</v>
      </c>
      <c r="J28" s="217">
        <f t="shared" si="5"/>
        <v>1</v>
      </c>
      <c r="K28" s="217">
        <f t="shared" si="1"/>
        <v>10</v>
      </c>
      <c r="L28" s="217"/>
      <c r="M28" s="219">
        <f t="shared" si="2"/>
        <v>21.999191599957832</v>
      </c>
      <c r="N28" s="203"/>
      <c r="O28" s="203"/>
      <c r="P28" s="203"/>
      <c r="Q28" s="203"/>
      <c r="R28" s="230"/>
      <c r="S28" s="231"/>
    </row>
    <row r="29" spans="1:19" s="208" customFormat="1">
      <c r="A29" s="270">
        <f t="shared" si="3"/>
        <v>21.483387824944622</v>
      </c>
      <c r="B29" s="268">
        <f t="shared" si="0"/>
        <v>24</v>
      </c>
      <c r="C29" s="269" t="s">
        <v>201</v>
      </c>
      <c r="D29" s="269"/>
      <c r="E29" s="269"/>
      <c r="F29" s="269" t="s">
        <v>177</v>
      </c>
      <c r="G29" s="203"/>
      <c r="H29" s="220">
        <v>24</v>
      </c>
      <c r="I29" s="221">
        <f t="shared" si="4"/>
        <v>11.483387824944622</v>
      </c>
      <c r="J29" s="220">
        <f t="shared" si="5"/>
        <v>1</v>
      </c>
      <c r="K29" s="220">
        <f t="shared" si="1"/>
        <v>10</v>
      </c>
      <c r="L29" s="220"/>
      <c r="M29" s="222">
        <f t="shared" si="2"/>
        <v>21.483387824944622</v>
      </c>
      <c r="N29" s="203"/>
      <c r="O29" s="203"/>
      <c r="P29" s="203"/>
      <c r="Q29" s="203"/>
      <c r="R29" s="203"/>
    </row>
    <row r="30" spans="1:19" s="208" customFormat="1">
      <c r="A30" s="271">
        <f t="shared" si="3"/>
        <v>20.988643237507354</v>
      </c>
      <c r="B30" s="265">
        <f t="shared" si="0"/>
        <v>25</v>
      </c>
      <c r="C30" s="266" t="s">
        <v>202</v>
      </c>
      <c r="D30" s="266"/>
      <c r="E30" s="266"/>
      <c r="F30" s="266" t="s">
        <v>203</v>
      </c>
      <c r="G30" s="203"/>
      <c r="H30" s="217">
        <v>25</v>
      </c>
      <c r="I30" s="218">
        <f t="shared" si="4"/>
        <v>10.988643237507354</v>
      </c>
      <c r="J30" s="217">
        <f t="shared" si="5"/>
        <v>1</v>
      </c>
      <c r="K30" s="217">
        <f t="shared" si="1"/>
        <v>10</v>
      </c>
      <c r="L30" s="217"/>
      <c r="M30" s="219">
        <f t="shared" si="2"/>
        <v>20.988643237507354</v>
      </c>
      <c r="N30" s="203"/>
      <c r="O30" s="203"/>
      <c r="P30" s="203"/>
      <c r="Q30" s="203"/>
      <c r="R30" s="203"/>
    </row>
    <row r="31" spans="1:19" s="208" customFormat="1">
      <c r="A31" s="270">
        <f t="shared" si="3"/>
        <v>20.51330547471413</v>
      </c>
      <c r="B31" s="268">
        <f t="shared" si="0"/>
        <v>26</v>
      </c>
      <c r="C31" s="269" t="s">
        <v>204</v>
      </c>
      <c r="D31" s="269"/>
      <c r="E31" s="269"/>
      <c r="F31" s="269" t="s">
        <v>177</v>
      </c>
      <c r="G31" s="203"/>
      <c r="H31" s="220">
        <v>26</v>
      </c>
      <c r="I31" s="221">
        <f t="shared" si="4"/>
        <v>10.51330547471413</v>
      </c>
      <c r="J31" s="220">
        <f t="shared" si="5"/>
        <v>1</v>
      </c>
      <c r="K31" s="220">
        <f t="shared" si="1"/>
        <v>10</v>
      </c>
      <c r="L31" s="220"/>
      <c r="M31" s="222">
        <f t="shared" si="2"/>
        <v>20.51330547471413</v>
      </c>
      <c r="N31" s="203"/>
      <c r="O31" s="203"/>
      <c r="P31" s="203"/>
      <c r="Q31" s="203"/>
      <c r="R31" s="203"/>
    </row>
    <row r="32" spans="1:19" s="208" customFormat="1">
      <c r="A32" s="271">
        <f t="shared" si="3"/>
        <v>20.055909327929683</v>
      </c>
      <c r="B32" s="265">
        <f t="shared" si="0"/>
        <v>27</v>
      </c>
      <c r="C32" s="266" t="s">
        <v>205</v>
      </c>
      <c r="D32" s="266"/>
      <c r="E32" s="266"/>
      <c r="F32" s="266" t="s">
        <v>198</v>
      </c>
      <c r="G32" s="203"/>
      <c r="H32" s="217">
        <v>27</v>
      </c>
      <c r="I32" s="218">
        <f t="shared" si="4"/>
        <v>10.055909327929683</v>
      </c>
      <c r="J32" s="217">
        <f t="shared" si="5"/>
        <v>1</v>
      </c>
      <c r="K32" s="217">
        <f t="shared" si="1"/>
        <v>10</v>
      </c>
      <c r="L32" s="217"/>
      <c r="M32" s="219">
        <f t="shared" si="2"/>
        <v>20.055909327929683</v>
      </c>
      <c r="N32" s="203"/>
      <c r="O32" s="203"/>
      <c r="P32" s="203"/>
      <c r="Q32" s="203"/>
      <c r="R32" s="230"/>
      <c r="S32" s="231"/>
    </row>
    <row r="33" spans="1:19" s="208" customFormat="1">
      <c r="A33" s="270">
        <f t="shared" si="3"/>
        <v>19.615149504142607</v>
      </c>
      <c r="B33" s="268">
        <f t="shared" si="0"/>
        <v>28</v>
      </c>
      <c r="C33" s="269" t="s">
        <v>206</v>
      </c>
      <c r="D33" s="269"/>
      <c r="E33" s="269"/>
      <c r="F33" s="269" t="s">
        <v>177</v>
      </c>
      <c r="G33" s="203"/>
      <c r="H33" s="220">
        <v>28</v>
      </c>
      <c r="I33" s="221">
        <f t="shared" si="4"/>
        <v>9.6151495041426074</v>
      </c>
      <c r="J33" s="220">
        <f t="shared" si="5"/>
        <v>1</v>
      </c>
      <c r="K33" s="220">
        <f t="shared" si="1"/>
        <v>10</v>
      </c>
      <c r="L33" s="220"/>
      <c r="M33" s="222">
        <f t="shared" si="2"/>
        <v>19.615149504142607</v>
      </c>
      <c r="N33" s="203"/>
      <c r="O33" s="203"/>
      <c r="P33" s="203"/>
      <c r="Q33" s="203"/>
      <c r="R33" s="203"/>
    </row>
    <row r="34" spans="1:19" s="208" customFormat="1">
      <c r="A34" s="271">
        <f t="shared" si="3"/>
        <v>19.189858169246136</v>
      </c>
      <c r="B34" s="265">
        <f t="shared" si="0"/>
        <v>29</v>
      </c>
      <c r="C34" s="266" t="s">
        <v>207</v>
      </c>
      <c r="D34" s="266"/>
      <c r="E34" s="266"/>
      <c r="F34" s="266" t="s">
        <v>171</v>
      </c>
      <c r="G34" s="203"/>
      <c r="H34" s="217">
        <v>29</v>
      </c>
      <c r="I34" s="218">
        <f t="shared" si="4"/>
        <v>9.1898581692461363</v>
      </c>
      <c r="J34" s="217">
        <f t="shared" si="5"/>
        <v>1</v>
      </c>
      <c r="K34" s="217">
        <f t="shared" si="1"/>
        <v>10</v>
      </c>
      <c r="L34" s="217"/>
      <c r="M34" s="219">
        <f t="shared" si="2"/>
        <v>19.189858169246136</v>
      </c>
      <c r="N34" s="203"/>
      <c r="O34" s="203"/>
      <c r="P34" s="203"/>
      <c r="Q34" s="203"/>
      <c r="R34" s="203"/>
    </row>
    <row r="35" spans="1:19" s="208" customFormat="1">
      <c r="A35" s="270">
        <f t="shared" si="3"/>
        <v>18.778986299941813</v>
      </c>
      <c r="B35" s="268">
        <f t="shared" si="0"/>
        <v>30</v>
      </c>
      <c r="C35" s="269" t="s">
        <v>208</v>
      </c>
      <c r="D35" s="269"/>
      <c r="E35" s="269"/>
      <c r="F35" s="269" t="s">
        <v>177</v>
      </c>
      <c r="G35" s="203"/>
      <c r="H35" s="220">
        <v>30</v>
      </c>
      <c r="I35" s="221">
        <f t="shared" si="4"/>
        <v>8.7789862999418133</v>
      </c>
      <c r="J35" s="220">
        <f t="shared" si="5"/>
        <v>1</v>
      </c>
      <c r="K35" s="220">
        <f t="shared" si="1"/>
        <v>10</v>
      </c>
      <c r="L35" s="220"/>
      <c r="M35" s="222">
        <f t="shared" si="2"/>
        <v>18.778986299941813</v>
      </c>
      <c r="N35" s="203"/>
      <c r="O35" s="203"/>
      <c r="P35" s="203"/>
      <c r="Q35" s="203"/>
      <c r="R35" s="203"/>
    </row>
    <row r="36" spans="1:19" s="208" customFormat="1">
      <c r="A36" s="271">
        <f t="shared" si="3"/>
        <v>18.381588094504984</v>
      </c>
      <c r="B36" s="265">
        <f t="shared" si="0"/>
        <v>31</v>
      </c>
      <c r="C36" s="266" t="s">
        <v>209</v>
      </c>
      <c r="D36" s="266"/>
      <c r="E36" s="266"/>
      <c r="F36" s="266" t="s">
        <v>175</v>
      </c>
      <c r="G36" s="203"/>
      <c r="H36" s="217">
        <v>31</v>
      </c>
      <c r="I36" s="218">
        <f t="shared" si="4"/>
        <v>8.3815880945049841</v>
      </c>
      <c r="J36" s="217">
        <f t="shared" si="5"/>
        <v>1</v>
      </c>
      <c r="K36" s="217">
        <f t="shared" si="1"/>
        <v>10</v>
      </c>
      <c r="L36" s="217"/>
      <c r="M36" s="219">
        <f t="shared" si="2"/>
        <v>18.381588094504984</v>
      </c>
      <c r="N36" s="203"/>
      <c r="O36" s="203"/>
      <c r="P36" s="203"/>
      <c r="Q36" s="203"/>
      <c r="R36" s="230"/>
      <c r="S36" s="231"/>
    </row>
    <row r="37" spans="1:19" s="208" customFormat="1">
      <c r="A37" s="270">
        <f t="shared" si="3"/>
        <v>17.996807859391204</v>
      </c>
      <c r="B37" s="268">
        <f t="shared" si="0"/>
        <v>32</v>
      </c>
      <c r="C37" s="269" t="s">
        <v>210</v>
      </c>
      <c r="D37" s="269"/>
      <c r="E37" s="269"/>
      <c r="F37" s="269" t="s">
        <v>88</v>
      </c>
      <c r="G37" s="203"/>
      <c r="H37" s="220">
        <v>32</v>
      </c>
      <c r="I37" s="221">
        <f t="shared" si="4"/>
        <v>7.996807859391204</v>
      </c>
      <c r="J37" s="220">
        <f t="shared" si="5"/>
        <v>1</v>
      </c>
      <c r="K37" s="220">
        <f t="shared" si="1"/>
        <v>10</v>
      </c>
      <c r="L37" s="220"/>
      <c r="M37" s="222">
        <f t="shared" si="2"/>
        <v>17.996807859391204</v>
      </c>
      <c r="N37" s="203"/>
      <c r="O37" s="203"/>
      <c r="P37" s="203"/>
      <c r="Q37" s="203"/>
      <c r="R37" s="203"/>
    </row>
    <row r="38" spans="1:19" s="208" customFormat="1">
      <c r="A38" s="271">
        <f t="shared" si="3"/>
        <v>7.6238689143259606</v>
      </c>
      <c r="B38" s="265">
        <f t="shared" si="0"/>
        <v>33</v>
      </c>
      <c r="C38" s="266" t="s">
        <v>211</v>
      </c>
      <c r="D38" s="266"/>
      <c r="E38" s="266"/>
      <c r="F38" s="266" t="s">
        <v>177</v>
      </c>
      <c r="G38" s="203"/>
      <c r="H38" s="217">
        <v>33</v>
      </c>
      <c r="I38" s="218">
        <f t="shared" si="4"/>
        <v>7.6238689143259606</v>
      </c>
      <c r="J38" s="217">
        <f t="shared" si="5"/>
        <v>0</v>
      </c>
      <c r="K38" s="217">
        <f t="shared" si="1"/>
        <v>0</v>
      </c>
      <c r="L38" s="217"/>
      <c r="M38" s="219">
        <f t="shared" si="2"/>
        <v>7.6238689143259606</v>
      </c>
      <c r="N38" s="203"/>
      <c r="O38" s="203"/>
      <c r="P38" s="203"/>
      <c r="Q38" s="203"/>
      <c r="R38" s="203"/>
    </row>
    <row r="39" spans="1:19" s="208" customFormat="1">
      <c r="A39" s="270">
        <f t="shared" si="3"/>
        <v>7.2620641541508917</v>
      </c>
      <c r="B39" s="268">
        <f t="shared" si="0"/>
        <v>34</v>
      </c>
      <c r="C39" s="269" t="s">
        <v>212</v>
      </c>
      <c r="D39" s="269"/>
      <c r="E39" s="269"/>
      <c r="F39" s="269" t="s">
        <v>177</v>
      </c>
      <c r="G39" s="203"/>
      <c r="H39" s="220">
        <v>34</v>
      </c>
      <c r="I39" s="221">
        <f t="shared" si="4"/>
        <v>7.2620641541508917</v>
      </c>
      <c r="J39" s="220">
        <f t="shared" si="5"/>
        <v>0</v>
      </c>
      <c r="K39" s="220">
        <f t="shared" si="1"/>
        <v>0</v>
      </c>
      <c r="L39" s="220"/>
      <c r="M39" s="222">
        <f t="shared" si="2"/>
        <v>7.2620641541508917</v>
      </c>
      <c r="N39" s="203"/>
      <c r="O39" s="203"/>
      <c r="P39" s="203"/>
      <c r="Q39" s="203"/>
      <c r="R39" s="203"/>
    </row>
    <row r="40" spans="1:19" s="208" customFormat="1">
      <c r="A40" s="271">
        <f t="shared" si="3"/>
        <v>6.9107479791398063</v>
      </c>
      <c r="B40" s="265">
        <f t="shared" si="0"/>
        <v>35</v>
      </c>
      <c r="C40" s="266" t="s">
        <v>213</v>
      </c>
      <c r="D40" s="266"/>
      <c r="E40" s="266"/>
      <c r="F40" s="266" t="s">
        <v>198</v>
      </c>
      <c r="G40" s="203"/>
      <c r="H40" s="217">
        <v>35</v>
      </c>
      <c r="I40" s="218">
        <f t="shared" si="4"/>
        <v>6.9107479791398063</v>
      </c>
      <c r="J40" s="217">
        <f t="shared" si="5"/>
        <v>0</v>
      </c>
      <c r="K40" s="217">
        <f t="shared" si="1"/>
        <v>0</v>
      </c>
      <c r="L40" s="217"/>
      <c r="M40" s="219">
        <f t="shared" si="2"/>
        <v>6.9107479791398063</v>
      </c>
      <c r="N40" s="203"/>
      <c r="O40" s="203"/>
      <c r="P40" s="203"/>
      <c r="Q40" s="203"/>
      <c r="R40" s="203"/>
    </row>
    <row r="41" spans="1:19" s="208" customFormat="1">
      <c r="A41" s="270">
        <f t="shared" si="3"/>
        <v>6.5693293623762727</v>
      </c>
      <c r="B41" s="268">
        <f t="shared" si="0"/>
        <v>36</v>
      </c>
      <c r="C41" s="269" t="s">
        <v>214</v>
      </c>
      <c r="D41" s="269"/>
      <c r="E41" s="269"/>
      <c r="F41" s="269" t="s">
        <v>198</v>
      </c>
      <c r="G41" s="203"/>
      <c r="H41" s="220">
        <v>36</v>
      </c>
      <c r="I41" s="221">
        <f t="shared" si="4"/>
        <v>6.5693293623762727</v>
      </c>
      <c r="J41" s="220">
        <f t="shared" si="5"/>
        <v>0</v>
      </c>
      <c r="K41" s="220">
        <f t="shared" si="1"/>
        <v>0</v>
      </c>
      <c r="L41" s="220"/>
      <c r="M41" s="222">
        <f t="shared" si="2"/>
        <v>6.5693293623762727</v>
      </c>
      <c r="N41" s="203"/>
      <c r="O41" s="203"/>
      <c r="P41" s="203"/>
      <c r="Q41" s="203"/>
      <c r="R41" s="203"/>
      <c r="S41" s="232"/>
    </row>
    <row r="42" spans="1:19" s="208" customFormat="1">
      <c r="A42" s="271">
        <f t="shared" si="3"/>
        <v>6.2372658671892154</v>
      </c>
      <c r="B42" s="265">
        <f t="shared" si="0"/>
        <v>37</v>
      </c>
      <c r="C42" s="266" t="s">
        <v>215</v>
      </c>
      <c r="D42" s="266"/>
      <c r="E42" s="266"/>
      <c r="F42" s="266" t="s">
        <v>177</v>
      </c>
      <c r="G42" s="203"/>
      <c r="H42" s="217">
        <v>37</v>
      </c>
      <c r="I42" s="218">
        <f t="shared" si="4"/>
        <v>6.2372658671892154</v>
      </c>
      <c r="J42" s="217">
        <f t="shared" si="5"/>
        <v>0</v>
      </c>
      <c r="K42" s="217">
        <f t="shared" si="1"/>
        <v>0</v>
      </c>
      <c r="L42" s="217"/>
      <c r="M42" s="219">
        <f t="shared" si="2"/>
        <v>6.2372658671892154</v>
      </c>
      <c r="N42" s="203"/>
      <c r="O42" s="203"/>
      <c r="P42" s="203"/>
      <c r="Q42" s="203"/>
      <c r="R42" s="203"/>
    </row>
    <row r="43" spans="1:19" s="208" customFormat="1">
      <c r="A43" s="270">
        <f t="shared" si="3"/>
        <v>5.9140584625683488</v>
      </c>
      <c r="B43" s="268">
        <f t="shared" si="0"/>
        <v>38</v>
      </c>
      <c r="C43" s="269" t="s">
        <v>216</v>
      </c>
      <c r="D43" s="269"/>
      <c r="E43" s="269"/>
      <c r="F43" s="269" t="s">
        <v>175</v>
      </c>
      <c r="G43" s="203"/>
      <c r="H43" s="220">
        <v>38</v>
      </c>
      <c r="I43" s="221">
        <f t="shared" si="4"/>
        <v>5.9140584625683488</v>
      </c>
      <c r="J43" s="220">
        <f t="shared" si="5"/>
        <v>0</v>
      </c>
      <c r="K43" s="220">
        <f t="shared" si="1"/>
        <v>0</v>
      </c>
      <c r="L43" s="220"/>
      <c r="M43" s="222">
        <f t="shared" si="2"/>
        <v>5.9140584625683488</v>
      </c>
      <c r="N43" s="203"/>
      <c r="O43" s="203"/>
      <c r="P43" s="203"/>
      <c r="Q43" s="203"/>
      <c r="R43" s="203"/>
    </row>
    <row r="44" spans="1:19" s="208" customFormat="1">
      <c r="A44" s="271">
        <f t="shared" si="3"/>
        <v>5.5992470121457885</v>
      </c>
      <c r="B44" s="265">
        <f t="shared" si="0"/>
        <v>39</v>
      </c>
      <c r="C44" s="266" t="s">
        <v>217</v>
      </c>
      <c r="D44" s="266"/>
      <c r="E44" s="266"/>
      <c r="F44" s="266" t="s">
        <v>198</v>
      </c>
      <c r="G44" s="203"/>
      <c r="H44" s="217">
        <v>39</v>
      </c>
      <c r="I44" s="218">
        <f t="shared" si="4"/>
        <v>5.5992470121457885</v>
      </c>
      <c r="J44" s="217">
        <f t="shared" si="5"/>
        <v>0</v>
      </c>
      <c r="K44" s="217">
        <f t="shared" si="1"/>
        <v>0</v>
      </c>
      <c r="L44" s="217"/>
      <c r="M44" s="219">
        <f t="shared" si="2"/>
        <v>5.5992470121457885</v>
      </c>
      <c r="N44" s="203"/>
      <c r="O44" s="203"/>
      <c r="P44" s="203"/>
      <c r="Q44" s="203"/>
      <c r="R44" s="203"/>
    </row>
    <row r="45" spans="1:19" s="208" customFormat="1">
      <c r="A45" s="270">
        <f t="shared" si="3"/>
        <v>5.29240633438841</v>
      </c>
      <c r="B45" s="268">
        <f t="shared" si="0"/>
        <v>40</v>
      </c>
      <c r="C45" s="269" t="s">
        <v>218</v>
      </c>
      <c r="D45" s="269"/>
      <c r="E45" s="269"/>
      <c r="F45" s="269" t="s">
        <v>177</v>
      </c>
      <c r="G45" s="203"/>
      <c r="H45" s="220">
        <v>40</v>
      </c>
      <c r="I45" s="221">
        <f t="shared" si="4"/>
        <v>5.29240633438841</v>
      </c>
      <c r="J45" s="220">
        <f t="shared" si="5"/>
        <v>0</v>
      </c>
      <c r="K45" s="220">
        <f t="shared" si="1"/>
        <v>0</v>
      </c>
      <c r="L45" s="220"/>
      <c r="M45" s="222">
        <f t="shared" si="2"/>
        <v>5.29240633438841</v>
      </c>
      <c r="N45" s="203"/>
      <c r="O45" s="203"/>
      <c r="P45" s="203"/>
      <c r="Q45" s="203"/>
      <c r="R45" s="203"/>
    </row>
    <row r="46" spans="1:19" s="208" customFormat="1">
      <c r="A46" s="271">
        <f t="shared" si="3"/>
        <v>4.9931427493445639</v>
      </c>
      <c r="B46" s="265">
        <f t="shared" si="0"/>
        <v>41</v>
      </c>
      <c r="C46" s="266" t="s">
        <v>219</v>
      </c>
      <c r="D46" s="266"/>
      <c r="E46" s="266"/>
      <c r="F46" s="266" t="s">
        <v>220</v>
      </c>
      <c r="G46" s="203"/>
      <c r="H46" s="217">
        <v>41</v>
      </c>
      <c r="I46" s="218">
        <f t="shared" si="4"/>
        <v>4.9931427493445639</v>
      </c>
      <c r="J46" s="217">
        <f t="shared" si="5"/>
        <v>0</v>
      </c>
      <c r="K46" s="217">
        <f t="shared" si="1"/>
        <v>0</v>
      </c>
      <c r="L46" s="217"/>
      <c r="M46" s="219">
        <f t="shared" si="2"/>
        <v>4.9931427493445639</v>
      </c>
      <c r="N46" s="203"/>
      <c r="O46" s="203"/>
      <c r="P46" s="203"/>
      <c r="Q46" s="203"/>
      <c r="R46" s="203"/>
    </row>
    <row r="47" spans="1:19" s="208" customFormat="1">
      <c r="A47" s="270">
        <f t="shared" si="3"/>
        <v>4.7010910415742586</v>
      </c>
      <c r="B47" s="268">
        <f t="shared" si="0"/>
        <v>42</v>
      </c>
      <c r="C47" s="269" t="s">
        <v>221</v>
      </c>
      <c r="D47" s="269"/>
      <c r="E47" s="269"/>
      <c r="F47" s="269" t="s">
        <v>177</v>
      </c>
      <c r="G47" s="203"/>
      <c r="H47" s="220">
        <v>42</v>
      </c>
      <c r="I47" s="221">
        <f t="shared" si="4"/>
        <v>4.7010910415742586</v>
      </c>
      <c r="J47" s="220">
        <f t="shared" si="5"/>
        <v>0</v>
      </c>
      <c r="K47" s="220">
        <f t="shared" si="1"/>
        <v>0</v>
      </c>
      <c r="L47" s="220"/>
      <c r="M47" s="222">
        <f t="shared" si="2"/>
        <v>4.7010910415742586</v>
      </c>
      <c r="N47" s="203"/>
      <c r="O47" s="203"/>
      <c r="P47" s="203"/>
      <c r="Q47" s="203"/>
      <c r="R47" s="203"/>
    </row>
    <row r="48" spans="1:19" s="208" customFormat="1">
      <c r="A48" s="271">
        <f t="shared" si="3"/>
        <v>4.4159117804868728</v>
      </c>
      <c r="B48" s="265">
        <f t="shared" si="0"/>
        <v>43</v>
      </c>
      <c r="C48" s="266" t="s">
        <v>29</v>
      </c>
      <c r="D48" s="266"/>
      <c r="E48" s="266"/>
      <c r="F48" s="266" t="s">
        <v>80</v>
      </c>
      <c r="G48" s="203"/>
      <c r="H48" s="217">
        <v>43</v>
      </c>
      <c r="I48" s="218">
        <f t="shared" si="4"/>
        <v>4.4159117804868728</v>
      </c>
      <c r="J48" s="217">
        <f t="shared" si="5"/>
        <v>0</v>
      </c>
      <c r="K48" s="217">
        <f t="shared" si="1"/>
        <v>0</v>
      </c>
      <c r="L48" s="217"/>
      <c r="M48" s="219">
        <f t="shared" si="2"/>
        <v>4.4159117804868728</v>
      </c>
      <c r="N48" s="203"/>
      <c r="O48" s="203"/>
      <c r="P48" s="203"/>
      <c r="Q48" s="203"/>
      <c r="R48" s="203"/>
    </row>
    <row r="49" spans="1:38" s="203" customFormat="1">
      <c r="A49" s="270">
        <f t="shared" si="3"/>
        <v>4.1372889487725431</v>
      </c>
      <c r="B49" s="268">
        <f t="shared" si="0"/>
        <v>44</v>
      </c>
      <c r="C49" s="269" t="s">
        <v>222</v>
      </c>
      <c r="D49" s="269"/>
      <c r="E49" s="269"/>
      <c r="F49" s="269" t="s">
        <v>220</v>
      </c>
      <c r="H49" s="220">
        <v>44</v>
      </c>
      <c r="I49" s="221">
        <f t="shared" si="4"/>
        <v>4.1372889487725431</v>
      </c>
      <c r="J49" s="220">
        <f t="shared" si="5"/>
        <v>0</v>
      </c>
      <c r="K49" s="220">
        <f t="shared" si="1"/>
        <v>0</v>
      </c>
      <c r="L49" s="220"/>
      <c r="M49" s="222">
        <f t="shared" si="2"/>
        <v>4.1372889487725431</v>
      </c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</row>
    <row r="50" spans="1:38" s="203" customFormat="1">
      <c r="A50" s="271">
        <f t="shared" si="3"/>
        <v>3.8649278373734646</v>
      </c>
      <c r="B50" s="265">
        <f t="shared" si="0"/>
        <v>45</v>
      </c>
      <c r="C50" s="266" t="s">
        <v>223</v>
      </c>
      <c r="D50" s="266"/>
      <c r="E50" s="266"/>
      <c r="F50" s="266" t="s">
        <v>177</v>
      </c>
      <c r="H50" s="217">
        <v>45</v>
      </c>
      <c r="I50" s="218">
        <f t="shared" si="4"/>
        <v>3.8649278373734646</v>
      </c>
      <c r="J50" s="217">
        <f t="shared" si="5"/>
        <v>0</v>
      </c>
      <c r="K50" s="217">
        <f t="shared" si="1"/>
        <v>0</v>
      </c>
      <c r="L50" s="217"/>
      <c r="M50" s="219">
        <f t="shared" si="2"/>
        <v>3.8649278373734646</v>
      </c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</row>
    <row r="51" spans="1:38" s="203" customFormat="1">
      <c r="A51" s="270">
        <f t="shared" si="3"/>
        <v>3.5985531718360733</v>
      </c>
      <c r="B51" s="268">
        <f t="shared" si="0"/>
        <v>46</v>
      </c>
      <c r="C51" s="269" t="s">
        <v>224</v>
      </c>
      <c r="D51" s="269"/>
      <c r="E51" s="269"/>
      <c r="F51" s="269" t="s">
        <v>177</v>
      </c>
      <c r="H51" s="220">
        <v>46</v>
      </c>
      <c r="I51" s="221">
        <f t="shared" si="4"/>
        <v>3.5985531718360733</v>
      </c>
      <c r="J51" s="220">
        <f t="shared" si="5"/>
        <v>0</v>
      </c>
      <c r="K51" s="220">
        <f t="shared" si="1"/>
        <v>0</v>
      </c>
      <c r="L51" s="220"/>
      <c r="M51" s="222">
        <f t="shared" si="2"/>
        <v>3.5985531718360733</v>
      </c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</row>
    <row r="52" spans="1:38" s="203" customFormat="1">
      <c r="A52" s="271">
        <f t="shared" si="3"/>
        <v>3.3379074401801248</v>
      </c>
      <c r="B52" s="265">
        <f t="shared" si="0"/>
        <v>47</v>
      </c>
      <c r="C52" s="266" t="s">
        <v>225</v>
      </c>
      <c r="D52" s="266"/>
      <c r="E52" s="266"/>
      <c r="F52" s="266" t="s">
        <v>182</v>
      </c>
      <c r="H52" s="217">
        <v>47</v>
      </c>
      <c r="I52" s="218">
        <f t="shared" si="4"/>
        <v>3.3379074401801248</v>
      </c>
      <c r="J52" s="217">
        <f t="shared" si="5"/>
        <v>0</v>
      </c>
      <c r="K52" s="217">
        <f t="shared" si="1"/>
        <v>0</v>
      </c>
      <c r="L52" s="217"/>
      <c r="M52" s="219">
        <f t="shared" si="2"/>
        <v>3.3379074401801248</v>
      </c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</row>
    <row r="53" spans="1:38" s="203" customFormat="1">
      <c r="A53" s="270">
        <f t="shared" si="3"/>
        <v>3.0827493968228623</v>
      </c>
      <c r="B53" s="268">
        <f t="shared" si="0"/>
        <v>48</v>
      </c>
      <c r="C53" s="269" t="s">
        <v>226</v>
      </c>
      <c r="D53" s="269"/>
      <c r="E53" s="269"/>
      <c r="F53" s="269" t="s">
        <v>88</v>
      </c>
      <c r="H53" s="220">
        <v>48</v>
      </c>
      <c r="I53" s="221">
        <f t="shared" si="4"/>
        <v>3.0827493968228623</v>
      </c>
      <c r="J53" s="220">
        <f t="shared" si="5"/>
        <v>0</v>
      </c>
      <c r="K53" s="220">
        <f t="shared" si="1"/>
        <v>0</v>
      </c>
      <c r="L53" s="220"/>
      <c r="M53" s="222">
        <f t="shared" si="2"/>
        <v>3.0827493968228623</v>
      </c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</row>
    <row r="54" spans="1:38" s="203" customFormat="1">
      <c r="A54" s="271">
        <f t="shared" si="3"/>
        <v>2.8328527207722516</v>
      </c>
      <c r="B54" s="265">
        <f t="shared" si="0"/>
        <v>49</v>
      </c>
      <c r="C54" s="266" t="s">
        <v>39</v>
      </c>
      <c r="D54" s="266"/>
      <c r="E54" s="266"/>
      <c r="F54" s="266" t="s">
        <v>88</v>
      </c>
      <c r="H54" s="217">
        <v>49</v>
      </c>
      <c r="I54" s="218">
        <f t="shared" si="4"/>
        <v>2.8328527207722516</v>
      </c>
      <c r="J54" s="217">
        <f t="shared" si="5"/>
        <v>0</v>
      </c>
      <c r="K54" s="217">
        <f t="shared" si="1"/>
        <v>0</v>
      </c>
      <c r="L54" s="217"/>
      <c r="M54" s="219">
        <f t="shared" si="2"/>
        <v>2.8328527207722516</v>
      </c>
      <c r="S54" s="208"/>
      <c r="T54" s="208"/>
      <c r="U54" s="208"/>
      <c r="V54" s="208"/>
      <c r="W54" s="208"/>
      <c r="X54" s="208"/>
      <c r="Y54" s="208"/>
      <c r="Z54" s="208"/>
      <c r="AA54" s="208"/>
      <c r="AB54" s="208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</row>
    <row r="55" spans="1:38" s="203" customFormat="1">
      <c r="A55" s="270">
        <f t="shared" si="3"/>
        <v>2.5880048093856018</v>
      </c>
      <c r="B55" s="268">
        <f t="shared" si="0"/>
        <v>50</v>
      </c>
      <c r="C55" s="269" t="s">
        <v>227</v>
      </c>
      <c r="D55" s="269"/>
      <c r="E55" s="269"/>
      <c r="F55" s="269" t="s">
        <v>177</v>
      </c>
      <c r="H55" s="220">
        <v>50</v>
      </c>
      <c r="I55" s="221">
        <f t="shared" si="4"/>
        <v>2.5880048093856018</v>
      </c>
      <c r="J55" s="220">
        <f t="shared" si="5"/>
        <v>0</v>
      </c>
      <c r="K55" s="220">
        <f t="shared" si="1"/>
        <v>0</v>
      </c>
      <c r="L55" s="220"/>
      <c r="M55" s="222">
        <f t="shared" si="2"/>
        <v>2.5880048093856018</v>
      </c>
      <c r="S55" s="208"/>
      <c r="T55" s="208"/>
      <c r="U55" s="208"/>
      <c r="V55" s="208"/>
      <c r="W55" s="208"/>
      <c r="X55" s="208"/>
      <c r="Y55" s="208"/>
      <c r="Z55" s="208"/>
      <c r="AA55" s="208"/>
      <c r="AB55" s="208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</row>
    <row r="56" spans="1:38" s="203" customFormat="1">
      <c r="A56" s="271">
        <f t="shared" si="3"/>
        <v>2.34800569158255</v>
      </c>
      <c r="B56" s="265">
        <f t="shared" si="0"/>
        <v>51</v>
      </c>
      <c r="C56" s="266" t="s">
        <v>228</v>
      </c>
      <c r="D56" s="266"/>
      <c r="E56" s="266"/>
      <c r="F56" s="266" t="s">
        <v>177</v>
      </c>
      <c r="H56" s="217">
        <v>51</v>
      </c>
      <c r="I56" s="218">
        <f t="shared" si="4"/>
        <v>2.34800569158255</v>
      </c>
      <c r="J56" s="217">
        <f t="shared" si="5"/>
        <v>0</v>
      </c>
      <c r="K56" s="217">
        <f t="shared" si="1"/>
        <v>0</v>
      </c>
      <c r="L56" s="217"/>
      <c r="M56" s="219">
        <f t="shared" si="2"/>
        <v>2.34800569158255</v>
      </c>
      <c r="S56" s="208"/>
      <c r="T56" s="208"/>
      <c r="U56" s="208"/>
      <c r="V56" s="208"/>
      <c r="W56" s="208"/>
      <c r="X56" s="208"/>
      <c r="Y56" s="208"/>
      <c r="Z56" s="208"/>
      <c r="AA56" s="208"/>
      <c r="AB56" s="208"/>
      <c r="AC56" s="208"/>
      <c r="AD56" s="208"/>
      <c r="AE56" s="208"/>
      <c r="AF56" s="208"/>
      <c r="AG56" s="208"/>
      <c r="AH56" s="208"/>
      <c r="AI56" s="208"/>
      <c r="AJ56" s="208"/>
      <c r="AK56" s="208"/>
      <c r="AL56" s="208"/>
    </row>
    <row r="57" spans="1:38" s="203" customFormat="1">
      <c r="A57" s="270">
        <f t="shared" si="3"/>
        <v>2.1126670465923709</v>
      </c>
      <c r="B57" s="268">
        <f t="shared" si="0"/>
        <v>52</v>
      </c>
      <c r="C57" s="269" t="s">
        <v>229</v>
      </c>
      <c r="D57" s="269"/>
      <c r="E57" s="269"/>
      <c r="F57" s="269" t="s">
        <v>230</v>
      </c>
      <c r="H57" s="220">
        <v>52</v>
      </c>
      <c r="I57" s="221">
        <f t="shared" si="4"/>
        <v>2.1126670465923709</v>
      </c>
      <c r="J57" s="220">
        <f t="shared" si="5"/>
        <v>0</v>
      </c>
      <c r="K57" s="220">
        <f t="shared" si="1"/>
        <v>0</v>
      </c>
      <c r="L57" s="220"/>
      <c r="M57" s="222">
        <f t="shared" si="2"/>
        <v>2.1126670465923709</v>
      </c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</row>
    <row r="58" spans="1:38" s="203" customFormat="1">
      <c r="A58" s="271">
        <f t="shared" si="3"/>
        <v>1.881811316171742</v>
      </c>
      <c r="B58" s="265">
        <f t="shared" si="0"/>
        <v>53</v>
      </c>
      <c r="C58" s="266" t="s">
        <v>231</v>
      </c>
      <c r="D58" s="266"/>
      <c r="E58" s="266"/>
      <c r="F58" s="266" t="s">
        <v>198</v>
      </c>
      <c r="H58" s="217">
        <v>53</v>
      </c>
      <c r="I58" s="218">
        <f t="shared" si="4"/>
        <v>1.881811316171742</v>
      </c>
      <c r="J58" s="217">
        <f t="shared" si="5"/>
        <v>0</v>
      </c>
      <c r="K58" s="217">
        <f t="shared" si="1"/>
        <v>0</v>
      </c>
      <c r="L58" s="217"/>
      <c r="M58" s="219">
        <f t="shared" si="2"/>
        <v>1.881811316171742</v>
      </c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</row>
    <row r="59" spans="1:38" s="203" customFormat="1">
      <c r="A59" s="270">
        <f t="shared" si="3"/>
        <v>1.655270899807924</v>
      </c>
      <c r="B59" s="268">
        <f t="shared" si="0"/>
        <v>54</v>
      </c>
      <c r="C59" s="269" t="s">
        <v>232</v>
      </c>
      <c r="D59" s="269"/>
      <c r="E59" s="269"/>
      <c r="F59" s="269" t="s">
        <v>177</v>
      </c>
      <c r="H59" s="220">
        <v>54</v>
      </c>
      <c r="I59" s="221">
        <f t="shared" si="4"/>
        <v>1.655270899807924</v>
      </c>
      <c r="J59" s="220">
        <f t="shared" si="5"/>
        <v>0</v>
      </c>
      <c r="K59" s="220">
        <f t="shared" si="1"/>
        <v>0</v>
      </c>
      <c r="L59" s="220"/>
      <c r="M59" s="222">
        <f t="shared" si="2"/>
        <v>1.655270899807924</v>
      </c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</row>
    <row r="60" spans="1:38" s="203" customFormat="1">
      <c r="A60" s="271">
        <f t="shared" si="3"/>
        <v>1.432887423769742</v>
      </c>
      <c r="B60" s="265">
        <f t="shared" si="0"/>
        <v>55</v>
      </c>
      <c r="C60" s="266" t="s">
        <v>233</v>
      </c>
      <c r="D60" s="266"/>
      <c r="E60" s="266"/>
      <c r="F60" s="266" t="s">
        <v>177</v>
      </c>
      <c r="H60" s="217">
        <v>55</v>
      </c>
      <c r="I60" s="218">
        <f t="shared" si="4"/>
        <v>1.432887423769742</v>
      </c>
      <c r="J60" s="217">
        <f t="shared" si="5"/>
        <v>0</v>
      </c>
      <c r="K60" s="217">
        <f t="shared" si="1"/>
        <v>0</v>
      </c>
      <c r="L60" s="217"/>
      <c r="M60" s="219">
        <f t="shared" si="2"/>
        <v>1.432887423769742</v>
      </c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</row>
    <row r="61" spans="1:38" s="203" customFormat="1">
      <c r="A61" s="270">
        <f t="shared" si="3"/>
        <v>1.2145110760208482</v>
      </c>
      <c r="B61" s="268">
        <f t="shared" si="0"/>
        <v>56</v>
      </c>
      <c r="C61" s="269" t="s">
        <v>234</v>
      </c>
      <c r="D61" s="269"/>
      <c r="E61" s="269"/>
      <c r="F61" s="269" t="s">
        <v>177</v>
      </c>
      <c r="H61" s="220">
        <v>56</v>
      </c>
      <c r="I61" s="221">
        <f t="shared" si="4"/>
        <v>1.2145110760208482</v>
      </c>
      <c r="J61" s="220">
        <f t="shared" si="5"/>
        <v>0</v>
      </c>
      <c r="K61" s="220">
        <f t="shared" si="1"/>
        <v>0</v>
      </c>
      <c r="L61" s="220"/>
      <c r="M61" s="222">
        <f t="shared" si="2"/>
        <v>1.2145110760208482</v>
      </c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</row>
    <row r="62" spans="1:38" s="203" customFormat="1">
      <c r="A62" s="271">
        <f t="shared" si="3"/>
        <v>1</v>
      </c>
      <c r="B62" s="265">
        <f t="shared" si="0"/>
        <v>57</v>
      </c>
      <c r="C62" s="266" t="s">
        <v>235</v>
      </c>
      <c r="D62" s="266"/>
      <c r="E62" s="266"/>
      <c r="F62" s="266" t="s">
        <v>177</v>
      </c>
      <c r="H62" s="217">
        <v>57</v>
      </c>
      <c r="I62" s="218">
        <f t="shared" si="4"/>
        <v>1</v>
      </c>
      <c r="J62" s="217">
        <f t="shared" si="5"/>
        <v>0</v>
      </c>
      <c r="K62" s="217">
        <f t="shared" si="1"/>
        <v>0</v>
      </c>
      <c r="L62" s="217"/>
      <c r="M62" s="219">
        <f t="shared" si="2"/>
        <v>1</v>
      </c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</row>
    <row r="63" spans="1:38" s="203" customFormat="1">
      <c r="A63" s="270">
        <f t="shared" si="3"/>
        <v>0</v>
      </c>
      <c r="B63" s="268" t="str">
        <f t="shared" si="0"/>
        <v/>
      </c>
      <c r="C63" s="269"/>
      <c r="D63" s="269"/>
      <c r="E63" s="269"/>
      <c r="F63" s="269"/>
      <c r="H63" s="220">
        <v>58</v>
      </c>
      <c r="I63" s="221" t="str">
        <f t="shared" si="4"/>
        <v/>
      </c>
      <c r="J63" s="220">
        <f t="shared" si="5"/>
        <v>0</v>
      </c>
      <c r="K63" s="220">
        <f t="shared" si="1"/>
        <v>0</v>
      </c>
      <c r="L63" s="220"/>
      <c r="M63" s="222">
        <f t="shared" si="2"/>
        <v>0</v>
      </c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</row>
    <row r="64" spans="1:38" s="203" customFormat="1">
      <c r="A64" s="271">
        <f t="shared" si="3"/>
        <v>0</v>
      </c>
      <c r="B64" s="265" t="str">
        <f t="shared" si="0"/>
        <v/>
      </c>
      <c r="C64" s="266"/>
      <c r="D64" s="266"/>
      <c r="E64" s="266"/>
      <c r="F64" s="266"/>
      <c r="H64" s="217">
        <v>59</v>
      </c>
      <c r="I64" s="218" t="str">
        <f t="shared" si="4"/>
        <v/>
      </c>
      <c r="J64" s="217">
        <f t="shared" si="5"/>
        <v>0</v>
      </c>
      <c r="K64" s="217">
        <f t="shared" si="1"/>
        <v>0</v>
      </c>
      <c r="L64" s="217"/>
      <c r="M64" s="219">
        <f t="shared" si="2"/>
        <v>0</v>
      </c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</row>
    <row r="65" spans="1:38" s="203" customFormat="1">
      <c r="A65" s="270">
        <f t="shared" si="3"/>
        <v>0</v>
      </c>
      <c r="B65" s="268" t="str">
        <f t="shared" si="0"/>
        <v/>
      </c>
      <c r="C65" s="269"/>
      <c r="D65" s="269"/>
      <c r="E65" s="269"/>
      <c r="F65" s="269"/>
      <c r="H65" s="220">
        <v>60</v>
      </c>
      <c r="I65" s="221" t="str">
        <f t="shared" si="4"/>
        <v/>
      </c>
      <c r="J65" s="220">
        <f t="shared" si="5"/>
        <v>0</v>
      </c>
      <c r="K65" s="220">
        <f t="shared" si="1"/>
        <v>0</v>
      </c>
      <c r="L65" s="220"/>
      <c r="M65" s="222">
        <f t="shared" si="2"/>
        <v>0</v>
      </c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</row>
    <row r="66" spans="1:38" s="208" customFormat="1" ht="14.45" customHeight="1">
      <c r="A66" s="264">
        <f t="shared" si="3"/>
        <v>0</v>
      </c>
      <c r="B66" s="265" t="str">
        <f t="shared" si="0"/>
        <v/>
      </c>
      <c r="C66" s="266"/>
      <c r="D66" s="266"/>
      <c r="E66" s="266"/>
      <c r="F66" s="266"/>
      <c r="G66" s="260"/>
      <c r="H66" s="217">
        <v>61</v>
      </c>
      <c r="I66" s="218" t="str">
        <f t="shared" si="4"/>
        <v/>
      </c>
      <c r="J66" s="217">
        <f t="shared" si="5"/>
        <v>0</v>
      </c>
      <c r="K66" s="217">
        <f t="shared" si="1"/>
        <v>0</v>
      </c>
      <c r="L66" s="219"/>
      <c r="M66" s="219">
        <f t="shared" si="2"/>
        <v>0</v>
      </c>
      <c r="N66" s="203"/>
      <c r="O66" s="203"/>
      <c r="P66" s="203"/>
      <c r="Q66" s="203"/>
      <c r="R66" s="203"/>
    </row>
    <row r="67" spans="1:38" s="208" customFormat="1" ht="14.45" customHeight="1">
      <c r="A67" s="267">
        <f t="shared" si="3"/>
        <v>0</v>
      </c>
      <c r="B67" s="268" t="str">
        <f t="shared" si="0"/>
        <v/>
      </c>
      <c r="C67" s="269"/>
      <c r="D67" s="269"/>
      <c r="E67" s="269"/>
      <c r="F67" s="269"/>
      <c r="G67" s="260"/>
      <c r="H67" s="220">
        <v>62</v>
      </c>
      <c r="I67" s="221" t="str">
        <f t="shared" si="4"/>
        <v/>
      </c>
      <c r="J67" s="220">
        <f t="shared" si="5"/>
        <v>0</v>
      </c>
      <c r="K67" s="220">
        <f t="shared" si="1"/>
        <v>0</v>
      </c>
      <c r="L67" s="222"/>
      <c r="M67" s="222">
        <f t="shared" si="2"/>
        <v>0</v>
      </c>
      <c r="N67" s="203"/>
      <c r="O67" s="203"/>
      <c r="P67" s="203"/>
      <c r="Q67" s="203"/>
      <c r="R67" s="203"/>
    </row>
    <row r="68" spans="1:38" s="208" customFormat="1" ht="14.45" customHeight="1">
      <c r="A68" s="264">
        <f t="shared" si="3"/>
        <v>0</v>
      </c>
      <c r="B68" s="265" t="str">
        <f t="shared" si="0"/>
        <v/>
      </c>
      <c r="C68" s="266"/>
      <c r="D68" s="266"/>
      <c r="E68" s="266"/>
      <c r="F68" s="266"/>
      <c r="G68" s="260"/>
      <c r="H68" s="217">
        <v>63</v>
      </c>
      <c r="I68" s="218" t="str">
        <f t="shared" si="4"/>
        <v/>
      </c>
      <c r="J68" s="217">
        <f t="shared" si="5"/>
        <v>0</v>
      </c>
      <c r="K68" s="217">
        <f t="shared" si="1"/>
        <v>0</v>
      </c>
      <c r="L68" s="219"/>
      <c r="M68" s="219">
        <f t="shared" si="2"/>
        <v>0</v>
      </c>
      <c r="N68" s="203"/>
      <c r="O68" s="203"/>
      <c r="P68" s="203"/>
      <c r="Q68" s="203"/>
      <c r="R68" s="203"/>
    </row>
    <row r="69" spans="1:38" s="208" customFormat="1" ht="14.45" customHeight="1">
      <c r="A69" s="267">
        <f t="shared" si="3"/>
        <v>0</v>
      </c>
      <c r="B69" s="268" t="str">
        <f t="shared" si="0"/>
        <v/>
      </c>
      <c r="C69" s="269"/>
      <c r="D69" s="269"/>
      <c r="E69" s="269"/>
      <c r="F69" s="269"/>
      <c r="G69" s="260"/>
      <c r="H69" s="220">
        <v>64</v>
      </c>
      <c r="I69" s="221" t="str">
        <f t="shared" si="4"/>
        <v/>
      </c>
      <c r="J69" s="220">
        <f t="shared" si="5"/>
        <v>0</v>
      </c>
      <c r="K69" s="220">
        <f t="shared" si="1"/>
        <v>0</v>
      </c>
      <c r="L69" s="222"/>
      <c r="M69" s="222">
        <f t="shared" si="2"/>
        <v>0</v>
      </c>
      <c r="N69" s="203"/>
      <c r="O69" s="203"/>
      <c r="P69" s="203"/>
      <c r="Q69" s="203"/>
      <c r="R69" s="203"/>
      <c r="V69" s="223"/>
      <c r="Z69" s="224"/>
      <c r="AA69" s="224"/>
      <c r="AG69" s="225"/>
    </row>
    <row r="70" spans="1:38" s="208" customFormat="1" ht="14.45" customHeight="1">
      <c r="A70" s="264">
        <f t="shared" si="3"/>
        <v>0</v>
      </c>
      <c r="B70" s="265" t="str">
        <f t="shared" ref="B70:B133" si="6">IF(H70&gt;$H$2,"",(ROW()-5))</f>
        <v/>
      </c>
      <c r="C70" s="266"/>
      <c r="D70" s="266"/>
      <c r="E70" s="266"/>
      <c r="F70" s="266"/>
      <c r="G70" s="260"/>
      <c r="H70" s="217">
        <v>65</v>
      </c>
      <c r="I70" s="218" t="str">
        <f t="shared" si="4"/>
        <v/>
      </c>
      <c r="J70" s="217">
        <f t="shared" si="5"/>
        <v>-1</v>
      </c>
      <c r="K70" s="217">
        <f t="shared" ref="K70:K133" si="7">J70*$J$2</f>
        <v>-10</v>
      </c>
      <c r="L70" s="217"/>
      <c r="M70" s="219">
        <f t="shared" ref="M70:M133" si="8">IF(I70&lt;&gt;"",K70+I70+L70,0)</f>
        <v>0</v>
      </c>
      <c r="N70" s="203"/>
      <c r="O70" s="203"/>
      <c r="P70" s="203"/>
      <c r="Q70" s="203"/>
      <c r="R70" s="203"/>
      <c r="V70" s="223"/>
      <c r="Z70" s="224"/>
      <c r="AA70" s="224"/>
      <c r="AG70" s="225"/>
    </row>
    <row r="71" spans="1:38" s="208" customFormat="1" ht="14.45" customHeight="1">
      <c r="A71" s="267">
        <f t="shared" ref="A71:A134" si="9">M71</f>
        <v>0</v>
      </c>
      <c r="B71" s="268" t="str">
        <f t="shared" si="6"/>
        <v/>
      </c>
      <c r="C71" s="269"/>
      <c r="D71" s="269"/>
      <c r="E71" s="269"/>
      <c r="F71" s="269"/>
      <c r="G71" s="260"/>
      <c r="H71" s="220">
        <v>66</v>
      </c>
      <c r="I71" s="221" t="str">
        <f t="shared" ref="I71:I134" si="10">IF(H71&lt;$H$2+1,($I$2-($I$2-1)*(LOG(H71)/LOG($H$2))),"")</f>
        <v/>
      </c>
      <c r="J71" s="220">
        <f t="shared" ref="J71:J134" si="11">INT(LOG($H$2,2))-ROUNDUP(LOG(H71,2),0)+IF(OR($H$2=1,$H$2=2,$H$2=4,$H$2=8,$H$2=16,$H$2=32,$H$2=64,$H$2=128,$H$2=256),0,1)</f>
        <v>-1</v>
      </c>
      <c r="K71" s="220">
        <f t="shared" si="7"/>
        <v>-10</v>
      </c>
      <c r="L71" s="220"/>
      <c r="M71" s="222">
        <f t="shared" si="8"/>
        <v>0</v>
      </c>
      <c r="N71" s="203"/>
      <c r="O71" s="203"/>
      <c r="P71" s="203"/>
      <c r="Q71" s="203"/>
      <c r="R71" s="203"/>
      <c r="V71" s="226"/>
      <c r="Z71" s="224"/>
      <c r="AA71" s="224"/>
      <c r="AG71" s="225"/>
    </row>
    <row r="72" spans="1:38" s="208" customFormat="1" ht="14.45" customHeight="1">
      <c r="A72" s="264">
        <f t="shared" si="9"/>
        <v>0</v>
      </c>
      <c r="B72" s="265" t="str">
        <f t="shared" si="6"/>
        <v/>
      </c>
      <c r="C72" s="266"/>
      <c r="D72" s="266"/>
      <c r="E72" s="266"/>
      <c r="F72" s="266"/>
      <c r="G72" s="260"/>
      <c r="H72" s="217">
        <v>67</v>
      </c>
      <c r="I72" s="218" t="str">
        <f t="shared" si="10"/>
        <v/>
      </c>
      <c r="J72" s="217">
        <f t="shared" si="11"/>
        <v>-1</v>
      </c>
      <c r="K72" s="217">
        <f t="shared" si="7"/>
        <v>-10</v>
      </c>
      <c r="L72" s="217"/>
      <c r="M72" s="219">
        <f t="shared" si="8"/>
        <v>0</v>
      </c>
      <c r="N72" s="203"/>
      <c r="O72" s="203"/>
      <c r="P72" s="203"/>
      <c r="Q72" s="203"/>
      <c r="R72" s="203"/>
      <c r="Z72" s="224"/>
      <c r="AA72" s="224"/>
      <c r="AG72" s="225"/>
    </row>
    <row r="73" spans="1:38" s="208" customFormat="1" ht="14.45" customHeight="1">
      <c r="A73" s="270">
        <f t="shared" si="9"/>
        <v>0</v>
      </c>
      <c r="B73" s="268" t="str">
        <f t="shared" si="6"/>
        <v/>
      </c>
      <c r="C73" s="269"/>
      <c r="D73" s="269"/>
      <c r="E73" s="269"/>
      <c r="F73" s="269"/>
      <c r="G73" s="260"/>
      <c r="H73" s="220">
        <v>68</v>
      </c>
      <c r="I73" s="221" t="str">
        <f t="shared" si="10"/>
        <v/>
      </c>
      <c r="J73" s="220">
        <f t="shared" si="11"/>
        <v>-1</v>
      </c>
      <c r="K73" s="220">
        <f t="shared" si="7"/>
        <v>-10</v>
      </c>
      <c r="L73" s="220"/>
      <c r="M73" s="222">
        <f t="shared" si="8"/>
        <v>0</v>
      </c>
      <c r="N73" s="203"/>
      <c r="O73" s="203"/>
      <c r="P73" s="203"/>
      <c r="Q73" s="203"/>
      <c r="R73" s="203"/>
      <c r="X73" s="223"/>
      <c r="AG73" s="225"/>
    </row>
    <row r="74" spans="1:38" s="208" customFormat="1" ht="15.75" customHeight="1">
      <c r="A74" s="271">
        <f t="shared" si="9"/>
        <v>0</v>
      </c>
      <c r="B74" s="265" t="str">
        <f t="shared" si="6"/>
        <v/>
      </c>
      <c r="C74" s="266"/>
      <c r="D74" s="266"/>
      <c r="E74" s="266"/>
      <c r="F74" s="266"/>
      <c r="G74" s="260"/>
      <c r="H74" s="217">
        <v>69</v>
      </c>
      <c r="I74" s="218" t="str">
        <f t="shared" si="10"/>
        <v/>
      </c>
      <c r="J74" s="217">
        <f t="shared" si="11"/>
        <v>-1</v>
      </c>
      <c r="K74" s="217">
        <f t="shared" si="7"/>
        <v>-10</v>
      </c>
      <c r="L74" s="217"/>
      <c r="M74" s="219">
        <f t="shared" si="8"/>
        <v>0</v>
      </c>
      <c r="N74" s="203"/>
      <c r="O74" s="203"/>
      <c r="P74" s="203"/>
      <c r="Q74" s="203"/>
      <c r="R74" s="203"/>
      <c r="X74" s="227"/>
      <c r="Z74" s="224"/>
      <c r="AA74" s="224"/>
      <c r="AG74" s="225"/>
    </row>
    <row r="75" spans="1:38" s="208" customFormat="1">
      <c r="A75" s="270">
        <f t="shared" si="9"/>
        <v>0</v>
      </c>
      <c r="B75" s="268" t="str">
        <f t="shared" si="6"/>
        <v/>
      </c>
      <c r="C75" s="269"/>
      <c r="D75" s="269"/>
      <c r="E75" s="269"/>
      <c r="F75" s="269"/>
      <c r="G75" s="260"/>
      <c r="H75" s="220">
        <v>70</v>
      </c>
      <c r="I75" s="221" t="str">
        <f t="shared" si="10"/>
        <v/>
      </c>
      <c r="J75" s="220">
        <f t="shared" si="11"/>
        <v>-1</v>
      </c>
      <c r="K75" s="220">
        <f t="shared" si="7"/>
        <v>-10</v>
      </c>
      <c r="L75" s="220"/>
      <c r="M75" s="222">
        <f t="shared" si="8"/>
        <v>0</v>
      </c>
      <c r="N75" s="203"/>
      <c r="O75" s="203"/>
      <c r="P75" s="203"/>
      <c r="Q75" s="203"/>
      <c r="R75" s="203"/>
      <c r="X75" s="223"/>
      <c r="Z75" s="224"/>
      <c r="AA75" s="224"/>
    </row>
    <row r="76" spans="1:38" s="208" customFormat="1">
      <c r="A76" s="271">
        <f t="shared" si="9"/>
        <v>0</v>
      </c>
      <c r="B76" s="265" t="str">
        <f t="shared" si="6"/>
        <v/>
      </c>
      <c r="C76" s="266"/>
      <c r="D76" s="266"/>
      <c r="E76" s="266"/>
      <c r="F76" s="266"/>
      <c r="G76" s="260"/>
      <c r="H76" s="217">
        <v>71</v>
      </c>
      <c r="I76" s="218" t="str">
        <f t="shared" si="10"/>
        <v/>
      </c>
      <c r="J76" s="217">
        <f t="shared" si="11"/>
        <v>-1</v>
      </c>
      <c r="K76" s="217">
        <f t="shared" si="7"/>
        <v>-10</v>
      </c>
      <c r="L76" s="217"/>
      <c r="M76" s="219">
        <f t="shared" si="8"/>
        <v>0</v>
      </c>
      <c r="N76" s="203"/>
      <c r="O76" s="203"/>
      <c r="P76" s="203"/>
      <c r="Q76" s="203"/>
      <c r="R76" s="228"/>
      <c r="Z76" s="224"/>
      <c r="AA76" s="224"/>
      <c r="AH76" s="229"/>
    </row>
    <row r="77" spans="1:38" s="208" customFormat="1">
      <c r="A77" s="270">
        <f t="shared" si="9"/>
        <v>0</v>
      </c>
      <c r="B77" s="268" t="str">
        <f t="shared" si="6"/>
        <v/>
      </c>
      <c r="C77" s="269"/>
      <c r="D77" s="269"/>
      <c r="E77" s="269"/>
      <c r="F77" s="269"/>
      <c r="G77" s="260"/>
      <c r="H77" s="220">
        <v>72</v>
      </c>
      <c r="I77" s="221" t="str">
        <f t="shared" si="10"/>
        <v/>
      </c>
      <c r="J77" s="220">
        <f t="shared" si="11"/>
        <v>-1</v>
      </c>
      <c r="K77" s="220">
        <f t="shared" si="7"/>
        <v>-10</v>
      </c>
      <c r="L77" s="220"/>
      <c r="M77" s="222">
        <f t="shared" si="8"/>
        <v>0</v>
      </c>
      <c r="N77" s="203"/>
      <c r="O77" s="203"/>
      <c r="P77" s="203"/>
      <c r="Q77" s="203"/>
      <c r="R77" s="203"/>
    </row>
    <row r="78" spans="1:38" s="208" customFormat="1">
      <c r="A78" s="271">
        <f t="shared" si="9"/>
        <v>0</v>
      </c>
      <c r="B78" s="265" t="str">
        <f t="shared" si="6"/>
        <v/>
      </c>
      <c r="C78" s="266"/>
      <c r="D78" s="266"/>
      <c r="E78" s="266"/>
      <c r="F78" s="266"/>
      <c r="G78" s="260"/>
      <c r="H78" s="217">
        <v>73</v>
      </c>
      <c r="I78" s="218" t="str">
        <f t="shared" si="10"/>
        <v/>
      </c>
      <c r="J78" s="217">
        <f t="shared" si="11"/>
        <v>-1</v>
      </c>
      <c r="K78" s="217">
        <f t="shared" si="7"/>
        <v>-10</v>
      </c>
      <c r="L78" s="217"/>
      <c r="M78" s="219">
        <f t="shared" si="8"/>
        <v>0</v>
      </c>
      <c r="N78" s="203"/>
      <c r="O78" s="203"/>
      <c r="P78" s="203"/>
      <c r="Q78" s="203"/>
      <c r="R78" s="203"/>
    </row>
    <row r="79" spans="1:38" s="208" customFormat="1">
      <c r="A79" s="270">
        <f t="shared" si="9"/>
        <v>0</v>
      </c>
      <c r="B79" s="268" t="str">
        <f t="shared" si="6"/>
        <v/>
      </c>
      <c r="C79" s="269"/>
      <c r="D79" s="269"/>
      <c r="E79" s="269"/>
      <c r="F79" s="269"/>
      <c r="G79" s="260"/>
      <c r="H79" s="220">
        <v>74</v>
      </c>
      <c r="I79" s="221" t="str">
        <f t="shared" si="10"/>
        <v/>
      </c>
      <c r="J79" s="220">
        <f t="shared" si="11"/>
        <v>-1</v>
      </c>
      <c r="K79" s="220">
        <f t="shared" si="7"/>
        <v>-10</v>
      </c>
      <c r="L79" s="220"/>
      <c r="M79" s="222">
        <f t="shared" si="8"/>
        <v>0</v>
      </c>
      <c r="N79" s="203"/>
      <c r="O79" s="203"/>
      <c r="P79" s="203"/>
      <c r="Q79" s="203"/>
      <c r="R79" s="203"/>
    </row>
    <row r="80" spans="1:38" s="208" customFormat="1">
      <c r="A80" s="271">
        <f t="shared" si="9"/>
        <v>0</v>
      </c>
      <c r="B80" s="265" t="str">
        <f t="shared" si="6"/>
        <v/>
      </c>
      <c r="C80" s="266"/>
      <c r="D80" s="266"/>
      <c r="E80" s="266"/>
      <c r="F80" s="266"/>
      <c r="G80" s="260"/>
      <c r="H80" s="217">
        <v>75</v>
      </c>
      <c r="I80" s="218" t="str">
        <f t="shared" si="10"/>
        <v/>
      </c>
      <c r="J80" s="217">
        <f t="shared" si="11"/>
        <v>-1</v>
      </c>
      <c r="K80" s="217">
        <f t="shared" si="7"/>
        <v>-10</v>
      </c>
      <c r="L80" s="217"/>
      <c r="M80" s="219">
        <f t="shared" si="8"/>
        <v>0</v>
      </c>
      <c r="N80" s="203"/>
      <c r="O80" s="203"/>
      <c r="P80" s="203"/>
      <c r="Q80" s="203"/>
      <c r="R80" s="230"/>
      <c r="S80" s="231"/>
    </row>
    <row r="81" spans="1:19" s="208" customFormat="1">
      <c r="A81" s="270">
        <f t="shared" si="9"/>
        <v>0</v>
      </c>
      <c r="B81" s="268" t="str">
        <f t="shared" si="6"/>
        <v/>
      </c>
      <c r="C81" s="269"/>
      <c r="D81" s="269"/>
      <c r="E81" s="269"/>
      <c r="F81" s="269"/>
      <c r="G81" s="260"/>
      <c r="H81" s="220">
        <v>76</v>
      </c>
      <c r="I81" s="221" t="str">
        <f t="shared" si="10"/>
        <v/>
      </c>
      <c r="J81" s="220">
        <f t="shared" si="11"/>
        <v>-1</v>
      </c>
      <c r="K81" s="220">
        <f t="shared" si="7"/>
        <v>-10</v>
      </c>
      <c r="L81" s="220"/>
      <c r="M81" s="222">
        <f t="shared" si="8"/>
        <v>0</v>
      </c>
      <c r="N81" s="203"/>
      <c r="O81" s="203"/>
      <c r="P81" s="203"/>
      <c r="Q81" s="203"/>
      <c r="R81" s="203"/>
    </row>
    <row r="82" spans="1:19" s="208" customFormat="1">
      <c r="A82" s="271">
        <f t="shared" si="9"/>
        <v>0</v>
      </c>
      <c r="B82" s="265" t="str">
        <f t="shared" si="6"/>
        <v/>
      </c>
      <c r="C82" s="266"/>
      <c r="D82" s="266"/>
      <c r="E82" s="266"/>
      <c r="F82" s="266"/>
      <c r="G82" s="260"/>
      <c r="H82" s="217">
        <v>77</v>
      </c>
      <c r="I82" s="218" t="str">
        <f t="shared" si="10"/>
        <v/>
      </c>
      <c r="J82" s="217">
        <f t="shared" si="11"/>
        <v>-1</v>
      </c>
      <c r="K82" s="217">
        <f t="shared" si="7"/>
        <v>-10</v>
      </c>
      <c r="L82" s="217"/>
      <c r="M82" s="219">
        <f t="shared" si="8"/>
        <v>0</v>
      </c>
      <c r="N82" s="203"/>
      <c r="O82" s="203"/>
      <c r="P82" s="203"/>
      <c r="Q82" s="203"/>
      <c r="R82" s="203"/>
    </row>
    <row r="83" spans="1:19" s="208" customFormat="1">
      <c r="A83" s="270">
        <f t="shared" si="9"/>
        <v>0</v>
      </c>
      <c r="B83" s="268" t="str">
        <f t="shared" si="6"/>
        <v/>
      </c>
      <c r="C83" s="269"/>
      <c r="D83" s="269"/>
      <c r="E83" s="269"/>
      <c r="F83" s="269"/>
      <c r="G83" s="260"/>
      <c r="H83" s="220">
        <v>78</v>
      </c>
      <c r="I83" s="221" t="str">
        <f t="shared" si="10"/>
        <v/>
      </c>
      <c r="J83" s="220">
        <f t="shared" si="11"/>
        <v>-1</v>
      </c>
      <c r="K83" s="220">
        <f t="shared" si="7"/>
        <v>-10</v>
      </c>
      <c r="L83" s="220"/>
      <c r="M83" s="222">
        <f t="shared" si="8"/>
        <v>0</v>
      </c>
      <c r="N83" s="203"/>
      <c r="O83" s="203"/>
      <c r="P83" s="203"/>
      <c r="Q83" s="203"/>
      <c r="R83" s="203"/>
    </row>
    <row r="84" spans="1:19" s="208" customFormat="1">
      <c r="A84" s="271">
        <f t="shared" si="9"/>
        <v>0</v>
      </c>
      <c r="B84" s="265" t="str">
        <f t="shared" si="6"/>
        <v/>
      </c>
      <c r="C84" s="266"/>
      <c r="D84" s="266"/>
      <c r="E84" s="266"/>
      <c r="F84" s="266"/>
      <c r="G84" s="260"/>
      <c r="H84" s="217">
        <v>79</v>
      </c>
      <c r="I84" s="218" t="str">
        <f t="shared" si="10"/>
        <v/>
      </c>
      <c r="J84" s="217">
        <f t="shared" si="11"/>
        <v>-1</v>
      </c>
      <c r="K84" s="217">
        <f t="shared" si="7"/>
        <v>-10</v>
      </c>
      <c r="L84" s="217"/>
      <c r="M84" s="219">
        <f t="shared" si="8"/>
        <v>0</v>
      </c>
      <c r="N84" s="203"/>
      <c r="O84" s="203"/>
      <c r="P84" s="203"/>
      <c r="Q84" s="203"/>
      <c r="R84" s="230"/>
      <c r="S84" s="231"/>
    </row>
    <row r="85" spans="1:19" s="208" customFormat="1">
      <c r="A85" s="270">
        <f t="shared" si="9"/>
        <v>0</v>
      </c>
      <c r="B85" s="268" t="str">
        <f t="shared" si="6"/>
        <v/>
      </c>
      <c r="C85" s="269"/>
      <c r="D85" s="269"/>
      <c r="E85" s="269"/>
      <c r="F85" s="269"/>
      <c r="G85" s="260"/>
      <c r="H85" s="220">
        <v>80</v>
      </c>
      <c r="I85" s="221" t="str">
        <f t="shared" si="10"/>
        <v/>
      </c>
      <c r="J85" s="220">
        <f t="shared" si="11"/>
        <v>-1</v>
      </c>
      <c r="K85" s="220">
        <f t="shared" si="7"/>
        <v>-10</v>
      </c>
      <c r="L85" s="220"/>
      <c r="M85" s="222">
        <f t="shared" si="8"/>
        <v>0</v>
      </c>
      <c r="N85" s="203"/>
      <c r="O85" s="203"/>
      <c r="P85" s="203"/>
      <c r="Q85" s="203"/>
      <c r="R85" s="203"/>
    </row>
    <row r="86" spans="1:19" s="208" customFormat="1">
      <c r="A86" s="271">
        <f t="shared" si="9"/>
        <v>0</v>
      </c>
      <c r="B86" s="265" t="str">
        <f t="shared" si="6"/>
        <v/>
      </c>
      <c r="C86" s="266"/>
      <c r="D86" s="266"/>
      <c r="E86" s="266"/>
      <c r="F86" s="266"/>
      <c r="G86" s="260"/>
      <c r="H86" s="217">
        <v>81</v>
      </c>
      <c r="I86" s="218" t="str">
        <f t="shared" si="10"/>
        <v/>
      </c>
      <c r="J86" s="217">
        <f t="shared" si="11"/>
        <v>-1</v>
      </c>
      <c r="K86" s="217">
        <f t="shared" si="7"/>
        <v>-10</v>
      </c>
      <c r="L86" s="217"/>
      <c r="M86" s="219">
        <f t="shared" si="8"/>
        <v>0</v>
      </c>
      <c r="N86" s="203"/>
      <c r="O86" s="203"/>
      <c r="P86" s="203"/>
      <c r="Q86" s="203"/>
      <c r="R86" s="203"/>
    </row>
    <row r="87" spans="1:19" s="208" customFormat="1">
      <c r="A87" s="270">
        <f t="shared" si="9"/>
        <v>0</v>
      </c>
      <c r="B87" s="268" t="str">
        <f t="shared" si="6"/>
        <v/>
      </c>
      <c r="C87" s="269"/>
      <c r="D87" s="269"/>
      <c r="E87" s="269"/>
      <c r="F87" s="269"/>
      <c r="G87" s="260"/>
      <c r="H87" s="220">
        <v>82</v>
      </c>
      <c r="I87" s="221" t="str">
        <f t="shared" si="10"/>
        <v/>
      </c>
      <c r="J87" s="220">
        <f t="shared" si="11"/>
        <v>-1</v>
      </c>
      <c r="K87" s="220">
        <f t="shared" si="7"/>
        <v>-10</v>
      </c>
      <c r="L87" s="220"/>
      <c r="M87" s="222">
        <f t="shared" si="8"/>
        <v>0</v>
      </c>
      <c r="N87" s="203"/>
      <c r="O87" s="203"/>
      <c r="P87" s="203"/>
      <c r="Q87" s="203"/>
      <c r="R87" s="203"/>
    </row>
    <row r="88" spans="1:19" s="208" customFormat="1">
      <c r="A88" s="271">
        <f t="shared" si="9"/>
        <v>0</v>
      </c>
      <c r="B88" s="265" t="str">
        <f t="shared" si="6"/>
        <v/>
      </c>
      <c r="C88" s="266"/>
      <c r="D88" s="266"/>
      <c r="E88" s="266"/>
      <c r="F88" s="266"/>
      <c r="G88" s="260"/>
      <c r="H88" s="217">
        <v>83</v>
      </c>
      <c r="I88" s="218" t="str">
        <f t="shared" si="10"/>
        <v/>
      </c>
      <c r="J88" s="217">
        <f t="shared" si="11"/>
        <v>-1</v>
      </c>
      <c r="K88" s="217">
        <f t="shared" si="7"/>
        <v>-10</v>
      </c>
      <c r="L88" s="217"/>
      <c r="M88" s="219">
        <f t="shared" si="8"/>
        <v>0</v>
      </c>
      <c r="N88" s="203"/>
      <c r="O88" s="203"/>
      <c r="P88" s="203"/>
      <c r="Q88" s="203"/>
      <c r="R88" s="230"/>
      <c r="S88" s="231"/>
    </row>
    <row r="89" spans="1:19" s="208" customFormat="1">
      <c r="A89" s="270">
        <f t="shared" si="9"/>
        <v>0</v>
      </c>
      <c r="B89" s="268" t="str">
        <f t="shared" si="6"/>
        <v/>
      </c>
      <c r="C89" s="269"/>
      <c r="D89" s="269"/>
      <c r="E89" s="269"/>
      <c r="F89" s="269"/>
      <c r="G89" s="203"/>
      <c r="H89" s="220">
        <v>84</v>
      </c>
      <c r="I89" s="221" t="str">
        <f t="shared" si="10"/>
        <v/>
      </c>
      <c r="J89" s="220">
        <f t="shared" si="11"/>
        <v>-1</v>
      </c>
      <c r="K89" s="220">
        <f t="shared" si="7"/>
        <v>-10</v>
      </c>
      <c r="L89" s="220"/>
      <c r="M89" s="222">
        <f t="shared" si="8"/>
        <v>0</v>
      </c>
      <c r="N89" s="203"/>
      <c r="O89" s="203"/>
      <c r="P89" s="203"/>
      <c r="Q89" s="203"/>
      <c r="R89" s="203"/>
    </row>
    <row r="90" spans="1:19" s="208" customFormat="1">
      <c r="A90" s="271">
        <f t="shared" si="9"/>
        <v>0</v>
      </c>
      <c r="B90" s="265" t="str">
        <f t="shared" si="6"/>
        <v/>
      </c>
      <c r="C90" s="266"/>
      <c r="D90" s="266"/>
      <c r="E90" s="266"/>
      <c r="F90" s="266"/>
      <c r="G90" s="203"/>
      <c r="H90" s="217">
        <v>85</v>
      </c>
      <c r="I90" s="218" t="str">
        <f t="shared" si="10"/>
        <v/>
      </c>
      <c r="J90" s="217">
        <f t="shared" si="11"/>
        <v>-1</v>
      </c>
      <c r="K90" s="217">
        <f t="shared" si="7"/>
        <v>-10</v>
      </c>
      <c r="L90" s="217"/>
      <c r="M90" s="219">
        <f t="shared" si="8"/>
        <v>0</v>
      </c>
      <c r="N90" s="203"/>
      <c r="O90" s="203"/>
      <c r="P90" s="203"/>
      <c r="Q90" s="203"/>
      <c r="R90" s="203"/>
    </row>
    <row r="91" spans="1:19" s="208" customFormat="1">
      <c r="A91" s="270">
        <f t="shared" si="9"/>
        <v>0</v>
      </c>
      <c r="B91" s="268" t="str">
        <f t="shared" si="6"/>
        <v/>
      </c>
      <c r="C91" s="269"/>
      <c r="D91" s="269"/>
      <c r="E91" s="269"/>
      <c r="F91" s="269"/>
      <c r="G91" s="203"/>
      <c r="H91" s="220">
        <v>86</v>
      </c>
      <c r="I91" s="221" t="str">
        <f t="shared" si="10"/>
        <v/>
      </c>
      <c r="J91" s="220">
        <f t="shared" si="11"/>
        <v>-1</v>
      </c>
      <c r="K91" s="220">
        <f t="shared" si="7"/>
        <v>-10</v>
      </c>
      <c r="L91" s="220"/>
      <c r="M91" s="222">
        <f t="shared" si="8"/>
        <v>0</v>
      </c>
      <c r="N91" s="203"/>
      <c r="O91" s="203"/>
      <c r="P91" s="203"/>
      <c r="Q91" s="203"/>
      <c r="R91" s="203"/>
    </row>
    <row r="92" spans="1:19" s="208" customFormat="1">
      <c r="A92" s="271">
        <f t="shared" si="9"/>
        <v>0</v>
      </c>
      <c r="B92" s="265" t="str">
        <f t="shared" si="6"/>
        <v/>
      </c>
      <c r="C92" s="266"/>
      <c r="D92" s="266"/>
      <c r="E92" s="266"/>
      <c r="F92" s="266"/>
      <c r="G92" s="203"/>
      <c r="H92" s="217">
        <v>87</v>
      </c>
      <c r="I92" s="218" t="str">
        <f t="shared" si="10"/>
        <v/>
      </c>
      <c r="J92" s="217">
        <f t="shared" si="11"/>
        <v>-1</v>
      </c>
      <c r="K92" s="217">
        <f t="shared" si="7"/>
        <v>-10</v>
      </c>
      <c r="L92" s="217"/>
      <c r="M92" s="219">
        <f t="shared" si="8"/>
        <v>0</v>
      </c>
      <c r="N92" s="203"/>
      <c r="O92" s="203"/>
      <c r="P92" s="203"/>
      <c r="Q92" s="203"/>
      <c r="R92" s="230"/>
      <c r="S92" s="231"/>
    </row>
    <row r="93" spans="1:19" s="208" customFormat="1">
      <c r="A93" s="270">
        <f t="shared" si="9"/>
        <v>0</v>
      </c>
      <c r="B93" s="268" t="str">
        <f t="shared" si="6"/>
        <v/>
      </c>
      <c r="C93" s="269"/>
      <c r="D93" s="269"/>
      <c r="E93" s="269"/>
      <c r="F93" s="269"/>
      <c r="G93" s="203"/>
      <c r="H93" s="220">
        <v>88</v>
      </c>
      <c r="I93" s="221" t="str">
        <f t="shared" si="10"/>
        <v/>
      </c>
      <c r="J93" s="220">
        <f t="shared" si="11"/>
        <v>-1</v>
      </c>
      <c r="K93" s="220">
        <f t="shared" si="7"/>
        <v>-10</v>
      </c>
      <c r="L93" s="220"/>
      <c r="M93" s="222">
        <f t="shared" si="8"/>
        <v>0</v>
      </c>
      <c r="N93" s="203"/>
      <c r="O93" s="203"/>
      <c r="P93" s="203"/>
      <c r="Q93" s="203"/>
      <c r="R93" s="203"/>
    </row>
    <row r="94" spans="1:19" s="208" customFormat="1">
      <c r="A94" s="271">
        <f t="shared" si="9"/>
        <v>0</v>
      </c>
      <c r="B94" s="265" t="str">
        <f t="shared" si="6"/>
        <v/>
      </c>
      <c r="C94" s="266"/>
      <c r="D94" s="266"/>
      <c r="E94" s="266"/>
      <c r="F94" s="266"/>
      <c r="G94" s="203"/>
      <c r="H94" s="217">
        <v>89</v>
      </c>
      <c r="I94" s="218" t="str">
        <f t="shared" si="10"/>
        <v/>
      </c>
      <c r="J94" s="217">
        <f t="shared" si="11"/>
        <v>-1</v>
      </c>
      <c r="K94" s="217">
        <f t="shared" si="7"/>
        <v>-10</v>
      </c>
      <c r="L94" s="217"/>
      <c r="M94" s="219">
        <f t="shared" si="8"/>
        <v>0</v>
      </c>
      <c r="N94" s="203"/>
      <c r="O94" s="203"/>
      <c r="P94" s="203"/>
      <c r="Q94" s="203"/>
      <c r="R94" s="203"/>
    </row>
    <row r="95" spans="1:19" s="208" customFormat="1">
      <c r="A95" s="270">
        <f t="shared" si="9"/>
        <v>0</v>
      </c>
      <c r="B95" s="268" t="str">
        <f t="shared" si="6"/>
        <v/>
      </c>
      <c r="C95" s="269"/>
      <c r="D95" s="269"/>
      <c r="E95" s="269"/>
      <c r="F95" s="269"/>
      <c r="G95" s="203"/>
      <c r="H95" s="220">
        <v>90</v>
      </c>
      <c r="I95" s="221" t="str">
        <f t="shared" si="10"/>
        <v/>
      </c>
      <c r="J95" s="220">
        <f t="shared" si="11"/>
        <v>-1</v>
      </c>
      <c r="K95" s="220">
        <f t="shared" si="7"/>
        <v>-10</v>
      </c>
      <c r="L95" s="220"/>
      <c r="M95" s="222">
        <f t="shared" si="8"/>
        <v>0</v>
      </c>
      <c r="N95" s="203"/>
      <c r="O95" s="203"/>
      <c r="P95" s="203"/>
      <c r="Q95" s="203"/>
      <c r="R95" s="203"/>
    </row>
    <row r="96" spans="1:19" s="208" customFormat="1">
      <c r="A96" s="271">
        <f t="shared" si="9"/>
        <v>0</v>
      </c>
      <c r="B96" s="265" t="str">
        <f t="shared" si="6"/>
        <v/>
      </c>
      <c r="C96" s="266"/>
      <c r="D96" s="266"/>
      <c r="E96" s="266"/>
      <c r="F96" s="266"/>
      <c r="G96" s="203"/>
      <c r="H96" s="217">
        <v>91</v>
      </c>
      <c r="I96" s="218" t="str">
        <f t="shared" si="10"/>
        <v/>
      </c>
      <c r="J96" s="217">
        <f t="shared" si="11"/>
        <v>-1</v>
      </c>
      <c r="K96" s="217">
        <f t="shared" si="7"/>
        <v>-10</v>
      </c>
      <c r="L96" s="217"/>
      <c r="M96" s="219">
        <f t="shared" si="8"/>
        <v>0</v>
      </c>
      <c r="N96" s="203"/>
      <c r="O96" s="203"/>
      <c r="P96" s="203"/>
      <c r="Q96" s="203"/>
      <c r="R96" s="230"/>
      <c r="S96" s="231"/>
    </row>
    <row r="97" spans="1:38" s="208" customFormat="1">
      <c r="A97" s="270">
        <f t="shared" si="9"/>
        <v>0</v>
      </c>
      <c r="B97" s="268" t="str">
        <f t="shared" si="6"/>
        <v/>
      </c>
      <c r="C97" s="269"/>
      <c r="D97" s="269"/>
      <c r="E97" s="269"/>
      <c r="F97" s="269"/>
      <c r="G97" s="203"/>
      <c r="H97" s="220">
        <v>92</v>
      </c>
      <c r="I97" s="221" t="str">
        <f t="shared" si="10"/>
        <v/>
      </c>
      <c r="J97" s="220">
        <f t="shared" si="11"/>
        <v>-1</v>
      </c>
      <c r="K97" s="220">
        <f t="shared" si="7"/>
        <v>-10</v>
      </c>
      <c r="L97" s="220"/>
      <c r="M97" s="222">
        <f t="shared" si="8"/>
        <v>0</v>
      </c>
      <c r="N97" s="203"/>
      <c r="O97" s="203"/>
      <c r="P97" s="203"/>
      <c r="Q97" s="203"/>
      <c r="R97" s="203"/>
    </row>
    <row r="98" spans="1:38" s="208" customFormat="1">
      <c r="A98" s="271">
        <f t="shared" si="9"/>
        <v>0</v>
      </c>
      <c r="B98" s="265" t="str">
        <f t="shared" si="6"/>
        <v/>
      </c>
      <c r="C98" s="266"/>
      <c r="D98" s="266"/>
      <c r="E98" s="266"/>
      <c r="F98" s="266"/>
      <c r="G98" s="203"/>
      <c r="H98" s="217">
        <v>93</v>
      </c>
      <c r="I98" s="218" t="str">
        <f t="shared" si="10"/>
        <v/>
      </c>
      <c r="J98" s="217">
        <f t="shared" si="11"/>
        <v>-1</v>
      </c>
      <c r="K98" s="217">
        <f t="shared" si="7"/>
        <v>-10</v>
      </c>
      <c r="L98" s="217"/>
      <c r="M98" s="219">
        <f t="shared" si="8"/>
        <v>0</v>
      </c>
      <c r="N98" s="203"/>
      <c r="O98" s="203"/>
      <c r="P98" s="203"/>
      <c r="Q98" s="203"/>
      <c r="R98" s="203"/>
    </row>
    <row r="99" spans="1:38" s="208" customFormat="1">
      <c r="A99" s="270">
        <f t="shared" si="9"/>
        <v>0</v>
      </c>
      <c r="B99" s="268" t="str">
        <f t="shared" si="6"/>
        <v/>
      </c>
      <c r="C99" s="269"/>
      <c r="D99" s="269"/>
      <c r="E99" s="269"/>
      <c r="F99" s="269"/>
      <c r="G99" s="203"/>
      <c r="H99" s="220">
        <v>94</v>
      </c>
      <c r="I99" s="221" t="str">
        <f t="shared" si="10"/>
        <v/>
      </c>
      <c r="J99" s="220">
        <f t="shared" si="11"/>
        <v>-1</v>
      </c>
      <c r="K99" s="220">
        <f t="shared" si="7"/>
        <v>-10</v>
      </c>
      <c r="L99" s="220"/>
      <c r="M99" s="222">
        <f t="shared" si="8"/>
        <v>0</v>
      </c>
      <c r="N99" s="203"/>
      <c r="O99" s="203"/>
      <c r="P99" s="203"/>
      <c r="Q99" s="203"/>
      <c r="R99" s="203"/>
    </row>
    <row r="100" spans="1:38" s="208" customFormat="1">
      <c r="A100" s="271">
        <f t="shared" si="9"/>
        <v>0</v>
      </c>
      <c r="B100" s="265" t="str">
        <f t="shared" si="6"/>
        <v/>
      </c>
      <c r="C100" s="266"/>
      <c r="D100" s="266"/>
      <c r="E100" s="266"/>
      <c r="F100" s="266"/>
      <c r="G100" s="203"/>
      <c r="H100" s="217">
        <v>95</v>
      </c>
      <c r="I100" s="218" t="str">
        <f t="shared" si="10"/>
        <v/>
      </c>
      <c r="J100" s="217">
        <f t="shared" si="11"/>
        <v>-1</v>
      </c>
      <c r="K100" s="217">
        <f t="shared" si="7"/>
        <v>-10</v>
      </c>
      <c r="L100" s="217"/>
      <c r="M100" s="219">
        <f t="shared" si="8"/>
        <v>0</v>
      </c>
      <c r="N100" s="203"/>
      <c r="O100" s="203"/>
      <c r="P100" s="203"/>
      <c r="Q100" s="203"/>
      <c r="R100" s="203"/>
    </row>
    <row r="101" spans="1:38" s="208" customFormat="1">
      <c r="A101" s="270">
        <f t="shared" si="9"/>
        <v>0</v>
      </c>
      <c r="B101" s="268" t="str">
        <f t="shared" si="6"/>
        <v/>
      </c>
      <c r="C101" s="269"/>
      <c r="D101" s="269"/>
      <c r="E101" s="269"/>
      <c r="F101" s="269"/>
      <c r="G101" s="203"/>
      <c r="H101" s="220">
        <v>96</v>
      </c>
      <c r="I101" s="221" t="str">
        <f t="shared" si="10"/>
        <v/>
      </c>
      <c r="J101" s="220">
        <f t="shared" si="11"/>
        <v>-1</v>
      </c>
      <c r="K101" s="220">
        <f t="shared" si="7"/>
        <v>-10</v>
      </c>
      <c r="L101" s="220"/>
      <c r="M101" s="222">
        <f t="shared" si="8"/>
        <v>0</v>
      </c>
      <c r="N101" s="203"/>
      <c r="O101" s="203"/>
      <c r="P101" s="203"/>
      <c r="Q101" s="203"/>
      <c r="R101" s="203"/>
      <c r="S101" s="232"/>
    </row>
    <row r="102" spans="1:38" s="208" customFormat="1">
      <c r="A102" s="271">
        <f t="shared" si="9"/>
        <v>0</v>
      </c>
      <c r="B102" s="265" t="str">
        <f t="shared" si="6"/>
        <v/>
      </c>
      <c r="C102" s="266"/>
      <c r="D102" s="266"/>
      <c r="E102" s="266"/>
      <c r="F102" s="266"/>
      <c r="G102" s="203"/>
      <c r="H102" s="217">
        <v>97</v>
      </c>
      <c r="I102" s="218" t="str">
        <f t="shared" si="10"/>
        <v/>
      </c>
      <c r="J102" s="217">
        <f t="shared" si="11"/>
        <v>-1</v>
      </c>
      <c r="K102" s="217">
        <f t="shared" si="7"/>
        <v>-10</v>
      </c>
      <c r="L102" s="217"/>
      <c r="M102" s="219">
        <f t="shared" si="8"/>
        <v>0</v>
      </c>
      <c r="N102" s="203"/>
      <c r="O102" s="203"/>
      <c r="P102" s="203"/>
      <c r="Q102" s="203"/>
      <c r="R102" s="203"/>
    </row>
    <row r="103" spans="1:38" s="208" customFormat="1">
      <c r="A103" s="270">
        <f t="shared" si="9"/>
        <v>0</v>
      </c>
      <c r="B103" s="268" t="str">
        <f t="shared" si="6"/>
        <v/>
      </c>
      <c r="C103" s="269"/>
      <c r="D103" s="269"/>
      <c r="E103" s="269"/>
      <c r="F103" s="269"/>
      <c r="G103" s="203"/>
      <c r="H103" s="220">
        <v>98</v>
      </c>
      <c r="I103" s="221" t="str">
        <f t="shared" si="10"/>
        <v/>
      </c>
      <c r="J103" s="220">
        <f t="shared" si="11"/>
        <v>-1</v>
      </c>
      <c r="K103" s="220">
        <f t="shared" si="7"/>
        <v>-10</v>
      </c>
      <c r="L103" s="220"/>
      <c r="M103" s="222">
        <f t="shared" si="8"/>
        <v>0</v>
      </c>
      <c r="N103" s="203"/>
      <c r="O103" s="203"/>
      <c r="P103" s="203"/>
      <c r="Q103" s="203"/>
      <c r="R103" s="203"/>
    </row>
    <row r="104" spans="1:38" s="208" customFormat="1">
      <c r="A104" s="271">
        <f t="shared" si="9"/>
        <v>0</v>
      </c>
      <c r="B104" s="265" t="str">
        <f t="shared" si="6"/>
        <v/>
      </c>
      <c r="C104" s="266"/>
      <c r="D104" s="266"/>
      <c r="E104" s="266"/>
      <c r="F104" s="266"/>
      <c r="G104" s="203"/>
      <c r="H104" s="217">
        <v>99</v>
      </c>
      <c r="I104" s="218" t="str">
        <f t="shared" si="10"/>
        <v/>
      </c>
      <c r="J104" s="217">
        <f t="shared" si="11"/>
        <v>-1</v>
      </c>
      <c r="K104" s="217">
        <f t="shared" si="7"/>
        <v>-10</v>
      </c>
      <c r="L104" s="217"/>
      <c r="M104" s="219">
        <f t="shared" si="8"/>
        <v>0</v>
      </c>
      <c r="N104" s="203"/>
      <c r="O104" s="203"/>
      <c r="P104" s="203"/>
      <c r="Q104" s="203"/>
      <c r="R104" s="203"/>
    </row>
    <row r="105" spans="1:38" s="208" customFormat="1">
      <c r="A105" s="270">
        <f t="shared" si="9"/>
        <v>0</v>
      </c>
      <c r="B105" s="268" t="str">
        <f t="shared" si="6"/>
        <v/>
      </c>
      <c r="C105" s="269"/>
      <c r="D105" s="269"/>
      <c r="E105" s="269"/>
      <c r="F105" s="269"/>
      <c r="G105" s="203"/>
      <c r="H105" s="220">
        <v>100</v>
      </c>
      <c r="I105" s="221" t="str">
        <f t="shared" si="10"/>
        <v/>
      </c>
      <c r="J105" s="220">
        <f t="shared" si="11"/>
        <v>-1</v>
      </c>
      <c r="K105" s="220">
        <f t="shared" si="7"/>
        <v>-10</v>
      </c>
      <c r="L105" s="220"/>
      <c r="M105" s="222">
        <f t="shared" si="8"/>
        <v>0</v>
      </c>
      <c r="N105" s="203"/>
      <c r="O105" s="203"/>
      <c r="P105" s="203"/>
      <c r="Q105" s="203"/>
      <c r="R105" s="203"/>
    </row>
    <row r="106" spans="1:38" s="208" customFormat="1">
      <c r="A106" s="271">
        <f t="shared" si="9"/>
        <v>0</v>
      </c>
      <c r="B106" s="265" t="str">
        <f t="shared" si="6"/>
        <v/>
      </c>
      <c r="C106" s="266"/>
      <c r="D106" s="266"/>
      <c r="E106" s="266"/>
      <c r="F106" s="266"/>
      <c r="G106" s="203"/>
      <c r="H106" s="217">
        <v>101</v>
      </c>
      <c r="I106" s="218" t="str">
        <f t="shared" si="10"/>
        <v/>
      </c>
      <c r="J106" s="217">
        <f t="shared" si="11"/>
        <v>-1</v>
      </c>
      <c r="K106" s="217">
        <f t="shared" si="7"/>
        <v>-10</v>
      </c>
      <c r="L106" s="217"/>
      <c r="M106" s="219">
        <f t="shared" si="8"/>
        <v>0</v>
      </c>
      <c r="N106" s="203"/>
      <c r="O106" s="203"/>
      <c r="P106" s="203"/>
      <c r="Q106" s="203"/>
      <c r="R106" s="203"/>
    </row>
    <row r="107" spans="1:38" s="208" customFormat="1">
      <c r="A107" s="270">
        <f t="shared" si="9"/>
        <v>0</v>
      </c>
      <c r="B107" s="268" t="str">
        <f t="shared" si="6"/>
        <v/>
      </c>
      <c r="C107" s="269"/>
      <c r="D107" s="269"/>
      <c r="E107" s="269"/>
      <c r="F107" s="269"/>
      <c r="G107" s="203"/>
      <c r="H107" s="220">
        <v>102</v>
      </c>
      <c r="I107" s="221" t="str">
        <f t="shared" si="10"/>
        <v/>
      </c>
      <c r="J107" s="220">
        <f t="shared" si="11"/>
        <v>-1</v>
      </c>
      <c r="K107" s="220">
        <f t="shared" si="7"/>
        <v>-10</v>
      </c>
      <c r="L107" s="220"/>
      <c r="M107" s="222">
        <f t="shared" si="8"/>
        <v>0</v>
      </c>
      <c r="N107" s="203"/>
      <c r="O107" s="203"/>
      <c r="P107" s="203"/>
      <c r="Q107" s="203"/>
      <c r="R107" s="203"/>
    </row>
    <row r="108" spans="1:38" s="208" customFormat="1">
      <c r="A108" s="271">
        <f t="shared" si="9"/>
        <v>0</v>
      </c>
      <c r="B108" s="265" t="str">
        <f t="shared" si="6"/>
        <v/>
      </c>
      <c r="C108" s="266"/>
      <c r="D108" s="266"/>
      <c r="E108" s="266"/>
      <c r="F108" s="266"/>
      <c r="G108" s="203"/>
      <c r="H108" s="217">
        <v>103</v>
      </c>
      <c r="I108" s="218" t="str">
        <f t="shared" si="10"/>
        <v/>
      </c>
      <c r="J108" s="217">
        <f t="shared" si="11"/>
        <v>-1</v>
      </c>
      <c r="K108" s="217">
        <f t="shared" si="7"/>
        <v>-10</v>
      </c>
      <c r="L108" s="217"/>
      <c r="M108" s="219">
        <f t="shared" si="8"/>
        <v>0</v>
      </c>
      <c r="N108" s="203"/>
      <c r="O108" s="203"/>
      <c r="P108" s="203"/>
      <c r="Q108" s="203"/>
      <c r="R108" s="203"/>
    </row>
    <row r="109" spans="1:38" s="203" customFormat="1">
      <c r="A109" s="270">
        <f t="shared" si="9"/>
        <v>0</v>
      </c>
      <c r="B109" s="268" t="str">
        <f t="shared" si="6"/>
        <v/>
      </c>
      <c r="C109" s="269"/>
      <c r="D109" s="269"/>
      <c r="E109" s="269"/>
      <c r="F109" s="269"/>
      <c r="H109" s="220">
        <v>104</v>
      </c>
      <c r="I109" s="221" t="str">
        <f t="shared" si="10"/>
        <v/>
      </c>
      <c r="J109" s="220">
        <f t="shared" si="11"/>
        <v>-1</v>
      </c>
      <c r="K109" s="220">
        <f t="shared" si="7"/>
        <v>-10</v>
      </c>
      <c r="L109" s="220"/>
      <c r="M109" s="222">
        <f t="shared" si="8"/>
        <v>0</v>
      </c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  <c r="AD109" s="208"/>
      <c r="AE109" s="208"/>
      <c r="AF109" s="208"/>
      <c r="AG109" s="208"/>
      <c r="AH109" s="208"/>
      <c r="AI109" s="208"/>
      <c r="AJ109" s="208"/>
      <c r="AK109" s="208"/>
      <c r="AL109" s="208"/>
    </row>
    <row r="110" spans="1:38" s="203" customFormat="1">
      <c r="A110" s="271">
        <f t="shared" si="9"/>
        <v>0</v>
      </c>
      <c r="B110" s="265" t="str">
        <f t="shared" si="6"/>
        <v/>
      </c>
      <c r="C110" s="266"/>
      <c r="D110" s="266"/>
      <c r="E110" s="266"/>
      <c r="F110" s="266"/>
      <c r="H110" s="217">
        <v>105</v>
      </c>
      <c r="I110" s="218" t="str">
        <f t="shared" si="10"/>
        <v/>
      </c>
      <c r="J110" s="217">
        <f t="shared" si="11"/>
        <v>-1</v>
      </c>
      <c r="K110" s="217">
        <f t="shared" si="7"/>
        <v>-10</v>
      </c>
      <c r="L110" s="217"/>
      <c r="M110" s="219">
        <f t="shared" si="8"/>
        <v>0</v>
      </c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</row>
    <row r="111" spans="1:38" s="203" customFormat="1">
      <c r="A111" s="270">
        <f t="shared" si="9"/>
        <v>0</v>
      </c>
      <c r="B111" s="268" t="str">
        <f t="shared" si="6"/>
        <v/>
      </c>
      <c r="C111" s="269"/>
      <c r="D111" s="269"/>
      <c r="E111" s="269"/>
      <c r="F111" s="269"/>
      <c r="H111" s="220">
        <v>106</v>
      </c>
      <c r="I111" s="221" t="str">
        <f t="shared" si="10"/>
        <v/>
      </c>
      <c r="J111" s="220">
        <f t="shared" si="11"/>
        <v>-1</v>
      </c>
      <c r="K111" s="220">
        <f t="shared" si="7"/>
        <v>-10</v>
      </c>
      <c r="L111" s="220"/>
      <c r="M111" s="222">
        <f t="shared" si="8"/>
        <v>0</v>
      </c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</row>
    <row r="112" spans="1:38" s="203" customFormat="1">
      <c r="A112" s="271">
        <f t="shared" si="9"/>
        <v>0</v>
      </c>
      <c r="B112" s="265" t="str">
        <f t="shared" si="6"/>
        <v/>
      </c>
      <c r="C112" s="266"/>
      <c r="D112" s="266"/>
      <c r="E112" s="266"/>
      <c r="F112" s="266"/>
      <c r="H112" s="217">
        <v>107</v>
      </c>
      <c r="I112" s="218" t="str">
        <f t="shared" si="10"/>
        <v/>
      </c>
      <c r="J112" s="217">
        <f t="shared" si="11"/>
        <v>-1</v>
      </c>
      <c r="K112" s="217">
        <f t="shared" si="7"/>
        <v>-10</v>
      </c>
      <c r="L112" s="217"/>
      <c r="M112" s="219">
        <f t="shared" si="8"/>
        <v>0</v>
      </c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</row>
    <row r="113" spans="1:38" s="203" customFormat="1">
      <c r="A113" s="270">
        <f t="shared" si="9"/>
        <v>0</v>
      </c>
      <c r="B113" s="268" t="str">
        <f t="shared" si="6"/>
        <v/>
      </c>
      <c r="C113" s="269"/>
      <c r="D113" s="269"/>
      <c r="E113" s="269"/>
      <c r="F113" s="269"/>
      <c r="H113" s="220">
        <v>108</v>
      </c>
      <c r="I113" s="221" t="str">
        <f t="shared" si="10"/>
        <v/>
      </c>
      <c r="J113" s="220">
        <f t="shared" si="11"/>
        <v>-1</v>
      </c>
      <c r="K113" s="220">
        <f t="shared" si="7"/>
        <v>-10</v>
      </c>
      <c r="L113" s="220"/>
      <c r="M113" s="222">
        <f t="shared" si="8"/>
        <v>0</v>
      </c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</row>
    <row r="114" spans="1:38" s="203" customFormat="1">
      <c r="A114" s="271">
        <f t="shared" si="9"/>
        <v>0</v>
      </c>
      <c r="B114" s="265" t="str">
        <f t="shared" si="6"/>
        <v/>
      </c>
      <c r="C114" s="266"/>
      <c r="D114" s="266"/>
      <c r="E114" s="266"/>
      <c r="F114" s="266"/>
      <c r="H114" s="217">
        <v>109</v>
      </c>
      <c r="I114" s="218" t="str">
        <f t="shared" si="10"/>
        <v/>
      </c>
      <c r="J114" s="217">
        <f t="shared" si="11"/>
        <v>-1</v>
      </c>
      <c r="K114" s="217">
        <f t="shared" si="7"/>
        <v>-10</v>
      </c>
      <c r="L114" s="217"/>
      <c r="M114" s="219">
        <f t="shared" si="8"/>
        <v>0</v>
      </c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</row>
    <row r="115" spans="1:38" s="203" customFormat="1">
      <c r="A115" s="270">
        <f t="shared" si="9"/>
        <v>0</v>
      </c>
      <c r="B115" s="268" t="str">
        <f t="shared" si="6"/>
        <v/>
      </c>
      <c r="C115" s="269"/>
      <c r="D115" s="269"/>
      <c r="E115" s="269"/>
      <c r="F115" s="269"/>
      <c r="H115" s="220">
        <v>110</v>
      </c>
      <c r="I115" s="221" t="str">
        <f t="shared" si="10"/>
        <v/>
      </c>
      <c r="J115" s="220">
        <f t="shared" si="11"/>
        <v>-1</v>
      </c>
      <c r="K115" s="220">
        <f t="shared" si="7"/>
        <v>-10</v>
      </c>
      <c r="L115" s="220"/>
      <c r="M115" s="222">
        <f t="shared" si="8"/>
        <v>0</v>
      </c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</row>
    <row r="116" spans="1:38" s="203" customFormat="1">
      <c r="A116" s="271">
        <f t="shared" si="9"/>
        <v>0</v>
      </c>
      <c r="B116" s="265" t="str">
        <f t="shared" si="6"/>
        <v/>
      </c>
      <c r="C116" s="266"/>
      <c r="D116" s="266"/>
      <c r="E116" s="266"/>
      <c r="F116" s="266"/>
      <c r="H116" s="217">
        <v>111</v>
      </c>
      <c r="I116" s="218" t="str">
        <f t="shared" si="10"/>
        <v/>
      </c>
      <c r="J116" s="217">
        <f t="shared" si="11"/>
        <v>-1</v>
      </c>
      <c r="K116" s="217">
        <f t="shared" si="7"/>
        <v>-10</v>
      </c>
      <c r="L116" s="217"/>
      <c r="M116" s="219">
        <f t="shared" si="8"/>
        <v>0</v>
      </c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</row>
    <row r="117" spans="1:38" s="203" customFormat="1">
      <c r="A117" s="270">
        <f t="shared" si="9"/>
        <v>0</v>
      </c>
      <c r="B117" s="268" t="str">
        <f t="shared" si="6"/>
        <v/>
      </c>
      <c r="C117" s="269"/>
      <c r="D117" s="269"/>
      <c r="E117" s="269"/>
      <c r="F117" s="269"/>
      <c r="H117" s="220">
        <v>112</v>
      </c>
      <c r="I117" s="221" t="str">
        <f t="shared" si="10"/>
        <v/>
      </c>
      <c r="J117" s="220">
        <f t="shared" si="11"/>
        <v>-1</v>
      </c>
      <c r="K117" s="220">
        <f t="shared" si="7"/>
        <v>-10</v>
      </c>
      <c r="L117" s="220"/>
      <c r="M117" s="222">
        <f t="shared" si="8"/>
        <v>0</v>
      </c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08"/>
    </row>
    <row r="118" spans="1:38" s="203" customFormat="1">
      <c r="A118" s="271">
        <f t="shared" si="9"/>
        <v>0</v>
      </c>
      <c r="B118" s="265" t="str">
        <f t="shared" si="6"/>
        <v/>
      </c>
      <c r="C118" s="266"/>
      <c r="D118" s="266"/>
      <c r="E118" s="266"/>
      <c r="F118" s="266"/>
      <c r="H118" s="217">
        <v>113</v>
      </c>
      <c r="I118" s="218" t="str">
        <f t="shared" si="10"/>
        <v/>
      </c>
      <c r="J118" s="217">
        <f t="shared" si="11"/>
        <v>-1</v>
      </c>
      <c r="K118" s="217">
        <f t="shared" si="7"/>
        <v>-10</v>
      </c>
      <c r="L118" s="217"/>
      <c r="M118" s="219">
        <f t="shared" si="8"/>
        <v>0</v>
      </c>
      <c r="S118" s="208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</row>
    <row r="119" spans="1:38" s="203" customFormat="1">
      <c r="A119" s="270">
        <f t="shared" si="9"/>
        <v>0</v>
      </c>
      <c r="B119" s="268" t="str">
        <f t="shared" si="6"/>
        <v/>
      </c>
      <c r="C119" s="269"/>
      <c r="D119" s="269"/>
      <c r="E119" s="269"/>
      <c r="F119" s="269"/>
      <c r="H119" s="220">
        <v>114</v>
      </c>
      <c r="I119" s="221" t="str">
        <f t="shared" si="10"/>
        <v/>
      </c>
      <c r="J119" s="220">
        <f t="shared" si="11"/>
        <v>-1</v>
      </c>
      <c r="K119" s="220">
        <f t="shared" si="7"/>
        <v>-10</v>
      </c>
      <c r="L119" s="220"/>
      <c r="M119" s="222">
        <f t="shared" si="8"/>
        <v>0</v>
      </c>
      <c r="S119" s="208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08"/>
    </row>
    <row r="120" spans="1:38" s="203" customFormat="1">
      <c r="A120" s="271">
        <f t="shared" si="9"/>
        <v>0</v>
      </c>
      <c r="B120" s="265" t="str">
        <f t="shared" si="6"/>
        <v/>
      </c>
      <c r="C120" s="266"/>
      <c r="D120" s="266"/>
      <c r="E120" s="266"/>
      <c r="F120" s="266"/>
      <c r="H120" s="217">
        <v>115</v>
      </c>
      <c r="I120" s="218" t="str">
        <f t="shared" si="10"/>
        <v/>
      </c>
      <c r="J120" s="217">
        <f t="shared" si="11"/>
        <v>-1</v>
      </c>
      <c r="K120" s="217">
        <f t="shared" si="7"/>
        <v>-10</v>
      </c>
      <c r="L120" s="217"/>
      <c r="M120" s="219">
        <f t="shared" si="8"/>
        <v>0</v>
      </c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</row>
    <row r="121" spans="1:38" s="203" customFormat="1">
      <c r="A121" s="270">
        <f t="shared" si="9"/>
        <v>0</v>
      </c>
      <c r="B121" s="268" t="str">
        <f t="shared" si="6"/>
        <v/>
      </c>
      <c r="C121" s="269"/>
      <c r="D121" s="269"/>
      <c r="E121" s="269"/>
      <c r="F121" s="269"/>
      <c r="H121" s="220">
        <v>116</v>
      </c>
      <c r="I121" s="221" t="str">
        <f t="shared" si="10"/>
        <v/>
      </c>
      <c r="J121" s="220">
        <f t="shared" si="11"/>
        <v>-1</v>
      </c>
      <c r="K121" s="220">
        <f t="shared" si="7"/>
        <v>-10</v>
      </c>
      <c r="L121" s="220"/>
      <c r="M121" s="222">
        <f t="shared" si="8"/>
        <v>0</v>
      </c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</row>
    <row r="122" spans="1:38" s="203" customFormat="1">
      <c r="A122" s="271">
        <f t="shared" si="9"/>
        <v>0</v>
      </c>
      <c r="B122" s="265" t="str">
        <f t="shared" si="6"/>
        <v/>
      </c>
      <c r="C122" s="266"/>
      <c r="D122" s="266"/>
      <c r="E122" s="266"/>
      <c r="F122" s="266"/>
      <c r="H122" s="217">
        <v>117</v>
      </c>
      <c r="I122" s="218" t="str">
        <f t="shared" si="10"/>
        <v/>
      </c>
      <c r="J122" s="217">
        <f t="shared" si="11"/>
        <v>-1</v>
      </c>
      <c r="K122" s="217">
        <f t="shared" si="7"/>
        <v>-10</v>
      </c>
      <c r="L122" s="217"/>
      <c r="M122" s="219">
        <f t="shared" si="8"/>
        <v>0</v>
      </c>
      <c r="S122" s="208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08"/>
    </row>
    <row r="123" spans="1:38" s="203" customFormat="1">
      <c r="A123" s="270">
        <f t="shared" si="9"/>
        <v>0</v>
      </c>
      <c r="B123" s="268" t="str">
        <f t="shared" si="6"/>
        <v/>
      </c>
      <c r="C123" s="269"/>
      <c r="D123" s="269"/>
      <c r="E123" s="269"/>
      <c r="F123" s="269"/>
      <c r="H123" s="220">
        <v>118</v>
      </c>
      <c r="I123" s="221" t="str">
        <f t="shared" si="10"/>
        <v/>
      </c>
      <c r="J123" s="220">
        <f t="shared" si="11"/>
        <v>-1</v>
      </c>
      <c r="K123" s="220">
        <f t="shared" si="7"/>
        <v>-10</v>
      </c>
      <c r="L123" s="220"/>
      <c r="M123" s="222">
        <f t="shared" si="8"/>
        <v>0</v>
      </c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</row>
    <row r="124" spans="1:38" s="203" customFormat="1">
      <c r="A124" s="271">
        <f t="shared" si="9"/>
        <v>0</v>
      </c>
      <c r="B124" s="265" t="str">
        <f t="shared" si="6"/>
        <v/>
      </c>
      <c r="C124" s="266"/>
      <c r="D124" s="266"/>
      <c r="E124" s="266"/>
      <c r="F124" s="266"/>
      <c r="H124" s="217">
        <v>119</v>
      </c>
      <c r="I124" s="218" t="str">
        <f t="shared" si="10"/>
        <v/>
      </c>
      <c r="J124" s="217">
        <f t="shared" si="11"/>
        <v>-1</v>
      </c>
      <c r="K124" s="217">
        <f t="shared" si="7"/>
        <v>-10</v>
      </c>
      <c r="L124" s="217"/>
      <c r="M124" s="219">
        <f t="shared" si="8"/>
        <v>0</v>
      </c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</row>
    <row r="125" spans="1:38" s="203" customFormat="1">
      <c r="A125" s="270">
        <f t="shared" si="9"/>
        <v>0</v>
      </c>
      <c r="B125" s="268" t="str">
        <f t="shared" si="6"/>
        <v/>
      </c>
      <c r="C125" s="269"/>
      <c r="D125" s="269"/>
      <c r="E125" s="269"/>
      <c r="F125" s="269"/>
      <c r="H125" s="220">
        <v>120</v>
      </c>
      <c r="I125" s="221" t="str">
        <f t="shared" si="10"/>
        <v/>
      </c>
      <c r="J125" s="220">
        <f t="shared" si="11"/>
        <v>-1</v>
      </c>
      <c r="K125" s="220">
        <f t="shared" si="7"/>
        <v>-10</v>
      </c>
      <c r="L125" s="220"/>
      <c r="M125" s="222">
        <f t="shared" si="8"/>
        <v>0</v>
      </c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8"/>
      <c r="AD125" s="208"/>
      <c r="AE125" s="208"/>
      <c r="AF125" s="208"/>
      <c r="AG125" s="208"/>
      <c r="AH125" s="208"/>
      <c r="AI125" s="208"/>
      <c r="AJ125" s="208"/>
      <c r="AK125" s="208"/>
      <c r="AL125" s="208"/>
    </row>
    <row r="126" spans="1:38" s="208" customFormat="1" ht="14.45" customHeight="1">
      <c r="A126" s="264">
        <f t="shared" si="9"/>
        <v>0</v>
      </c>
      <c r="B126" s="265" t="str">
        <f t="shared" si="6"/>
        <v/>
      </c>
      <c r="C126" s="266"/>
      <c r="D126" s="266"/>
      <c r="E126" s="266"/>
      <c r="F126" s="266"/>
      <c r="G126" s="260"/>
      <c r="H126" s="217">
        <v>121</v>
      </c>
      <c r="I126" s="218" t="str">
        <f t="shared" si="10"/>
        <v/>
      </c>
      <c r="J126" s="217">
        <f t="shared" si="11"/>
        <v>-1</v>
      </c>
      <c r="K126" s="217">
        <f t="shared" si="7"/>
        <v>-10</v>
      </c>
      <c r="L126" s="219"/>
      <c r="M126" s="219">
        <f t="shared" si="8"/>
        <v>0</v>
      </c>
      <c r="N126" s="203"/>
      <c r="O126" s="203"/>
      <c r="P126" s="203"/>
      <c r="Q126" s="203"/>
      <c r="R126" s="203"/>
    </row>
    <row r="127" spans="1:38" s="208" customFormat="1" ht="14.45" customHeight="1">
      <c r="A127" s="267">
        <f t="shared" si="9"/>
        <v>0</v>
      </c>
      <c r="B127" s="268" t="str">
        <f t="shared" si="6"/>
        <v/>
      </c>
      <c r="C127" s="269"/>
      <c r="D127" s="269"/>
      <c r="E127" s="269"/>
      <c r="F127" s="269"/>
      <c r="G127" s="260"/>
      <c r="H127" s="220">
        <v>122</v>
      </c>
      <c r="I127" s="221" t="str">
        <f t="shared" si="10"/>
        <v/>
      </c>
      <c r="J127" s="220">
        <f t="shared" si="11"/>
        <v>-1</v>
      </c>
      <c r="K127" s="220">
        <f t="shared" si="7"/>
        <v>-10</v>
      </c>
      <c r="L127" s="222"/>
      <c r="M127" s="222">
        <f t="shared" si="8"/>
        <v>0</v>
      </c>
      <c r="N127" s="203"/>
      <c r="O127" s="203"/>
      <c r="P127" s="203"/>
      <c r="Q127" s="203"/>
      <c r="R127" s="203"/>
    </row>
    <row r="128" spans="1:38" s="208" customFormat="1" ht="14.45" customHeight="1">
      <c r="A128" s="264">
        <f t="shared" si="9"/>
        <v>0</v>
      </c>
      <c r="B128" s="265" t="str">
        <f t="shared" si="6"/>
        <v/>
      </c>
      <c r="C128" s="266"/>
      <c r="D128" s="266"/>
      <c r="E128" s="266"/>
      <c r="F128" s="266"/>
      <c r="G128" s="260"/>
      <c r="H128" s="217">
        <v>123</v>
      </c>
      <c r="I128" s="218" t="str">
        <f t="shared" si="10"/>
        <v/>
      </c>
      <c r="J128" s="217">
        <f t="shared" si="11"/>
        <v>-1</v>
      </c>
      <c r="K128" s="217">
        <f t="shared" si="7"/>
        <v>-10</v>
      </c>
      <c r="L128" s="219"/>
      <c r="M128" s="219">
        <f t="shared" si="8"/>
        <v>0</v>
      </c>
      <c r="N128" s="203"/>
      <c r="O128" s="203"/>
      <c r="P128" s="203"/>
      <c r="Q128" s="203"/>
      <c r="R128" s="203"/>
    </row>
    <row r="129" spans="1:34" s="208" customFormat="1" ht="14.45" customHeight="1">
      <c r="A129" s="267">
        <f t="shared" si="9"/>
        <v>0</v>
      </c>
      <c r="B129" s="268" t="str">
        <f t="shared" si="6"/>
        <v/>
      </c>
      <c r="C129" s="269"/>
      <c r="D129" s="269"/>
      <c r="E129" s="269"/>
      <c r="F129" s="269"/>
      <c r="G129" s="260"/>
      <c r="H129" s="220">
        <v>124</v>
      </c>
      <c r="I129" s="221" t="str">
        <f t="shared" si="10"/>
        <v/>
      </c>
      <c r="J129" s="220">
        <f t="shared" si="11"/>
        <v>-1</v>
      </c>
      <c r="K129" s="220">
        <f t="shared" si="7"/>
        <v>-10</v>
      </c>
      <c r="L129" s="222"/>
      <c r="M129" s="222">
        <f t="shared" si="8"/>
        <v>0</v>
      </c>
      <c r="N129" s="203"/>
      <c r="O129" s="203"/>
      <c r="P129" s="203"/>
      <c r="Q129" s="203"/>
      <c r="R129" s="203"/>
      <c r="V129" s="223"/>
      <c r="Z129" s="224"/>
      <c r="AA129" s="224"/>
      <c r="AG129" s="225"/>
    </row>
    <row r="130" spans="1:34" s="208" customFormat="1" ht="14.45" customHeight="1">
      <c r="A130" s="264">
        <f t="shared" si="9"/>
        <v>0</v>
      </c>
      <c r="B130" s="265" t="str">
        <f t="shared" si="6"/>
        <v/>
      </c>
      <c r="C130" s="266"/>
      <c r="D130" s="266"/>
      <c r="E130" s="266"/>
      <c r="F130" s="266"/>
      <c r="G130" s="260"/>
      <c r="H130" s="217">
        <v>125</v>
      </c>
      <c r="I130" s="218" t="str">
        <f t="shared" si="10"/>
        <v/>
      </c>
      <c r="J130" s="217">
        <f t="shared" si="11"/>
        <v>-1</v>
      </c>
      <c r="K130" s="217">
        <f t="shared" si="7"/>
        <v>-10</v>
      </c>
      <c r="L130" s="217"/>
      <c r="M130" s="219">
        <f t="shared" si="8"/>
        <v>0</v>
      </c>
      <c r="N130" s="203"/>
      <c r="O130" s="203"/>
      <c r="P130" s="203"/>
      <c r="Q130" s="203"/>
      <c r="R130" s="203"/>
      <c r="V130" s="223"/>
      <c r="Z130" s="224"/>
      <c r="AA130" s="224"/>
      <c r="AG130" s="225"/>
    </row>
    <row r="131" spans="1:34" s="208" customFormat="1" ht="14.45" customHeight="1">
      <c r="A131" s="267">
        <f t="shared" si="9"/>
        <v>0</v>
      </c>
      <c r="B131" s="268" t="str">
        <f t="shared" si="6"/>
        <v/>
      </c>
      <c r="C131" s="269"/>
      <c r="D131" s="269"/>
      <c r="E131" s="269"/>
      <c r="F131" s="269"/>
      <c r="G131" s="260"/>
      <c r="H131" s="220">
        <v>126</v>
      </c>
      <c r="I131" s="221" t="str">
        <f t="shared" si="10"/>
        <v/>
      </c>
      <c r="J131" s="220">
        <f t="shared" si="11"/>
        <v>-1</v>
      </c>
      <c r="K131" s="220">
        <f t="shared" si="7"/>
        <v>-10</v>
      </c>
      <c r="L131" s="220"/>
      <c r="M131" s="222">
        <f t="shared" si="8"/>
        <v>0</v>
      </c>
      <c r="N131" s="203"/>
      <c r="O131" s="203"/>
      <c r="P131" s="203"/>
      <c r="Q131" s="203"/>
      <c r="R131" s="203"/>
      <c r="V131" s="226"/>
      <c r="Z131" s="224"/>
      <c r="AA131" s="224"/>
      <c r="AG131" s="225"/>
    </row>
    <row r="132" spans="1:34" s="208" customFormat="1" ht="14.45" customHeight="1">
      <c r="A132" s="264">
        <f t="shared" si="9"/>
        <v>0</v>
      </c>
      <c r="B132" s="265" t="str">
        <f t="shared" si="6"/>
        <v/>
      </c>
      <c r="C132" s="266"/>
      <c r="D132" s="266"/>
      <c r="E132" s="266"/>
      <c r="F132" s="266"/>
      <c r="G132" s="260"/>
      <c r="H132" s="217">
        <v>127</v>
      </c>
      <c r="I132" s="218" t="str">
        <f t="shared" si="10"/>
        <v/>
      </c>
      <c r="J132" s="217">
        <f t="shared" si="11"/>
        <v>-1</v>
      </c>
      <c r="K132" s="217">
        <f t="shared" si="7"/>
        <v>-10</v>
      </c>
      <c r="L132" s="217"/>
      <c r="M132" s="219">
        <f t="shared" si="8"/>
        <v>0</v>
      </c>
      <c r="N132" s="203"/>
      <c r="O132" s="203"/>
      <c r="P132" s="203"/>
      <c r="Q132" s="203"/>
      <c r="R132" s="203"/>
      <c r="Z132" s="224"/>
      <c r="AA132" s="224"/>
      <c r="AG132" s="225"/>
    </row>
    <row r="133" spans="1:34" s="208" customFormat="1" ht="14.45" customHeight="1">
      <c r="A133" s="270">
        <f t="shared" si="9"/>
        <v>0</v>
      </c>
      <c r="B133" s="268" t="str">
        <f t="shared" si="6"/>
        <v/>
      </c>
      <c r="C133" s="269"/>
      <c r="D133" s="269"/>
      <c r="E133" s="269"/>
      <c r="F133" s="269"/>
      <c r="G133" s="260"/>
      <c r="H133" s="220">
        <v>128</v>
      </c>
      <c r="I133" s="221" t="str">
        <f t="shared" si="10"/>
        <v/>
      </c>
      <c r="J133" s="220">
        <f t="shared" si="11"/>
        <v>-1</v>
      </c>
      <c r="K133" s="220">
        <f t="shared" si="7"/>
        <v>-10</v>
      </c>
      <c r="L133" s="220"/>
      <c r="M133" s="222">
        <f t="shared" si="8"/>
        <v>0</v>
      </c>
      <c r="N133" s="203"/>
      <c r="O133" s="203"/>
      <c r="P133" s="203"/>
      <c r="Q133" s="203"/>
      <c r="R133" s="203"/>
      <c r="X133" s="223"/>
      <c r="AG133" s="225"/>
    </row>
    <row r="134" spans="1:34" s="208" customFormat="1" ht="15.75" customHeight="1">
      <c r="A134" s="271">
        <f t="shared" si="9"/>
        <v>0</v>
      </c>
      <c r="B134" s="265" t="str">
        <f t="shared" ref="B134:B197" si="12">IF(H134&gt;$H$2,"",(ROW()-5))</f>
        <v/>
      </c>
      <c r="C134" s="266"/>
      <c r="D134" s="266"/>
      <c r="E134" s="266"/>
      <c r="F134" s="266"/>
      <c r="G134" s="260"/>
      <c r="H134" s="217">
        <v>129</v>
      </c>
      <c r="I134" s="218" t="str">
        <f t="shared" si="10"/>
        <v/>
      </c>
      <c r="J134" s="217">
        <f t="shared" si="11"/>
        <v>-2</v>
      </c>
      <c r="K134" s="217">
        <f t="shared" ref="K134:K197" si="13">J134*$J$2</f>
        <v>-20</v>
      </c>
      <c r="L134" s="217"/>
      <c r="M134" s="219">
        <f t="shared" ref="M134:M197" si="14">IF(I134&lt;&gt;"",K134+I134+L134,0)</f>
        <v>0</v>
      </c>
      <c r="N134" s="203"/>
      <c r="O134" s="203"/>
      <c r="P134" s="203"/>
      <c r="Q134" s="203"/>
      <c r="R134" s="203"/>
      <c r="X134" s="227"/>
      <c r="Z134" s="224"/>
      <c r="AA134" s="224"/>
      <c r="AG134" s="225"/>
    </row>
    <row r="135" spans="1:34" s="208" customFormat="1">
      <c r="A135" s="270">
        <f t="shared" ref="A135:A198" si="15">M135</f>
        <v>0</v>
      </c>
      <c r="B135" s="268" t="str">
        <f t="shared" si="12"/>
        <v/>
      </c>
      <c r="C135" s="269"/>
      <c r="D135" s="269"/>
      <c r="E135" s="269"/>
      <c r="F135" s="269"/>
      <c r="G135" s="260"/>
      <c r="H135" s="220">
        <v>130</v>
      </c>
      <c r="I135" s="221" t="str">
        <f t="shared" ref="I135:I198" si="16">IF(H135&lt;$H$2+1,($I$2-($I$2-1)*(LOG(H135)/LOG($H$2))),"")</f>
        <v/>
      </c>
      <c r="J135" s="220">
        <f t="shared" ref="J135:J198" si="17">INT(LOG($H$2,2))-ROUNDUP(LOG(H135,2),0)+IF(OR($H$2=1,$H$2=2,$H$2=4,$H$2=8,$H$2=16,$H$2=32,$H$2=64,$H$2=128,$H$2=256),0,1)</f>
        <v>-2</v>
      </c>
      <c r="K135" s="220">
        <f t="shared" si="13"/>
        <v>-20</v>
      </c>
      <c r="L135" s="220"/>
      <c r="M135" s="222">
        <f t="shared" si="14"/>
        <v>0</v>
      </c>
      <c r="N135" s="203"/>
      <c r="O135" s="203"/>
      <c r="P135" s="203"/>
      <c r="Q135" s="203"/>
      <c r="R135" s="203"/>
      <c r="X135" s="223"/>
      <c r="Z135" s="224"/>
      <c r="AA135" s="224"/>
    </row>
    <row r="136" spans="1:34" s="208" customFormat="1">
      <c r="A136" s="271">
        <f t="shared" si="15"/>
        <v>0</v>
      </c>
      <c r="B136" s="265" t="str">
        <f t="shared" si="12"/>
        <v/>
      </c>
      <c r="C136" s="266"/>
      <c r="D136" s="266"/>
      <c r="E136" s="266"/>
      <c r="F136" s="266"/>
      <c r="G136" s="260"/>
      <c r="H136" s="217">
        <v>131</v>
      </c>
      <c r="I136" s="218" t="str">
        <f t="shared" si="16"/>
        <v/>
      </c>
      <c r="J136" s="217">
        <f t="shared" si="17"/>
        <v>-2</v>
      </c>
      <c r="K136" s="217">
        <f t="shared" si="13"/>
        <v>-20</v>
      </c>
      <c r="L136" s="217"/>
      <c r="M136" s="219">
        <f t="shared" si="14"/>
        <v>0</v>
      </c>
      <c r="N136" s="203"/>
      <c r="O136" s="203"/>
      <c r="P136" s="203"/>
      <c r="Q136" s="203"/>
      <c r="R136" s="228"/>
      <c r="Z136" s="224"/>
      <c r="AA136" s="224"/>
      <c r="AH136" s="229"/>
    </row>
    <row r="137" spans="1:34" s="208" customFormat="1">
      <c r="A137" s="270">
        <f t="shared" si="15"/>
        <v>0</v>
      </c>
      <c r="B137" s="268" t="str">
        <f t="shared" si="12"/>
        <v/>
      </c>
      <c r="C137" s="269"/>
      <c r="D137" s="269"/>
      <c r="E137" s="269"/>
      <c r="F137" s="269"/>
      <c r="G137" s="260"/>
      <c r="H137" s="220">
        <v>132</v>
      </c>
      <c r="I137" s="221" t="str">
        <f t="shared" si="16"/>
        <v/>
      </c>
      <c r="J137" s="220">
        <f t="shared" si="17"/>
        <v>-2</v>
      </c>
      <c r="K137" s="220">
        <f t="shared" si="13"/>
        <v>-20</v>
      </c>
      <c r="L137" s="220"/>
      <c r="M137" s="222">
        <f t="shared" si="14"/>
        <v>0</v>
      </c>
      <c r="N137" s="203"/>
      <c r="O137" s="203"/>
      <c r="P137" s="203"/>
      <c r="Q137" s="203"/>
      <c r="R137" s="203"/>
    </row>
    <row r="138" spans="1:34" s="208" customFormat="1">
      <c r="A138" s="271">
        <f t="shared" si="15"/>
        <v>0</v>
      </c>
      <c r="B138" s="265" t="str">
        <f t="shared" si="12"/>
        <v/>
      </c>
      <c r="C138" s="266"/>
      <c r="D138" s="266"/>
      <c r="E138" s="266"/>
      <c r="F138" s="266"/>
      <c r="G138" s="260"/>
      <c r="H138" s="217">
        <v>133</v>
      </c>
      <c r="I138" s="218" t="str">
        <f t="shared" si="16"/>
        <v/>
      </c>
      <c r="J138" s="217">
        <f t="shared" si="17"/>
        <v>-2</v>
      </c>
      <c r="K138" s="217">
        <f t="shared" si="13"/>
        <v>-20</v>
      </c>
      <c r="L138" s="217"/>
      <c r="M138" s="219">
        <f t="shared" si="14"/>
        <v>0</v>
      </c>
      <c r="N138" s="203"/>
      <c r="O138" s="203"/>
      <c r="P138" s="203"/>
      <c r="Q138" s="203"/>
      <c r="R138" s="203"/>
    </row>
    <row r="139" spans="1:34" s="208" customFormat="1">
      <c r="A139" s="270">
        <f t="shared" si="15"/>
        <v>0</v>
      </c>
      <c r="B139" s="268" t="str">
        <f t="shared" si="12"/>
        <v/>
      </c>
      <c r="C139" s="269"/>
      <c r="D139" s="269"/>
      <c r="E139" s="269"/>
      <c r="F139" s="269"/>
      <c r="G139" s="260"/>
      <c r="H139" s="220">
        <v>134</v>
      </c>
      <c r="I139" s="221" t="str">
        <f t="shared" si="16"/>
        <v/>
      </c>
      <c r="J139" s="220">
        <f t="shared" si="17"/>
        <v>-2</v>
      </c>
      <c r="K139" s="220">
        <f t="shared" si="13"/>
        <v>-20</v>
      </c>
      <c r="L139" s="220"/>
      <c r="M139" s="222">
        <f t="shared" si="14"/>
        <v>0</v>
      </c>
      <c r="N139" s="203"/>
      <c r="O139" s="203"/>
      <c r="P139" s="203"/>
      <c r="Q139" s="203"/>
      <c r="R139" s="203"/>
    </row>
    <row r="140" spans="1:34" s="208" customFormat="1">
      <c r="A140" s="271">
        <f t="shared" si="15"/>
        <v>0</v>
      </c>
      <c r="B140" s="265" t="str">
        <f t="shared" si="12"/>
        <v/>
      </c>
      <c r="C140" s="266"/>
      <c r="D140" s="266"/>
      <c r="E140" s="266"/>
      <c r="F140" s="266"/>
      <c r="G140" s="260"/>
      <c r="H140" s="217">
        <v>135</v>
      </c>
      <c r="I140" s="218" t="str">
        <f t="shared" si="16"/>
        <v/>
      </c>
      <c r="J140" s="217">
        <f t="shared" si="17"/>
        <v>-2</v>
      </c>
      <c r="K140" s="217">
        <f t="shared" si="13"/>
        <v>-20</v>
      </c>
      <c r="L140" s="217"/>
      <c r="M140" s="219">
        <f t="shared" si="14"/>
        <v>0</v>
      </c>
      <c r="N140" s="203"/>
      <c r="O140" s="203"/>
      <c r="P140" s="203"/>
      <c r="Q140" s="203"/>
      <c r="R140" s="230"/>
      <c r="S140" s="231"/>
    </row>
    <row r="141" spans="1:34" s="208" customFormat="1">
      <c r="A141" s="270">
        <f t="shared" si="15"/>
        <v>0</v>
      </c>
      <c r="B141" s="268" t="str">
        <f t="shared" si="12"/>
        <v/>
      </c>
      <c r="C141" s="269"/>
      <c r="D141" s="269"/>
      <c r="E141" s="269"/>
      <c r="F141" s="269"/>
      <c r="G141" s="260"/>
      <c r="H141" s="220">
        <v>136</v>
      </c>
      <c r="I141" s="221" t="str">
        <f t="shared" si="16"/>
        <v/>
      </c>
      <c r="J141" s="220">
        <f t="shared" si="17"/>
        <v>-2</v>
      </c>
      <c r="K141" s="220">
        <f t="shared" si="13"/>
        <v>-20</v>
      </c>
      <c r="L141" s="220"/>
      <c r="M141" s="222">
        <f t="shared" si="14"/>
        <v>0</v>
      </c>
      <c r="N141" s="203"/>
      <c r="O141" s="203"/>
      <c r="P141" s="203"/>
      <c r="Q141" s="203"/>
      <c r="R141" s="203"/>
    </row>
    <row r="142" spans="1:34" s="208" customFormat="1">
      <c r="A142" s="271">
        <f t="shared" si="15"/>
        <v>0</v>
      </c>
      <c r="B142" s="265" t="str">
        <f t="shared" si="12"/>
        <v/>
      </c>
      <c r="C142" s="266"/>
      <c r="D142" s="266"/>
      <c r="E142" s="266"/>
      <c r="F142" s="266"/>
      <c r="G142" s="260"/>
      <c r="H142" s="217">
        <v>137</v>
      </c>
      <c r="I142" s="218" t="str">
        <f t="shared" si="16"/>
        <v/>
      </c>
      <c r="J142" s="217">
        <f t="shared" si="17"/>
        <v>-2</v>
      </c>
      <c r="K142" s="217">
        <f t="shared" si="13"/>
        <v>-20</v>
      </c>
      <c r="L142" s="217"/>
      <c r="M142" s="219">
        <f t="shared" si="14"/>
        <v>0</v>
      </c>
      <c r="N142" s="203"/>
      <c r="O142" s="203"/>
      <c r="P142" s="203"/>
      <c r="Q142" s="203"/>
      <c r="R142" s="203"/>
    </row>
    <row r="143" spans="1:34" s="208" customFormat="1">
      <c r="A143" s="270">
        <f t="shared" si="15"/>
        <v>0</v>
      </c>
      <c r="B143" s="268" t="str">
        <f t="shared" si="12"/>
        <v/>
      </c>
      <c r="C143" s="269"/>
      <c r="D143" s="269"/>
      <c r="E143" s="269"/>
      <c r="F143" s="269"/>
      <c r="G143" s="260"/>
      <c r="H143" s="220">
        <v>138</v>
      </c>
      <c r="I143" s="221" t="str">
        <f t="shared" si="16"/>
        <v/>
      </c>
      <c r="J143" s="220">
        <f t="shared" si="17"/>
        <v>-2</v>
      </c>
      <c r="K143" s="220">
        <f t="shared" si="13"/>
        <v>-20</v>
      </c>
      <c r="L143" s="220"/>
      <c r="M143" s="222">
        <f t="shared" si="14"/>
        <v>0</v>
      </c>
      <c r="N143" s="203"/>
      <c r="O143" s="203"/>
      <c r="P143" s="203"/>
      <c r="Q143" s="203"/>
      <c r="R143" s="203"/>
    </row>
    <row r="144" spans="1:34" s="208" customFormat="1">
      <c r="A144" s="271">
        <f t="shared" si="15"/>
        <v>0</v>
      </c>
      <c r="B144" s="265" t="str">
        <f t="shared" si="12"/>
        <v/>
      </c>
      <c r="C144" s="266"/>
      <c r="D144" s="266"/>
      <c r="E144" s="266"/>
      <c r="F144" s="266"/>
      <c r="G144" s="260"/>
      <c r="H144" s="217">
        <v>139</v>
      </c>
      <c r="I144" s="218" t="str">
        <f t="shared" si="16"/>
        <v/>
      </c>
      <c r="J144" s="217">
        <f t="shared" si="17"/>
        <v>-2</v>
      </c>
      <c r="K144" s="217">
        <f t="shared" si="13"/>
        <v>-20</v>
      </c>
      <c r="L144" s="217"/>
      <c r="M144" s="219">
        <f t="shared" si="14"/>
        <v>0</v>
      </c>
      <c r="N144" s="203"/>
      <c r="O144" s="203"/>
      <c r="P144" s="203"/>
      <c r="Q144" s="203"/>
      <c r="R144" s="230"/>
      <c r="S144" s="231"/>
    </row>
    <row r="145" spans="1:19" s="208" customFormat="1">
      <c r="A145" s="270">
        <f t="shared" si="15"/>
        <v>0</v>
      </c>
      <c r="B145" s="268" t="str">
        <f t="shared" si="12"/>
        <v/>
      </c>
      <c r="C145" s="269"/>
      <c r="D145" s="269"/>
      <c r="E145" s="269"/>
      <c r="F145" s="269"/>
      <c r="G145" s="260"/>
      <c r="H145" s="220">
        <v>140</v>
      </c>
      <c r="I145" s="221" t="str">
        <f t="shared" si="16"/>
        <v/>
      </c>
      <c r="J145" s="220">
        <f t="shared" si="17"/>
        <v>-2</v>
      </c>
      <c r="K145" s="220">
        <f t="shared" si="13"/>
        <v>-20</v>
      </c>
      <c r="L145" s="220"/>
      <c r="M145" s="222">
        <f t="shared" si="14"/>
        <v>0</v>
      </c>
      <c r="N145" s="203"/>
      <c r="O145" s="203"/>
      <c r="P145" s="203"/>
      <c r="Q145" s="203"/>
      <c r="R145" s="203"/>
    </row>
    <row r="146" spans="1:19" s="208" customFormat="1">
      <c r="A146" s="271">
        <f t="shared" si="15"/>
        <v>0</v>
      </c>
      <c r="B146" s="265" t="str">
        <f t="shared" si="12"/>
        <v/>
      </c>
      <c r="C146" s="266"/>
      <c r="D146" s="266"/>
      <c r="E146" s="266"/>
      <c r="F146" s="266"/>
      <c r="G146" s="260"/>
      <c r="H146" s="217">
        <v>141</v>
      </c>
      <c r="I146" s="218" t="str">
        <f t="shared" si="16"/>
        <v/>
      </c>
      <c r="J146" s="217">
        <f t="shared" si="17"/>
        <v>-2</v>
      </c>
      <c r="K146" s="217">
        <f t="shared" si="13"/>
        <v>-20</v>
      </c>
      <c r="L146" s="217"/>
      <c r="M146" s="219">
        <f t="shared" si="14"/>
        <v>0</v>
      </c>
      <c r="N146" s="203"/>
      <c r="O146" s="203"/>
      <c r="P146" s="203"/>
      <c r="Q146" s="203"/>
      <c r="R146" s="203"/>
    </row>
    <row r="147" spans="1:19" s="208" customFormat="1">
      <c r="A147" s="270">
        <f t="shared" si="15"/>
        <v>0</v>
      </c>
      <c r="B147" s="268" t="str">
        <f t="shared" si="12"/>
        <v/>
      </c>
      <c r="C147" s="269"/>
      <c r="D147" s="269"/>
      <c r="E147" s="269"/>
      <c r="F147" s="269"/>
      <c r="G147" s="260"/>
      <c r="H147" s="220">
        <v>142</v>
      </c>
      <c r="I147" s="221" t="str">
        <f t="shared" si="16"/>
        <v/>
      </c>
      <c r="J147" s="220">
        <f t="shared" si="17"/>
        <v>-2</v>
      </c>
      <c r="K147" s="220">
        <f t="shared" si="13"/>
        <v>-20</v>
      </c>
      <c r="L147" s="220"/>
      <c r="M147" s="222">
        <f t="shared" si="14"/>
        <v>0</v>
      </c>
      <c r="N147" s="203"/>
      <c r="O147" s="203"/>
      <c r="P147" s="203"/>
      <c r="Q147" s="203"/>
      <c r="R147" s="203"/>
    </row>
    <row r="148" spans="1:19" s="208" customFormat="1">
      <c r="A148" s="271">
        <f t="shared" si="15"/>
        <v>0</v>
      </c>
      <c r="B148" s="265" t="str">
        <f t="shared" si="12"/>
        <v/>
      </c>
      <c r="C148" s="266"/>
      <c r="D148" s="266"/>
      <c r="E148" s="266"/>
      <c r="F148" s="266"/>
      <c r="G148" s="260"/>
      <c r="H148" s="217">
        <v>143</v>
      </c>
      <c r="I148" s="218" t="str">
        <f t="shared" si="16"/>
        <v/>
      </c>
      <c r="J148" s="217">
        <f t="shared" si="17"/>
        <v>-2</v>
      </c>
      <c r="K148" s="217">
        <f t="shared" si="13"/>
        <v>-20</v>
      </c>
      <c r="L148" s="217"/>
      <c r="M148" s="219">
        <f t="shared" si="14"/>
        <v>0</v>
      </c>
      <c r="N148" s="203"/>
      <c r="O148" s="203"/>
      <c r="P148" s="203"/>
      <c r="Q148" s="203"/>
      <c r="R148" s="230"/>
      <c r="S148" s="231"/>
    </row>
    <row r="149" spans="1:19" s="208" customFormat="1">
      <c r="A149" s="270">
        <f t="shared" si="15"/>
        <v>0</v>
      </c>
      <c r="B149" s="268" t="str">
        <f t="shared" si="12"/>
        <v/>
      </c>
      <c r="C149" s="269"/>
      <c r="D149" s="269"/>
      <c r="E149" s="269"/>
      <c r="F149" s="269"/>
      <c r="G149" s="203"/>
      <c r="H149" s="220">
        <v>144</v>
      </c>
      <c r="I149" s="221" t="str">
        <f t="shared" si="16"/>
        <v/>
      </c>
      <c r="J149" s="220">
        <f t="shared" si="17"/>
        <v>-2</v>
      </c>
      <c r="K149" s="220">
        <f t="shared" si="13"/>
        <v>-20</v>
      </c>
      <c r="L149" s="220"/>
      <c r="M149" s="222">
        <f t="shared" si="14"/>
        <v>0</v>
      </c>
      <c r="N149" s="203"/>
      <c r="O149" s="203"/>
      <c r="P149" s="203"/>
      <c r="Q149" s="203"/>
      <c r="R149" s="203"/>
    </row>
    <row r="150" spans="1:19" s="208" customFormat="1">
      <c r="A150" s="271">
        <f t="shared" si="15"/>
        <v>0</v>
      </c>
      <c r="B150" s="265" t="str">
        <f t="shared" si="12"/>
        <v/>
      </c>
      <c r="C150" s="266"/>
      <c r="D150" s="266"/>
      <c r="E150" s="266"/>
      <c r="F150" s="266"/>
      <c r="G150" s="203"/>
      <c r="H150" s="217">
        <v>145</v>
      </c>
      <c r="I150" s="218" t="str">
        <f t="shared" si="16"/>
        <v/>
      </c>
      <c r="J150" s="217">
        <f t="shared" si="17"/>
        <v>-2</v>
      </c>
      <c r="K150" s="217">
        <f t="shared" si="13"/>
        <v>-20</v>
      </c>
      <c r="L150" s="217"/>
      <c r="M150" s="219">
        <f t="shared" si="14"/>
        <v>0</v>
      </c>
      <c r="N150" s="203"/>
      <c r="O150" s="203"/>
      <c r="P150" s="203"/>
      <c r="Q150" s="203"/>
      <c r="R150" s="203"/>
    </row>
    <row r="151" spans="1:19" s="208" customFormat="1">
      <c r="A151" s="270">
        <f t="shared" si="15"/>
        <v>0</v>
      </c>
      <c r="B151" s="268" t="str">
        <f t="shared" si="12"/>
        <v/>
      </c>
      <c r="C151" s="269"/>
      <c r="D151" s="269"/>
      <c r="E151" s="269"/>
      <c r="F151" s="269"/>
      <c r="G151" s="203"/>
      <c r="H151" s="220">
        <v>146</v>
      </c>
      <c r="I151" s="221" t="str">
        <f t="shared" si="16"/>
        <v/>
      </c>
      <c r="J151" s="220">
        <f t="shared" si="17"/>
        <v>-2</v>
      </c>
      <c r="K151" s="220">
        <f t="shared" si="13"/>
        <v>-20</v>
      </c>
      <c r="L151" s="220"/>
      <c r="M151" s="222">
        <f t="shared" si="14"/>
        <v>0</v>
      </c>
      <c r="N151" s="203"/>
      <c r="O151" s="203"/>
      <c r="P151" s="203"/>
      <c r="Q151" s="203"/>
      <c r="R151" s="203"/>
    </row>
    <row r="152" spans="1:19" s="208" customFormat="1">
      <c r="A152" s="271">
        <f t="shared" si="15"/>
        <v>0</v>
      </c>
      <c r="B152" s="265" t="str">
        <f t="shared" si="12"/>
        <v/>
      </c>
      <c r="C152" s="266"/>
      <c r="D152" s="266"/>
      <c r="E152" s="266"/>
      <c r="F152" s="266"/>
      <c r="G152" s="203"/>
      <c r="H152" s="217">
        <v>147</v>
      </c>
      <c r="I152" s="218" t="str">
        <f t="shared" si="16"/>
        <v/>
      </c>
      <c r="J152" s="217">
        <f t="shared" si="17"/>
        <v>-2</v>
      </c>
      <c r="K152" s="217">
        <f t="shared" si="13"/>
        <v>-20</v>
      </c>
      <c r="L152" s="217"/>
      <c r="M152" s="219">
        <f t="shared" si="14"/>
        <v>0</v>
      </c>
      <c r="N152" s="203"/>
      <c r="O152" s="203"/>
      <c r="P152" s="203"/>
      <c r="Q152" s="203"/>
      <c r="R152" s="230"/>
      <c r="S152" s="231"/>
    </row>
    <row r="153" spans="1:19" s="208" customFormat="1">
      <c r="A153" s="270">
        <f t="shared" si="15"/>
        <v>0</v>
      </c>
      <c r="B153" s="268" t="str">
        <f t="shared" si="12"/>
        <v/>
      </c>
      <c r="C153" s="269"/>
      <c r="D153" s="269"/>
      <c r="E153" s="269"/>
      <c r="F153" s="269"/>
      <c r="G153" s="203"/>
      <c r="H153" s="220">
        <v>148</v>
      </c>
      <c r="I153" s="221" t="str">
        <f t="shared" si="16"/>
        <v/>
      </c>
      <c r="J153" s="220">
        <f t="shared" si="17"/>
        <v>-2</v>
      </c>
      <c r="K153" s="220">
        <f t="shared" si="13"/>
        <v>-20</v>
      </c>
      <c r="L153" s="220"/>
      <c r="M153" s="222">
        <f t="shared" si="14"/>
        <v>0</v>
      </c>
      <c r="N153" s="203"/>
      <c r="O153" s="203"/>
      <c r="P153" s="203"/>
      <c r="Q153" s="203"/>
      <c r="R153" s="203"/>
    </row>
    <row r="154" spans="1:19" s="208" customFormat="1">
      <c r="A154" s="271">
        <f t="shared" si="15"/>
        <v>0</v>
      </c>
      <c r="B154" s="265" t="str">
        <f t="shared" si="12"/>
        <v/>
      </c>
      <c r="C154" s="266"/>
      <c r="D154" s="266"/>
      <c r="E154" s="266"/>
      <c r="F154" s="266"/>
      <c r="G154" s="203"/>
      <c r="H154" s="217">
        <v>149</v>
      </c>
      <c r="I154" s="218" t="str">
        <f t="shared" si="16"/>
        <v/>
      </c>
      <c r="J154" s="217">
        <f t="shared" si="17"/>
        <v>-2</v>
      </c>
      <c r="K154" s="217">
        <f t="shared" si="13"/>
        <v>-20</v>
      </c>
      <c r="L154" s="217"/>
      <c r="M154" s="219">
        <f t="shared" si="14"/>
        <v>0</v>
      </c>
      <c r="N154" s="203"/>
      <c r="O154" s="203"/>
      <c r="P154" s="203"/>
      <c r="Q154" s="203"/>
      <c r="R154" s="203"/>
    </row>
    <row r="155" spans="1:19" s="208" customFormat="1">
      <c r="A155" s="270">
        <f t="shared" si="15"/>
        <v>0</v>
      </c>
      <c r="B155" s="268" t="str">
        <f t="shared" si="12"/>
        <v/>
      </c>
      <c r="C155" s="269"/>
      <c r="D155" s="269"/>
      <c r="E155" s="269"/>
      <c r="F155" s="269"/>
      <c r="G155" s="203"/>
      <c r="H155" s="220">
        <v>150</v>
      </c>
      <c r="I155" s="221" t="str">
        <f t="shared" si="16"/>
        <v/>
      </c>
      <c r="J155" s="220">
        <f t="shared" si="17"/>
        <v>-2</v>
      </c>
      <c r="K155" s="220">
        <f t="shared" si="13"/>
        <v>-20</v>
      </c>
      <c r="L155" s="220"/>
      <c r="M155" s="222">
        <f t="shared" si="14"/>
        <v>0</v>
      </c>
      <c r="N155" s="203"/>
      <c r="O155" s="203"/>
      <c r="P155" s="203"/>
      <c r="Q155" s="203"/>
      <c r="R155" s="203"/>
    </row>
    <row r="156" spans="1:19" s="208" customFormat="1">
      <c r="A156" s="271">
        <f t="shared" si="15"/>
        <v>0</v>
      </c>
      <c r="B156" s="265" t="str">
        <f t="shared" si="12"/>
        <v/>
      </c>
      <c r="C156" s="266"/>
      <c r="D156" s="266"/>
      <c r="E156" s="266"/>
      <c r="F156" s="266"/>
      <c r="G156" s="203"/>
      <c r="H156" s="217">
        <v>151</v>
      </c>
      <c r="I156" s="218" t="str">
        <f t="shared" si="16"/>
        <v/>
      </c>
      <c r="J156" s="217">
        <f t="shared" si="17"/>
        <v>-2</v>
      </c>
      <c r="K156" s="217">
        <f t="shared" si="13"/>
        <v>-20</v>
      </c>
      <c r="L156" s="217"/>
      <c r="M156" s="219">
        <f t="shared" si="14"/>
        <v>0</v>
      </c>
      <c r="N156" s="203"/>
      <c r="O156" s="203"/>
      <c r="P156" s="203"/>
      <c r="Q156" s="203"/>
      <c r="R156" s="230"/>
      <c r="S156" s="231"/>
    </row>
    <row r="157" spans="1:19" s="208" customFormat="1">
      <c r="A157" s="270">
        <f t="shared" si="15"/>
        <v>0</v>
      </c>
      <c r="B157" s="268" t="str">
        <f t="shared" si="12"/>
        <v/>
      </c>
      <c r="C157" s="269"/>
      <c r="D157" s="269"/>
      <c r="E157" s="269"/>
      <c r="F157" s="269"/>
      <c r="G157" s="203"/>
      <c r="H157" s="220">
        <v>152</v>
      </c>
      <c r="I157" s="221" t="str">
        <f t="shared" si="16"/>
        <v/>
      </c>
      <c r="J157" s="220">
        <f t="shared" si="17"/>
        <v>-2</v>
      </c>
      <c r="K157" s="220">
        <f t="shared" si="13"/>
        <v>-20</v>
      </c>
      <c r="L157" s="220"/>
      <c r="M157" s="222">
        <f t="shared" si="14"/>
        <v>0</v>
      </c>
      <c r="N157" s="203"/>
      <c r="O157" s="203"/>
      <c r="P157" s="203"/>
      <c r="Q157" s="203"/>
      <c r="R157" s="203"/>
    </row>
    <row r="158" spans="1:19" s="208" customFormat="1">
      <c r="A158" s="271">
        <f t="shared" si="15"/>
        <v>0</v>
      </c>
      <c r="B158" s="265" t="str">
        <f t="shared" si="12"/>
        <v/>
      </c>
      <c r="C158" s="266"/>
      <c r="D158" s="266"/>
      <c r="E158" s="266"/>
      <c r="F158" s="266"/>
      <c r="G158" s="203"/>
      <c r="H158" s="217">
        <v>153</v>
      </c>
      <c r="I158" s="218" t="str">
        <f t="shared" si="16"/>
        <v/>
      </c>
      <c r="J158" s="217">
        <f t="shared" si="17"/>
        <v>-2</v>
      </c>
      <c r="K158" s="217">
        <f t="shared" si="13"/>
        <v>-20</v>
      </c>
      <c r="L158" s="217"/>
      <c r="M158" s="219">
        <f t="shared" si="14"/>
        <v>0</v>
      </c>
      <c r="N158" s="203"/>
      <c r="O158" s="203"/>
      <c r="P158" s="203"/>
      <c r="Q158" s="203"/>
      <c r="R158" s="203"/>
    </row>
    <row r="159" spans="1:19" s="208" customFormat="1">
      <c r="A159" s="270">
        <f t="shared" si="15"/>
        <v>0</v>
      </c>
      <c r="B159" s="268" t="str">
        <f t="shared" si="12"/>
        <v/>
      </c>
      <c r="C159" s="269"/>
      <c r="D159" s="269"/>
      <c r="E159" s="269"/>
      <c r="F159" s="269"/>
      <c r="G159" s="203"/>
      <c r="H159" s="220">
        <v>154</v>
      </c>
      <c r="I159" s="221" t="str">
        <f t="shared" si="16"/>
        <v/>
      </c>
      <c r="J159" s="220">
        <f t="shared" si="17"/>
        <v>-2</v>
      </c>
      <c r="K159" s="220">
        <f t="shared" si="13"/>
        <v>-20</v>
      </c>
      <c r="L159" s="220"/>
      <c r="M159" s="222">
        <f t="shared" si="14"/>
        <v>0</v>
      </c>
      <c r="N159" s="203"/>
      <c r="O159" s="203"/>
      <c r="P159" s="203"/>
      <c r="Q159" s="203"/>
      <c r="R159" s="203"/>
    </row>
    <row r="160" spans="1:19" s="208" customFormat="1">
      <c r="A160" s="271">
        <f t="shared" si="15"/>
        <v>0</v>
      </c>
      <c r="B160" s="265" t="str">
        <f t="shared" si="12"/>
        <v/>
      </c>
      <c r="C160" s="266"/>
      <c r="D160" s="266"/>
      <c r="E160" s="266"/>
      <c r="F160" s="266"/>
      <c r="G160" s="203"/>
      <c r="H160" s="217">
        <v>155</v>
      </c>
      <c r="I160" s="218" t="str">
        <f t="shared" si="16"/>
        <v/>
      </c>
      <c r="J160" s="217">
        <f t="shared" si="17"/>
        <v>-2</v>
      </c>
      <c r="K160" s="217">
        <f t="shared" si="13"/>
        <v>-20</v>
      </c>
      <c r="L160" s="217"/>
      <c r="M160" s="219">
        <f t="shared" si="14"/>
        <v>0</v>
      </c>
      <c r="N160" s="203"/>
      <c r="O160" s="203"/>
      <c r="P160" s="203"/>
      <c r="Q160" s="203"/>
      <c r="R160" s="203"/>
    </row>
    <row r="161" spans="1:38" s="208" customFormat="1">
      <c r="A161" s="270">
        <f t="shared" si="15"/>
        <v>0</v>
      </c>
      <c r="B161" s="268" t="str">
        <f t="shared" si="12"/>
        <v/>
      </c>
      <c r="C161" s="269"/>
      <c r="D161" s="269"/>
      <c r="E161" s="269"/>
      <c r="F161" s="269"/>
      <c r="G161" s="203"/>
      <c r="H161" s="220">
        <v>156</v>
      </c>
      <c r="I161" s="221" t="str">
        <f t="shared" si="16"/>
        <v/>
      </c>
      <c r="J161" s="220">
        <f t="shared" si="17"/>
        <v>-2</v>
      </c>
      <c r="K161" s="220">
        <f t="shared" si="13"/>
        <v>-20</v>
      </c>
      <c r="L161" s="220"/>
      <c r="M161" s="222">
        <f t="shared" si="14"/>
        <v>0</v>
      </c>
      <c r="N161" s="203"/>
      <c r="O161" s="203"/>
      <c r="P161" s="203"/>
      <c r="Q161" s="203"/>
      <c r="R161" s="203"/>
      <c r="S161" s="232"/>
    </row>
    <row r="162" spans="1:38" s="208" customFormat="1">
      <c r="A162" s="271">
        <f t="shared" si="15"/>
        <v>0</v>
      </c>
      <c r="B162" s="265" t="str">
        <f t="shared" si="12"/>
        <v/>
      </c>
      <c r="C162" s="266"/>
      <c r="D162" s="266"/>
      <c r="E162" s="266"/>
      <c r="F162" s="266"/>
      <c r="G162" s="203"/>
      <c r="H162" s="217">
        <v>157</v>
      </c>
      <c r="I162" s="218" t="str">
        <f t="shared" si="16"/>
        <v/>
      </c>
      <c r="J162" s="217">
        <f t="shared" si="17"/>
        <v>-2</v>
      </c>
      <c r="K162" s="217">
        <f t="shared" si="13"/>
        <v>-20</v>
      </c>
      <c r="L162" s="217"/>
      <c r="M162" s="219">
        <f t="shared" si="14"/>
        <v>0</v>
      </c>
      <c r="N162" s="203"/>
      <c r="O162" s="203"/>
      <c r="P162" s="203"/>
      <c r="Q162" s="203"/>
      <c r="R162" s="203"/>
    </row>
    <row r="163" spans="1:38" s="208" customFormat="1">
      <c r="A163" s="270">
        <f t="shared" si="15"/>
        <v>0</v>
      </c>
      <c r="B163" s="268" t="str">
        <f t="shared" si="12"/>
        <v/>
      </c>
      <c r="C163" s="269"/>
      <c r="D163" s="269"/>
      <c r="E163" s="269"/>
      <c r="F163" s="269"/>
      <c r="G163" s="203"/>
      <c r="H163" s="220">
        <v>158</v>
      </c>
      <c r="I163" s="221" t="str">
        <f t="shared" si="16"/>
        <v/>
      </c>
      <c r="J163" s="220">
        <f t="shared" si="17"/>
        <v>-2</v>
      </c>
      <c r="K163" s="220">
        <f t="shared" si="13"/>
        <v>-20</v>
      </c>
      <c r="L163" s="220"/>
      <c r="M163" s="222">
        <f t="shared" si="14"/>
        <v>0</v>
      </c>
      <c r="N163" s="203"/>
      <c r="O163" s="203"/>
      <c r="P163" s="203"/>
      <c r="Q163" s="203"/>
      <c r="R163" s="203"/>
    </row>
    <row r="164" spans="1:38" s="208" customFormat="1">
      <c r="A164" s="271">
        <f t="shared" si="15"/>
        <v>0</v>
      </c>
      <c r="B164" s="265" t="str">
        <f t="shared" si="12"/>
        <v/>
      </c>
      <c r="C164" s="266"/>
      <c r="D164" s="266"/>
      <c r="E164" s="266"/>
      <c r="F164" s="266"/>
      <c r="G164" s="203"/>
      <c r="H164" s="217">
        <v>159</v>
      </c>
      <c r="I164" s="218" t="str">
        <f t="shared" si="16"/>
        <v/>
      </c>
      <c r="J164" s="217">
        <f t="shared" si="17"/>
        <v>-2</v>
      </c>
      <c r="K164" s="217">
        <f t="shared" si="13"/>
        <v>-20</v>
      </c>
      <c r="L164" s="217"/>
      <c r="M164" s="219">
        <f t="shared" si="14"/>
        <v>0</v>
      </c>
      <c r="N164" s="203"/>
      <c r="O164" s="203"/>
      <c r="P164" s="203"/>
      <c r="Q164" s="203"/>
      <c r="R164" s="203"/>
    </row>
    <row r="165" spans="1:38" s="208" customFormat="1">
      <c r="A165" s="270">
        <f t="shared" si="15"/>
        <v>0</v>
      </c>
      <c r="B165" s="268" t="str">
        <f t="shared" si="12"/>
        <v/>
      </c>
      <c r="C165" s="269"/>
      <c r="D165" s="269"/>
      <c r="E165" s="269"/>
      <c r="F165" s="269"/>
      <c r="G165" s="203"/>
      <c r="H165" s="220">
        <v>160</v>
      </c>
      <c r="I165" s="221" t="str">
        <f t="shared" si="16"/>
        <v/>
      </c>
      <c r="J165" s="220">
        <f t="shared" si="17"/>
        <v>-2</v>
      </c>
      <c r="K165" s="220">
        <f t="shared" si="13"/>
        <v>-20</v>
      </c>
      <c r="L165" s="220"/>
      <c r="M165" s="222">
        <f t="shared" si="14"/>
        <v>0</v>
      </c>
      <c r="N165" s="203"/>
      <c r="O165" s="203"/>
      <c r="P165" s="203"/>
      <c r="Q165" s="203"/>
      <c r="R165" s="203"/>
    </row>
    <row r="166" spans="1:38" s="208" customFormat="1">
      <c r="A166" s="271">
        <f t="shared" si="15"/>
        <v>0</v>
      </c>
      <c r="B166" s="265" t="str">
        <f t="shared" si="12"/>
        <v/>
      </c>
      <c r="C166" s="266"/>
      <c r="D166" s="266"/>
      <c r="E166" s="266"/>
      <c r="F166" s="266"/>
      <c r="G166" s="203"/>
      <c r="H166" s="217">
        <v>161</v>
      </c>
      <c r="I166" s="218" t="str">
        <f t="shared" si="16"/>
        <v/>
      </c>
      <c r="J166" s="217">
        <f t="shared" si="17"/>
        <v>-2</v>
      </c>
      <c r="K166" s="217">
        <f t="shared" si="13"/>
        <v>-20</v>
      </c>
      <c r="L166" s="217"/>
      <c r="M166" s="219">
        <f t="shared" si="14"/>
        <v>0</v>
      </c>
      <c r="N166" s="203"/>
      <c r="O166" s="203"/>
      <c r="P166" s="203"/>
      <c r="Q166" s="203"/>
      <c r="R166" s="203"/>
    </row>
    <row r="167" spans="1:38" s="208" customFormat="1">
      <c r="A167" s="270">
        <f t="shared" si="15"/>
        <v>0</v>
      </c>
      <c r="B167" s="268" t="str">
        <f t="shared" si="12"/>
        <v/>
      </c>
      <c r="C167" s="269"/>
      <c r="D167" s="269"/>
      <c r="E167" s="269"/>
      <c r="F167" s="269"/>
      <c r="G167" s="203"/>
      <c r="H167" s="220">
        <v>162</v>
      </c>
      <c r="I167" s="221" t="str">
        <f t="shared" si="16"/>
        <v/>
      </c>
      <c r="J167" s="220">
        <f t="shared" si="17"/>
        <v>-2</v>
      </c>
      <c r="K167" s="220">
        <f t="shared" si="13"/>
        <v>-20</v>
      </c>
      <c r="L167" s="220"/>
      <c r="M167" s="222">
        <f t="shared" si="14"/>
        <v>0</v>
      </c>
      <c r="N167" s="203"/>
      <c r="O167" s="203"/>
      <c r="P167" s="203"/>
      <c r="Q167" s="203"/>
      <c r="R167" s="203"/>
    </row>
    <row r="168" spans="1:38" s="208" customFormat="1">
      <c r="A168" s="271">
        <f t="shared" si="15"/>
        <v>0</v>
      </c>
      <c r="B168" s="265" t="str">
        <f t="shared" si="12"/>
        <v/>
      </c>
      <c r="C168" s="266"/>
      <c r="D168" s="266"/>
      <c r="E168" s="266"/>
      <c r="F168" s="266"/>
      <c r="G168" s="203"/>
      <c r="H168" s="217">
        <v>163</v>
      </c>
      <c r="I168" s="218" t="str">
        <f t="shared" si="16"/>
        <v/>
      </c>
      <c r="J168" s="217">
        <f t="shared" si="17"/>
        <v>-2</v>
      </c>
      <c r="K168" s="217">
        <f t="shared" si="13"/>
        <v>-20</v>
      </c>
      <c r="L168" s="217"/>
      <c r="M168" s="219">
        <f t="shared" si="14"/>
        <v>0</v>
      </c>
      <c r="N168" s="203"/>
      <c r="O168" s="203"/>
      <c r="P168" s="203"/>
      <c r="Q168" s="203"/>
      <c r="R168" s="203"/>
    </row>
    <row r="169" spans="1:38" s="203" customFormat="1">
      <c r="A169" s="270">
        <f t="shared" si="15"/>
        <v>0</v>
      </c>
      <c r="B169" s="268" t="str">
        <f t="shared" si="12"/>
        <v/>
      </c>
      <c r="C169" s="269"/>
      <c r="D169" s="269"/>
      <c r="E169" s="269"/>
      <c r="F169" s="269"/>
      <c r="H169" s="220">
        <v>164</v>
      </c>
      <c r="I169" s="221" t="str">
        <f t="shared" si="16"/>
        <v/>
      </c>
      <c r="J169" s="220">
        <f t="shared" si="17"/>
        <v>-2</v>
      </c>
      <c r="K169" s="220">
        <f t="shared" si="13"/>
        <v>-20</v>
      </c>
      <c r="L169" s="220"/>
      <c r="M169" s="222">
        <f t="shared" si="14"/>
        <v>0</v>
      </c>
      <c r="S169" s="208"/>
      <c r="T169" s="208"/>
      <c r="U169" s="208"/>
      <c r="V169" s="208"/>
      <c r="W169" s="208"/>
      <c r="X169" s="208"/>
      <c r="Y169" s="208"/>
      <c r="Z169" s="208"/>
      <c r="AA169" s="208"/>
      <c r="AB169" s="208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</row>
    <row r="170" spans="1:38" s="203" customFormat="1">
      <c r="A170" s="271">
        <f t="shared" si="15"/>
        <v>0</v>
      </c>
      <c r="B170" s="265" t="str">
        <f t="shared" si="12"/>
        <v/>
      </c>
      <c r="C170" s="266"/>
      <c r="D170" s="266"/>
      <c r="E170" s="266"/>
      <c r="F170" s="266"/>
      <c r="H170" s="217">
        <v>165</v>
      </c>
      <c r="I170" s="218" t="str">
        <f t="shared" si="16"/>
        <v/>
      </c>
      <c r="J170" s="217">
        <f t="shared" si="17"/>
        <v>-2</v>
      </c>
      <c r="K170" s="217">
        <f t="shared" si="13"/>
        <v>-20</v>
      </c>
      <c r="L170" s="217"/>
      <c r="M170" s="219">
        <f t="shared" si="14"/>
        <v>0</v>
      </c>
      <c r="S170" s="208"/>
      <c r="T170" s="208"/>
      <c r="U170" s="208"/>
      <c r="V170" s="208"/>
      <c r="W170" s="208"/>
      <c r="X170" s="208"/>
      <c r="Y170" s="208"/>
      <c r="Z170" s="208"/>
      <c r="AA170" s="208"/>
      <c r="AB170" s="208"/>
      <c r="AC170" s="208"/>
      <c r="AD170" s="208"/>
      <c r="AE170" s="208"/>
      <c r="AF170" s="208"/>
      <c r="AG170" s="208"/>
      <c r="AH170" s="208"/>
      <c r="AI170" s="208"/>
      <c r="AJ170" s="208"/>
      <c r="AK170" s="208"/>
      <c r="AL170" s="208"/>
    </row>
    <row r="171" spans="1:38" s="203" customFormat="1">
      <c r="A171" s="270">
        <f t="shared" si="15"/>
        <v>0</v>
      </c>
      <c r="B171" s="268" t="str">
        <f t="shared" si="12"/>
        <v/>
      </c>
      <c r="C171" s="269"/>
      <c r="D171" s="269"/>
      <c r="E171" s="269"/>
      <c r="F171" s="269"/>
      <c r="H171" s="220">
        <v>166</v>
      </c>
      <c r="I171" s="221" t="str">
        <f t="shared" si="16"/>
        <v/>
      </c>
      <c r="J171" s="220">
        <f t="shared" si="17"/>
        <v>-2</v>
      </c>
      <c r="K171" s="220">
        <f t="shared" si="13"/>
        <v>-20</v>
      </c>
      <c r="L171" s="220"/>
      <c r="M171" s="222">
        <f t="shared" si="14"/>
        <v>0</v>
      </c>
      <c r="S171" s="208"/>
      <c r="T171" s="208"/>
      <c r="U171" s="208"/>
      <c r="V171" s="208"/>
      <c r="W171" s="208"/>
      <c r="X171" s="208"/>
      <c r="Y171" s="208"/>
      <c r="Z171" s="208"/>
      <c r="AA171" s="208"/>
      <c r="AB171" s="208"/>
      <c r="AC171" s="208"/>
      <c r="AD171" s="208"/>
      <c r="AE171" s="208"/>
      <c r="AF171" s="208"/>
      <c r="AG171" s="208"/>
      <c r="AH171" s="208"/>
      <c r="AI171" s="208"/>
      <c r="AJ171" s="208"/>
      <c r="AK171" s="208"/>
      <c r="AL171" s="208"/>
    </row>
    <row r="172" spans="1:38" s="203" customFormat="1">
      <c r="A172" s="271">
        <f t="shared" si="15"/>
        <v>0</v>
      </c>
      <c r="B172" s="265" t="str">
        <f t="shared" si="12"/>
        <v/>
      </c>
      <c r="C172" s="266"/>
      <c r="D172" s="266"/>
      <c r="E172" s="266"/>
      <c r="F172" s="266"/>
      <c r="H172" s="217">
        <v>167</v>
      </c>
      <c r="I172" s="218" t="str">
        <f t="shared" si="16"/>
        <v/>
      </c>
      <c r="J172" s="217">
        <f t="shared" si="17"/>
        <v>-2</v>
      </c>
      <c r="K172" s="217">
        <f t="shared" si="13"/>
        <v>-20</v>
      </c>
      <c r="L172" s="217"/>
      <c r="M172" s="219">
        <f t="shared" si="14"/>
        <v>0</v>
      </c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</row>
    <row r="173" spans="1:38" s="203" customFormat="1">
      <c r="A173" s="270">
        <f t="shared" si="15"/>
        <v>0</v>
      </c>
      <c r="B173" s="268" t="str">
        <f t="shared" si="12"/>
        <v/>
      </c>
      <c r="C173" s="269"/>
      <c r="D173" s="269"/>
      <c r="E173" s="269"/>
      <c r="F173" s="269"/>
      <c r="H173" s="220">
        <v>168</v>
      </c>
      <c r="I173" s="221" t="str">
        <f t="shared" si="16"/>
        <v/>
      </c>
      <c r="J173" s="220">
        <f t="shared" si="17"/>
        <v>-2</v>
      </c>
      <c r="K173" s="220">
        <f t="shared" si="13"/>
        <v>-20</v>
      </c>
      <c r="L173" s="220"/>
      <c r="M173" s="222">
        <f t="shared" si="14"/>
        <v>0</v>
      </c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</row>
    <row r="174" spans="1:38" s="203" customFormat="1">
      <c r="A174" s="271">
        <f t="shared" si="15"/>
        <v>0</v>
      </c>
      <c r="B174" s="265" t="str">
        <f t="shared" si="12"/>
        <v/>
      </c>
      <c r="C174" s="266"/>
      <c r="D174" s="266"/>
      <c r="E174" s="266"/>
      <c r="F174" s="266"/>
      <c r="H174" s="217">
        <v>169</v>
      </c>
      <c r="I174" s="218" t="str">
        <f t="shared" si="16"/>
        <v/>
      </c>
      <c r="J174" s="217">
        <f t="shared" si="17"/>
        <v>-2</v>
      </c>
      <c r="K174" s="217">
        <f t="shared" si="13"/>
        <v>-20</v>
      </c>
      <c r="L174" s="217"/>
      <c r="M174" s="219">
        <f t="shared" si="14"/>
        <v>0</v>
      </c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</row>
    <row r="175" spans="1:38" s="203" customFormat="1">
      <c r="A175" s="270">
        <f t="shared" si="15"/>
        <v>0</v>
      </c>
      <c r="B175" s="268" t="str">
        <f t="shared" si="12"/>
        <v/>
      </c>
      <c r="C175" s="269"/>
      <c r="D175" s="269"/>
      <c r="E175" s="269"/>
      <c r="F175" s="269"/>
      <c r="H175" s="220">
        <v>170</v>
      </c>
      <c r="I175" s="221" t="str">
        <f t="shared" si="16"/>
        <v/>
      </c>
      <c r="J175" s="220">
        <f t="shared" si="17"/>
        <v>-2</v>
      </c>
      <c r="K175" s="220">
        <f t="shared" si="13"/>
        <v>-20</v>
      </c>
      <c r="L175" s="220"/>
      <c r="M175" s="222">
        <f t="shared" si="14"/>
        <v>0</v>
      </c>
      <c r="S175" s="208"/>
      <c r="T175" s="208"/>
      <c r="U175" s="208"/>
      <c r="V175" s="208"/>
      <c r="W175" s="208"/>
      <c r="X175" s="208"/>
      <c r="Y175" s="208"/>
      <c r="Z175" s="208"/>
      <c r="AA175" s="208"/>
      <c r="AB175" s="208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</row>
    <row r="176" spans="1:38" s="203" customFormat="1">
      <c r="A176" s="271">
        <f t="shared" si="15"/>
        <v>0</v>
      </c>
      <c r="B176" s="265" t="str">
        <f t="shared" si="12"/>
        <v/>
      </c>
      <c r="C176" s="266"/>
      <c r="D176" s="266"/>
      <c r="E176" s="266"/>
      <c r="F176" s="266"/>
      <c r="H176" s="217">
        <v>171</v>
      </c>
      <c r="I176" s="218" t="str">
        <f t="shared" si="16"/>
        <v/>
      </c>
      <c r="J176" s="217">
        <f t="shared" si="17"/>
        <v>-2</v>
      </c>
      <c r="K176" s="217">
        <f t="shared" si="13"/>
        <v>-20</v>
      </c>
      <c r="L176" s="217"/>
      <c r="M176" s="219">
        <f t="shared" si="14"/>
        <v>0</v>
      </c>
      <c r="S176" s="208"/>
      <c r="T176" s="208"/>
      <c r="U176" s="208"/>
      <c r="V176" s="208"/>
      <c r="W176" s="208"/>
      <c r="X176" s="208"/>
      <c r="Y176" s="208"/>
      <c r="Z176" s="208"/>
      <c r="AA176" s="208"/>
      <c r="AB176" s="208"/>
      <c r="AC176" s="208"/>
      <c r="AD176" s="208"/>
      <c r="AE176" s="208"/>
      <c r="AF176" s="208"/>
      <c r="AG176" s="208"/>
      <c r="AH176" s="208"/>
      <c r="AI176" s="208"/>
      <c r="AJ176" s="208"/>
      <c r="AK176" s="208"/>
      <c r="AL176" s="208"/>
    </row>
    <row r="177" spans="1:38" s="203" customFormat="1">
      <c r="A177" s="270">
        <f t="shared" si="15"/>
        <v>0</v>
      </c>
      <c r="B177" s="268" t="str">
        <f t="shared" si="12"/>
        <v/>
      </c>
      <c r="C177" s="269"/>
      <c r="D177" s="269"/>
      <c r="E177" s="269"/>
      <c r="F177" s="269"/>
      <c r="H177" s="220">
        <v>172</v>
      </c>
      <c r="I177" s="221" t="str">
        <f t="shared" si="16"/>
        <v/>
      </c>
      <c r="J177" s="220">
        <f t="shared" si="17"/>
        <v>-2</v>
      </c>
      <c r="K177" s="220">
        <f t="shared" si="13"/>
        <v>-20</v>
      </c>
      <c r="L177" s="220"/>
      <c r="M177" s="222">
        <f t="shared" si="14"/>
        <v>0</v>
      </c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08"/>
    </row>
    <row r="178" spans="1:38" s="203" customFormat="1">
      <c r="A178" s="271">
        <f t="shared" si="15"/>
        <v>0</v>
      </c>
      <c r="B178" s="265" t="str">
        <f t="shared" si="12"/>
        <v/>
      </c>
      <c r="C178" s="266"/>
      <c r="D178" s="266"/>
      <c r="E178" s="266"/>
      <c r="F178" s="266"/>
      <c r="H178" s="217">
        <v>173</v>
      </c>
      <c r="I178" s="218" t="str">
        <f t="shared" si="16"/>
        <v/>
      </c>
      <c r="J178" s="217">
        <f t="shared" si="17"/>
        <v>-2</v>
      </c>
      <c r="K178" s="217">
        <f t="shared" si="13"/>
        <v>-20</v>
      </c>
      <c r="L178" s="217"/>
      <c r="M178" s="219">
        <f t="shared" si="14"/>
        <v>0</v>
      </c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</row>
    <row r="179" spans="1:38" s="203" customFormat="1">
      <c r="A179" s="270">
        <f t="shared" si="15"/>
        <v>0</v>
      </c>
      <c r="B179" s="268" t="str">
        <f t="shared" si="12"/>
        <v/>
      </c>
      <c r="C179" s="269"/>
      <c r="D179" s="269"/>
      <c r="E179" s="269"/>
      <c r="F179" s="269"/>
      <c r="H179" s="220">
        <v>174</v>
      </c>
      <c r="I179" s="221" t="str">
        <f t="shared" si="16"/>
        <v/>
      </c>
      <c r="J179" s="220">
        <f t="shared" si="17"/>
        <v>-2</v>
      </c>
      <c r="K179" s="220">
        <f t="shared" si="13"/>
        <v>-20</v>
      </c>
      <c r="L179" s="220"/>
      <c r="M179" s="222">
        <f t="shared" si="14"/>
        <v>0</v>
      </c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</row>
    <row r="180" spans="1:38" s="203" customFormat="1">
      <c r="A180" s="271">
        <f t="shared" si="15"/>
        <v>0</v>
      </c>
      <c r="B180" s="265" t="str">
        <f t="shared" si="12"/>
        <v/>
      </c>
      <c r="C180" s="266"/>
      <c r="D180" s="266"/>
      <c r="E180" s="266"/>
      <c r="F180" s="266"/>
      <c r="H180" s="217">
        <v>175</v>
      </c>
      <c r="I180" s="218" t="str">
        <f t="shared" si="16"/>
        <v/>
      </c>
      <c r="J180" s="217">
        <f t="shared" si="17"/>
        <v>-2</v>
      </c>
      <c r="K180" s="217">
        <f t="shared" si="13"/>
        <v>-20</v>
      </c>
      <c r="L180" s="217"/>
      <c r="M180" s="219">
        <f t="shared" si="14"/>
        <v>0</v>
      </c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</row>
    <row r="181" spans="1:38" s="203" customFormat="1">
      <c r="A181" s="270">
        <f t="shared" si="15"/>
        <v>0</v>
      </c>
      <c r="B181" s="268" t="str">
        <f t="shared" si="12"/>
        <v/>
      </c>
      <c r="C181" s="269"/>
      <c r="D181" s="269"/>
      <c r="E181" s="269"/>
      <c r="F181" s="269"/>
      <c r="H181" s="220">
        <v>176</v>
      </c>
      <c r="I181" s="221" t="str">
        <f t="shared" si="16"/>
        <v/>
      </c>
      <c r="J181" s="220">
        <f t="shared" si="17"/>
        <v>-2</v>
      </c>
      <c r="K181" s="220">
        <f t="shared" si="13"/>
        <v>-20</v>
      </c>
      <c r="L181" s="220"/>
      <c r="M181" s="222">
        <f t="shared" si="14"/>
        <v>0</v>
      </c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</row>
    <row r="182" spans="1:38" s="203" customFormat="1">
      <c r="A182" s="271">
        <f t="shared" si="15"/>
        <v>0</v>
      </c>
      <c r="B182" s="265" t="str">
        <f t="shared" si="12"/>
        <v/>
      </c>
      <c r="C182" s="266"/>
      <c r="D182" s="266"/>
      <c r="E182" s="266"/>
      <c r="F182" s="266"/>
      <c r="H182" s="217">
        <v>177</v>
      </c>
      <c r="I182" s="218" t="str">
        <f t="shared" si="16"/>
        <v/>
      </c>
      <c r="J182" s="217">
        <f t="shared" si="17"/>
        <v>-2</v>
      </c>
      <c r="K182" s="217">
        <f t="shared" si="13"/>
        <v>-20</v>
      </c>
      <c r="L182" s="217"/>
      <c r="M182" s="219">
        <f t="shared" si="14"/>
        <v>0</v>
      </c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08"/>
    </row>
    <row r="183" spans="1:38" s="203" customFormat="1">
      <c r="A183" s="270">
        <f t="shared" si="15"/>
        <v>0</v>
      </c>
      <c r="B183" s="268" t="str">
        <f t="shared" si="12"/>
        <v/>
      </c>
      <c r="C183" s="269"/>
      <c r="D183" s="269"/>
      <c r="E183" s="269"/>
      <c r="F183" s="269"/>
      <c r="H183" s="220">
        <v>178</v>
      </c>
      <c r="I183" s="221" t="str">
        <f t="shared" si="16"/>
        <v/>
      </c>
      <c r="J183" s="220">
        <f t="shared" si="17"/>
        <v>-2</v>
      </c>
      <c r="K183" s="220">
        <f t="shared" si="13"/>
        <v>-20</v>
      </c>
      <c r="L183" s="220"/>
      <c r="M183" s="222">
        <f t="shared" si="14"/>
        <v>0</v>
      </c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</row>
    <row r="184" spans="1:38" s="203" customFormat="1">
      <c r="A184" s="271">
        <f t="shared" si="15"/>
        <v>0</v>
      </c>
      <c r="B184" s="265" t="str">
        <f t="shared" si="12"/>
        <v/>
      </c>
      <c r="C184" s="266"/>
      <c r="D184" s="266"/>
      <c r="E184" s="266"/>
      <c r="F184" s="266"/>
      <c r="H184" s="217">
        <v>179</v>
      </c>
      <c r="I184" s="218" t="str">
        <f t="shared" si="16"/>
        <v/>
      </c>
      <c r="J184" s="217">
        <f t="shared" si="17"/>
        <v>-2</v>
      </c>
      <c r="K184" s="217">
        <f t="shared" si="13"/>
        <v>-20</v>
      </c>
      <c r="L184" s="217"/>
      <c r="M184" s="219">
        <f t="shared" si="14"/>
        <v>0</v>
      </c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  <c r="AD184" s="208"/>
      <c r="AE184" s="208"/>
      <c r="AF184" s="208"/>
      <c r="AG184" s="208"/>
      <c r="AH184" s="208"/>
      <c r="AI184" s="208"/>
      <c r="AJ184" s="208"/>
      <c r="AK184" s="208"/>
      <c r="AL184" s="208"/>
    </row>
    <row r="185" spans="1:38" s="203" customFormat="1">
      <c r="A185" s="270">
        <f t="shared" si="15"/>
        <v>0</v>
      </c>
      <c r="B185" s="268" t="str">
        <f t="shared" si="12"/>
        <v/>
      </c>
      <c r="C185" s="269"/>
      <c r="D185" s="269"/>
      <c r="E185" s="269"/>
      <c r="F185" s="269"/>
      <c r="H185" s="220">
        <v>180</v>
      </c>
      <c r="I185" s="221" t="str">
        <f t="shared" si="16"/>
        <v/>
      </c>
      <c r="J185" s="220">
        <f t="shared" si="17"/>
        <v>-2</v>
      </c>
      <c r="K185" s="220">
        <f t="shared" si="13"/>
        <v>-20</v>
      </c>
      <c r="L185" s="220"/>
      <c r="M185" s="222">
        <f t="shared" si="14"/>
        <v>0</v>
      </c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  <c r="AD185" s="208"/>
      <c r="AE185" s="208"/>
      <c r="AF185" s="208"/>
      <c r="AG185" s="208"/>
      <c r="AH185" s="208"/>
      <c r="AI185" s="208"/>
      <c r="AJ185" s="208"/>
      <c r="AK185" s="208"/>
      <c r="AL185" s="208"/>
    </row>
    <row r="186" spans="1:38" s="208" customFormat="1" ht="14.45" customHeight="1">
      <c r="A186" s="264">
        <f t="shared" si="15"/>
        <v>0</v>
      </c>
      <c r="B186" s="265" t="str">
        <f t="shared" si="12"/>
        <v/>
      </c>
      <c r="C186" s="266"/>
      <c r="D186" s="266"/>
      <c r="E186" s="266"/>
      <c r="F186" s="266"/>
      <c r="G186" s="260"/>
      <c r="H186" s="217">
        <v>181</v>
      </c>
      <c r="I186" s="218" t="str">
        <f t="shared" si="16"/>
        <v/>
      </c>
      <c r="J186" s="217">
        <f t="shared" si="17"/>
        <v>-2</v>
      </c>
      <c r="K186" s="217">
        <f t="shared" si="13"/>
        <v>-20</v>
      </c>
      <c r="L186" s="219"/>
      <c r="M186" s="219">
        <f t="shared" si="14"/>
        <v>0</v>
      </c>
      <c r="N186" s="203"/>
      <c r="O186" s="203"/>
      <c r="P186" s="203"/>
      <c r="Q186" s="203"/>
      <c r="R186" s="203"/>
    </row>
    <row r="187" spans="1:38" s="208" customFormat="1" ht="14.45" customHeight="1">
      <c r="A187" s="267">
        <f t="shared" si="15"/>
        <v>0</v>
      </c>
      <c r="B187" s="268" t="str">
        <f t="shared" si="12"/>
        <v/>
      </c>
      <c r="C187" s="269"/>
      <c r="D187" s="269"/>
      <c r="E187" s="269"/>
      <c r="F187" s="269"/>
      <c r="G187" s="260"/>
      <c r="H187" s="220">
        <v>182</v>
      </c>
      <c r="I187" s="221" t="str">
        <f t="shared" si="16"/>
        <v/>
      </c>
      <c r="J187" s="220">
        <f t="shared" si="17"/>
        <v>-2</v>
      </c>
      <c r="K187" s="220">
        <f t="shared" si="13"/>
        <v>-20</v>
      </c>
      <c r="L187" s="222"/>
      <c r="M187" s="222">
        <f t="shared" si="14"/>
        <v>0</v>
      </c>
      <c r="N187" s="203"/>
      <c r="O187" s="203"/>
      <c r="P187" s="203"/>
      <c r="Q187" s="203"/>
      <c r="R187" s="203"/>
    </row>
    <row r="188" spans="1:38" s="208" customFormat="1" ht="14.45" customHeight="1">
      <c r="A188" s="264">
        <f t="shared" si="15"/>
        <v>0</v>
      </c>
      <c r="B188" s="265" t="str">
        <f t="shared" si="12"/>
        <v/>
      </c>
      <c r="C188" s="266"/>
      <c r="D188" s="266"/>
      <c r="E188" s="266"/>
      <c r="F188" s="266"/>
      <c r="G188" s="260"/>
      <c r="H188" s="217">
        <v>183</v>
      </c>
      <c r="I188" s="218" t="str">
        <f t="shared" si="16"/>
        <v/>
      </c>
      <c r="J188" s="217">
        <f t="shared" si="17"/>
        <v>-2</v>
      </c>
      <c r="K188" s="217">
        <f t="shared" si="13"/>
        <v>-20</v>
      </c>
      <c r="L188" s="219"/>
      <c r="M188" s="219">
        <f t="shared" si="14"/>
        <v>0</v>
      </c>
      <c r="N188" s="203"/>
      <c r="O188" s="203"/>
      <c r="P188" s="203"/>
      <c r="Q188" s="203"/>
      <c r="R188" s="203"/>
    </row>
    <row r="189" spans="1:38" s="208" customFormat="1" ht="14.45" customHeight="1">
      <c r="A189" s="267">
        <f t="shared" si="15"/>
        <v>0</v>
      </c>
      <c r="B189" s="268" t="str">
        <f t="shared" si="12"/>
        <v/>
      </c>
      <c r="C189" s="269"/>
      <c r="D189" s="269"/>
      <c r="E189" s="269"/>
      <c r="F189" s="269"/>
      <c r="G189" s="260"/>
      <c r="H189" s="220">
        <v>184</v>
      </c>
      <c r="I189" s="221" t="str">
        <f t="shared" si="16"/>
        <v/>
      </c>
      <c r="J189" s="220">
        <f t="shared" si="17"/>
        <v>-2</v>
      </c>
      <c r="K189" s="220">
        <f t="shared" si="13"/>
        <v>-20</v>
      </c>
      <c r="L189" s="222"/>
      <c r="M189" s="222">
        <f t="shared" si="14"/>
        <v>0</v>
      </c>
      <c r="N189" s="203"/>
      <c r="O189" s="203"/>
      <c r="P189" s="203"/>
      <c r="Q189" s="203"/>
      <c r="R189" s="203"/>
      <c r="V189" s="223"/>
      <c r="Z189" s="224"/>
      <c r="AA189" s="224"/>
      <c r="AG189" s="225"/>
    </row>
    <row r="190" spans="1:38" s="208" customFormat="1" ht="14.45" customHeight="1">
      <c r="A190" s="264">
        <f t="shared" si="15"/>
        <v>0</v>
      </c>
      <c r="B190" s="265" t="str">
        <f t="shared" si="12"/>
        <v/>
      </c>
      <c r="C190" s="266"/>
      <c r="D190" s="266"/>
      <c r="E190" s="266"/>
      <c r="F190" s="266"/>
      <c r="G190" s="260"/>
      <c r="H190" s="217">
        <v>185</v>
      </c>
      <c r="I190" s="218" t="str">
        <f t="shared" si="16"/>
        <v/>
      </c>
      <c r="J190" s="217">
        <f t="shared" si="17"/>
        <v>-2</v>
      </c>
      <c r="K190" s="217">
        <f t="shared" si="13"/>
        <v>-20</v>
      </c>
      <c r="L190" s="217"/>
      <c r="M190" s="219">
        <f t="shared" si="14"/>
        <v>0</v>
      </c>
      <c r="N190" s="203"/>
      <c r="O190" s="203"/>
      <c r="P190" s="203"/>
      <c r="Q190" s="203"/>
      <c r="R190" s="203"/>
      <c r="V190" s="223"/>
      <c r="Z190" s="224"/>
      <c r="AA190" s="224"/>
      <c r="AG190" s="225"/>
    </row>
    <row r="191" spans="1:38" s="208" customFormat="1" ht="14.45" customHeight="1">
      <c r="A191" s="267">
        <f t="shared" si="15"/>
        <v>0</v>
      </c>
      <c r="B191" s="268" t="str">
        <f t="shared" si="12"/>
        <v/>
      </c>
      <c r="C191" s="269"/>
      <c r="D191" s="269"/>
      <c r="E191" s="269"/>
      <c r="F191" s="269"/>
      <c r="G191" s="260"/>
      <c r="H191" s="220">
        <v>186</v>
      </c>
      <c r="I191" s="221" t="str">
        <f t="shared" si="16"/>
        <v/>
      </c>
      <c r="J191" s="220">
        <f t="shared" si="17"/>
        <v>-2</v>
      </c>
      <c r="K191" s="220">
        <f t="shared" si="13"/>
        <v>-20</v>
      </c>
      <c r="L191" s="220"/>
      <c r="M191" s="222">
        <f t="shared" si="14"/>
        <v>0</v>
      </c>
      <c r="N191" s="203"/>
      <c r="O191" s="203"/>
      <c r="P191" s="203"/>
      <c r="Q191" s="203"/>
      <c r="R191" s="203"/>
      <c r="V191" s="226"/>
      <c r="Z191" s="224"/>
      <c r="AA191" s="224"/>
      <c r="AG191" s="225"/>
    </row>
    <row r="192" spans="1:38" s="208" customFormat="1" ht="14.45" customHeight="1">
      <c r="A192" s="264">
        <f t="shared" si="15"/>
        <v>0</v>
      </c>
      <c r="B192" s="265" t="str">
        <f t="shared" si="12"/>
        <v/>
      </c>
      <c r="C192" s="266"/>
      <c r="D192" s="266"/>
      <c r="E192" s="266"/>
      <c r="F192" s="266"/>
      <c r="G192" s="260"/>
      <c r="H192" s="217">
        <v>187</v>
      </c>
      <c r="I192" s="218" t="str">
        <f t="shared" si="16"/>
        <v/>
      </c>
      <c r="J192" s="217">
        <f t="shared" si="17"/>
        <v>-2</v>
      </c>
      <c r="K192" s="217">
        <f t="shared" si="13"/>
        <v>-20</v>
      </c>
      <c r="L192" s="217"/>
      <c r="M192" s="219">
        <f t="shared" si="14"/>
        <v>0</v>
      </c>
      <c r="N192" s="203"/>
      <c r="O192" s="203"/>
      <c r="P192" s="203"/>
      <c r="Q192" s="203"/>
      <c r="R192" s="203"/>
      <c r="Z192" s="224"/>
      <c r="AA192" s="224"/>
      <c r="AG192" s="225"/>
    </row>
    <row r="193" spans="1:34" s="208" customFormat="1" ht="14.45" customHeight="1">
      <c r="A193" s="270">
        <f t="shared" si="15"/>
        <v>0</v>
      </c>
      <c r="B193" s="268" t="str">
        <f t="shared" si="12"/>
        <v/>
      </c>
      <c r="C193" s="269"/>
      <c r="D193" s="269"/>
      <c r="E193" s="269"/>
      <c r="F193" s="269"/>
      <c r="G193" s="260"/>
      <c r="H193" s="220">
        <v>188</v>
      </c>
      <c r="I193" s="221" t="str">
        <f t="shared" si="16"/>
        <v/>
      </c>
      <c r="J193" s="220">
        <f t="shared" si="17"/>
        <v>-2</v>
      </c>
      <c r="K193" s="220">
        <f t="shared" si="13"/>
        <v>-20</v>
      </c>
      <c r="L193" s="220"/>
      <c r="M193" s="222">
        <f t="shared" si="14"/>
        <v>0</v>
      </c>
      <c r="N193" s="203"/>
      <c r="O193" s="203"/>
      <c r="P193" s="203"/>
      <c r="Q193" s="203"/>
      <c r="R193" s="203"/>
      <c r="X193" s="223"/>
      <c r="AG193" s="225"/>
    </row>
    <row r="194" spans="1:34" s="208" customFormat="1" ht="15.75" customHeight="1">
      <c r="A194" s="271">
        <f t="shared" si="15"/>
        <v>0</v>
      </c>
      <c r="B194" s="265" t="str">
        <f t="shared" si="12"/>
        <v/>
      </c>
      <c r="C194" s="266"/>
      <c r="D194" s="266"/>
      <c r="E194" s="266"/>
      <c r="F194" s="266"/>
      <c r="G194" s="260"/>
      <c r="H194" s="217">
        <v>189</v>
      </c>
      <c r="I194" s="218" t="str">
        <f t="shared" si="16"/>
        <v/>
      </c>
      <c r="J194" s="217">
        <f t="shared" si="17"/>
        <v>-2</v>
      </c>
      <c r="K194" s="217">
        <f t="shared" si="13"/>
        <v>-20</v>
      </c>
      <c r="L194" s="217"/>
      <c r="M194" s="219">
        <f t="shared" si="14"/>
        <v>0</v>
      </c>
      <c r="N194" s="203"/>
      <c r="O194" s="203"/>
      <c r="P194" s="203"/>
      <c r="Q194" s="203"/>
      <c r="R194" s="203"/>
      <c r="X194" s="227"/>
      <c r="Z194" s="224"/>
      <c r="AA194" s="224"/>
      <c r="AG194" s="225"/>
    </row>
    <row r="195" spans="1:34" s="208" customFormat="1">
      <c r="A195" s="270">
        <f t="shared" si="15"/>
        <v>0</v>
      </c>
      <c r="B195" s="268" t="str">
        <f t="shared" si="12"/>
        <v/>
      </c>
      <c r="C195" s="269"/>
      <c r="D195" s="269"/>
      <c r="E195" s="269"/>
      <c r="F195" s="269"/>
      <c r="G195" s="260"/>
      <c r="H195" s="220">
        <v>190</v>
      </c>
      <c r="I195" s="221" t="str">
        <f t="shared" si="16"/>
        <v/>
      </c>
      <c r="J195" s="220">
        <f t="shared" si="17"/>
        <v>-2</v>
      </c>
      <c r="K195" s="220">
        <f t="shared" si="13"/>
        <v>-20</v>
      </c>
      <c r="L195" s="220"/>
      <c r="M195" s="222">
        <f t="shared" si="14"/>
        <v>0</v>
      </c>
      <c r="N195" s="203"/>
      <c r="O195" s="203"/>
      <c r="P195" s="203"/>
      <c r="Q195" s="203"/>
      <c r="R195" s="203"/>
      <c r="X195" s="223"/>
      <c r="Z195" s="224"/>
      <c r="AA195" s="224"/>
    </row>
    <row r="196" spans="1:34" s="208" customFormat="1">
      <c r="A196" s="271">
        <f t="shared" si="15"/>
        <v>0</v>
      </c>
      <c r="B196" s="265" t="str">
        <f t="shared" si="12"/>
        <v/>
      </c>
      <c r="C196" s="266"/>
      <c r="D196" s="266"/>
      <c r="E196" s="266"/>
      <c r="F196" s="266"/>
      <c r="G196" s="260"/>
      <c r="H196" s="217">
        <v>191</v>
      </c>
      <c r="I196" s="218" t="str">
        <f t="shared" si="16"/>
        <v/>
      </c>
      <c r="J196" s="217">
        <f t="shared" si="17"/>
        <v>-2</v>
      </c>
      <c r="K196" s="217">
        <f t="shared" si="13"/>
        <v>-20</v>
      </c>
      <c r="L196" s="217"/>
      <c r="M196" s="219">
        <f t="shared" si="14"/>
        <v>0</v>
      </c>
      <c r="N196" s="203"/>
      <c r="O196" s="203"/>
      <c r="P196" s="203"/>
      <c r="Q196" s="203"/>
      <c r="R196" s="228"/>
      <c r="Z196" s="224"/>
      <c r="AA196" s="224"/>
      <c r="AH196" s="229"/>
    </row>
    <row r="197" spans="1:34" s="208" customFormat="1">
      <c r="A197" s="270">
        <f t="shared" si="15"/>
        <v>0</v>
      </c>
      <c r="B197" s="268" t="str">
        <f t="shared" si="12"/>
        <v/>
      </c>
      <c r="C197" s="269"/>
      <c r="D197" s="269"/>
      <c r="E197" s="269"/>
      <c r="F197" s="269"/>
      <c r="G197" s="260"/>
      <c r="H197" s="220">
        <v>192</v>
      </c>
      <c r="I197" s="221" t="str">
        <f t="shared" si="16"/>
        <v/>
      </c>
      <c r="J197" s="220">
        <f t="shared" si="17"/>
        <v>-2</v>
      </c>
      <c r="K197" s="220">
        <f t="shared" si="13"/>
        <v>-20</v>
      </c>
      <c r="L197" s="220"/>
      <c r="M197" s="222">
        <f t="shared" si="14"/>
        <v>0</v>
      </c>
      <c r="N197" s="203"/>
      <c r="O197" s="203"/>
      <c r="P197" s="203"/>
      <c r="Q197" s="203"/>
      <c r="R197" s="203"/>
    </row>
    <row r="198" spans="1:34" s="208" customFormat="1">
      <c r="A198" s="271">
        <f t="shared" si="15"/>
        <v>0</v>
      </c>
      <c r="B198" s="265" t="str">
        <f t="shared" ref="B198:B261" si="18">IF(H198&gt;$H$2,"",(ROW()-5))</f>
        <v/>
      </c>
      <c r="C198" s="266"/>
      <c r="D198" s="266"/>
      <c r="E198" s="266"/>
      <c r="F198" s="266"/>
      <c r="G198" s="260"/>
      <c r="H198" s="217">
        <v>193</v>
      </c>
      <c r="I198" s="218" t="str">
        <f t="shared" si="16"/>
        <v/>
      </c>
      <c r="J198" s="217">
        <f t="shared" si="17"/>
        <v>-2</v>
      </c>
      <c r="K198" s="217">
        <f t="shared" ref="K198:K261" si="19">J198*$J$2</f>
        <v>-20</v>
      </c>
      <c r="L198" s="217"/>
      <c r="M198" s="219">
        <f t="shared" ref="M198:M261" si="20">IF(I198&lt;&gt;"",K198+I198+L198,0)</f>
        <v>0</v>
      </c>
      <c r="N198" s="203"/>
      <c r="O198" s="203"/>
      <c r="P198" s="203"/>
      <c r="Q198" s="203"/>
      <c r="R198" s="203"/>
    </row>
    <row r="199" spans="1:34" s="208" customFormat="1">
      <c r="A199" s="270">
        <f t="shared" ref="A199:A262" si="21">M199</f>
        <v>0</v>
      </c>
      <c r="B199" s="268" t="str">
        <f t="shared" si="18"/>
        <v/>
      </c>
      <c r="C199" s="269"/>
      <c r="D199" s="269"/>
      <c r="E199" s="269"/>
      <c r="F199" s="269"/>
      <c r="G199" s="260"/>
      <c r="H199" s="220">
        <v>194</v>
      </c>
      <c r="I199" s="221" t="str">
        <f t="shared" ref="I199:I262" si="22">IF(H199&lt;$H$2+1,($I$2-($I$2-1)*(LOG(H199)/LOG($H$2))),"")</f>
        <v/>
      </c>
      <c r="J199" s="220">
        <f t="shared" ref="J199:J262" si="23">INT(LOG($H$2,2))-ROUNDUP(LOG(H199,2),0)+IF(OR($H$2=1,$H$2=2,$H$2=4,$H$2=8,$H$2=16,$H$2=32,$H$2=64,$H$2=128,$H$2=256),0,1)</f>
        <v>-2</v>
      </c>
      <c r="K199" s="220">
        <f t="shared" si="19"/>
        <v>-20</v>
      </c>
      <c r="L199" s="220"/>
      <c r="M199" s="222">
        <f t="shared" si="20"/>
        <v>0</v>
      </c>
      <c r="N199" s="203"/>
      <c r="O199" s="203"/>
      <c r="P199" s="203"/>
      <c r="Q199" s="203"/>
      <c r="R199" s="203"/>
    </row>
    <row r="200" spans="1:34" s="208" customFormat="1">
      <c r="A200" s="271">
        <f t="shared" si="21"/>
        <v>0</v>
      </c>
      <c r="B200" s="265" t="str">
        <f t="shared" si="18"/>
        <v/>
      </c>
      <c r="C200" s="266"/>
      <c r="D200" s="266"/>
      <c r="E200" s="266"/>
      <c r="F200" s="266"/>
      <c r="G200" s="260"/>
      <c r="H200" s="217">
        <v>195</v>
      </c>
      <c r="I200" s="218" t="str">
        <f t="shared" si="22"/>
        <v/>
      </c>
      <c r="J200" s="217">
        <f t="shared" si="23"/>
        <v>-2</v>
      </c>
      <c r="K200" s="217">
        <f t="shared" si="19"/>
        <v>-20</v>
      </c>
      <c r="L200" s="217"/>
      <c r="M200" s="219">
        <f t="shared" si="20"/>
        <v>0</v>
      </c>
      <c r="N200" s="203"/>
      <c r="O200" s="203"/>
      <c r="P200" s="203"/>
      <c r="Q200" s="203"/>
      <c r="R200" s="230"/>
      <c r="S200" s="231"/>
    </row>
    <row r="201" spans="1:34" s="208" customFormat="1">
      <c r="A201" s="270">
        <f t="shared" si="21"/>
        <v>0</v>
      </c>
      <c r="B201" s="268" t="str">
        <f t="shared" si="18"/>
        <v/>
      </c>
      <c r="C201" s="269"/>
      <c r="D201" s="269"/>
      <c r="E201" s="269"/>
      <c r="F201" s="269"/>
      <c r="G201" s="260"/>
      <c r="H201" s="220">
        <v>196</v>
      </c>
      <c r="I201" s="221" t="str">
        <f t="shared" si="22"/>
        <v/>
      </c>
      <c r="J201" s="220">
        <f t="shared" si="23"/>
        <v>-2</v>
      </c>
      <c r="K201" s="220">
        <f t="shared" si="19"/>
        <v>-20</v>
      </c>
      <c r="L201" s="220"/>
      <c r="M201" s="222">
        <f t="shared" si="20"/>
        <v>0</v>
      </c>
      <c r="N201" s="203"/>
      <c r="O201" s="203"/>
      <c r="P201" s="203"/>
      <c r="Q201" s="203"/>
      <c r="R201" s="203"/>
    </row>
    <row r="202" spans="1:34" s="208" customFormat="1">
      <c r="A202" s="271">
        <f t="shared" si="21"/>
        <v>0</v>
      </c>
      <c r="B202" s="265" t="str">
        <f t="shared" si="18"/>
        <v/>
      </c>
      <c r="C202" s="266"/>
      <c r="D202" s="266"/>
      <c r="E202" s="266"/>
      <c r="F202" s="266"/>
      <c r="G202" s="260"/>
      <c r="H202" s="217">
        <v>197</v>
      </c>
      <c r="I202" s="218" t="str">
        <f t="shared" si="22"/>
        <v/>
      </c>
      <c r="J202" s="217">
        <f t="shared" si="23"/>
        <v>-2</v>
      </c>
      <c r="K202" s="217">
        <f t="shared" si="19"/>
        <v>-20</v>
      </c>
      <c r="L202" s="217"/>
      <c r="M202" s="219">
        <f t="shared" si="20"/>
        <v>0</v>
      </c>
      <c r="N202" s="203"/>
      <c r="O202" s="203"/>
      <c r="P202" s="203"/>
      <c r="Q202" s="203"/>
      <c r="R202" s="203"/>
    </row>
    <row r="203" spans="1:34" s="208" customFormat="1">
      <c r="A203" s="270">
        <f t="shared" si="21"/>
        <v>0</v>
      </c>
      <c r="B203" s="268" t="str">
        <f t="shared" si="18"/>
        <v/>
      </c>
      <c r="C203" s="269"/>
      <c r="D203" s="269"/>
      <c r="E203" s="269"/>
      <c r="F203" s="269"/>
      <c r="G203" s="260"/>
      <c r="H203" s="220">
        <v>198</v>
      </c>
      <c r="I203" s="221" t="str">
        <f t="shared" si="22"/>
        <v/>
      </c>
      <c r="J203" s="220">
        <f t="shared" si="23"/>
        <v>-2</v>
      </c>
      <c r="K203" s="220">
        <f t="shared" si="19"/>
        <v>-20</v>
      </c>
      <c r="L203" s="220"/>
      <c r="M203" s="222">
        <f t="shared" si="20"/>
        <v>0</v>
      </c>
      <c r="N203" s="203"/>
      <c r="O203" s="203"/>
      <c r="P203" s="203"/>
      <c r="Q203" s="203"/>
      <c r="R203" s="203"/>
    </row>
    <row r="204" spans="1:34" s="208" customFormat="1">
      <c r="A204" s="271">
        <f t="shared" si="21"/>
        <v>0</v>
      </c>
      <c r="B204" s="265" t="str">
        <f t="shared" si="18"/>
        <v/>
      </c>
      <c r="C204" s="266"/>
      <c r="D204" s="266"/>
      <c r="E204" s="266"/>
      <c r="F204" s="266"/>
      <c r="G204" s="260"/>
      <c r="H204" s="217">
        <v>199</v>
      </c>
      <c r="I204" s="218" t="str">
        <f t="shared" si="22"/>
        <v/>
      </c>
      <c r="J204" s="217">
        <f t="shared" si="23"/>
        <v>-2</v>
      </c>
      <c r="K204" s="217">
        <f t="shared" si="19"/>
        <v>-20</v>
      </c>
      <c r="L204" s="217"/>
      <c r="M204" s="219">
        <f t="shared" si="20"/>
        <v>0</v>
      </c>
      <c r="N204" s="203"/>
      <c r="O204" s="203"/>
      <c r="P204" s="203"/>
      <c r="Q204" s="203"/>
      <c r="R204" s="230"/>
      <c r="S204" s="231"/>
    </row>
    <row r="205" spans="1:34" s="208" customFormat="1">
      <c r="A205" s="270">
        <f t="shared" si="21"/>
        <v>0</v>
      </c>
      <c r="B205" s="268" t="str">
        <f t="shared" si="18"/>
        <v/>
      </c>
      <c r="C205" s="269"/>
      <c r="D205" s="269"/>
      <c r="E205" s="269"/>
      <c r="F205" s="269"/>
      <c r="G205" s="260"/>
      <c r="H205" s="220">
        <v>200</v>
      </c>
      <c r="I205" s="221" t="str">
        <f t="shared" si="22"/>
        <v/>
      </c>
      <c r="J205" s="220">
        <f t="shared" si="23"/>
        <v>-2</v>
      </c>
      <c r="K205" s="220">
        <f t="shared" si="19"/>
        <v>-20</v>
      </c>
      <c r="L205" s="220"/>
      <c r="M205" s="222">
        <f t="shared" si="20"/>
        <v>0</v>
      </c>
      <c r="N205" s="203"/>
      <c r="O205" s="203"/>
      <c r="P205" s="203"/>
      <c r="Q205" s="203"/>
      <c r="R205" s="203"/>
    </row>
    <row r="206" spans="1:34" s="208" customFormat="1">
      <c r="A206" s="271">
        <f t="shared" si="21"/>
        <v>0</v>
      </c>
      <c r="B206" s="265" t="str">
        <f t="shared" si="18"/>
        <v/>
      </c>
      <c r="C206" s="266"/>
      <c r="D206" s="266"/>
      <c r="E206" s="266"/>
      <c r="F206" s="266"/>
      <c r="G206" s="260"/>
      <c r="H206" s="217">
        <v>201</v>
      </c>
      <c r="I206" s="218" t="str">
        <f t="shared" si="22"/>
        <v/>
      </c>
      <c r="J206" s="217">
        <f t="shared" si="23"/>
        <v>-2</v>
      </c>
      <c r="K206" s="217">
        <f t="shared" si="19"/>
        <v>-20</v>
      </c>
      <c r="L206" s="217"/>
      <c r="M206" s="219">
        <f t="shared" si="20"/>
        <v>0</v>
      </c>
      <c r="N206" s="203"/>
      <c r="O206" s="203"/>
      <c r="P206" s="203"/>
      <c r="Q206" s="203"/>
      <c r="R206" s="203"/>
    </row>
    <row r="207" spans="1:34" s="208" customFormat="1">
      <c r="A207" s="270">
        <f t="shared" si="21"/>
        <v>0</v>
      </c>
      <c r="B207" s="268" t="str">
        <f t="shared" si="18"/>
        <v/>
      </c>
      <c r="C207" s="269"/>
      <c r="D207" s="269"/>
      <c r="E207" s="269"/>
      <c r="F207" s="269"/>
      <c r="G207" s="260"/>
      <c r="H207" s="220">
        <v>202</v>
      </c>
      <c r="I207" s="221" t="str">
        <f t="shared" si="22"/>
        <v/>
      </c>
      <c r="J207" s="220">
        <f t="shared" si="23"/>
        <v>-2</v>
      </c>
      <c r="K207" s="220">
        <f t="shared" si="19"/>
        <v>-20</v>
      </c>
      <c r="L207" s="220"/>
      <c r="M207" s="222">
        <f t="shared" si="20"/>
        <v>0</v>
      </c>
      <c r="N207" s="203"/>
      <c r="O207" s="203"/>
      <c r="P207" s="203"/>
      <c r="Q207" s="203"/>
      <c r="R207" s="203"/>
    </row>
    <row r="208" spans="1:34" s="208" customFormat="1">
      <c r="A208" s="271">
        <f t="shared" si="21"/>
        <v>0</v>
      </c>
      <c r="B208" s="265" t="str">
        <f t="shared" si="18"/>
        <v/>
      </c>
      <c r="C208" s="266"/>
      <c r="D208" s="266"/>
      <c r="E208" s="266"/>
      <c r="F208" s="266"/>
      <c r="G208" s="260"/>
      <c r="H208" s="217">
        <v>203</v>
      </c>
      <c r="I208" s="218" t="str">
        <f t="shared" si="22"/>
        <v/>
      </c>
      <c r="J208" s="217">
        <f t="shared" si="23"/>
        <v>-2</v>
      </c>
      <c r="K208" s="217">
        <f t="shared" si="19"/>
        <v>-20</v>
      </c>
      <c r="L208" s="217"/>
      <c r="M208" s="219">
        <f t="shared" si="20"/>
        <v>0</v>
      </c>
      <c r="N208" s="203"/>
      <c r="O208" s="203"/>
      <c r="P208" s="203"/>
      <c r="Q208" s="203"/>
      <c r="R208" s="230"/>
      <c r="S208" s="231"/>
    </row>
    <row r="209" spans="1:19" s="208" customFormat="1">
      <c r="A209" s="270">
        <f t="shared" si="21"/>
        <v>0</v>
      </c>
      <c r="B209" s="268" t="str">
        <f t="shared" si="18"/>
        <v/>
      </c>
      <c r="C209" s="269"/>
      <c r="D209" s="269"/>
      <c r="E209" s="269"/>
      <c r="F209" s="269"/>
      <c r="G209" s="203"/>
      <c r="H209" s="220">
        <v>204</v>
      </c>
      <c r="I209" s="221" t="str">
        <f t="shared" si="22"/>
        <v/>
      </c>
      <c r="J209" s="220">
        <f t="shared" si="23"/>
        <v>-2</v>
      </c>
      <c r="K209" s="220">
        <f t="shared" si="19"/>
        <v>-20</v>
      </c>
      <c r="L209" s="220"/>
      <c r="M209" s="222">
        <f t="shared" si="20"/>
        <v>0</v>
      </c>
      <c r="N209" s="203"/>
      <c r="O209" s="203"/>
      <c r="P209" s="203"/>
      <c r="Q209" s="203"/>
      <c r="R209" s="203"/>
    </row>
    <row r="210" spans="1:19" s="208" customFormat="1">
      <c r="A210" s="271">
        <f t="shared" si="21"/>
        <v>0</v>
      </c>
      <c r="B210" s="265" t="str">
        <f t="shared" si="18"/>
        <v/>
      </c>
      <c r="C210" s="266"/>
      <c r="D210" s="266"/>
      <c r="E210" s="266"/>
      <c r="F210" s="266"/>
      <c r="G210" s="203"/>
      <c r="H210" s="217">
        <v>205</v>
      </c>
      <c r="I210" s="218" t="str">
        <f t="shared" si="22"/>
        <v/>
      </c>
      <c r="J210" s="217">
        <f t="shared" si="23"/>
        <v>-2</v>
      </c>
      <c r="K210" s="217">
        <f t="shared" si="19"/>
        <v>-20</v>
      </c>
      <c r="L210" s="217"/>
      <c r="M210" s="219">
        <f t="shared" si="20"/>
        <v>0</v>
      </c>
      <c r="N210" s="203"/>
      <c r="O210" s="203"/>
      <c r="P210" s="203"/>
      <c r="Q210" s="203"/>
      <c r="R210" s="203"/>
    </row>
    <row r="211" spans="1:19" s="208" customFormat="1">
      <c r="A211" s="270">
        <f t="shared" si="21"/>
        <v>0</v>
      </c>
      <c r="B211" s="268" t="str">
        <f t="shared" si="18"/>
        <v/>
      </c>
      <c r="C211" s="269"/>
      <c r="D211" s="269"/>
      <c r="E211" s="269"/>
      <c r="F211" s="269"/>
      <c r="G211" s="203"/>
      <c r="H211" s="220">
        <v>206</v>
      </c>
      <c r="I211" s="221" t="str">
        <f t="shared" si="22"/>
        <v/>
      </c>
      <c r="J211" s="220">
        <f t="shared" si="23"/>
        <v>-2</v>
      </c>
      <c r="K211" s="220">
        <f t="shared" si="19"/>
        <v>-20</v>
      </c>
      <c r="L211" s="220"/>
      <c r="M211" s="222">
        <f t="shared" si="20"/>
        <v>0</v>
      </c>
      <c r="N211" s="203"/>
      <c r="O211" s="203"/>
      <c r="P211" s="203"/>
      <c r="Q211" s="203"/>
      <c r="R211" s="203"/>
    </row>
    <row r="212" spans="1:19" s="208" customFormat="1">
      <c r="A212" s="271">
        <f t="shared" si="21"/>
        <v>0</v>
      </c>
      <c r="B212" s="265" t="str">
        <f t="shared" si="18"/>
        <v/>
      </c>
      <c r="C212" s="266"/>
      <c r="D212" s="266"/>
      <c r="E212" s="266"/>
      <c r="F212" s="266"/>
      <c r="G212" s="203"/>
      <c r="H212" s="217">
        <v>207</v>
      </c>
      <c r="I212" s="218" t="str">
        <f t="shared" si="22"/>
        <v/>
      </c>
      <c r="J212" s="217">
        <f t="shared" si="23"/>
        <v>-2</v>
      </c>
      <c r="K212" s="217">
        <f t="shared" si="19"/>
        <v>-20</v>
      </c>
      <c r="L212" s="217"/>
      <c r="M212" s="219">
        <f t="shared" si="20"/>
        <v>0</v>
      </c>
      <c r="N212" s="203"/>
      <c r="O212" s="203"/>
      <c r="P212" s="203"/>
      <c r="Q212" s="203"/>
      <c r="R212" s="230"/>
      <c r="S212" s="231"/>
    </row>
    <row r="213" spans="1:19" s="208" customFormat="1">
      <c r="A213" s="270">
        <f t="shared" si="21"/>
        <v>0</v>
      </c>
      <c r="B213" s="268" t="str">
        <f t="shared" si="18"/>
        <v/>
      </c>
      <c r="C213" s="269"/>
      <c r="D213" s="269"/>
      <c r="E213" s="269"/>
      <c r="F213" s="269"/>
      <c r="G213" s="203"/>
      <c r="H213" s="220">
        <v>208</v>
      </c>
      <c r="I213" s="221" t="str">
        <f t="shared" si="22"/>
        <v/>
      </c>
      <c r="J213" s="220">
        <f t="shared" si="23"/>
        <v>-2</v>
      </c>
      <c r="K213" s="220">
        <f t="shared" si="19"/>
        <v>-20</v>
      </c>
      <c r="L213" s="220"/>
      <c r="M213" s="222">
        <f t="shared" si="20"/>
        <v>0</v>
      </c>
      <c r="N213" s="203"/>
      <c r="O213" s="203"/>
      <c r="P213" s="203"/>
      <c r="Q213" s="203"/>
      <c r="R213" s="203"/>
    </row>
    <row r="214" spans="1:19" s="208" customFormat="1">
      <c r="A214" s="271">
        <f t="shared" si="21"/>
        <v>0</v>
      </c>
      <c r="B214" s="265" t="str">
        <f t="shared" si="18"/>
        <v/>
      </c>
      <c r="C214" s="266"/>
      <c r="D214" s="266"/>
      <c r="E214" s="266"/>
      <c r="F214" s="266"/>
      <c r="G214" s="203"/>
      <c r="H214" s="217">
        <v>209</v>
      </c>
      <c r="I214" s="218" t="str">
        <f t="shared" si="22"/>
        <v/>
      </c>
      <c r="J214" s="217">
        <f t="shared" si="23"/>
        <v>-2</v>
      </c>
      <c r="K214" s="217">
        <f t="shared" si="19"/>
        <v>-20</v>
      </c>
      <c r="L214" s="217"/>
      <c r="M214" s="219">
        <f t="shared" si="20"/>
        <v>0</v>
      </c>
      <c r="N214" s="203"/>
      <c r="O214" s="203"/>
      <c r="P214" s="203"/>
      <c r="Q214" s="203"/>
      <c r="R214" s="203"/>
    </row>
    <row r="215" spans="1:19" s="208" customFormat="1">
      <c r="A215" s="270">
        <f t="shared" si="21"/>
        <v>0</v>
      </c>
      <c r="B215" s="268" t="str">
        <f t="shared" si="18"/>
        <v/>
      </c>
      <c r="C215" s="269"/>
      <c r="D215" s="269"/>
      <c r="E215" s="269"/>
      <c r="F215" s="269"/>
      <c r="G215" s="203"/>
      <c r="H215" s="220">
        <v>210</v>
      </c>
      <c r="I215" s="221" t="str">
        <f t="shared" si="22"/>
        <v/>
      </c>
      <c r="J215" s="220">
        <f t="shared" si="23"/>
        <v>-2</v>
      </c>
      <c r="K215" s="220">
        <f t="shared" si="19"/>
        <v>-20</v>
      </c>
      <c r="L215" s="220"/>
      <c r="M215" s="222">
        <f t="shared" si="20"/>
        <v>0</v>
      </c>
      <c r="N215" s="203"/>
      <c r="O215" s="203"/>
      <c r="P215" s="203"/>
      <c r="Q215" s="203"/>
      <c r="R215" s="203"/>
    </row>
    <row r="216" spans="1:19" s="208" customFormat="1">
      <c r="A216" s="271">
        <f t="shared" si="21"/>
        <v>0</v>
      </c>
      <c r="B216" s="265" t="str">
        <f t="shared" si="18"/>
        <v/>
      </c>
      <c r="C216" s="266"/>
      <c r="D216" s="266"/>
      <c r="E216" s="266"/>
      <c r="F216" s="266"/>
      <c r="G216" s="203"/>
      <c r="H216" s="217">
        <v>211</v>
      </c>
      <c r="I216" s="218" t="str">
        <f t="shared" si="22"/>
        <v/>
      </c>
      <c r="J216" s="217">
        <f t="shared" si="23"/>
        <v>-2</v>
      </c>
      <c r="K216" s="217">
        <f t="shared" si="19"/>
        <v>-20</v>
      </c>
      <c r="L216" s="217"/>
      <c r="M216" s="219">
        <f t="shared" si="20"/>
        <v>0</v>
      </c>
      <c r="N216" s="203"/>
      <c r="O216" s="203"/>
      <c r="P216" s="203"/>
      <c r="Q216" s="203"/>
      <c r="R216" s="230"/>
      <c r="S216" s="231"/>
    </row>
    <row r="217" spans="1:19" s="208" customFormat="1">
      <c r="A217" s="270">
        <f t="shared" si="21"/>
        <v>0</v>
      </c>
      <c r="B217" s="268" t="str">
        <f t="shared" si="18"/>
        <v/>
      </c>
      <c r="C217" s="269"/>
      <c r="D217" s="269"/>
      <c r="E217" s="269"/>
      <c r="F217" s="269"/>
      <c r="G217" s="203"/>
      <c r="H217" s="220">
        <v>212</v>
      </c>
      <c r="I217" s="221" t="str">
        <f t="shared" si="22"/>
        <v/>
      </c>
      <c r="J217" s="220">
        <f t="shared" si="23"/>
        <v>-2</v>
      </c>
      <c r="K217" s="220">
        <f t="shared" si="19"/>
        <v>-20</v>
      </c>
      <c r="L217" s="220"/>
      <c r="M217" s="222">
        <f t="shared" si="20"/>
        <v>0</v>
      </c>
      <c r="N217" s="203"/>
      <c r="O217" s="203"/>
      <c r="P217" s="203"/>
      <c r="Q217" s="203"/>
      <c r="R217" s="203"/>
    </row>
    <row r="218" spans="1:19" s="208" customFormat="1">
      <c r="A218" s="271">
        <f t="shared" si="21"/>
        <v>0</v>
      </c>
      <c r="B218" s="265" t="str">
        <f t="shared" si="18"/>
        <v/>
      </c>
      <c r="C218" s="266"/>
      <c r="D218" s="266"/>
      <c r="E218" s="266"/>
      <c r="F218" s="266"/>
      <c r="G218" s="203"/>
      <c r="H218" s="217">
        <v>213</v>
      </c>
      <c r="I218" s="218" t="str">
        <f t="shared" si="22"/>
        <v/>
      </c>
      <c r="J218" s="217">
        <f t="shared" si="23"/>
        <v>-2</v>
      </c>
      <c r="K218" s="217">
        <f t="shared" si="19"/>
        <v>-20</v>
      </c>
      <c r="L218" s="217"/>
      <c r="M218" s="219">
        <f t="shared" si="20"/>
        <v>0</v>
      </c>
      <c r="N218" s="203"/>
      <c r="O218" s="203"/>
      <c r="P218" s="203"/>
      <c r="Q218" s="203"/>
      <c r="R218" s="203"/>
    </row>
    <row r="219" spans="1:19" s="208" customFormat="1">
      <c r="A219" s="270">
        <f t="shared" si="21"/>
        <v>0</v>
      </c>
      <c r="B219" s="268" t="str">
        <f t="shared" si="18"/>
        <v/>
      </c>
      <c r="C219" s="269"/>
      <c r="D219" s="269"/>
      <c r="E219" s="269"/>
      <c r="F219" s="269"/>
      <c r="G219" s="203"/>
      <c r="H219" s="220">
        <v>214</v>
      </c>
      <c r="I219" s="221" t="str">
        <f t="shared" si="22"/>
        <v/>
      </c>
      <c r="J219" s="220">
        <f t="shared" si="23"/>
        <v>-2</v>
      </c>
      <c r="K219" s="220">
        <f t="shared" si="19"/>
        <v>-20</v>
      </c>
      <c r="L219" s="220"/>
      <c r="M219" s="222">
        <f t="shared" si="20"/>
        <v>0</v>
      </c>
      <c r="N219" s="203"/>
      <c r="O219" s="203"/>
      <c r="P219" s="203"/>
      <c r="Q219" s="203"/>
      <c r="R219" s="203"/>
    </row>
    <row r="220" spans="1:19" s="208" customFormat="1">
      <c r="A220" s="271">
        <f t="shared" si="21"/>
        <v>0</v>
      </c>
      <c r="B220" s="265" t="str">
        <f t="shared" si="18"/>
        <v/>
      </c>
      <c r="C220" s="266"/>
      <c r="D220" s="266"/>
      <c r="E220" s="266"/>
      <c r="F220" s="266"/>
      <c r="G220" s="203"/>
      <c r="H220" s="217">
        <v>215</v>
      </c>
      <c r="I220" s="218" t="str">
        <f t="shared" si="22"/>
        <v/>
      </c>
      <c r="J220" s="217">
        <f t="shared" si="23"/>
        <v>-2</v>
      </c>
      <c r="K220" s="217">
        <f t="shared" si="19"/>
        <v>-20</v>
      </c>
      <c r="L220" s="217"/>
      <c r="M220" s="219">
        <f t="shared" si="20"/>
        <v>0</v>
      </c>
      <c r="N220" s="203"/>
      <c r="O220" s="203"/>
      <c r="P220" s="203"/>
      <c r="Q220" s="203"/>
      <c r="R220" s="203"/>
    </row>
    <row r="221" spans="1:19" s="208" customFormat="1">
      <c r="A221" s="270">
        <f t="shared" si="21"/>
        <v>0</v>
      </c>
      <c r="B221" s="268" t="str">
        <f t="shared" si="18"/>
        <v/>
      </c>
      <c r="C221" s="269"/>
      <c r="D221" s="269"/>
      <c r="E221" s="269"/>
      <c r="F221" s="269"/>
      <c r="G221" s="203"/>
      <c r="H221" s="220">
        <v>216</v>
      </c>
      <c r="I221" s="221" t="str">
        <f t="shared" si="22"/>
        <v/>
      </c>
      <c r="J221" s="220">
        <f t="shared" si="23"/>
        <v>-2</v>
      </c>
      <c r="K221" s="220">
        <f t="shared" si="19"/>
        <v>-20</v>
      </c>
      <c r="L221" s="220"/>
      <c r="M221" s="222">
        <f t="shared" si="20"/>
        <v>0</v>
      </c>
      <c r="N221" s="203"/>
      <c r="O221" s="203"/>
      <c r="P221" s="203"/>
      <c r="Q221" s="203"/>
      <c r="R221" s="203"/>
      <c r="S221" s="232"/>
    </row>
    <row r="222" spans="1:19" s="208" customFormat="1">
      <c r="A222" s="271">
        <f t="shared" si="21"/>
        <v>0</v>
      </c>
      <c r="B222" s="265" t="str">
        <f t="shared" si="18"/>
        <v/>
      </c>
      <c r="C222" s="266"/>
      <c r="D222" s="266"/>
      <c r="E222" s="266"/>
      <c r="F222" s="266"/>
      <c r="G222" s="203"/>
      <c r="H222" s="217">
        <v>217</v>
      </c>
      <c r="I222" s="218" t="str">
        <f t="shared" si="22"/>
        <v/>
      </c>
      <c r="J222" s="217">
        <f t="shared" si="23"/>
        <v>-2</v>
      </c>
      <c r="K222" s="217">
        <f t="shared" si="19"/>
        <v>-20</v>
      </c>
      <c r="L222" s="217"/>
      <c r="M222" s="219">
        <f t="shared" si="20"/>
        <v>0</v>
      </c>
      <c r="N222" s="203"/>
      <c r="O222" s="203"/>
      <c r="P222" s="203"/>
      <c r="Q222" s="203"/>
      <c r="R222" s="203"/>
    </row>
    <row r="223" spans="1:19" s="208" customFormat="1">
      <c r="A223" s="270">
        <f t="shared" si="21"/>
        <v>0</v>
      </c>
      <c r="B223" s="268" t="str">
        <f t="shared" si="18"/>
        <v/>
      </c>
      <c r="C223" s="269"/>
      <c r="D223" s="269"/>
      <c r="E223" s="269"/>
      <c r="F223" s="269"/>
      <c r="G223" s="203"/>
      <c r="H223" s="220">
        <v>218</v>
      </c>
      <c r="I223" s="221" t="str">
        <f t="shared" si="22"/>
        <v/>
      </c>
      <c r="J223" s="220">
        <f t="shared" si="23"/>
        <v>-2</v>
      </c>
      <c r="K223" s="220">
        <f t="shared" si="19"/>
        <v>-20</v>
      </c>
      <c r="L223" s="220"/>
      <c r="M223" s="222">
        <f t="shared" si="20"/>
        <v>0</v>
      </c>
      <c r="N223" s="203"/>
      <c r="O223" s="203"/>
      <c r="P223" s="203"/>
      <c r="Q223" s="203"/>
      <c r="R223" s="203"/>
    </row>
    <row r="224" spans="1:19" s="208" customFormat="1">
      <c r="A224" s="271">
        <f t="shared" si="21"/>
        <v>0</v>
      </c>
      <c r="B224" s="265" t="str">
        <f t="shared" si="18"/>
        <v/>
      </c>
      <c r="C224" s="266"/>
      <c r="D224" s="266"/>
      <c r="E224" s="266"/>
      <c r="F224" s="266"/>
      <c r="G224" s="203"/>
      <c r="H224" s="217">
        <v>219</v>
      </c>
      <c r="I224" s="218" t="str">
        <f t="shared" si="22"/>
        <v/>
      </c>
      <c r="J224" s="217">
        <f t="shared" si="23"/>
        <v>-2</v>
      </c>
      <c r="K224" s="217">
        <f t="shared" si="19"/>
        <v>-20</v>
      </c>
      <c r="L224" s="217"/>
      <c r="M224" s="219">
        <f t="shared" si="20"/>
        <v>0</v>
      </c>
      <c r="N224" s="203"/>
      <c r="O224" s="203"/>
      <c r="P224" s="203"/>
      <c r="Q224" s="203"/>
      <c r="R224" s="203"/>
    </row>
    <row r="225" spans="1:38" s="208" customFormat="1">
      <c r="A225" s="270">
        <f t="shared" si="21"/>
        <v>0</v>
      </c>
      <c r="B225" s="268" t="str">
        <f t="shared" si="18"/>
        <v/>
      </c>
      <c r="C225" s="269"/>
      <c r="D225" s="269"/>
      <c r="E225" s="269"/>
      <c r="F225" s="269"/>
      <c r="G225" s="203"/>
      <c r="H225" s="220">
        <v>220</v>
      </c>
      <c r="I225" s="221" t="str">
        <f t="shared" si="22"/>
        <v/>
      </c>
      <c r="J225" s="220">
        <f t="shared" si="23"/>
        <v>-2</v>
      </c>
      <c r="K225" s="220">
        <f t="shared" si="19"/>
        <v>-20</v>
      </c>
      <c r="L225" s="220"/>
      <c r="M225" s="222">
        <f t="shared" si="20"/>
        <v>0</v>
      </c>
      <c r="N225" s="203"/>
      <c r="O225" s="203"/>
      <c r="P225" s="203"/>
      <c r="Q225" s="203"/>
      <c r="R225" s="203"/>
    </row>
    <row r="226" spans="1:38" s="208" customFormat="1">
      <c r="A226" s="271">
        <f t="shared" si="21"/>
        <v>0</v>
      </c>
      <c r="B226" s="265" t="str">
        <f t="shared" si="18"/>
        <v/>
      </c>
      <c r="C226" s="266"/>
      <c r="D226" s="266"/>
      <c r="E226" s="266"/>
      <c r="F226" s="266"/>
      <c r="G226" s="203"/>
      <c r="H226" s="217">
        <v>221</v>
      </c>
      <c r="I226" s="218" t="str">
        <f t="shared" si="22"/>
        <v/>
      </c>
      <c r="J226" s="217">
        <f t="shared" si="23"/>
        <v>-2</v>
      </c>
      <c r="K226" s="217">
        <f t="shared" si="19"/>
        <v>-20</v>
      </c>
      <c r="L226" s="217"/>
      <c r="M226" s="219">
        <f t="shared" si="20"/>
        <v>0</v>
      </c>
      <c r="N226" s="203"/>
      <c r="O226" s="203"/>
      <c r="P226" s="203"/>
      <c r="Q226" s="203"/>
      <c r="R226" s="203"/>
    </row>
    <row r="227" spans="1:38" s="208" customFormat="1">
      <c r="A227" s="270">
        <f t="shared" si="21"/>
        <v>0</v>
      </c>
      <c r="B227" s="268" t="str">
        <f t="shared" si="18"/>
        <v/>
      </c>
      <c r="C227" s="269"/>
      <c r="D227" s="269"/>
      <c r="E227" s="269"/>
      <c r="F227" s="269"/>
      <c r="G227" s="203"/>
      <c r="H227" s="220">
        <v>222</v>
      </c>
      <c r="I227" s="221" t="str">
        <f t="shared" si="22"/>
        <v/>
      </c>
      <c r="J227" s="220">
        <f t="shared" si="23"/>
        <v>-2</v>
      </c>
      <c r="K227" s="220">
        <f t="shared" si="19"/>
        <v>-20</v>
      </c>
      <c r="L227" s="220"/>
      <c r="M227" s="222">
        <f t="shared" si="20"/>
        <v>0</v>
      </c>
      <c r="N227" s="203"/>
      <c r="O227" s="203"/>
      <c r="P227" s="203"/>
      <c r="Q227" s="203"/>
      <c r="R227" s="203"/>
    </row>
    <row r="228" spans="1:38" s="208" customFormat="1">
      <c r="A228" s="271">
        <f t="shared" si="21"/>
        <v>0</v>
      </c>
      <c r="B228" s="265" t="str">
        <f t="shared" si="18"/>
        <v/>
      </c>
      <c r="C228" s="266"/>
      <c r="D228" s="266"/>
      <c r="E228" s="266"/>
      <c r="F228" s="266"/>
      <c r="G228" s="203"/>
      <c r="H228" s="217">
        <v>223</v>
      </c>
      <c r="I228" s="218" t="str">
        <f t="shared" si="22"/>
        <v/>
      </c>
      <c r="J228" s="217">
        <f t="shared" si="23"/>
        <v>-2</v>
      </c>
      <c r="K228" s="217">
        <f t="shared" si="19"/>
        <v>-20</v>
      </c>
      <c r="L228" s="217"/>
      <c r="M228" s="219">
        <f t="shared" si="20"/>
        <v>0</v>
      </c>
      <c r="N228" s="203"/>
      <c r="O228" s="203"/>
      <c r="P228" s="203"/>
      <c r="Q228" s="203"/>
      <c r="R228" s="203"/>
    </row>
    <row r="229" spans="1:38" s="203" customFormat="1">
      <c r="A229" s="270">
        <f t="shared" si="21"/>
        <v>0</v>
      </c>
      <c r="B229" s="268" t="str">
        <f t="shared" si="18"/>
        <v/>
      </c>
      <c r="C229" s="269"/>
      <c r="D229" s="269"/>
      <c r="E229" s="269"/>
      <c r="F229" s="269"/>
      <c r="H229" s="220">
        <v>224</v>
      </c>
      <c r="I229" s="221" t="str">
        <f t="shared" si="22"/>
        <v/>
      </c>
      <c r="J229" s="220">
        <f t="shared" si="23"/>
        <v>-2</v>
      </c>
      <c r="K229" s="220">
        <f t="shared" si="19"/>
        <v>-20</v>
      </c>
      <c r="L229" s="220"/>
      <c r="M229" s="222">
        <f t="shared" si="20"/>
        <v>0</v>
      </c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</row>
    <row r="230" spans="1:38" s="203" customFormat="1">
      <c r="A230" s="271">
        <f t="shared" si="21"/>
        <v>0</v>
      </c>
      <c r="B230" s="265" t="str">
        <f t="shared" si="18"/>
        <v/>
      </c>
      <c r="C230" s="266"/>
      <c r="D230" s="266"/>
      <c r="E230" s="266"/>
      <c r="F230" s="266"/>
      <c r="H230" s="217">
        <v>225</v>
      </c>
      <c r="I230" s="218" t="str">
        <f t="shared" si="22"/>
        <v/>
      </c>
      <c r="J230" s="217">
        <f t="shared" si="23"/>
        <v>-2</v>
      </c>
      <c r="K230" s="217">
        <f t="shared" si="19"/>
        <v>-20</v>
      </c>
      <c r="L230" s="217"/>
      <c r="M230" s="219">
        <f t="shared" si="20"/>
        <v>0</v>
      </c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</row>
    <row r="231" spans="1:38" s="203" customFormat="1">
      <c r="A231" s="270">
        <f t="shared" si="21"/>
        <v>0</v>
      </c>
      <c r="B231" s="268" t="str">
        <f t="shared" si="18"/>
        <v/>
      </c>
      <c r="C231" s="269"/>
      <c r="D231" s="269"/>
      <c r="E231" s="269"/>
      <c r="F231" s="269"/>
      <c r="H231" s="220">
        <v>226</v>
      </c>
      <c r="I231" s="221" t="str">
        <f t="shared" si="22"/>
        <v/>
      </c>
      <c r="J231" s="220">
        <f t="shared" si="23"/>
        <v>-2</v>
      </c>
      <c r="K231" s="220">
        <f t="shared" si="19"/>
        <v>-20</v>
      </c>
      <c r="L231" s="220"/>
      <c r="M231" s="222">
        <f t="shared" si="20"/>
        <v>0</v>
      </c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</row>
    <row r="232" spans="1:38" s="203" customFormat="1">
      <c r="A232" s="271">
        <f t="shared" si="21"/>
        <v>0</v>
      </c>
      <c r="B232" s="265" t="str">
        <f t="shared" si="18"/>
        <v/>
      </c>
      <c r="C232" s="266"/>
      <c r="D232" s="266"/>
      <c r="E232" s="266"/>
      <c r="F232" s="266"/>
      <c r="H232" s="217">
        <v>227</v>
      </c>
      <c r="I232" s="218" t="str">
        <f t="shared" si="22"/>
        <v/>
      </c>
      <c r="J232" s="217">
        <f t="shared" si="23"/>
        <v>-2</v>
      </c>
      <c r="K232" s="217">
        <f t="shared" si="19"/>
        <v>-20</v>
      </c>
      <c r="L232" s="217"/>
      <c r="M232" s="219">
        <f t="shared" si="20"/>
        <v>0</v>
      </c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</row>
    <row r="233" spans="1:38" s="203" customFormat="1">
      <c r="A233" s="270">
        <f t="shared" si="21"/>
        <v>0</v>
      </c>
      <c r="B233" s="268" t="str">
        <f t="shared" si="18"/>
        <v/>
      </c>
      <c r="C233" s="269"/>
      <c r="D233" s="269"/>
      <c r="E233" s="269"/>
      <c r="F233" s="269"/>
      <c r="H233" s="220">
        <v>228</v>
      </c>
      <c r="I233" s="221" t="str">
        <f t="shared" si="22"/>
        <v/>
      </c>
      <c r="J233" s="220">
        <f t="shared" si="23"/>
        <v>-2</v>
      </c>
      <c r="K233" s="220">
        <f t="shared" si="19"/>
        <v>-20</v>
      </c>
      <c r="L233" s="220"/>
      <c r="M233" s="222">
        <f t="shared" si="20"/>
        <v>0</v>
      </c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</row>
    <row r="234" spans="1:38" s="203" customFormat="1">
      <c r="A234" s="271">
        <f t="shared" si="21"/>
        <v>0</v>
      </c>
      <c r="B234" s="265" t="str">
        <f t="shared" si="18"/>
        <v/>
      </c>
      <c r="C234" s="266"/>
      <c r="D234" s="266"/>
      <c r="E234" s="266"/>
      <c r="F234" s="266"/>
      <c r="H234" s="217">
        <v>229</v>
      </c>
      <c r="I234" s="218" t="str">
        <f t="shared" si="22"/>
        <v/>
      </c>
      <c r="J234" s="217">
        <f t="shared" si="23"/>
        <v>-2</v>
      </c>
      <c r="K234" s="217">
        <f t="shared" si="19"/>
        <v>-20</v>
      </c>
      <c r="L234" s="217"/>
      <c r="M234" s="219">
        <f t="shared" si="20"/>
        <v>0</v>
      </c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</row>
    <row r="235" spans="1:38" s="203" customFormat="1">
      <c r="A235" s="270">
        <f t="shared" si="21"/>
        <v>0</v>
      </c>
      <c r="B235" s="268" t="str">
        <f t="shared" si="18"/>
        <v/>
      </c>
      <c r="C235" s="269"/>
      <c r="D235" s="269"/>
      <c r="E235" s="269"/>
      <c r="F235" s="269"/>
      <c r="H235" s="220">
        <v>230</v>
      </c>
      <c r="I235" s="221" t="str">
        <f t="shared" si="22"/>
        <v/>
      </c>
      <c r="J235" s="220">
        <f t="shared" si="23"/>
        <v>-2</v>
      </c>
      <c r="K235" s="220">
        <f t="shared" si="19"/>
        <v>-20</v>
      </c>
      <c r="L235" s="220"/>
      <c r="M235" s="222">
        <f t="shared" si="20"/>
        <v>0</v>
      </c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</row>
    <row r="236" spans="1:38" s="203" customFormat="1">
      <c r="A236" s="271">
        <f t="shared" si="21"/>
        <v>0</v>
      </c>
      <c r="B236" s="265" t="str">
        <f t="shared" si="18"/>
        <v/>
      </c>
      <c r="C236" s="266"/>
      <c r="D236" s="266"/>
      <c r="E236" s="266"/>
      <c r="F236" s="266"/>
      <c r="H236" s="217">
        <v>231</v>
      </c>
      <c r="I236" s="218" t="str">
        <f t="shared" si="22"/>
        <v/>
      </c>
      <c r="J236" s="217">
        <f t="shared" si="23"/>
        <v>-2</v>
      </c>
      <c r="K236" s="217">
        <f t="shared" si="19"/>
        <v>-20</v>
      </c>
      <c r="L236" s="217"/>
      <c r="M236" s="219">
        <f t="shared" si="20"/>
        <v>0</v>
      </c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</row>
    <row r="237" spans="1:38" s="203" customFormat="1">
      <c r="A237" s="270">
        <f t="shared" si="21"/>
        <v>0</v>
      </c>
      <c r="B237" s="268" t="str">
        <f t="shared" si="18"/>
        <v/>
      </c>
      <c r="C237" s="269"/>
      <c r="D237" s="269"/>
      <c r="E237" s="269"/>
      <c r="F237" s="269"/>
      <c r="H237" s="220">
        <v>232</v>
      </c>
      <c r="I237" s="221" t="str">
        <f t="shared" si="22"/>
        <v/>
      </c>
      <c r="J237" s="220">
        <f t="shared" si="23"/>
        <v>-2</v>
      </c>
      <c r="K237" s="220">
        <f t="shared" si="19"/>
        <v>-20</v>
      </c>
      <c r="L237" s="220"/>
      <c r="M237" s="222">
        <f t="shared" si="20"/>
        <v>0</v>
      </c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</row>
    <row r="238" spans="1:38" s="203" customFormat="1">
      <c r="A238" s="271">
        <f t="shared" si="21"/>
        <v>0</v>
      </c>
      <c r="B238" s="265" t="str">
        <f t="shared" si="18"/>
        <v/>
      </c>
      <c r="C238" s="266"/>
      <c r="D238" s="266"/>
      <c r="E238" s="266"/>
      <c r="F238" s="266"/>
      <c r="H238" s="217">
        <v>233</v>
      </c>
      <c r="I238" s="218" t="str">
        <f t="shared" si="22"/>
        <v/>
      </c>
      <c r="J238" s="217">
        <f t="shared" si="23"/>
        <v>-2</v>
      </c>
      <c r="K238" s="217">
        <f t="shared" si="19"/>
        <v>-20</v>
      </c>
      <c r="L238" s="217"/>
      <c r="M238" s="219">
        <f t="shared" si="20"/>
        <v>0</v>
      </c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</row>
    <row r="239" spans="1:38" s="203" customFormat="1">
      <c r="A239" s="270">
        <f t="shared" si="21"/>
        <v>0</v>
      </c>
      <c r="B239" s="268" t="str">
        <f t="shared" si="18"/>
        <v/>
      </c>
      <c r="C239" s="269"/>
      <c r="D239" s="269"/>
      <c r="E239" s="269"/>
      <c r="F239" s="269"/>
      <c r="H239" s="220">
        <v>234</v>
      </c>
      <c r="I239" s="221" t="str">
        <f t="shared" si="22"/>
        <v/>
      </c>
      <c r="J239" s="220">
        <f t="shared" si="23"/>
        <v>-2</v>
      </c>
      <c r="K239" s="220">
        <f t="shared" si="19"/>
        <v>-20</v>
      </c>
      <c r="L239" s="220"/>
      <c r="M239" s="222">
        <f t="shared" si="20"/>
        <v>0</v>
      </c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  <c r="AD239" s="208"/>
      <c r="AE239" s="208"/>
      <c r="AF239" s="208"/>
      <c r="AG239" s="208"/>
      <c r="AH239" s="208"/>
      <c r="AI239" s="208"/>
      <c r="AJ239" s="208"/>
      <c r="AK239" s="208"/>
      <c r="AL239" s="208"/>
    </row>
    <row r="240" spans="1:38" s="203" customFormat="1">
      <c r="A240" s="271">
        <f t="shared" si="21"/>
        <v>0</v>
      </c>
      <c r="B240" s="265" t="str">
        <f t="shared" si="18"/>
        <v/>
      </c>
      <c r="C240" s="266"/>
      <c r="D240" s="266"/>
      <c r="E240" s="266"/>
      <c r="F240" s="266"/>
      <c r="H240" s="217">
        <v>235</v>
      </c>
      <c r="I240" s="218" t="str">
        <f t="shared" si="22"/>
        <v/>
      </c>
      <c r="J240" s="217">
        <f t="shared" si="23"/>
        <v>-2</v>
      </c>
      <c r="K240" s="217">
        <f t="shared" si="19"/>
        <v>-20</v>
      </c>
      <c r="L240" s="217"/>
      <c r="M240" s="219">
        <f t="shared" si="20"/>
        <v>0</v>
      </c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  <c r="AD240" s="208"/>
      <c r="AE240" s="208"/>
      <c r="AF240" s="208"/>
      <c r="AG240" s="208"/>
      <c r="AH240" s="208"/>
      <c r="AI240" s="208"/>
      <c r="AJ240" s="208"/>
      <c r="AK240" s="208"/>
      <c r="AL240" s="208"/>
    </row>
    <row r="241" spans="1:38" s="203" customFormat="1">
      <c r="A241" s="270">
        <f t="shared" si="21"/>
        <v>0</v>
      </c>
      <c r="B241" s="268" t="str">
        <f t="shared" si="18"/>
        <v/>
      </c>
      <c r="C241" s="269"/>
      <c r="D241" s="269"/>
      <c r="E241" s="269"/>
      <c r="F241" s="269"/>
      <c r="H241" s="220">
        <v>236</v>
      </c>
      <c r="I241" s="221" t="str">
        <f t="shared" si="22"/>
        <v/>
      </c>
      <c r="J241" s="220">
        <f t="shared" si="23"/>
        <v>-2</v>
      </c>
      <c r="K241" s="220">
        <f t="shared" si="19"/>
        <v>-20</v>
      </c>
      <c r="L241" s="220"/>
      <c r="M241" s="222">
        <f t="shared" si="20"/>
        <v>0</v>
      </c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  <c r="AD241" s="208"/>
      <c r="AE241" s="208"/>
      <c r="AF241" s="208"/>
      <c r="AG241" s="208"/>
      <c r="AH241" s="208"/>
      <c r="AI241" s="208"/>
      <c r="AJ241" s="208"/>
      <c r="AK241" s="208"/>
      <c r="AL241" s="208"/>
    </row>
    <row r="242" spans="1:38" s="203" customFormat="1">
      <c r="A242" s="271">
        <f t="shared" si="21"/>
        <v>0</v>
      </c>
      <c r="B242" s="265" t="str">
        <f t="shared" si="18"/>
        <v/>
      </c>
      <c r="C242" s="266"/>
      <c r="D242" s="266"/>
      <c r="E242" s="266"/>
      <c r="F242" s="266"/>
      <c r="H242" s="217">
        <v>237</v>
      </c>
      <c r="I242" s="218" t="str">
        <f t="shared" si="22"/>
        <v/>
      </c>
      <c r="J242" s="217">
        <f t="shared" si="23"/>
        <v>-2</v>
      </c>
      <c r="K242" s="217">
        <f t="shared" si="19"/>
        <v>-20</v>
      </c>
      <c r="L242" s="217"/>
      <c r="M242" s="219">
        <f t="shared" si="20"/>
        <v>0</v>
      </c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  <c r="AD242" s="208"/>
      <c r="AE242" s="208"/>
      <c r="AF242" s="208"/>
      <c r="AG242" s="208"/>
      <c r="AH242" s="208"/>
      <c r="AI242" s="208"/>
      <c r="AJ242" s="208"/>
      <c r="AK242" s="208"/>
      <c r="AL242" s="208"/>
    </row>
    <row r="243" spans="1:38" s="203" customFormat="1">
      <c r="A243" s="270">
        <f t="shared" si="21"/>
        <v>0</v>
      </c>
      <c r="B243" s="268" t="str">
        <f t="shared" si="18"/>
        <v/>
      </c>
      <c r="C243" s="269"/>
      <c r="D243" s="269"/>
      <c r="E243" s="269"/>
      <c r="F243" s="269"/>
      <c r="H243" s="220">
        <v>238</v>
      </c>
      <c r="I243" s="221" t="str">
        <f t="shared" si="22"/>
        <v/>
      </c>
      <c r="J243" s="220">
        <f t="shared" si="23"/>
        <v>-2</v>
      </c>
      <c r="K243" s="220">
        <f t="shared" si="19"/>
        <v>-20</v>
      </c>
      <c r="L243" s="220"/>
      <c r="M243" s="222">
        <f t="shared" si="20"/>
        <v>0</v>
      </c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  <c r="AD243" s="208"/>
      <c r="AE243" s="208"/>
      <c r="AF243" s="208"/>
      <c r="AG243" s="208"/>
      <c r="AH243" s="208"/>
      <c r="AI243" s="208"/>
      <c r="AJ243" s="208"/>
      <c r="AK243" s="208"/>
      <c r="AL243" s="208"/>
    </row>
    <row r="244" spans="1:38" s="203" customFormat="1">
      <c r="A244" s="271">
        <f t="shared" si="21"/>
        <v>0</v>
      </c>
      <c r="B244" s="265" t="str">
        <f t="shared" si="18"/>
        <v/>
      </c>
      <c r="C244" s="266"/>
      <c r="D244" s="266"/>
      <c r="E244" s="266"/>
      <c r="F244" s="266"/>
      <c r="H244" s="217">
        <v>239</v>
      </c>
      <c r="I244" s="218" t="str">
        <f t="shared" si="22"/>
        <v/>
      </c>
      <c r="J244" s="217">
        <f t="shared" si="23"/>
        <v>-2</v>
      </c>
      <c r="K244" s="217">
        <f t="shared" si="19"/>
        <v>-20</v>
      </c>
      <c r="L244" s="217"/>
      <c r="M244" s="219">
        <f t="shared" si="20"/>
        <v>0</v>
      </c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  <c r="AD244" s="208"/>
      <c r="AE244" s="208"/>
      <c r="AF244" s="208"/>
      <c r="AG244" s="208"/>
      <c r="AH244" s="208"/>
      <c r="AI244" s="208"/>
      <c r="AJ244" s="208"/>
      <c r="AK244" s="208"/>
      <c r="AL244" s="208"/>
    </row>
    <row r="245" spans="1:38" s="203" customFormat="1">
      <c r="A245" s="270">
        <f t="shared" si="21"/>
        <v>0</v>
      </c>
      <c r="B245" s="268" t="str">
        <f t="shared" si="18"/>
        <v/>
      </c>
      <c r="C245" s="269"/>
      <c r="D245" s="269"/>
      <c r="E245" s="269"/>
      <c r="F245" s="269"/>
      <c r="H245" s="220">
        <v>240</v>
      </c>
      <c r="I245" s="221" t="str">
        <f t="shared" si="22"/>
        <v/>
      </c>
      <c r="J245" s="220">
        <f t="shared" si="23"/>
        <v>-2</v>
      </c>
      <c r="K245" s="220">
        <f t="shared" si="19"/>
        <v>-20</v>
      </c>
      <c r="L245" s="220"/>
      <c r="M245" s="222">
        <f t="shared" si="20"/>
        <v>0</v>
      </c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</row>
    <row r="246" spans="1:38" s="208" customFormat="1">
      <c r="A246" s="271">
        <f t="shared" si="21"/>
        <v>0</v>
      </c>
      <c r="B246" s="265" t="str">
        <f t="shared" si="18"/>
        <v/>
      </c>
      <c r="C246" s="266"/>
      <c r="D246" s="266"/>
      <c r="E246" s="266"/>
      <c r="F246" s="266"/>
      <c r="G246" s="203"/>
      <c r="H246" s="217">
        <v>241</v>
      </c>
      <c r="I246" s="218" t="str">
        <f t="shared" si="22"/>
        <v/>
      </c>
      <c r="J246" s="217">
        <f t="shared" si="23"/>
        <v>-2</v>
      </c>
      <c r="K246" s="217">
        <f t="shared" si="19"/>
        <v>-20</v>
      </c>
      <c r="L246" s="217"/>
      <c r="M246" s="219">
        <f t="shared" si="20"/>
        <v>0</v>
      </c>
      <c r="N246" s="203"/>
      <c r="O246" s="203"/>
      <c r="P246" s="203"/>
      <c r="Q246" s="203"/>
      <c r="R246" s="203"/>
    </row>
    <row r="247" spans="1:38" s="208" customFormat="1">
      <c r="A247" s="270">
        <f t="shared" si="21"/>
        <v>0</v>
      </c>
      <c r="B247" s="268" t="str">
        <f t="shared" si="18"/>
        <v/>
      </c>
      <c r="C247" s="269"/>
      <c r="D247" s="269"/>
      <c r="E247" s="269"/>
      <c r="F247" s="269"/>
      <c r="G247" s="203"/>
      <c r="H247" s="220">
        <v>242</v>
      </c>
      <c r="I247" s="221" t="str">
        <f t="shared" si="22"/>
        <v/>
      </c>
      <c r="J247" s="220">
        <f t="shared" si="23"/>
        <v>-2</v>
      </c>
      <c r="K247" s="220">
        <f t="shared" si="19"/>
        <v>-20</v>
      </c>
      <c r="L247" s="220"/>
      <c r="M247" s="222">
        <f t="shared" si="20"/>
        <v>0</v>
      </c>
      <c r="N247" s="203"/>
      <c r="O247" s="203"/>
      <c r="P247" s="203"/>
      <c r="Q247" s="203"/>
      <c r="R247" s="203"/>
      <c r="S247" s="232"/>
    </row>
    <row r="248" spans="1:38" s="208" customFormat="1">
      <c r="A248" s="271">
        <f t="shared" si="21"/>
        <v>0</v>
      </c>
      <c r="B248" s="265" t="str">
        <f t="shared" si="18"/>
        <v/>
      </c>
      <c r="C248" s="266"/>
      <c r="D248" s="266"/>
      <c r="E248" s="266"/>
      <c r="F248" s="266"/>
      <c r="G248" s="203"/>
      <c r="H248" s="217">
        <v>243</v>
      </c>
      <c r="I248" s="218" t="str">
        <f t="shared" si="22"/>
        <v/>
      </c>
      <c r="J248" s="217">
        <f t="shared" si="23"/>
        <v>-2</v>
      </c>
      <c r="K248" s="217">
        <f t="shared" si="19"/>
        <v>-20</v>
      </c>
      <c r="L248" s="217"/>
      <c r="M248" s="219">
        <f t="shared" si="20"/>
        <v>0</v>
      </c>
      <c r="N248" s="203"/>
      <c r="O248" s="203"/>
      <c r="P248" s="203"/>
      <c r="Q248" s="203"/>
      <c r="R248" s="203"/>
    </row>
    <row r="249" spans="1:38" s="208" customFormat="1">
      <c r="A249" s="270">
        <f t="shared" si="21"/>
        <v>0</v>
      </c>
      <c r="B249" s="268" t="str">
        <f t="shared" si="18"/>
        <v/>
      </c>
      <c r="C249" s="269"/>
      <c r="D249" s="269"/>
      <c r="E249" s="269"/>
      <c r="F249" s="269"/>
      <c r="G249" s="203"/>
      <c r="H249" s="220">
        <v>244</v>
      </c>
      <c r="I249" s="221" t="str">
        <f t="shared" si="22"/>
        <v/>
      </c>
      <c r="J249" s="220">
        <f t="shared" si="23"/>
        <v>-2</v>
      </c>
      <c r="K249" s="220">
        <f t="shared" si="19"/>
        <v>-20</v>
      </c>
      <c r="L249" s="220"/>
      <c r="M249" s="222">
        <f t="shared" si="20"/>
        <v>0</v>
      </c>
      <c r="N249" s="203"/>
      <c r="O249" s="203"/>
      <c r="P249" s="203"/>
      <c r="Q249" s="203"/>
      <c r="R249" s="203"/>
    </row>
    <row r="250" spans="1:38" s="208" customFormat="1">
      <c r="A250" s="271">
        <f t="shared" si="21"/>
        <v>0</v>
      </c>
      <c r="B250" s="265" t="str">
        <f t="shared" si="18"/>
        <v/>
      </c>
      <c r="C250" s="266"/>
      <c r="D250" s="266"/>
      <c r="E250" s="266"/>
      <c r="F250" s="266"/>
      <c r="G250" s="203"/>
      <c r="H250" s="217">
        <v>245</v>
      </c>
      <c r="I250" s="218" t="str">
        <f t="shared" si="22"/>
        <v/>
      </c>
      <c r="J250" s="217">
        <f t="shared" si="23"/>
        <v>-2</v>
      </c>
      <c r="K250" s="217">
        <f t="shared" si="19"/>
        <v>-20</v>
      </c>
      <c r="L250" s="217"/>
      <c r="M250" s="219">
        <f t="shared" si="20"/>
        <v>0</v>
      </c>
      <c r="N250" s="203"/>
      <c r="O250" s="203"/>
      <c r="P250" s="203"/>
      <c r="Q250" s="203"/>
      <c r="R250" s="203"/>
    </row>
    <row r="251" spans="1:38" s="208" customFormat="1">
      <c r="A251" s="270">
        <f t="shared" si="21"/>
        <v>0</v>
      </c>
      <c r="B251" s="268" t="str">
        <f t="shared" si="18"/>
        <v/>
      </c>
      <c r="C251" s="269"/>
      <c r="D251" s="269"/>
      <c r="E251" s="269"/>
      <c r="F251" s="269"/>
      <c r="G251" s="203"/>
      <c r="H251" s="220">
        <v>246</v>
      </c>
      <c r="I251" s="221" t="str">
        <f t="shared" si="22"/>
        <v/>
      </c>
      <c r="J251" s="220">
        <f t="shared" si="23"/>
        <v>-2</v>
      </c>
      <c r="K251" s="220">
        <f t="shared" si="19"/>
        <v>-20</v>
      </c>
      <c r="L251" s="220"/>
      <c r="M251" s="222">
        <f t="shared" si="20"/>
        <v>0</v>
      </c>
      <c r="N251" s="203"/>
      <c r="O251" s="203"/>
      <c r="P251" s="203"/>
      <c r="Q251" s="203"/>
      <c r="R251" s="203"/>
    </row>
    <row r="252" spans="1:38" s="208" customFormat="1">
      <c r="A252" s="271">
        <f t="shared" si="21"/>
        <v>0</v>
      </c>
      <c r="B252" s="265" t="str">
        <f t="shared" si="18"/>
        <v/>
      </c>
      <c r="C252" s="266"/>
      <c r="D252" s="266"/>
      <c r="E252" s="266"/>
      <c r="F252" s="266"/>
      <c r="G252" s="203"/>
      <c r="H252" s="217">
        <v>247</v>
      </c>
      <c r="I252" s="218" t="str">
        <f t="shared" si="22"/>
        <v/>
      </c>
      <c r="J252" s="217">
        <f t="shared" si="23"/>
        <v>-2</v>
      </c>
      <c r="K252" s="217">
        <f t="shared" si="19"/>
        <v>-20</v>
      </c>
      <c r="L252" s="217"/>
      <c r="M252" s="219">
        <f t="shared" si="20"/>
        <v>0</v>
      </c>
      <c r="N252" s="203"/>
      <c r="O252" s="203"/>
      <c r="P252" s="203"/>
      <c r="Q252" s="203"/>
      <c r="R252" s="203"/>
    </row>
    <row r="253" spans="1:38" s="208" customFormat="1">
      <c r="A253" s="270">
        <f t="shared" si="21"/>
        <v>0</v>
      </c>
      <c r="B253" s="268" t="str">
        <f t="shared" si="18"/>
        <v/>
      </c>
      <c r="C253" s="269"/>
      <c r="D253" s="269"/>
      <c r="E253" s="269"/>
      <c r="F253" s="269"/>
      <c r="G253" s="203"/>
      <c r="H253" s="220">
        <v>248</v>
      </c>
      <c r="I253" s="221" t="str">
        <f t="shared" si="22"/>
        <v/>
      </c>
      <c r="J253" s="220">
        <f t="shared" si="23"/>
        <v>-2</v>
      </c>
      <c r="K253" s="220">
        <f t="shared" si="19"/>
        <v>-20</v>
      </c>
      <c r="L253" s="220"/>
      <c r="M253" s="222">
        <f t="shared" si="20"/>
        <v>0</v>
      </c>
      <c r="N253" s="203"/>
      <c r="O253" s="203"/>
      <c r="P253" s="203"/>
      <c r="Q253" s="203"/>
      <c r="R253" s="203"/>
    </row>
    <row r="254" spans="1:38" s="208" customFormat="1">
      <c r="A254" s="271">
        <f t="shared" si="21"/>
        <v>0</v>
      </c>
      <c r="B254" s="265" t="str">
        <f t="shared" si="18"/>
        <v/>
      </c>
      <c r="C254" s="266"/>
      <c r="D254" s="266"/>
      <c r="E254" s="266"/>
      <c r="F254" s="266"/>
      <c r="G254" s="203"/>
      <c r="H254" s="217">
        <v>249</v>
      </c>
      <c r="I254" s="218" t="str">
        <f t="shared" si="22"/>
        <v/>
      </c>
      <c r="J254" s="217">
        <f t="shared" si="23"/>
        <v>-2</v>
      </c>
      <c r="K254" s="217">
        <f t="shared" si="19"/>
        <v>-20</v>
      </c>
      <c r="L254" s="217"/>
      <c r="M254" s="219">
        <f t="shared" si="20"/>
        <v>0</v>
      </c>
      <c r="N254" s="203"/>
      <c r="O254" s="203"/>
      <c r="P254" s="203"/>
      <c r="Q254" s="203"/>
      <c r="R254" s="203"/>
    </row>
    <row r="255" spans="1:38" s="203" customFormat="1">
      <c r="A255" s="270">
        <f t="shared" si="21"/>
        <v>0</v>
      </c>
      <c r="B255" s="268" t="str">
        <f t="shared" si="18"/>
        <v/>
      </c>
      <c r="C255" s="269"/>
      <c r="D255" s="269"/>
      <c r="E255" s="269"/>
      <c r="F255" s="269"/>
      <c r="H255" s="220">
        <v>250</v>
      </c>
      <c r="I255" s="221" t="str">
        <f t="shared" si="22"/>
        <v/>
      </c>
      <c r="J255" s="220">
        <f t="shared" si="23"/>
        <v>-2</v>
      </c>
      <c r="K255" s="220">
        <f t="shared" si="19"/>
        <v>-20</v>
      </c>
      <c r="L255" s="220"/>
      <c r="M255" s="222">
        <f t="shared" si="20"/>
        <v>0</v>
      </c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</row>
    <row r="256" spans="1:38" s="203" customFormat="1">
      <c r="A256" s="271">
        <f t="shared" si="21"/>
        <v>0</v>
      </c>
      <c r="B256" s="265" t="str">
        <f t="shared" si="18"/>
        <v/>
      </c>
      <c r="C256" s="266"/>
      <c r="D256" s="266"/>
      <c r="E256" s="266"/>
      <c r="F256" s="266"/>
      <c r="H256" s="217">
        <v>251</v>
      </c>
      <c r="I256" s="218" t="str">
        <f t="shared" si="22"/>
        <v/>
      </c>
      <c r="J256" s="217">
        <f t="shared" si="23"/>
        <v>-2</v>
      </c>
      <c r="K256" s="217">
        <f t="shared" si="19"/>
        <v>-20</v>
      </c>
      <c r="L256" s="217"/>
      <c r="M256" s="219">
        <f t="shared" si="20"/>
        <v>0</v>
      </c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</row>
    <row r="257" spans="1:38" s="203" customFormat="1">
      <c r="A257" s="270">
        <f t="shared" si="21"/>
        <v>0</v>
      </c>
      <c r="B257" s="268" t="str">
        <f t="shared" si="18"/>
        <v/>
      </c>
      <c r="C257" s="269"/>
      <c r="D257" s="269"/>
      <c r="E257" s="269"/>
      <c r="F257" s="269"/>
      <c r="H257" s="220">
        <v>252</v>
      </c>
      <c r="I257" s="221" t="str">
        <f t="shared" si="22"/>
        <v/>
      </c>
      <c r="J257" s="220">
        <f t="shared" si="23"/>
        <v>-2</v>
      </c>
      <c r="K257" s="220">
        <f t="shared" si="19"/>
        <v>-20</v>
      </c>
      <c r="L257" s="220"/>
      <c r="M257" s="222">
        <f t="shared" si="20"/>
        <v>0</v>
      </c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  <c r="AD257" s="208"/>
      <c r="AE257" s="208"/>
      <c r="AF257" s="208"/>
      <c r="AG257" s="208"/>
      <c r="AH257" s="208"/>
      <c r="AI257" s="208"/>
      <c r="AJ257" s="208"/>
      <c r="AK257" s="208"/>
      <c r="AL257" s="208"/>
    </row>
    <row r="258" spans="1:38" s="203" customFormat="1">
      <c r="A258" s="271">
        <f t="shared" si="21"/>
        <v>0</v>
      </c>
      <c r="B258" s="265" t="str">
        <f t="shared" si="18"/>
        <v/>
      </c>
      <c r="C258" s="266"/>
      <c r="D258" s="266"/>
      <c r="E258" s="266"/>
      <c r="F258" s="266"/>
      <c r="H258" s="217">
        <v>253</v>
      </c>
      <c r="I258" s="218" t="str">
        <f t="shared" si="22"/>
        <v/>
      </c>
      <c r="J258" s="217">
        <f t="shared" si="23"/>
        <v>-2</v>
      </c>
      <c r="K258" s="217">
        <f t="shared" si="19"/>
        <v>-20</v>
      </c>
      <c r="L258" s="217"/>
      <c r="M258" s="219">
        <f t="shared" si="20"/>
        <v>0</v>
      </c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</row>
    <row r="259" spans="1:38" s="203" customFormat="1">
      <c r="A259" s="270">
        <f t="shared" si="21"/>
        <v>0</v>
      </c>
      <c r="B259" s="268" t="str">
        <f t="shared" si="18"/>
        <v/>
      </c>
      <c r="C259" s="269"/>
      <c r="D259" s="269"/>
      <c r="E259" s="269"/>
      <c r="F259" s="269"/>
      <c r="H259" s="220">
        <v>254</v>
      </c>
      <c r="I259" s="221" t="str">
        <f t="shared" si="22"/>
        <v/>
      </c>
      <c r="J259" s="220">
        <f t="shared" si="23"/>
        <v>-2</v>
      </c>
      <c r="K259" s="220">
        <f t="shared" si="19"/>
        <v>-20</v>
      </c>
      <c r="L259" s="220"/>
      <c r="M259" s="222">
        <f t="shared" si="20"/>
        <v>0</v>
      </c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  <c r="AD259" s="208"/>
      <c r="AE259" s="208"/>
      <c r="AF259" s="208"/>
      <c r="AG259" s="208"/>
      <c r="AH259" s="208"/>
      <c r="AI259" s="208"/>
      <c r="AJ259" s="208"/>
      <c r="AK259" s="208"/>
      <c r="AL259" s="208"/>
    </row>
    <row r="260" spans="1:38" s="203" customFormat="1">
      <c r="A260" s="271">
        <f t="shared" si="21"/>
        <v>0</v>
      </c>
      <c r="B260" s="265" t="str">
        <f t="shared" si="18"/>
        <v/>
      </c>
      <c r="C260" s="266"/>
      <c r="D260" s="266"/>
      <c r="E260" s="266"/>
      <c r="F260" s="266"/>
      <c r="H260" s="217">
        <v>255</v>
      </c>
      <c r="I260" s="218" t="str">
        <f t="shared" si="22"/>
        <v/>
      </c>
      <c r="J260" s="217">
        <f t="shared" si="23"/>
        <v>-2</v>
      </c>
      <c r="K260" s="217">
        <f t="shared" si="19"/>
        <v>-20</v>
      </c>
      <c r="L260" s="217"/>
      <c r="M260" s="219">
        <f t="shared" si="20"/>
        <v>0</v>
      </c>
      <c r="S260" s="208"/>
      <c r="T260" s="208"/>
      <c r="U260" s="208"/>
      <c r="V260" s="208"/>
      <c r="W260" s="208"/>
      <c r="X260" s="208"/>
      <c r="Y260" s="208"/>
      <c r="Z260" s="208"/>
      <c r="AA260" s="208"/>
      <c r="AB260" s="208"/>
      <c r="AC260" s="208"/>
      <c r="AD260" s="208"/>
      <c r="AE260" s="208"/>
      <c r="AF260" s="208"/>
      <c r="AG260" s="208"/>
      <c r="AH260" s="208"/>
      <c r="AI260" s="208"/>
      <c r="AJ260" s="208"/>
      <c r="AK260" s="208"/>
      <c r="AL260" s="208"/>
    </row>
    <row r="261" spans="1:38" s="203" customFormat="1">
      <c r="A261" s="270">
        <f t="shared" si="21"/>
        <v>0</v>
      </c>
      <c r="B261" s="268" t="str">
        <f t="shared" si="18"/>
        <v/>
      </c>
      <c r="C261" s="269"/>
      <c r="D261" s="269"/>
      <c r="E261" s="269"/>
      <c r="F261" s="269"/>
      <c r="H261" s="220">
        <v>256</v>
      </c>
      <c r="I261" s="221" t="str">
        <f t="shared" si="22"/>
        <v/>
      </c>
      <c r="J261" s="220">
        <f t="shared" si="23"/>
        <v>-2</v>
      </c>
      <c r="K261" s="220">
        <f t="shared" si="19"/>
        <v>-20</v>
      </c>
      <c r="L261" s="220"/>
      <c r="M261" s="222">
        <f t="shared" si="20"/>
        <v>0</v>
      </c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</row>
    <row r="262" spans="1:38" s="203" customFormat="1">
      <c r="A262" s="271">
        <f t="shared" si="21"/>
        <v>0</v>
      </c>
      <c r="B262" s="265" t="str">
        <f t="shared" ref="B262:B269" si="24">IF(H262&gt;$H$2,"",(ROW()-5))</f>
        <v/>
      </c>
      <c r="C262" s="266"/>
      <c r="D262" s="266"/>
      <c r="E262" s="266"/>
      <c r="F262" s="266"/>
      <c r="H262" s="217">
        <v>257</v>
      </c>
      <c r="I262" s="218" t="str">
        <f t="shared" si="22"/>
        <v/>
      </c>
      <c r="J262" s="217">
        <f t="shared" si="23"/>
        <v>-3</v>
      </c>
      <c r="K262" s="217">
        <f t="shared" ref="K262:K305" si="25">J262*$J$2</f>
        <v>-30</v>
      </c>
      <c r="L262" s="217"/>
      <c r="M262" s="219">
        <f t="shared" ref="M262:M305" si="26">IF(I262&lt;&gt;"",K262+I262+L262,0)</f>
        <v>0</v>
      </c>
      <c r="S262" s="208"/>
      <c r="T262" s="208"/>
      <c r="U262" s="208"/>
      <c r="V262" s="208"/>
      <c r="W262" s="208"/>
      <c r="X262" s="208"/>
      <c r="Y262" s="208"/>
      <c r="Z262" s="208"/>
      <c r="AA262" s="208"/>
      <c r="AB262" s="208"/>
      <c r="AC262" s="208"/>
      <c r="AD262" s="208"/>
      <c r="AE262" s="208"/>
      <c r="AF262" s="208"/>
      <c r="AG262" s="208"/>
      <c r="AH262" s="208"/>
      <c r="AI262" s="208"/>
      <c r="AJ262" s="208"/>
      <c r="AK262" s="208"/>
      <c r="AL262" s="208"/>
    </row>
    <row r="263" spans="1:38" s="203" customFormat="1">
      <c r="A263" s="270">
        <f t="shared" ref="A263:A269" si="27">M263</f>
        <v>0</v>
      </c>
      <c r="B263" s="268" t="str">
        <f t="shared" si="24"/>
        <v/>
      </c>
      <c r="C263" s="269"/>
      <c r="D263" s="269"/>
      <c r="E263" s="269"/>
      <c r="F263" s="269"/>
      <c r="H263" s="220">
        <v>258</v>
      </c>
      <c r="I263" s="221" t="str">
        <f t="shared" ref="I263:I305" si="28">IF(H263&lt;$H$2+1,($I$2-($I$2-1)*(LOG(H263)/LOG($H$2))),"")</f>
        <v/>
      </c>
      <c r="J263" s="220">
        <f t="shared" ref="J263:J326" si="29">INT(LOG($H$2,2))-ROUNDUP(LOG(H263,2),0)+IF(OR($H$2=1,$H$2=2,$H$2=4,$H$2=8,$H$2=16,$H$2=32,$H$2=64,$H$2=128,$H$2=256),0,1)</f>
        <v>-3</v>
      </c>
      <c r="K263" s="220">
        <f t="shared" si="25"/>
        <v>-30</v>
      </c>
      <c r="L263" s="220"/>
      <c r="M263" s="222">
        <f t="shared" si="26"/>
        <v>0</v>
      </c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</row>
    <row r="264" spans="1:38" s="203" customFormat="1">
      <c r="A264" s="271">
        <f t="shared" si="27"/>
        <v>0</v>
      </c>
      <c r="B264" s="265" t="str">
        <f t="shared" si="24"/>
        <v/>
      </c>
      <c r="C264" s="266"/>
      <c r="D264" s="266"/>
      <c r="E264" s="266"/>
      <c r="F264" s="266"/>
      <c r="H264" s="217">
        <v>259</v>
      </c>
      <c r="I264" s="218" t="str">
        <f t="shared" si="28"/>
        <v/>
      </c>
      <c r="J264" s="217">
        <f t="shared" si="29"/>
        <v>-3</v>
      </c>
      <c r="K264" s="217">
        <f t="shared" si="25"/>
        <v>-30</v>
      </c>
      <c r="L264" s="217"/>
      <c r="M264" s="219">
        <f t="shared" si="26"/>
        <v>0</v>
      </c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  <c r="AD264" s="208"/>
      <c r="AE264" s="208"/>
      <c r="AF264" s="208"/>
      <c r="AG264" s="208"/>
      <c r="AH264" s="208"/>
      <c r="AI264" s="208"/>
      <c r="AJ264" s="208"/>
      <c r="AK264" s="208"/>
      <c r="AL264" s="208"/>
    </row>
    <row r="265" spans="1:38" s="203" customFormat="1">
      <c r="A265" s="270">
        <f t="shared" si="27"/>
        <v>0</v>
      </c>
      <c r="B265" s="268" t="str">
        <f t="shared" si="24"/>
        <v/>
      </c>
      <c r="C265" s="269"/>
      <c r="D265" s="269"/>
      <c r="E265" s="269"/>
      <c r="F265" s="269"/>
      <c r="H265" s="220">
        <v>260</v>
      </c>
      <c r="I265" s="221" t="str">
        <f t="shared" si="28"/>
        <v/>
      </c>
      <c r="J265" s="220">
        <f t="shared" si="29"/>
        <v>-3</v>
      </c>
      <c r="K265" s="220">
        <f t="shared" si="25"/>
        <v>-30</v>
      </c>
      <c r="L265" s="220"/>
      <c r="M265" s="222">
        <f t="shared" si="26"/>
        <v>0</v>
      </c>
      <c r="S265" s="208"/>
      <c r="T265" s="208"/>
      <c r="U265" s="208"/>
      <c r="V265" s="208"/>
      <c r="W265" s="208"/>
      <c r="X265" s="208"/>
      <c r="Y265" s="208"/>
      <c r="Z265" s="208"/>
      <c r="AA265" s="208"/>
      <c r="AB265" s="208"/>
      <c r="AC265" s="208"/>
      <c r="AD265" s="208"/>
      <c r="AE265" s="208"/>
      <c r="AF265" s="208"/>
      <c r="AG265" s="208"/>
      <c r="AH265" s="208"/>
      <c r="AI265" s="208"/>
      <c r="AJ265" s="208"/>
      <c r="AK265" s="208"/>
      <c r="AL265" s="208"/>
    </row>
    <row r="266" spans="1:38" s="203" customFormat="1">
      <c r="A266" s="271">
        <f t="shared" si="27"/>
        <v>0</v>
      </c>
      <c r="B266" s="265" t="str">
        <f t="shared" si="24"/>
        <v/>
      </c>
      <c r="C266" s="266"/>
      <c r="D266" s="266"/>
      <c r="E266" s="266"/>
      <c r="F266" s="266"/>
      <c r="H266" s="217">
        <v>261</v>
      </c>
      <c r="I266" s="218" t="str">
        <f t="shared" si="28"/>
        <v/>
      </c>
      <c r="J266" s="217">
        <f t="shared" si="29"/>
        <v>-3</v>
      </c>
      <c r="K266" s="217">
        <f t="shared" si="25"/>
        <v>-30</v>
      </c>
      <c r="L266" s="217"/>
      <c r="M266" s="219">
        <f t="shared" si="26"/>
        <v>0</v>
      </c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</row>
    <row r="267" spans="1:38" s="203" customFormat="1">
      <c r="A267" s="270">
        <f t="shared" si="27"/>
        <v>0</v>
      </c>
      <c r="B267" s="268" t="str">
        <f t="shared" si="24"/>
        <v/>
      </c>
      <c r="C267" s="269"/>
      <c r="D267" s="269"/>
      <c r="E267" s="269"/>
      <c r="F267" s="269"/>
      <c r="H267" s="220">
        <v>262</v>
      </c>
      <c r="I267" s="221" t="str">
        <f t="shared" si="28"/>
        <v/>
      </c>
      <c r="J267" s="220">
        <f t="shared" si="29"/>
        <v>-3</v>
      </c>
      <c r="K267" s="220">
        <f t="shared" si="25"/>
        <v>-30</v>
      </c>
      <c r="L267" s="220"/>
      <c r="M267" s="222">
        <f t="shared" si="26"/>
        <v>0</v>
      </c>
      <c r="S267" s="208"/>
      <c r="T267" s="208"/>
      <c r="U267" s="208"/>
      <c r="V267" s="208"/>
      <c r="W267" s="208"/>
      <c r="X267" s="208"/>
      <c r="Y267" s="208"/>
      <c r="Z267" s="208"/>
      <c r="AA267" s="208"/>
      <c r="AB267" s="208"/>
      <c r="AC267" s="208"/>
      <c r="AD267" s="208"/>
      <c r="AE267" s="208"/>
      <c r="AF267" s="208"/>
      <c r="AG267" s="208"/>
      <c r="AH267" s="208"/>
      <c r="AI267" s="208"/>
      <c r="AJ267" s="208"/>
      <c r="AK267" s="208"/>
      <c r="AL267" s="208"/>
    </row>
    <row r="268" spans="1:38" s="203" customFormat="1">
      <c r="A268" s="271">
        <f t="shared" si="27"/>
        <v>0</v>
      </c>
      <c r="B268" s="265" t="str">
        <f t="shared" si="24"/>
        <v/>
      </c>
      <c r="C268" s="266"/>
      <c r="D268" s="266"/>
      <c r="E268" s="266"/>
      <c r="F268" s="266"/>
      <c r="H268" s="217">
        <v>263</v>
      </c>
      <c r="I268" s="218" t="str">
        <f t="shared" si="28"/>
        <v/>
      </c>
      <c r="J268" s="217">
        <f t="shared" si="29"/>
        <v>-3</v>
      </c>
      <c r="K268" s="217">
        <f t="shared" si="25"/>
        <v>-30</v>
      </c>
      <c r="L268" s="217"/>
      <c r="M268" s="219">
        <f t="shared" si="26"/>
        <v>0</v>
      </c>
      <c r="S268" s="208"/>
      <c r="T268" s="208"/>
      <c r="U268" s="208"/>
      <c r="V268" s="208"/>
      <c r="W268" s="208"/>
      <c r="X268" s="208"/>
      <c r="Y268" s="208"/>
      <c r="Z268" s="208"/>
      <c r="AA268" s="208"/>
      <c r="AB268" s="208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</row>
    <row r="269" spans="1:38" s="203" customFormat="1">
      <c r="A269" s="270">
        <f t="shared" si="27"/>
        <v>0</v>
      </c>
      <c r="B269" s="268" t="str">
        <f t="shared" si="24"/>
        <v/>
      </c>
      <c r="C269" s="269"/>
      <c r="D269" s="269"/>
      <c r="E269" s="269"/>
      <c r="F269" s="269"/>
      <c r="H269" s="220">
        <v>264</v>
      </c>
      <c r="I269" s="221" t="str">
        <f t="shared" si="28"/>
        <v/>
      </c>
      <c r="J269" s="220">
        <f t="shared" si="29"/>
        <v>-3</v>
      </c>
      <c r="K269" s="220">
        <f t="shared" si="25"/>
        <v>-30</v>
      </c>
      <c r="L269" s="220"/>
      <c r="M269" s="222">
        <f t="shared" si="26"/>
        <v>0</v>
      </c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  <c r="AD269" s="208"/>
      <c r="AE269" s="208"/>
      <c r="AF269" s="208"/>
      <c r="AG269" s="208"/>
      <c r="AH269" s="208"/>
      <c r="AI269" s="208"/>
      <c r="AJ269" s="208"/>
      <c r="AK269" s="208"/>
      <c r="AL269" s="208"/>
    </row>
    <row r="270" spans="1:38">
      <c r="A270" s="234"/>
      <c r="G270" s="203"/>
      <c r="H270" s="217">
        <v>265</v>
      </c>
      <c r="I270" s="218" t="str">
        <f t="shared" si="28"/>
        <v/>
      </c>
      <c r="J270" s="217">
        <f t="shared" si="29"/>
        <v>-3</v>
      </c>
      <c r="K270" s="217">
        <f t="shared" si="25"/>
        <v>-30</v>
      </c>
      <c r="L270" s="217"/>
      <c r="M270" s="219">
        <f t="shared" si="26"/>
        <v>0</v>
      </c>
    </row>
    <row r="271" spans="1:38">
      <c r="A271" s="234"/>
      <c r="G271" s="203"/>
      <c r="H271" s="217">
        <v>266</v>
      </c>
      <c r="I271" s="218" t="str">
        <f t="shared" si="28"/>
        <v/>
      </c>
      <c r="J271" s="217">
        <f t="shared" si="29"/>
        <v>-3</v>
      </c>
      <c r="K271" s="217">
        <f t="shared" si="25"/>
        <v>-30</v>
      </c>
      <c r="L271" s="217"/>
      <c r="M271" s="219">
        <f t="shared" si="26"/>
        <v>0</v>
      </c>
    </row>
    <row r="272" spans="1:38">
      <c r="A272" s="234"/>
      <c r="G272" s="203"/>
      <c r="H272" s="217">
        <v>267</v>
      </c>
      <c r="I272" s="218" t="str">
        <f t="shared" si="28"/>
        <v/>
      </c>
      <c r="J272" s="217">
        <f t="shared" si="29"/>
        <v>-3</v>
      </c>
      <c r="K272" s="217">
        <f t="shared" si="25"/>
        <v>-30</v>
      </c>
      <c r="L272" s="217"/>
      <c r="M272" s="219">
        <f t="shared" si="26"/>
        <v>0</v>
      </c>
    </row>
    <row r="273" spans="1:13">
      <c r="A273" s="234"/>
      <c r="G273" s="203"/>
      <c r="H273" s="217">
        <v>268</v>
      </c>
      <c r="I273" s="218" t="str">
        <f t="shared" si="28"/>
        <v/>
      </c>
      <c r="J273" s="217">
        <f t="shared" si="29"/>
        <v>-3</v>
      </c>
      <c r="K273" s="217">
        <f t="shared" si="25"/>
        <v>-30</v>
      </c>
      <c r="L273" s="217"/>
      <c r="M273" s="219">
        <f t="shared" si="26"/>
        <v>0</v>
      </c>
    </row>
    <row r="274" spans="1:13">
      <c r="A274" s="234"/>
      <c r="G274" s="203"/>
      <c r="H274" s="217">
        <v>269</v>
      </c>
      <c r="I274" s="218" t="str">
        <f t="shared" si="28"/>
        <v/>
      </c>
      <c r="J274" s="217">
        <f t="shared" si="29"/>
        <v>-3</v>
      </c>
      <c r="K274" s="217">
        <f t="shared" si="25"/>
        <v>-30</v>
      </c>
      <c r="L274" s="217"/>
      <c r="M274" s="219">
        <f t="shared" si="26"/>
        <v>0</v>
      </c>
    </row>
    <row r="275" spans="1:13">
      <c r="A275" s="234"/>
      <c r="G275" s="203"/>
      <c r="H275" s="217">
        <v>270</v>
      </c>
      <c r="I275" s="218" t="str">
        <f t="shared" si="28"/>
        <v/>
      </c>
      <c r="J275" s="217">
        <f t="shared" si="29"/>
        <v>-3</v>
      </c>
      <c r="K275" s="217">
        <f t="shared" si="25"/>
        <v>-30</v>
      </c>
      <c r="L275" s="217"/>
      <c r="M275" s="219">
        <f t="shared" si="26"/>
        <v>0</v>
      </c>
    </row>
    <row r="276" spans="1:13">
      <c r="A276" s="234"/>
      <c r="G276" s="203"/>
      <c r="H276" s="217">
        <v>271</v>
      </c>
      <c r="I276" s="218" t="str">
        <f t="shared" si="28"/>
        <v/>
      </c>
      <c r="J276" s="217">
        <f t="shared" si="29"/>
        <v>-3</v>
      </c>
      <c r="K276" s="217">
        <f t="shared" si="25"/>
        <v>-30</v>
      </c>
      <c r="L276" s="217"/>
      <c r="M276" s="219">
        <f t="shared" si="26"/>
        <v>0</v>
      </c>
    </row>
    <row r="277" spans="1:13">
      <c r="A277" s="234"/>
      <c r="G277" s="203"/>
      <c r="H277" s="217">
        <v>272</v>
      </c>
      <c r="I277" s="218" t="str">
        <f t="shared" si="28"/>
        <v/>
      </c>
      <c r="J277" s="217">
        <f t="shared" si="29"/>
        <v>-3</v>
      </c>
      <c r="K277" s="217">
        <f t="shared" si="25"/>
        <v>-30</v>
      </c>
      <c r="L277" s="217"/>
      <c r="M277" s="219">
        <f t="shared" si="26"/>
        <v>0</v>
      </c>
    </row>
    <row r="278" spans="1:13">
      <c r="A278" s="234"/>
      <c r="G278" s="203"/>
      <c r="H278" s="217">
        <v>273</v>
      </c>
      <c r="I278" s="218" t="str">
        <f t="shared" si="28"/>
        <v/>
      </c>
      <c r="J278" s="217">
        <f t="shared" si="29"/>
        <v>-3</v>
      </c>
      <c r="K278" s="217">
        <f t="shared" si="25"/>
        <v>-30</v>
      </c>
      <c r="L278" s="217"/>
      <c r="M278" s="219">
        <f t="shared" si="26"/>
        <v>0</v>
      </c>
    </row>
    <row r="279" spans="1:13">
      <c r="A279" s="234"/>
      <c r="G279" s="203"/>
      <c r="H279" s="217">
        <v>274</v>
      </c>
      <c r="I279" s="218" t="str">
        <f t="shared" si="28"/>
        <v/>
      </c>
      <c r="J279" s="217">
        <f t="shared" si="29"/>
        <v>-3</v>
      </c>
      <c r="K279" s="217">
        <f t="shared" si="25"/>
        <v>-30</v>
      </c>
      <c r="L279" s="217"/>
      <c r="M279" s="219">
        <f t="shared" si="26"/>
        <v>0</v>
      </c>
    </row>
    <row r="280" spans="1:13">
      <c r="A280" s="234"/>
      <c r="G280" s="203"/>
      <c r="H280" s="217">
        <v>275</v>
      </c>
      <c r="I280" s="218" t="str">
        <f t="shared" si="28"/>
        <v/>
      </c>
      <c r="J280" s="217">
        <f t="shared" si="29"/>
        <v>-3</v>
      </c>
      <c r="K280" s="217">
        <f t="shared" si="25"/>
        <v>-30</v>
      </c>
      <c r="L280" s="217"/>
      <c r="M280" s="219">
        <f t="shared" si="26"/>
        <v>0</v>
      </c>
    </row>
    <row r="281" spans="1:13">
      <c r="A281" s="234"/>
      <c r="G281" s="203"/>
      <c r="H281" s="217">
        <v>276</v>
      </c>
      <c r="I281" s="218" t="str">
        <f t="shared" si="28"/>
        <v/>
      </c>
      <c r="J281" s="217">
        <f t="shared" si="29"/>
        <v>-3</v>
      </c>
      <c r="K281" s="217">
        <f t="shared" si="25"/>
        <v>-30</v>
      </c>
      <c r="L281" s="217"/>
      <c r="M281" s="219">
        <f t="shared" si="26"/>
        <v>0</v>
      </c>
    </row>
    <row r="282" spans="1:13">
      <c r="A282" s="234"/>
      <c r="G282" s="203"/>
      <c r="H282" s="217">
        <v>277</v>
      </c>
      <c r="I282" s="218" t="str">
        <f t="shared" si="28"/>
        <v/>
      </c>
      <c r="J282" s="217">
        <f t="shared" si="29"/>
        <v>-3</v>
      </c>
      <c r="K282" s="217">
        <f t="shared" si="25"/>
        <v>-30</v>
      </c>
      <c r="L282" s="217"/>
      <c r="M282" s="219">
        <f t="shared" si="26"/>
        <v>0</v>
      </c>
    </row>
    <row r="283" spans="1:13">
      <c r="A283" s="234"/>
      <c r="G283" s="203"/>
      <c r="H283" s="217">
        <v>278</v>
      </c>
      <c r="I283" s="218" t="str">
        <f t="shared" si="28"/>
        <v/>
      </c>
      <c r="J283" s="217">
        <f t="shared" si="29"/>
        <v>-3</v>
      </c>
      <c r="K283" s="217">
        <f t="shared" si="25"/>
        <v>-30</v>
      </c>
      <c r="L283" s="217"/>
      <c r="M283" s="219">
        <f t="shared" si="26"/>
        <v>0</v>
      </c>
    </row>
    <row r="284" spans="1:13">
      <c r="A284" s="234"/>
      <c r="G284" s="203"/>
      <c r="H284" s="217">
        <v>279</v>
      </c>
      <c r="I284" s="218" t="str">
        <f t="shared" si="28"/>
        <v/>
      </c>
      <c r="J284" s="217">
        <f t="shared" si="29"/>
        <v>-3</v>
      </c>
      <c r="K284" s="217">
        <f t="shared" si="25"/>
        <v>-30</v>
      </c>
      <c r="L284" s="217"/>
      <c r="M284" s="219">
        <f t="shared" si="26"/>
        <v>0</v>
      </c>
    </row>
    <row r="285" spans="1:13">
      <c r="A285" s="234"/>
      <c r="G285" s="203"/>
      <c r="H285" s="217">
        <v>280</v>
      </c>
      <c r="I285" s="218" t="str">
        <f t="shared" si="28"/>
        <v/>
      </c>
      <c r="J285" s="217">
        <f t="shared" si="29"/>
        <v>-3</v>
      </c>
      <c r="K285" s="217">
        <f t="shared" si="25"/>
        <v>-30</v>
      </c>
      <c r="L285" s="217"/>
      <c r="M285" s="219">
        <f t="shared" si="26"/>
        <v>0</v>
      </c>
    </row>
    <row r="286" spans="1:13">
      <c r="A286" s="234"/>
      <c r="G286" s="203"/>
      <c r="H286" s="217">
        <v>281</v>
      </c>
      <c r="I286" s="218" t="str">
        <f t="shared" si="28"/>
        <v/>
      </c>
      <c r="J286" s="217">
        <f t="shared" si="29"/>
        <v>-3</v>
      </c>
      <c r="K286" s="217">
        <f t="shared" si="25"/>
        <v>-30</v>
      </c>
      <c r="L286" s="217"/>
      <c r="M286" s="219">
        <f t="shared" si="26"/>
        <v>0</v>
      </c>
    </row>
    <row r="287" spans="1:13">
      <c r="A287" s="234"/>
      <c r="G287" s="203"/>
      <c r="H287" s="217">
        <v>282</v>
      </c>
      <c r="I287" s="218" t="str">
        <f t="shared" si="28"/>
        <v/>
      </c>
      <c r="J287" s="217">
        <f t="shared" si="29"/>
        <v>-3</v>
      </c>
      <c r="K287" s="217">
        <f t="shared" si="25"/>
        <v>-30</v>
      </c>
      <c r="L287" s="217"/>
      <c r="M287" s="219">
        <f t="shared" si="26"/>
        <v>0</v>
      </c>
    </row>
    <row r="288" spans="1:13">
      <c r="A288" s="234"/>
      <c r="G288" s="203"/>
      <c r="H288" s="217">
        <v>283</v>
      </c>
      <c r="I288" s="218" t="str">
        <f t="shared" si="28"/>
        <v/>
      </c>
      <c r="J288" s="217">
        <f t="shared" si="29"/>
        <v>-3</v>
      </c>
      <c r="K288" s="217">
        <f t="shared" si="25"/>
        <v>-30</v>
      </c>
      <c r="L288" s="217"/>
      <c r="M288" s="219">
        <f t="shared" si="26"/>
        <v>0</v>
      </c>
    </row>
    <row r="289" spans="1:13">
      <c r="A289" s="234"/>
      <c r="G289" s="203"/>
      <c r="H289" s="217">
        <v>284</v>
      </c>
      <c r="I289" s="218" t="str">
        <f t="shared" si="28"/>
        <v/>
      </c>
      <c r="J289" s="217">
        <f t="shared" si="29"/>
        <v>-3</v>
      </c>
      <c r="K289" s="217">
        <f t="shared" si="25"/>
        <v>-30</v>
      </c>
      <c r="L289" s="217"/>
      <c r="M289" s="219">
        <f t="shared" si="26"/>
        <v>0</v>
      </c>
    </row>
    <row r="290" spans="1:13">
      <c r="A290" s="234"/>
      <c r="G290" s="203"/>
      <c r="H290" s="217">
        <v>285</v>
      </c>
      <c r="I290" s="218" t="str">
        <f t="shared" si="28"/>
        <v/>
      </c>
      <c r="J290" s="217">
        <f t="shared" si="29"/>
        <v>-3</v>
      </c>
      <c r="K290" s="217">
        <f t="shared" si="25"/>
        <v>-30</v>
      </c>
      <c r="L290" s="217"/>
      <c r="M290" s="219">
        <f t="shared" si="26"/>
        <v>0</v>
      </c>
    </row>
    <row r="291" spans="1:13">
      <c r="A291" s="234"/>
      <c r="G291" s="203"/>
      <c r="H291" s="217">
        <v>286</v>
      </c>
      <c r="I291" s="218" t="str">
        <f t="shared" si="28"/>
        <v/>
      </c>
      <c r="J291" s="217">
        <f t="shared" si="29"/>
        <v>-3</v>
      </c>
      <c r="K291" s="217">
        <f t="shared" si="25"/>
        <v>-30</v>
      </c>
      <c r="L291" s="217"/>
      <c r="M291" s="219">
        <f t="shared" si="26"/>
        <v>0</v>
      </c>
    </row>
    <row r="292" spans="1:13">
      <c r="A292" s="234"/>
      <c r="G292" s="203"/>
      <c r="H292" s="217">
        <v>287</v>
      </c>
      <c r="I292" s="218" t="str">
        <f t="shared" si="28"/>
        <v/>
      </c>
      <c r="J292" s="217">
        <f t="shared" si="29"/>
        <v>-3</v>
      </c>
      <c r="K292" s="217">
        <f t="shared" si="25"/>
        <v>-30</v>
      </c>
      <c r="L292" s="217"/>
      <c r="M292" s="219">
        <f t="shared" si="26"/>
        <v>0</v>
      </c>
    </row>
    <row r="293" spans="1:13">
      <c r="A293" s="234"/>
      <c r="G293" s="203"/>
      <c r="H293" s="217">
        <v>288</v>
      </c>
      <c r="I293" s="218" t="str">
        <f t="shared" si="28"/>
        <v/>
      </c>
      <c r="J293" s="217">
        <f t="shared" si="29"/>
        <v>-3</v>
      </c>
      <c r="K293" s="217">
        <f t="shared" si="25"/>
        <v>-30</v>
      </c>
      <c r="L293" s="217"/>
      <c r="M293" s="219">
        <f t="shared" si="26"/>
        <v>0</v>
      </c>
    </row>
    <row r="294" spans="1:13">
      <c r="A294" s="234"/>
      <c r="G294" s="203"/>
      <c r="H294" s="217">
        <v>289</v>
      </c>
      <c r="I294" s="218" t="str">
        <f t="shared" si="28"/>
        <v/>
      </c>
      <c r="J294" s="217">
        <f t="shared" si="29"/>
        <v>-3</v>
      </c>
      <c r="K294" s="217">
        <f t="shared" si="25"/>
        <v>-30</v>
      </c>
      <c r="L294" s="217"/>
      <c r="M294" s="219">
        <f t="shared" si="26"/>
        <v>0</v>
      </c>
    </row>
    <row r="295" spans="1:13">
      <c r="A295" s="234"/>
      <c r="G295" s="203"/>
      <c r="H295" s="217">
        <v>290</v>
      </c>
      <c r="I295" s="218" t="str">
        <f t="shared" si="28"/>
        <v/>
      </c>
      <c r="J295" s="217">
        <f t="shared" si="29"/>
        <v>-3</v>
      </c>
      <c r="K295" s="217">
        <f t="shared" si="25"/>
        <v>-30</v>
      </c>
      <c r="L295" s="217"/>
      <c r="M295" s="219">
        <f t="shared" si="26"/>
        <v>0</v>
      </c>
    </row>
    <row r="296" spans="1:13">
      <c r="A296" s="234"/>
      <c r="G296" s="203"/>
      <c r="H296" s="217">
        <v>291</v>
      </c>
      <c r="I296" s="218" t="str">
        <f t="shared" si="28"/>
        <v/>
      </c>
      <c r="J296" s="217">
        <f t="shared" si="29"/>
        <v>-3</v>
      </c>
      <c r="K296" s="217">
        <f t="shared" si="25"/>
        <v>-30</v>
      </c>
      <c r="L296" s="217"/>
      <c r="M296" s="219">
        <f t="shared" si="26"/>
        <v>0</v>
      </c>
    </row>
    <row r="297" spans="1:13">
      <c r="A297" s="234"/>
      <c r="G297" s="203"/>
      <c r="H297" s="217">
        <v>292</v>
      </c>
      <c r="I297" s="218" t="str">
        <f t="shared" si="28"/>
        <v/>
      </c>
      <c r="J297" s="217">
        <f t="shared" si="29"/>
        <v>-3</v>
      </c>
      <c r="K297" s="217">
        <f t="shared" si="25"/>
        <v>-30</v>
      </c>
      <c r="L297" s="217"/>
      <c r="M297" s="219">
        <f t="shared" si="26"/>
        <v>0</v>
      </c>
    </row>
    <row r="298" spans="1:13">
      <c r="A298" s="234"/>
      <c r="G298" s="203"/>
      <c r="H298" s="217">
        <v>293</v>
      </c>
      <c r="I298" s="218" t="str">
        <f t="shared" si="28"/>
        <v/>
      </c>
      <c r="J298" s="217">
        <f t="shared" si="29"/>
        <v>-3</v>
      </c>
      <c r="K298" s="217">
        <f t="shared" si="25"/>
        <v>-30</v>
      </c>
      <c r="L298" s="217"/>
      <c r="M298" s="219">
        <f t="shared" si="26"/>
        <v>0</v>
      </c>
    </row>
    <row r="299" spans="1:13">
      <c r="A299" s="234"/>
      <c r="G299" s="203"/>
      <c r="H299" s="217">
        <v>294</v>
      </c>
      <c r="I299" s="218" t="str">
        <f t="shared" si="28"/>
        <v/>
      </c>
      <c r="J299" s="217">
        <f t="shared" si="29"/>
        <v>-3</v>
      </c>
      <c r="K299" s="217">
        <f t="shared" si="25"/>
        <v>-30</v>
      </c>
      <c r="L299" s="217"/>
      <c r="M299" s="219">
        <f t="shared" si="26"/>
        <v>0</v>
      </c>
    </row>
    <row r="300" spans="1:13">
      <c r="A300" s="234"/>
      <c r="G300" s="203"/>
      <c r="H300" s="217">
        <v>295</v>
      </c>
      <c r="I300" s="218" t="str">
        <f t="shared" si="28"/>
        <v/>
      </c>
      <c r="J300" s="217">
        <f t="shared" si="29"/>
        <v>-3</v>
      </c>
      <c r="K300" s="217">
        <f t="shared" si="25"/>
        <v>-30</v>
      </c>
      <c r="L300" s="217"/>
      <c r="M300" s="219">
        <f t="shared" si="26"/>
        <v>0</v>
      </c>
    </row>
    <row r="301" spans="1:13">
      <c r="A301" s="234"/>
      <c r="G301" s="203"/>
      <c r="H301" s="217">
        <v>296</v>
      </c>
      <c r="I301" s="218" t="str">
        <f t="shared" si="28"/>
        <v/>
      </c>
      <c r="J301" s="217">
        <f t="shared" si="29"/>
        <v>-3</v>
      </c>
      <c r="K301" s="217">
        <f t="shared" si="25"/>
        <v>-30</v>
      </c>
      <c r="L301" s="217"/>
      <c r="M301" s="219">
        <f t="shared" si="26"/>
        <v>0</v>
      </c>
    </row>
    <row r="302" spans="1:13">
      <c r="A302" s="234"/>
      <c r="G302" s="203"/>
      <c r="H302" s="217">
        <v>297</v>
      </c>
      <c r="I302" s="218" t="str">
        <f t="shared" si="28"/>
        <v/>
      </c>
      <c r="J302" s="217">
        <f t="shared" si="29"/>
        <v>-3</v>
      </c>
      <c r="K302" s="217">
        <f t="shared" si="25"/>
        <v>-30</v>
      </c>
      <c r="L302" s="217"/>
      <c r="M302" s="219">
        <f t="shared" si="26"/>
        <v>0</v>
      </c>
    </row>
    <row r="303" spans="1:13">
      <c r="A303" s="234"/>
      <c r="G303" s="203"/>
      <c r="H303" s="217">
        <v>298</v>
      </c>
      <c r="I303" s="218" t="str">
        <f t="shared" si="28"/>
        <v/>
      </c>
      <c r="J303" s="217">
        <f t="shared" si="29"/>
        <v>-3</v>
      </c>
      <c r="K303" s="217">
        <f t="shared" si="25"/>
        <v>-30</v>
      </c>
      <c r="L303" s="217"/>
      <c r="M303" s="219">
        <f t="shared" si="26"/>
        <v>0</v>
      </c>
    </row>
    <row r="304" spans="1:13">
      <c r="A304" s="234"/>
      <c r="G304" s="203"/>
      <c r="H304" s="217">
        <v>299</v>
      </c>
      <c r="I304" s="218" t="str">
        <f t="shared" si="28"/>
        <v/>
      </c>
      <c r="J304" s="217">
        <f t="shared" si="29"/>
        <v>-3</v>
      </c>
      <c r="K304" s="217">
        <f t="shared" si="25"/>
        <v>-30</v>
      </c>
      <c r="L304" s="217"/>
      <c r="M304" s="219">
        <f t="shared" si="26"/>
        <v>0</v>
      </c>
    </row>
    <row r="305" spans="1:16">
      <c r="A305" s="234"/>
      <c r="G305" s="203"/>
      <c r="H305" s="217">
        <v>300</v>
      </c>
      <c r="I305" s="218" t="str">
        <f t="shared" si="28"/>
        <v/>
      </c>
      <c r="J305" s="217">
        <f t="shared" si="29"/>
        <v>-3</v>
      </c>
      <c r="K305" s="217">
        <f t="shared" si="25"/>
        <v>-30</v>
      </c>
      <c r="L305" s="217"/>
      <c r="M305" s="219">
        <f t="shared" si="26"/>
        <v>0</v>
      </c>
    </row>
    <row r="306" spans="1:16">
      <c r="A306" s="235"/>
      <c r="J306" s="236" t="e">
        <f t="shared" si="29"/>
        <v>#NUM!</v>
      </c>
    </row>
    <row r="307" spans="1:16">
      <c r="J307" s="236" t="e">
        <f t="shared" si="29"/>
        <v>#NUM!</v>
      </c>
    </row>
    <row r="308" spans="1:16">
      <c r="J308" s="236" t="e">
        <f t="shared" si="29"/>
        <v>#NUM!</v>
      </c>
    </row>
    <row r="309" spans="1:16">
      <c r="J309" s="236" t="e">
        <f t="shared" si="29"/>
        <v>#NUM!</v>
      </c>
    </row>
    <row r="310" spans="1:16">
      <c r="J310" s="236" t="e">
        <f t="shared" si="29"/>
        <v>#NUM!</v>
      </c>
    </row>
    <row r="311" spans="1:16">
      <c r="J311" s="236" t="e">
        <f t="shared" si="29"/>
        <v>#NUM!</v>
      </c>
    </row>
    <row r="312" spans="1:16">
      <c r="J312" s="236" t="e">
        <f t="shared" si="29"/>
        <v>#NUM!</v>
      </c>
    </row>
    <row r="313" spans="1:16">
      <c r="J313" s="236" t="e">
        <f t="shared" si="29"/>
        <v>#NUM!</v>
      </c>
    </row>
    <row r="314" spans="1:16">
      <c r="J314" s="236" t="e">
        <f t="shared" si="29"/>
        <v>#NUM!</v>
      </c>
      <c r="L314" s="238"/>
      <c r="P314" s="228"/>
    </row>
    <row r="315" spans="1:16">
      <c r="J315" s="236" t="e">
        <f t="shared" si="29"/>
        <v>#NUM!</v>
      </c>
      <c r="L315" s="238"/>
      <c r="P315" s="228"/>
    </row>
    <row r="316" spans="1:16">
      <c r="J316" s="236" t="e">
        <f t="shared" si="29"/>
        <v>#NUM!</v>
      </c>
      <c r="L316" s="238"/>
      <c r="P316" s="228"/>
    </row>
    <row r="317" spans="1:16">
      <c r="J317" s="236" t="e">
        <f t="shared" si="29"/>
        <v>#NUM!</v>
      </c>
      <c r="L317" s="238"/>
      <c r="P317" s="228"/>
    </row>
    <row r="318" spans="1:16">
      <c r="J318" s="236" t="e">
        <f t="shared" si="29"/>
        <v>#NUM!</v>
      </c>
    </row>
    <row r="319" spans="1:16">
      <c r="J319" s="236" t="e">
        <f t="shared" si="29"/>
        <v>#NUM!</v>
      </c>
    </row>
    <row r="320" spans="1:16">
      <c r="J320" s="236" t="e">
        <f t="shared" si="29"/>
        <v>#NUM!</v>
      </c>
    </row>
    <row r="321" spans="10:10">
      <c r="J321" s="236" t="e">
        <f t="shared" si="29"/>
        <v>#NUM!</v>
      </c>
    </row>
    <row r="322" spans="10:10">
      <c r="J322" s="236" t="e">
        <f t="shared" si="29"/>
        <v>#NUM!</v>
      </c>
    </row>
    <row r="323" spans="10:10">
      <c r="J323" s="236" t="e">
        <f t="shared" si="29"/>
        <v>#NUM!</v>
      </c>
    </row>
    <row r="324" spans="10:10">
      <c r="J324" s="236" t="e">
        <f t="shared" si="29"/>
        <v>#NUM!</v>
      </c>
    </row>
    <row r="325" spans="10:10">
      <c r="J325" s="236" t="e">
        <f t="shared" si="29"/>
        <v>#NUM!</v>
      </c>
    </row>
    <row r="326" spans="10:10">
      <c r="J326" s="236" t="e">
        <f t="shared" si="29"/>
        <v>#NUM!</v>
      </c>
    </row>
    <row r="327" spans="10:10">
      <c r="J327" s="236" t="e">
        <f t="shared" ref="J327:J373" si="30">INT(LOG($H$2,2))-ROUNDUP(LOG(H327,2),0)+IF(OR($H$2=1,$H$2=2,$H$2=4,$H$2=8,$H$2=16,$H$2=32,$H$2=64,$H$2=128,$H$2=256),0,1)</f>
        <v>#NUM!</v>
      </c>
    </row>
    <row r="328" spans="10:10">
      <c r="J328" s="236" t="e">
        <f t="shared" si="30"/>
        <v>#NUM!</v>
      </c>
    </row>
    <row r="329" spans="10:10">
      <c r="J329" s="236" t="e">
        <f t="shared" si="30"/>
        <v>#NUM!</v>
      </c>
    </row>
    <row r="330" spans="10:10">
      <c r="J330" s="236" t="e">
        <f t="shared" si="30"/>
        <v>#NUM!</v>
      </c>
    </row>
    <row r="331" spans="10:10">
      <c r="J331" s="236" t="e">
        <f t="shared" si="30"/>
        <v>#NUM!</v>
      </c>
    </row>
    <row r="332" spans="10:10">
      <c r="J332" s="236" t="e">
        <f t="shared" si="30"/>
        <v>#NUM!</v>
      </c>
    </row>
    <row r="333" spans="10:10">
      <c r="J333" s="236" t="e">
        <f t="shared" si="30"/>
        <v>#NUM!</v>
      </c>
    </row>
    <row r="334" spans="10:10">
      <c r="J334" s="236" t="e">
        <f t="shared" si="30"/>
        <v>#NUM!</v>
      </c>
    </row>
    <row r="335" spans="10:10">
      <c r="J335" s="236" t="e">
        <f t="shared" si="30"/>
        <v>#NUM!</v>
      </c>
    </row>
    <row r="336" spans="10:10">
      <c r="J336" s="236" t="e">
        <f t="shared" si="30"/>
        <v>#NUM!</v>
      </c>
    </row>
    <row r="337" spans="10:10">
      <c r="J337" s="236" t="e">
        <f t="shared" si="30"/>
        <v>#NUM!</v>
      </c>
    </row>
    <row r="338" spans="10:10">
      <c r="J338" s="236" t="e">
        <f t="shared" si="30"/>
        <v>#NUM!</v>
      </c>
    </row>
    <row r="339" spans="10:10">
      <c r="J339" s="236" t="e">
        <f t="shared" si="30"/>
        <v>#NUM!</v>
      </c>
    </row>
    <row r="340" spans="10:10">
      <c r="J340" s="236" t="e">
        <f t="shared" si="30"/>
        <v>#NUM!</v>
      </c>
    </row>
    <row r="341" spans="10:10">
      <c r="J341" s="236" t="e">
        <f t="shared" si="30"/>
        <v>#NUM!</v>
      </c>
    </row>
    <row r="342" spans="10:10">
      <c r="J342" s="236" t="e">
        <f t="shared" si="30"/>
        <v>#NUM!</v>
      </c>
    </row>
    <row r="343" spans="10:10">
      <c r="J343" s="236" t="e">
        <f t="shared" si="30"/>
        <v>#NUM!</v>
      </c>
    </row>
    <row r="344" spans="10:10">
      <c r="J344" s="236" t="e">
        <f t="shared" si="30"/>
        <v>#NUM!</v>
      </c>
    </row>
    <row r="345" spans="10:10">
      <c r="J345" s="236" t="e">
        <f t="shared" si="30"/>
        <v>#NUM!</v>
      </c>
    </row>
    <row r="346" spans="10:10">
      <c r="J346" s="236" t="e">
        <f t="shared" si="30"/>
        <v>#NUM!</v>
      </c>
    </row>
    <row r="347" spans="10:10">
      <c r="J347" s="236" t="e">
        <f t="shared" si="30"/>
        <v>#NUM!</v>
      </c>
    </row>
    <row r="348" spans="10:10">
      <c r="J348" s="236" t="e">
        <f t="shared" si="30"/>
        <v>#NUM!</v>
      </c>
    </row>
    <row r="349" spans="10:10">
      <c r="J349" s="236" t="e">
        <f t="shared" si="30"/>
        <v>#NUM!</v>
      </c>
    </row>
    <row r="350" spans="10:10">
      <c r="J350" s="236" t="e">
        <f t="shared" si="30"/>
        <v>#NUM!</v>
      </c>
    </row>
    <row r="351" spans="10:10">
      <c r="J351" s="236" t="e">
        <f t="shared" si="30"/>
        <v>#NUM!</v>
      </c>
    </row>
    <row r="352" spans="10:10">
      <c r="J352" s="236" t="e">
        <f t="shared" si="30"/>
        <v>#NUM!</v>
      </c>
    </row>
    <row r="353" spans="10:10">
      <c r="J353" s="236" t="e">
        <f t="shared" si="30"/>
        <v>#NUM!</v>
      </c>
    </row>
    <row r="354" spans="10:10">
      <c r="J354" s="236" t="e">
        <f t="shared" si="30"/>
        <v>#NUM!</v>
      </c>
    </row>
    <row r="355" spans="10:10">
      <c r="J355" s="236" t="e">
        <f t="shared" si="30"/>
        <v>#NUM!</v>
      </c>
    </row>
    <row r="356" spans="10:10">
      <c r="J356" s="236" t="e">
        <f t="shared" si="30"/>
        <v>#NUM!</v>
      </c>
    </row>
    <row r="357" spans="10:10">
      <c r="J357" s="236" t="e">
        <f t="shared" si="30"/>
        <v>#NUM!</v>
      </c>
    </row>
    <row r="358" spans="10:10">
      <c r="J358" s="236" t="e">
        <f t="shared" si="30"/>
        <v>#NUM!</v>
      </c>
    </row>
    <row r="359" spans="10:10">
      <c r="J359" s="236" t="e">
        <f t="shared" si="30"/>
        <v>#NUM!</v>
      </c>
    </row>
    <row r="360" spans="10:10">
      <c r="J360" s="236" t="e">
        <f t="shared" si="30"/>
        <v>#NUM!</v>
      </c>
    </row>
    <row r="361" spans="10:10">
      <c r="J361" s="236" t="e">
        <f t="shared" si="30"/>
        <v>#NUM!</v>
      </c>
    </row>
    <row r="362" spans="10:10">
      <c r="J362" s="236" t="e">
        <f t="shared" si="30"/>
        <v>#NUM!</v>
      </c>
    </row>
    <row r="363" spans="10:10">
      <c r="J363" s="236" t="e">
        <f t="shared" si="30"/>
        <v>#NUM!</v>
      </c>
    </row>
    <row r="364" spans="10:10">
      <c r="J364" s="236" t="e">
        <f t="shared" si="30"/>
        <v>#NUM!</v>
      </c>
    </row>
    <row r="365" spans="10:10">
      <c r="J365" s="236" t="e">
        <f t="shared" si="30"/>
        <v>#NUM!</v>
      </c>
    </row>
    <row r="366" spans="10:10">
      <c r="J366" s="236" t="e">
        <f t="shared" si="30"/>
        <v>#NUM!</v>
      </c>
    </row>
    <row r="367" spans="10:10">
      <c r="J367" s="236" t="e">
        <f t="shared" si="30"/>
        <v>#NUM!</v>
      </c>
    </row>
    <row r="368" spans="10:10">
      <c r="J368" s="236" t="e">
        <f t="shared" si="30"/>
        <v>#NUM!</v>
      </c>
    </row>
    <row r="369" spans="10:10">
      <c r="J369" s="236" t="e">
        <f t="shared" si="30"/>
        <v>#NUM!</v>
      </c>
    </row>
    <row r="370" spans="10:10">
      <c r="J370" s="236" t="e">
        <f t="shared" si="30"/>
        <v>#NUM!</v>
      </c>
    </row>
    <row r="371" spans="10:10">
      <c r="J371" s="236" t="e">
        <f t="shared" si="30"/>
        <v>#NUM!</v>
      </c>
    </row>
    <row r="372" spans="10:10">
      <c r="J372" s="236" t="e">
        <f t="shared" si="30"/>
        <v>#NUM!</v>
      </c>
    </row>
    <row r="373" spans="10:10">
      <c r="J373" s="236" t="e">
        <f t="shared" si="30"/>
        <v>#NUM!</v>
      </c>
    </row>
  </sheetData>
  <conditionalFormatting sqref="C6:C269">
    <cfRule type="expression" dxfId="16" priority="1">
      <formula>$F6="POL"</formula>
    </cfRule>
  </conditionalFormatting>
  <conditionalFormatting sqref="J7:K65 J67:K125 J127:K185 J187:K305">
    <cfRule type="cellIs" dxfId="15" priority="2" operator="lessThanOrEqual">
      <formula>0</formula>
    </cfRule>
  </conditionalFormatting>
  <dataValidations count="1">
    <dataValidation type="list" allowBlank="1" showInputMessage="1" showErrorMessage="1" sqref="C38:C69" xr:uid="{20DDBED9-0B26-4415-94DF-2983341933CA}">
      <formula1>#REF!</formula1>
    </dataValidation>
  </dataValidations>
  <hyperlinks>
    <hyperlink ref="A2" r:id="rId1" xr:uid="{394F95C4-50C0-4894-A9BC-8C80D5A01D71}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5" name="Button 1">
              <controlPr defaultSize="0" print="0" autoFill="0" autoPict="0" macro="[2]!IMPORT">
                <anchor moveWithCells="1" sizeWithCells="1">
                  <from>
                    <xdr:col>0</xdr:col>
                    <xdr:colOff>28575</xdr:colOff>
                    <xdr:row>0</xdr:row>
                    <xdr:rowOff>38100</xdr:rowOff>
                  </from>
                  <to>
                    <xdr:col>0</xdr:col>
                    <xdr:colOff>514350</xdr:colOff>
                    <xdr:row>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0A83-D51F-4BCE-8C85-0DA871F7B78A}">
  <sheetPr>
    <tabColor rgb="FF92D050"/>
  </sheetPr>
  <dimension ref="A1:AL373"/>
  <sheetViews>
    <sheetView workbookViewId="0">
      <selection activeCell="C39" sqref="C39:F104"/>
    </sheetView>
  </sheetViews>
  <sheetFormatPr defaultColWidth="8.85546875" defaultRowHeight="15"/>
  <cols>
    <col min="1" max="1" width="8" style="315" customWidth="1"/>
    <col min="2" max="2" width="8.28515625" style="315" customWidth="1"/>
    <col min="3" max="3" width="34.7109375" style="315" customWidth="1"/>
    <col min="4" max="4" width="52.140625" style="315" customWidth="1"/>
    <col min="5" max="6" width="8.85546875" style="315"/>
    <col min="7" max="7" width="2.7109375" style="315" customWidth="1"/>
    <col min="8" max="8" width="8.85546875" style="317"/>
    <col min="9" max="9" width="11" style="317" customWidth="1"/>
    <col min="10" max="10" width="15.28515625" style="317" customWidth="1"/>
    <col min="11" max="11" width="8.7109375" style="317" customWidth="1"/>
    <col min="12" max="12" width="11" style="317" customWidth="1"/>
    <col min="13" max="13" width="11.7109375" style="318" customWidth="1"/>
    <col min="14" max="15" width="13.85546875" style="276" customWidth="1"/>
    <col min="16" max="18" width="8.85546875" style="276"/>
    <col min="19" max="20" width="8.85546875" style="282"/>
    <col min="21" max="21" width="12.140625" style="282" customWidth="1"/>
    <col min="22" max="22" width="27.42578125" style="282" customWidth="1"/>
    <col min="23" max="38" width="8.85546875" style="282"/>
    <col min="39" max="16384" width="8.85546875" style="315"/>
  </cols>
  <sheetData>
    <row r="1" spans="1:34" ht="18.75">
      <c r="A1" s="276"/>
      <c r="B1" s="251" t="s">
        <v>44</v>
      </c>
      <c r="C1" s="277" t="s">
        <v>236</v>
      </c>
      <c r="D1" s="253"/>
      <c r="E1" s="276"/>
      <c r="F1" s="276"/>
      <c r="G1" s="276"/>
      <c r="H1" s="278" t="s">
        <v>40</v>
      </c>
      <c r="I1" s="279" t="s">
        <v>41</v>
      </c>
      <c r="J1" s="279" t="s">
        <v>42</v>
      </c>
      <c r="K1" s="280" t="s">
        <v>43</v>
      </c>
      <c r="L1" s="281"/>
      <c r="M1" s="281"/>
    </row>
    <row r="2" spans="1:34">
      <c r="A2" s="194" t="s">
        <v>61</v>
      </c>
      <c r="B2" s="251" t="s">
        <v>62</v>
      </c>
      <c r="C2" s="283" t="s">
        <v>237</v>
      </c>
      <c r="D2" s="255"/>
      <c r="E2" s="256"/>
      <c r="F2" s="256"/>
      <c r="G2" s="256"/>
      <c r="H2" s="284">
        <v>33</v>
      </c>
      <c r="I2" s="285">
        <v>50</v>
      </c>
      <c r="J2" s="285">
        <v>10</v>
      </c>
      <c r="K2" s="286">
        <f>3*H2^(1/3)</f>
        <v>9.6226029899874792</v>
      </c>
      <c r="L2" s="281"/>
      <c r="M2" s="281"/>
    </row>
    <row r="3" spans="1:34" ht="14.25" customHeight="1">
      <c r="A3" s="287" t="s">
        <v>64</v>
      </c>
      <c r="B3" s="288" t="s">
        <v>46</v>
      </c>
      <c r="C3" s="254" t="s">
        <v>238</v>
      </c>
      <c r="D3" s="255"/>
      <c r="E3" s="259"/>
      <c r="F3" s="259"/>
      <c r="G3" s="259"/>
      <c r="H3" s="281"/>
      <c r="I3" s="281"/>
      <c r="J3" s="289"/>
      <c r="K3" s="281"/>
      <c r="L3" s="281"/>
      <c r="M3" s="281"/>
    </row>
    <row r="4" spans="1:34" ht="10.35" customHeight="1">
      <c r="A4" s="260"/>
      <c r="B4" s="259"/>
      <c r="C4" s="261" t="s">
        <v>239</v>
      </c>
      <c r="D4" s="260"/>
      <c r="E4" s="260"/>
      <c r="F4" s="260"/>
      <c r="G4" s="260"/>
      <c r="H4" s="281"/>
      <c r="I4" s="281"/>
      <c r="J4" s="289"/>
      <c r="K4" s="281"/>
      <c r="L4" s="281"/>
      <c r="M4" s="281"/>
    </row>
    <row r="5" spans="1:34" ht="48">
      <c r="A5" s="262" t="s">
        <v>48</v>
      </c>
      <c r="B5" s="263" t="s">
        <v>49</v>
      </c>
      <c r="C5" s="262" t="s">
        <v>50</v>
      </c>
      <c r="D5" s="262" t="s">
        <v>51</v>
      </c>
      <c r="E5" s="262" t="s">
        <v>52</v>
      </c>
      <c r="F5" s="262" t="s">
        <v>53</v>
      </c>
      <c r="G5" s="260"/>
      <c r="H5" s="290" t="s">
        <v>54</v>
      </c>
      <c r="I5" s="291" t="s">
        <v>55</v>
      </c>
      <c r="J5" s="292" t="s">
        <v>56</v>
      </c>
      <c r="K5" s="291" t="s">
        <v>57</v>
      </c>
      <c r="L5" s="291" t="s">
        <v>58</v>
      </c>
      <c r="M5" s="290" t="s">
        <v>59</v>
      </c>
      <c r="O5" s="293"/>
      <c r="P5" s="294"/>
      <c r="Q5" s="294"/>
      <c r="R5" s="294"/>
    </row>
    <row r="6" spans="1:34" s="282" customFormat="1" ht="14.45" customHeight="1">
      <c r="A6" s="264">
        <f>M6</f>
        <v>138.86780896996243</v>
      </c>
      <c r="B6" s="265">
        <f t="shared" ref="B6:B69" si="0">IF(H6&gt;$H$2,"",(ROW()-5))</f>
        <v>1</v>
      </c>
      <c r="C6" s="266" t="s">
        <v>18</v>
      </c>
      <c r="D6" s="266"/>
      <c r="E6" s="266"/>
      <c r="F6" s="266" t="s">
        <v>80</v>
      </c>
      <c r="G6" s="260"/>
      <c r="H6" s="295">
        <v>1</v>
      </c>
      <c r="I6" s="296">
        <f>IF(H2=1,50,IF(H6&lt;$H$2+1,($I$2-($I$2-1)*(LOG(H6)/LOG($H$2))),""))</f>
        <v>50</v>
      </c>
      <c r="J6" s="295">
        <f>INT(LOG($H$2,2))-ROUNDUP(LOG(H6,2),0)+IF(OR($H$2=1,$H$2=2,$H$2=4,$H$2=8,$H$2=16,$H$2=32,$H$2=64,$H$2=128,$H$2=256),0,1)</f>
        <v>6</v>
      </c>
      <c r="K6" s="295">
        <f t="shared" ref="K6:K69" si="1">J6*$J$2</f>
        <v>60</v>
      </c>
      <c r="L6" s="297">
        <f>3*K2</f>
        <v>28.867808969962439</v>
      </c>
      <c r="M6" s="297">
        <f t="shared" ref="M6:M69" si="2">IF(I6&lt;&gt;"",K6+I6+L6,0)</f>
        <v>138.86780896996243</v>
      </c>
      <c r="N6" s="276"/>
      <c r="O6" s="298"/>
      <c r="P6" s="299"/>
      <c r="Q6" s="300"/>
      <c r="R6" s="300"/>
    </row>
    <row r="7" spans="1:34" s="282" customFormat="1" ht="14.45" customHeight="1">
      <c r="A7" s="267">
        <f t="shared" ref="A7:A70" si="3">M7</f>
        <v>109.53145268461749</v>
      </c>
      <c r="B7" s="268">
        <f t="shared" si="0"/>
        <v>2</v>
      </c>
      <c r="C7" s="269" t="s">
        <v>240</v>
      </c>
      <c r="D7" s="269"/>
      <c r="E7" s="269"/>
      <c r="F7" s="269" t="s">
        <v>173</v>
      </c>
      <c r="G7" s="260"/>
      <c r="H7" s="301">
        <v>2</v>
      </c>
      <c r="I7" s="302">
        <f t="shared" ref="I7:I70" si="4">IF(H7&lt;$H$2+1,($I$2-($I$2-1)*(LOG(H7)/LOG($H$2))),"")</f>
        <v>40.286246704642537</v>
      </c>
      <c r="J7" s="301">
        <f t="shared" ref="J7:J70" si="5">INT(LOG($H$2,2))-ROUNDUP(LOG(H7,2),0)+IF(OR($H$2=1,$H$2=2,$H$2=4,$H$2=8,$H$2=16,$H$2=32,$H$2=64,$H$2=128,$H$2=256),0,1)</f>
        <v>5</v>
      </c>
      <c r="K7" s="301">
        <f t="shared" si="1"/>
        <v>50</v>
      </c>
      <c r="L7" s="303">
        <f>2*K2</f>
        <v>19.245205979974958</v>
      </c>
      <c r="M7" s="303">
        <f t="shared" si="2"/>
        <v>109.53145268461749</v>
      </c>
      <c r="N7" s="276"/>
      <c r="O7" s="298"/>
      <c r="P7" s="299"/>
      <c r="Q7" s="300"/>
      <c r="R7" s="300"/>
    </row>
    <row r="8" spans="1:34" s="282" customFormat="1" ht="14.45" customHeight="1">
      <c r="A8" s="264">
        <f t="shared" si="3"/>
        <v>84.226668275589347</v>
      </c>
      <c r="B8" s="265">
        <f t="shared" si="0"/>
        <v>3</v>
      </c>
      <c r="C8" s="266" t="s">
        <v>241</v>
      </c>
      <c r="D8" s="266"/>
      <c r="E8" s="266"/>
      <c r="F8" s="266" t="s">
        <v>83</v>
      </c>
      <c r="G8" s="260"/>
      <c r="H8" s="295">
        <v>3</v>
      </c>
      <c r="I8" s="296">
        <f t="shared" si="4"/>
        <v>34.604065285601862</v>
      </c>
      <c r="J8" s="295">
        <f t="shared" si="5"/>
        <v>4</v>
      </c>
      <c r="K8" s="295">
        <f t="shared" si="1"/>
        <v>40</v>
      </c>
      <c r="L8" s="297">
        <f>K2</f>
        <v>9.6226029899874792</v>
      </c>
      <c r="M8" s="297">
        <f t="shared" si="2"/>
        <v>84.226668275589347</v>
      </c>
      <c r="N8" s="276"/>
      <c r="O8" s="298"/>
      <c r="P8" s="299"/>
      <c r="Q8" s="300"/>
      <c r="R8" s="300"/>
    </row>
    <row r="9" spans="1:34" s="282" customFormat="1" ht="14.45" customHeight="1">
      <c r="A9" s="267">
        <f t="shared" si="3"/>
        <v>70.572493409285073</v>
      </c>
      <c r="B9" s="268">
        <f t="shared" si="0"/>
        <v>4</v>
      </c>
      <c r="C9" s="269" t="s">
        <v>242</v>
      </c>
      <c r="D9" s="269"/>
      <c r="E9" s="269"/>
      <c r="F9" s="269" t="s">
        <v>83</v>
      </c>
      <c r="G9" s="260"/>
      <c r="H9" s="301">
        <v>4</v>
      </c>
      <c r="I9" s="302">
        <f t="shared" si="4"/>
        <v>30.57249340928507</v>
      </c>
      <c r="J9" s="301">
        <f t="shared" si="5"/>
        <v>4</v>
      </c>
      <c r="K9" s="301">
        <f t="shared" si="1"/>
        <v>40</v>
      </c>
      <c r="L9" s="303"/>
      <c r="M9" s="303">
        <f t="shared" si="2"/>
        <v>70.572493409285073</v>
      </c>
      <c r="N9" s="276"/>
      <c r="O9" s="298"/>
      <c r="P9" s="299"/>
      <c r="Q9" s="300"/>
      <c r="R9" s="300"/>
      <c r="V9" s="304"/>
      <c r="Z9" s="305"/>
      <c r="AA9" s="305"/>
      <c r="AG9" s="306"/>
    </row>
    <row r="10" spans="1:34" s="282" customFormat="1" ht="14.45" customHeight="1">
      <c r="A10" s="264">
        <f t="shared" si="3"/>
        <v>57.4453633167048</v>
      </c>
      <c r="B10" s="265">
        <f t="shared" si="0"/>
        <v>5</v>
      </c>
      <c r="C10" s="266" t="s">
        <v>243</v>
      </c>
      <c r="D10" s="266"/>
      <c r="E10" s="266"/>
      <c r="F10" s="266" t="s">
        <v>175</v>
      </c>
      <c r="G10" s="260"/>
      <c r="H10" s="295">
        <v>5</v>
      </c>
      <c r="I10" s="296">
        <f t="shared" si="4"/>
        <v>27.4453633167048</v>
      </c>
      <c r="J10" s="295">
        <f t="shared" si="5"/>
        <v>3</v>
      </c>
      <c r="K10" s="295">
        <f t="shared" si="1"/>
        <v>30</v>
      </c>
      <c r="L10" s="295"/>
      <c r="M10" s="297">
        <f t="shared" si="2"/>
        <v>57.4453633167048</v>
      </c>
      <c r="N10" s="276"/>
      <c r="O10" s="298"/>
      <c r="P10" s="299"/>
      <c r="Q10" s="300"/>
      <c r="R10" s="300"/>
      <c r="V10" s="304"/>
      <c r="Z10" s="305"/>
      <c r="AA10" s="305"/>
      <c r="AG10" s="306"/>
    </row>
    <row r="11" spans="1:34" s="282" customFormat="1" ht="14.45" customHeight="1">
      <c r="A11" s="267">
        <f t="shared" si="3"/>
        <v>54.890311990244399</v>
      </c>
      <c r="B11" s="268">
        <f t="shared" si="0"/>
        <v>6</v>
      </c>
      <c r="C11" s="269" t="s">
        <v>244</v>
      </c>
      <c r="D11" s="269"/>
      <c r="E11" s="269"/>
      <c r="F11" s="269" t="s">
        <v>245</v>
      </c>
      <c r="G11" s="260"/>
      <c r="H11" s="301">
        <v>6</v>
      </c>
      <c r="I11" s="302">
        <f t="shared" si="4"/>
        <v>24.890311990244395</v>
      </c>
      <c r="J11" s="301">
        <f t="shared" si="5"/>
        <v>3</v>
      </c>
      <c r="K11" s="301">
        <f t="shared" si="1"/>
        <v>30</v>
      </c>
      <c r="L11" s="301"/>
      <c r="M11" s="303">
        <f t="shared" si="2"/>
        <v>54.890311990244399</v>
      </c>
      <c r="N11" s="276"/>
      <c r="O11" s="298"/>
      <c r="P11" s="299"/>
      <c r="Q11" s="300"/>
      <c r="R11" s="300"/>
      <c r="V11" s="307"/>
      <c r="Z11" s="305"/>
      <c r="AA11" s="305"/>
      <c r="AG11" s="306"/>
    </row>
    <row r="12" spans="1:34" s="282" customFormat="1" ht="14.45" customHeight="1">
      <c r="A12" s="264">
        <f t="shared" si="3"/>
        <v>52.730046874624946</v>
      </c>
      <c r="B12" s="265">
        <f t="shared" si="0"/>
        <v>7</v>
      </c>
      <c r="C12" s="266" t="s">
        <v>246</v>
      </c>
      <c r="D12" s="266"/>
      <c r="E12" s="266"/>
      <c r="F12" s="266" t="s">
        <v>175</v>
      </c>
      <c r="G12" s="260"/>
      <c r="H12" s="295">
        <v>7</v>
      </c>
      <c r="I12" s="296">
        <f t="shared" si="4"/>
        <v>22.730046874624946</v>
      </c>
      <c r="J12" s="295">
        <f t="shared" si="5"/>
        <v>3</v>
      </c>
      <c r="K12" s="295">
        <f t="shared" si="1"/>
        <v>30</v>
      </c>
      <c r="L12" s="295"/>
      <c r="M12" s="297">
        <f t="shared" si="2"/>
        <v>52.730046874624946</v>
      </c>
      <c r="N12" s="276"/>
      <c r="O12" s="298"/>
      <c r="P12" s="299"/>
      <c r="Q12" s="300"/>
      <c r="R12" s="300"/>
      <c r="Z12" s="305"/>
      <c r="AA12" s="305"/>
      <c r="AG12" s="306"/>
    </row>
    <row r="13" spans="1:34" s="282" customFormat="1" ht="14.45" customHeight="1">
      <c r="A13" s="270">
        <f t="shared" si="3"/>
        <v>50.858740113927603</v>
      </c>
      <c r="B13" s="268">
        <f t="shared" si="0"/>
        <v>8</v>
      </c>
      <c r="C13" s="269" t="s">
        <v>247</v>
      </c>
      <c r="D13" s="269"/>
      <c r="E13" s="269"/>
      <c r="F13" s="269" t="s">
        <v>83</v>
      </c>
      <c r="G13" s="260"/>
      <c r="H13" s="301">
        <v>8</v>
      </c>
      <c r="I13" s="302">
        <f t="shared" si="4"/>
        <v>20.858740113927603</v>
      </c>
      <c r="J13" s="301">
        <f t="shared" si="5"/>
        <v>3</v>
      </c>
      <c r="K13" s="301">
        <f t="shared" si="1"/>
        <v>30</v>
      </c>
      <c r="L13" s="301"/>
      <c r="M13" s="303">
        <f t="shared" si="2"/>
        <v>50.858740113927603</v>
      </c>
      <c r="N13" s="276"/>
      <c r="O13" s="276"/>
      <c r="P13" s="276"/>
      <c r="Q13" s="276"/>
      <c r="R13" s="276"/>
      <c r="X13" s="304"/>
      <c r="AG13" s="306"/>
    </row>
    <row r="14" spans="1:34" s="282" customFormat="1" ht="15.75" customHeight="1">
      <c r="A14" s="271">
        <f t="shared" si="3"/>
        <v>39.208130571203718</v>
      </c>
      <c r="B14" s="265">
        <f t="shared" si="0"/>
        <v>9</v>
      </c>
      <c r="C14" s="266" t="s">
        <v>248</v>
      </c>
      <c r="D14" s="266"/>
      <c r="E14" s="266"/>
      <c r="F14" s="266" t="s">
        <v>190</v>
      </c>
      <c r="G14" s="260"/>
      <c r="H14" s="295">
        <v>9</v>
      </c>
      <c r="I14" s="296">
        <f t="shared" si="4"/>
        <v>19.208130571203718</v>
      </c>
      <c r="J14" s="295">
        <f t="shared" si="5"/>
        <v>2</v>
      </c>
      <c r="K14" s="295">
        <f t="shared" si="1"/>
        <v>20</v>
      </c>
      <c r="L14" s="295"/>
      <c r="M14" s="297">
        <f t="shared" si="2"/>
        <v>39.208130571203718</v>
      </c>
      <c r="N14" s="276"/>
      <c r="O14" s="276"/>
      <c r="P14" s="276"/>
      <c r="Q14" s="276"/>
      <c r="R14" s="276"/>
      <c r="X14" s="308"/>
      <c r="Z14" s="305"/>
      <c r="AA14" s="305"/>
      <c r="AG14" s="306"/>
    </row>
    <row r="15" spans="1:34" s="282" customFormat="1">
      <c r="A15" s="270">
        <f t="shared" si="3"/>
        <v>37.731610021347336</v>
      </c>
      <c r="B15" s="268">
        <f t="shared" si="0"/>
        <v>10</v>
      </c>
      <c r="C15" s="269" t="s">
        <v>249</v>
      </c>
      <c r="D15" s="269"/>
      <c r="E15" s="269"/>
      <c r="F15" s="269" t="s">
        <v>198</v>
      </c>
      <c r="G15" s="260"/>
      <c r="H15" s="301">
        <v>10</v>
      </c>
      <c r="I15" s="302">
        <f t="shared" si="4"/>
        <v>17.731610021347336</v>
      </c>
      <c r="J15" s="301">
        <f t="shared" si="5"/>
        <v>2</v>
      </c>
      <c r="K15" s="301">
        <f t="shared" si="1"/>
        <v>20</v>
      </c>
      <c r="L15" s="301"/>
      <c r="M15" s="303">
        <f t="shared" si="2"/>
        <v>37.731610021347336</v>
      </c>
      <c r="N15" s="276"/>
      <c r="O15" s="276"/>
      <c r="P15" s="276"/>
      <c r="Q15" s="276"/>
      <c r="R15" s="276"/>
      <c r="X15" s="304"/>
      <c r="Z15" s="305"/>
      <c r="AA15" s="305"/>
    </row>
    <row r="16" spans="1:34" s="282" customFormat="1">
      <c r="A16" s="271">
        <f t="shared" si="3"/>
        <v>36.395934714398138</v>
      </c>
      <c r="B16" s="265">
        <f t="shared" si="0"/>
        <v>11</v>
      </c>
      <c r="C16" s="266" t="s">
        <v>250</v>
      </c>
      <c r="D16" s="266"/>
      <c r="E16" s="266"/>
      <c r="F16" s="266" t="s">
        <v>245</v>
      </c>
      <c r="G16" s="260"/>
      <c r="H16" s="295">
        <v>11</v>
      </c>
      <c r="I16" s="296">
        <f t="shared" si="4"/>
        <v>16.395934714398138</v>
      </c>
      <c r="J16" s="295">
        <f t="shared" si="5"/>
        <v>2</v>
      </c>
      <c r="K16" s="295">
        <f t="shared" si="1"/>
        <v>20</v>
      </c>
      <c r="L16" s="295"/>
      <c r="M16" s="297">
        <f t="shared" si="2"/>
        <v>36.395934714398138</v>
      </c>
      <c r="N16" s="276"/>
      <c r="O16" s="276"/>
      <c r="P16" s="276"/>
      <c r="Q16" s="276"/>
      <c r="R16" s="309"/>
      <c r="Z16" s="305"/>
      <c r="AA16" s="305"/>
      <c r="AH16" s="310"/>
    </row>
    <row r="17" spans="1:19" s="282" customFormat="1">
      <c r="A17" s="270">
        <f t="shared" si="3"/>
        <v>35.176558694886921</v>
      </c>
      <c r="B17" s="268">
        <f t="shared" si="0"/>
        <v>12</v>
      </c>
      <c r="C17" s="269" t="s">
        <v>251</v>
      </c>
      <c r="D17" s="269"/>
      <c r="E17" s="269"/>
      <c r="F17" s="269" t="s">
        <v>245</v>
      </c>
      <c r="G17" s="260"/>
      <c r="H17" s="301">
        <v>12</v>
      </c>
      <c r="I17" s="302">
        <f t="shared" si="4"/>
        <v>15.176558694886921</v>
      </c>
      <c r="J17" s="301">
        <f t="shared" si="5"/>
        <v>2</v>
      </c>
      <c r="K17" s="301">
        <f t="shared" si="1"/>
        <v>20</v>
      </c>
      <c r="L17" s="301"/>
      <c r="M17" s="303">
        <f t="shared" si="2"/>
        <v>35.176558694886921</v>
      </c>
      <c r="N17" s="276"/>
      <c r="O17" s="276"/>
      <c r="P17" s="276"/>
      <c r="Q17" s="276"/>
      <c r="R17" s="276"/>
    </row>
    <row r="18" spans="1:19" s="282" customFormat="1">
      <c r="A18" s="271">
        <f t="shared" si="3"/>
        <v>34.054841493635315</v>
      </c>
      <c r="B18" s="265">
        <f t="shared" si="0"/>
        <v>13</v>
      </c>
      <c r="C18" s="266" t="s">
        <v>252</v>
      </c>
      <c r="D18" s="266"/>
      <c r="E18" s="266"/>
      <c r="F18" s="266" t="s">
        <v>198</v>
      </c>
      <c r="G18" s="260"/>
      <c r="H18" s="295">
        <v>13</v>
      </c>
      <c r="I18" s="296">
        <f t="shared" si="4"/>
        <v>14.054841493635315</v>
      </c>
      <c r="J18" s="295">
        <f t="shared" si="5"/>
        <v>2</v>
      </c>
      <c r="K18" s="295">
        <f t="shared" si="1"/>
        <v>20</v>
      </c>
      <c r="L18" s="295"/>
      <c r="M18" s="297">
        <f t="shared" si="2"/>
        <v>34.054841493635315</v>
      </c>
      <c r="N18" s="276"/>
      <c r="O18" s="276"/>
      <c r="P18" s="276"/>
      <c r="Q18" s="276"/>
      <c r="R18" s="276"/>
    </row>
    <row r="19" spans="1:19" s="282" customFormat="1">
      <c r="A19" s="270">
        <f t="shared" si="3"/>
        <v>33.016293579267483</v>
      </c>
      <c r="B19" s="268">
        <f t="shared" si="0"/>
        <v>14</v>
      </c>
      <c r="C19" s="269" t="s">
        <v>253</v>
      </c>
      <c r="D19" s="269"/>
      <c r="E19" s="269"/>
      <c r="F19" s="269" t="s">
        <v>173</v>
      </c>
      <c r="G19" s="260"/>
      <c r="H19" s="301">
        <v>14</v>
      </c>
      <c r="I19" s="302">
        <f t="shared" si="4"/>
        <v>13.016293579267483</v>
      </c>
      <c r="J19" s="301">
        <f t="shared" si="5"/>
        <v>2</v>
      </c>
      <c r="K19" s="301">
        <f t="shared" si="1"/>
        <v>20</v>
      </c>
      <c r="L19" s="301"/>
      <c r="M19" s="303">
        <f t="shared" si="2"/>
        <v>33.016293579267483</v>
      </c>
      <c r="N19" s="276"/>
      <c r="O19" s="276"/>
      <c r="P19" s="276"/>
      <c r="Q19" s="276"/>
      <c r="R19" s="276"/>
    </row>
    <row r="20" spans="1:19" s="282" customFormat="1">
      <c r="A20" s="271">
        <f t="shared" si="3"/>
        <v>32.049428602306655</v>
      </c>
      <c r="B20" s="265">
        <f t="shared" si="0"/>
        <v>15</v>
      </c>
      <c r="C20" s="266" t="s">
        <v>254</v>
      </c>
      <c r="D20" s="266"/>
      <c r="E20" s="266"/>
      <c r="F20" s="266" t="s">
        <v>198</v>
      </c>
      <c r="G20" s="260"/>
      <c r="H20" s="295">
        <v>15</v>
      </c>
      <c r="I20" s="296">
        <f t="shared" si="4"/>
        <v>12.049428602306655</v>
      </c>
      <c r="J20" s="295">
        <f t="shared" si="5"/>
        <v>2</v>
      </c>
      <c r="K20" s="295">
        <f t="shared" si="1"/>
        <v>20</v>
      </c>
      <c r="L20" s="295"/>
      <c r="M20" s="297">
        <f t="shared" si="2"/>
        <v>32.049428602306655</v>
      </c>
      <c r="N20" s="276"/>
      <c r="O20" s="276"/>
      <c r="P20" s="276"/>
      <c r="Q20" s="276"/>
      <c r="R20" s="311"/>
      <c r="S20" s="312"/>
    </row>
    <row r="21" spans="1:19" s="282" customFormat="1">
      <c r="A21" s="270">
        <f t="shared" si="3"/>
        <v>31.144986818570139</v>
      </c>
      <c r="B21" s="268">
        <f t="shared" si="0"/>
        <v>16</v>
      </c>
      <c r="C21" s="269" t="s">
        <v>255</v>
      </c>
      <c r="D21" s="269"/>
      <c r="E21" s="269"/>
      <c r="F21" s="269" t="s">
        <v>177</v>
      </c>
      <c r="G21" s="260"/>
      <c r="H21" s="301">
        <v>16</v>
      </c>
      <c r="I21" s="302">
        <f t="shared" si="4"/>
        <v>11.144986818570139</v>
      </c>
      <c r="J21" s="301">
        <f t="shared" si="5"/>
        <v>2</v>
      </c>
      <c r="K21" s="301">
        <f t="shared" si="1"/>
        <v>20</v>
      </c>
      <c r="L21" s="301"/>
      <c r="M21" s="303">
        <f t="shared" si="2"/>
        <v>31.144986818570139</v>
      </c>
      <c r="N21" s="276"/>
      <c r="O21" s="276"/>
      <c r="P21" s="276"/>
      <c r="Q21" s="276"/>
      <c r="R21" s="276"/>
    </row>
    <row r="22" spans="1:19" s="282" customFormat="1">
      <c r="A22" s="271">
        <f t="shared" si="3"/>
        <v>20.295394356153324</v>
      </c>
      <c r="B22" s="265">
        <f t="shared" si="0"/>
        <v>17</v>
      </c>
      <c r="C22" s="266" t="s">
        <v>256</v>
      </c>
      <c r="D22" s="266"/>
      <c r="E22" s="266"/>
      <c r="F22" s="266" t="s">
        <v>83</v>
      </c>
      <c r="G22" s="260"/>
      <c r="H22" s="295">
        <v>17</v>
      </c>
      <c r="I22" s="296">
        <f t="shared" si="4"/>
        <v>10.295394356153324</v>
      </c>
      <c r="J22" s="295">
        <f t="shared" si="5"/>
        <v>1</v>
      </c>
      <c r="K22" s="295">
        <f t="shared" si="1"/>
        <v>10</v>
      </c>
      <c r="L22" s="295"/>
      <c r="M22" s="297">
        <f t="shared" si="2"/>
        <v>20.295394356153324</v>
      </c>
      <c r="N22" s="276"/>
      <c r="O22" s="276"/>
      <c r="P22" s="276"/>
      <c r="Q22" s="276"/>
      <c r="R22" s="276"/>
    </row>
    <row r="23" spans="1:19" s="282" customFormat="1">
      <c r="A23" s="270">
        <f t="shared" si="3"/>
        <v>19.494377275846254</v>
      </c>
      <c r="B23" s="268">
        <f t="shared" si="0"/>
        <v>18</v>
      </c>
      <c r="C23" s="269" t="s">
        <v>257</v>
      </c>
      <c r="D23" s="269"/>
      <c r="E23" s="269"/>
      <c r="F23" s="269" t="s">
        <v>245</v>
      </c>
      <c r="G23" s="260"/>
      <c r="H23" s="301">
        <v>18</v>
      </c>
      <c r="I23" s="302">
        <f t="shared" si="4"/>
        <v>9.4943772758462543</v>
      </c>
      <c r="J23" s="301">
        <f t="shared" si="5"/>
        <v>1</v>
      </c>
      <c r="K23" s="301">
        <f t="shared" si="1"/>
        <v>10</v>
      </c>
      <c r="L23" s="301"/>
      <c r="M23" s="303">
        <f t="shared" si="2"/>
        <v>19.494377275846254</v>
      </c>
      <c r="N23" s="276"/>
      <c r="O23" s="276"/>
      <c r="P23" s="276"/>
      <c r="Q23" s="276"/>
      <c r="R23" s="276"/>
    </row>
    <row r="24" spans="1:19" s="282" customFormat="1">
      <c r="A24" s="271">
        <f t="shared" si="3"/>
        <v>18.736680117847733</v>
      </c>
      <c r="B24" s="265">
        <f t="shared" si="0"/>
        <v>19</v>
      </c>
      <c r="C24" s="266" t="s">
        <v>258</v>
      </c>
      <c r="D24" s="266"/>
      <c r="E24" s="266"/>
      <c r="F24" s="266" t="s">
        <v>220</v>
      </c>
      <c r="G24" s="260"/>
      <c r="H24" s="295">
        <v>19</v>
      </c>
      <c r="I24" s="296">
        <f t="shared" si="4"/>
        <v>8.7366801178477331</v>
      </c>
      <c r="J24" s="295">
        <f t="shared" si="5"/>
        <v>1</v>
      </c>
      <c r="K24" s="295">
        <f t="shared" si="1"/>
        <v>10</v>
      </c>
      <c r="L24" s="295"/>
      <c r="M24" s="297">
        <f t="shared" si="2"/>
        <v>18.736680117847733</v>
      </c>
      <c r="N24" s="276"/>
      <c r="O24" s="276"/>
      <c r="P24" s="276"/>
      <c r="Q24" s="276"/>
      <c r="R24" s="311"/>
      <c r="S24" s="312"/>
    </row>
    <row r="25" spans="1:19" s="282" customFormat="1">
      <c r="A25" s="270">
        <f t="shared" si="3"/>
        <v>18.017856725989866</v>
      </c>
      <c r="B25" s="268">
        <f t="shared" si="0"/>
        <v>20</v>
      </c>
      <c r="C25" s="269" t="s">
        <v>259</v>
      </c>
      <c r="D25" s="269"/>
      <c r="E25" s="269"/>
      <c r="F25" s="269" t="s">
        <v>220</v>
      </c>
      <c r="G25" s="260"/>
      <c r="H25" s="301">
        <v>20</v>
      </c>
      <c r="I25" s="302">
        <f t="shared" si="4"/>
        <v>8.0178567259898657</v>
      </c>
      <c r="J25" s="301">
        <f t="shared" si="5"/>
        <v>1</v>
      </c>
      <c r="K25" s="301">
        <f t="shared" si="1"/>
        <v>10</v>
      </c>
      <c r="L25" s="301"/>
      <c r="M25" s="303">
        <f t="shared" si="2"/>
        <v>18.017856725989866</v>
      </c>
      <c r="N25" s="276"/>
      <c r="O25" s="276"/>
      <c r="P25" s="276"/>
      <c r="Q25" s="276"/>
      <c r="R25" s="276"/>
    </row>
    <row r="26" spans="1:19" s="282" customFormat="1">
      <c r="A26" s="271">
        <f t="shared" si="3"/>
        <v>17.334112160226809</v>
      </c>
      <c r="B26" s="265">
        <f t="shared" si="0"/>
        <v>21</v>
      </c>
      <c r="C26" s="266" t="s">
        <v>260</v>
      </c>
      <c r="D26" s="266"/>
      <c r="E26" s="266"/>
      <c r="F26" s="266" t="s">
        <v>245</v>
      </c>
      <c r="G26" s="260"/>
      <c r="H26" s="295">
        <v>21</v>
      </c>
      <c r="I26" s="296">
        <f t="shared" si="4"/>
        <v>7.3341121602268089</v>
      </c>
      <c r="J26" s="295">
        <f t="shared" si="5"/>
        <v>1</v>
      </c>
      <c r="K26" s="295">
        <f t="shared" si="1"/>
        <v>10</v>
      </c>
      <c r="L26" s="295"/>
      <c r="M26" s="297">
        <f t="shared" si="2"/>
        <v>17.334112160226809</v>
      </c>
      <c r="N26" s="276"/>
      <c r="O26" s="276"/>
      <c r="P26" s="276"/>
      <c r="Q26" s="276"/>
      <c r="R26" s="276"/>
    </row>
    <row r="27" spans="1:19" s="282" customFormat="1">
      <c r="A27" s="270">
        <f t="shared" si="3"/>
        <v>16.682181419040681</v>
      </c>
      <c r="B27" s="268">
        <f t="shared" si="0"/>
        <v>22</v>
      </c>
      <c r="C27" s="269" t="s">
        <v>261</v>
      </c>
      <c r="D27" s="269"/>
      <c r="E27" s="269"/>
      <c r="F27" s="269" t="s">
        <v>198</v>
      </c>
      <c r="G27" s="260"/>
      <c r="H27" s="301">
        <v>22</v>
      </c>
      <c r="I27" s="302">
        <f t="shared" si="4"/>
        <v>6.6821814190406812</v>
      </c>
      <c r="J27" s="301">
        <f t="shared" si="5"/>
        <v>1</v>
      </c>
      <c r="K27" s="301">
        <f t="shared" si="1"/>
        <v>10</v>
      </c>
      <c r="L27" s="301"/>
      <c r="M27" s="303">
        <f t="shared" si="2"/>
        <v>16.682181419040681</v>
      </c>
      <c r="N27" s="276"/>
      <c r="O27" s="276"/>
      <c r="P27" s="276"/>
      <c r="Q27" s="276"/>
      <c r="R27" s="276"/>
    </row>
    <row r="28" spans="1:19" s="282" customFormat="1">
      <c r="A28" s="271">
        <f t="shared" si="3"/>
        <v>16.059235142597529</v>
      </c>
      <c r="B28" s="265">
        <f t="shared" si="0"/>
        <v>23</v>
      </c>
      <c r="C28" s="266" t="s">
        <v>262</v>
      </c>
      <c r="D28" s="266"/>
      <c r="E28" s="266"/>
      <c r="F28" s="266" t="s">
        <v>245</v>
      </c>
      <c r="G28" s="260"/>
      <c r="H28" s="295">
        <v>23</v>
      </c>
      <c r="I28" s="296">
        <f t="shared" si="4"/>
        <v>6.0592351425975295</v>
      </c>
      <c r="J28" s="295">
        <f t="shared" si="5"/>
        <v>1</v>
      </c>
      <c r="K28" s="295">
        <f t="shared" si="1"/>
        <v>10</v>
      </c>
      <c r="L28" s="295"/>
      <c r="M28" s="297">
        <f t="shared" si="2"/>
        <v>16.059235142597529</v>
      </c>
      <c r="N28" s="276"/>
      <c r="O28" s="276"/>
      <c r="P28" s="276"/>
      <c r="Q28" s="276"/>
      <c r="R28" s="311"/>
      <c r="S28" s="312"/>
    </row>
    <row r="29" spans="1:19" s="282" customFormat="1">
      <c r="A29" s="270">
        <f t="shared" si="3"/>
        <v>15.462805399529465</v>
      </c>
      <c r="B29" s="268">
        <f t="shared" si="0"/>
        <v>24</v>
      </c>
      <c r="C29" s="269" t="s">
        <v>28</v>
      </c>
      <c r="D29" s="269"/>
      <c r="E29" s="269"/>
      <c r="F29" s="269" t="s">
        <v>80</v>
      </c>
      <c r="G29" s="276"/>
      <c r="H29" s="301">
        <v>24</v>
      </c>
      <c r="I29" s="302">
        <f t="shared" si="4"/>
        <v>5.462805399529465</v>
      </c>
      <c r="J29" s="301">
        <f t="shared" si="5"/>
        <v>1</v>
      </c>
      <c r="K29" s="301">
        <f t="shared" si="1"/>
        <v>10</v>
      </c>
      <c r="L29" s="301"/>
      <c r="M29" s="303">
        <f t="shared" si="2"/>
        <v>15.462805399529465</v>
      </c>
      <c r="N29" s="276"/>
      <c r="O29" s="276"/>
      <c r="P29" s="276"/>
      <c r="Q29" s="276"/>
      <c r="R29" s="276"/>
    </row>
    <row r="30" spans="1:19" s="282" customFormat="1">
      <c r="A30" s="271">
        <f t="shared" si="3"/>
        <v>14.890726633409599</v>
      </c>
      <c r="B30" s="265">
        <f t="shared" si="0"/>
        <v>25</v>
      </c>
      <c r="C30" s="266" t="s">
        <v>263</v>
      </c>
      <c r="D30" s="266"/>
      <c r="E30" s="266"/>
      <c r="F30" s="266" t="s">
        <v>177</v>
      </c>
      <c r="G30" s="276"/>
      <c r="H30" s="295">
        <v>25</v>
      </c>
      <c r="I30" s="296">
        <f t="shared" si="4"/>
        <v>4.8907266334095993</v>
      </c>
      <c r="J30" s="295">
        <f t="shared" si="5"/>
        <v>1</v>
      </c>
      <c r="K30" s="295">
        <f t="shared" si="1"/>
        <v>10</v>
      </c>
      <c r="L30" s="295"/>
      <c r="M30" s="297">
        <f t="shared" si="2"/>
        <v>14.890726633409599</v>
      </c>
      <c r="N30" s="276"/>
      <c r="O30" s="276"/>
      <c r="P30" s="276"/>
      <c r="Q30" s="276"/>
      <c r="R30" s="276"/>
    </row>
    <row r="31" spans="1:19" s="282" customFormat="1">
      <c r="A31" s="270">
        <f t="shared" si="3"/>
        <v>14.341088198277845</v>
      </c>
      <c r="B31" s="268">
        <f t="shared" si="0"/>
        <v>26</v>
      </c>
      <c r="C31" s="269" t="s">
        <v>264</v>
      </c>
      <c r="D31" s="269"/>
      <c r="E31" s="269"/>
      <c r="F31" s="269" t="s">
        <v>177</v>
      </c>
      <c r="G31" s="276"/>
      <c r="H31" s="301">
        <v>26</v>
      </c>
      <c r="I31" s="302">
        <f t="shared" si="4"/>
        <v>4.3410881982778449</v>
      </c>
      <c r="J31" s="301">
        <f t="shared" si="5"/>
        <v>1</v>
      </c>
      <c r="K31" s="301">
        <f t="shared" si="1"/>
        <v>10</v>
      </c>
      <c r="L31" s="301"/>
      <c r="M31" s="303">
        <f t="shared" si="2"/>
        <v>14.341088198277845</v>
      </c>
      <c r="N31" s="276"/>
      <c r="O31" s="276"/>
      <c r="P31" s="276"/>
      <c r="Q31" s="276"/>
      <c r="R31" s="276"/>
    </row>
    <row r="32" spans="1:19" s="282" customFormat="1">
      <c r="A32" s="271">
        <f t="shared" si="3"/>
        <v>13.812195856805573</v>
      </c>
      <c r="B32" s="265">
        <f t="shared" si="0"/>
        <v>27</v>
      </c>
      <c r="C32" s="266" t="s">
        <v>265</v>
      </c>
      <c r="D32" s="266"/>
      <c r="E32" s="266"/>
      <c r="F32" s="266" t="s">
        <v>245</v>
      </c>
      <c r="G32" s="276"/>
      <c r="H32" s="295">
        <v>27</v>
      </c>
      <c r="I32" s="296">
        <f t="shared" si="4"/>
        <v>3.8121958568055732</v>
      </c>
      <c r="J32" s="295">
        <f t="shared" si="5"/>
        <v>1</v>
      </c>
      <c r="K32" s="295">
        <f t="shared" si="1"/>
        <v>10</v>
      </c>
      <c r="L32" s="295"/>
      <c r="M32" s="297">
        <f t="shared" si="2"/>
        <v>13.812195856805573</v>
      </c>
      <c r="N32" s="276"/>
      <c r="O32" s="276"/>
      <c r="P32" s="276"/>
      <c r="Q32" s="276"/>
      <c r="R32" s="311"/>
      <c r="S32" s="312"/>
    </row>
    <row r="33" spans="1:19" s="282" customFormat="1">
      <c r="A33" s="270">
        <f t="shared" si="3"/>
        <v>13.302540283910012</v>
      </c>
      <c r="B33" s="268">
        <f t="shared" si="0"/>
        <v>28</v>
      </c>
      <c r="C33" s="269" t="s">
        <v>266</v>
      </c>
      <c r="D33" s="269"/>
      <c r="E33" s="269"/>
      <c r="F33" s="269" t="s">
        <v>175</v>
      </c>
      <c r="G33" s="276"/>
      <c r="H33" s="301">
        <v>28</v>
      </c>
      <c r="I33" s="302">
        <f t="shared" si="4"/>
        <v>3.3025402839100124</v>
      </c>
      <c r="J33" s="301">
        <f t="shared" si="5"/>
        <v>1</v>
      </c>
      <c r="K33" s="301">
        <f t="shared" si="1"/>
        <v>10</v>
      </c>
      <c r="L33" s="301"/>
      <c r="M33" s="303">
        <f t="shared" si="2"/>
        <v>13.302540283910012</v>
      </c>
      <c r="N33" s="276"/>
      <c r="O33" s="276"/>
      <c r="P33" s="276"/>
      <c r="Q33" s="276"/>
      <c r="R33" s="276"/>
    </row>
    <row r="34" spans="1:19" s="282" customFormat="1">
      <c r="A34" s="271">
        <f t="shared" si="3"/>
        <v>12.810771099795609</v>
      </c>
      <c r="B34" s="265">
        <f t="shared" si="0"/>
        <v>29</v>
      </c>
      <c r="C34" s="266" t="s">
        <v>267</v>
      </c>
      <c r="D34" s="266"/>
      <c r="E34" s="266"/>
      <c r="F34" s="266" t="s">
        <v>245</v>
      </c>
      <c r="G34" s="276"/>
      <c r="H34" s="295">
        <v>29</v>
      </c>
      <c r="I34" s="296">
        <f t="shared" si="4"/>
        <v>2.810771099795609</v>
      </c>
      <c r="J34" s="295">
        <f t="shared" si="5"/>
        <v>1</v>
      </c>
      <c r="K34" s="295">
        <f t="shared" si="1"/>
        <v>10</v>
      </c>
      <c r="L34" s="295"/>
      <c r="M34" s="297">
        <f t="shared" si="2"/>
        <v>12.810771099795609</v>
      </c>
      <c r="N34" s="276"/>
      <c r="O34" s="276"/>
      <c r="P34" s="276"/>
      <c r="Q34" s="276"/>
      <c r="R34" s="276"/>
    </row>
    <row r="35" spans="1:19" s="282" customFormat="1">
      <c r="A35" s="270">
        <f t="shared" si="3"/>
        <v>12.335675306949192</v>
      </c>
      <c r="B35" s="268">
        <f t="shared" si="0"/>
        <v>30</v>
      </c>
      <c r="C35" s="269" t="s">
        <v>268</v>
      </c>
      <c r="D35" s="269"/>
      <c r="E35" s="269"/>
      <c r="F35" s="269" t="s">
        <v>245</v>
      </c>
      <c r="G35" s="276"/>
      <c r="H35" s="301">
        <v>30</v>
      </c>
      <c r="I35" s="302">
        <f t="shared" si="4"/>
        <v>2.3356753069491916</v>
      </c>
      <c r="J35" s="301">
        <f t="shared" si="5"/>
        <v>1</v>
      </c>
      <c r="K35" s="301">
        <f t="shared" si="1"/>
        <v>10</v>
      </c>
      <c r="L35" s="301"/>
      <c r="M35" s="303">
        <f t="shared" si="2"/>
        <v>12.335675306949192</v>
      </c>
      <c r="N35" s="276"/>
      <c r="O35" s="276"/>
      <c r="P35" s="276"/>
      <c r="Q35" s="276"/>
      <c r="R35" s="276"/>
    </row>
    <row r="36" spans="1:19" s="282" customFormat="1">
      <c r="A36" s="271">
        <f t="shared" si="3"/>
        <v>11.876159264131694</v>
      </c>
      <c r="B36" s="265">
        <f t="shared" si="0"/>
        <v>31</v>
      </c>
      <c r="C36" s="266" t="s">
        <v>269</v>
      </c>
      <c r="D36" s="266"/>
      <c r="E36" s="266"/>
      <c r="F36" s="266" t="s">
        <v>83</v>
      </c>
      <c r="G36" s="276"/>
      <c r="H36" s="295">
        <v>31</v>
      </c>
      <c r="I36" s="296">
        <f t="shared" si="4"/>
        <v>1.8761592641316938</v>
      </c>
      <c r="J36" s="295">
        <f t="shared" si="5"/>
        <v>1</v>
      </c>
      <c r="K36" s="295">
        <f t="shared" si="1"/>
        <v>10</v>
      </c>
      <c r="L36" s="295"/>
      <c r="M36" s="297">
        <f t="shared" si="2"/>
        <v>11.876159264131694</v>
      </c>
      <c r="N36" s="276"/>
      <c r="O36" s="276"/>
      <c r="P36" s="276"/>
      <c r="Q36" s="276"/>
      <c r="R36" s="311"/>
      <c r="S36" s="312"/>
    </row>
    <row r="37" spans="1:19" s="282" customFormat="1">
      <c r="A37" s="270">
        <f t="shared" si="3"/>
        <v>11.431233523212669</v>
      </c>
      <c r="B37" s="268">
        <f t="shared" si="0"/>
        <v>32</v>
      </c>
      <c r="C37" s="269" t="s">
        <v>270</v>
      </c>
      <c r="D37" s="269"/>
      <c r="E37" s="269"/>
      <c r="F37" s="269" t="s">
        <v>245</v>
      </c>
      <c r="G37" s="276"/>
      <c r="H37" s="301">
        <v>32</v>
      </c>
      <c r="I37" s="302">
        <f t="shared" si="4"/>
        <v>1.4312335232126685</v>
      </c>
      <c r="J37" s="301">
        <f t="shared" si="5"/>
        <v>1</v>
      </c>
      <c r="K37" s="301">
        <f t="shared" si="1"/>
        <v>10</v>
      </c>
      <c r="L37" s="301"/>
      <c r="M37" s="303">
        <f t="shared" si="2"/>
        <v>11.431233523212669</v>
      </c>
      <c r="N37" s="276"/>
      <c r="O37" s="276"/>
      <c r="P37" s="276"/>
      <c r="Q37" s="276"/>
      <c r="R37" s="276"/>
    </row>
    <row r="38" spans="1:19" s="282" customFormat="1">
      <c r="A38" s="271">
        <f t="shared" si="3"/>
        <v>1</v>
      </c>
      <c r="B38" s="265">
        <f t="shared" si="0"/>
        <v>33</v>
      </c>
      <c r="C38" s="266" t="s">
        <v>271</v>
      </c>
      <c r="D38" s="266"/>
      <c r="E38" s="266"/>
      <c r="F38" s="266" t="s">
        <v>245</v>
      </c>
      <c r="G38" s="276"/>
      <c r="H38" s="295">
        <v>33</v>
      </c>
      <c r="I38" s="296">
        <f t="shared" si="4"/>
        <v>1</v>
      </c>
      <c r="J38" s="295">
        <f t="shared" si="5"/>
        <v>0</v>
      </c>
      <c r="K38" s="295">
        <f t="shared" si="1"/>
        <v>0</v>
      </c>
      <c r="L38" s="295"/>
      <c r="M38" s="297">
        <f t="shared" si="2"/>
        <v>1</v>
      </c>
      <c r="N38" s="276"/>
      <c r="O38" s="276"/>
      <c r="P38" s="276"/>
      <c r="Q38" s="276"/>
      <c r="R38" s="276"/>
    </row>
    <row r="39" spans="1:19" s="282" customFormat="1">
      <c r="A39" s="270">
        <f t="shared" si="3"/>
        <v>0</v>
      </c>
      <c r="B39" s="268" t="str">
        <f t="shared" si="0"/>
        <v/>
      </c>
      <c r="C39" s="269"/>
      <c r="D39" s="269"/>
      <c r="E39" s="269"/>
      <c r="F39" s="269"/>
      <c r="G39" s="276"/>
      <c r="H39" s="301">
        <v>34</v>
      </c>
      <c r="I39" s="302" t="str">
        <f t="shared" si="4"/>
        <v/>
      </c>
      <c r="J39" s="301">
        <f t="shared" si="5"/>
        <v>0</v>
      </c>
      <c r="K39" s="301">
        <f t="shared" si="1"/>
        <v>0</v>
      </c>
      <c r="L39" s="301"/>
      <c r="M39" s="303">
        <f t="shared" si="2"/>
        <v>0</v>
      </c>
      <c r="N39" s="276"/>
      <c r="O39" s="276"/>
      <c r="P39" s="276"/>
      <c r="Q39" s="276"/>
      <c r="R39" s="276"/>
    </row>
    <row r="40" spans="1:19" s="282" customFormat="1">
      <c r="A40" s="271">
        <f t="shared" si="3"/>
        <v>0</v>
      </c>
      <c r="B40" s="265" t="str">
        <f t="shared" si="0"/>
        <v/>
      </c>
      <c r="C40" s="266"/>
      <c r="D40" s="266"/>
      <c r="E40" s="266"/>
      <c r="F40" s="266"/>
      <c r="G40" s="276"/>
      <c r="H40" s="295">
        <v>35</v>
      </c>
      <c r="I40" s="296" t="str">
        <f t="shared" si="4"/>
        <v/>
      </c>
      <c r="J40" s="295">
        <f t="shared" si="5"/>
        <v>0</v>
      </c>
      <c r="K40" s="295">
        <f t="shared" si="1"/>
        <v>0</v>
      </c>
      <c r="L40" s="295"/>
      <c r="M40" s="297">
        <f t="shared" si="2"/>
        <v>0</v>
      </c>
      <c r="N40" s="276"/>
      <c r="O40" s="276"/>
      <c r="P40" s="276"/>
      <c r="Q40" s="276"/>
      <c r="R40" s="276"/>
    </row>
    <row r="41" spans="1:19" s="282" customFormat="1">
      <c r="A41" s="270">
        <f t="shared" si="3"/>
        <v>0</v>
      </c>
      <c r="B41" s="268" t="str">
        <f t="shared" si="0"/>
        <v/>
      </c>
      <c r="C41" s="269"/>
      <c r="D41" s="269"/>
      <c r="E41" s="269"/>
      <c r="F41" s="269"/>
      <c r="G41" s="276"/>
      <c r="H41" s="301">
        <v>36</v>
      </c>
      <c r="I41" s="302" t="str">
        <f t="shared" si="4"/>
        <v/>
      </c>
      <c r="J41" s="301">
        <f t="shared" si="5"/>
        <v>0</v>
      </c>
      <c r="K41" s="301">
        <f t="shared" si="1"/>
        <v>0</v>
      </c>
      <c r="L41" s="301"/>
      <c r="M41" s="303">
        <f t="shared" si="2"/>
        <v>0</v>
      </c>
      <c r="N41" s="276"/>
      <c r="O41" s="276"/>
      <c r="P41" s="276"/>
      <c r="Q41" s="276"/>
      <c r="R41" s="276"/>
      <c r="S41" s="313"/>
    </row>
    <row r="42" spans="1:19" s="282" customFormat="1">
      <c r="A42" s="271">
        <f t="shared" si="3"/>
        <v>0</v>
      </c>
      <c r="B42" s="265" t="str">
        <f t="shared" si="0"/>
        <v/>
      </c>
      <c r="C42" s="266"/>
      <c r="D42" s="266"/>
      <c r="E42" s="266"/>
      <c r="F42" s="266"/>
      <c r="G42" s="276"/>
      <c r="H42" s="295">
        <v>37</v>
      </c>
      <c r="I42" s="296" t="str">
        <f t="shared" si="4"/>
        <v/>
      </c>
      <c r="J42" s="295">
        <f t="shared" si="5"/>
        <v>0</v>
      </c>
      <c r="K42" s="295">
        <f t="shared" si="1"/>
        <v>0</v>
      </c>
      <c r="L42" s="295"/>
      <c r="M42" s="297">
        <f t="shared" si="2"/>
        <v>0</v>
      </c>
      <c r="N42" s="276"/>
      <c r="O42" s="276"/>
      <c r="P42" s="276"/>
      <c r="Q42" s="276"/>
      <c r="R42" s="276"/>
    </row>
    <row r="43" spans="1:19" s="282" customFormat="1">
      <c r="A43" s="270">
        <f t="shared" si="3"/>
        <v>0</v>
      </c>
      <c r="B43" s="268" t="str">
        <f t="shared" si="0"/>
        <v/>
      </c>
      <c r="C43" s="269"/>
      <c r="D43" s="269"/>
      <c r="E43" s="269"/>
      <c r="F43" s="269"/>
      <c r="G43" s="276"/>
      <c r="H43" s="301">
        <v>38</v>
      </c>
      <c r="I43" s="302" t="str">
        <f t="shared" si="4"/>
        <v/>
      </c>
      <c r="J43" s="301">
        <f t="shared" si="5"/>
        <v>0</v>
      </c>
      <c r="K43" s="301">
        <f t="shared" si="1"/>
        <v>0</v>
      </c>
      <c r="L43" s="301"/>
      <c r="M43" s="303">
        <f t="shared" si="2"/>
        <v>0</v>
      </c>
      <c r="N43" s="276"/>
      <c r="O43" s="276"/>
      <c r="P43" s="276"/>
      <c r="Q43" s="276"/>
      <c r="R43" s="276"/>
    </row>
    <row r="44" spans="1:19" s="282" customFormat="1">
      <c r="A44" s="271">
        <f t="shared" si="3"/>
        <v>0</v>
      </c>
      <c r="B44" s="265" t="str">
        <f t="shared" si="0"/>
        <v/>
      </c>
      <c r="C44" s="266"/>
      <c r="D44" s="266"/>
      <c r="E44" s="266"/>
      <c r="F44" s="266"/>
      <c r="G44" s="276"/>
      <c r="H44" s="295">
        <v>39</v>
      </c>
      <c r="I44" s="296" t="str">
        <f t="shared" si="4"/>
        <v/>
      </c>
      <c r="J44" s="295">
        <f t="shared" si="5"/>
        <v>0</v>
      </c>
      <c r="K44" s="295">
        <f t="shared" si="1"/>
        <v>0</v>
      </c>
      <c r="L44" s="295"/>
      <c r="M44" s="297">
        <f t="shared" si="2"/>
        <v>0</v>
      </c>
      <c r="N44" s="276"/>
      <c r="O44" s="276"/>
      <c r="P44" s="276"/>
      <c r="Q44" s="276"/>
      <c r="R44" s="276"/>
    </row>
    <row r="45" spans="1:19" s="282" customFormat="1">
      <c r="A45" s="270">
        <f t="shared" si="3"/>
        <v>0</v>
      </c>
      <c r="B45" s="268" t="str">
        <f t="shared" si="0"/>
        <v/>
      </c>
      <c r="C45" s="269"/>
      <c r="D45" s="269"/>
      <c r="E45" s="269"/>
      <c r="F45" s="269"/>
      <c r="G45" s="276"/>
      <c r="H45" s="301">
        <v>40</v>
      </c>
      <c r="I45" s="302" t="str">
        <f t="shared" si="4"/>
        <v/>
      </c>
      <c r="J45" s="301">
        <f t="shared" si="5"/>
        <v>0</v>
      </c>
      <c r="K45" s="301">
        <f t="shared" si="1"/>
        <v>0</v>
      </c>
      <c r="L45" s="301"/>
      <c r="M45" s="303">
        <f t="shared" si="2"/>
        <v>0</v>
      </c>
      <c r="N45" s="276"/>
      <c r="O45" s="276"/>
      <c r="P45" s="276"/>
      <c r="Q45" s="276"/>
      <c r="R45" s="276"/>
    </row>
    <row r="46" spans="1:19" s="282" customFormat="1">
      <c r="A46" s="271">
        <f t="shared" si="3"/>
        <v>0</v>
      </c>
      <c r="B46" s="265" t="str">
        <f t="shared" si="0"/>
        <v/>
      </c>
      <c r="C46" s="266"/>
      <c r="D46" s="266"/>
      <c r="E46" s="266"/>
      <c r="F46" s="266"/>
      <c r="G46" s="276"/>
      <c r="H46" s="295">
        <v>41</v>
      </c>
      <c r="I46" s="296" t="str">
        <f t="shared" si="4"/>
        <v/>
      </c>
      <c r="J46" s="295">
        <f t="shared" si="5"/>
        <v>0</v>
      </c>
      <c r="K46" s="295">
        <f t="shared" si="1"/>
        <v>0</v>
      </c>
      <c r="L46" s="295"/>
      <c r="M46" s="297">
        <f t="shared" si="2"/>
        <v>0</v>
      </c>
      <c r="N46" s="276"/>
      <c r="O46" s="276"/>
      <c r="P46" s="276"/>
      <c r="Q46" s="276"/>
      <c r="R46" s="276"/>
    </row>
    <row r="47" spans="1:19" s="282" customFormat="1">
      <c r="A47" s="270">
        <f t="shared" si="3"/>
        <v>0</v>
      </c>
      <c r="B47" s="268" t="str">
        <f t="shared" si="0"/>
        <v/>
      </c>
      <c r="C47" s="269"/>
      <c r="D47" s="269"/>
      <c r="E47" s="269"/>
      <c r="F47" s="269"/>
      <c r="G47" s="276"/>
      <c r="H47" s="301">
        <v>42</v>
      </c>
      <c r="I47" s="302" t="str">
        <f t="shared" si="4"/>
        <v/>
      </c>
      <c r="J47" s="301">
        <f t="shared" si="5"/>
        <v>0</v>
      </c>
      <c r="K47" s="301">
        <f t="shared" si="1"/>
        <v>0</v>
      </c>
      <c r="L47" s="301"/>
      <c r="M47" s="303">
        <f t="shared" si="2"/>
        <v>0</v>
      </c>
      <c r="N47" s="276"/>
      <c r="O47" s="276"/>
      <c r="P47" s="276"/>
      <c r="Q47" s="276"/>
      <c r="R47" s="276"/>
    </row>
    <row r="48" spans="1:19" s="282" customFormat="1">
      <c r="A48" s="271">
        <f t="shared" si="3"/>
        <v>0</v>
      </c>
      <c r="B48" s="265" t="str">
        <f t="shared" si="0"/>
        <v/>
      </c>
      <c r="C48" s="266"/>
      <c r="D48" s="266"/>
      <c r="E48" s="266"/>
      <c r="F48" s="266"/>
      <c r="G48" s="276"/>
      <c r="H48" s="295">
        <v>43</v>
      </c>
      <c r="I48" s="296" t="str">
        <f t="shared" si="4"/>
        <v/>
      </c>
      <c r="J48" s="295">
        <f t="shared" si="5"/>
        <v>0</v>
      </c>
      <c r="K48" s="295">
        <f t="shared" si="1"/>
        <v>0</v>
      </c>
      <c r="L48" s="295"/>
      <c r="M48" s="297">
        <f t="shared" si="2"/>
        <v>0</v>
      </c>
      <c r="N48" s="276"/>
      <c r="O48" s="276"/>
      <c r="P48" s="276"/>
      <c r="Q48" s="276"/>
      <c r="R48" s="276"/>
    </row>
    <row r="49" spans="1:38" s="276" customFormat="1">
      <c r="A49" s="270">
        <f t="shared" si="3"/>
        <v>0</v>
      </c>
      <c r="B49" s="268" t="str">
        <f t="shared" si="0"/>
        <v/>
      </c>
      <c r="C49" s="269"/>
      <c r="D49" s="269"/>
      <c r="E49" s="269"/>
      <c r="F49" s="269"/>
      <c r="H49" s="301">
        <v>44</v>
      </c>
      <c r="I49" s="302" t="str">
        <f t="shared" si="4"/>
        <v/>
      </c>
      <c r="J49" s="301">
        <f t="shared" si="5"/>
        <v>0</v>
      </c>
      <c r="K49" s="301">
        <f t="shared" si="1"/>
        <v>0</v>
      </c>
      <c r="L49" s="301"/>
      <c r="M49" s="303">
        <f t="shared" si="2"/>
        <v>0</v>
      </c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</row>
    <row r="50" spans="1:38" s="276" customFormat="1">
      <c r="A50" s="271">
        <f t="shared" si="3"/>
        <v>0</v>
      </c>
      <c r="B50" s="265" t="str">
        <f t="shared" si="0"/>
        <v/>
      </c>
      <c r="C50" s="266"/>
      <c r="D50" s="266"/>
      <c r="E50" s="266"/>
      <c r="F50" s="266"/>
      <c r="H50" s="295">
        <v>45</v>
      </c>
      <c r="I50" s="296" t="str">
        <f t="shared" si="4"/>
        <v/>
      </c>
      <c r="J50" s="295">
        <f t="shared" si="5"/>
        <v>0</v>
      </c>
      <c r="K50" s="295">
        <f t="shared" si="1"/>
        <v>0</v>
      </c>
      <c r="L50" s="295"/>
      <c r="M50" s="297">
        <f t="shared" si="2"/>
        <v>0</v>
      </c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</row>
    <row r="51" spans="1:38" s="276" customFormat="1">
      <c r="A51" s="270">
        <f t="shared" si="3"/>
        <v>0</v>
      </c>
      <c r="B51" s="268" t="str">
        <f t="shared" si="0"/>
        <v/>
      </c>
      <c r="C51" s="269"/>
      <c r="D51" s="269"/>
      <c r="E51" s="269"/>
      <c r="F51" s="269"/>
      <c r="H51" s="301">
        <v>46</v>
      </c>
      <c r="I51" s="302" t="str">
        <f t="shared" si="4"/>
        <v/>
      </c>
      <c r="J51" s="301">
        <f t="shared" si="5"/>
        <v>0</v>
      </c>
      <c r="K51" s="301">
        <f t="shared" si="1"/>
        <v>0</v>
      </c>
      <c r="L51" s="301"/>
      <c r="M51" s="303">
        <f t="shared" si="2"/>
        <v>0</v>
      </c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</row>
    <row r="52" spans="1:38" s="276" customFormat="1">
      <c r="A52" s="271">
        <f t="shared" si="3"/>
        <v>0</v>
      </c>
      <c r="B52" s="265" t="str">
        <f t="shared" si="0"/>
        <v/>
      </c>
      <c r="C52" s="266"/>
      <c r="D52" s="266"/>
      <c r="E52" s="266"/>
      <c r="F52" s="266"/>
      <c r="H52" s="295">
        <v>47</v>
      </c>
      <c r="I52" s="296" t="str">
        <f t="shared" si="4"/>
        <v/>
      </c>
      <c r="J52" s="295">
        <f t="shared" si="5"/>
        <v>0</v>
      </c>
      <c r="K52" s="295">
        <f t="shared" si="1"/>
        <v>0</v>
      </c>
      <c r="L52" s="295"/>
      <c r="M52" s="297">
        <f t="shared" si="2"/>
        <v>0</v>
      </c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  <c r="AK52" s="282"/>
      <c r="AL52" s="282"/>
    </row>
    <row r="53" spans="1:38" s="276" customFormat="1">
      <c r="A53" s="270">
        <f t="shared" si="3"/>
        <v>0</v>
      </c>
      <c r="B53" s="268" t="str">
        <f t="shared" si="0"/>
        <v/>
      </c>
      <c r="C53" s="269"/>
      <c r="D53" s="269"/>
      <c r="E53" s="269"/>
      <c r="F53" s="269"/>
      <c r="H53" s="301">
        <v>48</v>
      </c>
      <c r="I53" s="302" t="str">
        <f t="shared" si="4"/>
        <v/>
      </c>
      <c r="J53" s="301">
        <f t="shared" si="5"/>
        <v>0</v>
      </c>
      <c r="K53" s="301">
        <f t="shared" si="1"/>
        <v>0</v>
      </c>
      <c r="L53" s="301"/>
      <c r="M53" s="303">
        <f t="shared" si="2"/>
        <v>0</v>
      </c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</row>
    <row r="54" spans="1:38" s="276" customFormat="1">
      <c r="A54" s="271">
        <f t="shared" si="3"/>
        <v>0</v>
      </c>
      <c r="B54" s="265" t="str">
        <f t="shared" si="0"/>
        <v/>
      </c>
      <c r="C54" s="266"/>
      <c r="D54" s="266"/>
      <c r="E54" s="266"/>
      <c r="F54" s="266"/>
      <c r="H54" s="295">
        <v>49</v>
      </c>
      <c r="I54" s="296" t="str">
        <f t="shared" si="4"/>
        <v/>
      </c>
      <c r="J54" s="295">
        <f t="shared" si="5"/>
        <v>0</v>
      </c>
      <c r="K54" s="295">
        <f t="shared" si="1"/>
        <v>0</v>
      </c>
      <c r="L54" s="295"/>
      <c r="M54" s="297">
        <f t="shared" si="2"/>
        <v>0</v>
      </c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</row>
    <row r="55" spans="1:38" s="276" customFormat="1">
      <c r="A55" s="270">
        <f t="shared" si="3"/>
        <v>0</v>
      </c>
      <c r="B55" s="268" t="str">
        <f t="shared" si="0"/>
        <v/>
      </c>
      <c r="C55" s="269"/>
      <c r="D55" s="269"/>
      <c r="E55" s="269"/>
      <c r="F55" s="269"/>
      <c r="H55" s="301">
        <v>50</v>
      </c>
      <c r="I55" s="302" t="str">
        <f t="shared" si="4"/>
        <v/>
      </c>
      <c r="J55" s="301">
        <f t="shared" si="5"/>
        <v>0</v>
      </c>
      <c r="K55" s="301">
        <f t="shared" si="1"/>
        <v>0</v>
      </c>
      <c r="L55" s="301"/>
      <c r="M55" s="303">
        <f t="shared" si="2"/>
        <v>0</v>
      </c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</row>
    <row r="56" spans="1:38" s="276" customFormat="1">
      <c r="A56" s="271">
        <f t="shared" si="3"/>
        <v>0</v>
      </c>
      <c r="B56" s="265" t="str">
        <f t="shared" si="0"/>
        <v/>
      </c>
      <c r="C56" s="266"/>
      <c r="D56" s="266"/>
      <c r="E56" s="266"/>
      <c r="F56" s="266"/>
      <c r="H56" s="295">
        <v>51</v>
      </c>
      <c r="I56" s="296" t="str">
        <f t="shared" si="4"/>
        <v/>
      </c>
      <c r="J56" s="295">
        <f t="shared" si="5"/>
        <v>0</v>
      </c>
      <c r="K56" s="295">
        <f t="shared" si="1"/>
        <v>0</v>
      </c>
      <c r="L56" s="295"/>
      <c r="M56" s="297">
        <f t="shared" si="2"/>
        <v>0</v>
      </c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</row>
    <row r="57" spans="1:38" s="276" customFormat="1">
      <c r="A57" s="270">
        <f t="shared" si="3"/>
        <v>0</v>
      </c>
      <c r="B57" s="268" t="str">
        <f t="shared" si="0"/>
        <v/>
      </c>
      <c r="C57" s="269"/>
      <c r="D57" s="269"/>
      <c r="E57" s="269"/>
      <c r="F57" s="269"/>
      <c r="H57" s="301">
        <v>52</v>
      </c>
      <c r="I57" s="302" t="str">
        <f t="shared" si="4"/>
        <v/>
      </c>
      <c r="J57" s="301">
        <f t="shared" si="5"/>
        <v>0</v>
      </c>
      <c r="K57" s="301">
        <f t="shared" si="1"/>
        <v>0</v>
      </c>
      <c r="L57" s="301"/>
      <c r="M57" s="303">
        <f t="shared" si="2"/>
        <v>0</v>
      </c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</row>
    <row r="58" spans="1:38" s="276" customFormat="1">
      <c r="A58" s="271">
        <f t="shared" si="3"/>
        <v>0</v>
      </c>
      <c r="B58" s="265" t="str">
        <f t="shared" si="0"/>
        <v/>
      </c>
      <c r="C58" s="266"/>
      <c r="D58" s="266"/>
      <c r="E58" s="266"/>
      <c r="F58" s="266"/>
      <c r="H58" s="295">
        <v>53</v>
      </c>
      <c r="I58" s="296" t="str">
        <f t="shared" si="4"/>
        <v/>
      </c>
      <c r="J58" s="295">
        <f t="shared" si="5"/>
        <v>0</v>
      </c>
      <c r="K58" s="295">
        <f t="shared" si="1"/>
        <v>0</v>
      </c>
      <c r="L58" s="295"/>
      <c r="M58" s="297">
        <f t="shared" si="2"/>
        <v>0</v>
      </c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</row>
    <row r="59" spans="1:38" s="276" customFormat="1">
      <c r="A59" s="270">
        <f t="shared" si="3"/>
        <v>0</v>
      </c>
      <c r="B59" s="268" t="str">
        <f t="shared" si="0"/>
        <v/>
      </c>
      <c r="C59" s="269"/>
      <c r="D59" s="269"/>
      <c r="E59" s="269"/>
      <c r="F59" s="269"/>
      <c r="H59" s="301">
        <v>54</v>
      </c>
      <c r="I59" s="302" t="str">
        <f t="shared" si="4"/>
        <v/>
      </c>
      <c r="J59" s="301">
        <f t="shared" si="5"/>
        <v>0</v>
      </c>
      <c r="K59" s="301">
        <f t="shared" si="1"/>
        <v>0</v>
      </c>
      <c r="L59" s="301"/>
      <c r="M59" s="303">
        <f t="shared" si="2"/>
        <v>0</v>
      </c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/>
      <c r="AE59" s="282"/>
      <c r="AF59" s="282"/>
      <c r="AG59" s="282"/>
      <c r="AH59" s="282"/>
      <c r="AI59" s="282"/>
      <c r="AJ59" s="282"/>
      <c r="AK59" s="282"/>
      <c r="AL59" s="282"/>
    </row>
    <row r="60" spans="1:38" s="276" customFormat="1">
      <c r="A60" s="271">
        <f t="shared" si="3"/>
        <v>0</v>
      </c>
      <c r="B60" s="265" t="str">
        <f t="shared" si="0"/>
        <v/>
      </c>
      <c r="C60" s="266"/>
      <c r="D60" s="266"/>
      <c r="E60" s="266"/>
      <c r="F60" s="266"/>
      <c r="H60" s="295">
        <v>55</v>
      </c>
      <c r="I60" s="296" t="str">
        <f t="shared" si="4"/>
        <v/>
      </c>
      <c r="J60" s="295">
        <f t="shared" si="5"/>
        <v>0</v>
      </c>
      <c r="K60" s="295">
        <f t="shared" si="1"/>
        <v>0</v>
      </c>
      <c r="L60" s="295"/>
      <c r="M60" s="297">
        <f t="shared" si="2"/>
        <v>0</v>
      </c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</row>
    <row r="61" spans="1:38" s="276" customFormat="1">
      <c r="A61" s="270">
        <f t="shared" si="3"/>
        <v>0</v>
      </c>
      <c r="B61" s="268" t="str">
        <f t="shared" si="0"/>
        <v/>
      </c>
      <c r="C61" s="269"/>
      <c r="D61" s="269"/>
      <c r="E61" s="269"/>
      <c r="F61" s="269"/>
      <c r="H61" s="301">
        <v>56</v>
      </c>
      <c r="I61" s="302" t="str">
        <f t="shared" si="4"/>
        <v/>
      </c>
      <c r="J61" s="301">
        <f t="shared" si="5"/>
        <v>0</v>
      </c>
      <c r="K61" s="301">
        <f t="shared" si="1"/>
        <v>0</v>
      </c>
      <c r="L61" s="301"/>
      <c r="M61" s="303">
        <f t="shared" si="2"/>
        <v>0</v>
      </c>
      <c r="S61" s="282"/>
      <c r="T61" s="282"/>
      <c r="U61" s="282"/>
      <c r="V61" s="282"/>
      <c r="W61" s="282"/>
      <c r="X61" s="282"/>
      <c r="Y61" s="282"/>
      <c r="Z61" s="282"/>
      <c r="AA61" s="282"/>
      <c r="AB61" s="282"/>
      <c r="AC61" s="282"/>
      <c r="AD61" s="282"/>
      <c r="AE61" s="282"/>
      <c r="AF61" s="282"/>
      <c r="AG61" s="282"/>
      <c r="AH61" s="282"/>
      <c r="AI61" s="282"/>
      <c r="AJ61" s="282"/>
      <c r="AK61" s="282"/>
      <c r="AL61" s="282"/>
    </row>
    <row r="62" spans="1:38" s="276" customFormat="1">
      <c r="A62" s="271">
        <f t="shared" si="3"/>
        <v>0</v>
      </c>
      <c r="B62" s="265" t="str">
        <f t="shared" si="0"/>
        <v/>
      </c>
      <c r="C62" s="266"/>
      <c r="D62" s="266"/>
      <c r="E62" s="266"/>
      <c r="F62" s="266"/>
      <c r="H62" s="295">
        <v>57</v>
      </c>
      <c r="I62" s="296" t="str">
        <f t="shared" si="4"/>
        <v/>
      </c>
      <c r="J62" s="295">
        <f t="shared" si="5"/>
        <v>0</v>
      </c>
      <c r="K62" s="295">
        <f t="shared" si="1"/>
        <v>0</v>
      </c>
      <c r="L62" s="295"/>
      <c r="M62" s="297">
        <f t="shared" si="2"/>
        <v>0</v>
      </c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</row>
    <row r="63" spans="1:38" s="276" customFormat="1">
      <c r="A63" s="270">
        <f t="shared" si="3"/>
        <v>0</v>
      </c>
      <c r="B63" s="268" t="str">
        <f t="shared" si="0"/>
        <v/>
      </c>
      <c r="C63" s="269"/>
      <c r="D63" s="269"/>
      <c r="E63" s="269"/>
      <c r="F63" s="269"/>
      <c r="H63" s="301">
        <v>58</v>
      </c>
      <c r="I63" s="302" t="str">
        <f t="shared" si="4"/>
        <v/>
      </c>
      <c r="J63" s="301">
        <f t="shared" si="5"/>
        <v>0</v>
      </c>
      <c r="K63" s="301">
        <f t="shared" si="1"/>
        <v>0</v>
      </c>
      <c r="L63" s="301"/>
      <c r="M63" s="303">
        <f t="shared" si="2"/>
        <v>0</v>
      </c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</row>
    <row r="64" spans="1:38" s="276" customFormat="1">
      <c r="A64" s="271">
        <f t="shared" si="3"/>
        <v>0</v>
      </c>
      <c r="B64" s="265" t="str">
        <f t="shared" si="0"/>
        <v/>
      </c>
      <c r="C64" s="266"/>
      <c r="D64" s="266"/>
      <c r="E64" s="266"/>
      <c r="F64" s="266"/>
      <c r="H64" s="295">
        <v>59</v>
      </c>
      <c r="I64" s="296" t="str">
        <f t="shared" si="4"/>
        <v/>
      </c>
      <c r="J64" s="295">
        <f t="shared" si="5"/>
        <v>0</v>
      </c>
      <c r="K64" s="295">
        <f t="shared" si="1"/>
        <v>0</v>
      </c>
      <c r="L64" s="295"/>
      <c r="M64" s="297">
        <f t="shared" si="2"/>
        <v>0</v>
      </c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</row>
    <row r="65" spans="1:38" s="276" customFormat="1">
      <c r="A65" s="270">
        <f t="shared" si="3"/>
        <v>0</v>
      </c>
      <c r="B65" s="268" t="str">
        <f t="shared" si="0"/>
        <v/>
      </c>
      <c r="C65" s="269"/>
      <c r="D65" s="269"/>
      <c r="E65" s="269"/>
      <c r="F65" s="269"/>
      <c r="H65" s="301">
        <v>60</v>
      </c>
      <c r="I65" s="302" t="str">
        <f t="shared" si="4"/>
        <v/>
      </c>
      <c r="J65" s="301">
        <f t="shared" si="5"/>
        <v>0</v>
      </c>
      <c r="K65" s="301">
        <f t="shared" si="1"/>
        <v>0</v>
      </c>
      <c r="L65" s="301"/>
      <c r="M65" s="303">
        <f t="shared" si="2"/>
        <v>0</v>
      </c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</row>
    <row r="66" spans="1:38" s="282" customFormat="1" ht="14.45" customHeight="1">
      <c r="A66" s="264">
        <f t="shared" si="3"/>
        <v>0</v>
      </c>
      <c r="B66" s="265" t="str">
        <f t="shared" si="0"/>
        <v/>
      </c>
      <c r="C66" s="266"/>
      <c r="D66" s="266"/>
      <c r="E66" s="266"/>
      <c r="F66" s="266"/>
      <c r="G66" s="260"/>
      <c r="H66" s="295">
        <v>61</v>
      </c>
      <c r="I66" s="296" t="str">
        <f t="shared" si="4"/>
        <v/>
      </c>
      <c r="J66" s="295">
        <f t="shared" si="5"/>
        <v>0</v>
      </c>
      <c r="K66" s="295">
        <f t="shared" si="1"/>
        <v>0</v>
      </c>
      <c r="L66" s="297"/>
      <c r="M66" s="297">
        <f t="shared" si="2"/>
        <v>0</v>
      </c>
      <c r="N66" s="276"/>
      <c r="O66" s="276"/>
      <c r="P66" s="276"/>
      <c r="Q66" s="276"/>
      <c r="R66" s="276"/>
    </row>
    <row r="67" spans="1:38" s="282" customFormat="1" ht="14.45" customHeight="1">
      <c r="A67" s="267">
        <f t="shared" si="3"/>
        <v>0</v>
      </c>
      <c r="B67" s="268" t="str">
        <f t="shared" si="0"/>
        <v/>
      </c>
      <c r="C67" s="269"/>
      <c r="D67" s="269"/>
      <c r="E67" s="269"/>
      <c r="F67" s="269"/>
      <c r="G67" s="260"/>
      <c r="H67" s="301">
        <v>62</v>
      </c>
      <c r="I67" s="302" t="str">
        <f t="shared" si="4"/>
        <v/>
      </c>
      <c r="J67" s="301">
        <f t="shared" si="5"/>
        <v>0</v>
      </c>
      <c r="K67" s="301">
        <f t="shared" si="1"/>
        <v>0</v>
      </c>
      <c r="L67" s="303"/>
      <c r="M67" s="303">
        <f t="shared" si="2"/>
        <v>0</v>
      </c>
      <c r="N67" s="276"/>
      <c r="O67" s="276"/>
      <c r="P67" s="276"/>
      <c r="Q67" s="276"/>
      <c r="R67" s="276"/>
    </row>
    <row r="68" spans="1:38" s="282" customFormat="1" ht="14.45" customHeight="1">
      <c r="A68" s="264">
        <f t="shared" si="3"/>
        <v>0</v>
      </c>
      <c r="B68" s="265" t="str">
        <f t="shared" si="0"/>
        <v/>
      </c>
      <c r="C68" s="266"/>
      <c r="D68" s="266"/>
      <c r="E68" s="266"/>
      <c r="F68" s="266"/>
      <c r="G68" s="260"/>
      <c r="H68" s="295">
        <v>63</v>
      </c>
      <c r="I68" s="296" t="str">
        <f t="shared" si="4"/>
        <v/>
      </c>
      <c r="J68" s="295">
        <f t="shared" si="5"/>
        <v>0</v>
      </c>
      <c r="K68" s="295">
        <f t="shared" si="1"/>
        <v>0</v>
      </c>
      <c r="L68" s="297"/>
      <c r="M68" s="297">
        <f t="shared" si="2"/>
        <v>0</v>
      </c>
      <c r="N68" s="276"/>
      <c r="O68" s="276"/>
      <c r="P68" s="276"/>
      <c r="Q68" s="276"/>
      <c r="R68" s="276"/>
    </row>
    <row r="69" spans="1:38" s="282" customFormat="1" ht="14.45" customHeight="1">
      <c r="A69" s="267">
        <f t="shared" si="3"/>
        <v>0</v>
      </c>
      <c r="B69" s="268" t="str">
        <f t="shared" si="0"/>
        <v/>
      </c>
      <c r="C69" s="269"/>
      <c r="D69" s="269"/>
      <c r="E69" s="269"/>
      <c r="F69" s="269"/>
      <c r="G69" s="260"/>
      <c r="H69" s="301">
        <v>64</v>
      </c>
      <c r="I69" s="302" t="str">
        <f t="shared" si="4"/>
        <v/>
      </c>
      <c r="J69" s="301">
        <f t="shared" si="5"/>
        <v>0</v>
      </c>
      <c r="K69" s="301">
        <f t="shared" si="1"/>
        <v>0</v>
      </c>
      <c r="L69" s="303"/>
      <c r="M69" s="303">
        <f t="shared" si="2"/>
        <v>0</v>
      </c>
      <c r="N69" s="276"/>
      <c r="O69" s="276"/>
      <c r="P69" s="276"/>
      <c r="Q69" s="276"/>
      <c r="R69" s="276"/>
      <c r="V69" s="304"/>
      <c r="Z69" s="305"/>
      <c r="AA69" s="305"/>
      <c r="AG69" s="306"/>
    </row>
    <row r="70" spans="1:38" s="282" customFormat="1" ht="14.45" customHeight="1">
      <c r="A70" s="264">
        <f t="shared" si="3"/>
        <v>0</v>
      </c>
      <c r="B70" s="265" t="str">
        <f t="shared" ref="B70:B133" si="6">IF(H70&gt;$H$2,"",(ROW()-5))</f>
        <v/>
      </c>
      <c r="C70" s="266"/>
      <c r="D70" s="266"/>
      <c r="E70" s="266"/>
      <c r="F70" s="266"/>
      <c r="G70" s="260"/>
      <c r="H70" s="295">
        <v>65</v>
      </c>
      <c r="I70" s="296" t="str">
        <f t="shared" si="4"/>
        <v/>
      </c>
      <c r="J70" s="295">
        <f t="shared" si="5"/>
        <v>-1</v>
      </c>
      <c r="K70" s="295">
        <f t="shared" ref="K70:K133" si="7">J70*$J$2</f>
        <v>-10</v>
      </c>
      <c r="L70" s="295"/>
      <c r="M70" s="297">
        <f t="shared" ref="M70:M133" si="8">IF(I70&lt;&gt;"",K70+I70+L70,0)</f>
        <v>0</v>
      </c>
      <c r="N70" s="276"/>
      <c r="O70" s="276"/>
      <c r="P70" s="276"/>
      <c r="Q70" s="276"/>
      <c r="R70" s="276"/>
      <c r="V70" s="304"/>
      <c r="Z70" s="305"/>
      <c r="AA70" s="305"/>
      <c r="AG70" s="306"/>
    </row>
    <row r="71" spans="1:38" s="282" customFormat="1" ht="14.45" customHeight="1">
      <c r="A71" s="267">
        <f t="shared" ref="A71:A134" si="9">M71</f>
        <v>0</v>
      </c>
      <c r="B71" s="268" t="str">
        <f t="shared" si="6"/>
        <v/>
      </c>
      <c r="C71" s="269"/>
      <c r="D71" s="269"/>
      <c r="E71" s="269"/>
      <c r="F71" s="269"/>
      <c r="G71" s="260"/>
      <c r="H71" s="301">
        <v>66</v>
      </c>
      <c r="I71" s="302" t="str">
        <f t="shared" ref="I71:I134" si="10">IF(H71&lt;$H$2+1,($I$2-($I$2-1)*(LOG(H71)/LOG($H$2))),"")</f>
        <v/>
      </c>
      <c r="J71" s="301">
        <f t="shared" ref="J71:J134" si="11">INT(LOG($H$2,2))-ROUNDUP(LOG(H71,2),0)+IF(OR($H$2=1,$H$2=2,$H$2=4,$H$2=8,$H$2=16,$H$2=32,$H$2=64,$H$2=128,$H$2=256),0,1)</f>
        <v>-1</v>
      </c>
      <c r="K71" s="301">
        <f t="shared" si="7"/>
        <v>-10</v>
      </c>
      <c r="L71" s="301"/>
      <c r="M71" s="303">
        <f t="shared" si="8"/>
        <v>0</v>
      </c>
      <c r="N71" s="276"/>
      <c r="O71" s="276"/>
      <c r="P71" s="276"/>
      <c r="Q71" s="276"/>
      <c r="R71" s="276"/>
      <c r="V71" s="307"/>
      <c r="Z71" s="305"/>
      <c r="AA71" s="305"/>
      <c r="AG71" s="306"/>
    </row>
    <row r="72" spans="1:38" s="282" customFormat="1" ht="14.45" customHeight="1">
      <c r="A72" s="264">
        <f t="shared" si="9"/>
        <v>0</v>
      </c>
      <c r="B72" s="265" t="str">
        <f t="shared" si="6"/>
        <v/>
      </c>
      <c r="C72" s="266"/>
      <c r="D72" s="266"/>
      <c r="E72" s="266"/>
      <c r="F72" s="266"/>
      <c r="G72" s="260"/>
      <c r="H72" s="295">
        <v>67</v>
      </c>
      <c r="I72" s="296" t="str">
        <f t="shared" si="10"/>
        <v/>
      </c>
      <c r="J72" s="295">
        <f t="shared" si="11"/>
        <v>-1</v>
      </c>
      <c r="K72" s="295">
        <f t="shared" si="7"/>
        <v>-10</v>
      </c>
      <c r="L72" s="295"/>
      <c r="M72" s="297">
        <f t="shared" si="8"/>
        <v>0</v>
      </c>
      <c r="N72" s="276"/>
      <c r="O72" s="276"/>
      <c r="P72" s="276"/>
      <c r="Q72" s="276"/>
      <c r="R72" s="276"/>
      <c r="Z72" s="305"/>
      <c r="AA72" s="305"/>
      <c r="AG72" s="306"/>
    </row>
    <row r="73" spans="1:38" s="282" customFormat="1" ht="14.45" customHeight="1">
      <c r="A73" s="270">
        <f t="shared" si="9"/>
        <v>0</v>
      </c>
      <c r="B73" s="268" t="str">
        <f t="shared" si="6"/>
        <v/>
      </c>
      <c r="C73" s="269"/>
      <c r="D73" s="269"/>
      <c r="E73" s="269"/>
      <c r="F73" s="269"/>
      <c r="G73" s="260"/>
      <c r="H73" s="301">
        <v>68</v>
      </c>
      <c r="I73" s="302" t="str">
        <f t="shared" si="10"/>
        <v/>
      </c>
      <c r="J73" s="301">
        <f t="shared" si="11"/>
        <v>-1</v>
      </c>
      <c r="K73" s="301">
        <f t="shared" si="7"/>
        <v>-10</v>
      </c>
      <c r="L73" s="301"/>
      <c r="M73" s="303">
        <f t="shared" si="8"/>
        <v>0</v>
      </c>
      <c r="N73" s="276"/>
      <c r="O73" s="276"/>
      <c r="P73" s="276"/>
      <c r="Q73" s="276"/>
      <c r="R73" s="276"/>
      <c r="X73" s="304"/>
      <c r="AG73" s="306"/>
    </row>
    <row r="74" spans="1:38" s="282" customFormat="1" ht="15.75" customHeight="1">
      <c r="A74" s="271">
        <f t="shared" si="9"/>
        <v>0</v>
      </c>
      <c r="B74" s="265" t="str">
        <f t="shared" si="6"/>
        <v/>
      </c>
      <c r="C74" s="266"/>
      <c r="D74" s="266"/>
      <c r="E74" s="266"/>
      <c r="F74" s="266"/>
      <c r="G74" s="260"/>
      <c r="H74" s="295">
        <v>69</v>
      </c>
      <c r="I74" s="296" t="str">
        <f t="shared" si="10"/>
        <v/>
      </c>
      <c r="J74" s="295">
        <f t="shared" si="11"/>
        <v>-1</v>
      </c>
      <c r="K74" s="295">
        <f t="shared" si="7"/>
        <v>-10</v>
      </c>
      <c r="L74" s="295"/>
      <c r="M74" s="297">
        <f t="shared" si="8"/>
        <v>0</v>
      </c>
      <c r="N74" s="276"/>
      <c r="O74" s="276"/>
      <c r="P74" s="276"/>
      <c r="Q74" s="276"/>
      <c r="R74" s="276"/>
      <c r="X74" s="308"/>
      <c r="Z74" s="305"/>
      <c r="AA74" s="305"/>
      <c r="AG74" s="306"/>
    </row>
    <row r="75" spans="1:38" s="282" customFormat="1">
      <c r="A75" s="270">
        <f t="shared" si="9"/>
        <v>0</v>
      </c>
      <c r="B75" s="268" t="str">
        <f t="shared" si="6"/>
        <v/>
      </c>
      <c r="C75" s="269"/>
      <c r="D75" s="269"/>
      <c r="E75" s="269"/>
      <c r="F75" s="269"/>
      <c r="G75" s="260"/>
      <c r="H75" s="301">
        <v>70</v>
      </c>
      <c r="I75" s="302" t="str">
        <f t="shared" si="10"/>
        <v/>
      </c>
      <c r="J75" s="301">
        <f t="shared" si="11"/>
        <v>-1</v>
      </c>
      <c r="K75" s="301">
        <f t="shared" si="7"/>
        <v>-10</v>
      </c>
      <c r="L75" s="301"/>
      <c r="M75" s="303">
        <f t="shared" si="8"/>
        <v>0</v>
      </c>
      <c r="N75" s="276"/>
      <c r="O75" s="276"/>
      <c r="P75" s="276"/>
      <c r="Q75" s="276"/>
      <c r="R75" s="276"/>
      <c r="X75" s="304"/>
      <c r="Z75" s="305"/>
      <c r="AA75" s="305"/>
    </row>
    <row r="76" spans="1:38" s="282" customFormat="1">
      <c r="A76" s="271">
        <f t="shared" si="9"/>
        <v>0</v>
      </c>
      <c r="B76" s="265" t="str">
        <f t="shared" si="6"/>
        <v/>
      </c>
      <c r="C76" s="266"/>
      <c r="D76" s="266"/>
      <c r="E76" s="266"/>
      <c r="F76" s="266"/>
      <c r="G76" s="260"/>
      <c r="H76" s="295">
        <v>71</v>
      </c>
      <c r="I76" s="296" t="str">
        <f t="shared" si="10"/>
        <v/>
      </c>
      <c r="J76" s="295">
        <f t="shared" si="11"/>
        <v>-1</v>
      </c>
      <c r="K76" s="295">
        <f t="shared" si="7"/>
        <v>-10</v>
      </c>
      <c r="L76" s="295"/>
      <c r="M76" s="297">
        <f t="shared" si="8"/>
        <v>0</v>
      </c>
      <c r="N76" s="276"/>
      <c r="O76" s="276"/>
      <c r="P76" s="276"/>
      <c r="Q76" s="276"/>
      <c r="R76" s="309"/>
      <c r="Z76" s="305"/>
      <c r="AA76" s="305"/>
      <c r="AH76" s="310"/>
    </row>
    <row r="77" spans="1:38" s="282" customFormat="1">
      <c r="A77" s="270">
        <f t="shared" si="9"/>
        <v>0</v>
      </c>
      <c r="B77" s="268" t="str">
        <f t="shared" si="6"/>
        <v/>
      </c>
      <c r="C77" s="269"/>
      <c r="D77" s="269"/>
      <c r="E77" s="269"/>
      <c r="F77" s="269"/>
      <c r="G77" s="260"/>
      <c r="H77" s="301">
        <v>72</v>
      </c>
      <c r="I77" s="302" t="str">
        <f t="shared" si="10"/>
        <v/>
      </c>
      <c r="J77" s="301">
        <f t="shared" si="11"/>
        <v>-1</v>
      </c>
      <c r="K77" s="301">
        <f t="shared" si="7"/>
        <v>-10</v>
      </c>
      <c r="L77" s="301"/>
      <c r="M77" s="303">
        <f t="shared" si="8"/>
        <v>0</v>
      </c>
      <c r="N77" s="276"/>
      <c r="O77" s="276"/>
      <c r="P77" s="276"/>
      <c r="Q77" s="276"/>
      <c r="R77" s="276"/>
    </row>
    <row r="78" spans="1:38" s="282" customFormat="1">
      <c r="A78" s="271">
        <f t="shared" si="9"/>
        <v>0</v>
      </c>
      <c r="B78" s="265" t="str">
        <f t="shared" si="6"/>
        <v/>
      </c>
      <c r="C78" s="266"/>
      <c r="D78" s="266"/>
      <c r="E78" s="266"/>
      <c r="F78" s="266"/>
      <c r="G78" s="260"/>
      <c r="H78" s="295">
        <v>73</v>
      </c>
      <c r="I78" s="296" t="str">
        <f t="shared" si="10"/>
        <v/>
      </c>
      <c r="J78" s="295">
        <f t="shared" si="11"/>
        <v>-1</v>
      </c>
      <c r="K78" s="295">
        <f t="shared" si="7"/>
        <v>-10</v>
      </c>
      <c r="L78" s="295"/>
      <c r="M78" s="297">
        <f t="shared" si="8"/>
        <v>0</v>
      </c>
      <c r="N78" s="276"/>
      <c r="O78" s="276"/>
      <c r="P78" s="276"/>
      <c r="Q78" s="276"/>
      <c r="R78" s="276"/>
    </row>
    <row r="79" spans="1:38" s="282" customFormat="1">
      <c r="A79" s="270">
        <f t="shared" si="9"/>
        <v>0</v>
      </c>
      <c r="B79" s="268" t="str">
        <f t="shared" si="6"/>
        <v/>
      </c>
      <c r="C79" s="269"/>
      <c r="D79" s="269"/>
      <c r="E79" s="269"/>
      <c r="F79" s="269"/>
      <c r="G79" s="260"/>
      <c r="H79" s="301">
        <v>74</v>
      </c>
      <c r="I79" s="302" t="str">
        <f t="shared" si="10"/>
        <v/>
      </c>
      <c r="J79" s="301">
        <f t="shared" si="11"/>
        <v>-1</v>
      </c>
      <c r="K79" s="301">
        <f t="shared" si="7"/>
        <v>-10</v>
      </c>
      <c r="L79" s="301"/>
      <c r="M79" s="303">
        <f t="shared" si="8"/>
        <v>0</v>
      </c>
      <c r="N79" s="276"/>
      <c r="O79" s="276"/>
      <c r="P79" s="276"/>
      <c r="Q79" s="276"/>
      <c r="R79" s="276"/>
    </row>
    <row r="80" spans="1:38" s="282" customFormat="1">
      <c r="A80" s="271">
        <f t="shared" si="9"/>
        <v>0</v>
      </c>
      <c r="B80" s="265" t="str">
        <f t="shared" si="6"/>
        <v/>
      </c>
      <c r="C80" s="266"/>
      <c r="D80" s="266"/>
      <c r="E80" s="266"/>
      <c r="F80" s="266"/>
      <c r="G80" s="260"/>
      <c r="H80" s="295">
        <v>75</v>
      </c>
      <c r="I80" s="296" t="str">
        <f t="shared" si="10"/>
        <v/>
      </c>
      <c r="J80" s="295">
        <f t="shared" si="11"/>
        <v>-1</v>
      </c>
      <c r="K80" s="295">
        <f t="shared" si="7"/>
        <v>-10</v>
      </c>
      <c r="L80" s="295"/>
      <c r="M80" s="297">
        <f t="shared" si="8"/>
        <v>0</v>
      </c>
      <c r="N80" s="276"/>
      <c r="O80" s="276"/>
      <c r="P80" s="276"/>
      <c r="Q80" s="276"/>
      <c r="R80" s="311"/>
      <c r="S80" s="312"/>
    </row>
    <row r="81" spans="1:19" s="282" customFormat="1">
      <c r="A81" s="270">
        <f t="shared" si="9"/>
        <v>0</v>
      </c>
      <c r="B81" s="268" t="str">
        <f t="shared" si="6"/>
        <v/>
      </c>
      <c r="C81" s="269"/>
      <c r="D81" s="269"/>
      <c r="E81" s="269"/>
      <c r="F81" s="269"/>
      <c r="G81" s="260"/>
      <c r="H81" s="301">
        <v>76</v>
      </c>
      <c r="I81" s="302" t="str">
        <f t="shared" si="10"/>
        <v/>
      </c>
      <c r="J81" s="301">
        <f t="shared" si="11"/>
        <v>-1</v>
      </c>
      <c r="K81" s="301">
        <f t="shared" si="7"/>
        <v>-10</v>
      </c>
      <c r="L81" s="301"/>
      <c r="M81" s="303">
        <f t="shared" si="8"/>
        <v>0</v>
      </c>
      <c r="N81" s="276"/>
      <c r="O81" s="276"/>
      <c r="P81" s="276"/>
      <c r="Q81" s="276"/>
      <c r="R81" s="276"/>
    </row>
    <row r="82" spans="1:19" s="282" customFormat="1">
      <c r="A82" s="271">
        <f t="shared" si="9"/>
        <v>0</v>
      </c>
      <c r="B82" s="265" t="str">
        <f t="shared" si="6"/>
        <v/>
      </c>
      <c r="C82" s="266"/>
      <c r="D82" s="266"/>
      <c r="E82" s="266"/>
      <c r="F82" s="266"/>
      <c r="G82" s="260"/>
      <c r="H82" s="295">
        <v>77</v>
      </c>
      <c r="I82" s="296" t="str">
        <f t="shared" si="10"/>
        <v/>
      </c>
      <c r="J82" s="295">
        <f t="shared" si="11"/>
        <v>-1</v>
      </c>
      <c r="K82" s="295">
        <f t="shared" si="7"/>
        <v>-10</v>
      </c>
      <c r="L82" s="295"/>
      <c r="M82" s="297">
        <f t="shared" si="8"/>
        <v>0</v>
      </c>
      <c r="N82" s="276"/>
      <c r="O82" s="276"/>
      <c r="P82" s="276"/>
      <c r="Q82" s="276"/>
      <c r="R82" s="276"/>
    </row>
    <row r="83" spans="1:19" s="282" customFormat="1">
      <c r="A83" s="270">
        <f t="shared" si="9"/>
        <v>0</v>
      </c>
      <c r="B83" s="268" t="str">
        <f t="shared" si="6"/>
        <v/>
      </c>
      <c r="C83" s="269"/>
      <c r="D83" s="269"/>
      <c r="E83" s="269"/>
      <c r="F83" s="269"/>
      <c r="G83" s="260"/>
      <c r="H83" s="301">
        <v>78</v>
      </c>
      <c r="I83" s="302" t="str">
        <f t="shared" si="10"/>
        <v/>
      </c>
      <c r="J83" s="301">
        <f t="shared" si="11"/>
        <v>-1</v>
      </c>
      <c r="K83" s="301">
        <f t="shared" si="7"/>
        <v>-10</v>
      </c>
      <c r="L83" s="301"/>
      <c r="M83" s="303">
        <f t="shared" si="8"/>
        <v>0</v>
      </c>
      <c r="N83" s="276"/>
      <c r="O83" s="276"/>
      <c r="P83" s="276"/>
      <c r="Q83" s="276"/>
      <c r="R83" s="276"/>
    </row>
    <row r="84" spans="1:19" s="282" customFormat="1">
      <c r="A84" s="271">
        <f t="shared" si="9"/>
        <v>0</v>
      </c>
      <c r="B84" s="265" t="str">
        <f t="shared" si="6"/>
        <v/>
      </c>
      <c r="C84" s="266"/>
      <c r="D84" s="266"/>
      <c r="E84" s="266"/>
      <c r="F84" s="266"/>
      <c r="G84" s="260"/>
      <c r="H84" s="295">
        <v>79</v>
      </c>
      <c r="I84" s="296" t="str">
        <f t="shared" si="10"/>
        <v/>
      </c>
      <c r="J84" s="295">
        <f t="shared" si="11"/>
        <v>-1</v>
      </c>
      <c r="K84" s="295">
        <f t="shared" si="7"/>
        <v>-10</v>
      </c>
      <c r="L84" s="295"/>
      <c r="M84" s="297">
        <f t="shared" si="8"/>
        <v>0</v>
      </c>
      <c r="N84" s="276"/>
      <c r="O84" s="276"/>
      <c r="P84" s="276"/>
      <c r="Q84" s="276"/>
      <c r="R84" s="311"/>
      <c r="S84" s="312"/>
    </row>
    <row r="85" spans="1:19" s="282" customFormat="1">
      <c r="A85" s="270">
        <f t="shared" si="9"/>
        <v>0</v>
      </c>
      <c r="B85" s="268" t="str">
        <f t="shared" si="6"/>
        <v/>
      </c>
      <c r="C85" s="269"/>
      <c r="D85" s="269"/>
      <c r="E85" s="269"/>
      <c r="F85" s="269"/>
      <c r="G85" s="260"/>
      <c r="H85" s="301">
        <v>80</v>
      </c>
      <c r="I85" s="302" t="str">
        <f t="shared" si="10"/>
        <v/>
      </c>
      <c r="J85" s="301">
        <f t="shared" si="11"/>
        <v>-1</v>
      </c>
      <c r="K85" s="301">
        <f t="shared" si="7"/>
        <v>-10</v>
      </c>
      <c r="L85" s="301"/>
      <c r="M85" s="303">
        <f t="shared" si="8"/>
        <v>0</v>
      </c>
      <c r="N85" s="276"/>
      <c r="O85" s="276"/>
      <c r="P85" s="276"/>
      <c r="Q85" s="276"/>
      <c r="R85" s="276"/>
    </row>
    <row r="86" spans="1:19" s="282" customFormat="1">
      <c r="A86" s="271">
        <f t="shared" si="9"/>
        <v>0</v>
      </c>
      <c r="B86" s="265" t="str">
        <f t="shared" si="6"/>
        <v/>
      </c>
      <c r="C86" s="266"/>
      <c r="D86" s="266"/>
      <c r="E86" s="266"/>
      <c r="F86" s="266"/>
      <c r="G86" s="260"/>
      <c r="H86" s="295">
        <v>81</v>
      </c>
      <c r="I86" s="296" t="str">
        <f t="shared" si="10"/>
        <v/>
      </c>
      <c r="J86" s="295">
        <f t="shared" si="11"/>
        <v>-1</v>
      </c>
      <c r="K86" s="295">
        <f t="shared" si="7"/>
        <v>-10</v>
      </c>
      <c r="L86" s="295"/>
      <c r="M86" s="297">
        <f t="shared" si="8"/>
        <v>0</v>
      </c>
      <c r="N86" s="276"/>
      <c r="O86" s="276"/>
      <c r="P86" s="276"/>
      <c r="Q86" s="276"/>
      <c r="R86" s="276"/>
    </row>
    <row r="87" spans="1:19" s="282" customFormat="1">
      <c r="A87" s="270">
        <f t="shared" si="9"/>
        <v>0</v>
      </c>
      <c r="B87" s="268" t="str">
        <f t="shared" si="6"/>
        <v/>
      </c>
      <c r="C87" s="269"/>
      <c r="D87" s="269"/>
      <c r="E87" s="269"/>
      <c r="F87" s="269"/>
      <c r="G87" s="260"/>
      <c r="H87" s="301">
        <v>82</v>
      </c>
      <c r="I87" s="302" t="str">
        <f t="shared" si="10"/>
        <v/>
      </c>
      <c r="J87" s="301">
        <f t="shared" si="11"/>
        <v>-1</v>
      </c>
      <c r="K87" s="301">
        <f t="shared" si="7"/>
        <v>-10</v>
      </c>
      <c r="L87" s="301"/>
      <c r="M87" s="303">
        <f t="shared" si="8"/>
        <v>0</v>
      </c>
      <c r="N87" s="276"/>
      <c r="O87" s="276"/>
      <c r="P87" s="276"/>
      <c r="Q87" s="276"/>
      <c r="R87" s="276"/>
    </row>
    <row r="88" spans="1:19" s="282" customFormat="1">
      <c r="A88" s="271">
        <f t="shared" si="9"/>
        <v>0</v>
      </c>
      <c r="B88" s="265" t="str">
        <f t="shared" si="6"/>
        <v/>
      </c>
      <c r="C88" s="266"/>
      <c r="D88" s="266"/>
      <c r="E88" s="266"/>
      <c r="F88" s="266"/>
      <c r="G88" s="260"/>
      <c r="H88" s="295">
        <v>83</v>
      </c>
      <c r="I88" s="296" t="str">
        <f t="shared" si="10"/>
        <v/>
      </c>
      <c r="J88" s="295">
        <f t="shared" si="11"/>
        <v>-1</v>
      </c>
      <c r="K88" s="295">
        <f t="shared" si="7"/>
        <v>-10</v>
      </c>
      <c r="L88" s="295"/>
      <c r="M88" s="297">
        <f t="shared" si="8"/>
        <v>0</v>
      </c>
      <c r="N88" s="276"/>
      <c r="O88" s="276"/>
      <c r="P88" s="276"/>
      <c r="Q88" s="276"/>
      <c r="R88" s="311"/>
      <c r="S88" s="312"/>
    </row>
    <row r="89" spans="1:19" s="282" customFormat="1">
      <c r="A89" s="270">
        <f t="shared" si="9"/>
        <v>0</v>
      </c>
      <c r="B89" s="268" t="str">
        <f t="shared" si="6"/>
        <v/>
      </c>
      <c r="C89" s="269"/>
      <c r="D89" s="269"/>
      <c r="E89" s="269"/>
      <c r="F89" s="269"/>
      <c r="G89" s="276"/>
      <c r="H89" s="301">
        <v>84</v>
      </c>
      <c r="I89" s="302" t="str">
        <f t="shared" si="10"/>
        <v/>
      </c>
      <c r="J89" s="301">
        <f t="shared" si="11"/>
        <v>-1</v>
      </c>
      <c r="K89" s="301">
        <f t="shared" si="7"/>
        <v>-10</v>
      </c>
      <c r="L89" s="301"/>
      <c r="M89" s="303">
        <f t="shared" si="8"/>
        <v>0</v>
      </c>
      <c r="N89" s="276"/>
      <c r="O89" s="276"/>
      <c r="P89" s="276"/>
      <c r="Q89" s="276"/>
      <c r="R89" s="276"/>
    </row>
    <row r="90" spans="1:19" s="282" customFormat="1">
      <c r="A90" s="271">
        <f t="shared" si="9"/>
        <v>0</v>
      </c>
      <c r="B90" s="265" t="str">
        <f t="shared" si="6"/>
        <v/>
      </c>
      <c r="C90" s="266"/>
      <c r="D90" s="266"/>
      <c r="E90" s="266"/>
      <c r="F90" s="266"/>
      <c r="G90" s="276"/>
      <c r="H90" s="295">
        <v>85</v>
      </c>
      <c r="I90" s="296" t="str">
        <f t="shared" si="10"/>
        <v/>
      </c>
      <c r="J90" s="295">
        <f t="shared" si="11"/>
        <v>-1</v>
      </c>
      <c r="K90" s="295">
        <f t="shared" si="7"/>
        <v>-10</v>
      </c>
      <c r="L90" s="295"/>
      <c r="M90" s="297">
        <f t="shared" si="8"/>
        <v>0</v>
      </c>
      <c r="N90" s="276"/>
      <c r="O90" s="276"/>
      <c r="P90" s="276"/>
      <c r="Q90" s="276"/>
      <c r="R90" s="276"/>
    </row>
    <row r="91" spans="1:19" s="282" customFormat="1">
      <c r="A91" s="270">
        <f t="shared" si="9"/>
        <v>0</v>
      </c>
      <c r="B91" s="268" t="str">
        <f t="shared" si="6"/>
        <v/>
      </c>
      <c r="C91" s="269"/>
      <c r="D91" s="269"/>
      <c r="E91" s="269"/>
      <c r="F91" s="269"/>
      <c r="G91" s="276"/>
      <c r="H91" s="301">
        <v>86</v>
      </c>
      <c r="I91" s="302" t="str">
        <f t="shared" si="10"/>
        <v/>
      </c>
      <c r="J91" s="301">
        <f t="shared" si="11"/>
        <v>-1</v>
      </c>
      <c r="K91" s="301">
        <f t="shared" si="7"/>
        <v>-10</v>
      </c>
      <c r="L91" s="301"/>
      <c r="M91" s="303">
        <f t="shared" si="8"/>
        <v>0</v>
      </c>
      <c r="N91" s="276"/>
      <c r="O91" s="276"/>
      <c r="P91" s="276"/>
      <c r="Q91" s="276"/>
      <c r="R91" s="276"/>
    </row>
    <row r="92" spans="1:19" s="282" customFormat="1">
      <c r="A92" s="271">
        <f t="shared" si="9"/>
        <v>0</v>
      </c>
      <c r="B92" s="265" t="str">
        <f t="shared" si="6"/>
        <v/>
      </c>
      <c r="C92" s="266"/>
      <c r="D92" s="266"/>
      <c r="E92" s="266"/>
      <c r="F92" s="266"/>
      <c r="G92" s="276"/>
      <c r="H92" s="295">
        <v>87</v>
      </c>
      <c r="I92" s="296" t="str">
        <f t="shared" si="10"/>
        <v/>
      </c>
      <c r="J92" s="295">
        <f t="shared" si="11"/>
        <v>-1</v>
      </c>
      <c r="K92" s="295">
        <f t="shared" si="7"/>
        <v>-10</v>
      </c>
      <c r="L92" s="295"/>
      <c r="M92" s="297">
        <f t="shared" si="8"/>
        <v>0</v>
      </c>
      <c r="N92" s="276"/>
      <c r="O92" s="276"/>
      <c r="P92" s="276"/>
      <c r="Q92" s="276"/>
      <c r="R92" s="311"/>
      <c r="S92" s="312"/>
    </row>
    <row r="93" spans="1:19" s="282" customFormat="1">
      <c r="A93" s="270">
        <f t="shared" si="9"/>
        <v>0</v>
      </c>
      <c r="B93" s="268" t="str">
        <f t="shared" si="6"/>
        <v/>
      </c>
      <c r="C93" s="269"/>
      <c r="D93" s="269"/>
      <c r="E93" s="269"/>
      <c r="F93" s="269"/>
      <c r="G93" s="276"/>
      <c r="H93" s="301">
        <v>88</v>
      </c>
      <c r="I93" s="302" t="str">
        <f t="shared" si="10"/>
        <v/>
      </c>
      <c r="J93" s="301">
        <f t="shared" si="11"/>
        <v>-1</v>
      </c>
      <c r="K93" s="301">
        <f t="shared" si="7"/>
        <v>-10</v>
      </c>
      <c r="L93" s="301"/>
      <c r="M93" s="303">
        <f t="shared" si="8"/>
        <v>0</v>
      </c>
      <c r="N93" s="276"/>
      <c r="O93" s="276"/>
      <c r="P93" s="276"/>
      <c r="Q93" s="276"/>
      <c r="R93" s="276"/>
    </row>
    <row r="94" spans="1:19" s="282" customFormat="1">
      <c r="A94" s="271">
        <f t="shared" si="9"/>
        <v>0</v>
      </c>
      <c r="B94" s="265" t="str">
        <f t="shared" si="6"/>
        <v/>
      </c>
      <c r="C94" s="266"/>
      <c r="D94" s="266"/>
      <c r="E94" s="266"/>
      <c r="F94" s="266"/>
      <c r="G94" s="276"/>
      <c r="H94" s="295">
        <v>89</v>
      </c>
      <c r="I94" s="296" t="str">
        <f t="shared" si="10"/>
        <v/>
      </c>
      <c r="J94" s="295">
        <f t="shared" si="11"/>
        <v>-1</v>
      </c>
      <c r="K94" s="295">
        <f t="shared" si="7"/>
        <v>-10</v>
      </c>
      <c r="L94" s="295"/>
      <c r="M94" s="297">
        <f t="shared" si="8"/>
        <v>0</v>
      </c>
      <c r="N94" s="276"/>
      <c r="O94" s="276"/>
      <c r="P94" s="276"/>
      <c r="Q94" s="276"/>
      <c r="R94" s="276"/>
    </row>
    <row r="95" spans="1:19" s="282" customFormat="1">
      <c r="A95" s="270">
        <f t="shared" si="9"/>
        <v>0</v>
      </c>
      <c r="B95" s="268" t="str">
        <f t="shared" si="6"/>
        <v/>
      </c>
      <c r="C95" s="269"/>
      <c r="D95" s="269"/>
      <c r="E95" s="269"/>
      <c r="F95" s="269"/>
      <c r="G95" s="276"/>
      <c r="H95" s="301">
        <v>90</v>
      </c>
      <c r="I95" s="302" t="str">
        <f t="shared" si="10"/>
        <v/>
      </c>
      <c r="J95" s="301">
        <f t="shared" si="11"/>
        <v>-1</v>
      </c>
      <c r="K95" s="301">
        <f t="shared" si="7"/>
        <v>-10</v>
      </c>
      <c r="L95" s="301"/>
      <c r="M95" s="303">
        <f t="shared" si="8"/>
        <v>0</v>
      </c>
      <c r="N95" s="276"/>
      <c r="O95" s="276"/>
      <c r="P95" s="276"/>
      <c r="Q95" s="276"/>
      <c r="R95" s="276"/>
    </row>
    <row r="96" spans="1:19" s="282" customFormat="1">
      <c r="A96" s="271">
        <f t="shared" si="9"/>
        <v>0</v>
      </c>
      <c r="B96" s="265" t="str">
        <f t="shared" si="6"/>
        <v/>
      </c>
      <c r="C96" s="266"/>
      <c r="D96" s="266"/>
      <c r="E96" s="266"/>
      <c r="F96" s="266"/>
      <c r="G96" s="276"/>
      <c r="H96" s="295">
        <v>91</v>
      </c>
      <c r="I96" s="296" t="str">
        <f t="shared" si="10"/>
        <v/>
      </c>
      <c r="J96" s="295">
        <f t="shared" si="11"/>
        <v>-1</v>
      </c>
      <c r="K96" s="295">
        <f t="shared" si="7"/>
        <v>-10</v>
      </c>
      <c r="L96" s="295"/>
      <c r="M96" s="297">
        <f t="shared" si="8"/>
        <v>0</v>
      </c>
      <c r="N96" s="276"/>
      <c r="O96" s="276"/>
      <c r="P96" s="276"/>
      <c r="Q96" s="276"/>
      <c r="R96" s="311"/>
      <c r="S96" s="312"/>
    </row>
    <row r="97" spans="1:38" s="282" customFormat="1">
      <c r="A97" s="270">
        <f t="shared" si="9"/>
        <v>0</v>
      </c>
      <c r="B97" s="268" t="str">
        <f t="shared" si="6"/>
        <v/>
      </c>
      <c r="C97" s="269"/>
      <c r="D97" s="269"/>
      <c r="E97" s="269"/>
      <c r="F97" s="269"/>
      <c r="G97" s="276"/>
      <c r="H97" s="301">
        <v>92</v>
      </c>
      <c r="I97" s="302" t="str">
        <f t="shared" si="10"/>
        <v/>
      </c>
      <c r="J97" s="301">
        <f t="shared" si="11"/>
        <v>-1</v>
      </c>
      <c r="K97" s="301">
        <f t="shared" si="7"/>
        <v>-10</v>
      </c>
      <c r="L97" s="301"/>
      <c r="M97" s="303">
        <f t="shared" si="8"/>
        <v>0</v>
      </c>
      <c r="N97" s="276"/>
      <c r="O97" s="276"/>
      <c r="P97" s="276"/>
      <c r="Q97" s="276"/>
      <c r="R97" s="276"/>
    </row>
    <row r="98" spans="1:38" s="282" customFormat="1">
      <c r="A98" s="271">
        <f t="shared" si="9"/>
        <v>0</v>
      </c>
      <c r="B98" s="265" t="str">
        <f t="shared" si="6"/>
        <v/>
      </c>
      <c r="C98" s="266"/>
      <c r="D98" s="266"/>
      <c r="E98" s="266"/>
      <c r="F98" s="266"/>
      <c r="G98" s="276"/>
      <c r="H98" s="295">
        <v>93</v>
      </c>
      <c r="I98" s="296" t="str">
        <f t="shared" si="10"/>
        <v/>
      </c>
      <c r="J98" s="295">
        <f t="shared" si="11"/>
        <v>-1</v>
      </c>
      <c r="K98" s="295">
        <f t="shared" si="7"/>
        <v>-10</v>
      </c>
      <c r="L98" s="295"/>
      <c r="M98" s="297">
        <f t="shared" si="8"/>
        <v>0</v>
      </c>
      <c r="N98" s="276"/>
      <c r="O98" s="276"/>
      <c r="P98" s="276"/>
      <c r="Q98" s="276"/>
      <c r="R98" s="276"/>
    </row>
    <row r="99" spans="1:38" s="282" customFormat="1">
      <c r="A99" s="270">
        <f t="shared" si="9"/>
        <v>0</v>
      </c>
      <c r="B99" s="268" t="str">
        <f t="shared" si="6"/>
        <v/>
      </c>
      <c r="C99" s="269"/>
      <c r="D99" s="269"/>
      <c r="E99" s="269"/>
      <c r="F99" s="269"/>
      <c r="G99" s="276"/>
      <c r="H99" s="301">
        <v>94</v>
      </c>
      <c r="I99" s="302" t="str">
        <f t="shared" si="10"/>
        <v/>
      </c>
      <c r="J99" s="301">
        <f t="shared" si="11"/>
        <v>-1</v>
      </c>
      <c r="K99" s="301">
        <f t="shared" si="7"/>
        <v>-10</v>
      </c>
      <c r="L99" s="301"/>
      <c r="M99" s="303">
        <f t="shared" si="8"/>
        <v>0</v>
      </c>
      <c r="N99" s="276"/>
      <c r="O99" s="276"/>
      <c r="P99" s="276"/>
      <c r="Q99" s="276"/>
      <c r="R99" s="276"/>
    </row>
    <row r="100" spans="1:38" s="282" customFormat="1">
      <c r="A100" s="271">
        <f t="shared" si="9"/>
        <v>0</v>
      </c>
      <c r="B100" s="265" t="str">
        <f t="shared" si="6"/>
        <v/>
      </c>
      <c r="C100" s="266"/>
      <c r="D100" s="266"/>
      <c r="E100" s="266"/>
      <c r="F100" s="266"/>
      <c r="G100" s="276"/>
      <c r="H100" s="295">
        <v>95</v>
      </c>
      <c r="I100" s="296" t="str">
        <f t="shared" si="10"/>
        <v/>
      </c>
      <c r="J100" s="295">
        <f t="shared" si="11"/>
        <v>-1</v>
      </c>
      <c r="K100" s="295">
        <f t="shared" si="7"/>
        <v>-10</v>
      </c>
      <c r="L100" s="295"/>
      <c r="M100" s="297">
        <f t="shared" si="8"/>
        <v>0</v>
      </c>
      <c r="N100" s="276"/>
      <c r="O100" s="276"/>
      <c r="P100" s="276"/>
      <c r="Q100" s="276"/>
      <c r="R100" s="276"/>
    </row>
    <row r="101" spans="1:38" s="282" customFormat="1">
      <c r="A101" s="270">
        <f t="shared" si="9"/>
        <v>0</v>
      </c>
      <c r="B101" s="268" t="str">
        <f t="shared" si="6"/>
        <v/>
      </c>
      <c r="C101" s="269"/>
      <c r="D101" s="269"/>
      <c r="E101" s="269"/>
      <c r="F101" s="269"/>
      <c r="G101" s="276"/>
      <c r="H101" s="301">
        <v>96</v>
      </c>
      <c r="I101" s="302" t="str">
        <f t="shared" si="10"/>
        <v/>
      </c>
      <c r="J101" s="301">
        <f t="shared" si="11"/>
        <v>-1</v>
      </c>
      <c r="K101" s="301">
        <f t="shared" si="7"/>
        <v>-10</v>
      </c>
      <c r="L101" s="301"/>
      <c r="M101" s="303">
        <f t="shared" si="8"/>
        <v>0</v>
      </c>
      <c r="N101" s="276"/>
      <c r="O101" s="276"/>
      <c r="P101" s="276"/>
      <c r="Q101" s="276"/>
      <c r="R101" s="276"/>
      <c r="S101" s="313"/>
    </row>
    <row r="102" spans="1:38" s="282" customFormat="1">
      <c r="A102" s="271">
        <f t="shared" si="9"/>
        <v>0</v>
      </c>
      <c r="B102" s="265" t="str">
        <f t="shared" si="6"/>
        <v/>
      </c>
      <c r="C102" s="266"/>
      <c r="D102" s="266"/>
      <c r="E102" s="266"/>
      <c r="F102" s="266"/>
      <c r="G102" s="276"/>
      <c r="H102" s="295">
        <v>97</v>
      </c>
      <c r="I102" s="296" t="str">
        <f t="shared" si="10"/>
        <v/>
      </c>
      <c r="J102" s="295">
        <f t="shared" si="11"/>
        <v>-1</v>
      </c>
      <c r="K102" s="295">
        <f t="shared" si="7"/>
        <v>-10</v>
      </c>
      <c r="L102" s="295"/>
      <c r="M102" s="297">
        <f t="shared" si="8"/>
        <v>0</v>
      </c>
      <c r="N102" s="276"/>
      <c r="O102" s="276"/>
      <c r="P102" s="276"/>
      <c r="Q102" s="276"/>
      <c r="R102" s="276"/>
    </row>
    <row r="103" spans="1:38" s="282" customFormat="1">
      <c r="A103" s="270">
        <f t="shared" si="9"/>
        <v>0</v>
      </c>
      <c r="B103" s="268" t="str">
        <f t="shared" si="6"/>
        <v/>
      </c>
      <c r="C103" s="269"/>
      <c r="D103" s="269"/>
      <c r="E103" s="269"/>
      <c r="F103" s="269"/>
      <c r="G103" s="276"/>
      <c r="H103" s="301">
        <v>98</v>
      </c>
      <c r="I103" s="302" t="str">
        <f t="shared" si="10"/>
        <v/>
      </c>
      <c r="J103" s="301">
        <f t="shared" si="11"/>
        <v>-1</v>
      </c>
      <c r="K103" s="301">
        <f t="shared" si="7"/>
        <v>-10</v>
      </c>
      <c r="L103" s="301"/>
      <c r="M103" s="303">
        <f t="shared" si="8"/>
        <v>0</v>
      </c>
      <c r="N103" s="276"/>
      <c r="O103" s="276"/>
      <c r="P103" s="276"/>
      <c r="Q103" s="276"/>
      <c r="R103" s="276"/>
    </row>
    <row r="104" spans="1:38" s="282" customFormat="1">
      <c r="A104" s="271">
        <f t="shared" si="9"/>
        <v>0</v>
      </c>
      <c r="B104" s="265" t="str">
        <f t="shared" si="6"/>
        <v/>
      </c>
      <c r="C104" s="266"/>
      <c r="D104" s="266"/>
      <c r="E104" s="266"/>
      <c r="F104" s="266"/>
      <c r="G104" s="276"/>
      <c r="H104" s="295">
        <v>99</v>
      </c>
      <c r="I104" s="296" t="str">
        <f t="shared" si="10"/>
        <v/>
      </c>
      <c r="J104" s="295">
        <f t="shared" si="11"/>
        <v>-1</v>
      </c>
      <c r="K104" s="295">
        <f t="shared" si="7"/>
        <v>-10</v>
      </c>
      <c r="L104" s="295"/>
      <c r="M104" s="297">
        <f t="shared" si="8"/>
        <v>0</v>
      </c>
      <c r="N104" s="276"/>
      <c r="O104" s="276"/>
      <c r="P104" s="276"/>
      <c r="Q104" s="276"/>
      <c r="R104" s="276"/>
    </row>
    <row r="105" spans="1:38" s="282" customFormat="1">
      <c r="A105" s="270">
        <f t="shared" si="9"/>
        <v>0</v>
      </c>
      <c r="B105" s="268" t="str">
        <f t="shared" si="6"/>
        <v/>
      </c>
      <c r="C105" s="269"/>
      <c r="D105" s="269"/>
      <c r="E105" s="269"/>
      <c r="F105" s="269"/>
      <c r="G105" s="276"/>
      <c r="H105" s="301">
        <v>100</v>
      </c>
      <c r="I105" s="302" t="str">
        <f t="shared" si="10"/>
        <v/>
      </c>
      <c r="J105" s="301">
        <f t="shared" si="11"/>
        <v>-1</v>
      </c>
      <c r="K105" s="301">
        <f t="shared" si="7"/>
        <v>-10</v>
      </c>
      <c r="L105" s="301"/>
      <c r="M105" s="303">
        <f t="shared" si="8"/>
        <v>0</v>
      </c>
      <c r="N105" s="276"/>
      <c r="O105" s="276"/>
      <c r="P105" s="276"/>
      <c r="Q105" s="276"/>
      <c r="R105" s="276"/>
    </row>
    <row r="106" spans="1:38" s="282" customFormat="1">
      <c r="A106" s="271">
        <f t="shared" si="9"/>
        <v>0</v>
      </c>
      <c r="B106" s="265" t="str">
        <f t="shared" si="6"/>
        <v/>
      </c>
      <c r="C106" s="266"/>
      <c r="D106" s="266"/>
      <c r="E106" s="266"/>
      <c r="F106" s="266"/>
      <c r="G106" s="276"/>
      <c r="H106" s="295">
        <v>101</v>
      </c>
      <c r="I106" s="296" t="str">
        <f t="shared" si="10"/>
        <v/>
      </c>
      <c r="J106" s="295">
        <f t="shared" si="11"/>
        <v>-1</v>
      </c>
      <c r="K106" s="295">
        <f t="shared" si="7"/>
        <v>-10</v>
      </c>
      <c r="L106" s="295"/>
      <c r="M106" s="297">
        <f t="shared" si="8"/>
        <v>0</v>
      </c>
      <c r="N106" s="276"/>
      <c r="O106" s="276"/>
      <c r="P106" s="276"/>
      <c r="Q106" s="276"/>
      <c r="R106" s="276"/>
    </row>
    <row r="107" spans="1:38" s="282" customFormat="1">
      <c r="A107" s="270">
        <f t="shared" si="9"/>
        <v>0</v>
      </c>
      <c r="B107" s="268" t="str">
        <f t="shared" si="6"/>
        <v/>
      </c>
      <c r="C107" s="269"/>
      <c r="D107" s="269"/>
      <c r="E107" s="269"/>
      <c r="F107" s="269"/>
      <c r="G107" s="276"/>
      <c r="H107" s="301">
        <v>102</v>
      </c>
      <c r="I107" s="302" t="str">
        <f t="shared" si="10"/>
        <v/>
      </c>
      <c r="J107" s="301">
        <f t="shared" si="11"/>
        <v>-1</v>
      </c>
      <c r="K107" s="301">
        <f t="shared" si="7"/>
        <v>-10</v>
      </c>
      <c r="L107" s="301"/>
      <c r="M107" s="303">
        <f t="shared" si="8"/>
        <v>0</v>
      </c>
      <c r="N107" s="276"/>
      <c r="O107" s="276"/>
      <c r="P107" s="276"/>
      <c r="Q107" s="276"/>
      <c r="R107" s="276"/>
    </row>
    <row r="108" spans="1:38" s="282" customFormat="1">
      <c r="A108" s="271">
        <f t="shared" si="9"/>
        <v>0</v>
      </c>
      <c r="B108" s="265" t="str">
        <f t="shared" si="6"/>
        <v/>
      </c>
      <c r="C108" s="266"/>
      <c r="D108" s="266"/>
      <c r="E108" s="266"/>
      <c r="F108" s="266"/>
      <c r="G108" s="276"/>
      <c r="H108" s="295">
        <v>103</v>
      </c>
      <c r="I108" s="296" t="str">
        <f t="shared" si="10"/>
        <v/>
      </c>
      <c r="J108" s="295">
        <f t="shared" si="11"/>
        <v>-1</v>
      </c>
      <c r="K108" s="295">
        <f t="shared" si="7"/>
        <v>-10</v>
      </c>
      <c r="L108" s="295"/>
      <c r="M108" s="297">
        <f t="shared" si="8"/>
        <v>0</v>
      </c>
      <c r="N108" s="276"/>
      <c r="O108" s="276"/>
      <c r="P108" s="276"/>
      <c r="Q108" s="276"/>
      <c r="R108" s="276"/>
    </row>
    <row r="109" spans="1:38" s="276" customFormat="1">
      <c r="A109" s="270">
        <f t="shared" si="9"/>
        <v>0</v>
      </c>
      <c r="B109" s="268" t="str">
        <f t="shared" si="6"/>
        <v/>
      </c>
      <c r="C109" s="269"/>
      <c r="D109" s="269"/>
      <c r="E109" s="269"/>
      <c r="F109" s="269"/>
      <c r="H109" s="301">
        <v>104</v>
      </c>
      <c r="I109" s="302" t="str">
        <f t="shared" si="10"/>
        <v/>
      </c>
      <c r="J109" s="301">
        <f t="shared" si="11"/>
        <v>-1</v>
      </c>
      <c r="K109" s="301">
        <f t="shared" si="7"/>
        <v>-10</v>
      </c>
      <c r="L109" s="301"/>
      <c r="M109" s="303">
        <f t="shared" si="8"/>
        <v>0</v>
      </c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</row>
    <row r="110" spans="1:38" s="276" customFormat="1">
      <c r="A110" s="271">
        <f t="shared" si="9"/>
        <v>0</v>
      </c>
      <c r="B110" s="265" t="str">
        <f t="shared" si="6"/>
        <v/>
      </c>
      <c r="C110" s="266"/>
      <c r="D110" s="266"/>
      <c r="E110" s="266"/>
      <c r="F110" s="266"/>
      <c r="H110" s="295">
        <v>105</v>
      </c>
      <c r="I110" s="296" t="str">
        <f t="shared" si="10"/>
        <v/>
      </c>
      <c r="J110" s="295">
        <f t="shared" si="11"/>
        <v>-1</v>
      </c>
      <c r="K110" s="295">
        <f t="shared" si="7"/>
        <v>-10</v>
      </c>
      <c r="L110" s="295"/>
      <c r="M110" s="297">
        <f t="shared" si="8"/>
        <v>0</v>
      </c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</row>
    <row r="111" spans="1:38" s="276" customFormat="1">
      <c r="A111" s="270">
        <f t="shared" si="9"/>
        <v>0</v>
      </c>
      <c r="B111" s="268" t="str">
        <f t="shared" si="6"/>
        <v/>
      </c>
      <c r="C111" s="269"/>
      <c r="D111" s="269"/>
      <c r="E111" s="269"/>
      <c r="F111" s="269"/>
      <c r="H111" s="301">
        <v>106</v>
      </c>
      <c r="I111" s="302" t="str">
        <f t="shared" si="10"/>
        <v/>
      </c>
      <c r="J111" s="301">
        <f t="shared" si="11"/>
        <v>-1</v>
      </c>
      <c r="K111" s="301">
        <f t="shared" si="7"/>
        <v>-10</v>
      </c>
      <c r="L111" s="301"/>
      <c r="M111" s="303">
        <f t="shared" si="8"/>
        <v>0</v>
      </c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</row>
    <row r="112" spans="1:38" s="276" customFormat="1">
      <c r="A112" s="271">
        <f t="shared" si="9"/>
        <v>0</v>
      </c>
      <c r="B112" s="265" t="str">
        <f t="shared" si="6"/>
        <v/>
      </c>
      <c r="C112" s="266"/>
      <c r="D112" s="266"/>
      <c r="E112" s="266"/>
      <c r="F112" s="266"/>
      <c r="H112" s="295">
        <v>107</v>
      </c>
      <c r="I112" s="296" t="str">
        <f t="shared" si="10"/>
        <v/>
      </c>
      <c r="J112" s="295">
        <f t="shared" si="11"/>
        <v>-1</v>
      </c>
      <c r="K112" s="295">
        <f t="shared" si="7"/>
        <v>-10</v>
      </c>
      <c r="L112" s="295"/>
      <c r="M112" s="297">
        <f t="shared" si="8"/>
        <v>0</v>
      </c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</row>
    <row r="113" spans="1:38" s="276" customFormat="1">
      <c r="A113" s="270">
        <f t="shared" si="9"/>
        <v>0</v>
      </c>
      <c r="B113" s="268" t="str">
        <f t="shared" si="6"/>
        <v/>
      </c>
      <c r="C113" s="269"/>
      <c r="D113" s="269"/>
      <c r="E113" s="269"/>
      <c r="F113" s="269"/>
      <c r="H113" s="301">
        <v>108</v>
      </c>
      <c r="I113" s="302" t="str">
        <f t="shared" si="10"/>
        <v/>
      </c>
      <c r="J113" s="301">
        <f t="shared" si="11"/>
        <v>-1</v>
      </c>
      <c r="K113" s="301">
        <f t="shared" si="7"/>
        <v>-10</v>
      </c>
      <c r="L113" s="301"/>
      <c r="M113" s="303">
        <f t="shared" si="8"/>
        <v>0</v>
      </c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</row>
    <row r="114" spans="1:38" s="276" customFormat="1">
      <c r="A114" s="271">
        <f t="shared" si="9"/>
        <v>0</v>
      </c>
      <c r="B114" s="265" t="str">
        <f t="shared" si="6"/>
        <v/>
      </c>
      <c r="C114" s="266"/>
      <c r="D114" s="266"/>
      <c r="E114" s="266"/>
      <c r="F114" s="266"/>
      <c r="H114" s="295">
        <v>109</v>
      </c>
      <c r="I114" s="296" t="str">
        <f t="shared" si="10"/>
        <v/>
      </c>
      <c r="J114" s="295">
        <f t="shared" si="11"/>
        <v>-1</v>
      </c>
      <c r="K114" s="295">
        <f t="shared" si="7"/>
        <v>-10</v>
      </c>
      <c r="L114" s="295"/>
      <c r="M114" s="297">
        <f t="shared" si="8"/>
        <v>0</v>
      </c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</row>
    <row r="115" spans="1:38" s="276" customFormat="1">
      <c r="A115" s="270">
        <f t="shared" si="9"/>
        <v>0</v>
      </c>
      <c r="B115" s="268" t="str">
        <f t="shared" si="6"/>
        <v/>
      </c>
      <c r="C115" s="269"/>
      <c r="D115" s="269"/>
      <c r="E115" s="269"/>
      <c r="F115" s="269"/>
      <c r="H115" s="301">
        <v>110</v>
      </c>
      <c r="I115" s="302" t="str">
        <f t="shared" si="10"/>
        <v/>
      </c>
      <c r="J115" s="301">
        <f t="shared" si="11"/>
        <v>-1</v>
      </c>
      <c r="K115" s="301">
        <f t="shared" si="7"/>
        <v>-10</v>
      </c>
      <c r="L115" s="301"/>
      <c r="M115" s="303">
        <f t="shared" si="8"/>
        <v>0</v>
      </c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</row>
    <row r="116" spans="1:38" s="276" customFormat="1">
      <c r="A116" s="271">
        <f t="shared" si="9"/>
        <v>0</v>
      </c>
      <c r="B116" s="265" t="str">
        <f t="shared" si="6"/>
        <v/>
      </c>
      <c r="C116" s="266"/>
      <c r="D116" s="266"/>
      <c r="E116" s="266"/>
      <c r="F116" s="266"/>
      <c r="H116" s="295">
        <v>111</v>
      </c>
      <c r="I116" s="296" t="str">
        <f t="shared" si="10"/>
        <v/>
      </c>
      <c r="J116" s="295">
        <f t="shared" si="11"/>
        <v>-1</v>
      </c>
      <c r="K116" s="295">
        <f t="shared" si="7"/>
        <v>-10</v>
      </c>
      <c r="L116" s="295"/>
      <c r="M116" s="297">
        <f t="shared" si="8"/>
        <v>0</v>
      </c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</row>
    <row r="117" spans="1:38" s="276" customFormat="1">
      <c r="A117" s="270">
        <f t="shared" si="9"/>
        <v>0</v>
      </c>
      <c r="B117" s="268" t="str">
        <f t="shared" si="6"/>
        <v/>
      </c>
      <c r="C117" s="269"/>
      <c r="D117" s="269"/>
      <c r="E117" s="269"/>
      <c r="F117" s="269"/>
      <c r="H117" s="301">
        <v>112</v>
      </c>
      <c r="I117" s="302" t="str">
        <f t="shared" si="10"/>
        <v/>
      </c>
      <c r="J117" s="301">
        <f t="shared" si="11"/>
        <v>-1</v>
      </c>
      <c r="K117" s="301">
        <f t="shared" si="7"/>
        <v>-10</v>
      </c>
      <c r="L117" s="301"/>
      <c r="M117" s="303">
        <f t="shared" si="8"/>
        <v>0</v>
      </c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</row>
    <row r="118" spans="1:38" s="276" customFormat="1">
      <c r="A118" s="271">
        <f t="shared" si="9"/>
        <v>0</v>
      </c>
      <c r="B118" s="265" t="str">
        <f t="shared" si="6"/>
        <v/>
      </c>
      <c r="C118" s="266"/>
      <c r="D118" s="266"/>
      <c r="E118" s="266"/>
      <c r="F118" s="266"/>
      <c r="H118" s="295">
        <v>113</v>
      </c>
      <c r="I118" s="296" t="str">
        <f t="shared" si="10"/>
        <v/>
      </c>
      <c r="J118" s="295">
        <f t="shared" si="11"/>
        <v>-1</v>
      </c>
      <c r="K118" s="295">
        <f t="shared" si="7"/>
        <v>-10</v>
      </c>
      <c r="L118" s="295"/>
      <c r="M118" s="297">
        <f t="shared" si="8"/>
        <v>0</v>
      </c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</row>
    <row r="119" spans="1:38" s="276" customFormat="1">
      <c r="A119" s="270">
        <f t="shared" si="9"/>
        <v>0</v>
      </c>
      <c r="B119" s="268" t="str">
        <f t="shared" si="6"/>
        <v/>
      </c>
      <c r="C119" s="269"/>
      <c r="D119" s="269"/>
      <c r="E119" s="269"/>
      <c r="F119" s="269"/>
      <c r="H119" s="301">
        <v>114</v>
      </c>
      <c r="I119" s="302" t="str">
        <f t="shared" si="10"/>
        <v/>
      </c>
      <c r="J119" s="301">
        <f t="shared" si="11"/>
        <v>-1</v>
      </c>
      <c r="K119" s="301">
        <f t="shared" si="7"/>
        <v>-10</v>
      </c>
      <c r="L119" s="301"/>
      <c r="M119" s="303">
        <f t="shared" si="8"/>
        <v>0</v>
      </c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</row>
    <row r="120" spans="1:38" s="276" customFormat="1">
      <c r="A120" s="271">
        <f t="shared" si="9"/>
        <v>0</v>
      </c>
      <c r="B120" s="265" t="str">
        <f t="shared" si="6"/>
        <v/>
      </c>
      <c r="C120" s="266"/>
      <c r="D120" s="266"/>
      <c r="E120" s="266"/>
      <c r="F120" s="266"/>
      <c r="H120" s="295">
        <v>115</v>
      </c>
      <c r="I120" s="296" t="str">
        <f t="shared" si="10"/>
        <v/>
      </c>
      <c r="J120" s="295">
        <f t="shared" si="11"/>
        <v>-1</v>
      </c>
      <c r="K120" s="295">
        <f t="shared" si="7"/>
        <v>-10</v>
      </c>
      <c r="L120" s="295"/>
      <c r="M120" s="297">
        <f t="shared" si="8"/>
        <v>0</v>
      </c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</row>
    <row r="121" spans="1:38" s="276" customFormat="1">
      <c r="A121" s="270">
        <f t="shared" si="9"/>
        <v>0</v>
      </c>
      <c r="B121" s="268" t="str">
        <f t="shared" si="6"/>
        <v/>
      </c>
      <c r="C121" s="269"/>
      <c r="D121" s="269"/>
      <c r="E121" s="269"/>
      <c r="F121" s="269"/>
      <c r="H121" s="301">
        <v>116</v>
      </c>
      <c r="I121" s="302" t="str">
        <f t="shared" si="10"/>
        <v/>
      </c>
      <c r="J121" s="301">
        <f t="shared" si="11"/>
        <v>-1</v>
      </c>
      <c r="K121" s="301">
        <f t="shared" si="7"/>
        <v>-10</v>
      </c>
      <c r="L121" s="301"/>
      <c r="M121" s="303">
        <f t="shared" si="8"/>
        <v>0</v>
      </c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</row>
    <row r="122" spans="1:38" s="276" customFormat="1">
      <c r="A122" s="271">
        <f t="shared" si="9"/>
        <v>0</v>
      </c>
      <c r="B122" s="265" t="str">
        <f t="shared" si="6"/>
        <v/>
      </c>
      <c r="C122" s="266"/>
      <c r="D122" s="266"/>
      <c r="E122" s="266"/>
      <c r="F122" s="266"/>
      <c r="H122" s="295">
        <v>117</v>
      </c>
      <c r="I122" s="296" t="str">
        <f t="shared" si="10"/>
        <v/>
      </c>
      <c r="J122" s="295">
        <f t="shared" si="11"/>
        <v>-1</v>
      </c>
      <c r="K122" s="295">
        <f t="shared" si="7"/>
        <v>-10</v>
      </c>
      <c r="L122" s="295"/>
      <c r="M122" s="297">
        <f t="shared" si="8"/>
        <v>0</v>
      </c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</row>
    <row r="123" spans="1:38" s="276" customFormat="1">
      <c r="A123" s="270">
        <f t="shared" si="9"/>
        <v>0</v>
      </c>
      <c r="B123" s="268" t="str">
        <f t="shared" si="6"/>
        <v/>
      </c>
      <c r="C123" s="269"/>
      <c r="D123" s="269"/>
      <c r="E123" s="269"/>
      <c r="F123" s="269"/>
      <c r="H123" s="301">
        <v>118</v>
      </c>
      <c r="I123" s="302" t="str">
        <f t="shared" si="10"/>
        <v/>
      </c>
      <c r="J123" s="301">
        <f t="shared" si="11"/>
        <v>-1</v>
      </c>
      <c r="K123" s="301">
        <f t="shared" si="7"/>
        <v>-10</v>
      </c>
      <c r="L123" s="301"/>
      <c r="M123" s="303">
        <f t="shared" si="8"/>
        <v>0</v>
      </c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</row>
    <row r="124" spans="1:38" s="276" customFormat="1">
      <c r="A124" s="271">
        <f t="shared" si="9"/>
        <v>0</v>
      </c>
      <c r="B124" s="265" t="str">
        <f t="shared" si="6"/>
        <v/>
      </c>
      <c r="C124" s="266"/>
      <c r="D124" s="266"/>
      <c r="E124" s="266"/>
      <c r="F124" s="266"/>
      <c r="H124" s="295">
        <v>119</v>
      </c>
      <c r="I124" s="296" t="str">
        <f t="shared" si="10"/>
        <v/>
      </c>
      <c r="J124" s="295">
        <f t="shared" si="11"/>
        <v>-1</v>
      </c>
      <c r="K124" s="295">
        <f t="shared" si="7"/>
        <v>-10</v>
      </c>
      <c r="L124" s="295"/>
      <c r="M124" s="297">
        <f t="shared" si="8"/>
        <v>0</v>
      </c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</row>
    <row r="125" spans="1:38" s="276" customFormat="1">
      <c r="A125" s="270">
        <f t="shared" si="9"/>
        <v>0</v>
      </c>
      <c r="B125" s="268" t="str">
        <f t="shared" si="6"/>
        <v/>
      </c>
      <c r="C125" s="269"/>
      <c r="D125" s="269"/>
      <c r="E125" s="269"/>
      <c r="F125" s="269"/>
      <c r="H125" s="301">
        <v>120</v>
      </c>
      <c r="I125" s="302" t="str">
        <f t="shared" si="10"/>
        <v/>
      </c>
      <c r="J125" s="301">
        <f t="shared" si="11"/>
        <v>-1</v>
      </c>
      <c r="K125" s="301">
        <f t="shared" si="7"/>
        <v>-10</v>
      </c>
      <c r="L125" s="301"/>
      <c r="M125" s="303">
        <f t="shared" si="8"/>
        <v>0</v>
      </c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</row>
    <row r="126" spans="1:38" s="282" customFormat="1" ht="14.45" customHeight="1">
      <c r="A126" s="264">
        <f t="shared" si="9"/>
        <v>0</v>
      </c>
      <c r="B126" s="265" t="str">
        <f t="shared" si="6"/>
        <v/>
      </c>
      <c r="C126" s="266"/>
      <c r="D126" s="266"/>
      <c r="E126" s="266"/>
      <c r="F126" s="266"/>
      <c r="G126" s="260"/>
      <c r="H126" s="295">
        <v>121</v>
      </c>
      <c r="I126" s="296" t="str">
        <f t="shared" si="10"/>
        <v/>
      </c>
      <c r="J126" s="295">
        <f t="shared" si="11"/>
        <v>-1</v>
      </c>
      <c r="K126" s="295">
        <f t="shared" si="7"/>
        <v>-10</v>
      </c>
      <c r="L126" s="297"/>
      <c r="M126" s="297">
        <f t="shared" si="8"/>
        <v>0</v>
      </c>
      <c r="N126" s="276"/>
      <c r="O126" s="276"/>
      <c r="P126" s="276"/>
      <c r="Q126" s="276"/>
      <c r="R126" s="276"/>
    </row>
    <row r="127" spans="1:38" s="282" customFormat="1" ht="14.45" customHeight="1">
      <c r="A127" s="267">
        <f t="shared" si="9"/>
        <v>0</v>
      </c>
      <c r="B127" s="268" t="str">
        <f t="shared" si="6"/>
        <v/>
      </c>
      <c r="C127" s="269"/>
      <c r="D127" s="269"/>
      <c r="E127" s="269"/>
      <c r="F127" s="269"/>
      <c r="G127" s="260"/>
      <c r="H127" s="301">
        <v>122</v>
      </c>
      <c r="I127" s="302" t="str">
        <f t="shared" si="10"/>
        <v/>
      </c>
      <c r="J127" s="301">
        <f t="shared" si="11"/>
        <v>-1</v>
      </c>
      <c r="K127" s="301">
        <f t="shared" si="7"/>
        <v>-10</v>
      </c>
      <c r="L127" s="303"/>
      <c r="M127" s="303">
        <f t="shared" si="8"/>
        <v>0</v>
      </c>
      <c r="N127" s="276"/>
      <c r="O127" s="276"/>
      <c r="P127" s="276"/>
      <c r="Q127" s="276"/>
      <c r="R127" s="276"/>
    </row>
    <row r="128" spans="1:38" s="282" customFormat="1" ht="14.45" customHeight="1">
      <c r="A128" s="264">
        <f t="shared" si="9"/>
        <v>0</v>
      </c>
      <c r="B128" s="265" t="str">
        <f t="shared" si="6"/>
        <v/>
      </c>
      <c r="C128" s="266"/>
      <c r="D128" s="266"/>
      <c r="E128" s="266"/>
      <c r="F128" s="266"/>
      <c r="G128" s="260"/>
      <c r="H128" s="295">
        <v>123</v>
      </c>
      <c r="I128" s="296" t="str">
        <f t="shared" si="10"/>
        <v/>
      </c>
      <c r="J128" s="295">
        <f t="shared" si="11"/>
        <v>-1</v>
      </c>
      <c r="K128" s="295">
        <f t="shared" si="7"/>
        <v>-10</v>
      </c>
      <c r="L128" s="297"/>
      <c r="M128" s="297">
        <f t="shared" si="8"/>
        <v>0</v>
      </c>
      <c r="N128" s="276"/>
      <c r="O128" s="276"/>
      <c r="P128" s="276"/>
      <c r="Q128" s="276"/>
      <c r="R128" s="276"/>
    </row>
    <row r="129" spans="1:34" s="282" customFormat="1" ht="14.45" customHeight="1">
      <c r="A129" s="267">
        <f t="shared" si="9"/>
        <v>0</v>
      </c>
      <c r="B129" s="268" t="str">
        <f t="shared" si="6"/>
        <v/>
      </c>
      <c r="C129" s="269"/>
      <c r="D129" s="269"/>
      <c r="E129" s="269"/>
      <c r="F129" s="269"/>
      <c r="G129" s="260"/>
      <c r="H129" s="301">
        <v>124</v>
      </c>
      <c r="I129" s="302" t="str">
        <f t="shared" si="10"/>
        <v/>
      </c>
      <c r="J129" s="301">
        <f t="shared" si="11"/>
        <v>-1</v>
      </c>
      <c r="K129" s="301">
        <f t="shared" si="7"/>
        <v>-10</v>
      </c>
      <c r="L129" s="303"/>
      <c r="M129" s="303">
        <f t="shared" si="8"/>
        <v>0</v>
      </c>
      <c r="N129" s="276"/>
      <c r="O129" s="276"/>
      <c r="P129" s="276"/>
      <c r="Q129" s="276"/>
      <c r="R129" s="276"/>
      <c r="V129" s="304"/>
      <c r="Z129" s="305"/>
      <c r="AA129" s="305"/>
      <c r="AG129" s="306"/>
    </row>
    <row r="130" spans="1:34" s="282" customFormat="1" ht="14.45" customHeight="1">
      <c r="A130" s="264">
        <f t="shared" si="9"/>
        <v>0</v>
      </c>
      <c r="B130" s="265" t="str">
        <f t="shared" si="6"/>
        <v/>
      </c>
      <c r="C130" s="266"/>
      <c r="D130" s="266"/>
      <c r="E130" s="266"/>
      <c r="F130" s="266"/>
      <c r="G130" s="260"/>
      <c r="H130" s="295">
        <v>125</v>
      </c>
      <c r="I130" s="296" t="str">
        <f t="shared" si="10"/>
        <v/>
      </c>
      <c r="J130" s="295">
        <f t="shared" si="11"/>
        <v>-1</v>
      </c>
      <c r="K130" s="295">
        <f t="shared" si="7"/>
        <v>-10</v>
      </c>
      <c r="L130" s="295"/>
      <c r="M130" s="297">
        <f t="shared" si="8"/>
        <v>0</v>
      </c>
      <c r="N130" s="276"/>
      <c r="O130" s="276"/>
      <c r="P130" s="276"/>
      <c r="Q130" s="276"/>
      <c r="R130" s="276"/>
      <c r="V130" s="304"/>
      <c r="Z130" s="305"/>
      <c r="AA130" s="305"/>
      <c r="AG130" s="306"/>
    </row>
    <row r="131" spans="1:34" s="282" customFormat="1" ht="14.45" customHeight="1">
      <c r="A131" s="267">
        <f t="shared" si="9"/>
        <v>0</v>
      </c>
      <c r="B131" s="268" t="str">
        <f t="shared" si="6"/>
        <v/>
      </c>
      <c r="C131" s="269"/>
      <c r="D131" s="269"/>
      <c r="E131" s="269"/>
      <c r="F131" s="269"/>
      <c r="G131" s="260"/>
      <c r="H131" s="301">
        <v>126</v>
      </c>
      <c r="I131" s="302" t="str">
        <f t="shared" si="10"/>
        <v/>
      </c>
      <c r="J131" s="301">
        <f t="shared" si="11"/>
        <v>-1</v>
      </c>
      <c r="K131" s="301">
        <f t="shared" si="7"/>
        <v>-10</v>
      </c>
      <c r="L131" s="301"/>
      <c r="M131" s="303">
        <f t="shared" si="8"/>
        <v>0</v>
      </c>
      <c r="N131" s="276"/>
      <c r="O131" s="276"/>
      <c r="P131" s="276"/>
      <c r="Q131" s="276"/>
      <c r="R131" s="276"/>
      <c r="V131" s="307"/>
      <c r="Z131" s="305"/>
      <c r="AA131" s="305"/>
      <c r="AG131" s="306"/>
    </row>
    <row r="132" spans="1:34" s="282" customFormat="1" ht="14.45" customHeight="1">
      <c r="A132" s="264">
        <f t="shared" si="9"/>
        <v>0</v>
      </c>
      <c r="B132" s="265" t="str">
        <f t="shared" si="6"/>
        <v/>
      </c>
      <c r="C132" s="266"/>
      <c r="D132" s="266"/>
      <c r="E132" s="266"/>
      <c r="F132" s="266"/>
      <c r="G132" s="260"/>
      <c r="H132" s="295">
        <v>127</v>
      </c>
      <c r="I132" s="296" t="str">
        <f t="shared" si="10"/>
        <v/>
      </c>
      <c r="J132" s="295">
        <f t="shared" si="11"/>
        <v>-1</v>
      </c>
      <c r="K132" s="295">
        <f t="shared" si="7"/>
        <v>-10</v>
      </c>
      <c r="L132" s="295"/>
      <c r="M132" s="297">
        <f t="shared" si="8"/>
        <v>0</v>
      </c>
      <c r="N132" s="276"/>
      <c r="O132" s="276"/>
      <c r="P132" s="276"/>
      <c r="Q132" s="276"/>
      <c r="R132" s="276"/>
      <c r="Z132" s="305"/>
      <c r="AA132" s="305"/>
      <c r="AG132" s="306"/>
    </row>
    <row r="133" spans="1:34" s="282" customFormat="1" ht="14.45" customHeight="1">
      <c r="A133" s="270">
        <f t="shared" si="9"/>
        <v>0</v>
      </c>
      <c r="B133" s="268" t="str">
        <f t="shared" si="6"/>
        <v/>
      </c>
      <c r="C133" s="269"/>
      <c r="D133" s="269"/>
      <c r="E133" s="269"/>
      <c r="F133" s="269"/>
      <c r="G133" s="260"/>
      <c r="H133" s="301">
        <v>128</v>
      </c>
      <c r="I133" s="302" t="str">
        <f t="shared" si="10"/>
        <v/>
      </c>
      <c r="J133" s="301">
        <f t="shared" si="11"/>
        <v>-1</v>
      </c>
      <c r="K133" s="301">
        <f t="shared" si="7"/>
        <v>-10</v>
      </c>
      <c r="L133" s="301"/>
      <c r="M133" s="303">
        <f t="shared" si="8"/>
        <v>0</v>
      </c>
      <c r="N133" s="276"/>
      <c r="O133" s="276"/>
      <c r="P133" s="276"/>
      <c r="Q133" s="276"/>
      <c r="R133" s="276"/>
      <c r="X133" s="304"/>
      <c r="AG133" s="306"/>
    </row>
    <row r="134" spans="1:34" s="282" customFormat="1" ht="15.75" customHeight="1">
      <c r="A134" s="271">
        <f t="shared" si="9"/>
        <v>0</v>
      </c>
      <c r="B134" s="265" t="str">
        <f t="shared" ref="B134:B197" si="12">IF(H134&gt;$H$2,"",(ROW()-5))</f>
        <v/>
      </c>
      <c r="C134" s="266"/>
      <c r="D134" s="266"/>
      <c r="E134" s="266"/>
      <c r="F134" s="266"/>
      <c r="G134" s="260"/>
      <c r="H134" s="295">
        <v>129</v>
      </c>
      <c r="I134" s="296" t="str">
        <f t="shared" si="10"/>
        <v/>
      </c>
      <c r="J134" s="295">
        <f t="shared" si="11"/>
        <v>-2</v>
      </c>
      <c r="K134" s="295">
        <f t="shared" ref="K134:K197" si="13">J134*$J$2</f>
        <v>-20</v>
      </c>
      <c r="L134" s="295"/>
      <c r="M134" s="297">
        <f t="shared" ref="M134:M197" si="14">IF(I134&lt;&gt;"",K134+I134+L134,0)</f>
        <v>0</v>
      </c>
      <c r="N134" s="276"/>
      <c r="O134" s="276"/>
      <c r="P134" s="276"/>
      <c r="Q134" s="276"/>
      <c r="R134" s="276"/>
      <c r="X134" s="308"/>
      <c r="Z134" s="305"/>
      <c r="AA134" s="305"/>
      <c r="AG134" s="306"/>
    </row>
    <row r="135" spans="1:34" s="282" customFormat="1">
      <c r="A135" s="270">
        <f t="shared" ref="A135:A198" si="15">M135</f>
        <v>0</v>
      </c>
      <c r="B135" s="268" t="str">
        <f t="shared" si="12"/>
        <v/>
      </c>
      <c r="C135" s="269"/>
      <c r="D135" s="269"/>
      <c r="E135" s="269"/>
      <c r="F135" s="269"/>
      <c r="G135" s="260"/>
      <c r="H135" s="301">
        <v>130</v>
      </c>
      <c r="I135" s="302" t="str">
        <f t="shared" ref="I135:I198" si="16">IF(H135&lt;$H$2+1,($I$2-($I$2-1)*(LOG(H135)/LOG($H$2))),"")</f>
        <v/>
      </c>
      <c r="J135" s="301">
        <f t="shared" ref="J135:J198" si="17">INT(LOG($H$2,2))-ROUNDUP(LOG(H135,2),0)+IF(OR($H$2=1,$H$2=2,$H$2=4,$H$2=8,$H$2=16,$H$2=32,$H$2=64,$H$2=128,$H$2=256),0,1)</f>
        <v>-2</v>
      </c>
      <c r="K135" s="301">
        <f t="shared" si="13"/>
        <v>-20</v>
      </c>
      <c r="L135" s="301"/>
      <c r="M135" s="303">
        <f t="shared" si="14"/>
        <v>0</v>
      </c>
      <c r="N135" s="276"/>
      <c r="O135" s="276"/>
      <c r="P135" s="276"/>
      <c r="Q135" s="276"/>
      <c r="R135" s="276"/>
      <c r="X135" s="304"/>
      <c r="Z135" s="305"/>
      <c r="AA135" s="305"/>
    </row>
    <row r="136" spans="1:34" s="282" customFormat="1">
      <c r="A136" s="271">
        <f t="shared" si="15"/>
        <v>0</v>
      </c>
      <c r="B136" s="265" t="str">
        <f t="shared" si="12"/>
        <v/>
      </c>
      <c r="C136" s="266"/>
      <c r="D136" s="266"/>
      <c r="E136" s="266"/>
      <c r="F136" s="266"/>
      <c r="G136" s="260"/>
      <c r="H136" s="295">
        <v>131</v>
      </c>
      <c r="I136" s="296" t="str">
        <f t="shared" si="16"/>
        <v/>
      </c>
      <c r="J136" s="295">
        <f t="shared" si="17"/>
        <v>-2</v>
      </c>
      <c r="K136" s="295">
        <f t="shared" si="13"/>
        <v>-20</v>
      </c>
      <c r="L136" s="295"/>
      <c r="M136" s="297">
        <f t="shared" si="14"/>
        <v>0</v>
      </c>
      <c r="N136" s="276"/>
      <c r="O136" s="276"/>
      <c r="P136" s="276"/>
      <c r="Q136" s="276"/>
      <c r="R136" s="309"/>
      <c r="Z136" s="305"/>
      <c r="AA136" s="305"/>
      <c r="AH136" s="310"/>
    </row>
    <row r="137" spans="1:34" s="282" customFormat="1">
      <c r="A137" s="270">
        <f t="shared" si="15"/>
        <v>0</v>
      </c>
      <c r="B137" s="268" t="str">
        <f t="shared" si="12"/>
        <v/>
      </c>
      <c r="C137" s="269"/>
      <c r="D137" s="269"/>
      <c r="E137" s="269"/>
      <c r="F137" s="269"/>
      <c r="G137" s="260"/>
      <c r="H137" s="301">
        <v>132</v>
      </c>
      <c r="I137" s="302" t="str">
        <f t="shared" si="16"/>
        <v/>
      </c>
      <c r="J137" s="301">
        <f t="shared" si="17"/>
        <v>-2</v>
      </c>
      <c r="K137" s="301">
        <f t="shared" si="13"/>
        <v>-20</v>
      </c>
      <c r="L137" s="301"/>
      <c r="M137" s="303">
        <f t="shared" si="14"/>
        <v>0</v>
      </c>
      <c r="N137" s="276"/>
      <c r="O137" s="276"/>
      <c r="P137" s="276"/>
      <c r="Q137" s="276"/>
      <c r="R137" s="276"/>
    </row>
    <row r="138" spans="1:34" s="282" customFormat="1">
      <c r="A138" s="271">
        <f t="shared" si="15"/>
        <v>0</v>
      </c>
      <c r="B138" s="265" t="str">
        <f t="shared" si="12"/>
        <v/>
      </c>
      <c r="C138" s="266"/>
      <c r="D138" s="266"/>
      <c r="E138" s="266"/>
      <c r="F138" s="266"/>
      <c r="G138" s="260"/>
      <c r="H138" s="295">
        <v>133</v>
      </c>
      <c r="I138" s="296" t="str">
        <f t="shared" si="16"/>
        <v/>
      </c>
      <c r="J138" s="295">
        <f t="shared" si="17"/>
        <v>-2</v>
      </c>
      <c r="K138" s="295">
        <f t="shared" si="13"/>
        <v>-20</v>
      </c>
      <c r="L138" s="295"/>
      <c r="M138" s="297">
        <f t="shared" si="14"/>
        <v>0</v>
      </c>
      <c r="N138" s="276"/>
      <c r="O138" s="276"/>
      <c r="P138" s="276"/>
      <c r="Q138" s="276"/>
      <c r="R138" s="276"/>
    </row>
    <row r="139" spans="1:34" s="282" customFormat="1">
      <c r="A139" s="270">
        <f t="shared" si="15"/>
        <v>0</v>
      </c>
      <c r="B139" s="268" t="str">
        <f t="shared" si="12"/>
        <v/>
      </c>
      <c r="C139" s="269"/>
      <c r="D139" s="269"/>
      <c r="E139" s="269"/>
      <c r="F139" s="269"/>
      <c r="G139" s="260"/>
      <c r="H139" s="301">
        <v>134</v>
      </c>
      <c r="I139" s="302" t="str">
        <f t="shared" si="16"/>
        <v/>
      </c>
      <c r="J139" s="301">
        <f t="shared" si="17"/>
        <v>-2</v>
      </c>
      <c r="K139" s="301">
        <f t="shared" si="13"/>
        <v>-20</v>
      </c>
      <c r="L139" s="301"/>
      <c r="M139" s="303">
        <f t="shared" si="14"/>
        <v>0</v>
      </c>
      <c r="N139" s="276"/>
      <c r="O139" s="276"/>
      <c r="P139" s="276"/>
      <c r="Q139" s="276"/>
      <c r="R139" s="276"/>
    </row>
    <row r="140" spans="1:34" s="282" customFormat="1">
      <c r="A140" s="271">
        <f t="shared" si="15"/>
        <v>0</v>
      </c>
      <c r="B140" s="265" t="str">
        <f t="shared" si="12"/>
        <v/>
      </c>
      <c r="C140" s="266"/>
      <c r="D140" s="266"/>
      <c r="E140" s="266"/>
      <c r="F140" s="266"/>
      <c r="G140" s="260"/>
      <c r="H140" s="295">
        <v>135</v>
      </c>
      <c r="I140" s="296" t="str">
        <f t="shared" si="16"/>
        <v/>
      </c>
      <c r="J140" s="295">
        <f t="shared" si="17"/>
        <v>-2</v>
      </c>
      <c r="K140" s="295">
        <f t="shared" si="13"/>
        <v>-20</v>
      </c>
      <c r="L140" s="295"/>
      <c r="M140" s="297">
        <f t="shared" si="14"/>
        <v>0</v>
      </c>
      <c r="N140" s="276"/>
      <c r="O140" s="276"/>
      <c r="P140" s="276"/>
      <c r="Q140" s="276"/>
      <c r="R140" s="311"/>
      <c r="S140" s="312"/>
    </row>
    <row r="141" spans="1:34" s="282" customFormat="1">
      <c r="A141" s="270">
        <f t="shared" si="15"/>
        <v>0</v>
      </c>
      <c r="B141" s="268" t="str">
        <f t="shared" si="12"/>
        <v/>
      </c>
      <c r="C141" s="269"/>
      <c r="D141" s="269"/>
      <c r="E141" s="269"/>
      <c r="F141" s="269"/>
      <c r="G141" s="260"/>
      <c r="H141" s="301">
        <v>136</v>
      </c>
      <c r="I141" s="302" t="str">
        <f t="shared" si="16"/>
        <v/>
      </c>
      <c r="J141" s="301">
        <f t="shared" si="17"/>
        <v>-2</v>
      </c>
      <c r="K141" s="301">
        <f t="shared" si="13"/>
        <v>-20</v>
      </c>
      <c r="L141" s="301"/>
      <c r="M141" s="303">
        <f t="shared" si="14"/>
        <v>0</v>
      </c>
      <c r="N141" s="276"/>
      <c r="O141" s="276"/>
      <c r="P141" s="276"/>
      <c r="Q141" s="276"/>
      <c r="R141" s="276"/>
    </row>
    <row r="142" spans="1:34" s="282" customFormat="1">
      <c r="A142" s="271">
        <f t="shared" si="15"/>
        <v>0</v>
      </c>
      <c r="B142" s="265" t="str">
        <f t="shared" si="12"/>
        <v/>
      </c>
      <c r="C142" s="266"/>
      <c r="D142" s="266"/>
      <c r="E142" s="266"/>
      <c r="F142" s="266"/>
      <c r="G142" s="260"/>
      <c r="H142" s="295">
        <v>137</v>
      </c>
      <c r="I142" s="296" t="str">
        <f t="shared" si="16"/>
        <v/>
      </c>
      <c r="J142" s="295">
        <f t="shared" si="17"/>
        <v>-2</v>
      </c>
      <c r="K142" s="295">
        <f t="shared" si="13"/>
        <v>-20</v>
      </c>
      <c r="L142" s="295"/>
      <c r="M142" s="297">
        <f t="shared" si="14"/>
        <v>0</v>
      </c>
      <c r="N142" s="276"/>
      <c r="O142" s="276"/>
      <c r="P142" s="276"/>
      <c r="Q142" s="276"/>
      <c r="R142" s="276"/>
    </row>
    <row r="143" spans="1:34" s="282" customFormat="1">
      <c r="A143" s="270">
        <f t="shared" si="15"/>
        <v>0</v>
      </c>
      <c r="B143" s="268" t="str">
        <f t="shared" si="12"/>
        <v/>
      </c>
      <c r="C143" s="269"/>
      <c r="D143" s="269"/>
      <c r="E143" s="269"/>
      <c r="F143" s="269"/>
      <c r="G143" s="260"/>
      <c r="H143" s="301">
        <v>138</v>
      </c>
      <c r="I143" s="302" t="str">
        <f t="shared" si="16"/>
        <v/>
      </c>
      <c r="J143" s="301">
        <f t="shared" si="17"/>
        <v>-2</v>
      </c>
      <c r="K143" s="301">
        <f t="shared" si="13"/>
        <v>-20</v>
      </c>
      <c r="L143" s="301"/>
      <c r="M143" s="303">
        <f t="shared" si="14"/>
        <v>0</v>
      </c>
      <c r="N143" s="276"/>
      <c r="O143" s="276"/>
      <c r="P143" s="276"/>
      <c r="Q143" s="276"/>
      <c r="R143" s="276"/>
    </row>
    <row r="144" spans="1:34" s="282" customFormat="1">
      <c r="A144" s="271">
        <f t="shared" si="15"/>
        <v>0</v>
      </c>
      <c r="B144" s="265" t="str">
        <f t="shared" si="12"/>
        <v/>
      </c>
      <c r="C144" s="266"/>
      <c r="D144" s="266"/>
      <c r="E144" s="266"/>
      <c r="F144" s="266"/>
      <c r="G144" s="260"/>
      <c r="H144" s="295">
        <v>139</v>
      </c>
      <c r="I144" s="296" t="str">
        <f t="shared" si="16"/>
        <v/>
      </c>
      <c r="J144" s="295">
        <f t="shared" si="17"/>
        <v>-2</v>
      </c>
      <c r="K144" s="295">
        <f t="shared" si="13"/>
        <v>-20</v>
      </c>
      <c r="L144" s="295"/>
      <c r="M144" s="297">
        <f t="shared" si="14"/>
        <v>0</v>
      </c>
      <c r="N144" s="276"/>
      <c r="O144" s="276"/>
      <c r="P144" s="276"/>
      <c r="Q144" s="276"/>
      <c r="R144" s="311"/>
      <c r="S144" s="312"/>
    </row>
    <row r="145" spans="1:19" s="282" customFormat="1">
      <c r="A145" s="270">
        <f t="shared" si="15"/>
        <v>0</v>
      </c>
      <c r="B145" s="268" t="str">
        <f t="shared" si="12"/>
        <v/>
      </c>
      <c r="C145" s="269"/>
      <c r="D145" s="269"/>
      <c r="E145" s="269"/>
      <c r="F145" s="269"/>
      <c r="G145" s="260"/>
      <c r="H145" s="301">
        <v>140</v>
      </c>
      <c r="I145" s="302" t="str">
        <f t="shared" si="16"/>
        <v/>
      </c>
      <c r="J145" s="301">
        <f t="shared" si="17"/>
        <v>-2</v>
      </c>
      <c r="K145" s="301">
        <f t="shared" si="13"/>
        <v>-20</v>
      </c>
      <c r="L145" s="301"/>
      <c r="M145" s="303">
        <f t="shared" si="14"/>
        <v>0</v>
      </c>
      <c r="N145" s="276"/>
      <c r="O145" s="276"/>
      <c r="P145" s="276"/>
      <c r="Q145" s="276"/>
      <c r="R145" s="276"/>
    </row>
    <row r="146" spans="1:19" s="282" customFormat="1">
      <c r="A146" s="271">
        <f t="shared" si="15"/>
        <v>0</v>
      </c>
      <c r="B146" s="265" t="str">
        <f t="shared" si="12"/>
        <v/>
      </c>
      <c r="C146" s="266"/>
      <c r="D146" s="266"/>
      <c r="E146" s="266"/>
      <c r="F146" s="266"/>
      <c r="G146" s="260"/>
      <c r="H146" s="295">
        <v>141</v>
      </c>
      <c r="I146" s="296" t="str">
        <f t="shared" si="16"/>
        <v/>
      </c>
      <c r="J146" s="295">
        <f t="shared" si="17"/>
        <v>-2</v>
      </c>
      <c r="K146" s="295">
        <f t="shared" si="13"/>
        <v>-20</v>
      </c>
      <c r="L146" s="295"/>
      <c r="M146" s="297">
        <f t="shared" si="14"/>
        <v>0</v>
      </c>
      <c r="N146" s="276"/>
      <c r="O146" s="276"/>
      <c r="P146" s="276"/>
      <c r="Q146" s="276"/>
      <c r="R146" s="276"/>
    </row>
    <row r="147" spans="1:19" s="282" customFormat="1">
      <c r="A147" s="270">
        <f t="shared" si="15"/>
        <v>0</v>
      </c>
      <c r="B147" s="268" t="str">
        <f t="shared" si="12"/>
        <v/>
      </c>
      <c r="C147" s="269"/>
      <c r="D147" s="269"/>
      <c r="E147" s="269"/>
      <c r="F147" s="269"/>
      <c r="G147" s="260"/>
      <c r="H147" s="301">
        <v>142</v>
      </c>
      <c r="I147" s="302" t="str">
        <f t="shared" si="16"/>
        <v/>
      </c>
      <c r="J147" s="301">
        <f t="shared" si="17"/>
        <v>-2</v>
      </c>
      <c r="K147" s="301">
        <f t="shared" si="13"/>
        <v>-20</v>
      </c>
      <c r="L147" s="301"/>
      <c r="M147" s="303">
        <f t="shared" si="14"/>
        <v>0</v>
      </c>
      <c r="N147" s="276"/>
      <c r="O147" s="276"/>
      <c r="P147" s="276"/>
      <c r="Q147" s="276"/>
      <c r="R147" s="276"/>
    </row>
    <row r="148" spans="1:19" s="282" customFormat="1">
      <c r="A148" s="271">
        <f t="shared" si="15"/>
        <v>0</v>
      </c>
      <c r="B148" s="265" t="str">
        <f t="shared" si="12"/>
        <v/>
      </c>
      <c r="C148" s="266"/>
      <c r="D148" s="266"/>
      <c r="E148" s="266"/>
      <c r="F148" s="266"/>
      <c r="G148" s="260"/>
      <c r="H148" s="295">
        <v>143</v>
      </c>
      <c r="I148" s="296" t="str">
        <f t="shared" si="16"/>
        <v/>
      </c>
      <c r="J148" s="295">
        <f t="shared" si="17"/>
        <v>-2</v>
      </c>
      <c r="K148" s="295">
        <f t="shared" si="13"/>
        <v>-20</v>
      </c>
      <c r="L148" s="295"/>
      <c r="M148" s="297">
        <f t="shared" si="14"/>
        <v>0</v>
      </c>
      <c r="N148" s="276"/>
      <c r="O148" s="276"/>
      <c r="P148" s="276"/>
      <c r="Q148" s="276"/>
      <c r="R148" s="311"/>
      <c r="S148" s="312"/>
    </row>
    <row r="149" spans="1:19" s="282" customFormat="1">
      <c r="A149" s="270">
        <f t="shared" si="15"/>
        <v>0</v>
      </c>
      <c r="B149" s="268" t="str">
        <f t="shared" si="12"/>
        <v/>
      </c>
      <c r="C149" s="269"/>
      <c r="D149" s="269"/>
      <c r="E149" s="269"/>
      <c r="F149" s="269"/>
      <c r="G149" s="276"/>
      <c r="H149" s="301">
        <v>144</v>
      </c>
      <c r="I149" s="302" t="str">
        <f t="shared" si="16"/>
        <v/>
      </c>
      <c r="J149" s="301">
        <f t="shared" si="17"/>
        <v>-2</v>
      </c>
      <c r="K149" s="301">
        <f t="shared" si="13"/>
        <v>-20</v>
      </c>
      <c r="L149" s="301"/>
      <c r="M149" s="303">
        <f t="shared" si="14"/>
        <v>0</v>
      </c>
      <c r="N149" s="276"/>
      <c r="O149" s="276"/>
      <c r="P149" s="276"/>
      <c r="Q149" s="276"/>
      <c r="R149" s="276"/>
    </row>
    <row r="150" spans="1:19" s="282" customFormat="1">
      <c r="A150" s="271">
        <f t="shared" si="15"/>
        <v>0</v>
      </c>
      <c r="B150" s="265" t="str">
        <f t="shared" si="12"/>
        <v/>
      </c>
      <c r="C150" s="266"/>
      <c r="D150" s="266"/>
      <c r="E150" s="266"/>
      <c r="F150" s="266"/>
      <c r="G150" s="276"/>
      <c r="H150" s="295">
        <v>145</v>
      </c>
      <c r="I150" s="296" t="str">
        <f t="shared" si="16"/>
        <v/>
      </c>
      <c r="J150" s="295">
        <f t="shared" si="17"/>
        <v>-2</v>
      </c>
      <c r="K150" s="295">
        <f t="shared" si="13"/>
        <v>-20</v>
      </c>
      <c r="L150" s="295"/>
      <c r="M150" s="297">
        <f t="shared" si="14"/>
        <v>0</v>
      </c>
      <c r="N150" s="276"/>
      <c r="O150" s="276"/>
      <c r="P150" s="276"/>
      <c r="Q150" s="276"/>
      <c r="R150" s="276"/>
    </row>
    <row r="151" spans="1:19" s="282" customFormat="1">
      <c r="A151" s="270">
        <f t="shared" si="15"/>
        <v>0</v>
      </c>
      <c r="B151" s="268" t="str">
        <f t="shared" si="12"/>
        <v/>
      </c>
      <c r="C151" s="269"/>
      <c r="D151" s="269"/>
      <c r="E151" s="269"/>
      <c r="F151" s="269"/>
      <c r="G151" s="276"/>
      <c r="H151" s="301">
        <v>146</v>
      </c>
      <c r="I151" s="302" t="str">
        <f t="shared" si="16"/>
        <v/>
      </c>
      <c r="J151" s="301">
        <f t="shared" si="17"/>
        <v>-2</v>
      </c>
      <c r="K151" s="301">
        <f t="shared" si="13"/>
        <v>-20</v>
      </c>
      <c r="L151" s="301"/>
      <c r="M151" s="303">
        <f t="shared" si="14"/>
        <v>0</v>
      </c>
      <c r="N151" s="276"/>
      <c r="O151" s="276"/>
      <c r="P151" s="276"/>
      <c r="Q151" s="276"/>
      <c r="R151" s="276"/>
    </row>
    <row r="152" spans="1:19" s="282" customFormat="1">
      <c r="A152" s="271">
        <f t="shared" si="15"/>
        <v>0</v>
      </c>
      <c r="B152" s="265" t="str">
        <f t="shared" si="12"/>
        <v/>
      </c>
      <c r="C152" s="266"/>
      <c r="D152" s="266"/>
      <c r="E152" s="266"/>
      <c r="F152" s="266"/>
      <c r="G152" s="276"/>
      <c r="H152" s="295">
        <v>147</v>
      </c>
      <c r="I152" s="296" t="str">
        <f t="shared" si="16"/>
        <v/>
      </c>
      <c r="J152" s="295">
        <f t="shared" si="17"/>
        <v>-2</v>
      </c>
      <c r="K152" s="295">
        <f t="shared" si="13"/>
        <v>-20</v>
      </c>
      <c r="L152" s="295"/>
      <c r="M152" s="297">
        <f t="shared" si="14"/>
        <v>0</v>
      </c>
      <c r="N152" s="276"/>
      <c r="O152" s="276"/>
      <c r="P152" s="276"/>
      <c r="Q152" s="276"/>
      <c r="R152" s="311"/>
      <c r="S152" s="312"/>
    </row>
    <row r="153" spans="1:19" s="282" customFormat="1">
      <c r="A153" s="270">
        <f t="shared" si="15"/>
        <v>0</v>
      </c>
      <c r="B153" s="268" t="str">
        <f t="shared" si="12"/>
        <v/>
      </c>
      <c r="C153" s="269"/>
      <c r="D153" s="269"/>
      <c r="E153" s="269"/>
      <c r="F153" s="269"/>
      <c r="G153" s="276"/>
      <c r="H153" s="301">
        <v>148</v>
      </c>
      <c r="I153" s="302" t="str">
        <f t="shared" si="16"/>
        <v/>
      </c>
      <c r="J153" s="301">
        <f t="shared" si="17"/>
        <v>-2</v>
      </c>
      <c r="K153" s="301">
        <f t="shared" si="13"/>
        <v>-20</v>
      </c>
      <c r="L153" s="301"/>
      <c r="M153" s="303">
        <f t="shared" si="14"/>
        <v>0</v>
      </c>
      <c r="N153" s="276"/>
      <c r="O153" s="276"/>
      <c r="P153" s="276"/>
      <c r="Q153" s="276"/>
      <c r="R153" s="276"/>
    </row>
    <row r="154" spans="1:19" s="282" customFormat="1">
      <c r="A154" s="271">
        <f t="shared" si="15"/>
        <v>0</v>
      </c>
      <c r="B154" s="265" t="str">
        <f t="shared" si="12"/>
        <v/>
      </c>
      <c r="C154" s="266"/>
      <c r="D154" s="266"/>
      <c r="E154" s="266"/>
      <c r="F154" s="266"/>
      <c r="G154" s="276"/>
      <c r="H154" s="295">
        <v>149</v>
      </c>
      <c r="I154" s="296" t="str">
        <f t="shared" si="16"/>
        <v/>
      </c>
      <c r="J154" s="295">
        <f t="shared" si="17"/>
        <v>-2</v>
      </c>
      <c r="K154" s="295">
        <f t="shared" si="13"/>
        <v>-20</v>
      </c>
      <c r="L154" s="295"/>
      <c r="M154" s="297">
        <f t="shared" si="14"/>
        <v>0</v>
      </c>
      <c r="N154" s="276"/>
      <c r="O154" s="276"/>
      <c r="P154" s="276"/>
      <c r="Q154" s="276"/>
      <c r="R154" s="276"/>
    </row>
    <row r="155" spans="1:19" s="282" customFormat="1">
      <c r="A155" s="270">
        <f t="shared" si="15"/>
        <v>0</v>
      </c>
      <c r="B155" s="268" t="str">
        <f t="shared" si="12"/>
        <v/>
      </c>
      <c r="C155" s="269"/>
      <c r="D155" s="269"/>
      <c r="E155" s="269"/>
      <c r="F155" s="269"/>
      <c r="G155" s="276"/>
      <c r="H155" s="301">
        <v>150</v>
      </c>
      <c r="I155" s="302" t="str">
        <f t="shared" si="16"/>
        <v/>
      </c>
      <c r="J155" s="301">
        <f t="shared" si="17"/>
        <v>-2</v>
      </c>
      <c r="K155" s="301">
        <f t="shared" si="13"/>
        <v>-20</v>
      </c>
      <c r="L155" s="301"/>
      <c r="M155" s="303">
        <f t="shared" si="14"/>
        <v>0</v>
      </c>
      <c r="N155" s="276"/>
      <c r="O155" s="276"/>
      <c r="P155" s="276"/>
      <c r="Q155" s="276"/>
      <c r="R155" s="276"/>
    </row>
    <row r="156" spans="1:19" s="282" customFormat="1">
      <c r="A156" s="271">
        <f t="shared" si="15"/>
        <v>0</v>
      </c>
      <c r="B156" s="265" t="str">
        <f t="shared" si="12"/>
        <v/>
      </c>
      <c r="C156" s="266"/>
      <c r="D156" s="266"/>
      <c r="E156" s="266"/>
      <c r="F156" s="266"/>
      <c r="G156" s="276"/>
      <c r="H156" s="295">
        <v>151</v>
      </c>
      <c r="I156" s="296" t="str">
        <f t="shared" si="16"/>
        <v/>
      </c>
      <c r="J156" s="295">
        <f t="shared" si="17"/>
        <v>-2</v>
      </c>
      <c r="K156" s="295">
        <f t="shared" si="13"/>
        <v>-20</v>
      </c>
      <c r="L156" s="295"/>
      <c r="M156" s="297">
        <f t="shared" si="14"/>
        <v>0</v>
      </c>
      <c r="N156" s="276"/>
      <c r="O156" s="276"/>
      <c r="P156" s="276"/>
      <c r="Q156" s="276"/>
      <c r="R156" s="311"/>
      <c r="S156" s="312"/>
    </row>
    <row r="157" spans="1:19" s="282" customFormat="1">
      <c r="A157" s="270">
        <f t="shared" si="15"/>
        <v>0</v>
      </c>
      <c r="B157" s="268" t="str">
        <f t="shared" si="12"/>
        <v/>
      </c>
      <c r="C157" s="269"/>
      <c r="D157" s="269"/>
      <c r="E157" s="269"/>
      <c r="F157" s="269"/>
      <c r="G157" s="276"/>
      <c r="H157" s="301">
        <v>152</v>
      </c>
      <c r="I157" s="302" t="str">
        <f t="shared" si="16"/>
        <v/>
      </c>
      <c r="J157" s="301">
        <f t="shared" si="17"/>
        <v>-2</v>
      </c>
      <c r="K157" s="301">
        <f t="shared" si="13"/>
        <v>-20</v>
      </c>
      <c r="L157" s="301"/>
      <c r="M157" s="303">
        <f t="shared" si="14"/>
        <v>0</v>
      </c>
      <c r="N157" s="276"/>
      <c r="O157" s="276"/>
      <c r="P157" s="276"/>
      <c r="Q157" s="276"/>
      <c r="R157" s="276"/>
    </row>
    <row r="158" spans="1:19" s="282" customFormat="1">
      <c r="A158" s="271">
        <f t="shared" si="15"/>
        <v>0</v>
      </c>
      <c r="B158" s="265" t="str">
        <f t="shared" si="12"/>
        <v/>
      </c>
      <c r="C158" s="266"/>
      <c r="D158" s="266"/>
      <c r="E158" s="266"/>
      <c r="F158" s="266"/>
      <c r="G158" s="276"/>
      <c r="H158" s="295">
        <v>153</v>
      </c>
      <c r="I158" s="296" t="str">
        <f t="shared" si="16"/>
        <v/>
      </c>
      <c r="J158" s="295">
        <f t="shared" si="17"/>
        <v>-2</v>
      </c>
      <c r="K158" s="295">
        <f t="shared" si="13"/>
        <v>-20</v>
      </c>
      <c r="L158" s="295"/>
      <c r="M158" s="297">
        <f t="shared" si="14"/>
        <v>0</v>
      </c>
      <c r="N158" s="276"/>
      <c r="O158" s="276"/>
      <c r="P158" s="276"/>
      <c r="Q158" s="276"/>
      <c r="R158" s="276"/>
    </row>
    <row r="159" spans="1:19" s="282" customFormat="1">
      <c r="A159" s="270">
        <f t="shared" si="15"/>
        <v>0</v>
      </c>
      <c r="B159" s="268" t="str">
        <f t="shared" si="12"/>
        <v/>
      </c>
      <c r="C159" s="269"/>
      <c r="D159" s="269"/>
      <c r="E159" s="269"/>
      <c r="F159" s="269"/>
      <c r="G159" s="276"/>
      <c r="H159" s="301">
        <v>154</v>
      </c>
      <c r="I159" s="302" t="str">
        <f t="shared" si="16"/>
        <v/>
      </c>
      <c r="J159" s="301">
        <f t="shared" si="17"/>
        <v>-2</v>
      </c>
      <c r="K159" s="301">
        <f t="shared" si="13"/>
        <v>-20</v>
      </c>
      <c r="L159" s="301"/>
      <c r="M159" s="303">
        <f t="shared" si="14"/>
        <v>0</v>
      </c>
      <c r="N159" s="276"/>
      <c r="O159" s="276"/>
      <c r="P159" s="276"/>
      <c r="Q159" s="276"/>
      <c r="R159" s="276"/>
    </row>
    <row r="160" spans="1:19" s="282" customFormat="1">
      <c r="A160" s="271">
        <f t="shared" si="15"/>
        <v>0</v>
      </c>
      <c r="B160" s="265" t="str">
        <f t="shared" si="12"/>
        <v/>
      </c>
      <c r="C160" s="266"/>
      <c r="D160" s="266"/>
      <c r="E160" s="266"/>
      <c r="F160" s="266"/>
      <c r="G160" s="276"/>
      <c r="H160" s="295">
        <v>155</v>
      </c>
      <c r="I160" s="296" t="str">
        <f t="shared" si="16"/>
        <v/>
      </c>
      <c r="J160" s="295">
        <f t="shared" si="17"/>
        <v>-2</v>
      </c>
      <c r="K160" s="295">
        <f t="shared" si="13"/>
        <v>-20</v>
      </c>
      <c r="L160" s="295"/>
      <c r="M160" s="297">
        <f t="shared" si="14"/>
        <v>0</v>
      </c>
      <c r="N160" s="276"/>
      <c r="O160" s="276"/>
      <c r="P160" s="276"/>
      <c r="Q160" s="276"/>
      <c r="R160" s="276"/>
    </row>
    <row r="161" spans="1:38" s="282" customFormat="1">
      <c r="A161" s="270">
        <f t="shared" si="15"/>
        <v>0</v>
      </c>
      <c r="B161" s="268" t="str">
        <f t="shared" si="12"/>
        <v/>
      </c>
      <c r="C161" s="269"/>
      <c r="D161" s="269"/>
      <c r="E161" s="269"/>
      <c r="F161" s="269"/>
      <c r="G161" s="276"/>
      <c r="H161" s="301">
        <v>156</v>
      </c>
      <c r="I161" s="302" t="str">
        <f t="shared" si="16"/>
        <v/>
      </c>
      <c r="J161" s="301">
        <f t="shared" si="17"/>
        <v>-2</v>
      </c>
      <c r="K161" s="301">
        <f t="shared" si="13"/>
        <v>-20</v>
      </c>
      <c r="L161" s="301"/>
      <c r="M161" s="303">
        <f t="shared" si="14"/>
        <v>0</v>
      </c>
      <c r="N161" s="276"/>
      <c r="O161" s="276"/>
      <c r="P161" s="276"/>
      <c r="Q161" s="276"/>
      <c r="R161" s="276"/>
      <c r="S161" s="313"/>
    </row>
    <row r="162" spans="1:38" s="282" customFormat="1">
      <c r="A162" s="271">
        <f t="shared" si="15"/>
        <v>0</v>
      </c>
      <c r="B162" s="265" t="str">
        <f t="shared" si="12"/>
        <v/>
      </c>
      <c r="C162" s="266"/>
      <c r="D162" s="266"/>
      <c r="E162" s="266"/>
      <c r="F162" s="266"/>
      <c r="G162" s="276"/>
      <c r="H162" s="295">
        <v>157</v>
      </c>
      <c r="I162" s="296" t="str">
        <f t="shared" si="16"/>
        <v/>
      </c>
      <c r="J162" s="295">
        <f t="shared" si="17"/>
        <v>-2</v>
      </c>
      <c r="K162" s="295">
        <f t="shared" si="13"/>
        <v>-20</v>
      </c>
      <c r="L162" s="295"/>
      <c r="M162" s="297">
        <f t="shared" si="14"/>
        <v>0</v>
      </c>
      <c r="N162" s="276"/>
      <c r="O162" s="276"/>
      <c r="P162" s="276"/>
      <c r="Q162" s="276"/>
      <c r="R162" s="276"/>
    </row>
    <row r="163" spans="1:38" s="282" customFormat="1">
      <c r="A163" s="270">
        <f t="shared" si="15"/>
        <v>0</v>
      </c>
      <c r="B163" s="268" t="str">
        <f t="shared" si="12"/>
        <v/>
      </c>
      <c r="C163" s="269"/>
      <c r="D163" s="269"/>
      <c r="E163" s="269"/>
      <c r="F163" s="269"/>
      <c r="G163" s="276"/>
      <c r="H163" s="301">
        <v>158</v>
      </c>
      <c r="I163" s="302" t="str">
        <f t="shared" si="16"/>
        <v/>
      </c>
      <c r="J163" s="301">
        <f t="shared" si="17"/>
        <v>-2</v>
      </c>
      <c r="K163" s="301">
        <f t="shared" si="13"/>
        <v>-20</v>
      </c>
      <c r="L163" s="301"/>
      <c r="M163" s="303">
        <f t="shared" si="14"/>
        <v>0</v>
      </c>
      <c r="N163" s="276"/>
      <c r="O163" s="276"/>
      <c r="P163" s="276"/>
      <c r="Q163" s="276"/>
      <c r="R163" s="276"/>
    </row>
    <row r="164" spans="1:38" s="282" customFormat="1">
      <c r="A164" s="271">
        <f t="shared" si="15"/>
        <v>0</v>
      </c>
      <c r="B164" s="265" t="str">
        <f t="shared" si="12"/>
        <v/>
      </c>
      <c r="C164" s="266"/>
      <c r="D164" s="266"/>
      <c r="E164" s="266"/>
      <c r="F164" s="266"/>
      <c r="G164" s="276"/>
      <c r="H164" s="295">
        <v>159</v>
      </c>
      <c r="I164" s="296" t="str">
        <f t="shared" si="16"/>
        <v/>
      </c>
      <c r="J164" s="295">
        <f t="shared" si="17"/>
        <v>-2</v>
      </c>
      <c r="K164" s="295">
        <f t="shared" si="13"/>
        <v>-20</v>
      </c>
      <c r="L164" s="295"/>
      <c r="M164" s="297">
        <f t="shared" si="14"/>
        <v>0</v>
      </c>
      <c r="N164" s="276"/>
      <c r="O164" s="276"/>
      <c r="P164" s="276"/>
      <c r="Q164" s="276"/>
      <c r="R164" s="276"/>
    </row>
    <row r="165" spans="1:38" s="282" customFormat="1">
      <c r="A165" s="270">
        <f t="shared" si="15"/>
        <v>0</v>
      </c>
      <c r="B165" s="268" t="str">
        <f t="shared" si="12"/>
        <v/>
      </c>
      <c r="C165" s="269"/>
      <c r="D165" s="269"/>
      <c r="E165" s="269"/>
      <c r="F165" s="269"/>
      <c r="G165" s="276"/>
      <c r="H165" s="301">
        <v>160</v>
      </c>
      <c r="I165" s="302" t="str">
        <f t="shared" si="16"/>
        <v/>
      </c>
      <c r="J165" s="301">
        <f t="shared" si="17"/>
        <v>-2</v>
      </c>
      <c r="K165" s="301">
        <f t="shared" si="13"/>
        <v>-20</v>
      </c>
      <c r="L165" s="301"/>
      <c r="M165" s="303">
        <f t="shared" si="14"/>
        <v>0</v>
      </c>
      <c r="N165" s="276"/>
      <c r="O165" s="276"/>
      <c r="P165" s="276"/>
      <c r="Q165" s="276"/>
      <c r="R165" s="276"/>
    </row>
    <row r="166" spans="1:38" s="282" customFormat="1">
      <c r="A166" s="271">
        <f t="shared" si="15"/>
        <v>0</v>
      </c>
      <c r="B166" s="265" t="str">
        <f t="shared" si="12"/>
        <v/>
      </c>
      <c r="C166" s="266"/>
      <c r="D166" s="266"/>
      <c r="E166" s="266"/>
      <c r="F166" s="266"/>
      <c r="G166" s="276"/>
      <c r="H166" s="295">
        <v>161</v>
      </c>
      <c r="I166" s="296" t="str">
        <f t="shared" si="16"/>
        <v/>
      </c>
      <c r="J166" s="295">
        <f t="shared" si="17"/>
        <v>-2</v>
      </c>
      <c r="K166" s="295">
        <f t="shared" si="13"/>
        <v>-20</v>
      </c>
      <c r="L166" s="295"/>
      <c r="M166" s="297">
        <f t="shared" si="14"/>
        <v>0</v>
      </c>
      <c r="N166" s="276"/>
      <c r="O166" s="276"/>
      <c r="P166" s="276"/>
      <c r="Q166" s="276"/>
      <c r="R166" s="276"/>
    </row>
    <row r="167" spans="1:38" s="282" customFormat="1">
      <c r="A167" s="270">
        <f t="shared" si="15"/>
        <v>0</v>
      </c>
      <c r="B167" s="268" t="str">
        <f t="shared" si="12"/>
        <v/>
      </c>
      <c r="C167" s="269"/>
      <c r="D167" s="269"/>
      <c r="E167" s="269"/>
      <c r="F167" s="269"/>
      <c r="G167" s="276"/>
      <c r="H167" s="301">
        <v>162</v>
      </c>
      <c r="I167" s="302" t="str">
        <f t="shared" si="16"/>
        <v/>
      </c>
      <c r="J167" s="301">
        <f t="shared" si="17"/>
        <v>-2</v>
      </c>
      <c r="K167" s="301">
        <f t="shared" si="13"/>
        <v>-20</v>
      </c>
      <c r="L167" s="301"/>
      <c r="M167" s="303">
        <f t="shared" si="14"/>
        <v>0</v>
      </c>
      <c r="N167" s="276"/>
      <c r="O167" s="276"/>
      <c r="P167" s="276"/>
      <c r="Q167" s="276"/>
      <c r="R167" s="276"/>
    </row>
    <row r="168" spans="1:38" s="282" customFormat="1">
      <c r="A168" s="271">
        <f t="shared" si="15"/>
        <v>0</v>
      </c>
      <c r="B168" s="265" t="str">
        <f t="shared" si="12"/>
        <v/>
      </c>
      <c r="C168" s="266"/>
      <c r="D168" s="266"/>
      <c r="E168" s="266"/>
      <c r="F168" s="266"/>
      <c r="G168" s="276"/>
      <c r="H168" s="295">
        <v>163</v>
      </c>
      <c r="I168" s="296" t="str">
        <f t="shared" si="16"/>
        <v/>
      </c>
      <c r="J168" s="295">
        <f t="shared" si="17"/>
        <v>-2</v>
      </c>
      <c r="K168" s="295">
        <f t="shared" si="13"/>
        <v>-20</v>
      </c>
      <c r="L168" s="295"/>
      <c r="M168" s="297">
        <f t="shared" si="14"/>
        <v>0</v>
      </c>
      <c r="N168" s="276"/>
      <c r="O168" s="276"/>
      <c r="P168" s="276"/>
      <c r="Q168" s="276"/>
      <c r="R168" s="276"/>
    </row>
    <row r="169" spans="1:38" s="276" customFormat="1">
      <c r="A169" s="270">
        <f t="shared" si="15"/>
        <v>0</v>
      </c>
      <c r="B169" s="268" t="str">
        <f t="shared" si="12"/>
        <v/>
      </c>
      <c r="C169" s="269"/>
      <c r="D169" s="269"/>
      <c r="E169" s="269"/>
      <c r="F169" s="269"/>
      <c r="H169" s="301">
        <v>164</v>
      </c>
      <c r="I169" s="302" t="str">
        <f t="shared" si="16"/>
        <v/>
      </c>
      <c r="J169" s="301">
        <f t="shared" si="17"/>
        <v>-2</v>
      </c>
      <c r="K169" s="301">
        <f t="shared" si="13"/>
        <v>-20</v>
      </c>
      <c r="L169" s="301"/>
      <c r="M169" s="303">
        <f t="shared" si="14"/>
        <v>0</v>
      </c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</row>
    <row r="170" spans="1:38" s="276" customFormat="1">
      <c r="A170" s="271">
        <f t="shared" si="15"/>
        <v>0</v>
      </c>
      <c r="B170" s="265" t="str">
        <f t="shared" si="12"/>
        <v/>
      </c>
      <c r="C170" s="266"/>
      <c r="D170" s="266"/>
      <c r="E170" s="266"/>
      <c r="F170" s="266"/>
      <c r="H170" s="295">
        <v>165</v>
      </c>
      <c r="I170" s="296" t="str">
        <f t="shared" si="16"/>
        <v/>
      </c>
      <c r="J170" s="295">
        <f t="shared" si="17"/>
        <v>-2</v>
      </c>
      <c r="K170" s="295">
        <f t="shared" si="13"/>
        <v>-20</v>
      </c>
      <c r="L170" s="295"/>
      <c r="M170" s="297">
        <f t="shared" si="14"/>
        <v>0</v>
      </c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</row>
    <row r="171" spans="1:38" s="276" customFormat="1">
      <c r="A171" s="270">
        <f t="shared" si="15"/>
        <v>0</v>
      </c>
      <c r="B171" s="268" t="str">
        <f t="shared" si="12"/>
        <v/>
      </c>
      <c r="C171" s="269"/>
      <c r="D171" s="269"/>
      <c r="E171" s="269"/>
      <c r="F171" s="269"/>
      <c r="H171" s="301">
        <v>166</v>
      </c>
      <c r="I171" s="302" t="str">
        <f t="shared" si="16"/>
        <v/>
      </c>
      <c r="J171" s="301">
        <f t="shared" si="17"/>
        <v>-2</v>
      </c>
      <c r="K171" s="301">
        <f t="shared" si="13"/>
        <v>-20</v>
      </c>
      <c r="L171" s="301"/>
      <c r="M171" s="303">
        <f t="shared" si="14"/>
        <v>0</v>
      </c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</row>
    <row r="172" spans="1:38" s="276" customFormat="1">
      <c r="A172" s="271">
        <f t="shared" si="15"/>
        <v>0</v>
      </c>
      <c r="B172" s="265" t="str">
        <f t="shared" si="12"/>
        <v/>
      </c>
      <c r="C172" s="266"/>
      <c r="D172" s="266"/>
      <c r="E172" s="266"/>
      <c r="F172" s="266"/>
      <c r="H172" s="295">
        <v>167</v>
      </c>
      <c r="I172" s="296" t="str">
        <f t="shared" si="16"/>
        <v/>
      </c>
      <c r="J172" s="295">
        <f t="shared" si="17"/>
        <v>-2</v>
      </c>
      <c r="K172" s="295">
        <f t="shared" si="13"/>
        <v>-20</v>
      </c>
      <c r="L172" s="295"/>
      <c r="M172" s="297">
        <f t="shared" si="14"/>
        <v>0</v>
      </c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</row>
    <row r="173" spans="1:38" s="276" customFormat="1">
      <c r="A173" s="270">
        <f t="shared" si="15"/>
        <v>0</v>
      </c>
      <c r="B173" s="268" t="str">
        <f t="shared" si="12"/>
        <v/>
      </c>
      <c r="C173" s="269"/>
      <c r="D173" s="269"/>
      <c r="E173" s="269"/>
      <c r="F173" s="269"/>
      <c r="H173" s="301">
        <v>168</v>
      </c>
      <c r="I173" s="302" t="str">
        <f t="shared" si="16"/>
        <v/>
      </c>
      <c r="J173" s="301">
        <f t="shared" si="17"/>
        <v>-2</v>
      </c>
      <c r="K173" s="301">
        <f t="shared" si="13"/>
        <v>-20</v>
      </c>
      <c r="L173" s="301"/>
      <c r="M173" s="303">
        <f t="shared" si="14"/>
        <v>0</v>
      </c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</row>
    <row r="174" spans="1:38" s="276" customFormat="1">
      <c r="A174" s="271">
        <f t="shared" si="15"/>
        <v>0</v>
      </c>
      <c r="B174" s="265" t="str">
        <f t="shared" si="12"/>
        <v/>
      </c>
      <c r="C174" s="266"/>
      <c r="D174" s="266"/>
      <c r="E174" s="266"/>
      <c r="F174" s="266"/>
      <c r="H174" s="295">
        <v>169</v>
      </c>
      <c r="I174" s="296" t="str">
        <f t="shared" si="16"/>
        <v/>
      </c>
      <c r="J174" s="295">
        <f t="shared" si="17"/>
        <v>-2</v>
      </c>
      <c r="K174" s="295">
        <f t="shared" si="13"/>
        <v>-20</v>
      </c>
      <c r="L174" s="295"/>
      <c r="M174" s="297">
        <f t="shared" si="14"/>
        <v>0</v>
      </c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</row>
    <row r="175" spans="1:38" s="276" customFormat="1">
      <c r="A175" s="270">
        <f t="shared" si="15"/>
        <v>0</v>
      </c>
      <c r="B175" s="268" t="str">
        <f t="shared" si="12"/>
        <v/>
      </c>
      <c r="C175" s="269"/>
      <c r="D175" s="269"/>
      <c r="E175" s="269"/>
      <c r="F175" s="269"/>
      <c r="H175" s="301">
        <v>170</v>
      </c>
      <c r="I175" s="302" t="str">
        <f t="shared" si="16"/>
        <v/>
      </c>
      <c r="J175" s="301">
        <f t="shared" si="17"/>
        <v>-2</v>
      </c>
      <c r="K175" s="301">
        <f t="shared" si="13"/>
        <v>-20</v>
      </c>
      <c r="L175" s="301"/>
      <c r="M175" s="303">
        <f t="shared" si="14"/>
        <v>0</v>
      </c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</row>
    <row r="176" spans="1:38" s="276" customFormat="1">
      <c r="A176" s="271">
        <f t="shared" si="15"/>
        <v>0</v>
      </c>
      <c r="B176" s="265" t="str">
        <f t="shared" si="12"/>
        <v/>
      </c>
      <c r="C176" s="266"/>
      <c r="D176" s="266"/>
      <c r="E176" s="266"/>
      <c r="F176" s="266"/>
      <c r="H176" s="295">
        <v>171</v>
      </c>
      <c r="I176" s="296" t="str">
        <f t="shared" si="16"/>
        <v/>
      </c>
      <c r="J176" s="295">
        <f t="shared" si="17"/>
        <v>-2</v>
      </c>
      <c r="K176" s="295">
        <f t="shared" si="13"/>
        <v>-20</v>
      </c>
      <c r="L176" s="295"/>
      <c r="M176" s="297">
        <f t="shared" si="14"/>
        <v>0</v>
      </c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</row>
    <row r="177" spans="1:38" s="276" customFormat="1">
      <c r="A177" s="270">
        <f t="shared" si="15"/>
        <v>0</v>
      </c>
      <c r="B177" s="268" t="str">
        <f t="shared" si="12"/>
        <v/>
      </c>
      <c r="C177" s="269"/>
      <c r="D177" s="269"/>
      <c r="E177" s="269"/>
      <c r="F177" s="269"/>
      <c r="H177" s="301">
        <v>172</v>
      </c>
      <c r="I177" s="302" t="str">
        <f t="shared" si="16"/>
        <v/>
      </c>
      <c r="J177" s="301">
        <f t="shared" si="17"/>
        <v>-2</v>
      </c>
      <c r="K177" s="301">
        <f t="shared" si="13"/>
        <v>-20</v>
      </c>
      <c r="L177" s="301"/>
      <c r="M177" s="303">
        <f t="shared" si="14"/>
        <v>0</v>
      </c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</row>
    <row r="178" spans="1:38" s="276" customFormat="1">
      <c r="A178" s="271">
        <f t="shared" si="15"/>
        <v>0</v>
      </c>
      <c r="B178" s="265" t="str">
        <f t="shared" si="12"/>
        <v/>
      </c>
      <c r="C178" s="266"/>
      <c r="D178" s="266"/>
      <c r="E178" s="266"/>
      <c r="F178" s="266"/>
      <c r="H178" s="295">
        <v>173</v>
      </c>
      <c r="I178" s="296" t="str">
        <f t="shared" si="16"/>
        <v/>
      </c>
      <c r="J178" s="295">
        <f t="shared" si="17"/>
        <v>-2</v>
      </c>
      <c r="K178" s="295">
        <f t="shared" si="13"/>
        <v>-20</v>
      </c>
      <c r="L178" s="295"/>
      <c r="M178" s="297">
        <f t="shared" si="14"/>
        <v>0</v>
      </c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</row>
    <row r="179" spans="1:38" s="276" customFormat="1">
      <c r="A179" s="270">
        <f t="shared" si="15"/>
        <v>0</v>
      </c>
      <c r="B179" s="268" t="str">
        <f t="shared" si="12"/>
        <v/>
      </c>
      <c r="C179" s="269"/>
      <c r="D179" s="269"/>
      <c r="E179" s="269"/>
      <c r="F179" s="269"/>
      <c r="H179" s="301">
        <v>174</v>
      </c>
      <c r="I179" s="302" t="str">
        <f t="shared" si="16"/>
        <v/>
      </c>
      <c r="J179" s="301">
        <f t="shared" si="17"/>
        <v>-2</v>
      </c>
      <c r="K179" s="301">
        <f t="shared" si="13"/>
        <v>-20</v>
      </c>
      <c r="L179" s="301"/>
      <c r="M179" s="303">
        <f t="shared" si="14"/>
        <v>0</v>
      </c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</row>
    <row r="180" spans="1:38" s="276" customFormat="1">
      <c r="A180" s="271">
        <f t="shared" si="15"/>
        <v>0</v>
      </c>
      <c r="B180" s="265" t="str">
        <f t="shared" si="12"/>
        <v/>
      </c>
      <c r="C180" s="266"/>
      <c r="D180" s="266"/>
      <c r="E180" s="266"/>
      <c r="F180" s="266"/>
      <c r="H180" s="295">
        <v>175</v>
      </c>
      <c r="I180" s="296" t="str">
        <f t="shared" si="16"/>
        <v/>
      </c>
      <c r="J180" s="295">
        <f t="shared" si="17"/>
        <v>-2</v>
      </c>
      <c r="K180" s="295">
        <f t="shared" si="13"/>
        <v>-20</v>
      </c>
      <c r="L180" s="295"/>
      <c r="M180" s="297">
        <f t="shared" si="14"/>
        <v>0</v>
      </c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</row>
    <row r="181" spans="1:38" s="276" customFormat="1">
      <c r="A181" s="270">
        <f t="shared" si="15"/>
        <v>0</v>
      </c>
      <c r="B181" s="268" t="str">
        <f t="shared" si="12"/>
        <v/>
      </c>
      <c r="C181" s="269"/>
      <c r="D181" s="269"/>
      <c r="E181" s="269"/>
      <c r="F181" s="269"/>
      <c r="H181" s="301">
        <v>176</v>
      </c>
      <c r="I181" s="302" t="str">
        <f t="shared" si="16"/>
        <v/>
      </c>
      <c r="J181" s="301">
        <f t="shared" si="17"/>
        <v>-2</v>
      </c>
      <c r="K181" s="301">
        <f t="shared" si="13"/>
        <v>-20</v>
      </c>
      <c r="L181" s="301"/>
      <c r="M181" s="303">
        <f t="shared" si="14"/>
        <v>0</v>
      </c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</row>
    <row r="182" spans="1:38" s="276" customFormat="1">
      <c r="A182" s="271">
        <f t="shared" si="15"/>
        <v>0</v>
      </c>
      <c r="B182" s="265" t="str">
        <f t="shared" si="12"/>
        <v/>
      </c>
      <c r="C182" s="266"/>
      <c r="D182" s="266"/>
      <c r="E182" s="266"/>
      <c r="F182" s="266"/>
      <c r="H182" s="295">
        <v>177</v>
      </c>
      <c r="I182" s="296" t="str">
        <f t="shared" si="16"/>
        <v/>
      </c>
      <c r="J182" s="295">
        <f t="shared" si="17"/>
        <v>-2</v>
      </c>
      <c r="K182" s="295">
        <f t="shared" si="13"/>
        <v>-20</v>
      </c>
      <c r="L182" s="295"/>
      <c r="M182" s="297">
        <f t="shared" si="14"/>
        <v>0</v>
      </c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</row>
    <row r="183" spans="1:38" s="276" customFormat="1">
      <c r="A183" s="270">
        <f t="shared" si="15"/>
        <v>0</v>
      </c>
      <c r="B183" s="268" t="str">
        <f t="shared" si="12"/>
        <v/>
      </c>
      <c r="C183" s="269"/>
      <c r="D183" s="269"/>
      <c r="E183" s="269"/>
      <c r="F183" s="269"/>
      <c r="H183" s="301">
        <v>178</v>
      </c>
      <c r="I183" s="302" t="str">
        <f t="shared" si="16"/>
        <v/>
      </c>
      <c r="J183" s="301">
        <f t="shared" si="17"/>
        <v>-2</v>
      </c>
      <c r="K183" s="301">
        <f t="shared" si="13"/>
        <v>-20</v>
      </c>
      <c r="L183" s="301"/>
      <c r="M183" s="303">
        <f t="shared" si="14"/>
        <v>0</v>
      </c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</row>
    <row r="184" spans="1:38" s="276" customFormat="1">
      <c r="A184" s="271">
        <f t="shared" si="15"/>
        <v>0</v>
      </c>
      <c r="B184" s="265" t="str">
        <f t="shared" si="12"/>
        <v/>
      </c>
      <c r="C184" s="266"/>
      <c r="D184" s="266"/>
      <c r="E184" s="266"/>
      <c r="F184" s="266"/>
      <c r="H184" s="295">
        <v>179</v>
      </c>
      <c r="I184" s="296" t="str">
        <f t="shared" si="16"/>
        <v/>
      </c>
      <c r="J184" s="295">
        <f t="shared" si="17"/>
        <v>-2</v>
      </c>
      <c r="K184" s="295">
        <f t="shared" si="13"/>
        <v>-20</v>
      </c>
      <c r="L184" s="295"/>
      <c r="M184" s="297">
        <f t="shared" si="14"/>
        <v>0</v>
      </c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</row>
    <row r="185" spans="1:38" s="276" customFormat="1">
      <c r="A185" s="270">
        <f t="shared" si="15"/>
        <v>0</v>
      </c>
      <c r="B185" s="268" t="str">
        <f t="shared" si="12"/>
        <v/>
      </c>
      <c r="C185" s="269"/>
      <c r="D185" s="269"/>
      <c r="E185" s="269"/>
      <c r="F185" s="269"/>
      <c r="H185" s="301">
        <v>180</v>
      </c>
      <c r="I185" s="302" t="str">
        <f t="shared" si="16"/>
        <v/>
      </c>
      <c r="J185" s="301">
        <f t="shared" si="17"/>
        <v>-2</v>
      </c>
      <c r="K185" s="301">
        <f t="shared" si="13"/>
        <v>-20</v>
      </c>
      <c r="L185" s="301"/>
      <c r="M185" s="303">
        <f t="shared" si="14"/>
        <v>0</v>
      </c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</row>
    <row r="186" spans="1:38" s="282" customFormat="1" ht="14.45" customHeight="1">
      <c r="A186" s="264">
        <f t="shared" si="15"/>
        <v>0</v>
      </c>
      <c r="B186" s="265" t="str">
        <f t="shared" si="12"/>
        <v/>
      </c>
      <c r="C186" s="266"/>
      <c r="D186" s="266"/>
      <c r="E186" s="266"/>
      <c r="F186" s="266"/>
      <c r="G186" s="260"/>
      <c r="H186" s="295">
        <v>181</v>
      </c>
      <c r="I186" s="296" t="str">
        <f t="shared" si="16"/>
        <v/>
      </c>
      <c r="J186" s="295">
        <f t="shared" si="17"/>
        <v>-2</v>
      </c>
      <c r="K186" s="295">
        <f t="shared" si="13"/>
        <v>-20</v>
      </c>
      <c r="L186" s="297"/>
      <c r="M186" s="297">
        <f t="shared" si="14"/>
        <v>0</v>
      </c>
      <c r="N186" s="276"/>
      <c r="O186" s="276"/>
      <c r="P186" s="276"/>
      <c r="Q186" s="276"/>
      <c r="R186" s="276"/>
    </row>
    <row r="187" spans="1:38" s="282" customFormat="1" ht="14.45" customHeight="1">
      <c r="A187" s="267">
        <f t="shared" si="15"/>
        <v>0</v>
      </c>
      <c r="B187" s="268" t="str">
        <f t="shared" si="12"/>
        <v/>
      </c>
      <c r="C187" s="269"/>
      <c r="D187" s="269"/>
      <c r="E187" s="269"/>
      <c r="F187" s="269"/>
      <c r="G187" s="260"/>
      <c r="H187" s="301">
        <v>182</v>
      </c>
      <c r="I187" s="302" t="str">
        <f t="shared" si="16"/>
        <v/>
      </c>
      <c r="J187" s="301">
        <f t="shared" si="17"/>
        <v>-2</v>
      </c>
      <c r="K187" s="301">
        <f t="shared" si="13"/>
        <v>-20</v>
      </c>
      <c r="L187" s="303"/>
      <c r="M187" s="303">
        <f t="shared" si="14"/>
        <v>0</v>
      </c>
      <c r="N187" s="276"/>
      <c r="O187" s="276"/>
      <c r="P187" s="276"/>
      <c r="Q187" s="276"/>
      <c r="R187" s="276"/>
    </row>
    <row r="188" spans="1:38" s="282" customFormat="1" ht="14.45" customHeight="1">
      <c r="A188" s="264">
        <f t="shared" si="15"/>
        <v>0</v>
      </c>
      <c r="B188" s="265" t="str">
        <f t="shared" si="12"/>
        <v/>
      </c>
      <c r="C188" s="266"/>
      <c r="D188" s="266"/>
      <c r="E188" s="266"/>
      <c r="F188" s="266"/>
      <c r="G188" s="260"/>
      <c r="H188" s="295">
        <v>183</v>
      </c>
      <c r="I188" s="296" t="str">
        <f t="shared" si="16"/>
        <v/>
      </c>
      <c r="J188" s="295">
        <f t="shared" si="17"/>
        <v>-2</v>
      </c>
      <c r="K188" s="295">
        <f t="shared" si="13"/>
        <v>-20</v>
      </c>
      <c r="L188" s="297"/>
      <c r="M188" s="297">
        <f t="shared" si="14"/>
        <v>0</v>
      </c>
      <c r="N188" s="276"/>
      <c r="O188" s="276"/>
      <c r="P188" s="276"/>
      <c r="Q188" s="276"/>
      <c r="R188" s="276"/>
    </row>
    <row r="189" spans="1:38" s="282" customFormat="1" ht="14.45" customHeight="1">
      <c r="A189" s="267">
        <f t="shared" si="15"/>
        <v>0</v>
      </c>
      <c r="B189" s="268" t="str">
        <f t="shared" si="12"/>
        <v/>
      </c>
      <c r="C189" s="269"/>
      <c r="D189" s="269"/>
      <c r="E189" s="269"/>
      <c r="F189" s="269"/>
      <c r="G189" s="260"/>
      <c r="H189" s="301">
        <v>184</v>
      </c>
      <c r="I189" s="302" t="str">
        <f t="shared" si="16"/>
        <v/>
      </c>
      <c r="J189" s="301">
        <f t="shared" si="17"/>
        <v>-2</v>
      </c>
      <c r="K189" s="301">
        <f t="shared" si="13"/>
        <v>-20</v>
      </c>
      <c r="L189" s="303"/>
      <c r="M189" s="303">
        <f t="shared" si="14"/>
        <v>0</v>
      </c>
      <c r="N189" s="276"/>
      <c r="O189" s="276"/>
      <c r="P189" s="276"/>
      <c r="Q189" s="276"/>
      <c r="R189" s="276"/>
      <c r="V189" s="304"/>
      <c r="Z189" s="305"/>
      <c r="AA189" s="305"/>
      <c r="AG189" s="306"/>
    </row>
    <row r="190" spans="1:38" s="282" customFormat="1" ht="14.45" customHeight="1">
      <c r="A190" s="264">
        <f t="shared" si="15"/>
        <v>0</v>
      </c>
      <c r="B190" s="265" t="str">
        <f t="shared" si="12"/>
        <v/>
      </c>
      <c r="C190" s="266"/>
      <c r="D190" s="266"/>
      <c r="E190" s="266"/>
      <c r="F190" s="266"/>
      <c r="G190" s="260"/>
      <c r="H190" s="295">
        <v>185</v>
      </c>
      <c r="I190" s="296" t="str">
        <f t="shared" si="16"/>
        <v/>
      </c>
      <c r="J190" s="295">
        <f t="shared" si="17"/>
        <v>-2</v>
      </c>
      <c r="K190" s="295">
        <f t="shared" si="13"/>
        <v>-20</v>
      </c>
      <c r="L190" s="295"/>
      <c r="M190" s="297">
        <f t="shared" si="14"/>
        <v>0</v>
      </c>
      <c r="N190" s="276"/>
      <c r="O190" s="276"/>
      <c r="P190" s="276"/>
      <c r="Q190" s="276"/>
      <c r="R190" s="276"/>
      <c r="V190" s="304"/>
      <c r="Z190" s="305"/>
      <c r="AA190" s="305"/>
      <c r="AG190" s="306"/>
    </row>
    <row r="191" spans="1:38" s="282" customFormat="1" ht="14.45" customHeight="1">
      <c r="A191" s="267">
        <f t="shared" si="15"/>
        <v>0</v>
      </c>
      <c r="B191" s="268" t="str">
        <f t="shared" si="12"/>
        <v/>
      </c>
      <c r="C191" s="269"/>
      <c r="D191" s="269"/>
      <c r="E191" s="269"/>
      <c r="F191" s="269"/>
      <c r="G191" s="260"/>
      <c r="H191" s="301">
        <v>186</v>
      </c>
      <c r="I191" s="302" t="str">
        <f t="shared" si="16"/>
        <v/>
      </c>
      <c r="J191" s="301">
        <f t="shared" si="17"/>
        <v>-2</v>
      </c>
      <c r="K191" s="301">
        <f t="shared" si="13"/>
        <v>-20</v>
      </c>
      <c r="L191" s="301"/>
      <c r="M191" s="303">
        <f t="shared" si="14"/>
        <v>0</v>
      </c>
      <c r="N191" s="276"/>
      <c r="O191" s="276"/>
      <c r="P191" s="276"/>
      <c r="Q191" s="276"/>
      <c r="R191" s="276"/>
      <c r="V191" s="307"/>
      <c r="Z191" s="305"/>
      <c r="AA191" s="305"/>
      <c r="AG191" s="306"/>
    </row>
    <row r="192" spans="1:38" s="282" customFormat="1" ht="14.45" customHeight="1">
      <c r="A192" s="264">
        <f t="shared" si="15"/>
        <v>0</v>
      </c>
      <c r="B192" s="265" t="str">
        <f t="shared" si="12"/>
        <v/>
      </c>
      <c r="C192" s="266"/>
      <c r="D192" s="266"/>
      <c r="E192" s="266"/>
      <c r="F192" s="266"/>
      <c r="G192" s="260"/>
      <c r="H192" s="295">
        <v>187</v>
      </c>
      <c r="I192" s="296" t="str">
        <f t="shared" si="16"/>
        <v/>
      </c>
      <c r="J192" s="295">
        <f t="shared" si="17"/>
        <v>-2</v>
      </c>
      <c r="K192" s="295">
        <f t="shared" si="13"/>
        <v>-20</v>
      </c>
      <c r="L192" s="295"/>
      <c r="M192" s="297">
        <f t="shared" si="14"/>
        <v>0</v>
      </c>
      <c r="N192" s="276"/>
      <c r="O192" s="276"/>
      <c r="P192" s="276"/>
      <c r="Q192" s="276"/>
      <c r="R192" s="276"/>
      <c r="Z192" s="305"/>
      <c r="AA192" s="305"/>
      <c r="AG192" s="306"/>
    </row>
    <row r="193" spans="1:34" s="282" customFormat="1" ht="14.45" customHeight="1">
      <c r="A193" s="270">
        <f t="shared" si="15"/>
        <v>0</v>
      </c>
      <c r="B193" s="268" t="str">
        <f t="shared" si="12"/>
        <v/>
      </c>
      <c r="C193" s="269"/>
      <c r="D193" s="269"/>
      <c r="E193" s="269"/>
      <c r="F193" s="269"/>
      <c r="G193" s="260"/>
      <c r="H193" s="301">
        <v>188</v>
      </c>
      <c r="I193" s="302" t="str">
        <f t="shared" si="16"/>
        <v/>
      </c>
      <c r="J193" s="301">
        <f t="shared" si="17"/>
        <v>-2</v>
      </c>
      <c r="K193" s="301">
        <f t="shared" si="13"/>
        <v>-20</v>
      </c>
      <c r="L193" s="301"/>
      <c r="M193" s="303">
        <f t="shared" si="14"/>
        <v>0</v>
      </c>
      <c r="N193" s="276"/>
      <c r="O193" s="276"/>
      <c r="P193" s="276"/>
      <c r="Q193" s="276"/>
      <c r="R193" s="276"/>
      <c r="X193" s="304"/>
      <c r="AG193" s="306"/>
    </row>
    <row r="194" spans="1:34" s="282" customFormat="1" ht="15.75" customHeight="1">
      <c r="A194" s="271">
        <f t="shared" si="15"/>
        <v>0</v>
      </c>
      <c r="B194" s="265" t="str">
        <f t="shared" si="12"/>
        <v/>
      </c>
      <c r="C194" s="266"/>
      <c r="D194" s="266"/>
      <c r="E194" s="266"/>
      <c r="F194" s="266"/>
      <c r="G194" s="260"/>
      <c r="H194" s="295">
        <v>189</v>
      </c>
      <c r="I194" s="296" t="str">
        <f t="shared" si="16"/>
        <v/>
      </c>
      <c r="J194" s="295">
        <f t="shared" si="17"/>
        <v>-2</v>
      </c>
      <c r="K194" s="295">
        <f t="shared" si="13"/>
        <v>-20</v>
      </c>
      <c r="L194" s="295"/>
      <c r="M194" s="297">
        <f t="shared" si="14"/>
        <v>0</v>
      </c>
      <c r="N194" s="276"/>
      <c r="O194" s="276"/>
      <c r="P194" s="276"/>
      <c r="Q194" s="276"/>
      <c r="R194" s="276"/>
      <c r="X194" s="308"/>
      <c r="Z194" s="305"/>
      <c r="AA194" s="305"/>
      <c r="AG194" s="306"/>
    </row>
    <row r="195" spans="1:34" s="282" customFormat="1">
      <c r="A195" s="270">
        <f t="shared" si="15"/>
        <v>0</v>
      </c>
      <c r="B195" s="268" t="str">
        <f t="shared" si="12"/>
        <v/>
      </c>
      <c r="C195" s="269"/>
      <c r="D195" s="269"/>
      <c r="E195" s="269"/>
      <c r="F195" s="269"/>
      <c r="G195" s="260"/>
      <c r="H195" s="301">
        <v>190</v>
      </c>
      <c r="I195" s="302" t="str">
        <f t="shared" si="16"/>
        <v/>
      </c>
      <c r="J195" s="301">
        <f t="shared" si="17"/>
        <v>-2</v>
      </c>
      <c r="K195" s="301">
        <f t="shared" si="13"/>
        <v>-20</v>
      </c>
      <c r="L195" s="301"/>
      <c r="M195" s="303">
        <f t="shared" si="14"/>
        <v>0</v>
      </c>
      <c r="N195" s="276"/>
      <c r="O195" s="276"/>
      <c r="P195" s="276"/>
      <c r="Q195" s="276"/>
      <c r="R195" s="276"/>
      <c r="X195" s="304"/>
      <c r="Z195" s="305"/>
      <c r="AA195" s="305"/>
    </row>
    <row r="196" spans="1:34" s="282" customFormat="1">
      <c r="A196" s="271">
        <f t="shared" si="15"/>
        <v>0</v>
      </c>
      <c r="B196" s="265" t="str">
        <f t="shared" si="12"/>
        <v/>
      </c>
      <c r="C196" s="266"/>
      <c r="D196" s="266"/>
      <c r="E196" s="266"/>
      <c r="F196" s="266"/>
      <c r="G196" s="260"/>
      <c r="H196" s="295">
        <v>191</v>
      </c>
      <c r="I196" s="296" t="str">
        <f t="shared" si="16"/>
        <v/>
      </c>
      <c r="J196" s="295">
        <f t="shared" si="17"/>
        <v>-2</v>
      </c>
      <c r="K196" s="295">
        <f t="shared" si="13"/>
        <v>-20</v>
      </c>
      <c r="L196" s="295"/>
      <c r="M196" s="297">
        <f t="shared" si="14"/>
        <v>0</v>
      </c>
      <c r="N196" s="276"/>
      <c r="O196" s="276"/>
      <c r="P196" s="276"/>
      <c r="Q196" s="276"/>
      <c r="R196" s="309"/>
      <c r="Z196" s="305"/>
      <c r="AA196" s="305"/>
      <c r="AH196" s="310"/>
    </row>
    <row r="197" spans="1:34" s="282" customFormat="1">
      <c r="A197" s="270">
        <f t="shared" si="15"/>
        <v>0</v>
      </c>
      <c r="B197" s="268" t="str">
        <f t="shared" si="12"/>
        <v/>
      </c>
      <c r="C197" s="269"/>
      <c r="D197" s="269"/>
      <c r="E197" s="269"/>
      <c r="F197" s="269"/>
      <c r="G197" s="260"/>
      <c r="H197" s="301">
        <v>192</v>
      </c>
      <c r="I197" s="302" t="str">
        <f t="shared" si="16"/>
        <v/>
      </c>
      <c r="J197" s="301">
        <f t="shared" si="17"/>
        <v>-2</v>
      </c>
      <c r="K197" s="301">
        <f t="shared" si="13"/>
        <v>-20</v>
      </c>
      <c r="L197" s="301"/>
      <c r="M197" s="303">
        <f t="shared" si="14"/>
        <v>0</v>
      </c>
      <c r="N197" s="276"/>
      <c r="O197" s="276"/>
      <c r="P197" s="276"/>
      <c r="Q197" s="276"/>
      <c r="R197" s="276"/>
    </row>
    <row r="198" spans="1:34" s="282" customFormat="1">
      <c r="A198" s="271">
        <f t="shared" si="15"/>
        <v>0</v>
      </c>
      <c r="B198" s="265" t="str">
        <f t="shared" ref="B198:B261" si="18">IF(H198&gt;$H$2,"",(ROW()-5))</f>
        <v/>
      </c>
      <c r="C198" s="266"/>
      <c r="D198" s="266"/>
      <c r="E198" s="266"/>
      <c r="F198" s="266"/>
      <c r="G198" s="260"/>
      <c r="H198" s="295">
        <v>193</v>
      </c>
      <c r="I198" s="296" t="str">
        <f t="shared" si="16"/>
        <v/>
      </c>
      <c r="J198" s="295">
        <f t="shared" si="17"/>
        <v>-2</v>
      </c>
      <c r="K198" s="295">
        <f t="shared" ref="K198:K261" si="19">J198*$J$2</f>
        <v>-20</v>
      </c>
      <c r="L198" s="295"/>
      <c r="M198" s="297">
        <f t="shared" ref="M198:M261" si="20">IF(I198&lt;&gt;"",K198+I198+L198,0)</f>
        <v>0</v>
      </c>
      <c r="N198" s="276"/>
      <c r="O198" s="276"/>
      <c r="P198" s="276"/>
      <c r="Q198" s="276"/>
      <c r="R198" s="276"/>
    </row>
    <row r="199" spans="1:34" s="282" customFormat="1">
      <c r="A199" s="270">
        <f t="shared" ref="A199:A262" si="21">M199</f>
        <v>0</v>
      </c>
      <c r="B199" s="268" t="str">
        <f t="shared" si="18"/>
        <v/>
      </c>
      <c r="C199" s="269"/>
      <c r="D199" s="269"/>
      <c r="E199" s="269"/>
      <c r="F199" s="269"/>
      <c r="G199" s="260"/>
      <c r="H199" s="301">
        <v>194</v>
      </c>
      <c r="I199" s="302" t="str">
        <f t="shared" ref="I199:I262" si="22">IF(H199&lt;$H$2+1,($I$2-($I$2-1)*(LOG(H199)/LOG($H$2))),"")</f>
        <v/>
      </c>
      <c r="J199" s="301">
        <f t="shared" ref="J199:J262" si="23">INT(LOG($H$2,2))-ROUNDUP(LOG(H199,2),0)+IF(OR($H$2=1,$H$2=2,$H$2=4,$H$2=8,$H$2=16,$H$2=32,$H$2=64,$H$2=128,$H$2=256),0,1)</f>
        <v>-2</v>
      </c>
      <c r="K199" s="301">
        <f t="shared" si="19"/>
        <v>-20</v>
      </c>
      <c r="L199" s="301"/>
      <c r="M199" s="303">
        <f t="shared" si="20"/>
        <v>0</v>
      </c>
      <c r="N199" s="276"/>
      <c r="O199" s="276"/>
      <c r="P199" s="276"/>
      <c r="Q199" s="276"/>
      <c r="R199" s="276"/>
    </row>
    <row r="200" spans="1:34" s="282" customFormat="1">
      <c r="A200" s="271">
        <f t="shared" si="21"/>
        <v>0</v>
      </c>
      <c r="B200" s="265" t="str">
        <f t="shared" si="18"/>
        <v/>
      </c>
      <c r="C200" s="266"/>
      <c r="D200" s="266"/>
      <c r="E200" s="266"/>
      <c r="F200" s="266"/>
      <c r="G200" s="260"/>
      <c r="H200" s="295">
        <v>195</v>
      </c>
      <c r="I200" s="296" t="str">
        <f t="shared" si="22"/>
        <v/>
      </c>
      <c r="J200" s="295">
        <f t="shared" si="23"/>
        <v>-2</v>
      </c>
      <c r="K200" s="295">
        <f t="shared" si="19"/>
        <v>-20</v>
      </c>
      <c r="L200" s="295"/>
      <c r="M200" s="297">
        <f t="shared" si="20"/>
        <v>0</v>
      </c>
      <c r="N200" s="276"/>
      <c r="O200" s="276"/>
      <c r="P200" s="276"/>
      <c r="Q200" s="276"/>
      <c r="R200" s="311"/>
      <c r="S200" s="312"/>
    </row>
    <row r="201" spans="1:34" s="282" customFormat="1">
      <c r="A201" s="270">
        <f t="shared" si="21"/>
        <v>0</v>
      </c>
      <c r="B201" s="268" t="str">
        <f t="shared" si="18"/>
        <v/>
      </c>
      <c r="C201" s="269"/>
      <c r="D201" s="269"/>
      <c r="E201" s="269"/>
      <c r="F201" s="269"/>
      <c r="G201" s="260"/>
      <c r="H201" s="301">
        <v>196</v>
      </c>
      <c r="I201" s="302" t="str">
        <f t="shared" si="22"/>
        <v/>
      </c>
      <c r="J201" s="301">
        <f t="shared" si="23"/>
        <v>-2</v>
      </c>
      <c r="K201" s="301">
        <f t="shared" si="19"/>
        <v>-20</v>
      </c>
      <c r="L201" s="301"/>
      <c r="M201" s="303">
        <f t="shared" si="20"/>
        <v>0</v>
      </c>
      <c r="N201" s="276"/>
      <c r="O201" s="276"/>
      <c r="P201" s="276"/>
      <c r="Q201" s="276"/>
      <c r="R201" s="276"/>
    </row>
    <row r="202" spans="1:34" s="282" customFormat="1">
      <c r="A202" s="271">
        <f t="shared" si="21"/>
        <v>0</v>
      </c>
      <c r="B202" s="265" t="str">
        <f t="shared" si="18"/>
        <v/>
      </c>
      <c r="C202" s="266"/>
      <c r="D202" s="266"/>
      <c r="E202" s="266"/>
      <c r="F202" s="266"/>
      <c r="G202" s="260"/>
      <c r="H202" s="295">
        <v>197</v>
      </c>
      <c r="I202" s="296" t="str">
        <f t="shared" si="22"/>
        <v/>
      </c>
      <c r="J202" s="295">
        <f t="shared" si="23"/>
        <v>-2</v>
      </c>
      <c r="K202" s="295">
        <f t="shared" si="19"/>
        <v>-20</v>
      </c>
      <c r="L202" s="295"/>
      <c r="M202" s="297">
        <f t="shared" si="20"/>
        <v>0</v>
      </c>
      <c r="N202" s="276"/>
      <c r="O202" s="276"/>
      <c r="P202" s="276"/>
      <c r="Q202" s="276"/>
      <c r="R202" s="276"/>
    </row>
    <row r="203" spans="1:34" s="282" customFormat="1">
      <c r="A203" s="270">
        <f t="shared" si="21"/>
        <v>0</v>
      </c>
      <c r="B203" s="268" t="str">
        <f t="shared" si="18"/>
        <v/>
      </c>
      <c r="C203" s="269"/>
      <c r="D203" s="269"/>
      <c r="E203" s="269"/>
      <c r="F203" s="269"/>
      <c r="G203" s="260"/>
      <c r="H203" s="301">
        <v>198</v>
      </c>
      <c r="I203" s="302" t="str">
        <f t="shared" si="22"/>
        <v/>
      </c>
      <c r="J203" s="301">
        <f t="shared" si="23"/>
        <v>-2</v>
      </c>
      <c r="K203" s="301">
        <f t="shared" si="19"/>
        <v>-20</v>
      </c>
      <c r="L203" s="301"/>
      <c r="M203" s="303">
        <f t="shared" si="20"/>
        <v>0</v>
      </c>
      <c r="N203" s="276"/>
      <c r="O203" s="276"/>
      <c r="P203" s="276"/>
      <c r="Q203" s="276"/>
      <c r="R203" s="276"/>
    </row>
    <row r="204" spans="1:34" s="282" customFormat="1">
      <c r="A204" s="271">
        <f t="shared" si="21"/>
        <v>0</v>
      </c>
      <c r="B204" s="265" t="str">
        <f t="shared" si="18"/>
        <v/>
      </c>
      <c r="C204" s="266"/>
      <c r="D204" s="266"/>
      <c r="E204" s="266"/>
      <c r="F204" s="266"/>
      <c r="G204" s="260"/>
      <c r="H204" s="295">
        <v>199</v>
      </c>
      <c r="I204" s="296" t="str">
        <f t="shared" si="22"/>
        <v/>
      </c>
      <c r="J204" s="295">
        <f t="shared" si="23"/>
        <v>-2</v>
      </c>
      <c r="K204" s="295">
        <f t="shared" si="19"/>
        <v>-20</v>
      </c>
      <c r="L204" s="295"/>
      <c r="M204" s="297">
        <f t="shared" si="20"/>
        <v>0</v>
      </c>
      <c r="N204" s="276"/>
      <c r="O204" s="276"/>
      <c r="P204" s="276"/>
      <c r="Q204" s="276"/>
      <c r="R204" s="311"/>
      <c r="S204" s="312"/>
    </row>
    <row r="205" spans="1:34" s="282" customFormat="1">
      <c r="A205" s="270">
        <f t="shared" si="21"/>
        <v>0</v>
      </c>
      <c r="B205" s="268" t="str">
        <f t="shared" si="18"/>
        <v/>
      </c>
      <c r="C205" s="269"/>
      <c r="D205" s="269"/>
      <c r="E205" s="269"/>
      <c r="F205" s="269"/>
      <c r="G205" s="260"/>
      <c r="H205" s="301">
        <v>200</v>
      </c>
      <c r="I205" s="302" t="str">
        <f t="shared" si="22"/>
        <v/>
      </c>
      <c r="J205" s="301">
        <f t="shared" si="23"/>
        <v>-2</v>
      </c>
      <c r="K205" s="301">
        <f t="shared" si="19"/>
        <v>-20</v>
      </c>
      <c r="L205" s="301"/>
      <c r="M205" s="303">
        <f t="shared" si="20"/>
        <v>0</v>
      </c>
      <c r="N205" s="276"/>
      <c r="O205" s="276"/>
      <c r="P205" s="276"/>
      <c r="Q205" s="276"/>
      <c r="R205" s="276"/>
    </row>
    <row r="206" spans="1:34" s="282" customFormat="1">
      <c r="A206" s="271">
        <f t="shared" si="21"/>
        <v>0</v>
      </c>
      <c r="B206" s="265" t="str">
        <f t="shared" si="18"/>
        <v/>
      </c>
      <c r="C206" s="266"/>
      <c r="D206" s="266"/>
      <c r="E206" s="266"/>
      <c r="F206" s="266"/>
      <c r="G206" s="260"/>
      <c r="H206" s="295">
        <v>201</v>
      </c>
      <c r="I206" s="296" t="str">
        <f t="shared" si="22"/>
        <v/>
      </c>
      <c r="J206" s="295">
        <f t="shared" si="23"/>
        <v>-2</v>
      </c>
      <c r="K206" s="295">
        <f t="shared" si="19"/>
        <v>-20</v>
      </c>
      <c r="L206" s="295"/>
      <c r="M206" s="297">
        <f t="shared" si="20"/>
        <v>0</v>
      </c>
      <c r="N206" s="276"/>
      <c r="O206" s="276"/>
      <c r="P206" s="276"/>
      <c r="Q206" s="276"/>
      <c r="R206" s="276"/>
    </row>
    <row r="207" spans="1:34" s="282" customFormat="1">
      <c r="A207" s="270">
        <f t="shared" si="21"/>
        <v>0</v>
      </c>
      <c r="B207" s="268" t="str">
        <f t="shared" si="18"/>
        <v/>
      </c>
      <c r="C207" s="269"/>
      <c r="D207" s="269"/>
      <c r="E207" s="269"/>
      <c r="F207" s="269"/>
      <c r="G207" s="260"/>
      <c r="H207" s="301">
        <v>202</v>
      </c>
      <c r="I207" s="302" t="str">
        <f t="shared" si="22"/>
        <v/>
      </c>
      <c r="J207" s="301">
        <f t="shared" si="23"/>
        <v>-2</v>
      </c>
      <c r="K207" s="301">
        <f t="shared" si="19"/>
        <v>-20</v>
      </c>
      <c r="L207" s="301"/>
      <c r="M207" s="303">
        <f t="shared" si="20"/>
        <v>0</v>
      </c>
      <c r="N207" s="276"/>
      <c r="O207" s="276"/>
      <c r="P207" s="276"/>
      <c r="Q207" s="276"/>
      <c r="R207" s="276"/>
    </row>
    <row r="208" spans="1:34" s="282" customFormat="1">
      <c r="A208" s="271">
        <f t="shared" si="21"/>
        <v>0</v>
      </c>
      <c r="B208" s="265" t="str">
        <f t="shared" si="18"/>
        <v/>
      </c>
      <c r="C208" s="266"/>
      <c r="D208" s="266"/>
      <c r="E208" s="266"/>
      <c r="F208" s="266"/>
      <c r="G208" s="260"/>
      <c r="H208" s="295">
        <v>203</v>
      </c>
      <c r="I208" s="296" t="str">
        <f t="shared" si="22"/>
        <v/>
      </c>
      <c r="J208" s="295">
        <f t="shared" si="23"/>
        <v>-2</v>
      </c>
      <c r="K208" s="295">
        <f t="shared" si="19"/>
        <v>-20</v>
      </c>
      <c r="L208" s="295"/>
      <c r="M208" s="297">
        <f t="shared" si="20"/>
        <v>0</v>
      </c>
      <c r="N208" s="276"/>
      <c r="O208" s="276"/>
      <c r="P208" s="276"/>
      <c r="Q208" s="276"/>
      <c r="R208" s="311"/>
      <c r="S208" s="312"/>
    </row>
    <row r="209" spans="1:19" s="282" customFormat="1">
      <c r="A209" s="270">
        <f t="shared" si="21"/>
        <v>0</v>
      </c>
      <c r="B209" s="268" t="str">
        <f t="shared" si="18"/>
        <v/>
      </c>
      <c r="C209" s="269"/>
      <c r="D209" s="269"/>
      <c r="E209" s="269"/>
      <c r="F209" s="269"/>
      <c r="G209" s="276"/>
      <c r="H209" s="301">
        <v>204</v>
      </c>
      <c r="I209" s="302" t="str">
        <f t="shared" si="22"/>
        <v/>
      </c>
      <c r="J209" s="301">
        <f t="shared" si="23"/>
        <v>-2</v>
      </c>
      <c r="K209" s="301">
        <f t="shared" si="19"/>
        <v>-20</v>
      </c>
      <c r="L209" s="301"/>
      <c r="M209" s="303">
        <f t="shared" si="20"/>
        <v>0</v>
      </c>
      <c r="N209" s="276"/>
      <c r="O209" s="276"/>
      <c r="P209" s="276"/>
      <c r="Q209" s="276"/>
      <c r="R209" s="276"/>
    </row>
    <row r="210" spans="1:19" s="282" customFormat="1">
      <c r="A210" s="271">
        <f t="shared" si="21"/>
        <v>0</v>
      </c>
      <c r="B210" s="265" t="str">
        <f t="shared" si="18"/>
        <v/>
      </c>
      <c r="C210" s="266"/>
      <c r="D210" s="266"/>
      <c r="E210" s="266"/>
      <c r="F210" s="266"/>
      <c r="G210" s="276"/>
      <c r="H210" s="295">
        <v>205</v>
      </c>
      <c r="I210" s="296" t="str">
        <f t="shared" si="22"/>
        <v/>
      </c>
      <c r="J210" s="295">
        <f t="shared" si="23"/>
        <v>-2</v>
      </c>
      <c r="K210" s="295">
        <f t="shared" si="19"/>
        <v>-20</v>
      </c>
      <c r="L210" s="295"/>
      <c r="M210" s="297">
        <f t="shared" si="20"/>
        <v>0</v>
      </c>
      <c r="N210" s="276"/>
      <c r="O210" s="276"/>
      <c r="P210" s="276"/>
      <c r="Q210" s="276"/>
      <c r="R210" s="276"/>
    </row>
    <row r="211" spans="1:19" s="282" customFormat="1">
      <c r="A211" s="270">
        <f t="shared" si="21"/>
        <v>0</v>
      </c>
      <c r="B211" s="268" t="str">
        <f t="shared" si="18"/>
        <v/>
      </c>
      <c r="C211" s="269"/>
      <c r="D211" s="269"/>
      <c r="E211" s="269"/>
      <c r="F211" s="269"/>
      <c r="G211" s="276"/>
      <c r="H211" s="301">
        <v>206</v>
      </c>
      <c r="I211" s="302" t="str">
        <f t="shared" si="22"/>
        <v/>
      </c>
      <c r="J211" s="301">
        <f t="shared" si="23"/>
        <v>-2</v>
      </c>
      <c r="K211" s="301">
        <f t="shared" si="19"/>
        <v>-20</v>
      </c>
      <c r="L211" s="301"/>
      <c r="M211" s="303">
        <f t="shared" si="20"/>
        <v>0</v>
      </c>
      <c r="N211" s="276"/>
      <c r="O211" s="276"/>
      <c r="P211" s="276"/>
      <c r="Q211" s="276"/>
      <c r="R211" s="276"/>
    </row>
    <row r="212" spans="1:19" s="282" customFormat="1">
      <c r="A212" s="271">
        <f t="shared" si="21"/>
        <v>0</v>
      </c>
      <c r="B212" s="265" t="str">
        <f t="shared" si="18"/>
        <v/>
      </c>
      <c r="C212" s="266"/>
      <c r="D212" s="266"/>
      <c r="E212" s="266"/>
      <c r="F212" s="266"/>
      <c r="G212" s="276"/>
      <c r="H212" s="295">
        <v>207</v>
      </c>
      <c r="I212" s="296" t="str">
        <f t="shared" si="22"/>
        <v/>
      </c>
      <c r="J212" s="295">
        <f t="shared" si="23"/>
        <v>-2</v>
      </c>
      <c r="K212" s="295">
        <f t="shared" si="19"/>
        <v>-20</v>
      </c>
      <c r="L212" s="295"/>
      <c r="M212" s="297">
        <f t="shared" si="20"/>
        <v>0</v>
      </c>
      <c r="N212" s="276"/>
      <c r="O212" s="276"/>
      <c r="P212" s="276"/>
      <c r="Q212" s="276"/>
      <c r="R212" s="311"/>
      <c r="S212" s="312"/>
    </row>
    <row r="213" spans="1:19" s="282" customFormat="1">
      <c r="A213" s="270">
        <f t="shared" si="21"/>
        <v>0</v>
      </c>
      <c r="B213" s="268" t="str">
        <f t="shared" si="18"/>
        <v/>
      </c>
      <c r="C213" s="269"/>
      <c r="D213" s="269"/>
      <c r="E213" s="269"/>
      <c r="F213" s="269"/>
      <c r="G213" s="276"/>
      <c r="H213" s="301">
        <v>208</v>
      </c>
      <c r="I213" s="302" t="str">
        <f t="shared" si="22"/>
        <v/>
      </c>
      <c r="J213" s="301">
        <f t="shared" si="23"/>
        <v>-2</v>
      </c>
      <c r="K213" s="301">
        <f t="shared" si="19"/>
        <v>-20</v>
      </c>
      <c r="L213" s="301"/>
      <c r="M213" s="303">
        <f t="shared" si="20"/>
        <v>0</v>
      </c>
      <c r="N213" s="276"/>
      <c r="O213" s="276"/>
      <c r="P213" s="276"/>
      <c r="Q213" s="276"/>
      <c r="R213" s="276"/>
    </row>
    <row r="214" spans="1:19" s="282" customFormat="1">
      <c r="A214" s="271">
        <f t="shared" si="21"/>
        <v>0</v>
      </c>
      <c r="B214" s="265" t="str">
        <f t="shared" si="18"/>
        <v/>
      </c>
      <c r="C214" s="266"/>
      <c r="D214" s="266"/>
      <c r="E214" s="266"/>
      <c r="F214" s="266"/>
      <c r="G214" s="276"/>
      <c r="H214" s="295">
        <v>209</v>
      </c>
      <c r="I214" s="296" t="str">
        <f t="shared" si="22"/>
        <v/>
      </c>
      <c r="J214" s="295">
        <f t="shared" si="23"/>
        <v>-2</v>
      </c>
      <c r="K214" s="295">
        <f t="shared" si="19"/>
        <v>-20</v>
      </c>
      <c r="L214" s="295"/>
      <c r="M214" s="297">
        <f t="shared" si="20"/>
        <v>0</v>
      </c>
      <c r="N214" s="276"/>
      <c r="O214" s="276"/>
      <c r="P214" s="276"/>
      <c r="Q214" s="276"/>
      <c r="R214" s="276"/>
    </row>
    <row r="215" spans="1:19" s="282" customFormat="1">
      <c r="A215" s="270">
        <f t="shared" si="21"/>
        <v>0</v>
      </c>
      <c r="B215" s="268" t="str">
        <f t="shared" si="18"/>
        <v/>
      </c>
      <c r="C215" s="269"/>
      <c r="D215" s="269"/>
      <c r="E215" s="269"/>
      <c r="F215" s="269"/>
      <c r="G215" s="276"/>
      <c r="H215" s="301">
        <v>210</v>
      </c>
      <c r="I215" s="302" t="str">
        <f t="shared" si="22"/>
        <v/>
      </c>
      <c r="J215" s="301">
        <f t="shared" si="23"/>
        <v>-2</v>
      </c>
      <c r="K215" s="301">
        <f t="shared" si="19"/>
        <v>-20</v>
      </c>
      <c r="L215" s="301"/>
      <c r="M215" s="303">
        <f t="shared" si="20"/>
        <v>0</v>
      </c>
      <c r="N215" s="276"/>
      <c r="O215" s="276"/>
      <c r="P215" s="276"/>
      <c r="Q215" s="276"/>
      <c r="R215" s="276"/>
    </row>
    <row r="216" spans="1:19" s="282" customFormat="1">
      <c r="A216" s="271">
        <f t="shared" si="21"/>
        <v>0</v>
      </c>
      <c r="B216" s="265" t="str">
        <f t="shared" si="18"/>
        <v/>
      </c>
      <c r="C216" s="266"/>
      <c r="D216" s="266"/>
      <c r="E216" s="266"/>
      <c r="F216" s="266"/>
      <c r="G216" s="276"/>
      <c r="H216" s="295">
        <v>211</v>
      </c>
      <c r="I216" s="296" t="str">
        <f t="shared" si="22"/>
        <v/>
      </c>
      <c r="J216" s="295">
        <f t="shared" si="23"/>
        <v>-2</v>
      </c>
      <c r="K216" s="295">
        <f t="shared" si="19"/>
        <v>-20</v>
      </c>
      <c r="L216" s="295"/>
      <c r="M216" s="297">
        <f t="shared" si="20"/>
        <v>0</v>
      </c>
      <c r="N216" s="276"/>
      <c r="O216" s="276"/>
      <c r="P216" s="276"/>
      <c r="Q216" s="276"/>
      <c r="R216" s="311"/>
      <c r="S216" s="312"/>
    </row>
    <row r="217" spans="1:19" s="282" customFormat="1">
      <c r="A217" s="270">
        <f t="shared" si="21"/>
        <v>0</v>
      </c>
      <c r="B217" s="268" t="str">
        <f t="shared" si="18"/>
        <v/>
      </c>
      <c r="C217" s="269"/>
      <c r="D217" s="269"/>
      <c r="E217" s="269"/>
      <c r="F217" s="269"/>
      <c r="G217" s="276"/>
      <c r="H217" s="301">
        <v>212</v>
      </c>
      <c r="I217" s="302" t="str">
        <f t="shared" si="22"/>
        <v/>
      </c>
      <c r="J217" s="301">
        <f t="shared" si="23"/>
        <v>-2</v>
      </c>
      <c r="K217" s="301">
        <f t="shared" si="19"/>
        <v>-20</v>
      </c>
      <c r="L217" s="301"/>
      <c r="M217" s="303">
        <f t="shared" si="20"/>
        <v>0</v>
      </c>
      <c r="N217" s="276"/>
      <c r="O217" s="276"/>
      <c r="P217" s="276"/>
      <c r="Q217" s="276"/>
      <c r="R217" s="276"/>
    </row>
    <row r="218" spans="1:19" s="282" customFormat="1">
      <c r="A218" s="271">
        <f t="shared" si="21"/>
        <v>0</v>
      </c>
      <c r="B218" s="265" t="str">
        <f t="shared" si="18"/>
        <v/>
      </c>
      <c r="C218" s="266"/>
      <c r="D218" s="266"/>
      <c r="E218" s="266"/>
      <c r="F218" s="266"/>
      <c r="G218" s="276"/>
      <c r="H218" s="295">
        <v>213</v>
      </c>
      <c r="I218" s="296" t="str">
        <f t="shared" si="22"/>
        <v/>
      </c>
      <c r="J218" s="295">
        <f t="shared" si="23"/>
        <v>-2</v>
      </c>
      <c r="K218" s="295">
        <f t="shared" si="19"/>
        <v>-20</v>
      </c>
      <c r="L218" s="295"/>
      <c r="M218" s="297">
        <f t="shared" si="20"/>
        <v>0</v>
      </c>
      <c r="N218" s="276"/>
      <c r="O218" s="276"/>
      <c r="P218" s="276"/>
      <c r="Q218" s="276"/>
      <c r="R218" s="276"/>
    </row>
    <row r="219" spans="1:19" s="282" customFormat="1">
      <c r="A219" s="270">
        <f t="shared" si="21"/>
        <v>0</v>
      </c>
      <c r="B219" s="268" t="str">
        <f t="shared" si="18"/>
        <v/>
      </c>
      <c r="C219" s="269"/>
      <c r="D219" s="269"/>
      <c r="E219" s="269"/>
      <c r="F219" s="269"/>
      <c r="G219" s="276"/>
      <c r="H219" s="301">
        <v>214</v>
      </c>
      <c r="I219" s="302" t="str">
        <f t="shared" si="22"/>
        <v/>
      </c>
      <c r="J219" s="301">
        <f t="shared" si="23"/>
        <v>-2</v>
      </c>
      <c r="K219" s="301">
        <f t="shared" si="19"/>
        <v>-20</v>
      </c>
      <c r="L219" s="301"/>
      <c r="M219" s="303">
        <f t="shared" si="20"/>
        <v>0</v>
      </c>
      <c r="N219" s="276"/>
      <c r="O219" s="276"/>
      <c r="P219" s="276"/>
      <c r="Q219" s="276"/>
      <c r="R219" s="276"/>
    </row>
    <row r="220" spans="1:19" s="282" customFormat="1">
      <c r="A220" s="271">
        <f t="shared" si="21"/>
        <v>0</v>
      </c>
      <c r="B220" s="265" t="str">
        <f t="shared" si="18"/>
        <v/>
      </c>
      <c r="C220" s="266"/>
      <c r="D220" s="266"/>
      <c r="E220" s="266"/>
      <c r="F220" s="266"/>
      <c r="G220" s="276"/>
      <c r="H220" s="295">
        <v>215</v>
      </c>
      <c r="I220" s="296" t="str">
        <f t="shared" si="22"/>
        <v/>
      </c>
      <c r="J220" s="295">
        <f t="shared" si="23"/>
        <v>-2</v>
      </c>
      <c r="K220" s="295">
        <f t="shared" si="19"/>
        <v>-20</v>
      </c>
      <c r="L220" s="295"/>
      <c r="M220" s="297">
        <f t="shared" si="20"/>
        <v>0</v>
      </c>
      <c r="N220" s="276"/>
      <c r="O220" s="276"/>
      <c r="P220" s="276"/>
      <c r="Q220" s="276"/>
      <c r="R220" s="276"/>
    </row>
    <row r="221" spans="1:19" s="282" customFormat="1">
      <c r="A221" s="270">
        <f t="shared" si="21"/>
        <v>0</v>
      </c>
      <c r="B221" s="268" t="str">
        <f t="shared" si="18"/>
        <v/>
      </c>
      <c r="C221" s="269"/>
      <c r="D221" s="269"/>
      <c r="E221" s="269"/>
      <c r="F221" s="269"/>
      <c r="G221" s="276"/>
      <c r="H221" s="301">
        <v>216</v>
      </c>
      <c r="I221" s="302" t="str">
        <f t="shared" si="22"/>
        <v/>
      </c>
      <c r="J221" s="301">
        <f t="shared" si="23"/>
        <v>-2</v>
      </c>
      <c r="K221" s="301">
        <f t="shared" si="19"/>
        <v>-20</v>
      </c>
      <c r="L221" s="301"/>
      <c r="M221" s="303">
        <f t="shared" si="20"/>
        <v>0</v>
      </c>
      <c r="N221" s="276"/>
      <c r="O221" s="276"/>
      <c r="P221" s="276"/>
      <c r="Q221" s="276"/>
      <c r="R221" s="276"/>
      <c r="S221" s="313"/>
    </row>
    <row r="222" spans="1:19" s="282" customFormat="1">
      <c r="A222" s="271">
        <f t="shared" si="21"/>
        <v>0</v>
      </c>
      <c r="B222" s="265" t="str">
        <f t="shared" si="18"/>
        <v/>
      </c>
      <c r="C222" s="266"/>
      <c r="D222" s="266"/>
      <c r="E222" s="266"/>
      <c r="F222" s="266"/>
      <c r="G222" s="276"/>
      <c r="H222" s="295">
        <v>217</v>
      </c>
      <c r="I222" s="296" t="str">
        <f t="shared" si="22"/>
        <v/>
      </c>
      <c r="J222" s="295">
        <f t="shared" si="23"/>
        <v>-2</v>
      </c>
      <c r="K222" s="295">
        <f t="shared" si="19"/>
        <v>-20</v>
      </c>
      <c r="L222" s="295"/>
      <c r="M222" s="297">
        <f t="shared" si="20"/>
        <v>0</v>
      </c>
      <c r="N222" s="276"/>
      <c r="O222" s="276"/>
      <c r="P222" s="276"/>
      <c r="Q222" s="276"/>
      <c r="R222" s="276"/>
    </row>
    <row r="223" spans="1:19" s="282" customFormat="1">
      <c r="A223" s="270">
        <f t="shared" si="21"/>
        <v>0</v>
      </c>
      <c r="B223" s="268" t="str">
        <f t="shared" si="18"/>
        <v/>
      </c>
      <c r="C223" s="269"/>
      <c r="D223" s="269"/>
      <c r="E223" s="269"/>
      <c r="F223" s="269"/>
      <c r="G223" s="276"/>
      <c r="H223" s="301">
        <v>218</v>
      </c>
      <c r="I223" s="302" t="str">
        <f t="shared" si="22"/>
        <v/>
      </c>
      <c r="J223" s="301">
        <f t="shared" si="23"/>
        <v>-2</v>
      </c>
      <c r="K223" s="301">
        <f t="shared" si="19"/>
        <v>-20</v>
      </c>
      <c r="L223" s="301"/>
      <c r="M223" s="303">
        <f t="shared" si="20"/>
        <v>0</v>
      </c>
      <c r="N223" s="276"/>
      <c r="O223" s="276"/>
      <c r="P223" s="276"/>
      <c r="Q223" s="276"/>
      <c r="R223" s="276"/>
    </row>
    <row r="224" spans="1:19" s="282" customFormat="1">
      <c r="A224" s="271">
        <f t="shared" si="21"/>
        <v>0</v>
      </c>
      <c r="B224" s="265" t="str">
        <f t="shared" si="18"/>
        <v/>
      </c>
      <c r="C224" s="266"/>
      <c r="D224" s="266"/>
      <c r="E224" s="266"/>
      <c r="F224" s="266"/>
      <c r="G224" s="276"/>
      <c r="H224" s="295">
        <v>219</v>
      </c>
      <c r="I224" s="296" t="str">
        <f t="shared" si="22"/>
        <v/>
      </c>
      <c r="J224" s="295">
        <f t="shared" si="23"/>
        <v>-2</v>
      </c>
      <c r="K224" s="295">
        <f t="shared" si="19"/>
        <v>-20</v>
      </c>
      <c r="L224" s="295"/>
      <c r="M224" s="297">
        <f t="shared" si="20"/>
        <v>0</v>
      </c>
      <c r="N224" s="276"/>
      <c r="O224" s="276"/>
      <c r="P224" s="276"/>
      <c r="Q224" s="276"/>
      <c r="R224" s="276"/>
    </row>
    <row r="225" spans="1:38" s="282" customFormat="1">
      <c r="A225" s="270">
        <f t="shared" si="21"/>
        <v>0</v>
      </c>
      <c r="B225" s="268" t="str">
        <f t="shared" si="18"/>
        <v/>
      </c>
      <c r="C225" s="269"/>
      <c r="D225" s="269"/>
      <c r="E225" s="269"/>
      <c r="F225" s="269"/>
      <c r="G225" s="276"/>
      <c r="H225" s="301">
        <v>220</v>
      </c>
      <c r="I225" s="302" t="str">
        <f t="shared" si="22"/>
        <v/>
      </c>
      <c r="J225" s="301">
        <f t="shared" si="23"/>
        <v>-2</v>
      </c>
      <c r="K225" s="301">
        <f t="shared" si="19"/>
        <v>-20</v>
      </c>
      <c r="L225" s="301"/>
      <c r="M225" s="303">
        <f t="shared" si="20"/>
        <v>0</v>
      </c>
      <c r="N225" s="276"/>
      <c r="O225" s="276"/>
      <c r="P225" s="276"/>
      <c r="Q225" s="276"/>
      <c r="R225" s="276"/>
    </row>
    <row r="226" spans="1:38" s="282" customFormat="1">
      <c r="A226" s="271">
        <f t="shared" si="21"/>
        <v>0</v>
      </c>
      <c r="B226" s="265" t="str">
        <f t="shared" si="18"/>
        <v/>
      </c>
      <c r="C226" s="266"/>
      <c r="D226" s="266"/>
      <c r="E226" s="266"/>
      <c r="F226" s="266"/>
      <c r="G226" s="276"/>
      <c r="H226" s="295">
        <v>221</v>
      </c>
      <c r="I226" s="296" t="str">
        <f t="shared" si="22"/>
        <v/>
      </c>
      <c r="J226" s="295">
        <f t="shared" si="23"/>
        <v>-2</v>
      </c>
      <c r="K226" s="295">
        <f t="shared" si="19"/>
        <v>-20</v>
      </c>
      <c r="L226" s="295"/>
      <c r="M226" s="297">
        <f t="shared" si="20"/>
        <v>0</v>
      </c>
      <c r="N226" s="276"/>
      <c r="O226" s="276"/>
      <c r="P226" s="276"/>
      <c r="Q226" s="276"/>
      <c r="R226" s="276"/>
    </row>
    <row r="227" spans="1:38" s="282" customFormat="1">
      <c r="A227" s="270">
        <f t="shared" si="21"/>
        <v>0</v>
      </c>
      <c r="B227" s="268" t="str">
        <f t="shared" si="18"/>
        <v/>
      </c>
      <c r="C227" s="269"/>
      <c r="D227" s="269"/>
      <c r="E227" s="269"/>
      <c r="F227" s="269"/>
      <c r="G227" s="276"/>
      <c r="H227" s="301">
        <v>222</v>
      </c>
      <c r="I227" s="302" t="str">
        <f t="shared" si="22"/>
        <v/>
      </c>
      <c r="J227" s="301">
        <f t="shared" si="23"/>
        <v>-2</v>
      </c>
      <c r="K227" s="301">
        <f t="shared" si="19"/>
        <v>-20</v>
      </c>
      <c r="L227" s="301"/>
      <c r="M227" s="303">
        <f t="shared" si="20"/>
        <v>0</v>
      </c>
      <c r="N227" s="276"/>
      <c r="O227" s="276"/>
      <c r="P227" s="276"/>
      <c r="Q227" s="276"/>
      <c r="R227" s="276"/>
    </row>
    <row r="228" spans="1:38" s="282" customFormat="1">
      <c r="A228" s="271">
        <f t="shared" si="21"/>
        <v>0</v>
      </c>
      <c r="B228" s="265" t="str">
        <f t="shared" si="18"/>
        <v/>
      </c>
      <c r="C228" s="266"/>
      <c r="D228" s="266"/>
      <c r="E228" s="266"/>
      <c r="F228" s="266"/>
      <c r="G228" s="276"/>
      <c r="H228" s="295">
        <v>223</v>
      </c>
      <c r="I228" s="296" t="str">
        <f t="shared" si="22"/>
        <v/>
      </c>
      <c r="J228" s="295">
        <f t="shared" si="23"/>
        <v>-2</v>
      </c>
      <c r="K228" s="295">
        <f t="shared" si="19"/>
        <v>-20</v>
      </c>
      <c r="L228" s="295"/>
      <c r="M228" s="297">
        <f t="shared" si="20"/>
        <v>0</v>
      </c>
      <c r="N228" s="276"/>
      <c r="O228" s="276"/>
      <c r="P228" s="276"/>
      <c r="Q228" s="276"/>
      <c r="R228" s="276"/>
    </row>
    <row r="229" spans="1:38" s="276" customFormat="1">
      <c r="A229" s="270">
        <f t="shared" si="21"/>
        <v>0</v>
      </c>
      <c r="B229" s="268" t="str">
        <f t="shared" si="18"/>
        <v/>
      </c>
      <c r="C229" s="269"/>
      <c r="D229" s="269"/>
      <c r="E229" s="269"/>
      <c r="F229" s="269"/>
      <c r="H229" s="301">
        <v>224</v>
      </c>
      <c r="I229" s="302" t="str">
        <f t="shared" si="22"/>
        <v/>
      </c>
      <c r="J229" s="301">
        <f t="shared" si="23"/>
        <v>-2</v>
      </c>
      <c r="K229" s="301">
        <f t="shared" si="19"/>
        <v>-20</v>
      </c>
      <c r="L229" s="301"/>
      <c r="M229" s="303">
        <f t="shared" si="20"/>
        <v>0</v>
      </c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</row>
    <row r="230" spans="1:38" s="276" customFormat="1">
      <c r="A230" s="271">
        <f t="shared" si="21"/>
        <v>0</v>
      </c>
      <c r="B230" s="265" t="str">
        <f t="shared" si="18"/>
        <v/>
      </c>
      <c r="C230" s="266"/>
      <c r="D230" s="266"/>
      <c r="E230" s="266"/>
      <c r="F230" s="266"/>
      <c r="H230" s="295">
        <v>225</v>
      </c>
      <c r="I230" s="296" t="str">
        <f t="shared" si="22"/>
        <v/>
      </c>
      <c r="J230" s="295">
        <f t="shared" si="23"/>
        <v>-2</v>
      </c>
      <c r="K230" s="295">
        <f t="shared" si="19"/>
        <v>-20</v>
      </c>
      <c r="L230" s="295"/>
      <c r="M230" s="297">
        <f t="shared" si="20"/>
        <v>0</v>
      </c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</row>
    <row r="231" spans="1:38" s="276" customFormat="1">
      <c r="A231" s="270">
        <f t="shared" si="21"/>
        <v>0</v>
      </c>
      <c r="B231" s="268" t="str">
        <f t="shared" si="18"/>
        <v/>
      </c>
      <c r="C231" s="269"/>
      <c r="D231" s="269"/>
      <c r="E231" s="269"/>
      <c r="F231" s="269"/>
      <c r="H231" s="301">
        <v>226</v>
      </c>
      <c r="I231" s="302" t="str">
        <f t="shared" si="22"/>
        <v/>
      </c>
      <c r="J231" s="301">
        <f t="shared" si="23"/>
        <v>-2</v>
      </c>
      <c r="K231" s="301">
        <f t="shared" si="19"/>
        <v>-20</v>
      </c>
      <c r="L231" s="301"/>
      <c r="M231" s="303">
        <f t="shared" si="20"/>
        <v>0</v>
      </c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</row>
    <row r="232" spans="1:38" s="276" customFormat="1">
      <c r="A232" s="271">
        <f t="shared" si="21"/>
        <v>0</v>
      </c>
      <c r="B232" s="265" t="str">
        <f t="shared" si="18"/>
        <v/>
      </c>
      <c r="C232" s="266"/>
      <c r="D232" s="266"/>
      <c r="E232" s="266"/>
      <c r="F232" s="266"/>
      <c r="H232" s="295">
        <v>227</v>
      </c>
      <c r="I232" s="296" t="str">
        <f t="shared" si="22"/>
        <v/>
      </c>
      <c r="J232" s="295">
        <f t="shared" si="23"/>
        <v>-2</v>
      </c>
      <c r="K232" s="295">
        <f t="shared" si="19"/>
        <v>-20</v>
      </c>
      <c r="L232" s="295"/>
      <c r="M232" s="297">
        <f t="shared" si="20"/>
        <v>0</v>
      </c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</row>
    <row r="233" spans="1:38" s="276" customFormat="1">
      <c r="A233" s="270">
        <f t="shared" si="21"/>
        <v>0</v>
      </c>
      <c r="B233" s="268" t="str">
        <f t="shared" si="18"/>
        <v/>
      </c>
      <c r="C233" s="269"/>
      <c r="D233" s="269"/>
      <c r="E233" s="269"/>
      <c r="F233" s="269"/>
      <c r="H233" s="301">
        <v>228</v>
      </c>
      <c r="I233" s="302" t="str">
        <f t="shared" si="22"/>
        <v/>
      </c>
      <c r="J233" s="301">
        <f t="shared" si="23"/>
        <v>-2</v>
      </c>
      <c r="K233" s="301">
        <f t="shared" si="19"/>
        <v>-20</v>
      </c>
      <c r="L233" s="301"/>
      <c r="M233" s="303">
        <f t="shared" si="20"/>
        <v>0</v>
      </c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</row>
    <row r="234" spans="1:38" s="276" customFormat="1">
      <c r="A234" s="271">
        <f t="shared" si="21"/>
        <v>0</v>
      </c>
      <c r="B234" s="265" t="str">
        <f t="shared" si="18"/>
        <v/>
      </c>
      <c r="C234" s="266"/>
      <c r="D234" s="266"/>
      <c r="E234" s="266"/>
      <c r="F234" s="266"/>
      <c r="H234" s="295">
        <v>229</v>
      </c>
      <c r="I234" s="296" t="str">
        <f t="shared" si="22"/>
        <v/>
      </c>
      <c r="J234" s="295">
        <f t="shared" si="23"/>
        <v>-2</v>
      </c>
      <c r="K234" s="295">
        <f t="shared" si="19"/>
        <v>-20</v>
      </c>
      <c r="L234" s="295"/>
      <c r="M234" s="297">
        <f t="shared" si="20"/>
        <v>0</v>
      </c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</row>
    <row r="235" spans="1:38" s="276" customFormat="1">
      <c r="A235" s="270">
        <f t="shared" si="21"/>
        <v>0</v>
      </c>
      <c r="B235" s="268" t="str">
        <f t="shared" si="18"/>
        <v/>
      </c>
      <c r="C235" s="269"/>
      <c r="D235" s="269"/>
      <c r="E235" s="269"/>
      <c r="F235" s="269"/>
      <c r="H235" s="301">
        <v>230</v>
      </c>
      <c r="I235" s="302" t="str">
        <f t="shared" si="22"/>
        <v/>
      </c>
      <c r="J235" s="301">
        <f t="shared" si="23"/>
        <v>-2</v>
      </c>
      <c r="K235" s="301">
        <f t="shared" si="19"/>
        <v>-20</v>
      </c>
      <c r="L235" s="301"/>
      <c r="M235" s="303">
        <f t="shared" si="20"/>
        <v>0</v>
      </c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</row>
    <row r="236" spans="1:38" s="276" customFormat="1">
      <c r="A236" s="271">
        <f t="shared" si="21"/>
        <v>0</v>
      </c>
      <c r="B236" s="265" t="str">
        <f t="shared" si="18"/>
        <v/>
      </c>
      <c r="C236" s="266"/>
      <c r="D236" s="266"/>
      <c r="E236" s="266"/>
      <c r="F236" s="266"/>
      <c r="H236" s="295">
        <v>231</v>
      </c>
      <c r="I236" s="296" t="str">
        <f t="shared" si="22"/>
        <v/>
      </c>
      <c r="J236" s="295">
        <f t="shared" si="23"/>
        <v>-2</v>
      </c>
      <c r="K236" s="295">
        <f t="shared" si="19"/>
        <v>-20</v>
      </c>
      <c r="L236" s="295"/>
      <c r="M236" s="297">
        <f t="shared" si="20"/>
        <v>0</v>
      </c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</row>
    <row r="237" spans="1:38" s="276" customFormat="1">
      <c r="A237" s="270">
        <f t="shared" si="21"/>
        <v>0</v>
      </c>
      <c r="B237" s="268" t="str">
        <f t="shared" si="18"/>
        <v/>
      </c>
      <c r="C237" s="269"/>
      <c r="D237" s="269"/>
      <c r="E237" s="269"/>
      <c r="F237" s="269"/>
      <c r="H237" s="301">
        <v>232</v>
      </c>
      <c r="I237" s="302" t="str">
        <f t="shared" si="22"/>
        <v/>
      </c>
      <c r="J237" s="301">
        <f t="shared" si="23"/>
        <v>-2</v>
      </c>
      <c r="K237" s="301">
        <f t="shared" si="19"/>
        <v>-20</v>
      </c>
      <c r="L237" s="301"/>
      <c r="M237" s="303">
        <f t="shared" si="20"/>
        <v>0</v>
      </c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</row>
    <row r="238" spans="1:38" s="276" customFormat="1">
      <c r="A238" s="271">
        <f t="shared" si="21"/>
        <v>0</v>
      </c>
      <c r="B238" s="265" t="str">
        <f t="shared" si="18"/>
        <v/>
      </c>
      <c r="C238" s="266"/>
      <c r="D238" s="266"/>
      <c r="E238" s="266"/>
      <c r="F238" s="266"/>
      <c r="H238" s="295">
        <v>233</v>
      </c>
      <c r="I238" s="296" t="str">
        <f t="shared" si="22"/>
        <v/>
      </c>
      <c r="J238" s="295">
        <f t="shared" si="23"/>
        <v>-2</v>
      </c>
      <c r="K238" s="295">
        <f t="shared" si="19"/>
        <v>-20</v>
      </c>
      <c r="L238" s="295"/>
      <c r="M238" s="297">
        <f t="shared" si="20"/>
        <v>0</v>
      </c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</row>
    <row r="239" spans="1:38" s="276" customFormat="1">
      <c r="A239" s="270">
        <f t="shared" si="21"/>
        <v>0</v>
      </c>
      <c r="B239" s="268" t="str">
        <f t="shared" si="18"/>
        <v/>
      </c>
      <c r="C239" s="269"/>
      <c r="D239" s="269"/>
      <c r="E239" s="269"/>
      <c r="F239" s="269"/>
      <c r="H239" s="301">
        <v>234</v>
      </c>
      <c r="I239" s="302" t="str">
        <f t="shared" si="22"/>
        <v/>
      </c>
      <c r="J239" s="301">
        <f t="shared" si="23"/>
        <v>-2</v>
      </c>
      <c r="K239" s="301">
        <f t="shared" si="19"/>
        <v>-20</v>
      </c>
      <c r="L239" s="301"/>
      <c r="M239" s="303">
        <f t="shared" si="20"/>
        <v>0</v>
      </c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</row>
    <row r="240" spans="1:38" s="276" customFormat="1">
      <c r="A240" s="271">
        <f t="shared" si="21"/>
        <v>0</v>
      </c>
      <c r="B240" s="265" t="str">
        <f t="shared" si="18"/>
        <v/>
      </c>
      <c r="C240" s="266"/>
      <c r="D240" s="266"/>
      <c r="E240" s="266"/>
      <c r="F240" s="266"/>
      <c r="H240" s="295">
        <v>235</v>
      </c>
      <c r="I240" s="296" t="str">
        <f t="shared" si="22"/>
        <v/>
      </c>
      <c r="J240" s="295">
        <f t="shared" si="23"/>
        <v>-2</v>
      </c>
      <c r="K240" s="295">
        <f t="shared" si="19"/>
        <v>-20</v>
      </c>
      <c r="L240" s="295"/>
      <c r="M240" s="297">
        <f t="shared" si="20"/>
        <v>0</v>
      </c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</row>
    <row r="241" spans="1:38" s="276" customFormat="1">
      <c r="A241" s="270">
        <f t="shared" si="21"/>
        <v>0</v>
      </c>
      <c r="B241" s="268" t="str">
        <f t="shared" si="18"/>
        <v/>
      </c>
      <c r="C241" s="269"/>
      <c r="D241" s="269"/>
      <c r="E241" s="269"/>
      <c r="F241" s="269"/>
      <c r="H241" s="301">
        <v>236</v>
      </c>
      <c r="I241" s="302" t="str">
        <f t="shared" si="22"/>
        <v/>
      </c>
      <c r="J241" s="301">
        <f t="shared" si="23"/>
        <v>-2</v>
      </c>
      <c r="K241" s="301">
        <f t="shared" si="19"/>
        <v>-20</v>
      </c>
      <c r="L241" s="301"/>
      <c r="M241" s="303">
        <f t="shared" si="20"/>
        <v>0</v>
      </c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  <c r="AC241" s="282"/>
      <c r="AD241" s="282"/>
      <c r="AE241" s="282"/>
      <c r="AF241" s="282"/>
      <c r="AG241" s="282"/>
      <c r="AH241" s="282"/>
      <c r="AI241" s="282"/>
      <c r="AJ241" s="282"/>
      <c r="AK241" s="282"/>
      <c r="AL241" s="282"/>
    </row>
    <row r="242" spans="1:38" s="276" customFormat="1">
      <c r="A242" s="271">
        <f t="shared" si="21"/>
        <v>0</v>
      </c>
      <c r="B242" s="265" t="str">
        <f t="shared" si="18"/>
        <v/>
      </c>
      <c r="C242" s="266"/>
      <c r="D242" s="266"/>
      <c r="E242" s="266"/>
      <c r="F242" s="266"/>
      <c r="H242" s="295">
        <v>237</v>
      </c>
      <c r="I242" s="296" t="str">
        <f t="shared" si="22"/>
        <v/>
      </c>
      <c r="J242" s="295">
        <f t="shared" si="23"/>
        <v>-2</v>
      </c>
      <c r="K242" s="295">
        <f t="shared" si="19"/>
        <v>-20</v>
      </c>
      <c r="L242" s="295"/>
      <c r="M242" s="297">
        <f t="shared" si="20"/>
        <v>0</v>
      </c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  <c r="AC242" s="282"/>
      <c r="AD242" s="282"/>
      <c r="AE242" s="282"/>
      <c r="AF242" s="282"/>
      <c r="AG242" s="282"/>
      <c r="AH242" s="282"/>
      <c r="AI242" s="282"/>
      <c r="AJ242" s="282"/>
      <c r="AK242" s="282"/>
      <c r="AL242" s="282"/>
    </row>
    <row r="243" spans="1:38" s="276" customFormat="1">
      <c r="A243" s="270">
        <f t="shared" si="21"/>
        <v>0</v>
      </c>
      <c r="B243" s="268" t="str">
        <f t="shared" si="18"/>
        <v/>
      </c>
      <c r="C243" s="269"/>
      <c r="D243" s="269"/>
      <c r="E243" s="269"/>
      <c r="F243" s="269"/>
      <c r="H243" s="301">
        <v>238</v>
      </c>
      <c r="I243" s="302" t="str">
        <f t="shared" si="22"/>
        <v/>
      </c>
      <c r="J243" s="301">
        <f t="shared" si="23"/>
        <v>-2</v>
      </c>
      <c r="K243" s="301">
        <f t="shared" si="19"/>
        <v>-20</v>
      </c>
      <c r="L243" s="301"/>
      <c r="M243" s="303">
        <f t="shared" si="20"/>
        <v>0</v>
      </c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  <c r="AC243" s="282"/>
      <c r="AD243" s="282"/>
      <c r="AE243" s="282"/>
      <c r="AF243" s="282"/>
      <c r="AG243" s="282"/>
      <c r="AH243" s="282"/>
      <c r="AI243" s="282"/>
      <c r="AJ243" s="282"/>
      <c r="AK243" s="282"/>
      <c r="AL243" s="282"/>
    </row>
    <row r="244" spans="1:38" s="276" customFormat="1">
      <c r="A244" s="271">
        <f t="shared" si="21"/>
        <v>0</v>
      </c>
      <c r="B244" s="265" t="str">
        <f t="shared" si="18"/>
        <v/>
      </c>
      <c r="C244" s="266"/>
      <c r="D244" s="266"/>
      <c r="E244" s="266"/>
      <c r="F244" s="266"/>
      <c r="H244" s="295">
        <v>239</v>
      </c>
      <c r="I244" s="296" t="str">
        <f t="shared" si="22"/>
        <v/>
      </c>
      <c r="J244" s="295">
        <f t="shared" si="23"/>
        <v>-2</v>
      </c>
      <c r="K244" s="295">
        <f t="shared" si="19"/>
        <v>-20</v>
      </c>
      <c r="L244" s="295"/>
      <c r="M244" s="297">
        <f t="shared" si="20"/>
        <v>0</v>
      </c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  <c r="AC244" s="282"/>
      <c r="AD244" s="282"/>
      <c r="AE244" s="282"/>
      <c r="AF244" s="282"/>
      <c r="AG244" s="282"/>
      <c r="AH244" s="282"/>
      <c r="AI244" s="282"/>
      <c r="AJ244" s="282"/>
      <c r="AK244" s="282"/>
      <c r="AL244" s="282"/>
    </row>
    <row r="245" spans="1:38" s="276" customFormat="1">
      <c r="A245" s="270">
        <f t="shared" si="21"/>
        <v>0</v>
      </c>
      <c r="B245" s="268" t="str">
        <f t="shared" si="18"/>
        <v/>
      </c>
      <c r="C245" s="269"/>
      <c r="D245" s="269"/>
      <c r="E245" s="269"/>
      <c r="F245" s="269"/>
      <c r="H245" s="301">
        <v>240</v>
      </c>
      <c r="I245" s="302" t="str">
        <f t="shared" si="22"/>
        <v/>
      </c>
      <c r="J245" s="301">
        <f t="shared" si="23"/>
        <v>-2</v>
      </c>
      <c r="K245" s="301">
        <f t="shared" si="19"/>
        <v>-20</v>
      </c>
      <c r="L245" s="301"/>
      <c r="M245" s="303">
        <f t="shared" si="20"/>
        <v>0</v>
      </c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  <c r="AC245" s="282"/>
      <c r="AD245" s="282"/>
      <c r="AE245" s="282"/>
      <c r="AF245" s="282"/>
      <c r="AG245" s="282"/>
      <c r="AH245" s="282"/>
      <c r="AI245" s="282"/>
      <c r="AJ245" s="282"/>
      <c r="AK245" s="282"/>
      <c r="AL245" s="282"/>
    </row>
    <row r="246" spans="1:38" s="282" customFormat="1">
      <c r="A246" s="271">
        <f t="shared" si="21"/>
        <v>0</v>
      </c>
      <c r="B246" s="265" t="str">
        <f t="shared" si="18"/>
        <v/>
      </c>
      <c r="C246" s="266"/>
      <c r="D246" s="266"/>
      <c r="E246" s="266"/>
      <c r="F246" s="266"/>
      <c r="G246" s="276"/>
      <c r="H246" s="295">
        <v>241</v>
      </c>
      <c r="I246" s="296" t="str">
        <f t="shared" si="22"/>
        <v/>
      </c>
      <c r="J246" s="295">
        <f t="shared" si="23"/>
        <v>-2</v>
      </c>
      <c r="K246" s="295">
        <f t="shared" si="19"/>
        <v>-20</v>
      </c>
      <c r="L246" s="295"/>
      <c r="M246" s="297">
        <f t="shared" si="20"/>
        <v>0</v>
      </c>
      <c r="N246" s="276"/>
      <c r="O246" s="276"/>
      <c r="P246" s="276"/>
      <c r="Q246" s="276"/>
      <c r="R246" s="276"/>
    </row>
    <row r="247" spans="1:38" s="282" customFormat="1">
      <c r="A247" s="270">
        <f t="shared" si="21"/>
        <v>0</v>
      </c>
      <c r="B247" s="268" t="str">
        <f t="shared" si="18"/>
        <v/>
      </c>
      <c r="C247" s="269"/>
      <c r="D247" s="269"/>
      <c r="E247" s="269"/>
      <c r="F247" s="269"/>
      <c r="G247" s="276"/>
      <c r="H247" s="301">
        <v>242</v>
      </c>
      <c r="I247" s="302" t="str">
        <f t="shared" si="22"/>
        <v/>
      </c>
      <c r="J247" s="301">
        <f t="shared" si="23"/>
        <v>-2</v>
      </c>
      <c r="K247" s="301">
        <f t="shared" si="19"/>
        <v>-20</v>
      </c>
      <c r="L247" s="301"/>
      <c r="M247" s="303">
        <f t="shared" si="20"/>
        <v>0</v>
      </c>
      <c r="N247" s="276"/>
      <c r="O247" s="276"/>
      <c r="P247" s="276"/>
      <c r="Q247" s="276"/>
      <c r="R247" s="276"/>
      <c r="S247" s="313"/>
    </row>
    <row r="248" spans="1:38" s="282" customFormat="1">
      <c r="A248" s="271">
        <f t="shared" si="21"/>
        <v>0</v>
      </c>
      <c r="B248" s="265" t="str">
        <f t="shared" si="18"/>
        <v/>
      </c>
      <c r="C248" s="266"/>
      <c r="D248" s="266"/>
      <c r="E248" s="266"/>
      <c r="F248" s="266"/>
      <c r="G248" s="276"/>
      <c r="H248" s="295">
        <v>243</v>
      </c>
      <c r="I248" s="296" t="str">
        <f t="shared" si="22"/>
        <v/>
      </c>
      <c r="J248" s="295">
        <f t="shared" si="23"/>
        <v>-2</v>
      </c>
      <c r="K248" s="295">
        <f t="shared" si="19"/>
        <v>-20</v>
      </c>
      <c r="L248" s="295"/>
      <c r="M248" s="297">
        <f t="shared" si="20"/>
        <v>0</v>
      </c>
      <c r="N248" s="276"/>
      <c r="O248" s="276"/>
      <c r="P248" s="276"/>
      <c r="Q248" s="276"/>
      <c r="R248" s="276"/>
    </row>
    <row r="249" spans="1:38" s="282" customFormat="1">
      <c r="A249" s="270">
        <f t="shared" si="21"/>
        <v>0</v>
      </c>
      <c r="B249" s="268" t="str">
        <f t="shared" si="18"/>
        <v/>
      </c>
      <c r="C249" s="269"/>
      <c r="D249" s="269"/>
      <c r="E249" s="269"/>
      <c r="F249" s="269"/>
      <c r="G249" s="276"/>
      <c r="H249" s="301">
        <v>244</v>
      </c>
      <c r="I249" s="302" t="str">
        <f t="shared" si="22"/>
        <v/>
      </c>
      <c r="J249" s="301">
        <f t="shared" si="23"/>
        <v>-2</v>
      </c>
      <c r="K249" s="301">
        <f t="shared" si="19"/>
        <v>-20</v>
      </c>
      <c r="L249" s="301"/>
      <c r="M249" s="303">
        <f t="shared" si="20"/>
        <v>0</v>
      </c>
      <c r="N249" s="276"/>
      <c r="O249" s="276"/>
      <c r="P249" s="276"/>
      <c r="Q249" s="276"/>
      <c r="R249" s="276"/>
    </row>
    <row r="250" spans="1:38" s="282" customFormat="1">
      <c r="A250" s="271">
        <f t="shared" si="21"/>
        <v>0</v>
      </c>
      <c r="B250" s="265" t="str">
        <f t="shared" si="18"/>
        <v/>
      </c>
      <c r="C250" s="266"/>
      <c r="D250" s="266"/>
      <c r="E250" s="266"/>
      <c r="F250" s="266"/>
      <c r="G250" s="276"/>
      <c r="H250" s="295">
        <v>245</v>
      </c>
      <c r="I250" s="296" t="str">
        <f t="shared" si="22"/>
        <v/>
      </c>
      <c r="J250" s="295">
        <f t="shared" si="23"/>
        <v>-2</v>
      </c>
      <c r="K250" s="295">
        <f t="shared" si="19"/>
        <v>-20</v>
      </c>
      <c r="L250" s="295"/>
      <c r="M250" s="297">
        <f t="shared" si="20"/>
        <v>0</v>
      </c>
      <c r="N250" s="276"/>
      <c r="O250" s="276"/>
      <c r="P250" s="276"/>
      <c r="Q250" s="276"/>
      <c r="R250" s="276"/>
    </row>
    <row r="251" spans="1:38" s="282" customFormat="1">
      <c r="A251" s="270">
        <f t="shared" si="21"/>
        <v>0</v>
      </c>
      <c r="B251" s="268" t="str">
        <f t="shared" si="18"/>
        <v/>
      </c>
      <c r="C251" s="269"/>
      <c r="D251" s="269"/>
      <c r="E251" s="269"/>
      <c r="F251" s="269"/>
      <c r="G251" s="276"/>
      <c r="H251" s="301">
        <v>246</v>
      </c>
      <c r="I251" s="302" t="str">
        <f t="shared" si="22"/>
        <v/>
      </c>
      <c r="J251" s="301">
        <f t="shared" si="23"/>
        <v>-2</v>
      </c>
      <c r="K251" s="301">
        <f t="shared" si="19"/>
        <v>-20</v>
      </c>
      <c r="L251" s="301"/>
      <c r="M251" s="303">
        <f t="shared" si="20"/>
        <v>0</v>
      </c>
      <c r="N251" s="276"/>
      <c r="O251" s="276"/>
      <c r="P251" s="276"/>
      <c r="Q251" s="276"/>
      <c r="R251" s="276"/>
    </row>
    <row r="252" spans="1:38" s="282" customFormat="1">
      <c r="A252" s="271">
        <f t="shared" si="21"/>
        <v>0</v>
      </c>
      <c r="B252" s="265" t="str">
        <f t="shared" si="18"/>
        <v/>
      </c>
      <c r="C252" s="266"/>
      <c r="D252" s="266"/>
      <c r="E252" s="266"/>
      <c r="F252" s="266"/>
      <c r="G252" s="276"/>
      <c r="H252" s="295">
        <v>247</v>
      </c>
      <c r="I252" s="296" t="str">
        <f t="shared" si="22"/>
        <v/>
      </c>
      <c r="J252" s="295">
        <f t="shared" si="23"/>
        <v>-2</v>
      </c>
      <c r="K252" s="295">
        <f t="shared" si="19"/>
        <v>-20</v>
      </c>
      <c r="L252" s="295"/>
      <c r="M252" s="297">
        <f t="shared" si="20"/>
        <v>0</v>
      </c>
      <c r="N252" s="276"/>
      <c r="O252" s="276"/>
      <c r="P252" s="276"/>
      <c r="Q252" s="276"/>
      <c r="R252" s="276"/>
    </row>
    <row r="253" spans="1:38" s="282" customFormat="1">
      <c r="A253" s="270">
        <f t="shared" si="21"/>
        <v>0</v>
      </c>
      <c r="B253" s="268" t="str">
        <f t="shared" si="18"/>
        <v/>
      </c>
      <c r="C253" s="269"/>
      <c r="D253" s="269"/>
      <c r="E253" s="269"/>
      <c r="F253" s="269"/>
      <c r="G253" s="276"/>
      <c r="H253" s="301">
        <v>248</v>
      </c>
      <c r="I253" s="302" t="str">
        <f t="shared" si="22"/>
        <v/>
      </c>
      <c r="J253" s="301">
        <f t="shared" si="23"/>
        <v>-2</v>
      </c>
      <c r="K253" s="301">
        <f t="shared" si="19"/>
        <v>-20</v>
      </c>
      <c r="L253" s="301"/>
      <c r="M253" s="303">
        <f t="shared" si="20"/>
        <v>0</v>
      </c>
      <c r="N253" s="276"/>
      <c r="O253" s="276"/>
      <c r="P253" s="276"/>
      <c r="Q253" s="276"/>
      <c r="R253" s="276"/>
    </row>
    <row r="254" spans="1:38" s="282" customFormat="1">
      <c r="A254" s="271">
        <f t="shared" si="21"/>
        <v>0</v>
      </c>
      <c r="B254" s="265" t="str">
        <f t="shared" si="18"/>
        <v/>
      </c>
      <c r="C254" s="266"/>
      <c r="D254" s="266"/>
      <c r="E254" s="266"/>
      <c r="F254" s="266"/>
      <c r="G254" s="276"/>
      <c r="H254" s="295">
        <v>249</v>
      </c>
      <c r="I254" s="296" t="str">
        <f t="shared" si="22"/>
        <v/>
      </c>
      <c r="J254" s="295">
        <f t="shared" si="23"/>
        <v>-2</v>
      </c>
      <c r="K254" s="295">
        <f t="shared" si="19"/>
        <v>-20</v>
      </c>
      <c r="L254" s="295"/>
      <c r="M254" s="297">
        <f t="shared" si="20"/>
        <v>0</v>
      </c>
      <c r="N254" s="276"/>
      <c r="O254" s="276"/>
      <c r="P254" s="276"/>
      <c r="Q254" s="276"/>
      <c r="R254" s="276"/>
    </row>
    <row r="255" spans="1:38" s="276" customFormat="1">
      <c r="A255" s="270">
        <f t="shared" si="21"/>
        <v>0</v>
      </c>
      <c r="B255" s="268" t="str">
        <f t="shared" si="18"/>
        <v/>
      </c>
      <c r="C255" s="269"/>
      <c r="D255" s="269"/>
      <c r="E255" s="269"/>
      <c r="F255" s="269"/>
      <c r="H255" s="301">
        <v>250</v>
      </c>
      <c r="I255" s="302" t="str">
        <f t="shared" si="22"/>
        <v/>
      </c>
      <c r="J255" s="301">
        <f t="shared" si="23"/>
        <v>-2</v>
      </c>
      <c r="K255" s="301">
        <f t="shared" si="19"/>
        <v>-20</v>
      </c>
      <c r="L255" s="301"/>
      <c r="M255" s="303">
        <f t="shared" si="20"/>
        <v>0</v>
      </c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  <c r="AC255" s="282"/>
      <c r="AD255" s="282"/>
      <c r="AE255" s="282"/>
      <c r="AF255" s="282"/>
      <c r="AG255" s="282"/>
      <c r="AH255" s="282"/>
      <c r="AI255" s="282"/>
      <c r="AJ255" s="282"/>
      <c r="AK255" s="282"/>
      <c r="AL255" s="282"/>
    </row>
    <row r="256" spans="1:38" s="276" customFormat="1">
      <c r="A256" s="271">
        <f t="shared" si="21"/>
        <v>0</v>
      </c>
      <c r="B256" s="265" t="str">
        <f t="shared" si="18"/>
        <v/>
      </c>
      <c r="C256" s="266"/>
      <c r="D256" s="266"/>
      <c r="E256" s="266"/>
      <c r="F256" s="266"/>
      <c r="H256" s="295">
        <v>251</v>
      </c>
      <c r="I256" s="296" t="str">
        <f t="shared" si="22"/>
        <v/>
      </c>
      <c r="J256" s="295">
        <f t="shared" si="23"/>
        <v>-2</v>
      </c>
      <c r="K256" s="295">
        <f t="shared" si="19"/>
        <v>-20</v>
      </c>
      <c r="L256" s="295"/>
      <c r="M256" s="297">
        <f t="shared" si="20"/>
        <v>0</v>
      </c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  <c r="AC256" s="282"/>
      <c r="AD256" s="282"/>
      <c r="AE256" s="282"/>
      <c r="AF256" s="282"/>
      <c r="AG256" s="282"/>
      <c r="AH256" s="282"/>
      <c r="AI256" s="282"/>
      <c r="AJ256" s="282"/>
      <c r="AK256" s="282"/>
      <c r="AL256" s="282"/>
    </row>
    <row r="257" spans="1:38" s="276" customFormat="1">
      <c r="A257" s="270">
        <f t="shared" si="21"/>
        <v>0</v>
      </c>
      <c r="B257" s="268" t="str">
        <f t="shared" si="18"/>
        <v/>
      </c>
      <c r="C257" s="269"/>
      <c r="D257" s="269"/>
      <c r="E257" s="269"/>
      <c r="F257" s="269"/>
      <c r="H257" s="301">
        <v>252</v>
      </c>
      <c r="I257" s="302" t="str">
        <f t="shared" si="22"/>
        <v/>
      </c>
      <c r="J257" s="301">
        <f t="shared" si="23"/>
        <v>-2</v>
      </c>
      <c r="K257" s="301">
        <f t="shared" si="19"/>
        <v>-20</v>
      </c>
      <c r="L257" s="301"/>
      <c r="M257" s="303">
        <f t="shared" si="20"/>
        <v>0</v>
      </c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2"/>
      <c r="AH257" s="282"/>
      <c r="AI257" s="282"/>
      <c r="AJ257" s="282"/>
      <c r="AK257" s="282"/>
      <c r="AL257" s="282"/>
    </row>
    <row r="258" spans="1:38" s="276" customFormat="1">
      <c r="A258" s="271">
        <f t="shared" si="21"/>
        <v>0</v>
      </c>
      <c r="B258" s="265" t="str">
        <f t="shared" si="18"/>
        <v/>
      </c>
      <c r="C258" s="266"/>
      <c r="D258" s="266"/>
      <c r="E258" s="266"/>
      <c r="F258" s="266"/>
      <c r="H258" s="295">
        <v>253</v>
      </c>
      <c r="I258" s="296" t="str">
        <f t="shared" si="22"/>
        <v/>
      </c>
      <c r="J258" s="295">
        <f t="shared" si="23"/>
        <v>-2</v>
      </c>
      <c r="K258" s="295">
        <f t="shared" si="19"/>
        <v>-20</v>
      </c>
      <c r="L258" s="295"/>
      <c r="M258" s="297">
        <f t="shared" si="20"/>
        <v>0</v>
      </c>
      <c r="S258" s="282"/>
      <c r="T258" s="282"/>
      <c r="U258" s="282"/>
      <c r="V258" s="282"/>
      <c r="W258" s="282"/>
      <c r="X258" s="282"/>
      <c r="Y258" s="282"/>
      <c r="Z258" s="282"/>
      <c r="AA258" s="282"/>
      <c r="AB258" s="282"/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</row>
    <row r="259" spans="1:38" s="276" customFormat="1">
      <c r="A259" s="270">
        <f t="shared" si="21"/>
        <v>0</v>
      </c>
      <c r="B259" s="268" t="str">
        <f t="shared" si="18"/>
        <v/>
      </c>
      <c r="C259" s="269"/>
      <c r="D259" s="269"/>
      <c r="E259" s="269"/>
      <c r="F259" s="269"/>
      <c r="H259" s="301">
        <v>254</v>
      </c>
      <c r="I259" s="302" t="str">
        <f t="shared" si="22"/>
        <v/>
      </c>
      <c r="J259" s="301">
        <f t="shared" si="23"/>
        <v>-2</v>
      </c>
      <c r="K259" s="301">
        <f t="shared" si="19"/>
        <v>-20</v>
      </c>
      <c r="L259" s="301"/>
      <c r="M259" s="303">
        <f t="shared" si="20"/>
        <v>0</v>
      </c>
      <c r="S259" s="282"/>
      <c r="T259" s="282"/>
      <c r="U259" s="282"/>
      <c r="V259" s="282"/>
      <c r="W259" s="282"/>
      <c r="X259" s="282"/>
      <c r="Y259" s="282"/>
      <c r="Z259" s="282"/>
      <c r="AA259" s="282"/>
      <c r="AB259" s="282"/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</row>
    <row r="260" spans="1:38" s="276" customFormat="1">
      <c r="A260" s="271">
        <f t="shared" si="21"/>
        <v>0</v>
      </c>
      <c r="B260" s="265" t="str">
        <f t="shared" si="18"/>
        <v/>
      </c>
      <c r="C260" s="266"/>
      <c r="D260" s="266"/>
      <c r="E260" s="266"/>
      <c r="F260" s="266"/>
      <c r="H260" s="295">
        <v>255</v>
      </c>
      <c r="I260" s="296" t="str">
        <f t="shared" si="22"/>
        <v/>
      </c>
      <c r="J260" s="295">
        <f t="shared" si="23"/>
        <v>-2</v>
      </c>
      <c r="K260" s="295">
        <f t="shared" si="19"/>
        <v>-20</v>
      </c>
      <c r="L260" s="295"/>
      <c r="M260" s="297">
        <f t="shared" si="20"/>
        <v>0</v>
      </c>
      <c r="S260" s="282"/>
      <c r="T260" s="282"/>
      <c r="U260" s="282"/>
      <c r="V260" s="282"/>
      <c r="W260" s="282"/>
      <c r="X260" s="282"/>
      <c r="Y260" s="282"/>
      <c r="Z260" s="282"/>
      <c r="AA260" s="282"/>
      <c r="AB260" s="282"/>
      <c r="AC260" s="282"/>
      <c r="AD260" s="282"/>
      <c r="AE260" s="282"/>
      <c r="AF260" s="282"/>
      <c r="AG260" s="282"/>
      <c r="AH260" s="282"/>
      <c r="AI260" s="282"/>
      <c r="AJ260" s="282"/>
      <c r="AK260" s="282"/>
      <c r="AL260" s="282"/>
    </row>
    <row r="261" spans="1:38" s="276" customFormat="1">
      <c r="A261" s="270">
        <f t="shared" si="21"/>
        <v>0</v>
      </c>
      <c r="B261" s="268" t="str">
        <f t="shared" si="18"/>
        <v/>
      </c>
      <c r="C261" s="269"/>
      <c r="D261" s="269"/>
      <c r="E261" s="269"/>
      <c r="F261" s="269"/>
      <c r="H261" s="301">
        <v>256</v>
      </c>
      <c r="I261" s="302" t="str">
        <f t="shared" si="22"/>
        <v/>
      </c>
      <c r="J261" s="301">
        <f t="shared" si="23"/>
        <v>-2</v>
      </c>
      <c r="K261" s="301">
        <f t="shared" si="19"/>
        <v>-20</v>
      </c>
      <c r="L261" s="301"/>
      <c r="M261" s="303">
        <f t="shared" si="20"/>
        <v>0</v>
      </c>
      <c r="S261" s="282"/>
      <c r="T261" s="282"/>
      <c r="U261" s="282"/>
      <c r="V261" s="282"/>
      <c r="W261" s="282"/>
      <c r="X261" s="282"/>
      <c r="Y261" s="282"/>
      <c r="Z261" s="282"/>
      <c r="AA261" s="282"/>
      <c r="AB261" s="282"/>
      <c r="AC261" s="282"/>
      <c r="AD261" s="282"/>
      <c r="AE261" s="282"/>
      <c r="AF261" s="282"/>
      <c r="AG261" s="282"/>
      <c r="AH261" s="282"/>
      <c r="AI261" s="282"/>
      <c r="AJ261" s="282"/>
      <c r="AK261" s="282"/>
      <c r="AL261" s="282"/>
    </row>
    <row r="262" spans="1:38" s="276" customFormat="1">
      <c r="A262" s="271">
        <f t="shared" si="21"/>
        <v>0</v>
      </c>
      <c r="B262" s="265" t="str">
        <f t="shared" ref="B262:B269" si="24">IF(H262&gt;$H$2,"",(ROW()-5))</f>
        <v/>
      </c>
      <c r="C262" s="266"/>
      <c r="D262" s="266"/>
      <c r="E262" s="266"/>
      <c r="F262" s="266"/>
      <c r="H262" s="295">
        <v>257</v>
      </c>
      <c r="I262" s="296" t="str">
        <f t="shared" si="22"/>
        <v/>
      </c>
      <c r="J262" s="295">
        <f t="shared" si="23"/>
        <v>-3</v>
      </c>
      <c r="K262" s="295">
        <f t="shared" ref="K262:K305" si="25">J262*$J$2</f>
        <v>-30</v>
      </c>
      <c r="L262" s="295"/>
      <c r="M262" s="297">
        <f t="shared" ref="M262:M305" si="26">IF(I262&lt;&gt;"",K262+I262+L262,0)</f>
        <v>0</v>
      </c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2"/>
      <c r="AH262" s="282"/>
      <c r="AI262" s="282"/>
      <c r="AJ262" s="282"/>
      <c r="AK262" s="282"/>
      <c r="AL262" s="282"/>
    </row>
    <row r="263" spans="1:38" s="276" customFormat="1">
      <c r="A263" s="270">
        <f t="shared" ref="A263:A269" si="27">M263</f>
        <v>0</v>
      </c>
      <c r="B263" s="268" t="str">
        <f t="shared" si="24"/>
        <v/>
      </c>
      <c r="C263" s="269"/>
      <c r="D263" s="269"/>
      <c r="E263" s="269"/>
      <c r="F263" s="269"/>
      <c r="H263" s="301">
        <v>258</v>
      </c>
      <c r="I263" s="302" t="str">
        <f t="shared" ref="I263:I305" si="28">IF(H263&lt;$H$2+1,($I$2-($I$2-1)*(LOG(H263)/LOG($H$2))),"")</f>
        <v/>
      </c>
      <c r="J263" s="301">
        <f t="shared" ref="J263:J326" si="29">INT(LOG($H$2,2))-ROUNDUP(LOG(H263,2),0)+IF(OR($H$2=1,$H$2=2,$H$2=4,$H$2=8,$H$2=16,$H$2=32,$H$2=64,$H$2=128,$H$2=256),0,1)</f>
        <v>-3</v>
      </c>
      <c r="K263" s="301">
        <f t="shared" si="25"/>
        <v>-30</v>
      </c>
      <c r="L263" s="301"/>
      <c r="M263" s="303">
        <f t="shared" si="26"/>
        <v>0</v>
      </c>
      <c r="S263" s="282"/>
      <c r="T263" s="282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2"/>
      <c r="AG263" s="282"/>
      <c r="AH263" s="282"/>
      <c r="AI263" s="282"/>
      <c r="AJ263" s="282"/>
      <c r="AK263" s="282"/>
      <c r="AL263" s="282"/>
    </row>
    <row r="264" spans="1:38" s="276" customFormat="1">
      <c r="A264" s="271">
        <f t="shared" si="27"/>
        <v>0</v>
      </c>
      <c r="B264" s="265" t="str">
        <f t="shared" si="24"/>
        <v/>
      </c>
      <c r="C264" s="266"/>
      <c r="D264" s="266"/>
      <c r="E264" s="266"/>
      <c r="F264" s="266"/>
      <c r="H264" s="295">
        <v>259</v>
      </c>
      <c r="I264" s="296" t="str">
        <f t="shared" si="28"/>
        <v/>
      </c>
      <c r="J264" s="295">
        <f t="shared" si="29"/>
        <v>-3</v>
      </c>
      <c r="K264" s="295">
        <f t="shared" si="25"/>
        <v>-30</v>
      </c>
      <c r="L264" s="295"/>
      <c r="M264" s="297">
        <f t="shared" si="26"/>
        <v>0</v>
      </c>
      <c r="S264" s="282"/>
      <c r="T264" s="282"/>
      <c r="U264" s="282"/>
      <c r="V264" s="282"/>
      <c r="W264" s="282"/>
      <c r="X264" s="282"/>
      <c r="Y264" s="282"/>
      <c r="Z264" s="282"/>
      <c r="AA264" s="282"/>
      <c r="AB264" s="282"/>
      <c r="AC264" s="282"/>
      <c r="AD264" s="282"/>
      <c r="AE264" s="282"/>
      <c r="AF264" s="282"/>
      <c r="AG264" s="282"/>
      <c r="AH264" s="282"/>
      <c r="AI264" s="282"/>
      <c r="AJ264" s="282"/>
      <c r="AK264" s="282"/>
      <c r="AL264" s="282"/>
    </row>
    <row r="265" spans="1:38" s="276" customFormat="1">
      <c r="A265" s="270">
        <f t="shared" si="27"/>
        <v>0</v>
      </c>
      <c r="B265" s="268" t="str">
        <f t="shared" si="24"/>
        <v/>
      </c>
      <c r="C265" s="269"/>
      <c r="D265" s="269"/>
      <c r="E265" s="269"/>
      <c r="F265" s="269"/>
      <c r="H265" s="301">
        <v>260</v>
      </c>
      <c r="I265" s="302" t="str">
        <f t="shared" si="28"/>
        <v/>
      </c>
      <c r="J265" s="301">
        <f t="shared" si="29"/>
        <v>-3</v>
      </c>
      <c r="K265" s="301">
        <f t="shared" si="25"/>
        <v>-30</v>
      </c>
      <c r="L265" s="301"/>
      <c r="M265" s="303">
        <f t="shared" si="26"/>
        <v>0</v>
      </c>
      <c r="S265" s="282"/>
      <c r="T265" s="282"/>
      <c r="U265" s="282"/>
      <c r="V265" s="282"/>
      <c r="W265" s="282"/>
      <c r="X265" s="282"/>
      <c r="Y265" s="282"/>
      <c r="Z265" s="282"/>
      <c r="AA265" s="282"/>
      <c r="AB265" s="282"/>
      <c r="AC265" s="282"/>
      <c r="AD265" s="282"/>
      <c r="AE265" s="282"/>
      <c r="AF265" s="282"/>
      <c r="AG265" s="282"/>
      <c r="AH265" s="282"/>
      <c r="AI265" s="282"/>
      <c r="AJ265" s="282"/>
      <c r="AK265" s="282"/>
      <c r="AL265" s="282"/>
    </row>
    <row r="266" spans="1:38" s="276" customFormat="1">
      <c r="A266" s="271">
        <f t="shared" si="27"/>
        <v>0</v>
      </c>
      <c r="B266" s="265" t="str">
        <f t="shared" si="24"/>
        <v/>
      </c>
      <c r="C266" s="266"/>
      <c r="D266" s="266"/>
      <c r="E266" s="266"/>
      <c r="F266" s="266"/>
      <c r="H266" s="295">
        <v>261</v>
      </c>
      <c r="I266" s="296" t="str">
        <f t="shared" si="28"/>
        <v/>
      </c>
      <c r="J266" s="295">
        <f t="shared" si="29"/>
        <v>-3</v>
      </c>
      <c r="K266" s="295">
        <f t="shared" si="25"/>
        <v>-30</v>
      </c>
      <c r="L266" s="295"/>
      <c r="M266" s="297">
        <f t="shared" si="26"/>
        <v>0</v>
      </c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  <c r="AC266" s="282"/>
      <c r="AD266" s="282"/>
      <c r="AE266" s="282"/>
      <c r="AF266" s="282"/>
      <c r="AG266" s="282"/>
      <c r="AH266" s="282"/>
      <c r="AI266" s="282"/>
      <c r="AJ266" s="282"/>
      <c r="AK266" s="282"/>
      <c r="AL266" s="282"/>
    </row>
    <row r="267" spans="1:38" s="276" customFormat="1">
      <c r="A267" s="270">
        <f t="shared" si="27"/>
        <v>0</v>
      </c>
      <c r="B267" s="268" t="str">
        <f t="shared" si="24"/>
        <v/>
      </c>
      <c r="C267" s="269"/>
      <c r="D267" s="269"/>
      <c r="E267" s="269"/>
      <c r="F267" s="269"/>
      <c r="H267" s="301">
        <v>262</v>
      </c>
      <c r="I267" s="302" t="str">
        <f t="shared" si="28"/>
        <v/>
      </c>
      <c r="J267" s="301">
        <f t="shared" si="29"/>
        <v>-3</v>
      </c>
      <c r="K267" s="301">
        <f t="shared" si="25"/>
        <v>-30</v>
      </c>
      <c r="L267" s="301"/>
      <c r="M267" s="303">
        <f t="shared" si="26"/>
        <v>0</v>
      </c>
      <c r="S267" s="282"/>
      <c r="T267" s="282"/>
      <c r="U267" s="282"/>
      <c r="V267" s="282"/>
      <c r="W267" s="282"/>
      <c r="X267" s="282"/>
      <c r="Y267" s="282"/>
      <c r="Z267" s="282"/>
      <c r="AA267" s="282"/>
      <c r="AB267" s="282"/>
      <c r="AC267" s="282"/>
      <c r="AD267" s="282"/>
      <c r="AE267" s="282"/>
      <c r="AF267" s="282"/>
      <c r="AG267" s="282"/>
      <c r="AH267" s="282"/>
      <c r="AI267" s="282"/>
      <c r="AJ267" s="282"/>
      <c r="AK267" s="282"/>
      <c r="AL267" s="282"/>
    </row>
    <row r="268" spans="1:38" s="276" customFormat="1">
      <c r="A268" s="271">
        <f t="shared" si="27"/>
        <v>0</v>
      </c>
      <c r="B268" s="265" t="str">
        <f t="shared" si="24"/>
        <v/>
      </c>
      <c r="C268" s="266"/>
      <c r="D268" s="266"/>
      <c r="E268" s="266"/>
      <c r="F268" s="266"/>
      <c r="H268" s="295">
        <v>263</v>
      </c>
      <c r="I268" s="296" t="str">
        <f t="shared" si="28"/>
        <v/>
      </c>
      <c r="J268" s="295">
        <f t="shared" si="29"/>
        <v>-3</v>
      </c>
      <c r="K268" s="295">
        <f t="shared" si="25"/>
        <v>-30</v>
      </c>
      <c r="L268" s="295"/>
      <c r="M268" s="297">
        <f t="shared" si="26"/>
        <v>0</v>
      </c>
      <c r="S268" s="282"/>
      <c r="T268" s="282"/>
      <c r="U268" s="282"/>
      <c r="V268" s="282"/>
      <c r="W268" s="282"/>
      <c r="X268" s="282"/>
      <c r="Y268" s="282"/>
      <c r="Z268" s="282"/>
      <c r="AA268" s="282"/>
      <c r="AB268" s="282"/>
      <c r="AC268" s="282"/>
      <c r="AD268" s="282"/>
      <c r="AE268" s="282"/>
      <c r="AF268" s="282"/>
      <c r="AG268" s="282"/>
      <c r="AH268" s="282"/>
      <c r="AI268" s="282"/>
      <c r="AJ268" s="282"/>
      <c r="AK268" s="282"/>
      <c r="AL268" s="282"/>
    </row>
    <row r="269" spans="1:38" s="276" customFormat="1">
      <c r="A269" s="270">
        <f t="shared" si="27"/>
        <v>0</v>
      </c>
      <c r="B269" s="268" t="str">
        <f t="shared" si="24"/>
        <v/>
      </c>
      <c r="C269" s="269"/>
      <c r="D269" s="269"/>
      <c r="E269" s="269"/>
      <c r="F269" s="269"/>
      <c r="H269" s="301">
        <v>264</v>
      </c>
      <c r="I269" s="302" t="str">
        <f t="shared" si="28"/>
        <v/>
      </c>
      <c r="J269" s="301">
        <f t="shared" si="29"/>
        <v>-3</v>
      </c>
      <c r="K269" s="301">
        <f t="shared" si="25"/>
        <v>-30</v>
      </c>
      <c r="L269" s="301"/>
      <c r="M269" s="303">
        <f t="shared" si="26"/>
        <v>0</v>
      </c>
      <c r="S269" s="282"/>
      <c r="T269" s="282"/>
      <c r="U269" s="282"/>
      <c r="V269" s="282"/>
      <c r="W269" s="282"/>
      <c r="X269" s="282"/>
      <c r="Y269" s="282"/>
      <c r="Z269" s="282"/>
      <c r="AA269" s="282"/>
      <c r="AB269" s="282"/>
      <c r="AC269" s="282"/>
      <c r="AD269" s="282"/>
      <c r="AE269" s="282"/>
      <c r="AF269" s="282"/>
      <c r="AG269" s="282"/>
      <c r="AH269" s="282"/>
      <c r="AI269" s="282"/>
      <c r="AJ269" s="282"/>
      <c r="AK269" s="282"/>
      <c r="AL269" s="282"/>
    </row>
    <row r="270" spans="1:38">
      <c r="A270" s="314"/>
      <c r="G270" s="276"/>
      <c r="H270" s="295">
        <v>265</v>
      </c>
      <c r="I270" s="296" t="str">
        <f t="shared" si="28"/>
        <v/>
      </c>
      <c r="J270" s="295">
        <f t="shared" si="29"/>
        <v>-3</v>
      </c>
      <c r="K270" s="295">
        <f t="shared" si="25"/>
        <v>-30</v>
      </c>
      <c r="L270" s="295"/>
      <c r="M270" s="297">
        <f t="shared" si="26"/>
        <v>0</v>
      </c>
    </row>
    <row r="271" spans="1:38">
      <c r="A271" s="314"/>
      <c r="G271" s="276"/>
      <c r="H271" s="295">
        <v>266</v>
      </c>
      <c r="I271" s="296" t="str">
        <f t="shared" si="28"/>
        <v/>
      </c>
      <c r="J271" s="295">
        <f t="shared" si="29"/>
        <v>-3</v>
      </c>
      <c r="K271" s="295">
        <f t="shared" si="25"/>
        <v>-30</v>
      </c>
      <c r="L271" s="295"/>
      <c r="M271" s="297">
        <f t="shared" si="26"/>
        <v>0</v>
      </c>
    </row>
    <row r="272" spans="1:38">
      <c r="A272" s="314"/>
      <c r="G272" s="276"/>
      <c r="H272" s="295">
        <v>267</v>
      </c>
      <c r="I272" s="296" t="str">
        <f t="shared" si="28"/>
        <v/>
      </c>
      <c r="J272" s="295">
        <f t="shared" si="29"/>
        <v>-3</v>
      </c>
      <c r="K272" s="295">
        <f t="shared" si="25"/>
        <v>-30</v>
      </c>
      <c r="L272" s="295"/>
      <c r="M272" s="297">
        <f t="shared" si="26"/>
        <v>0</v>
      </c>
    </row>
    <row r="273" spans="1:13">
      <c r="A273" s="314"/>
      <c r="G273" s="276"/>
      <c r="H273" s="295">
        <v>268</v>
      </c>
      <c r="I273" s="296" t="str">
        <f t="shared" si="28"/>
        <v/>
      </c>
      <c r="J273" s="295">
        <f t="shared" si="29"/>
        <v>-3</v>
      </c>
      <c r="K273" s="295">
        <f t="shared" si="25"/>
        <v>-30</v>
      </c>
      <c r="L273" s="295"/>
      <c r="M273" s="297">
        <f t="shared" si="26"/>
        <v>0</v>
      </c>
    </row>
    <row r="274" spans="1:13">
      <c r="A274" s="314"/>
      <c r="G274" s="276"/>
      <c r="H274" s="295">
        <v>269</v>
      </c>
      <c r="I274" s="296" t="str">
        <f t="shared" si="28"/>
        <v/>
      </c>
      <c r="J274" s="295">
        <f t="shared" si="29"/>
        <v>-3</v>
      </c>
      <c r="K274" s="295">
        <f t="shared" si="25"/>
        <v>-30</v>
      </c>
      <c r="L274" s="295"/>
      <c r="M274" s="297">
        <f t="shared" si="26"/>
        <v>0</v>
      </c>
    </row>
    <row r="275" spans="1:13">
      <c r="A275" s="314"/>
      <c r="G275" s="276"/>
      <c r="H275" s="295">
        <v>270</v>
      </c>
      <c r="I275" s="296" t="str">
        <f t="shared" si="28"/>
        <v/>
      </c>
      <c r="J275" s="295">
        <f t="shared" si="29"/>
        <v>-3</v>
      </c>
      <c r="K275" s="295">
        <f t="shared" si="25"/>
        <v>-30</v>
      </c>
      <c r="L275" s="295"/>
      <c r="M275" s="297">
        <f t="shared" si="26"/>
        <v>0</v>
      </c>
    </row>
    <row r="276" spans="1:13">
      <c r="A276" s="314"/>
      <c r="G276" s="276"/>
      <c r="H276" s="295">
        <v>271</v>
      </c>
      <c r="I276" s="296" t="str">
        <f t="shared" si="28"/>
        <v/>
      </c>
      <c r="J276" s="295">
        <f t="shared" si="29"/>
        <v>-3</v>
      </c>
      <c r="K276" s="295">
        <f t="shared" si="25"/>
        <v>-30</v>
      </c>
      <c r="L276" s="295"/>
      <c r="M276" s="297">
        <f t="shared" si="26"/>
        <v>0</v>
      </c>
    </row>
    <row r="277" spans="1:13">
      <c r="A277" s="314"/>
      <c r="G277" s="276"/>
      <c r="H277" s="295">
        <v>272</v>
      </c>
      <c r="I277" s="296" t="str">
        <f t="shared" si="28"/>
        <v/>
      </c>
      <c r="J277" s="295">
        <f t="shared" si="29"/>
        <v>-3</v>
      </c>
      <c r="K277" s="295">
        <f t="shared" si="25"/>
        <v>-30</v>
      </c>
      <c r="L277" s="295"/>
      <c r="M277" s="297">
        <f t="shared" si="26"/>
        <v>0</v>
      </c>
    </row>
    <row r="278" spans="1:13">
      <c r="A278" s="314"/>
      <c r="G278" s="276"/>
      <c r="H278" s="295">
        <v>273</v>
      </c>
      <c r="I278" s="296" t="str">
        <f t="shared" si="28"/>
        <v/>
      </c>
      <c r="J278" s="295">
        <f t="shared" si="29"/>
        <v>-3</v>
      </c>
      <c r="K278" s="295">
        <f t="shared" si="25"/>
        <v>-30</v>
      </c>
      <c r="L278" s="295"/>
      <c r="M278" s="297">
        <f t="shared" si="26"/>
        <v>0</v>
      </c>
    </row>
    <row r="279" spans="1:13">
      <c r="A279" s="314"/>
      <c r="G279" s="276"/>
      <c r="H279" s="295">
        <v>274</v>
      </c>
      <c r="I279" s="296" t="str">
        <f t="shared" si="28"/>
        <v/>
      </c>
      <c r="J279" s="295">
        <f t="shared" si="29"/>
        <v>-3</v>
      </c>
      <c r="K279" s="295">
        <f t="shared" si="25"/>
        <v>-30</v>
      </c>
      <c r="L279" s="295"/>
      <c r="M279" s="297">
        <f t="shared" si="26"/>
        <v>0</v>
      </c>
    </row>
    <row r="280" spans="1:13">
      <c r="A280" s="314"/>
      <c r="G280" s="276"/>
      <c r="H280" s="295">
        <v>275</v>
      </c>
      <c r="I280" s="296" t="str">
        <f t="shared" si="28"/>
        <v/>
      </c>
      <c r="J280" s="295">
        <f t="shared" si="29"/>
        <v>-3</v>
      </c>
      <c r="K280" s="295">
        <f t="shared" si="25"/>
        <v>-30</v>
      </c>
      <c r="L280" s="295"/>
      <c r="M280" s="297">
        <f t="shared" si="26"/>
        <v>0</v>
      </c>
    </row>
    <row r="281" spans="1:13">
      <c r="A281" s="314"/>
      <c r="G281" s="276"/>
      <c r="H281" s="295">
        <v>276</v>
      </c>
      <c r="I281" s="296" t="str">
        <f t="shared" si="28"/>
        <v/>
      </c>
      <c r="J281" s="295">
        <f t="shared" si="29"/>
        <v>-3</v>
      </c>
      <c r="K281" s="295">
        <f t="shared" si="25"/>
        <v>-30</v>
      </c>
      <c r="L281" s="295"/>
      <c r="M281" s="297">
        <f t="shared" si="26"/>
        <v>0</v>
      </c>
    </row>
    <row r="282" spans="1:13">
      <c r="A282" s="314"/>
      <c r="G282" s="276"/>
      <c r="H282" s="295">
        <v>277</v>
      </c>
      <c r="I282" s="296" t="str">
        <f t="shared" si="28"/>
        <v/>
      </c>
      <c r="J282" s="295">
        <f t="shared" si="29"/>
        <v>-3</v>
      </c>
      <c r="K282" s="295">
        <f t="shared" si="25"/>
        <v>-30</v>
      </c>
      <c r="L282" s="295"/>
      <c r="M282" s="297">
        <f t="shared" si="26"/>
        <v>0</v>
      </c>
    </row>
    <row r="283" spans="1:13">
      <c r="A283" s="314"/>
      <c r="G283" s="276"/>
      <c r="H283" s="295">
        <v>278</v>
      </c>
      <c r="I283" s="296" t="str">
        <f t="shared" si="28"/>
        <v/>
      </c>
      <c r="J283" s="295">
        <f t="shared" si="29"/>
        <v>-3</v>
      </c>
      <c r="K283" s="295">
        <f t="shared" si="25"/>
        <v>-30</v>
      </c>
      <c r="L283" s="295"/>
      <c r="M283" s="297">
        <f t="shared" si="26"/>
        <v>0</v>
      </c>
    </row>
    <row r="284" spans="1:13">
      <c r="A284" s="314"/>
      <c r="G284" s="276"/>
      <c r="H284" s="295">
        <v>279</v>
      </c>
      <c r="I284" s="296" t="str">
        <f t="shared" si="28"/>
        <v/>
      </c>
      <c r="J284" s="295">
        <f t="shared" si="29"/>
        <v>-3</v>
      </c>
      <c r="K284" s="295">
        <f t="shared" si="25"/>
        <v>-30</v>
      </c>
      <c r="L284" s="295"/>
      <c r="M284" s="297">
        <f t="shared" si="26"/>
        <v>0</v>
      </c>
    </row>
    <row r="285" spans="1:13">
      <c r="A285" s="314"/>
      <c r="G285" s="276"/>
      <c r="H285" s="295">
        <v>280</v>
      </c>
      <c r="I285" s="296" t="str">
        <f t="shared" si="28"/>
        <v/>
      </c>
      <c r="J285" s="295">
        <f t="shared" si="29"/>
        <v>-3</v>
      </c>
      <c r="K285" s="295">
        <f t="shared" si="25"/>
        <v>-30</v>
      </c>
      <c r="L285" s="295"/>
      <c r="M285" s="297">
        <f t="shared" si="26"/>
        <v>0</v>
      </c>
    </row>
    <row r="286" spans="1:13">
      <c r="A286" s="314"/>
      <c r="G286" s="276"/>
      <c r="H286" s="295">
        <v>281</v>
      </c>
      <c r="I286" s="296" t="str">
        <f t="shared" si="28"/>
        <v/>
      </c>
      <c r="J286" s="295">
        <f t="shared" si="29"/>
        <v>-3</v>
      </c>
      <c r="K286" s="295">
        <f t="shared" si="25"/>
        <v>-30</v>
      </c>
      <c r="L286" s="295"/>
      <c r="M286" s="297">
        <f t="shared" si="26"/>
        <v>0</v>
      </c>
    </row>
    <row r="287" spans="1:13">
      <c r="A287" s="314"/>
      <c r="G287" s="276"/>
      <c r="H287" s="295">
        <v>282</v>
      </c>
      <c r="I287" s="296" t="str">
        <f t="shared" si="28"/>
        <v/>
      </c>
      <c r="J287" s="295">
        <f t="shared" si="29"/>
        <v>-3</v>
      </c>
      <c r="K287" s="295">
        <f t="shared" si="25"/>
        <v>-30</v>
      </c>
      <c r="L287" s="295"/>
      <c r="M287" s="297">
        <f t="shared" si="26"/>
        <v>0</v>
      </c>
    </row>
    <row r="288" spans="1:13">
      <c r="A288" s="314"/>
      <c r="G288" s="276"/>
      <c r="H288" s="295">
        <v>283</v>
      </c>
      <c r="I288" s="296" t="str">
        <f t="shared" si="28"/>
        <v/>
      </c>
      <c r="J288" s="295">
        <f t="shared" si="29"/>
        <v>-3</v>
      </c>
      <c r="K288" s="295">
        <f t="shared" si="25"/>
        <v>-30</v>
      </c>
      <c r="L288" s="295"/>
      <c r="M288" s="297">
        <f t="shared" si="26"/>
        <v>0</v>
      </c>
    </row>
    <row r="289" spans="1:13">
      <c r="A289" s="314"/>
      <c r="G289" s="276"/>
      <c r="H289" s="295">
        <v>284</v>
      </c>
      <c r="I289" s="296" t="str">
        <f t="shared" si="28"/>
        <v/>
      </c>
      <c r="J289" s="295">
        <f t="shared" si="29"/>
        <v>-3</v>
      </c>
      <c r="K289" s="295">
        <f t="shared" si="25"/>
        <v>-30</v>
      </c>
      <c r="L289" s="295"/>
      <c r="M289" s="297">
        <f t="shared" si="26"/>
        <v>0</v>
      </c>
    </row>
    <row r="290" spans="1:13">
      <c r="A290" s="314"/>
      <c r="G290" s="276"/>
      <c r="H290" s="295">
        <v>285</v>
      </c>
      <c r="I290" s="296" t="str">
        <f t="shared" si="28"/>
        <v/>
      </c>
      <c r="J290" s="295">
        <f t="shared" si="29"/>
        <v>-3</v>
      </c>
      <c r="K290" s="295">
        <f t="shared" si="25"/>
        <v>-30</v>
      </c>
      <c r="L290" s="295"/>
      <c r="M290" s="297">
        <f t="shared" si="26"/>
        <v>0</v>
      </c>
    </row>
    <row r="291" spans="1:13">
      <c r="A291" s="314"/>
      <c r="G291" s="276"/>
      <c r="H291" s="295">
        <v>286</v>
      </c>
      <c r="I291" s="296" t="str">
        <f t="shared" si="28"/>
        <v/>
      </c>
      <c r="J291" s="295">
        <f t="shared" si="29"/>
        <v>-3</v>
      </c>
      <c r="K291" s="295">
        <f t="shared" si="25"/>
        <v>-30</v>
      </c>
      <c r="L291" s="295"/>
      <c r="M291" s="297">
        <f t="shared" si="26"/>
        <v>0</v>
      </c>
    </row>
    <row r="292" spans="1:13">
      <c r="A292" s="314"/>
      <c r="G292" s="276"/>
      <c r="H292" s="295">
        <v>287</v>
      </c>
      <c r="I292" s="296" t="str">
        <f t="shared" si="28"/>
        <v/>
      </c>
      <c r="J292" s="295">
        <f t="shared" si="29"/>
        <v>-3</v>
      </c>
      <c r="K292" s="295">
        <f t="shared" si="25"/>
        <v>-30</v>
      </c>
      <c r="L292" s="295"/>
      <c r="M292" s="297">
        <f t="shared" si="26"/>
        <v>0</v>
      </c>
    </row>
    <row r="293" spans="1:13">
      <c r="A293" s="314"/>
      <c r="G293" s="276"/>
      <c r="H293" s="295">
        <v>288</v>
      </c>
      <c r="I293" s="296" t="str">
        <f t="shared" si="28"/>
        <v/>
      </c>
      <c r="J293" s="295">
        <f t="shared" si="29"/>
        <v>-3</v>
      </c>
      <c r="K293" s="295">
        <f t="shared" si="25"/>
        <v>-30</v>
      </c>
      <c r="L293" s="295"/>
      <c r="M293" s="297">
        <f t="shared" si="26"/>
        <v>0</v>
      </c>
    </row>
    <row r="294" spans="1:13">
      <c r="A294" s="314"/>
      <c r="G294" s="276"/>
      <c r="H294" s="295">
        <v>289</v>
      </c>
      <c r="I294" s="296" t="str">
        <f t="shared" si="28"/>
        <v/>
      </c>
      <c r="J294" s="295">
        <f t="shared" si="29"/>
        <v>-3</v>
      </c>
      <c r="K294" s="295">
        <f t="shared" si="25"/>
        <v>-30</v>
      </c>
      <c r="L294" s="295"/>
      <c r="M294" s="297">
        <f t="shared" si="26"/>
        <v>0</v>
      </c>
    </row>
    <row r="295" spans="1:13">
      <c r="A295" s="314"/>
      <c r="G295" s="276"/>
      <c r="H295" s="295">
        <v>290</v>
      </c>
      <c r="I295" s="296" t="str">
        <f t="shared" si="28"/>
        <v/>
      </c>
      <c r="J295" s="295">
        <f t="shared" si="29"/>
        <v>-3</v>
      </c>
      <c r="K295" s="295">
        <f t="shared" si="25"/>
        <v>-30</v>
      </c>
      <c r="L295" s="295"/>
      <c r="M295" s="297">
        <f t="shared" si="26"/>
        <v>0</v>
      </c>
    </row>
    <row r="296" spans="1:13">
      <c r="A296" s="314"/>
      <c r="G296" s="276"/>
      <c r="H296" s="295">
        <v>291</v>
      </c>
      <c r="I296" s="296" t="str">
        <f t="shared" si="28"/>
        <v/>
      </c>
      <c r="J296" s="295">
        <f t="shared" si="29"/>
        <v>-3</v>
      </c>
      <c r="K296" s="295">
        <f t="shared" si="25"/>
        <v>-30</v>
      </c>
      <c r="L296" s="295"/>
      <c r="M296" s="297">
        <f t="shared" si="26"/>
        <v>0</v>
      </c>
    </row>
    <row r="297" spans="1:13">
      <c r="A297" s="314"/>
      <c r="G297" s="276"/>
      <c r="H297" s="295">
        <v>292</v>
      </c>
      <c r="I297" s="296" t="str">
        <f t="shared" si="28"/>
        <v/>
      </c>
      <c r="J297" s="295">
        <f t="shared" si="29"/>
        <v>-3</v>
      </c>
      <c r="K297" s="295">
        <f t="shared" si="25"/>
        <v>-30</v>
      </c>
      <c r="L297" s="295"/>
      <c r="M297" s="297">
        <f t="shared" si="26"/>
        <v>0</v>
      </c>
    </row>
    <row r="298" spans="1:13">
      <c r="A298" s="314"/>
      <c r="G298" s="276"/>
      <c r="H298" s="295">
        <v>293</v>
      </c>
      <c r="I298" s="296" t="str">
        <f t="shared" si="28"/>
        <v/>
      </c>
      <c r="J298" s="295">
        <f t="shared" si="29"/>
        <v>-3</v>
      </c>
      <c r="K298" s="295">
        <f t="shared" si="25"/>
        <v>-30</v>
      </c>
      <c r="L298" s="295"/>
      <c r="M298" s="297">
        <f t="shared" si="26"/>
        <v>0</v>
      </c>
    </row>
    <row r="299" spans="1:13">
      <c r="A299" s="314"/>
      <c r="G299" s="276"/>
      <c r="H299" s="295">
        <v>294</v>
      </c>
      <c r="I299" s="296" t="str">
        <f t="shared" si="28"/>
        <v/>
      </c>
      <c r="J299" s="295">
        <f t="shared" si="29"/>
        <v>-3</v>
      </c>
      <c r="K299" s="295">
        <f t="shared" si="25"/>
        <v>-30</v>
      </c>
      <c r="L299" s="295"/>
      <c r="M299" s="297">
        <f t="shared" si="26"/>
        <v>0</v>
      </c>
    </row>
    <row r="300" spans="1:13">
      <c r="A300" s="314"/>
      <c r="G300" s="276"/>
      <c r="H300" s="295">
        <v>295</v>
      </c>
      <c r="I300" s="296" t="str">
        <f t="shared" si="28"/>
        <v/>
      </c>
      <c r="J300" s="295">
        <f t="shared" si="29"/>
        <v>-3</v>
      </c>
      <c r="K300" s="295">
        <f t="shared" si="25"/>
        <v>-30</v>
      </c>
      <c r="L300" s="295"/>
      <c r="M300" s="297">
        <f t="shared" si="26"/>
        <v>0</v>
      </c>
    </row>
    <row r="301" spans="1:13">
      <c r="A301" s="314"/>
      <c r="G301" s="276"/>
      <c r="H301" s="295">
        <v>296</v>
      </c>
      <c r="I301" s="296" t="str">
        <f t="shared" si="28"/>
        <v/>
      </c>
      <c r="J301" s="295">
        <f t="shared" si="29"/>
        <v>-3</v>
      </c>
      <c r="K301" s="295">
        <f t="shared" si="25"/>
        <v>-30</v>
      </c>
      <c r="L301" s="295"/>
      <c r="M301" s="297">
        <f t="shared" si="26"/>
        <v>0</v>
      </c>
    </row>
    <row r="302" spans="1:13">
      <c r="A302" s="314"/>
      <c r="G302" s="276"/>
      <c r="H302" s="295">
        <v>297</v>
      </c>
      <c r="I302" s="296" t="str">
        <f t="shared" si="28"/>
        <v/>
      </c>
      <c r="J302" s="295">
        <f t="shared" si="29"/>
        <v>-3</v>
      </c>
      <c r="K302" s="295">
        <f t="shared" si="25"/>
        <v>-30</v>
      </c>
      <c r="L302" s="295"/>
      <c r="M302" s="297">
        <f t="shared" si="26"/>
        <v>0</v>
      </c>
    </row>
    <row r="303" spans="1:13">
      <c r="A303" s="314"/>
      <c r="G303" s="276"/>
      <c r="H303" s="295">
        <v>298</v>
      </c>
      <c r="I303" s="296" t="str">
        <f t="shared" si="28"/>
        <v/>
      </c>
      <c r="J303" s="295">
        <f t="shared" si="29"/>
        <v>-3</v>
      </c>
      <c r="K303" s="295">
        <f t="shared" si="25"/>
        <v>-30</v>
      </c>
      <c r="L303" s="295"/>
      <c r="M303" s="297">
        <f t="shared" si="26"/>
        <v>0</v>
      </c>
    </row>
    <row r="304" spans="1:13">
      <c r="A304" s="314"/>
      <c r="G304" s="276"/>
      <c r="H304" s="295">
        <v>299</v>
      </c>
      <c r="I304" s="296" t="str">
        <f t="shared" si="28"/>
        <v/>
      </c>
      <c r="J304" s="295">
        <f t="shared" si="29"/>
        <v>-3</v>
      </c>
      <c r="K304" s="295">
        <f t="shared" si="25"/>
        <v>-30</v>
      </c>
      <c r="L304" s="295"/>
      <c r="M304" s="297">
        <f t="shared" si="26"/>
        <v>0</v>
      </c>
    </row>
    <row r="305" spans="1:16">
      <c r="A305" s="314"/>
      <c r="G305" s="276"/>
      <c r="H305" s="295">
        <v>300</v>
      </c>
      <c r="I305" s="296" t="str">
        <f t="shared" si="28"/>
        <v/>
      </c>
      <c r="J305" s="295">
        <f t="shared" si="29"/>
        <v>-3</v>
      </c>
      <c r="K305" s="295">
        <f t="shared" si="25"/>
        <v>-30</v>
      </c>
      <c r="L305" s="295"/>
      <c r="M305" s="297">
        <f t="shared" si="26"/>
        <v>0</v>
      </c>
    </row>
    <row r="306" spans="1:16">
      <c r="A306" s="316"/>
      <c r="J306" s="317" t="e">
        <f t="shared" si="29"/>
        <v>#NUM!</v>
      </c>
    </row>
    <row r="307" spans="1:16">
      <c r="J307" s="317" t="e">
        <f t="shared" si="29"/>
        <v>#NUM!</v>
      </c>
    </row>
    <row r="308" spans="1:16">
      <c r="J308" s="317" t="e">
        <f t="shared" si="29"/>
        <v>#NUM!</v>
      </c>
    </row>
    <row r="309" spans="1:16">
      <c r="J309" s="317" t="e">
        <f t="shared" si="29"/>
        <v>#NUM!</v>
      </c>
    </row>
    <row r="310" spans="1:16">
      <c r="J310" s="317" t="e">
        <f t="shared" si="29"/>
        <v>#NUM!</v>
      </c>
    </row>
    <row r="311" spans="1:16">
      <c r="J311" s="317" t="e">
        <f t="shared" si="29"/>
        <v>#NUM!</v>
      </c>
    </row>
    <row r="312" spans="1:16">
      <c r="J312" s="317" t="e">
        <f t="shared" si="29"/>
        <v>#NUM!</v>
      </c>
    </row>
    <row r="313" spans="1:16">
      <c r="J313" s="317" t="e">
        <f t="shared" si="29"/>
        <v>#NUM!</v>
      </c>
    </row>
    <row r="314" spans="1:16">
      <c r="J314" s="317" t="e">
        <f t="shared" si="29"/>
        <v>#NUM!</v>
      </c>
      <c r="L314" s="319"/>
      <c r="P314" s="309"/>
    </row>
    <row r="315" spans="1:16">
      <c r="J315" s="317" t="e">
        <f t="shared" si="29"/>
        <v>#NUM!</v>
      </c>
      <c r="L315" s="319"/>
      <c r="P315" s="309"/>
    </row>
    <row r="316" spans="1:16">
      <c r="J316" s="317" t="e">
        <f t="shared" si="29"/>
        <v>#NUM!</v>
      </c>
      <c r="L316" s="319"/>
      <c r="P316" s="309"/>
    </row>
    <row r="317" spans="1:16">
      <c r="J317" s="317" t="e">
        <f t="shared" si="29"/>
        <v>#NUM!</v>
      </c>
      <c r="L317" s="319"/>
      <c r="P317" s="309"/>
    </row>
    <row r="318" spans="1:16">
      <c r="J318" s="317" t="e">
        <f t="shared" si="29"/>
        <v>#NUM!</v>
      </c>
    </row>
    <row r="319" spans="1:16">
      <c r="J319" s="317" t="e">
        <f t="shared" si="29"/>
        <v>#NUM!</v>
      </c>
    </row>
    <row r="320" spans="1:16">
      <c r="J320" s="317" t="e">
        <f t="shared" si="29"/>
        <v>#NUM!</v>
      </c>
    </row>
    <row r="321" spans="10:10">
      <c r="J321" s="317" t="e">
        <f t="shared" si="29"/>
        <v>#NUM!</v>
      </c>
    </row>
    <row r="322" spans="10:10">
      <c r="J322" s="317" t="e">
        <f t="shared" si="29"/>
        <v>#NUM!</v>
      </c>
    </row>
    <row r="323" spans="10:10">
      <c r="J323" s="317" t="e">
        <f t="shared" si="29"/>
        <v>#NUM!</v>
      </c>
    </row>
    <row r="324" spans="10:10">
      <c r="J324" s="317" t="e">
        <f t="shared" si="29"/>
        <v>#NUM!</v>
      </c>
    </row>
    <row r="325" spans="10:10">
      <c r="J325" s="317" t="e">
        <f t="shared" si="29"/>
        <v>#NUM!</v>
      </c>
    </row>
    <row r="326" spans="10:10">
      <c r="J326" s="317" t="e">
        <f t="shared" si="29"/>
        <v>#NUM!</v>
      </c>
    </row>
    <row r="327" spans="10:10">
      <c r="J327" s="317" t="e">
        <f t="shared" ref="J327:J373" si="30">INT(LOG($H$2,2))-ROUNDUP(LOG(H327,2),0)+IF(OR($H$2=1,$H$2=2,$H$2=4,$H$2=8,$H$2=16,$H$2=32,$H$2=64,$H$2=128,$H$2=256),0,1)</f>
        <v>#NUM!</v>
      </c>
    </row>
    <row r="328" spans="10:10">
      <c r="J328" s="317" t="e">
        <f t="shared" si="30"/>
        <v>#NUM!</v>
      </c>
    </row>
    <row r="329" spans="10:10">
      <c r="J329" s="317" t="e">
        <f t="shared" si="30"/>
        <v>#NUM!</v>
      </c>
    </row>
    <row r="330" spans="10:10">
      <c r="J330" s="317" t="e">
        <f t="shared" si="30"/>
        <v>#NUM!</v>
      </c>
    </row>
    <row r="331" spans="10:10">
      <c r="J331" s="317" t="e">
        <f t="shared" si="30"/>
        <v>#NUM!</v>
      </c>
    </row>
    <row r="332" spans="10:10">
      <c r="J332" s="317" t="e">
        <f t="shared" si="30"/>
        <v>#NUM!</v>
      </c>
    </row>
    <row r="333" spans="10:10">
      <c r="J333" s="317" t="e">
        <f t="shared" si="30"/>
        <v>#NUM!</v>
      </c>
    </row>
    <row r="334" spans="10:10">
      <c r="J334" s="317" t="e">
        <f t="shared" si="30"/>
        <v>#NUM!</v>
      </c>
    </row>
    <row r="335" spans="10:10">
      <c r="J335" s="317" t="e">
        <f t="shared" si="30"/>
        <v>#NUM!</v>
      </c>
    </row>
    <row r="336" spans="10:10">
      <c r="J336" s="317" t="e">
        <f t="shared" si="30"/>
        <v>#NUM!</v>
      </c>
    </row>
    <row r="337" spans="10:10">
      <c r="J337" s="317" t="e">
        <f t="shared" si="30"/>
        <v>#NUM!</v>
      </c>
    </row>
    <row r="338" spans="10:10">
      <c r="J338" s="317" t="e">
        <f t="shared" si="30"/>
        <v>#NUM!</v>
      </c>
    </row>
    <row r="339" spans="10:10">
      <c r="J339" s="317" t="e">
        <f t="shared" si="30"/>
        <v>#NUM!</v>
      </c>
    </row>
    <row r="340" spans="10:10">
      <c r="J340" s="317" t="e">
        <f t="shared" si="30"/>
        <v>#NUM!</v>
      </c>
    </row>
    <row r="341" spans="10:10">
      <c r="J341" s="317" t="e">
        <f t="shared" si="30"/>
        <v>#NUM!</v>
      </c>
    </row>
    <row r="342" spans="10:10">
      <c r="J342" s="317" t="e">
        <f t="shared" si="30"/>
        <v>#NUM!</v>
      </c>
    </row>
    <row r="343" spans="10:10">
      <c r="J343" s="317" t="e">
        <f t="shared" si="30"/>
        <v>#NUM!</v>
      </c>
    </row>
    <row r="344" spans="10:10">
      <c r="J344" s="317" t="e">
        <f t="shared" si="30"/>
        <v>#NUM!</v>
      </c>
    </row>
    <row r="345" spans="10:10">
      <c r="J345" s="317" t="e">
        <f t="shared" si="30"/>
        <v>#NUM!</v>
      </c>
    </row>
    <row r="346" spans="10:10">
      <c r="J346" s="317" t="e">
        <f t="shared" si="30"/>
        <v>#NUM!</v>
      </c>
    </row>
    <row r="347" spans="10:10">
      <c r="J347" s="317" t="e">
        <f t="shared" si="30"/>
        <v>#NUM!</v>
      </c>
    </row>
    <row r="348" spans="10:10">
      <c r="J348" s="317" t="e">
        <f t="shared" si="30"/>
        <v>#NUM!</v>
      </c>
    </row>
    <row r="349" spans="10:10">
      <c r="J349" s="317" t="e">
        <f t="shared" si="30"/>
        <v>#NUM!</v>
      </c>
    </row>
    <row r="350" spans="10:10">
      <c r="J350" s="317" t="e">
        <f t="shared" si="30"/>
        <v>#NUM!</v>
      </c>
    </row>
    <row r="351" spans="10:10">
      <c r="J351" s="317" t="e">
        <f t="shared" si="30"/>
        <v>#NUM!</v>
      </c>
    </row>
    <row r="352" spans="10:10">
      <c r="J352" s="317" t="e">
        <f t="shared" si="30"/>
        <v>#NUM!</v>
      </c>
    </row>
    <row r="353" spans="10:10">
      <c r="J353" s="317" t="e">
        <f t="shared" si="30"/>
        <v>#NUM!</v>
      </c>
    </row>
    <row r="354" spans="10:10">
      <c r="J354" s="317" t="e">
        <f t="shared" si="30"/>
        <v>#NUM!</v>
      </c>
    </row>
    <row r="355" spans="10:10">
      <c r="J355" s="317" t="e">
        <f t="shared" si="30"/>
        <v>#NUM!</v>
      </c>
    </row>
    <row r="356" spans="10:10">
      <c r="J356" s="317" t="e">
        <f t="shared" si="30"/>
        <v>#NUM!</v>
      </c>
    </row>
    <row r="357" spans="10:10">
      <c r="J357" s="317" t="e">
        <f t="shared" si="30"/>
        <v>#NUM!</v>
      </c>
    </row>
    <row r="358" spans="10:10">
      <c r="J358" s="317" t="e">
        <f t="shared" si="30"/>
        <v>#NUM!</v>
      </c>
    </row>
    <row r="359" spans="10:10">
      <c r="J359" s="317" t="e">
        <f t="shared" si="30"/>
        <v>#NUM!</v>
      </c>
    </row>
    <row r="360" spans="10:10">
      <c r="J360" s="317" t="e">
        <f t="shared" si="30"/>
        <v>#NUM!</v>
      </c>
    </row>
    <row r="361" spans="10:10">
      <c r="J361" s="317" t="e">
        <f t="shared" si="30"/>
        <v>#NUM!</v>
      </c>
    </row>
    <row r="362" spans="10:10">
      <c r="J362" s="317" t="e">
        <f t="shared" si="30"/>
        <v>#NUM!</v>
      </c>
    </row>
    <row r="363" spans="10:10">
      <c r="J363" s="317" t="e">
        <f t="shared" si="30"/>
        <v>#NUM!</v>
      </c>
    </row>
    <row r="364" spans="10:10">
      <c r="J364" s="317" t="e">
        <f t="shared" si="30"/>
        <v>#NUM!</v>
      </c>
    </row>
    <row r="365" spans="10:10">
      <c r="J365" s="317" t="e">
        <f t="shared" si="30"/>
        <v>#NUM!</v>
      </c>
    </row>
    <row r="366" spans="10:10">
      <c r="J366" s="317" t="e">
        <f t="shared" si="30"/>
        <v>#NUM!</v>
      </c>
    </row>
    <row r="367" spans="10:10">
      <c r="J367" s="317" t="e">
        <f t="shared" si="30"/>
        <v>#NUM!</v>
      </c>
    </row>
    <row r="368" spans="10:10">
      <c r="J368" s="317" t="e">
        <f t="shared" si="30"/>
        <v>#NUM!</v>
      </c>
    </row>
    <row r="369" spans="10:10">
      <c r="J369" s="317" t="e">
        <f t="shared" si="30"/>
        <v>#NUM!</v>
      </c>
    </row>
    <row r="370" spans="10:10">
      <c r="J370" s="317" t="e">
        <f t="shared" si="30"/>
        <v>#NUM!</v>
      </c>
    </row>
    <row r="371" spans="10:10">
      <c r="J371" s="317" t="e">
        <f t="shared" si="30"/>
        <v>#NUM!</v>
      </c>
    </row>
    <row r="372" spans="10:10">
      <c r="J372" s="317" t="e">
        <f t="shared" si="30"/>
        <v>#NUM!</v>
      </c>
    </row>
    <row r="373" spans="10:10">
      <c r="J373" s="317" t="e">
        <f t="shared" si="30"/>
        <v>#NUM!</v>
      </c>
    </row>
  </sheetData>
  <conditionalFormatting sqref="C6:C269">
    <cfRule type="expression" dxfId="14" priority="1">
      <formula>$F6="POL"</formula>
    </cfRule>
  </conditionalFormatting>
  <conditionalFormatting sqref="J7:K65 J67:K125 J127:K185 J187:K305">
    <cfRule type="cellIs" dxfId="13" priority="2" operator="lessThanOrEqual">
      <formula>0</formula>
    </cfRule>
  </conditionalFormatting>
  <dataValidations count="1">
    <dataValidation type="list" allowBlank="1" showInputMessage="1" showErrorMessage="1" sqref="C38:C69" xr:uid="{729144C7-678A-4900-A67A-A517B0D94C2C}">
      <formula1>#REF!</formula1>
    </dataValidation>
  </dataValidations>
  <hyperlinks>
    <hyperlink ref="A2" r:id="rId1" xr:uid="{4E585CFB-DF09-403F-A1E4-DA3CEBE421D1}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5" name="Button 1">
              <controlPr defaultSize="0" print="0" autoFill="0" autoPict="0" macro="[1]!IMPORT">
                <anchor moveWithCells="1" sizeWithCells="1">
                  <from>
                    <xdr:col>0</xdr:col>
                    <xdr:colOff>28575</xdr:colOff>
                    <xdr:row>0</xdr:row>
                    <xdr:rowOff>38100</xdr:rowOff>
                  </from>
                  <to>
                    <xdr:col>0</xdr:col>
                    <xdr:colOff>514350</xdr:colOff>
                    <xdr:row>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F54F-059A-42EB-9030-ED207A81FFC9}">
  <sheetPr>
    <tabColor theme="7" tint="0.79998168889431442"/>
  </sheetPr>
  <dimension ref="A1:AL317"/>
  <sheetViews>
    <sheetView topLeftCell="A42" workbookViewId="0">
      <selection activeCell="C65" sqref="C65"/>
    </sheetView>
  </sheetViews>
  <sheetFormatPr defaultColWidth="8.85546875" defaultRowHeight="15"/>
  <cols>
    <col min="1" max="1" width="8" style="184" customWidth="1"/>
    <col min="2" max="2" width="8.28515625" style="184" customWidth="1"/>
    <col min="3" max="3" width="34.7109375" style="184" customWidth="1"/>
    <col min="4" max="4" width="11.28515625" style="184" customWidth="1"/>
    <col min="5" max="6" width="8.85546875" style="184"/>
    <col min="7" max="7" width="0.85546875" style="184" customWidth="1"/>
    <col min="8" max="8" width="8.85546875" style="187"/>
    <col min="9" max="9" width="11" style="187" customWidth="1"/>
    <col min="10" max="10" width="15" style="187" customWidth="1"/>
    <col min="11" max="11" width="8.7109375" style="187" customWidth="1"/>
    <col min="12" max="12" width="11" style="187" customWidth="1"/>
    <col min="13" max="13" width="11.7109375" style="188" customWidth="1"/>
    <col min="14" max="15" width="13.85546875" style="156" customWidth="1"/>
    <col min="16" max="18" width="8.85546875" style="156"/>
    <col min="19" max="20" width="8.85546875" style="161"/>
    <col min="21" max="21" width="12.140625" style="161" customWidth="1"/>
    <col min="22" max="22" width="27.42578125" style="161" customWidth="1"/>
    <col min="23" max="38" width="8.85546875" style="161"/>
    <col min="39" max="16384" width="8.85546875" style="184"/>
  </cols>
  <sheetData>
    <row r="1" spans="1:36">
      <c r="A1" s="156"/>
      <c r="B1" s="156"/>
      <c r="C1" s="156"/>
      <c r="D1" s="156"/>
      <c r="E1" s="156"/>
      <c r="F1" s="156"/>
      <c r="G1" s="156"/>
      <c r="H1" s="157" t="s">
        <v>40</v>
      </c>
      <c r="I1" s="158" t="s">
        <v>41</v>
      </c>
      <c r="J1" s="158" t="s">
        <v>42</v>
      </c>
      <c r="K1" s="159" t="s">
        <v>272</v>
      </c>
      <c r="L1" s="160"/>
      <c r="M1" s="160"/>
    </row>
    <row r="2" spans="1:36">
      <c r="A2" s="156"/>
      <c r="B2" s="47" t="s">
        <v>44</v>
      </c>
      <c r="C2" s="194" t="s">
        <v>273</v>
      </c>
      <c r="D2" s="202"/>
      <c r="E2" s="6"/>
      <c r="F2" s="6"/>
      <c r="G2" s="6"/>
      <c r="H2" s="162">
        <v>53</v>
      </c>
      <c r="I2" s="163">
        <v>50</v>
      </c>
      <c r="J2" s="163">
        <v>10</v>
      </c>
      <c r="K2" s="164">
        <f>3*H2^(1/3)</f>
        <v>11.268857262663216</v>
      </c>
      <c r="L2" s="160"/>
      <c r="M2" s="160"/>
    </row>
    <row r="3" spans="1:36" ht="14.45" customHeight="1">
      <c r="A3" s="156"/>
      <c r="B3" s="165" t="s">
        <v>46</v>
      </c>
      <c r="C3" s="201" t="s">
        <v>274</v>
      </c>
      <c r="D3" s="201"/>
      <c r="E3" s="7"/>
      <c r="F3" s="7"/>
      <c r="G3" s="7"/>
      <c r="H3" s="160"/>
      <c r="I3" s="160"/>
      <c r="J3" s="160"/>
      <c r="K3" s="160"/>
      <c r="L3" s="160"/>
      <c r="M3" s="160"/>
    </row>
    <row r="4" spans="1:36" ht="10.15" customHeight="1">
      <c r="A4" s="8"/>
      <c r="B4" s="7"/>
      <c r="C4" s="8"/>
      <c r="D4" s="8"/>
      <c r="E4" s="8"/>
      <c r="F4" s="8"/>
      <c r="G4" s="8"/>
      <c r="H4" s="160"/>
      <c r="I4" s="160"/>
      <c r="J4" s="160"/>
      <c r="K4" s="160"/>
      <c r="L4" s="160"/>
      <c r="M4" s="160"/>
    </row>
    <row r="5" spans="1:36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166" t="s">
        <v>54</v>
      </c>
      <c r="I5" s="167" t="s">
        <v>55</v>
      </c>
      <c r="J5" s="167" t="s">
        <v>96</v>
      </c>
      <c r="K5" s="167" t="s">
        <v>97</v>
      </c>
      <c r="L5" s="167" t="s">
        <v>58</v>
      </c>
      <c r="M5" s="166" t="s">
        <v>59</v>
      </c>
    </row>
    <row r="6" spans="1:36" ht="14.45" customHeight="1">
      <c r="A6" s="86">
        <f>M6</f>
        <v>143.80657178798964</v>
      </c>
      <c r="B6" s="36">
        <f t="shared" ref="B6:B65" si="0">IF(H6&gt;$H$2,"",(ROW()-5))</f>
        <v>1</v>
      </c>
      <c r="C6" s="24" t="s">
        <v>17</v>
      </c>
      <c r="D6" s="24"/>
      <c r="E6" s="24"/>
      <c r="F6" s="24"/>
      <c r="G6" s="8"/>
      <c r="H6" s="168">
        <v>1</v>
      </c>
      <c r="I6" s="169">
        <f t="shared" ref="I6:I69" si="1">IF(H6&lt;$H$2+1,($I$2-($I$2-1)*(LOG(H6)/LOG($H$2))),"")</f>
        <v>50</v>
      </c>
      <c r="J6" s="169">
        <f>INT(LOG($H$2,2))-ROUNDUP(LOG(H6,2),0)+IF(OR($H$2=1,$H$2=2,$H$2=4,$H$2=8,$H$2=16,$H$2=32,$H$2=64,$H$2=128,$H$2=256),0,1)</f>
        <v>6</v>
      </c>
      <c r="K6" s="168">
        <f t="shared" ref="K6:K69" si="2">J6*$J$2</f>
        <v>60</v>
      </c>
      <c r="L6" s="170">
        <f>3*K2</f>
        <v>33.806571787989647</v>
      </c>
      <c r="M6" s="170">
        <f t="shared" ref="M6:M69" si="3">IF(I6&lt;&gt;"",K6+I6+L6,0)</f>
        <v>143.80657178798964</v>
      </c>
    </row>
    <row r="7" spans="1:36" ht="14.45" customHeight="1">
      <c r="A7" s="90">
        <f t="shared" ref="A7:A70" si="4">M7</f>
        <v>113.98312645297224</v>
      </c>
      <c r="B7" s="35">
        <f t="shared" si="0"/>
        <v>2</v>
      </c>
      <c r="C7" s="25" t="s">
        <v>99</v>
      </c>
      <c r="D7" s="25"/>
      <c r="E7" s="25"/>
      <c r="F7" s="25"/>
      <c r="G7" s="8"/>
      <c r="H7" s="171">
        <v>2</v>
      </c>
      <c r="I7" s="172">
        <f t="shared" si="1"/>
        <v>41.4454119276458</v>
      </c>
      <c r="J7" s="172">
        <f t="shared" ref="J7:J70" si="5">INT(LOG($H$2,2))-ROUNDUP(LOG(H7,2),0)+IF(OR($H$2=1,$H$2=2,$H$2=4,$H$2=8,$H$2=16,$H$2=32,$H$2=64,$H$2=128,$H$2=256),0,1)</f>
        <v>5</v>
      </c>
      <c r="K7" s="171">
        <f t="shared" si="2"/>
        <v>50</v>
      </c>
      <c r="L7" s="173">
        <f>2*K2</f>
        <v>22.537714525326432</v>
      </c>
      <c r="M7" s="173">
        <f t="shared" si="3"/>
        <v>113.98312645297224</v>
      </c>
    </row>
    <row r="8" spans="1:36" ht="14.45" customHeight="1">
      <c r="A8" s="86">
        <f t="shared" si="4"/>
        <v>87.710155958865329</v>
      </c>
      <c r="B8" s="36">
        <f t="shared" si="0"/>
        <v>3</v>
      </c>
      <c r="C8" s="24" t="s">
        <v>99</v>
      </c>
      <c r="D8" s="24"/>
      <c r="E8" s="24"/>
      <c r="F8" s="24"/>
      <c r="G8" s="8"/>
      <c r="H8" s="168">
        <v>3</v>
      </c>
      <c r="I8" s="169">
        <f t="shared" si="1"/>
        <v>36.441298696202111</v>
      </c>
      <c r="J8" s="169">
        <f t="shared" si="5"/>
        <v>4</v>
      </c>
      <c r="K8" s="168">
        <f t="shared" si="2"/>
        <v>40</v>
      </c>
      <c r="L8" s="170">
        <f>K2</f>
        <v>11.268857262663216</v>
      </c>
      <c r="M8" s="170">
        <f t="shared" si="3"/>
        <v>87.710155958865329</v>
      </c>
    </row>
    <row r="9" spans="1:36" s="161" customFormat="1" ht="14.45" customHeight="1">
      <c r="A9" s="90">
        <f t="shared" si="4"/>
        <v>87.710155958865329</v>
      </c>
      <c r="B9" s="35">
        <f>IF(H9&gt;$H$2,"",3)</f>
        <v>3</v>
      </c>
      <c r="C9" s="25" t="s">
        <v>99</v>
      </c>
      <c r="D9" s="25"/>
      <c r="E9" s="25"/>
      <c r="F9" s="25"/>
      <c r="G9" s="8"/>
      <c r="H9" s="171">
        <v>3</v>
      </c>
      <c r="I9" s="172">
        <f t="shared" si="1"/>
        <v>36.441298696202111</v>
      </c>
      <c r="J9" s="171">
        <f t="shared" si="5"/>
        <v>4</v>
      </c>
      <c r="K9" s="171">
        <f t="shared" si="2"/>
        <v>40</v>
      </c>
      <c r="L9" s="173">
        <f>K2</f>
        <v>11.268857262663216</v>
      </c>
      <c r="M9" s="173">
        <f t="shared" si="3"/>
        <v>87.710155958865329</v>
      </c>
      <c r="N9" s="156"/>
      <c r="O9" s="156"/>
      <c r="P9" s="156"/>
      <c r="Q9" s="156"/>
      <c r="R9" s="156"/>
      <c r="V9" s="174"/>
      <c r="Z9" s="175"/>
      <c r="AA9" s="175"/>
      <c r="AG9" s="176"/>
      <c r="AH9" s="161" t="s">
        <v>99</v>
      </c>
      <c r="AI9" s="161">
        <v>23</v>
      </c>
    </row>
    <row r="10" spans="1:36" ht="14.45" customHeight="1">
      <c r="A10" s="86">
        <f t="shared" si="4"/>
        <v>60.136861614612457</v>
      </c>
      <c r="B10" s="36">
        <f t="shared" si="0"/>
        <v>5</v>
      </c>
      <c r="C10" s="24" t="s">
        <v>99</v>
      </c>
      <c r="D10" s="24"/>
      <c r="E10" s="24"/>
      <c r="F10" s="24"/>
      <c r="G10" s="8"/>
      <c r="H10" s="168">
        <v>5</v>
      </c>
      <c r="I10" s="169">
        <f t="shared" si="1"/>
        <v>30.136861614612453</v>
      </c>
      <c r="J10" s="169">
        <f t="shared" si="5"/>
        <v>3</v>
      </c>
      <c r="K10" s="168">
        <f t="shared" si="2"/>
        <v>30</v>
      </c>
      <c r="L10" s="168"/>
      <c r="M10" s="170">
        <f t="shared" si="3"/>
        <v>60.136861614612457</v>
      </c>
      <c r="V10" s="174"/>
      <c r="Z10" s="175"/>
      <c r="AA10" s="175"/>
      <c r="AG10" s="176"/>
      <c r="AH10" s="161" t="s">
        <v>100</v>
      </c>
      <c r="AI10" s="161">
        <v>45</v>
      </c>
    </row>
    <row r="11" spans="1:36" ht="14.45" customHeight="1">
      <c r="A11" s="90">
        <f t="shared" si="4"/>
        <v>57.886710623847904</v>
      </c>
      <c r="B11" s="35">
        <f t="shared" si="0"/>
        <v>6</v>
      </c>
      <c r="C11" s="25" t="s">
        <v>99</v>
      </c>
      <c r="D11" s="25"/>
      <c r="E11" s="25"/>
      <c r="F11" s="25"/>
      <c r="G11" s="8"/>
      <c r="H11" s="171">
        <v>6</v>
      </c>
      <c r="I11" s="172">
        <f t="shared" si="1"/>
        <v>27.886710623847907</v>
      </c>
      <c r="J11" s="172">
        <f t="shared" si="5"/>
        <v>3</v>
      </c>
      <c r="K11" s="171">
        <f t="shared" si="2"/>
        <v>30</v>
      </c>
      <c r="L11" s="171"/>
      <c r="M11" s="173">
        <f t="shared" si="3"/>
        <v>57.886710623847904</v>
      </c>
      <c r="V11" s="177"/>
      <c r="Z11" s="175"/>
      <c r="AA11" s="175"/>
      <c r="AG11" s="176"/>
      <c r="AH11" s="161" t="s">
        <v>101</v>
      </c>
      <c r="AI11" s="161">
        <v>50</v>
      </c>
    </row>
    <row r="12" spans="1:36" ht="14.45" customHeight="1">
      <c r="A12" s="86">
        <f t="shared" si="4"/>
        <v>55.984235068901157</v>
      </c>
      <c r="B12" s="36">
        <f t="shared" si="0"/>
        <v>7</v>
      </c>
      <c r="C12" s="24" t="s">
        <v>99</v>
      </c>
      <c r="D12" s="24"/>
      <c r="E12" s="24"/>
      <c r="F12" s="24"/>
      <c r="G12" s="8"/>
      <c r="H12" s="168">
        <v>7</v>
      </c>
      <c r="I12" s="169">
        <f t="shared" si="1"/>
        <v>25.98423506890116</v>
      </c>
      <c r="J12" s="169">
        <f t="shared" si="5"/>
        <v>3</v>
      </c>
      <c r="K12" s="168">
        <f t="shared" si="2"/>
        <v>30</v>
      </c>
      <c r="L12" s="168"/>
      <c r="M12" s="170">
        <f t="shared" si="3"/>
        <v>55.984235068901157</v>
      </c>
      <c r="Z12" s="175"/>
      <c r="AA12" s="175"/>
      <c r="AG12" s="176"/>
      <c r="AH12" s="161" t="s">
        <v>102</v>
      </c>
      <c r="AI12" s="161">
        <f>AI11-1</f>
        <v>49</v>
      </c>
    </row>
    <row r="13" spans="1:36" ht="14.45" customHeight="1">
      <c r="A13" s="90">
        <f t="shared" si="4"/>
        <v>54.336235782937393</v>
      </c>
      <c r="B13" s="35">
        <f t="shared" si="0"/>
        <v>8</v>
      </c>
      <c r="C13" s="25" t="s">
        <v>99</v>
      </c>
      <c r="D13" s="25"/>
      <c r="E13" s="25"/>
      <c r="F13" s="25"/>
      <c r="G13" s="8"/>
      <c r="H13" s="171">
        <v>8</v>
      </c>
      <c r="I13" s="172">
        <f t="shared" si="1"/>
        <v>24.336235782937397</v>
      </c>
      <c r="J13" s="172">
        <f t="shared" si="5"/>
        <v>3</v>
      </c>
      <c r="K13" s="171">
        <f t="shared" si="2"/>
        <v>30</v>
      </c>
      <c r="L13" s="171"/>
      <c r="M13" s="173">
        <f t="shared" si="3"/>
        <v>54.336235782937393</v>
      </c>
      <c r="X13" s="174"/>
      <c r="AG13" s="176"/>
      <c r="AH13" s="161" t="s">
        <v>104</v>
      </c>
      <c r="AI13" s="161">
        <f>LOG(AI9)</f>
        <v>1.3617278360175928</v>
      </c>
    </row>
    <row r="14" spans="1:36">
      <c r="A14" s="86">
        <f t="shared" si="4"/>
        <v>42.882597392404222</v>
      </c>
      <c r="B14" s="36">
        <f t="shared" si="0"/>
        <v>9</v>
      </c>
      <c r="C14" s="24" t="s">
        <v>99</v>
      </c>
      <c r="D14" s="24"/>
      <c r="E14" s="24"/>
      <c r="F14" s="24"/>
      <c r="G14" s="8"/>
      <c r="H14" s="168">
        <v>9</v>
      </c>
      <c r="I14" s="169">
        <f t="shared" si="1"/>
        <v>22.882597392404222</v>
      </c>
      <c r="J14" s="169">
        <f t="shared" si="5"/>
        <v>2</v>
      </c>
      <c r="K14" s="168">
        <f t="shared" si="2"/>
        <v>20</v>
      </c>
      <c r="L14" s="168"/>
      <c r="M14" s="170">
        <f t="shared" si="3"/>
        <v>42.882597392404222</v>
      </c>
      <c r="X14" s="178"/>
      <c r="Z14" s="175"/>
      <c r="AA14" s="175"/>
      <c r="AG14" s="176"/>
      <c r="AH14" s="161" t="s">
        <v>105</v>
      </c>
      <c r="AI14" s="161">
        <f>LOG(AI10)</f>
        <v>1.6532125137753437</v>
      </c>
    </row>
    <row r="15" spans="1:36">
      <c r="A15" s="90">
        <f t="shared" si="4"/>
        <v>41.58227354225825</v>
      </c>
      <c r="B15" s="35">
        <f t="shared" si="0"/>
        <v>10</v>
      </c>
      <c r="C15" s="25" t="s">
        <v>99</v>
      </c>
      <c r="D15" s="25"/>
      <c r="E15" s="25"/>
      <c r="F15" s="25"/>
      <c r="G15" s="8"/>
      <c r="H15" s="171">
        <v>10</v>
      </c>
      <c r="I15" s="172">
        <f t="shared" si="1"/>
        <v>21.582273542258253</v>
      </c>
      <c r="J15" s="172">
        <f t="shared" si="5"/>
        <v>2</v>
      </c>
      <c r="K15" s="171">
        <f t="shared" si="2"/>
        <v>20</v>
      </c>
      <c r="L15" s="171"/>
      <c r="M15" s="173">
        <f t="shared" si="3"/>
        <v>41.58227354225825</v>
      </c>
      <c r="X15" s="174"/>
      <c r="Z15" s="175"/>
      <c r="AA15" s="175"/>
    </row>
    <row r="16" spans="1:36">
      <c r="A16" s="86">
        <f t="shared" si="4"/>
        <v>40.405987538080382</v>
      </c>
      <c r="B16" s="36">
        <f t="shared" si="0"/>
        <v>11</v>
      </c>
      <c r="C16" s="24" t="s">
        <v>99</v>
      </c>
      <c r="D16" s="24"/>
      <c r="E16" s="24"/>
      <c r="F16" s="24"/>
      <c r="G16" s="8"/>
      <c r="H16" s="168">
        <v>11</v>
      </c>
      <c r="I16" s="169">
        <f t="shared" si="1"/>
        <v>20.405987538080385</v>
      </c>
      <c r="J16" s="169">
        <f t="shared" si="5"/>
        <v>2</v>
      </c>
      <c r="K16" s="168">
        <f t="shared" si="2"/>
        <v>20</v>
      </c>
      <c r="L16" s="168"/>
      <c r="M16" s="170">
        <f t="shared" si="3"/>
        <v>40.405987538080382</v>
      </c>
      <c r="R16" s="179"/>
      <c r="Z16" s="175"/>
      <c r="AA16" s="175"/>
      <c r="AH16" s="180" t="s">
        <v>107</v>
      </c>
      <c r="AI16" s="161">
        <f>AI11-AI12*AI13/AI14</f>
        <v>9.6393909380186855</v>
      </c>
      <c r="AJ16" s="161" t="s">
        <v>108</v>
      </c>
    </row>
    <row r="17" spans="1:19">
      <c r="A17" s="90">
        <f t="shared" si="4"/>
        <v>39.332122551493704</v>
      </c>
      <c r="B17" s="35">
        <f t="shared" si="0"/>
        <v>12</v>
      </c>
      <c r="C17" s="25" t="s">
        <v>99</v>
      </c>
      <c r="D17" s="25"/>
      <c r="E17" s="25"/>
      <c r="F17" s="25"/>
      <c r="G17" s="8"/>
      <c r="H17" s="171">
        <v>12</v>
      </c>
      <c r="I17" s="172">
        <f t="shared" si="1"/>
        <v>19.332122551493704</v>
      </c>
      <c r="J17" s="172">
        <f t="shared" si="5"/>
        <v>2</v>
      </c>
      <c r="K17" s="171">
        <f t="shared" si="2"/>
        <v>20</v>
      </c>
      <c r="L17" s="171"/>
      <c r="M17" s="173">
        <f t="shared" si="3"/>
        <v>39.332122551493704</v>
      </c>
    </row>
    <row r="18" spans="1:19">
      <c r="A18" s="86">
        <f t="shared" si="4"/>
        <v>38.344262524724471</v>
      </c>
      <c r="B18" s="36">
        <f t="shared" si="0"/>
        <v>13</v>
      </c>
      <c r="C18" s="24" t="s">
        <v>99</v>
      </c>
      <c r="D18" s="24"/>
      <c r="E18" s="24"/>
      <c r="F18" s="24"/>
      <c r="G18" s="8"/>
      <c r="H18" s="168">
        <v>13</v>
      </c>
      <c r="I18" s="169">
        <f t="shared" si="1"/>
        <v>18.344262524724467</v>
      </c>
      <c r="J18" s="169">
        <f t="shared" si="5"/>
        <v>2</v>
      </c>
      <c r="K18" s="168">
        <f t="shared" si="2"/>
        <v>20</v>
      </c>
      <c r="L18" s="168"/>
      <c r="M18" s="170">
        <f t="shared" si="3"/>
        <v>38.344262524724471</v>
      </c>
    </row>
    <row r="19" spans="1:19">
      <c r="A19" s="90">
        <f t="shared" si="4"/>
        <v>37.429646996546964</v>
      </c>
      <c r="B19" s="35">
        <f t="shared" si="0"/>
        <v>14</v>
      </c>
      <c r="C19" s="25" t="s">
        <v>99</v>
      </c>
      <c r="D19" s="25"/>
      <c r="E19" s="25"/>
      <c r="F19" s="25"/>
      <c r="G19" s="8"/>
      <c r="H19" s="171">
        <v>14</v>
      </c>
      <c r="I19" s="172">
        <f t="shared" si="1"/>
        <v>17.429646996546964</v>
      </c>
      <c r="J19" s="172">
        <f t="shared" si="5"/>
        <v>2</v>
      </c>
      <c r="K19" s="171">
        <f t="shared" si="2"/>
        <v>20</v>
      </c>
      <c r="L19" s="171"/>
      <c r="M19" s="173">
        <f t="shared" si="3"/>
        <v>37.429646996546964</v>
      </c>
    </row>
    <row r="20" spans="1:19">
      <c r="A20" s="86">
        <f t="shared" si="4"/>
        <v>36.57816031081456</v>
      </c>
      <c r="B20" s="36">
        <f t="shared" si="0"/>
        <v>15</v>
      </c>
      <c r="C20" s="24" t="s">
        <v>99</v>
      </c>
      <c r="D20" s="24"/>
      <c r="E20" s="24"/>
      <c r="F20" s="24"/>
      <c r="G20" s="8"/>
      <c r="H20" s="168">
        <v>15</v>
      </c>
      <c r="I20" s="169">
        <f t="shared" si="1"/>
        <v>16.57816031081456</v>
      </c>
      <c r="J20" s="169">
        <f t="shared" si="5"/>
        <v>2</v>
      </c>
      <c r="K20" s="168">
        <f t="shared" si="2"/>
        <v>20</v>
      </c>
      <c r="L20" s="168"/>
      <c r="M20" s="170">
        <f t="shared" si="3"/>
        <v>36.57816031081456</v>
      </c>
      <c r="R20" s="181"/>
      <c r="S20" s="182"/>
    </row>
    <row r="21" spans="1:19">
      <c r="A21" s="90">
        <f t="shared" si="4"/>
        <v>35.781647710583194</v>
      </c>
      <c r="B21" s="35">
        <f t="shared" si="0"/>
        <v>16</v>
      </c>
      <c r="C21" s="25" t="s">
        <v>99</v>
      </c>
      <c r="D21" s="25"/>
      <c r="E21" s="25"/>
      <c r="F21" s="25"/>
      <c r="G21" s="8"/>
      <c r="H21" s="171">
        <v>16</v>
      </c>
      <c r="I21" s="172">
        <f t="shared" si="1"/>
        <v>15.781647710583194</v>
      </c>
      <c r="J21" s="172">
        <f t="shared" si="5"/>
        <v>2</v>
      </c>
      <c r="K21" s="171">
        <f t="shared" si="2"/>
        <v>20</v>
      </c>
      <c r="L21" s="171"/>
      <c r="M21" s="173">
        <f t="shared" si="3"/>
        <v>35.781647710583194</v>
      </c>
    </row>
    <row r="22" spans="1:19">
      <c r="A22" s="86">
        <f t="shared" si="4"/>
        <v>25.033439132048827</v>
      </c>
      <c r="B22" s="36">
        <f t="shared" si="0"/>
        <v>17</v>
      </c>
      <c r="C22" s="24" t="s">
        <v>99</v>
      </c>
      <c r="D22" s="24"/>
      <c r="E22" s="24"/>
      <c r="F22" s="24"/>
      <c r="G22" s="8"/>
      <c r="H22" s="168">
        <v>17</v>
      </c>
      <c r="I22" s="169">
        <f t="shared" si="1"/>
        <v>15.033439132048827</v>
      </c>
      <c r="J22" s="169">
        <f t="shared" si="5"/>
        <v>1</v>
      </c>
      <c r="K22" s="168">
        <f t="shared" si="2"/>
        <v>10</v>
      </c>
      <c r="L22" s="168"/>
      <c r="M22" s="170">
        <f t="shared" si="3"/>
        <v>25.033439132048827</v>
      </c>
    </row>
    <row r="23" spans="1:19">
      <c r="A23" s="90">
        <f t="shared" si="4"/>
        <v>24.328009320050015</v>
      </c>
      <c r="B23" s="35">
        <f t="shared" si="0"/>
        <v>18</v>
      </c>
      <c r="C23" s="25" t="s">
        <v>99</v>
      </c>
      <c r="D23" s="25"/>
      <c r="E23" s="25"/>
      <c r="F23" s="25"/>
      <c r="G23" s="8"/>
      <c r="H23" s="171">
        <v>18</v>
      </c>
      <c r="I23" s="172">
        <f t="shared" si="1"/>
        <v>14.328009320050015</v>
      </c>
      <c r="J23" s="172">
        <f t="shared" si="5"/>
        <v>1</v>
      </c>
      <c r="K23" s="171">
        <f t="shared" si="2"/>
        <v>10</v>
      </c>
      <c r="L23" s="171"/>
      <c r="M23" s="173">
        <f t="shared" si="3"/>
        <v>24.328009320050015</v>
      </c>
    </row>
    <row r="24" spans="1:19">
      <c r="A24" s="86">
        <f t="shared" si="4"/>
        <v>23.660729961270263</v>
      </c>
      <c r="B24" s="36">
        <f t="shared" si="0"/>
        <v>19</v>
      </c>
      <c r="C24" s="24" t="s">
        <v>99</v>
      </c>
      <c r="D24" s="24"/>
      <c r="E24" s="24"/>
      <c r="F24" s="24"/>
      <c r="G24" s="8"/>
      <c r="H24" s="168">
        <v>19</v>
      </c>
      <c r="I24" s="169">
        <f t="shared" si="1"/>
        <v>13.660729961270263</v>
      </c>
      <c r="J24" s="169">
        <f t="shared" si="5"/>
        <v>1</v>
      </c>
      <c r="K24" s="168">
        <f t="shared" si="2"/>
        <v>10</v>
      </c>
      <c r="L24" s="168"/>
      <c r="M24" s="170">
        <f t="shared" si="3"/>
        <v>23.660729961270263</v>
      </c>
      <c r="R24" s="181"/>
      <c r="S24" s="182"/>
    </row>
    <row r="25" spans="1:19">
      <c r="A25" s="90">
        <f t="shared" si="4"/>
        <v>23.02768546990405</v>
      </c>
      <c r="B25" s="35">
        <f t="shared" si="0"/>
        <v>20</v>
      </c>
      <c r="C25" s="25" t="s">
        <v>99</v>
      </c>
      <c r="D25" s="25"/>
      <c r="E25" s="25"/>
      <c r="F25" s="25"/>
      <c r="G25" s="8"/>
      <c r="H25" s="171">
        <v>20</v>
      </c>
      <c r="I25" s="172">
        <f t="shared" si="1"/>
        <v>13.02768546990405</v>
      </c>
      <c r="J25" s="172">
        <f t="shared" si="5"/>
        <v>1</v>
      </c>
      <c r="K25" s="171">
        <f t="shared" si="2"/>
        <v>10</v>
      </c>
      <c r="L25" s="171"/>
      <c r="M25" s="173">
        <f t="shared" si="3"/>
        <v>23.02768546990405</v>
      </c>
    </row>
    <row r="26" spans="1:19">
      <c r="A26" s="86">
        <f t="shared" si="4"/>
        <v>22.425533765103268</v>
      </c>
      <c r="B26" s="36">
        <f t="shared" si="0"/>
        <v>21</v>
      </c>
      <c r="C26" s="24" t="s">
        <v>99</v>
      </c>
      <c r="D26" s="24"/>
      <c r="E26" s="24"/>
      <c r="F26" s="24"/>
      <c r="G26" s="8"/>
      <c r="H26" s="168">
        <v>21</v>
      </c>
      <c r="I26" s="169">
        <f t="shared" si="1"/>
        <v>12.425533765103268</v>
      </c>
      <c r="J26" s="169">
        <f t="shared" si="5"/>
        <v>1</v>
      </c>
      <c r="K26" s="168">
        <f t="shared" si="2"/>
        <v>10</v>
      </c>
      <c r="L26" s="168"/>
      <c r="M26" s="170">
        <f t="shared" si="3"/>
        <v>22.425533765103268</v>
      </c>
    </row>
    <row r="27" spans="1:19">
      <c r="A27" s="90">
        <f t="shared" si="4"/>
        <v>21.851399465726189</v>
      </c>
      <c r="B27" s="35">
        <f t="shared" si="0"/>
        <v>22</v>
      </c>
      <c r="C27" s="25" t="s">
        <v>24</v>
      </c>
      <c r="D27" s="25"/>
      <c r="E27" s="25"/>
      <c r="F27" s="25"/>
      <c r="G27" s="8"/>
      <c r="H27" s="171">
        <v>22</v>
      </c>
      <c r="I27" s="172">
        <f t="shared" si="1"/>
        <v>11.851399465726189</v>
      </c>
      <c r="J27" s="172">
        <f t="shared" si="5"/>
        <v>1</v>
      </c>
      <c r="K27" s="171">
        <f t="shared" si="2"/>
        <v>10</v>
      </c>
      <c r="L27" s="171"/>
      <c r="M27" s="173">
        <f t="shared" si="3"/>
        <v>21.851399465726189</v>
      </c>
    </row>
    <row r="28" spans="1:19">
      <c r="A28" s="86">
        <f t="shared" si="4"/>
        <v>21.302790846159439</v>
      </c>
      <c r="B28" s="36">
        <f t="shared" si="0"/>
        <v>23</v>
      </c>
      <c r="C28" s="24" t="s">
        <v>99</v>
      </c>
      <c r="D28" s="24"/>
      <c r="E28" s="24"/>
      <c r="F28" s="24"/>
      <c r="G28" s="8"/>
      <c r="H28" s="168">
        <v>23</v>
      </c>
      <c r="I28" s="169">
        <f t="shared" si="1"/>
        <v>11.302790846159439</v>
      </c>
      <c r="J28" s="169">
        <f t="shared" si="5"/>
        <v>1</v>
      </c>
      <c r="K28" s="168">
        <f t="shared" si="2"/>
        <v>10</v>
      </c>
      <c r="L28" s="168"/>
      <c r="M28" s="170">
        <f t="shared" si="3"/>
        <v>21.302790846159439</v>
      </c>
      <c r="R28" s="181"/>
      <c r="S28" s="182"/>
    </row>
    <row r="29" spans="1:19">
      <c r="A29" s="90">
        <f t="shared" si="4"/>
        <v>20.777534479139504</v>
      </c>
      <c r="B29" s="35">
        <f t="shared" si="0"/>
        <v>24</v>
      </c>
      <c r="C29" s="25" t="s">
        <v>99</v>
      </c>
      <c r="D29" s="25"/>
      <c r="E29" s="25"/>
      <c r="F29" s="25"/>
      <c r="G29" s="156"/>
      <c r="H29" s="171">
        <v>24</v>
      </c>
      <c r="I29" s="172">
        <f t="shared" si="1"/>
        <v>10.777534479139504</v>
      </c>
      <c r="J29" s="172">
        <f t="shared" si="5"/>
        <v>1</v>
      </c>
      <c r="K29" s="171">
        <f t="shared" si="2"/>
        <v>10</v>
      </c>
      <c r="L29" s="171"/>
      <c r="M29" s="173">
        <f t="shared" si="3"/>
        <v>20.777534479139504</v>
      </c>
    </row>
    <row r="30" spans="1:19">
      <c r="A30" s="86">
        <f t="shared" si="4"/>
        <v>20.273723229224906</v>
      </c>
      <c r="B30" s="36">
        <f t="shared" si="0"/>
        <v>25</v>
      </c>
      <c r="C30" s="24" t="s">
        <v>99</v>
      </c>
      <c r="D30" s="24"/>
      <c r="E30" s="24"/>
      <c r="F30" s="24"/>
      <c r="G30" s="156"/>
      <c r="H30" s="168">
        <v>25</v>
      </c>
      <c r="I30" s="169">
        <f t="shared" si="1"/>
        <v>10.273723229224906</v>
      </c>
      <c r="J30" s="169">
        <f t="shared" si="5"/>
        <v>1</v>
      </c>
      <c r="K30" s="168">
        <f t="shared" si="2"/>
        <v>10</v>
      </c>
      <c r="L30" s="168"/>
      <c r="M30" s="170">
        <f t="shared" si="3"/>
        <v>20.273723229224906</v>
      </c>
    </row>
    <row r="31" spans="1:19">
      <c r="A31" s="90">
        <f t="shared" si="4"/>
        <v>19.789674452370271</v>
      </c>
      <c r="B31" s="35">
        <f t="shared" si="0"/>
        <v>26</v>
      </c>
      <c r="C31" s="25" t="s">
        <v>99</v>
      </c>
      <c r="D31" s="25"/>
      <c r="E31" s="25"/>
      <c r="F31" s="25"/>
      <c r="G31" s="156"/>
      <c r="H31" s="171">
        <v>26</v>
      </c>
      <c r="I31" s="172">
        <f t="shared" si="1"/>
        <v>9.7896744523702708</v>
      </c>
      <c r="J31" s="172">
        <f t="shared" si="5"/>
        <v>1</v>
      </c>
      <c r="K31" s="171">
        <f t="shared" si="2"/>
        <v>10</v>
      </c>
      <c r="L31" s="171"/>
      <c r="M31" s="173">
        <f t="shared" si="3"/>
        <v>19.789674452370271</v>
      </c>
    </row>
    <row r="32" spans="1:19">
      <c r="A32" s="86">
        <f t="shared" si="4"/>
        <v>19.323896088606325</v>
      </c>
      <c r="B32" s="36">
        <f t="shared" si="0"/>
        <v>27</v>
      </c>
      <c r="C32" s="24" t="s">
        <v>99</v>
      </c>
      <c r="D32" s="24"/>
      <c r="E32" s="24"/>
      <c r="F32" s="24"/>
      <c r="G32" s="156"/>
      <c r="H32" s="168">
        <v>27</v>
      </c>
      <c r="I32" s="169">
        <f t="shared" si="1"/>
        <v>9.3238960886063253</v>
      </c>
      <c r="J32" s="169">
        <f t="shared" si="5"/>
        <v>1</v>
      </c>
      <c r="K32" s="168">
        <f t="shared" si="2"/>
        <v>10</v>
      </c>
      <c r="L32" s="168"/>
      <c r="M32" s="170">
        <f t="shared" si="3"/>
        <v>19.323896088606325</v>
      </c>
      <c r="R32" s="181"/>
      <c r="S32" s="182"/>
    </row>
    <row r="33" spans="1:21">
      <c r="A33" s="90">
        <f t="shared" si="4"/>
        <v>18.875058924192757</v>
      </c>
      <c r="B33" s="35">
        <f t="shared" si="0"/>
        <v>28</v>
      </c>
      <c r="C33" s="25" t="s">
        <v>99</v>
      </c>
      <c r="D33" s="25"/>
      <c r="E33" s="25"/>
      <c r="F33" s="25"/>
      <c r="G33" s="156"/>
      <c r="H33" s="171">
        <v>28</v>
      </c>
      <c r="I33" s="172">
        <f t="shared" si="1"/>
        <v>8.8750589241927571</v>
      </c>
      <c r="J33" s="172">
        <f t="shared" si="5"/>
        <v>1</v>
      </c>
      <c r="K33" s="171">
        <f t="shared" si="2"/>
        <v>10</v>
      </c>
      <c r="L33" s="171"/>
      <c r="M33" s="173">
        <f t="shared" si="3"/>
        <v>18.875058924192757</v>
      </c>
    </row>
    <row r="34" spans="1:21">
      <c r="A34" s="86">
        <f t="shared" si="4"/>
        <v>18.441973723358274</v>
      </c>
      <c r="B34" s="36">
        <f t="shared" si="0"/>
        <v>29</v>
      </c>
      <c r="C34" s="24" t="s">
        <v>99</v>
      </c>
      <c r="D34" s="24"/>
      <c r="E34" s="24"/>
      <c r="F34" s="24"/>
      <c r="G34" s="156"/>
      <c r="H34" s="168">
        <v>29</v>
      </c>
      <c r="I34" s="169">
        <f t="shared" si="1"/>
        <v>8.4419737233582737</v>
      </c>
      <c r="J34" s="169">
        <f t="shared" si="5"/>
        <v>1</v>
      </c>
      <c r="K34" s="168">
        <f t="shared" si="2"/>
        <v>10</v>
      </c>
      <c r="L34" s="168"/>
      <c r="M34" s="170">
        <f t="shared" si="3"/>
        <v>18.441973723358274</v>
      </c>
    </row>
    <row r="35" spans="1:21">
      <c r="A35" s="90">
        <f t="shared" si="4"/>
        <v>18.02357223846036</v>
      </c>
      <c r="B35" s="35">
        <f t="shared" si="0"/>
        <v>30</v>
      </c>
      <c r="C35" s="25" t="s">
        <v>99</v>
      </c>
      <c r="D35" s="25"/>
      <c r="E35" s="25"/>
      <c r="F35" s="25"/>
      <c r="G35" s="156"/>
      <c r="H35" s="171">
        <v>30</v>
      </c>
      <c r="I35" s="172">
        <f t="shared" si="1"/>
        <v>8.0235722384603605</v>
      </c>
      <c r="J35" s="172">
        <f t="shared" si="5"/>
        <v>1</v>
      </c>
      <c r="K35" s="171">
        <f t="shared" si="2"/>
        <v>10</v>
      </c>
      <c r="L35" s="171"/>
      <c r="M35" s="173">
        <f t="shared" si="3"/>
        <v>18.02357223846036</v>
      </c>
    </row>
    <row r="36" spans="1:21">
      <c r="A36" s="86">
        <f t="shared" si="4"/>
        <v>17.618891335063239</v>
      </c>
      <c r="B36" s="36">
        <f t="shared" si="0"/>
        <v>31</v>
      </c>
      <c r="C36" s="24" t="s">
        <v>99</v>
      </c>
      <c r="D36" s="24"/>
      <c r="E36" s="24"/>
      <c r="F36" s="24"/>
      <c r="G36" s="156"/>
      <c r="H36" s="168">
        <v>31</v>
      </c>
      <c r="I36" s="169">
        <f t="shared" si="1"/>
        <v>7.618891335063239</v>
      </c>
      <c r="J36" s="169">
        <f t="shared" si="5"/>
        <v>1</v>
      </c>
      <c r="K36" s="168">
        <f t="shared" si="2"/>
        <v>10</v>
      </c>
      <c r="L36" s="168"/>
      <c r="M36" s="170">
        <f t="shared" si="3"/>
        <v>17.618891335063239</v>
      </c>
      <c r="R36" s="181"/>
      <c r="S36" s="182"/>
    </row>
    <row r="37" spans="1:21">
      <c r="A37" s="90">
        <f t="shared" si="4"/>
        <v>17.227059638228987</v>
      </c>
      <c r="B37" s="35">
        <f t="shared" si="0"/>
        <v>32</v>
      </c>
      <c r="C37" s="25" t="s">
        <v>99</v>
      </c>
      <c r="D37" s="25"/>
      <c r="E37" s="25"/>
      <c r="F37" s="25"/>
      <c r="G37" s="156"/>
      <c r="H37" s="171">
        <v>32</v>
      </c>
      <c r="I37" s="172">
        <f t="shared" si="1"/>
        <v>7.2270596382289867</v>
      </c>
      <c r="J37" s="172">
        <f t="shared" si="5"/>
        <v>1</v>
      </c>
      <c r="K37" s="171">
        <f t="shared" si="2"/>
        <v>10</v>
      </c>
      <c r="L37" s="171"/>
      <c r="M37" s="173">
        <f t="shared" si="3"/>
        <v>17.227059638228987</v>
      </c>
    </row>
    <row r="38" spans="1:21">
      <c r="A38" s="90">
        <f t="shared" si="4"/>
        <v>6.8472862342824925</v>
      </c>
      <c r="B38" s="36">
        <f t="shared" si="0"/>
        <v>33</v>
      </c>
      <c r="C38" s="24" t="s">
        <v>99</v>
      </c>
      <c r="D38" s="24"/>
      <c r="E38" s="24"/>
      <c r="F38" s="24"/>
      <c r="G38" s="156"/>
      <c r="H38" s="168">
        <v>33</v>
      </c>
      <c r="I38" s="169">
        <f t="shared" si="1"/>
        <v>6.8472862342824925</v>
      </c>
      <c r="J38" s="169">
        <f t="shared" si="5"/>
        <v>0</v>
      </c>
      <c r="K38" s="168">
        <f t="shared" si="2"/>
        <v>0</v>
      </c>
      <c r="L38" s="168"/>
      <c r="M38" s="170">
        <f t="shared" si="3"/>
        <v>6.8472862342824925</v>
      </c>
    </row>
    <row r="39" spans="1:21">
      <c r="A39" s="90">
        <f t="shared" si="4"/>
        <v>6.4788510596946267</v>
      </c>
      <c r="B39" s="35">
        <f t="shared" si="0"/>
        <v>34</v>
      </c>
      <c r="C39" s="25" t="s">
        <v>99</v>
      </c>
      <c r="D39" s="25"/>
      <c r="E39" s="25"/>
      <c r="F39" s="25"/>
      <c r="G39" s="156"/>
      <c r="H39" s="171">
        <v>34</v>
      </c>
      <c r="I39" s="172">
        <f t="shared" si="1"/>
        <v>6.4788510596946267</v>
      </c>
      <c r="J39" s="172">
        <f t="shared" si="5"/>
        <v>0</v>
      </c>
      <c r="K39" s="171">
        <f t="shared" si="2"/>
        <v>0</v>
      </c>
      <c r="L39" s="171"/>
      <c r="M39" s="173">
        <f t="shared" si="3"/>
        <v>6.4788510596946267</v>
      </c>
    </row>
    <row r="40" spans="1:21">
      <c r="A40" s="90">
        <f t="shared" si="4"/>
        <v>6.1210966835136134</v>
      </c>
      <c r="B40" s="36">
        <f t="shared" si="0"/>
        <v>35</v>
      </c>
      <c r="C40" s="24" t="s">
        <v>99</v>
      </c>
      <c r="D40" s="24"/>
      <c r="E40" s="24"/>
      <c r="F40" s="24"/>
      <c r="G40" s="156"/>
      <c r="H40" s="168">
        <v>35</v>
      </c>
      <c r="I40" s="169">
        <f t="shared" si="1"/>
        <v>6.1210966835136134</v>
      </c>
      <c r="J40" s="169">
        <f t="shared" si="5"/>
        <v>0</v>
      </c>
      <c r="K40" s="168">
        <f t="shared" si="2"/>
        <v>0</v>
      </c>
      <c r="L40" s="168"/>
      <c r="M40" s="170">
        <f t="shared" si="3"/>
        <v>6.1210966835136134</v>
      </c>
    </row>
    <row r="41" spans="1:21">
      <c r="A41" s="90">
        <f t="shared" si="4"/>
        <v>5.7734212476958149</v>
      </c>
      <c r="B41" s="35">
        <f t="shared" si="0"/>
        <v>36</v>
      </c>
      <c r="C41" s="25" t="s">
        <v>99</v>
      </c>
      <c r="D41" s="25"/>
      <c r="E41" s="25"/>
      <c r="F41" s="25"/>
      <c r="G41" s="156"/>
      <c r="H41" s="171">
        <v>36</v>
      </c>
      <c r="I41" s="172">
        <f t="shared" si="1"/>
        <v>5.7734212476958149</v>
      </c>
      <c r="J41" s="172">
        <f t="shared" si="5"/>
        <v>0</v>
      </c>
      <c r="K41" s="171">
        <f t="shared" si="2"/>
        <v>0</v>
      </c>
      <c r="L41" s="171"/>
      <c r="M41" s="173">
        <f t="shared" si="3"/>
        <v>5.7734212476958149</v>
      </c>
      <c r="S41" s="183"/>
    </row>
    <row r="42" spans="1:21">
      <c r="A42" s="90">
        <f t="shared" si="4"/>
        <v>5.4352723749051322</v>
      </c>
      <c r="B42" s="36">
        <f t="shared" si="0"/>
        <v>37</v>
      </c>
      <c r="C42" s="24" t="s">
        <v>99</v>
      </c>
      <c r="D42" s="24"/>
      <c r="E42" s="24"/>
      <c r="F42" s="24"/>
      <c r="G42" s="156"/>
      <c r="H42" s="168">
        <v>37</v>
      </c>
      <c r="I42" s="169">
        <f t="shared" si="1"/>
        <v>5.4352723749051322</v>
      </c>
      <c r="J42" s="169">
        <f t="shared" si="5"/>
        <v>0</v>
      </c>
      <c r="K42" s="168">
        <f t="shared" si="2"/>
        <v>0</v>
      </c>
      <c r="L42" s="168"/>
      <c r="M42" s="170">
        <f t="shared" si="3"/>
        <v>5.4352723749051322</v>
      </c>
    </row>
    <row r="43" spans="1:21">
      <c r="A43" s="90">
        <f t="shared" si="4"/>
        <v>5.1061418889160564</v>
      </c>
      <c r="B43" s="35">
        <f t="shared" si="0"/>
        <v>38</v>
      </c>
      <c r="C43" s="25" t="s">
        <v>99</v>
      </c>
      <c r="D43" s="25"/>
      <c r="E43" s="25"/>
      <c r="F43" s="25"/>
      <c r="G43" s="156"/>
      <c r="H43" s="171">
        <v>38</v>
      </c>
      <c r="I43" s="172">
        <f t="shared" si="1"/>
        <v>5.1061418889160564</v>
      </c>
      <c r="J43" s="172">
        <f t="shared" si="5"/>
        <v>0</v>
      </c>
      <c r="K43" s="171">
        <f t="shared" si="2"/>
        <v>0</v>
      </c>
      <c r="L43" s="171"/>
      <c r="M43" s="173">
        <f t="shared" si="3"/>
        <v>5.1061418889160564</v>
      </c>
    </row>
    <row r="44" spans="1:21">
      <c r="A44" s="90">
        <f t="shared" si="4"/>
        <v>4.7855612209265814</v>
      </c>
      <c r="B44" s="36">
        <f t="shared" si="0"/>
        <v>39</v>
      </c>
      <c r="C44" s="24" t="s">
        <v>28</v>
      </c>
      <c r="D44" s="24"/>
      <c r="E44" s="24"/>
      <c r="F44" s="24"/>
      <c r="G44" s="156"/>
      <c r="H44" s="168">
        <v>39</v>
      </c>
      <c r="I44" s="169">
        <f t="shared" si="1"/>
        <v>4.7855612209265814</v>
      </c>
      <c r="J44" s="169">
        <f t="shared" si="5"/>
        <v>0</v>
      </c>
      <c r="K44" s="168">
        <f t="shared" si="2"/>
        <v>0</v>
      </c>
      <c r="L44" s="168"/>
      <c r="M44" s="170">
        <f t="shared" si="3"/>
        <v>4.7855612209265814</v>
      </c>
    </row>
    <row r="45" spans="1:21">
      <c r="A45" s="90">
        <f t="shared" si="4"/>
        <v>4.47309739754985</v>
      </c>
      <c r="B45" s="35">
        <f t="shared" si="0"/>
        <v>40</v>
      </c>
      <c r="C45" s="25" t="s">
        <v>99</v>
      </c>
      <c r="D45" s="25"/>
      <c r="E45" s="25"/>
      <c r="F45" s="25"/>
      <c r="G45" s="156"/>
      <c r="H45" s="171">
        <v>40</v>
      </c>
      <c r="I45" s="172">
        <f t="shared" si="1"/>
        <v>4.47309739754985</v>
      </c>
      <c r="J45" s="172">
        <f t="shared" si="5"/>
        <v>0</v>
      </c>
      <c r="K45" s="171">
        <f t="shared" si="2"/>
        <v>0</v>
      </c>
      <c r="L45" s="171"/>
      <c r="M45" s="173">
        <f t="shared" si="3"/>
        <v>4.47309739754985</v>
      </c>
    </row>
    <row r="46" spans="1:21">
      <c r="A46" s="90">
        <f t="shared" si="4"/>
        <v>4.1683495242767989</v>
      </c>
      <c r="B46" s="36">
        <f t="shared" si="0"/>
        <v>41</v>
      </c>
      <c r="C46" s="24" t="s">
        <v>99</v>
      </c>
      <c r="D46" s="24"/>
      <c r="E46" s="24"/>
      <c r="F46" s="24"/>
      <c r="G46" s="156"/>
      <c r="H46" s="168">
        <v>41</v>
      </c>
      <c r="I46" s="169">
        <f t="shared" si="1"/>
        <v>4.1683495242767989</v>
      </c>
      <c r="J46" s="169">
        <f t="shared" si="5"/>
        <v>0</v>
      </c>
      <c r="K46" s="168">
        <f t="shared" si="2"/>
        <v>0</v>
      </c>
      <c r="L46" s="168"/>
      <c r="M46" s="170">
        <f t="shared" si="3"/>
        <v>4.1683495242767989</v>
      </c>
      <c r="R46" s="156">
        <f>LOG($H$2,2)</f>
        <v>5.7279204545631996</v>
      </c>
      <c r="T46" s="161">
        <f>LOG(H38,2)</f>
        <v>5.0443941193584534</v>
      </c>
      <c r="U46" s="161">
        <f>R46-T46</f>
        <v>0.68352633520474626</v>
      </c>
    </row>
    <row r="47" spans="1:21">
      <c r="A47" s="90">
        <f t="shared" si="4"/>
        <v>3.8709456927490606</v>
      </c>
      <c r="B47" s="35">
        <f t="shared" si="0"/>
        <v>42</v>
      </c>
      <c r="C47" s="25" t="s">
        <v>99</v>
      </c>
      <c r="D47" s="25"/>
      <c r="E47" s="25"/>
      <c r="F47" s="25"/>
      <c r="G47" s="156"/>
      <c r="H47" s="171">
        <v>42</v>
      </c>
      <c r="I47" s="172">
        <f t="shared" si="1"/>
        <v>3.8709456927490606</v>
      </c>
      <c r="J47" s="172">
        <f t="shared" si="5"/>
        <v>0</v>
      </c>
      <c r="K47" s="171">
        <f t="shared" si="2"/>
        <v>0</v>
      </c>
      <c r="L47" s="171"/>
      <c r="M47" s="173">
        <f t="shared" si="3"/>
        <v>3.8709456927490606</v>
      </c>
    </row>
    <row r="48" spans="1:21">
      <c r="A48" s="90">
        <f t="shared" si="4"/>
        <v>3.58054025198944</v>
      </c>
      <c r="B48" s="36">
        <f t="shared" si="0"/>
        <v>43</v>
      </c>
      <c r="C48" s="24" t="s">
        <v>99</v>
      </c>
      <c r="D48" s="24"/>
      <c r="E48" s="24"/>
      <c r="F48" s="24"/>
      <c r="G48" s="156"/>
      <c r="H48" s="168">
        <v>43</v>
      </c>
      <c r="I48" s="169">
        <f t="shared" si="1"/>
        <v>3.58054025198944</v>
      </c>
      <c r="J48" s="169">
        <f t="shared" si="5"/>
        <v>0</v>
      </c>
      <c r="K48" s="168">
        <f t="shared" si="2"/>
        <v>0</v>
      </c>
      <c r="L48" s="168"/>
      <c r="M48" s="170">
        <f t="shared" si="3"/>
        <v>3.58054025198944</v>
      </c>
    </row>
    <row r="49" spans="1:13">
      <c r="A49" s="90">
        <f t="shared" si="4"/>
        <v>3.296811393371982</v>
      </c>
      <c r="B49" s="35">
        <f t="shared" si="0"/>
        <v>44</v>
      </c>
      <c r="C49" s="25" t="s">
        <v>99</v>
      </c>
      <c r="D49" s="25"/>
      <c r="E49" s="25"/>
      <c r="F49" s="25"/>
      <c r="G49" s="156"/>
      <c r="H49" s="171">
        <v>44</v>
      </c>
      <c r="I49" s="172">
        <f t="shared" si="1"/>
        <v>3.296811393371982</v>
      </c>
      <c r="J49" s="172">
        <f t="shared" si="5"/>
        <v>0</v>
      </c>
      <c r="K49" s="171">
        <f t="shared" si="2"/>
        <v>0</v>
      </c>
      <c r="L49" s="171"/>
      <c r="M49" s="173">
        <f t="shared" si="3"/>
        <v>3.296811393371982</v>
      </c>
    </row>
    <row r="50" spans="1:13">
      <c r="A50" s="90">
        <f t="shared" si="4"/>
        <v>3.0194590070166711</v>
      </c>
      <c r="B50" s="36">
        <f t="shared" si="0"/>
        <v>45</v>
      </c>
      <c r="C50" s="24" t="s">
        <v>99</v>
      </c>
      <c r="D50" s="24"/>
      <c r="E50" s="24"/>
      <c r="F50" s="24"/>
      <c r="G50" s="156"/>
      <c r="H50" s="168">
        <v>45</v>
      </c>
      <c r="I50" s="169">
        <f t="shared" si="1"/>
        <v>3.0194590070166711</v>
      </c>
      <c r="J50" s="169">
        <f t="shared" si="5"/>
        <v>0</v>
      </c>
      <c r="K50" s="168">
        <f t="shared" si="2"/>
        <v>0</v>
      </c>
      <c r="L50" s="168"/>
      <c r="M50" s="170">
        <f t="shared" si="3"/>
        <v>3.0194590070166711</v>
      </c>
    </row>
    <row r="51" spans="1:13">
      <c r="A51" s="90">
        <f t="shared" si="4"/>
        <v>2.7482027738052324</v>
      </c>
      <c r="B51" s="35">
        <f t="shared" si="0"/>
        <v>46</v>
      </c>
      <c r="C51" s="25" t="s">
        <v>99</v>
      </c>
      <c r="D51" s="25"/>
      <c r="E51" s="25"/>
      <c r="F51" s="25"/>
      <c r="G51" s="156"/>
      <c r="H51" s="171">
        <v>46</v>
      </c>
      <c r="I51" s="172">
        <f t="shared" si="1"/>
        <v>2.7482027738052324</v>
      </c>
      <c r="J51" s="172">
        <f t="shared" si="5"/>
        <v>0</v>
      </c>
      <c r="K51" s="171">
        <f t="shared" si="2"/>
        <v>0</v>
      </c>
      <c r="L51" s="171"/>
      <c r="M51" s="173">
        <f t="shared" si="3"/>
        <v>2.7482027738052324</v>
      </c>
    </row>
    <row r="52" spans="1:13">
      <c r="A52" s="90">
        <f t="shared" si="4"/>
        <v>2.4827804626068612</v>
      </c>
      <c r="B52" s="36">
        <f t="shared" si="0"/>
        <v>47</v>
      </c>
      <c r="C52" s="24" t="s">
        <v>99</v>
      </c>
      <c r="D52" s="24"/>
      <c r="E52" s="24"/>
      <c r="F52" s="24"/>
      <c r="G52" s="156"/>
      <c r="H52" s="168">
        <v>47</v>
      </c>
      <c r="I52" s="169">
        <f t="shared" si="1"/>
        <v>2.4827804626068612</v>
      </c>
      <c r="J52" s="169">
        <f t="shared" si="5"/>
        <v>0</v>
      </c>
      <c r="K52" s="168">
        <f t="shared" si="2"/>
        <v>0</v>
      </c>
      <c r="L52" s="168"/>
      <c r="M52" s="170">
        <f t="shared" si="3"/>
        <v>2.4827804626068612</v>
      </c>
    </row>
    <row r="53" spans="1:13">
      <c r="A53" s="90">
        <f t="shared" si="4"/>
        <v>2.2229464067853044</v>
      </c>
      <c r="B53" s="35">
        <f t="shared" si="0"/>
        <v>48</v>
      </c>
      <c r="C53" s="25" t="s">
        <v>99</v>
      </c>
      <c r="D53" s="25"/>
      <c r="E53" s="25"/>
      <c r="F53" s="25"/>
      <c r="G53" s="156"/>
      <c r="H53" s="171">
        <v>48</v>
      </c>
      <c r="I53" s="172">
        <f t="shared" si="1"/>
        <v>2.2229464067853044</v>
      </c>
      <c r="J53" s="172">
        <f t="shared" si="5"/>
        <v>0</v>
      </c>
      <c r="K53" s="171">
        <f t="shared" si="2"/>
        <v>0</v>
      </c>
      <c r="L53" s="171"/>
      <c r="M53" s="173">
        <f t="shared" si="3"/>
        <v>2.2229464067853044</v>
      </c>
    </row>
    <row r="54" spans="1:13">
      <c r="A54" s="90">
        <f t="shared" si="4"/>
        <v>1.9684701378023206</v>
      </c>
      <c r="B54" s="36">
        <f t="shared" si="0"/>
        <v>49</v>
      </c>
      <c r="C54" s="24" t="s">
        <v>99</v>
      </c>
      <c r="D54" s="24"/>
      <c r="E54" s="24"/>
      <c r="F54" s="24"/>
      <c r="G54" s="156"/>
      <c r="H54" s="168">
        <v>49</v>
      </c>
      <c r="I54" s="169">
        <f t="shared" si="1"/>
        <v>1.9684701378023206</v>
      </c>
      <c r="J54" s="169">
        <f t="shared" si="5"/>
        <v>0</v>
      </c>
      <c r="K54" s="168">
        <f t="shared" si="2"/>
        <v>0</v>
      </c>
      <c r="L54" s="168"/>
      <c r="M54" s="170">
        <f t="shared" si="3"/>
        <v>1.9684701378023206</v>
      </c>
    </row>
    <row r="55" spans="1:13">
      <c r="A55" s="90">
        <f t="shared" si="4"/>
        <v>1.7191351568707063</v>
      </c>
      <c r="B55" s="35">
        <f t="shared" si="0"/>
        <v>50</v>
      </c>
      <c r="C55" s="25" t="s">
        <v>99</v>
      </c>
      <c r="D55" s="25"/>
      <c r="E55" s="25"/>
      <c r="F55" s="25"/>
      <c r="G55" s="156"/>
      <c r="H55" s="171">
        <v>50</v>
      </c>
      <c r="I55" s="172">
        <f t="shared" si="1"/>
        <v>1.7191351568707063</v>
      </c>
      <c r="J55" s="172">
        <f t="shared" si="5"/>
        <v>0</v>
      </c>
      <c r="K55" s="171">
        <f t="shared" si="2"/>
        <v>0</v>
      </c>
      <c r="L55" s="171"/>
      <c r="M55" s="173">
        <f t="shared" si="3"/>
        <v>1.7191351568707063</v>
      </c>
    </row>
    <row r="56" spans="1:13">
      <c r="A56" s="90">
        <f t="shared" si="4"/>
        <v>1.4747378282509374</v>
      </c>
      <c r="B56" s="36">
        <f t="shared" si="0"/>
        <v>51</v>
      </c>
      <c r="C56" s="24" t="s">
        <v>99</v>
      </c>
      <c r="D56" s="24"/>
      <c r="E56" s="24"/>
      <c r="F56" s="24"/>
      <c r="G56" s="156"/>
      <c r="H56" s="168">
        <v>51</v>
      </c>
      <c r="I56" s="169">
        <f t="shared" si="1"/>
        <v>1.4747378282509374</v>
      </c>
      <c r="J56" s="169">
        <f t="shared" si="5"/>
        <v>0</v>
      </c>
      <c r="K56" s="168">
        <f t="shared" si="2"/>
        <v>0</v>
      </c>
      <c r="L56" s="168"/>
      <c r="M56" s="170">
        <f t="shared" si="3"/>
        <v>1.4747378282509374</v>
      </c>
    </row>
    <row r="57" spans="1:13">
      <c r="A57" s="90">
        <f t="shared" si="4"/>
        <v>1.2350863800160639</v>
      </c>
      <c r="B57" s="35">
        <f t="shared" si="0"/>
        <v>52</v>
      </c>
      <c r="C57" s="25" t="s">
        <v>99</v>
      </c>
      <c r="D57" s="25"/>
      <c r="E57" s="25"/>
      <c r="F57" s="25"/>
      <c r="G57" s="156"/>
      <c r="H57" s="171">
        <v>52</v>
      </c>
      <c r="I57" s="172">
        <f t="shared" si="1"/>
        <v>1.2350863800160639</v>
      </c>
      <c r="J57" s="172">
        <f t="shared" si="5"/>
        <v>0</v>
      </c>
      <c r="K57" s="171">
        <f t="shared" si="2"/>
        <v>0</v>
      </c>
      <c r="L57" s="171"/>
      <c r="M57" s="173">
        <f t="shared" si="3"/>
        <v>1.2350863800160639</v>
      </c>
    </row>
    <row r="58" spans="1:13">
      <c r="A58" s="90">
        <f t="shared" si="4"/>
        <v>1</v>
      </c>
      <c r="B58" s="36">
        <f t="shared" si="0"/>
        <v>53</v>
      </c>
      <c r="C58" s="24" t="s">
        <v>99</v>
      </c>
      <c r="D58" s="24"/>
      <c r="E58" s="24"/>
      <c r="F58" s="24"/>
      <c r="G58" s="156"/>
      <c r="H58" s="168">
        <v>53</v>
      </c>
      <c r="I58" s="169">
        <f t="shared" si="1"/>
        <v>1</v>
      </c>
      <c r="J58" s="169">
        <f t="shared" si="5"/>
        <v>0</v>
      </c>
      <c r="K58" s="168">
        <f t="shared" si="2"/>
        <v>0</v>
      </c>
      <c r="L58" s="168"/>
      <c r="M58" s="170">
        <f t="shared" si="3"/>
        <v>1</v>
      </c>
    </row>
    <row r="59" spans="1:13">
      <c r="A59" s="90">
        <f t="shared" si="4"/>
        <v>0</v>
      </c>
      <c r="B59" s="35" t="str">
        <f t="shared" si="0"/>
        <v/>
      </c>
      <c r="C59" s="25"/>
      <c r="D59" s="25"/>
      <c r="E59" s="25"/>
      <c r="F59" s="25"/>
      <c r="G59" s="156"/>
      <c r="H59" s="171">
        <v>54</v>
      </c>
      <c r="I59" s="172" t="str">
        <f t="shared" si="1"/>
        <v/>
      </c>
      <c r="J59" s="172">
        <f t="shared" si="5"/>
        <v>0</v>
      </c>
      <c r="K59" s="171">
        <f t="shared" si="2"/>
        <v>0</v>
      </c>
      <c r="L59" s="171"/>
      <c r="M59" s="173">
        <f t="shared" si="3"/>
        <v>0</v>
      </c>
    </row>
    <row r="60" spans="1:13">
      <c r="A60" s="90">
        <f t="shared" si="4"/>
        <v>0</v>
      </c>
      <c r="B60" s="36" t="str">
        <f t="shared" si="0"/>
        <v/>
      </c>
      <c r="C60" s="24"/>
      <c r="D60" s="24"/>
      <c r="E60" s="24"/>
      <c r="F60" s="24"/>
      <c r="G60" s="156"/>
      <c r="H60" s="168">
        <v>55</v>
      </c>
      <c r="I60" s="169" t="str">
        <f t="shared" si="1"/>
        <v/>
      </c>
      <c r="J60" s="169">
        <f t="shared" si="5"/>
        <v>0</v>
      </c>
      <c r="K60" s="168">
        <f t="shared" si="2"/>
        <v>0</v>
      </c>
      <c r="L60" s="168"/>
      <c r="M60" s="170">
        <f t="shared" si="3"/>
        <v>0</v>
      </c>
    </row>
    <row r="61" spans="1:13">
      <c r="A61" s="245">
        <v>70.99063342421114</v>
      </c>
      <c r="B61" s="241" t="s">
        <v>275</v>
      </c>
      <c r="C61" s="242" t="s">
        <v>18</v>
      </c>
      <c r="D61" s="25"/>
      <c r="E61" s="25"/>
      <c r="F61" s="25"/>
      <c r="G61" s="156"/>
      <c r="H61" s="171">
        <v>56</v>
      </c>
      <c r="I61" s="172" t="str">
        <f t="shared" si="1"/>
        <v/>
      </c>
      <c r="J61" s="172">
        <f t="shared" si="5"/>
        <v>0</v>
      </c>
      <c r="K61" s="171">
        <f t="shared" si="2"/>
        <v>0</v>
      </c>
      <c r="L61" s="171"/>
      <c r="M61" s="173">
        <f t="shared" si="3"/>
        <v>0</v>
      </c>
    </row>
    <row r="62" spans="1:13">
      <c r="A62" s="90">
        <f t="shared" si="4"/>
        <v>0</v>
      </c>
      <c r="B62" s="36" t="str">
        <f t="shared" si="0"/>
        <v/>
      </c>
      <c r="C62" s="24"/>
      <c r="D62" s="24"/>
      <c r="E62" s="24"/>
      <c r="F62" s="24"/>
      <c r="G62" s="156"/>
      <c r="H62" s="168">
        <v>57</v>
      </c>
      <c r="I62" s="169" t="str">
        <f t="shared" si="1"/>
        <v/>
      </c>
      <c r="J62" s="169">
        <f t="shared" si="5"/>
        <v>0</v>
      </c>
      <c r="K62" s="168">
        <f t="shared" si="2"/>
        <v>0</v>
      </c>
      <c r="L62" s="168"/>
      <c r="M62" s="170">
        <f t="shared" si="3"/>
        <v>0</v>
      </c>
    </row>
    <row r="63" spans="1:13">
      <c r="A63" s="90">
        <f t="shared" si="4"/>
        <v>0</v>
      </c>
      <c r="B63" s="35" t="str">
        <f t="shared" si="0"/>
        <v/>
      </c>
      <c r="C63" s="25"/>
      <c r="D63" s="25"/>
      <c r="E63" s="25"/>
      <c r="F63" s="25"/>
      <c r="G63" s="156"/>
      <c r="H63" s="171">
        <v>58</v>
      </c>
      <c r="I63" s="172" t="str">
        <f t="shared" si="1"/>
        <v/>
      </c>
      <c r="J63" s="172">
        <f t="shared" si="5"/>
        <v>0</v>
      </c>
      <c r="K63" s="171">
        <f t="shared" si="2"/>
        <v>0</v>
      </c>
      <c r="L63" s="171"/>
      <c r="M63" s="173">
        <f t="shared" si="3"/>
        <v>0</v>
      </c>
    </row>
    <row r="64" spans="1:13">
      <c r="A64" s="90">
        <f t="shared" si="4"/>
        <v>0</v>
      </c>
      <c r="B64" s="36" t="str">
        <f t="shared" si="0"/>
        <v/>
      </c>
      <c r="C64" s="24"/>
      <c r="D64" s="24"/>
      <c r="E64" s="24"/>
      <c r="F64" s="24"/>
      <c r="G64" s="156"/>
      <c r="H64" s="168">
        <v>59</v>
      </c>
      <c r="I64" s="169" t="str">
        <f t="shared" si="1"/>
        <v/>
      </c>
      <c r="J64" s="169">
        <f t="shared" si="5"/>
        <v>0</v>
      </c>
      <c r="K64" s="168">
        <f t="shared" si="2"/>
        <v>0</v>
      </c>
      <c r="L64" s="168"/>
      <c r="M64" s="170">
        <f t="shared" si="3"/>
        <v>0</v>
      </c>
    </row>
    <row r="65" spans="1:13">
      <c r="A65" s="90">
        <f t="shared" si="4"/>
        <v>0</v>
      </c>
      <c r="B65" s="35" t="str">
        <f t="shared" si="0"/>
        <v/>
      </c>
      <c r="C65" s="25"/>
      <c r="D65" s="25"/>
      <c r="E65" s="25"/>
      <c r="F65" s="25"/>
      <c r="G65" s="156"/>
      <c r="H65" s="171">
        <v>60</v>
      </c>
      <c r="I65" s="172" t="str">
        <f t="shared" si="1"/>
        <v/>
      </c>
      <c r="J65" s="172">
        <f t="shared" si="5"/>
        <v>0</v>
      </c>
      <c r="K65" s="171">
        <f t="shared" si="2"/>
        <v>0</v>
      </c>
      <c r="L65" s="171"/>
      <c r="M65" s="173">
        <f t="shared" si="3"/>
        <v>0</v>
      </c>
    </row>
    <row r="66" spans="1:13">
      <c r="A66" s="90">
        <f t="shared" si="4"/>
        <v>0</v>
      </c>
      <c r="B66" s="36"/>
      <c r="G66" s="156"/>
      <c r="H66" s="168">
        <v>61</v>
      </c>
      <c r="I66" s="169" t="str">
        <f t="shared" si="1"/>
        <v/>
      </c>
      <c r="J66" s="169">
        <f t="shared" si="5"/>
        <v>0</v>
      </c>
      <c r="K66" s="168">
        <f t="shared" si="2"/>
        <v>0</v>
      </c>
      <c r="L66" s="168"/>
      <c r="M66" s="170">
        <f t="shared" si="3"/>
        <v>0</v>
      </c>
    </row>
    <row r="67" spans="1:13">
      <c r="A67" s="90">
        <f t="shared" si="4"/>
        <v>0</v>
      </c>
      <c r="B67" s="35"/>
      <c r="G67" s="156"/>
      <c r="H67" s="168">
        <v>62</v>
      </c>
      <c r="I67" s="169" t="str">
        <f t="shared" si="1"/>
        <v/>
      </c>
      <c r="J67" s="169">
        <f t="shared" si="5"/>
        <v>0</v>
      </c>
      <c r="K67" s="168">
        <f t="shared" si="2"/>
        <v>0</v>
      </c>
      <c r="L67" s="168"/>
      <c r="M67" s="170">
        <f t="shared" si="3"/>
        <v>0</v>
      </c>
    </row>
    <row r="68" spans="1:13">
      <c r="A68" s="90">
        <f t="shared" si="4"/>
        <v>0</v>
      </c>
      <c r="B68" s="36"/>
      <c r="G68" s="156"/>
      <c r="H68" s="168">
        <v>63</v>
      </c>
      <c r="I68" s="169" t="str">
        <f t="shared" si="1"/>
        <v/>
      </c>
      <c r="J68" s="169">
        <f t="shared" si="5"/>
        <v>0</v>
      </c>
      <c r="K68" s="168">
        <f t="shared" si="2"/>
        <v>0</v>
      </c>
      <c r="L68" s="168"/>
      <c r="M68" s="170">
        <f t="shared" si="3"/>
        <v>0</v>
      </c>
    </row>
    <row r="69" spans="1:13">
      <c r="A69" s="90">
        <f t="shared" si="4"/>
        <v>0</v>
      </c>
      <c r="B69" s="35"/>
      <c r="G69" s="156"/>
      <c r="H69" s="168">
        <v>64</v>
      </c>
      <c r="I69" s="169" t="str">
        <f t="shared" si="1"/>
        <v/>
      </c>
      <c r="J69" s="169">
        <f t="shared" si="5"/>
        <v>0</v>
      </c>
      <c r="K69" s="168">
        <f t="shared" si="2"/>
        <v>0</v>
      </c>
      <c r="L69" s="168"/>
      <c r="M69" s="170">
        <f t="shared" si="3"/>
        <v>0</v>
      </c>
    </row>
    <row r="70" spans="1:13">
      <c r="A70" s="90">
        <f t="shared" si="4"/>
        <v>0</v>
      </c>
      <c r="G70" s="156"/>
      <c r="H70" s="168">
        <v>65</v>
      </c>
      <c r="I70" s="169" t="str">
        <f t="shared" ref="I70:I133" si="6">IF(H70&lt;$H$2+1,($I$2-($I$2-1)*(LOG(H70)/LOG($H$2))),"")</f>
        <v/>
      </c>
      <c r="J70" s="169">
        <f t="shared" si="5"/>
        <v>-1</v>
      </c>
      <c r="K70" s="168">
        <f t="shared" ref="K70:K133" si="7">J70*$J$2</f>
        <v>-10</v>
      </c>
      <c r="L70" s="168"/>
      <c r="M70" s="170">
        <f t="shared" ref="M70:M133" si="8">IF(I70&lt;&gt;"",K70+I70+L70,0)</f>
        <v>0</v>
      </c>
    </row>
    <row r="71" spans="1:13">
      <c r="A71" s="90">
        <f t="shared" ref="A71:A79" si="9">M71</f>
        <v>0</v>
      </c>
      <c r="G71" s="156"/>
      <c r="H71" s="168">
        <v>66</v>
      </c>
      <c r="I71" s="169" t="str">
        <f t="shared" si="6"/>
        <v/>
      </c>
      <c r="J71" s="169">
        <f t="shared" ref="J71:J134" si="10">INT(LOG($H$2,2))-ROUNDUP(LOG(H71,2),0)+IF(OR($H$2=1,$H$2=2,$H$2=4,$H$2=8,$H$2=16,$H$2=32,$H$2=64,$H$2=128,$H$2=256),0,1)</f>
        <v>-1</v>
      </c>
      <c r="K71" s="168">
        <f t="shared" si="7"/>
        <v>-10</v>
      </c>
      <c r="L71" s="168"/>
      <c r="M71" s="170">
        <f t="shared" si="8"/>
        <v>0</v>
      </c>
    </row>
    <row r="72" spans="1:13">
      <c r="A72" s="90">
        <f t="shared" si="9"/>
        <v>0</v>
      </c>
      <c r="G72" s="156"/>
      <c r="H72" s="168">
        <v>67</v>
      </c>
      <c r="I72" s="169" t="str">
        <f t="shared" si="6"/>
        <v/>
      </c>
      <c r="J72" s="169">
        <f t="shared" si="10"/>
        <v>-1</v>
      </c>
      <c r="K72" s="168">
        <f t="shared" si="7"/>
        <v>-10</v>
      </c>
      <c r="L72" s="168"/>
      <c r="M72" s="170">
        <f t="shared" si="8"/>
        <v>0</v>
      </c>
    </row>
    <row r="73" spans="1:13">
      <c r="A73" s="90">
        <f t="shared" si="9"/>
        <v>0</v>
      </c>
      <c r="G73" s="156"/>
      <c r="H73" s="168">
        <v>68</v>
      </c>
      <c r="I73" s="169" t="str">
        <f t="shared" si="6"/>
        <v/>
      </c>
      <c r="J73" s="169">
        <f t="shared" si="10"/>
        <v>-1</v>
      </c>
      <c r="K73" s="168">
        <f t="shared" si="7"/>
        <v>-10</v>
      </c>
      <c r="L73" s="168"/>
      <c r="M73" s="170">
        <f t="shared" si="8"/>
        <v>0</v>
      </c>
    </row>
    <row r="74" spans="1:13">
      <c r="A74" s="90">
        <f t="shared" si="9"/>
        <v>0</v>
      </c>
      <c r="G74" s="156"/>
      <c r="H74" s="168">
        <v>69</v>
      </c>
      <c r="I74" s="169" t="str">
        <f t="shared" si="6"/>
        <v/>
      </c>
      <c r="J74" s="169">
        <f t="shared" si="10"/>
        <v>-1</v>
      </c>
      <c r="K74" s="168">
        <f t="shared" si="7"/>
        <v>-10</v>
      </c>
      <c r="L74" s="168"/>
      <c r="M74" s="170">
        <f t="shared" si="8"/>
        <v>0</v>
      </c>
    </row>
    <row r="75" spans="1:13">
      <c r="A75" s="90">
        <f t="shared" si="9"/>
        <v>0</v>
      </c>
      <c r="G75" s="156"/>
      <c r="H75" s="168">
        <v>70</v>
      </c>
      <c r="I75" s="169" t="str">
        <f t="shared" si="6"/>
        <v/>
      </c>
      <c r="J75" s="169">
        <f t="shared" si="10"/>
        <v>-1</v>
      </c>
      <c r="K75" s="168">
        <f t="shared" si="7"/>
        <v>-10</v>
      </c>
      <c r="L75" s="168"/>
      <c r="M75" s="170">
        <f t="shared" si="8"/>
        <v>0</v>
      </c>
    </row>
    <row r="76" spans="1:13">
      <c r="A76" s="90">
        <f t="shared" si="9"/>
        <v>0</v>
      </c>
      <c r="G76" s="156"/>
      <c r="H76" s="168">
        <v>71</v>
      </c>
      <c r="I76" s="169" t="str">
        <f t="shared" si="6"/>
        <v/>
      </c>
      <c r="J76" s="169">
        <f t="shared" si="10"/>
        <v>-1</v>
      </c>
      <c r="K76" s="168">
        <f t="shared" si="7"/>
        <v>-10</v>
      </c>
      <c r="L76" s="168"/>
      <c r="M76" s="170">
        <f t="shared" si="8"/>
        <v>0</v>
      </c>
    </row>
    <row r="77" spans="1:13">
      <c r="A77" s="90">
        <f t="shared" si="9"/>
        <v>0</v>
      </c>
      <c r="G77" s="156"/>
      <c r="H77" s="168">
        <v>72</v>
      </c>
      <c r="I77" s="169" t="str">
        <f t="shared" si="6"/>
        <v/>
      </c>
      <c r="J77" s="169">
        <f t="shared" si="10"/>
        <v>-1</v>
      </c>
      <c r="K77" s="168">
        <f t="shared" si="7"/>
        <v>-10</v>
      </c>
      <c r="L77" s="168"/>
      <c r="M77" s="170">
        <f t="shared" si="8"/>
        <v>0</v>
      </c>
    </row>
    <row r="78" spans="1:13">
      <c r="A78" s="90">
        <f t="shared" si="9"/>
        <v>0</v>
      </c>
      <c r="G78" s="156"/>
      <c r="H78" s="168">
        <v>73</v>
      </c>
      <c r="I78" s="169" t="str">
        <f t="shared" si="6"/>
        <v/>
      </c>
      <c r="J78" s="169">
        <f t="shared" si="10"/>
        <v>-1</v>
      </c>
      <c r="K78" s="168">
        <f t="shared" si="7"/>
        <v>-10</v>
      </c>
      <c r="L78" s="168"/>
      <c r="M78" s="170">
        <f t="shared" si="8"/>
        <v>0</v>
      </c>
    </row>
    <row r="79" spans="1:13">
      <c r="A79" s="90">
        <f t="shared" si="9"/>
        <v>0</v>
      </c>
      <c r="G79" s="156"/>
      <c r="H79" s="168">
        <v>74</v>
      </c>
      <c r="I79" s="169" t="str">
        <f t="shared" si="6"/>
        <v/>
      </c>
      <c r="J79" s="169">
        <f t="shared" si="10"/>
        <v>-1</v>
      </c>
      <c r="K79" s="168">
        <f t="shared" si="7"/>
        <v>-10</v>
      </c>
      <c r="L79" s="168"/>
      <c r="M79" s="170">
        <f t="shared" si="8"/>
        <v>0</v>
      </c>
    </row>
    <row r="80" spans="1:13">
      <c r="A80" s="86"/>
      <c r="G80" s="156"/>
      <c r="H80" s="168">
        <v>75</v>
      </c>
      <c r="I80" s="169" t="str">
        <f t="shared" si="6"/>
        <v/>
      </c>
      <c r="J80" s="169">
        <f t="shared" si="10"/>
        <v>-1</v>
      </c>
      <c r="K80" s="168">
        <f t="shared" si="7"/>
        <v>-10</v>
      </c>
      <c r="L80" s="168"/>
      <c r="M80" s="170">
        <f t="shared" si="8"/>
        <v>0</v>
      </c>
    </row>
    <row r="81" spans="1:13">
      <c r="A81" s="185"/>
      <c r="G81" s="156"/>
      <c r="H81" s="168">
        <v>76</v>
      </c>
      <c r="I81" s="169" t="str">
        <f t="shared" si="6"/>
        <v/>
      </c>
      <c r="J81" s="169">
        <f t="shared" si="10"/>
        <v>-1</v>
      </c>
      <c r="K81" s="168">
        <f t="shared" si="7"/>
        <v>-10</v>
      </c>
      <c r="L81" s="168"/>
      <c r="M81" s="170">
        <f t="shared" si="8"/>
        <v>0</v>
      </c>
    </row>
    <row r="82" spans="1:13">
      <c r="A82" s="185"/>
      <c r="G82" s="156"/>
      <c r="H82" s="168">
        <v>77</v>
      </c>
      <c r="I82" s="169" t="str">
        <f t="shared" si="6"/>
        <v/>
      </c>
      <c r="J82" s="169">
        <f t="shared" si="10"/>
        <v>-1</v>
      </c>
      <c r="K82" s="168">
        <f t="shared" si="7"/>
        <v>-10</v>
      </c>
      <c r="L82" s="168"/>
      <c r="M82" s="170">
        <f t="shared" si="8"/>
        <v>0</v>
      </c>
    </row>
    <row r="83" spans="1:13">
      <c r="A83" s="185"/>
      <c r="G83" s="156"/>
      <c r="H83" s="168">
        <v>78</v>
      </c>
      <c r="I83" s="169" t="str">
        <f t="shared" si="6"/>
        <v/>
      </c>
      <c r="J83" s="169">
        <f t="shared" si="10"/>
        <v>-1</v>
      </c>
      <c r="K83" s="168">
        <f t="shared" si="7"/>
        <v>-10</v>
      </c>
      <c r="L83" s="168"/>
      <c r="M83" s="170">
        <f t="shared" si="8"/>
        <v>0</v>
      </c>
    </row>
    <row r="84" spans="1:13">
      <c r="A84" s="185"/>
      <c r="G84" s="156"/>
      <c r="H84" s="168">
        <v>79</v>
      </c>
      <c r="I84" s="169" t="str">
        <f t="shared" si="6"/>
        <v/>
      </c>
      <c r="J84" s="169">
        <f t="shared" si="10"/>
        <v>-1</v>
      </c>
      <c r="K84" s="168">
        <f t="shared" si="7"/>
        <v>-10</v>
      </c>
      <c r="L84" s="168"/>
      <c r="M84" s="170">
        <f t="shared" si="8"/>
        <v>0</v>
      </c>
    </row>
    <row r="85" spans="1:13">
      <c r="A85" s="185"/>
      <c r="G85" s="156"/>
      <c r="H85" s="168">
        <v>80</v>
      </c>
      <c r="I85" s="169" t="str">
        <f t="shared" si="6"/>
        <v/>
      </c>
      <c r="J85" s="169">
        <f t="shared" si="10"/>
        <v>-1</v>
      </c>
      <c r="K85" s="168">
        <f t="shared" si="7"/>
        <v>-10</v>
      </c>
      <c r="L85" s="168"/>
      <c r="M85" s="170">
        <f t="shared" si="8"/>
        <v>0</v>
      </c>
    </row>
    <row r="86" spans="1:13">
      <c r="A86" s="185"/>
      <c r="G86" s="156"/>
      <c r="H86" s="168">
        <v>81</v>
      </c>
      <c r="I86" s="169" t="str">
        <f t="shared" si="6"/>
        <v/>
      </c>
      <c r="J86" s="169">
        <f t="shared" si="10"/>
        <v>-1</v>
      </c>
      <c r="K86" s="168">
        <f t="shared" si="7"/>
        <v>-10</v>
      </c>
      <c r="L86" s="168"/>
      <c r="M86" s="170">
        <f t="shared" si="8"/>
        <v>0</v>
      </c>
    </row>
    <row r="87" spans="1:13">
      <c r="A87" s="185"/>
      <c r="G87" s="156"/>
      <c r="H87" s="168">
        <v>82</v>
      </c>
      <c r="I87" s="169" t="str">
        <f t="shared" si="6"/>
        <v/>
      </c>
      <c r="J87" s="169">
        <f t="shared" si="10"/>
        <v>-1</v>
      </c>
      <c r="K87" s="168">
        <f t="shared" si="7"/>
        <v>-10</v>
      </c>
      <c r="L87" s="168"/>
      <c r="M87" s="170">
        <f t="shared" si="8"/>
        <v>0</v>
      </c>
    </row>
    <row r="88" spans="1:13">
      <c r="A88" s="185"/>
      <c r="G88" s="156"/>
      <c r="H88" s="168">
        <v>83</v>
      </c>
      <c r="I88" s="169" t="str">
        <f t="shared" si="6"/>
        <v/>
      </c>
      <c r="J88" s="169">
        <f t="shared" si="10"/>
        <v>-1</v>
      </c>
      <c r="K88" s="168">
        <f t="shared" si="7"/>
        <v>-10</v>
      </c>
      <c r="L88" s="168"/>
      <c r="M88" s="170">
        <f t="shared" si="8"/>
        <v>0</v>
      </c>
    </row>
    <row r="89" spans="1:13">
      <c r="A89" s="185"/>
      <c r="G89" s="156"/>
      <c r="H89" s="168">
        <v>84</v>
      </c>
      <c r="I89" s="169" t="str">
        <f t="shared" si="6"/>
        <v/>
      </c>
      <c r="J89" s="169">
        <f t="shared" si="10"/>
        <v>-1</v>
      </c>
      <c r="K89" s="168">
        <f t="shared" si="7"/>
        <v>-10</v>
      </c>
      <c r="L89" s="168"/>
      <c r="M89" s="170">
        <f t="shared" si="8"/>
        <v>0</v>
      </c>
    </row>
    <row r="90" spans="1:13">
      <c r="A90" s="185"/>
      <c r="G90" s="156"/>
      <c r="H90" s="168">
        <v>85</v>
      </c>
      <c r="I90" s="169" t="str">
        <f t="shared" si="6"/>
        <v/>
      </c>
      <c r="J90" s="169">
        <f t="shared" si="10"/>
        <v>-1</v>
      </c>
      <c r="K90" s="168">
        <f t="shared" si="7"/>
        <v>-10</v>
      </c>
      <c r="L90" s="168"/>
      <c r="M90" s="170">
        <f t="shared" si="8"/>
        <v>0</v>
      </c>
    </row>
    <row r="91" spans="1:13">
      <c r="A91" s="185"/>
      <c r="G91" s="156"/>
      <c r="H91" s="168">
        <v>86</v>
      </c>
      <c r="I91" s="169" t="str">
        <f t="shared" si="6"/>
        <v/>
      </c>
      <c r="J91" s="169">
        <f t="shared" si="10"/>
        <v>-1</v>
      </c>
      <c r="K91" s="168">
        <f t="shared" si="7"/>
        <v>-10</v>
      </c>
      <c r="L91" s="168"/>
      <c r="M91" s="170">
        <f t="shared" si="8"/>
        <v>0</v>
      </c>
    </row>
    <row r="92" spans="1:13">
      <c r="A92" s="185"/>
      <c r="G92" s="156"/>
      <c r="H92" s="168">
        <v>87</v>
      </c>
      <c r="I92" s="169" t="str">
        <f t="shared" si="6"/>
        <v/>
      </c>
      <c r="J92" s="169">
        <f t="shared" si="10"/>
        <v>-1</v>
      </c>
      <c r="K92" s="168">
        <f t="shared" si="7"/>
        <v>-10</v>
      </c>
      <c r="L92" s="168"/>
      <c r="M92" s="170">
        <f t="shared" si="8"/>
        <v>0</v>
      </c>
    </row>
    <row r="93" spans="1:13">
      <c r="A93" s="185"/>
      <c r="G93" s="156"/>
      <c r="H93" s="168">
        <v>88</v>
      </c>
      <c r="I93" s="169" t="str">
        <f t="shared" si="6"/>
        <v/>
      </c>
      <c r="J93" s="169">
        <f t="shared" si="10"/>
        <v>-1</v>
      </c>
      <c r="K93" s="168">
        <f t="shared" si="7"/>
        <v>-10</v>
      </c>
      <c r="L93" s="168"/>
      <c r="M93" s="170">
        <f t="shared" si="8"/>
        <v>0</v>
      </c>
    </row>
    <row r="94" spans="1:13">
      <c r="A94" s="185"/>
      <c r="G94" s="156"/>
      <c r="H94" s="168">
        <v>89</v>
      </c>
      <c r="I94" s="169" t="str">
        <f t="shared" si="6"/>
        <v/>
      </c>
      <c r="J94" s="169">
        <f t="shared" si="10"/>
        <v>-1</v>
      </c>
      <c r="K94" s="168">
        <f t="shared" si="7"/>
        <v>-10</v>
      </c>
      <c r="L94" s="168"/>
      <c r="M94" s="170">
        <f t="shared" si="8"/>
        <v>0</v>
      </c>
    </row>
    <row r="95" spans="1:13">
      <c r="A95" s="185"/>
      <c r="G95" s="156"/>
      <c r="H95" s="168">
        <v>90</v>
      </c>
      <c r="I95" s="169" t="str">
        <f t="shared" si="6"/>
        <v/>
      </c>
      <c r="J95" s="169">
        <f t="shared" si="10"/>
        <v>-1</v>
      </c>
      <c r="K95" s="168">
        <f t="shared" si="7"/>
        <v>-10</v>
      </c>
      <c r="L95" s="168"/>
      <c r="M95" s="170">
        <f t="shared" si="8"/>
        <v>0</v>
      </c>
    </row>
    <row r="96" spans="1:13">
      <c r="A96" s="185"/>
      <c r="G96" s="156"/>
      <c r="H96" s="168">
        <v>91</v>
      </c>
      <c r="I96" s="169" t="str">
        <f t="shared" si="6"/>
        <v/>
      </c>
      <c r="J96" s="169">
        <f t="shared" si="10"/>
        <v>-1</v>
      </c>
      <c r="K96" s="168">
        <f t="shared" si="7"/>
        <v>-10</v>
      </c>
      <c r="L96" s="168"/>
      <c r="M96" s="170">
        <f t="shared" si="8"/>
        <v>0</v>
      </c>
    </row>
    <row r="97" spans="1:13">
      <c r="A97" s="185"/>
      <c r="G97" s="156"/>
      <c r="H97" s="168">
        <v>92</v>
      </c>
      <c r="I97" s="169" t="str">
        <f t="shared" si="6"/>
        <v/>
      </c>
      <c r="J97" s="169">
        <f t="shared" si="10"/>
        <v>-1</v>
      </c>
      <c r="K97" s="168">
        <f t="shared" si="7"/>
        <v>-10</v>
      </c>
      <c r="L97" s="168"/>
      <c r="M97" s="170">
        <f t="shared" si="8"/>
        <v>0</v>
      </c>
    </row>
    <row r="98" spans="1:13">
      <c r="A98" s="185"/>
      <c r="G98" s="156"/>
      <c r="H98" s="168">
        <v>93</v>
      </c>
      <c r="I98" s="169" t="str">
        <f t="shared" si="6"/>
        <v/>
      </c>
      <c r="J98" s="169">
        <f t="shared" si="10"/>
        <v>-1</v>
      </c>
      <c r="K98" s="168">
        <f t="shared" si="7"/>
        <v>-10</v>
      </c>
      <c r="L98" s="168"/>
      <c r="M98" s="170">
        <f t="shared" si="8"/>
        <v>0</v>
      </c>
    </row>
    <row r="99" spans="1:13">
      <c r="A99" s="185"/>
      <c r="G99" s="156"/>
      <c r="H99" s="168">
        <v>94</v>
      </c>
      <c r="I99" s="169" t="str">
        <f t="shared" si="6"/>
        <v/>
      </c>
      <c r="J99" s="169">
        <f t="shared" si="10"/>
        <v>-1</v>
      </c>
      <c r="K99" s="168">
        <f t="shared" si="7"/>
        <v>-10</v>
      </c>
      <c r="L99" s="168"/>
      <c r="M99" s="170">
        <f t="shared" si="8"/>
        <v>0</v>
      </c>
    </row>
    <row r="100" spans="1:13">
      <c r="A100" s="185"/>
      <c r="G100" s="156"/>
      <c r="H100" s="168">
        <v>95</v>
      </c>
      <c r="I100" s="169" t="str">
        <f t="shared" si="6"/>
        <v/>
      </c>
      <c r="J100" s="169">
        <f t="shared" si="10"/>
        <v>-1</v>
      </c>
      <c r="K100" s="168">
        <f t="shared" si="7"/>
        <v>-10</v>
      </c>
      <c r="L100" s="168"/>
      <c r="M100" s="170">
        <f t="shared" si="8"/>
        <v>0</v>
      </c>
    </row>
    <row r="101" spans="1:13">
      <c r="A101" s="185"/>
      <c r="G101" s="156"/>
      <c r="H101" s="168">
        <v>96</v>
      </c>
      <c r="I101" s="169" t="str">
        <f t="shared" si="6"/>
        <v/>
      </c>
      <c r="J101" s="169">
        <f t="shared" si="10"/>
        <v>-1</v>
      </c>
      <c r="K101" s="168">
        <f t="shared" si="7"/>
        <v>-10</v>
      </c>
      <c r="L101" s="168"/>
      <c r="M101" s="170">
        <f t="shared" si="8"/>
        <v>0</v>
      </c>
    </row>
    <row r="102" spans="1:13">
      <c r="A102" s="185"/>
      <c r="G102" s="156"/>
      <c r="H102" s="168">
        <v>97</v>
      </c>
      <c r="I102" s="169" t="str">
        <f t="shared" si="6"/>
        <v/>
      </c>
      <c r="J102" s="169">
        <f t="shared" si="10"/>
        <v>-1</v>
      </c>
      <c r="K102" s="168">
        <f t="shared" si="7"/>
        <v>-10</v>
      </c>
      <c r="L102" s="168"/>
      <c r="M102" s="170">
        <f t="shared" si="8"/>
        <v>0</v>
      </c>
    </row>
    <row r="103" spans="1:13">
      <c r="A103" s="185"/>
      <c r="G103" s="156"/>
      <c r="H103" s="168">
        <v>98</v>
      </c>
      <c r="I103" s="169" t="str">
        <f t="shared" si="6"/>
        <v/>
      </c>
      <c r="J103" s="169">
        <f t="shared" si="10"/>
        <v>-1</v>
      </c>
      <c r="K103" s="168">
        <f t="shared" si="7"/>
        <v>-10</v>
      </c>
      <c r="L103" s="168"/>
      <c r="M103" s="170">
        <f t="shared" si="8"/>
        <v>0</v>
      </c>
    </row>
    <row r="104" spans="1:13">
      <c r="A104" s="185"/>
      <c r="G104" s="156"/>
      <c r="H104" s="168">
        <v>99</v>
      </c>
      <c r="I104" s="169" t="str">
        <f t="shared" si="6"/>
        <v/>
      </c>
      <c r="J104" s="169">
        <f t="shared" si="10"/>
        <v>-1</v>
      </c>
      <c r="K104" s="168">
        <f t="shared" si="7"/>
        <v>-10</v>
      </c>
      <c r="L104" s="168"/>
      <c r="M104" s="170">
        <f t="shared" si="8"/>
        <v>0</v>
      </c>
    </row>
    <row r="105" spans="1:13">
      <c r="A105" s="185"/>
      <c r="G105" s="156"/>
      <c r="H105" s="168">
        <v>100</v>
      </c>
      <c r="I105" s="169" t="str">
        <f t="shared" si="6"/>
        <v/>
      </c>
      <c r="J105" s="169">
        <f t="shared" si="10"/>
        <v>-1</v>
      </c>
      <c r="K105" s="168">
        <f t="shared" si="7"/>
        <v>-10</v>
      </c>
      <c r="L105" s="168"/>
      <c r="M105" s="170">
        <f t="shared" si="8"/>
        <v>0</v>
      </c>
    </row>
    <row r="106" spans="1:13">
      <c r="A106" s="185"/>
      <c r="G106" s="156"/>
      <c r="H106" s="168">
        <v>101</v>
      </c>
      <c r="I106" s="169" t="str">
        <f t="shared" si="6"/>
        <v/>
      </c>
      <c r="J106" s="169">
        <f t="shared" si="10"/>
        <v>-1</v>
      </c>
      <c r="K106" s="168">
        <f t="shared" si="7"/>
        <v>-10</v>
      </c>
      <c r="L106" s="168"/>
      <c r="M106" s="170">
        <f t="shared" si="8"/>
        <v>0</v>
      </c>
    </row>
    <row r="107" spans="1:13">
      <c r="A107" s="185"/>
      <c r="G107" s="156"/>
      <c r="H107" s="168">
        <v>102</v>
      </c>
      <c r="I107" s="169" t="str">
        <f t="shared" si="6"/>
        <v/>
      </c>
      <c r="J107" s="169">
        <f t="shared" si="10"/>
        <v>-1</v>
      </c>
      <c r="K107" s="168">
        <f t="shared" si="7"/>
        <v>-10</v>
      </c>
      <c r="L107" s="168"/>
      <c r="M107" s="170">
        <f t="shared" si="8"/>
        <v>0</v>
      </c>
    </row>
    <row r="108" spans="1:13">
      <c r="A108" s="185"/>
      <c r="G108" s="156"/>
      <c r="H108" s="168">
        <v>103</v>
      </c>
      <c r="I108" s="169" t="str">
        <f t="shared" si="6"/>
        <v/>
      </c>
      <c r="J108" s="169">
        <f t="shared" si="10"/>
        <v>-1</v>
      </c>
      <c r="K108" s="168">
        <f t="shared" si="7"/>
        <v>-10</v>
      </c>
      <c r="L108" s="168"/>
      <c r="M108" s="170">
        <f t="shared" si="8"/>
        <v>0</v>
      </c>
    </row>
    <row r="109" spans="1:13">
      <c r="A109" s="185"/>
      <c r="G109" s="156"/>
      <c r="H109" s="168">
        <v>104</v>
      </c>
      <c r="I109" s="169" t="str">
        <f t="shared" si="6"/>
        <v/>
      </c>
      <c r="J109" s="169">
        <f t="shared" si="10"/>
        <v>-1</v>
      </c>
      <c r="K109" s="168">
        <f t="shared" si="7"/>
        <v>-10</v>
      </c>
      <c r="L109" s="168"/>
      <c r="M109" s="170">
        <f t="shared" si="8"/>
        <v>0</v>
      </c>
    </row>
    <row r="110" spans="1:13">
      <c r="A110" s="185"/>
      <c r="G110" s="156"/>
      <c r="H110" s="168">
        <v>105</v>
      </c>
      <c r="I110" s="169" t="str">
        <f t="shared" si="6"/>
        <v/>
      </c>
      <c r="J110" s="169">
        <f t="shared" si="10"/>
        <v>-1</v>
      </c>
      <c r="K110" s="168">
        <f t="shared" si="7"/>
        <v>-10</v>
      </c>
      <c r="L110" s="168"/>
      <c r="M110" s="170">
        <f t="shared" si="8"/>
        <v>0</v>
      </c>
    </row>
    <row r="111" spans="1:13">
      <c r="A111" s="185"/>
      <c r="G111" s="156"/>
      <c r="H111" s="168">
        <v>106</v>
      </c>
      <c r="I111" s="169" t="str">
        <f t="shared" si="6"/>
        <v/>
      </c>
      <c r="J111" s="169">
        <f t="shared" si="10"/>
        <v>-1</v>
      </c>
      <c r="K111" s="168">
        <f t="shared" si="7"/>
        <v>-10</v>
      </c>
      <c r="L111" s="168"/>
      <c r="M111" s="170">
        <f t="shared" si="8"/>
        <v>0</v>
      </c>
    </row>
    <row r="112" spans="1:13">
      <c r="A112" s="185"/>
      <c r="G112" s="156"/>
      <c r="H112" s="168">
        <v>107</v>
      </c>
      <c r="I112" s="169" t="str">
        <f t="shared" si="6"/>
        <v/>
      </c>
      <c r="J112" s="169">
        <f t="shared" si="10"/>
        <v>-1</v>
      </c>
      <c r="K112" s="168">
        <f t="shared" si="7"/>
        <v>-10</v>
      </c>
      <c r="L112" s="168"/>
      <c r="M112" s="170">
        <f t="shared" si="8"/>
        <v>0</v>
      </c>
    </row>
    <row r="113" spans="1:13">
      <c r="A113" s="185"/>
      <c r="G113" s="156"/>
      <c r="H113" s="168">
        <v>108</v>
      </c>
      <c r="I113" s="169" t="str">
        <f t="shared" si="6"/>
        <v/>
      </c>
      <c r="J113" s="169">
        <f t="shared" si="10"/>
        <v>-1</v>
      </c>
      <c r="K113" s="168">
        <f t="shared" si="7"/>
        <v>-10</v>
      </c>
      <c r="L113" s="168"/>
      <c r="M113" s="170">
        <f t="shared" si="8"/>
        <v>0</v>
      </c>
    </row>
    <row r="114" spans="1:13">
      <c r="A114" s="185"/>
      <c r="G114" s="156"/>
      <c r="H114" s="168">
        <v>109</v>
      </c>
      <c r="I114" s="169" t="str">
        <f t="shared" si="6"/>
        <v/>
      </c>
      <c r="J114" s="169">
        <f t="shared" si="10"/>
        <v>-1</v>
      </c>
      <c r="K114" s="168">
        <f t="shared" si="7"/>
        <v>-10</v>
      </c>
      <c r="L114" s="168"/>
      <c r="M114" s="170">
        <f t="shared" si="8"/>
        <v>0</v>
      </c>
    </row>
    <row r="115" spans="1:13">
      <c r="A115" s="185"/>
      <c r="G115" s="156"/>
      <c r="H115" s="168">
        <v>110</v>
      </c>
      <c r="I115" s="169" t="str">
        <f t="shared" si="6"/>
        <v/>
      </c>
      <c r="J115" s="169">
        <f t="shared" si="10"/>
        <v>-1</v>
      </c>
      <c r="K115" s="168">
        <f t="shared" si="7"/>
        <v>-10</v>
      </c>
      <c r="L115" s="168"/>
      <c r="M115" s="170">
        <f t="shared" si="8"/>
        <v>0</v>
      </c>
    </row>
    <row r="116" spans="1:13">
      <c r="A116" s="185"/>
      <c r="G116" s="156"/>
      <c r="H116" s="168">
        <v>111</v>
      </c>
      <c r="I116" s="169" t="str">
        <f t="shared" si="6"/>
        <v/>
      </c>
      <c r="J116" s="169">
        <f t="shared" si="10"/>
        <v>-1</v>
      </c>
      <c r="K116" s="168">
        <f t="shared" si="7"/>
        <v>-10</v>
      </c>
      <c r="L116" s="168"/>
      <c r="M116" s="170">
        <f t="shared" si="8"/>
        <v>0</v>
      </c>
    </row>
    <row r="117" spans="1:13">
      <c r="A117" s="185"/>
      <c r="G117" s="156"/>
      <c r="H117" s="168">
        <v>112</v>
      </c>
      <c r="I117" s="169" t="str">
        <f t="shared" si="6"/>
        <v/>
      </c>
      <c r="J117" s="169">
        <f t="shared" si="10"/>
        <v>-1</v>
      </c>
      <c r="K117" s="168">
        <f t="shared" si="7"/>
        <v>-10</v>
      </c>
      <c r="L117" s="168"/>
      <c r="M117" s="170">
        <f t="shared" si="8"/>
        <v>0</v>
      </c>
    </row>
    <row r="118" spans="1:13">
      <c r="A118" s="185"/>
      <c r="G118" s="156"/>
      <c r="H118" s="168">
        <v>113</v>
      </c>
      <c r="I118" s="169" t="str">
        <f t="shared" si="6"/>
        <v/>
      </c>
      <c r="J118" s="169">
        <f t="shared" si="10"/>
        <v>-1</v>
      </c>
      <c r="K118" s="168">
        <f t="shared" si="7"/>
        <v>-10</v>
      </c>
      <c r="L118" s="168"/>
      <c r="M118" s="170">
        <f t="shared" si="8"/>
        <v>0</v>
      </c>
    </row>
    <row r="119" spans="1:13">
      <c r="A119" s="185"/>
      <c r="G119" s="156"/>
      <c r="H119" s="168">
        <v>114</v>
      </c>
      <c r="I119" s="169" t="str">
        <f t="shared" si="6"/>
        <v/>
      </c>
      <c r="J119" s="169">
        <f t="shared" si="10"/>
        <v>-1</v>
      </c>
      <c r="K119" s="168">
        <f t="shared" si="7"/>
        <v>-10</v>
      </c>
      <c r="L119" s="168"/>
      <c r="M119" s="170">
        <f t="shared" si="8"/>
        <v>0</v>
      </c>
    </row>
    <row r="120" spans="1:13">
      <c r="A120" s="185"/>
      <c r="G120" s="156"/>
      <c r="H120" s="168">
        <v>115</v>
      </c>
      <c r="I120" s="169" t="str">
        <f t="shared" si="6"/>
        <v/>
      </c>
      <c r="J120" s="169">
        <f t="shared" si="10"/>
        <v>-1</v>
      </c>
      <c r="K120" s="168">
        <f t="shared" si="7"/>
        <v>-10</v>
      </c>
      <c r="L120" s="168"/>
      <c r="M120" s="170">
        <f t="shared" si="8"/>
        <v>0</v>
      </c>
    </row>
    <row r="121" spans="1:13">
      <c r="A121" s="185"/>
      <c r="G121" s="156"/>
      <c r="H121" s="168">
        <v>116</v>
      </c>
      <c r="I121" s="169" t="str">
        <f t="shared" si="6"/>
        <v/>
      </c>
      <c r="J121" s="169">
        <f t="shared" si="10"/>
        <v>-1</v>
      </c>
      <c r="K121" s="168">
        <f t="shared" si="7"/>
        <v>-10</v>
      </c>
      <c r="L121" s="168"/>
      <c r="M121" s="170">
        <f t="shared" si="8"/>
        <v>0</v>
      </c>
    </row>
    <row r="122" spans="1:13">
      <c r="A122" s="185"/>
      <c r="G122" s="156"/>
      <c r="H122" s="168">
        <v>117</v>
      </c>
      <c r="I122" s="169" t="str">
        <f t="shared" si="6"/>
        <v/>
      </c>
      <c r="J122" s="169">
        <f t="shared" si="10"/>
        <v>-1</v>
      </c>
      <c r="K122" s="168">
        <f t="shared" si="7"/>
        <v>-10</v>
      </c>
      <c r="L122" s="168"/>
      <c r="M122" s="170">
        <f t="shared" si="8"/>
        <v>0</v>
      </c>
    </row>
    <row r="123" spans="1:13">
      <c r="A123" s="185"/>
      <c r="G123" s="156"/>
      <c r="H123" s="168">
        <v>118</v>
      </c>
      <c r="I123" s="169" t="str">
        <f t="shared" si="6"/>
        <v/>
      </c>
      <c r="J123" s="169">
        <f t="shared" si="10"/>
        <v>-1</v>
      </c>
      <c r="K123" s="168">
        <f t="shared" si="7"/>
        <v>-10</v>
      </c>
      <c r="L123" s="168"/>
      <c r="M123" s="170">
        <f t="shared" si="8"/>
        <v>0</v>
      </c>
    </row>
    <row r="124" spans="1:13">
      <c r="A124" s="185"/>
      <c r="G124" s="156"/>
      <c r="H124" s="168">
        <v>119</v>
      </c>
      <c r="I124" s="169" t="str">
        <f t="shared" si="6"/>
        <v/>
      </c>
      <c r="J124" s="169">
        <f t="shared" si="10"/>
        <v>-1</v>
      </c>
      <c r="K124" s="168">
        <f t="shared" si="7"/>
        <v>-10</v>
      </c>
      <c r="L124" s="168"/>
      <c r="M124" s="170">
        <f t="shared" si="8"/>
        <v>0</v>
      </c>
    </row>
    <row r="125" spans="1:13">
      <c r="A125" s="185"/>
      <c r="G125" s="156"/>
      <c r="H125" s="168">
        <v>120</v>
      </c>
      <c r="I125" s="169" t="str">
        <f t="shared" si="6"/>
        <v/>
      </c>
      <c r="J125" s="169">
        <f t="shared" si="10"/>
        <v>-1</v>
      </c>
      <c r="K125" s="168">
        <f t="shared" si="7"/>
        <v>-10</v>
      </c>
      <c r="L125" s="168"/>
      <c r="M125" s="170">
        <f t="shared" si="8"/>
        <v>0</v>
      </c>
    </row>
    <row r="126" spans="1:13">
      <c r="A126" s="185"/>
      <c r="G126" s="156"/>
      <c r="H126" s="168">
        <v>121</v>
      </c>
      <c r="I126" s="169" t="str">
        <f t="shared" si="6"/>
        <v/>
      </c>
      <c r="J126" s="169">
        <f t="shared" si="10"/>
        <v>-1</v>
      </c>
      <c r="K126" s="168">
        <f t="shared" si="7"/>
        <v>-10</v>
      </c>
      <c r="L126" s="168"/>
      <c r="M126" s="170">
        <f t="shared" si="8"/>
        <v>0</v>
      </c>
    </row>
    <row r="127" spans="1:13">
      <c r="A127" s="185"/>
      <c r="G127" s="156"/>
      <c r="H127" s="168">
        <v>122</v>
      </c>
      <c r="I127" s="169" t="str">
        <f t="shared" si="6"/>
        <v/>
      </c>
      <c r="J127" s="169">
        <f t="shared" si="10"/>
        <v>-1</v>
      </c>
      <c r="K127" s="168">
        <f t="shared" si="7"/>
        <v>-10</v>
      </c>
      <c r="L127" s="168"/>
      <c r="M127" s="170">
        <f t="shared" si="8"/>
        <v>0</v>
      </c>
    </row>
    <row r="128" spans="1:13">
      <c r="A128" s="185"/>
      <c r="G128" s="156"/>
      <c r="H128" s="168">
        <v>123</v>
      </c>
      <c r="I128" s="169" t="str">
        <f t="shared" si="6"/>
        <v/>
      </c>
      <c r="J128" s="169">
        <f t="shared" si="10"/>
        <v>-1</v>
      </c>
      <c r="K128" s="168">
        <f t="shared" si="7"/>
        <v>-10</v>
      </c>
      <c r="L128" s="168"/>
      <c r="M128" s="170">
        <f t="shared" si="8"/>
        <v>0</v>
      </c>
    </row>
    <row r="129" spans="1:13">
      <c r="A129" s="185"/>
      <c r="G129" s="156"/>
      <c r="H129" s="168">
        <v>124</v>
      </c>
      <c r="I129" s="169" t="str">
        <f t="shared" si="6"/>
        <v/>
      </c>
      <c r="J129" s="169">
        <f t="shared" si="10"/>
        <v>-1</v>
      </c>
      <c r="K129" s="168">
        <f t="shared" si="7"/>
        <v>-10</v>
      </c>
      <c r="L129" s="168"/>
      <c r="M129" s="170">
        <f t="shared" si="8"/>
        <v>0</v>
      </c>
    </row>
    <row r="130" spans="1:13">
      <c r="A130" s="185"/>
      <c r="G130" s="156"/>
      <c r="H130" s="168">
        <v>125</v>
      </c>
      <c r="I130" s="169" t="str">
        <f t="shared" si="6"/>
        <v/>
      </c>
      <c r="J130" s="169">
        <f t="shared" si="10"/>
        <v>-1</v>
      </c>
      <c r="K130" s="168">
        <f t="shared" si="7"/>
        <v>-10</v>
      </c>
      <c r="L130" s="168"/>
      <c r="M130" s="170">
        <f t="shared" si="8"/>
        <v>0</v>
      </c>
    </row>
    <row r="131" spans="1:13">
      <c r="A131" s="185"/>
      <c r="G131" s="156"/>
      <c r="H131" s="168">
        <v>126</v>
      </c>
      <c r="I131" s="169" t="str">
        <f t="shared" si="6"/>
        <v/>
      </c>
      <c r="J131" s="169">
        <f t="shared" si="10"/>
        <v>-1</v>
      </c>
      <c r="K131" s="168">
        <f t="shared" si="7"/>
        <v>-10</v>
      </c>
      <c r="L131" s="168"/>
      <c r="M131" s="170">
        <f t="shared" si="8"/>
        <v>0</v>
      </c>
    </row>
    <row r="132" spans="1:13">
      <c r="A132" s="185"/>
      <c r="G132" s="156"/>
      <c r="H132" s="168">
        <v>127</v>
      </c>
      <c r="I132" s="169" t="str">
        <f t="shared" si="6"/>
        <v/>
      </c>
      <c r="J132" s="169">
        <f t="shared" si="10"/>
        <v>-1</v>
      </c>
      <c r="K132" s="168">
        <f t="shared" si="7"/>
        <v>-10</v>
      </c>
      <c r="L132" s="168"/>
      <c r="M132" s="170">
        <f t="shared" si="8"/>
        <v>0</v>
      </c>
    </row>
    <row r="133" spans="1:13">
      <c r="A133" s="185"/>
      <c r="G133" s="156"/>
      <c r="H133" s="168">
        <v>128</v>
      </c>
      <c r="I133" s="169" t="str">
        <f t="shared" si="6"/>
        <v/>
      </c>
      <c r="J133" s="169">
        <f t="shared" si="10"/>
        <v>-1</v>
      </c>
      <c r="K133" s="168">
        <f t="shared" si="7"/>
        <v>-10</v>
      </c>
      <c r="L133" s="168"/>
      <c r="M133" s="170">
        <f t="shared" si="8"/>
        <v>0</v>
      </c>
    </row>
    <row r="134" spans="1:13">
      <c r="A134" s="185"/>
      <c r="G134" s="156"/>
      <c r="H134" s="168">
        <v>129</v>
      </c>
      <c r="I134" s="169" t="str">
        <f t="shared" ref="I134:I197" si="11">IF(H134&lt;$H$2+1,($I$2-($I$2-1)*(LOG(H134)/LOG($H$2))),"")</f>
        <v/>
      </c>
      <c r="J134" s="169">
        <f t="shared" si="10"/>
        <v>-2</v>
      </c>
      <c r="K134" s="168">
        <f t="shared" ref="K134:K197" si="12">J134*$J$2</f>
        <v>-20</v>
      </c>
      <c r="L134" s="168"/>
      <c r="M134" s="170">
        <f t="shared" ref="M134:M197" si="13">IF(I134&lt;&gt;"",K134+I134+L134,0)</f>
        <v>0</v>
      </c>
    </row>
    <row r="135" spans="1:13">
      <c r="A135" s="185"/>
      <c r="G135" s="156"/>
      <c r="H135" s="168">
        <v>130</v>
      </c>
      <c r="I135" s="169" t="str">
        <f t="shared" si="11"/>
        <v/>
      </c>
      <c r="J135" s="169">
        <f t="shared" ref="J135:J198" si="14">INT(LOG($H$2,2))-ROUNDUP(LOG(H135,2),0)+IF(OR($H$2=1,$H$2=2,$H$2=4,$H$2=8,$H$2=16,$H$2=32,$H$2=64,$H$2=128,$H$2=256),0,1)</f>
        <v>-2</v>
      </c>
      <c r="K135" s="168">
        <f t="shared" si="12"/>
        <v>-20</v>
      </c>
      <c r="L135" s="168"/>
      <c r="M135" s="170">
        <f t="shared" si="13"/>
        <v>0</v>
      </c>
    </row>
    <row r="136" spans="1:13">
      <c r="A136" s="185"/>
      <c r="G136" s="156"/>
      <c r="H136" s="168">
        <v>131</v>
      </c>
      <c r="I136" s="169" t="str">
        <f t="shared" si="11"/>
        <v/>
      </c>
      <c r="J136" s="169">
        <f t="shared" si="14"/>
        <v>-2</v>
      </c>
      <c r="K136" s="168">
        <f t="shared" si="12"/>
        <v>-20</v>
      </c>
      <c r="L136" s="168"/>
      <c r="M136" s="170">
        <f t="shared" si="13"/>
        <v>0</v>
      </c>
    </row>
    <row r="137" spans="1:13">
      <c r="A137" s="185"/>
      <c r="G137" s="156"/>
      <c r="H137" s="168">
        <v>132</v>
      </c>
      <c r="I137" s="169" t="str">
        <f t="shared" si="11"/>
        <v/>
      </c>
      <c r="J137" s="169">
        <f t="shared" si="14"/>
        <v>-2</v>
      </c>
      <c r="K137" s="168">
        <f t="shared" si="12"/>
        <v>-20</v>
      </c>
      <c r="L137" s="168"/>
      <c r="M137" s="170">
        <f t="shared" si="13"/>
        <v>0</v>
      </c>
    </row>
    <row r="138" spans="1:13">
      <c r="A138" s="185"/>
      <c r="G138" s="156"/>
      <c r="H138" s="168">
        <v>133</v>
      </c>
      <c r="I138" s="169" t="str">
        <f t="shared" si="11"/>
        <v/>
      </c>
      <c r="J138" s="169">
        <f t="shared" si="14"/>
        <v>-2</v>
      </c>
      <c r="K138" s="168">
        <f t="shared" si="12"/>
        <v>-20</v>
      </c>
      <c r="L138" s="168"/>
      <c r="M138" s="170">
        <f t="shared" si="13"/>
        <v>0</v>
      </c>
    </row>
    <row r="139" spans="1:13">
      <c r="A139" s="185"/>
      <c r="G139" s="156"/>
      <c r="H139" s="168">
        <v>134</v>
      </c>
      <c r="I139" s="169" t="str">
        <f t="shared" si="11"/>
        <v/>
      </c>
      <c r="J139" s="169">
        <f t="shared" si="14"/>
        <v>-2</v>
      </c>
      <c r="K139" s="168">
        <f t="shared" si="12"/>
        <v>-20</v>
      </c>
      <c r="L139" s="168"/>
      <c r="M139" s="170">
        <f t="shared" si="13"/>
        <v>0</v>
      </c>
    </row>
    <row r="140" spans="1:13">
      <c r="A140" s="185"/>
      <c r="G140" s="156"/>
      <c r="H140" s="168">
        <v>135</v>
      </c>
      <c r="I140" s="169" t="str">
        <f t="shared" si="11"/>
        <v/>
      </c>
      <c r="J140" s="169">
        <f t="shared" si="14"/>
        <v>-2</v>
      </c>
      <c r="K140" s="168">
        <f t="shared" si="12"/>
        <v>-20</v>
      </c>
      <c r="L140" s="168"/>
      <c r="M140" s="170">
        <f t="shared" si="13"/>
        <v>0</v>
      </c>
    </row>
    <row r="141" spans="1:13">
      <c r="A141" s="185"/>
      <c r="G141" s="156"/>
      <c r="H141" s="168">
        <v>136</v>
      </c>
      <c r="I141" s="169" t="str">
        <f t="shared" si="11"/>
        <v/>
      </c>
      <c r="J141" s="169">
        <f t="shared" si="14"/>
        <v>-2</v>
      </c>
      <c r="K141" s="168">
        <f t="shared" si="12"/>
        <v>-20</v>
      </c>
      <c r="L141" s="168"/>
      <c r="M141" s="170">
        <f t="shared" si="13"/>
        <v>0</v>
      </c>
    </row>
    <row r="142" spans="1:13">
      <c r="A142" s="185"/>
      <c r="G142" s="156"/>
      <c r="H142" s="168">
        <v>137</v>
      </c>
      <c r="I142" s="169" t="str">
        <f t="shared" si="11"/>
        <v/>
      </c>
      <c r="J142" s="169">
        <f t="shared" si="14"/>
        <v>-2</v>
      </c>
      <c r="K142" s="168">
        <f t="shared" si="12"/>
        <v>-20</v>
      </c>
      <c r="L142" s="168"/>
      <c r="M142" s="170">
        <f t="shared" si="13"/>
        <v>0</v>
      </c>
    </row>
    <row r="143" spans="1:13">
      <c r="A143" s="185"/>
      <c r="G143" s="156"/>
      <c r="H143" s="168">
        <v>138</v>
      </c>
      <c r="I143" s="169" t="str">
        <f t="shared" si="11"/>
        <v/>
      </c>
      <c r="J143" s="169">
        <f t="shared" si="14"/>
        <v>-2</v>
      </c>
      <c r="K143" s="168">
        <f t="shared" si="12"/>
        <v>-20</v>
      </c>
      <c r="L143" s="168"/>
      <c r="M143" s="170">
        <f t="shared" si="13"/>
        <v>0</v>
      </c>
    </row>
    <row r="144" spans="1:13">
      <c r="A144" s="185"/>
      <c r="G144" s="156"/>
      <c r="H144" s="168">
        <v>139</v>
      </c>
      <c r="I144" s="169" t="str">
        <f t="shared" si="11"/>
        <v/>
      </c>
      <c r="J144" s="169">
        <f t="shared" si="14"/>
        <v>-2</v>
      </c>
      <c r="K144" s="168">
        <f t="shared" si="12"/>
        <v>-20</v>
      </c>
      <c r="L144" s="168"/>
      <c r="M144" s="170">
        <f t="shared" si="13"/>
        <v>0</v>
      </c>
    </row>
    <row r="145" spans="1:13">
      <c r="A145" s="185"/>
      <c r="G145" s="156"/>
      <c r="H145" s="168">
        <v>140</v>
      </c>
      <c r="I145" s="169" t="str">
        <f t="shared" si="11"/>
        <v/>
      </c>
      <c r="J145" s="169">
        <f t="shared" si="14"/>
        <v>-2</v>
      </c>
      <c r="K145" s="168">
        <f t="shared" si="12"/>
        <v>-20</v>
      </c>
      <c r="L145" s="168"/>
      <c r="M145" s="170">
        <f t="shared" si="13"/>
        <v>0</v>
      </c>
    </row>
    <row r="146" spans="1:13">
      <c r="A146" s="185"/>
      <c r="G146" s="156"/>
      <c r="H146" s="168">
        <v>141</v>
      </c>
      <c r="I146" s="169" t="str">
        <f t="shared" si="11"/>
        <v/>
      </c>
      <c r="J146" s="169">
        <f t="shared" si="14"/>
        <v>-2</v>
      </c>
      <c r="K146" s="168">
        <f t="shared" si="12"/>
        <v>-20</v>
      </c>
      <c r="L146" s="168"/>
      <c r="M146" s="170">
        <f t="shared" si="13"/>
        <v>0</v>
      </c>
    </row>
    <row r="147" spans="1:13">
      <c r="A147" s="185"/>
      <c r="G147" s="156"/>
      <c r="H147" s="168">
        <v>142</v>
      </c>
      <c r="I147" s="169" t="str">
        <f t="shared" si="11"/>
        <v/>
      </c>
      <c r="J147" s="169">
        <f t="shared" si="14"/>
        <v>-2</v>
      </c>
      <c r="K147" s="168">
        <f t="shared" si="12"/>
        <v>-20</v>
      </c>
      <c r="L147" s="168"/>
      <c r="M147" s="170">
        <f t="shared" si="13"/>
        <v>0</v>
      </c>
    </row>
    <row r="148" spans="1:13">
      <c r="A148" s="185"/>
      <c r="G148" s="156"/>
      <c r="H148" s="168">
        <v>143</v>
      </c>
      <c r="I148" s="169" t="str">
        <f t="shared" si="11"/>
        <v/>
      </c>
      <c r="J148" s="169">
        <f t="shared" si="14"/>
        <v>-2</v>
      </c>
      <c r="K148" s="168">
        <f t="shared" si="12"/>
        <v>-20</v>
      </c>
      <c r="L148" s="168"/>
      <c r="M148" s="170">
        <f t="shared" si="13"/>
        <v>0</v>
      </c>
    </row>
    <row r="149" spans="1:13">
      <c r="A149" s="185"/>
      <c r="G149" s="156"/>
      <c r="H149" s="168">
        <v>144</v>
      </c>
      <c r="I149" s="169" t="str">
        <f t="shared" si="11"/>
        <v/>
      </c>
      <c r="J149" s="169">
        <f t="shared" si="14"/>
        <v>-2</v>
      </c>
      <c r="K149" s="168">
        <f t="shared" si="12"/>
        <v>-20</v>
      </c>
      <c r="L149" s="168"/>
      <c r="M149" s="170">
        <f t="shared" si="13"/>
        <v>0</v>
      </c>
    </row>
    <row r="150" spans="1:13">
      <c r="A150" s="185"/>
      <c r="G150" s="156"/>
      <c r="H150" s="168">
        <v>145</v>
      </c>
      <c r="I150" s="169" t="str">
        <f t="shared" si="11"/>
        <v/>
      </c>
      <c r="J150" s="169">
        <f t="shared" si="14"/>
        <v>-2</v>
      </c>
      <c r="K150" s="168">
        <f t="shared" si="12"/>
        <v>-20</v>
      </c>
      <c r="L150" s="168"/>
      <c r="M150" s="170">
        <f t="shared" si="13"/>
        <v>0</v>
      </c>
    </row>
    <row r="151" spans="1:13">
      <c r="A151" s="185"/>
      <c r="G151" s="156"/>
      <c r="H151" s="168">
        <v>146</v>
      </c>
      <c r="I151" s="169" t="str">
        <f t="shared" si="11"/>
        <v/>
      </c>
      <c r="J151" s="169">
        <f t="shared" si="14"/>
        <v>-2</v>
      </c>
      <c r="K151" s="168">
        <f t="shared" si="12"/>
        <v>-20</v>
      </c>
      <c r="L151" s="168"/>
      <c r="M151" s="170">
        <f t="shared" si="13"/>
        <v>0</v>
      </c>
    </row>
    <row r="152" spans="1:13">
      <c r="A152" s="185"/>
      <c r="G152" s="156"/>
      <c r="H152" s="168">
        <v>147</v>
      </c>
      <c r="I152" s="169" t="str">
        <f t="shared" si="11"/>
        <v/>
      </c>
      <c r="J152" s="169">
        <f t="shared" si="14"/>
        <v>-2</v>
      </c>
      <c r="K152" s="168">
        <f t="shared" si="12"/>
        <v>-20</v>
      </c>
      <c r="L152" s="168"/>
      <c r="M152" s="170">
        <f t="shared" si="13"/>
        <v>0</v>
      </c>
    </row>
    <row r="153" spans="1:13">
      <c r="A153" s="185"/>
      <c r="G153" s="156"/>
      <c r="H153" s="168">
        <v>148</v>
      </c>
      <c r="I153" s="169" t="str">
        <f t="shared" si="11"/>
        <v/>
      </c>
      <c r="J153" s="169">
        <f t="shared" si="14"/>
        <v>-2</v>
      </c>
      <c r="K153" s="168">
        <f t="shared" si="12"/>
        <v>-20</v>
      </c>
      <c r="L153" s="168"/>
      <c r="M153" s="170">
        <f t="shared" si="13"/>
        <v>0</v>
      </c>
    </row>
    <row r="154" spans="1:13">
      <c r="A154" s="185"/>
      <c r="G154" s="156"/>
      <c r="H154" s="168">
        <v>149</v>
      </c>
      <c r="I154" s="169" t="str">
        <f t="shared" si="11"/>
        <v/>
      </c>
      <c r="J154" s="169">
        <f t="shared" si="14"/>
        <v>-2</v>
      </c>
      <c r="K154" s="168">
        <f t="shared" si="12"/>
        <v>-20</v>
      </c>
      <c r="L154" s="168"/>
      <c r="M154" s="170">
        <f t="shared" si="13"/>
        <v>0</v>
      </c>
    </row>
    <row r="155" spans="1:13">
      <c r="A155" s="185"/>
      <c r="G155" s="156"/>
      <c r="H155" s="168">
        <v>150</v>
      </c>
      <c r="I155" s="169" t="str">
        <f t="shared" si="11"/>
        <v/>
      </c>
      <c r="J155" s="169">
        <f t="shared" si="14"/>
        <v>-2</v>
      </c>
      <c r="K155" s="168">
        <f t="shared" si="12"/>
        <v>-20</v>
      </c>
      <c r="L155" s="168"/>
      <c r="M155" s="170">
        <f t="shared" si="13"/>
        <v>0</v>
      </c>
    </row>
    <row r="156" spans="1:13">
      <c r="A156" s="185"/>
      <c r="G156" s="156"/>
      <c r="H156" s="168">
        <v>151</v>
      </c>
      <c r="I156" s="169" t="str">
        <f t="shared" si="11"/>
        <v/>
      </c>
      <c r="J156" s="169">
        <f t="shared" si="14"/>
        <v>-2</v>
      </c>
      <c r="K156" s="168">
        <f t="shared" si="12"/>
        <v>-20</v>
      </c>
      <c r="L156" s="168"/>
      <c r="M156" s="170">
        <f t="shared" si="13"/>
        <v>0</v>
      </c>
    </row>
    <row r="157" spans="1:13">
      <c r="A157" s="185"/>
      <c r="G157" s="156"/>
      <c r="H157" s="168">
        <v>152</v>
      </c>
      <c r="I157" s="169" t="str">
        <f t="shared" si="11"/>
        <v/>
      </c>
      <c r="J157" s="169">
        <f t="shared" si="14"/>
        <v>-2</v>
      </c>
      <c r="K157" s="168">
        <f t="shared" si="12"/>
        <v>-20</v>
      </c>
      <c r="L157" s="168"/>
      <c r="M157" s="170">
        <f t="shared" si="13"/>
        <v>0</v>
      </c>
    </row>
    <row r="158" spans="1:13">
      <c r="A158" s="185"/>
      <c r="G158" s="156"/>
      <c r="H158" s="168">
        <v>153</v>
      </c>
      <c r="I158" s="169" t="str">
        <f t="shared" si="11"/>
        <v/>
      </c>
      <c r="J158" s="169">
        <f t="shared" si="14"/>
        <v>-2</v>
      </c>
      <c r="K158" s="168">
        <f t="shared" si="12"/>
        <v>-20</v>
      </c>
      <c r="L158" s="168"/>
      <c r="M158" s="170">
        <f t="shared" si="13"/>
        <v>0</v>
      </c>
    </row>
    <row r="159" spans="1:13">
      <c r="A159" s="185"/>
      <c r="G159" s="156"/>
      <c r="H159" s="168">
        <v>154</v>
      </c>
      <c r="I159" s="169" t="str">
        <f t="shared" si="11"/>
        <v/>
      </c>
      <c r="J159" s="169">
        <f t="shared" si="14"/>
        <v>-2</v>
      </c>
      <c r="K159" s="168">
        <f t="shared" si="12"/>
        <v>-20</v>
      </c>
      <c r="L159" s="168"/>
      <c r="M159" s="170">
        <f t="shared" si="13"/>
        <v>0</v>
      </c>
    </row>
    <row r="160" spans="1:13">
      <c r="A160" s="185"/>
      <c r="G160" s="156"/>
      <c r="H160" s="168">
        <v>155</v>
      </c>
      <c r="I160" s="169" t="str">
        <f t="shared" si="11"/>
        <v/>
      </c>
      <c r="J160" s="169">
        <f t="shared" si="14"/>
        <v>-2</v>
      </c>
      <c r="K160" s="168">
        <f t="shared" si="12"/>
        <v>-20</v>
      </c>
      <c r="L160" s="168"/>
      <c r="M160" s="170">
        <f t="shared" si="13"/>
        <v>0</v>
      </c>
    </row>
    <row r="161" spans="1:13">
      <c r="A161" s="185"/>
      <c r="G161" s="156"/>
      <c r="H161" s="168">
        <v>156</v>
      </c>
      <c r="I161" s="169" t="str">
        <f t="shared" si="11"/>
        <v/>
      </c>
      <c r="J161" s="169">
        <f t="shared" si="14"/>
        <v>-2</v>
      </c>
      <c r="K161" s="168">
        <f t="shared" si="12"/>
        <v>-20</v>
      </c>
      <c r="L161" s="168"/>
      <c r="M161" s="170">
        <f t="shared" si="13"/>
        <v>0</v>
      </c>
    </row>
    <row r="162" spans="1:13">
      <c r="A162" s="185"/>
      <c r="G162" s="156"/>
      <c r="H162" s="168">
        <v>157</v>
      </c>
      <c r="I162" s="169" t="str">
        <f t="shared" si="11"/>
        <v/>
      </c>
      <c r="J162" s="169">
        <f t="shared" si="14"/>
        <v>-2</v>
      </c>
      <c r="K162" s="168">
        <f t="shared" si="12"/>
        <v>-20</v>
      </c>
      <c r="L162" s="168"/>
      <c r="M162" s="170">
        <f t="shared" si="13"/>
        <v>0</v>
      </c>
    </row>
    <row r="163" spans="1:13">
      <c r="A163" s="185"/>
      <c r="G163" s="156"/>
      <c r="H163" s="168">
        <v>158</v>
      </c>
      <c r="I163" s="169" t="str">
        <f t="shared" si="11"/>
        <v/>
      </c>
      <c r="J163" s="169">
        <f t="shared" si="14"/>
        <v>-2</v>
      </c>
      <c r="K163" s="168">
        <f t="shared" si="12"/>
        <v>-20</v>
      </c>
      <c r="L163" s="168"/>
      <c r="M163" s="170">
        <f t="shared" si="13"/>
        <v>0</v>
      </c>
    </row>
    <row r="164" spans="1:13">
      <c r="A164" s="185"/>
      <c r="G164" s="156"/>
      <c r="H164" s="168">
        <v>159</v>
      </c>
      <c r="I164" s="169" t="str">
        <f t="shared" si="11"/>
        <v/>
      </c>
      <c r="J164" s="169">
        <f t="shared" si="14"/>
        <v>-2</v>
      </c>
      <c r="K164" s="168">
        <f t="shared" si="12"/>
        <v>-20</v>
      </c>
      <c r="L164" s="168"/>
      <c r="M164" s="170">
        <f t="shared" si="13"/>
        <v>0</v>
      </c>
    </row>
    <row r="165" spans="1:13">
      <c r="A165" s="185"/>
      <c r="G165" s="156"/>
      <c r="H165" s="168">
        <v>160</v>
      </c>
      <c r="I165" s="169" t="str">
        <f t="shared" si="11"/>
        <v/>
      </c>
      <c r="J165" s="169">
        <f t="shared" si="14"/>
        <v>-2</v>
      </c>
      <c r="K165" s="168">
        <f t="shared" si="12"/>
        <v>-20</v>
      </c>
      <c r="L165" s="168"/>
      <c r="M165" s="170">
        <f t="shared" si="13"/>
        <v>0</v>
      </c>
    </row>
    <row r="166" spans="1:13">
      <c r="A166" s="185"/>
      <c r="G166" s="156"/>
      <c r="H166" s="168">
        <v>161</v>
      </c>
      <c r="I166" s="169" t="str">
        <f t="shared" si="11"/>
        <v/>
      </c>
      <c r="J166" s="169">
        <f t="shared" si="14"/>
        <v>-2</v>
      </c>
      <c r="K166" s="168">
        <f t="shared" si="12"/>
        <v>-20</v>
      </c>
      <c r="L166" s="168"/>
      <c r="M166" s="170">
        <f t="shared" si="13"/>
        <v>0</v>
      </c>
    </row>
    <row r="167" spans="1:13">
      <c r="A167" s="185"/>
      <c r="G167" s="156"/>
      <c r="H167" s="168">
        <v>162</v>
      </c>
      <c r="I167" s="169" t="str">
        <f t="shared" si="11"/>
        <v/>
      </c>
      <c r="J167" s="169">
        <f t="shared" si="14"/>
        <v>-2</v>
      </c>
      <c r="K167" s="168">
        <f t="shared" si="12"/>
        <v>-20</v>
      </c>
      <c r="L167" s="168"/>
      <c r="M167" s="170">
        <f t="shared" si="13"/>
        <v>0</v>
      </c>
    </row>
    <row r="168" spans="1:13">
      <c r="A168" s="185"/>
      <c r="G168" s="156"/>
      <c r="H168" s="168">
        <v>163</v>
      </c>
      <c r="I168" s="169" t="str">
        <f t="shared" si="11"/>
        <v/>
      </c>
      <c r="J168" s="169">
        <f t="shared" si="14"/>
        <v>-2</v>
      </c>
      <c r="K168" s="168">
        <f t="shared" si="12"/>
        <v>-20</v>
      </c>
      <c r="L168" s="168"/>
      <c r="M168" s="170">
        <f t="shared" si="13"/>
        <v>0</v>
      </c>
    </row>
    <row r="169" spans="1:13">
      <c r="A169" s="185"/>
      <c r="C169" s="184" t="s">
        <v>99</v>
      </c>
      <c r="G169" s="156"/>
      <c r="H169" s="168">
        <v>164</v>
      </c>
      <c r="I169" s="169" t="str">
        <f t="shared" si="11"/>
        <v/>
      </c>
      <c r="J169" s="169">
        <f t="shared" si="14"/>
        <v>-2</v>
      </c>
      <c r="K169" s="168">
        <f t="shared" si="12"/>
        <v>-20</v>
      </c>
      <c r="L169" s="168"/>
      <c r="M169" s="170">
        <f t="shared" si="13"/>
        <v>0</v>
      </c>
    </row>
    <row r="170" spans="1:13">
      <c r="A170" s="185"/>
      <c r="G170" s="156"/>
      <c r="H170" s="168">
        <v>165</v>
      </c>
      <c r="I170" s="169" t="str">
        <f t="shared" si="11"/>
        <v/>
      </c>
      <c r="J170" s="169">
        <f t="shared" si="14"/>
        <v>-2</v>
      </c>
      <c r="K170" s="168">
        <f t="shared" si="12"/>
        <v>-20</v>
      </c>
      <c r="L170" s="168"/>
      <c r="M170" s="170">
        <f t="shared" si="13"/>
        <v>0</v>
      </c>
    </row>
    <row r="171" spans="1:13">
      <c r="A171" s="185"/>
      <c r="G171" s="156"/>
      <c r="H171" s="168">
        <v>166</v>
      </c>
      <c r="I171" s="169" t="str">
        <f t="shared" si="11"/>
        <v/>
      </c>
      <c r="J171" s="169">
        <f t="shared" si="14"/>
        <v>-2</v>
      </c>
      <c r="K171" s="168">
        <f t="shared" si="12"/>
        <v>-20</v>
      </c>
      <c r="L171" s="168"/>
      <c r="M171" s="170">
        <f t="shared" si="13"/>
        <v>0</v>
      </c>
    </row>
    <row r="172" spans="1:13">
      <c r="A172" s="185"/>
      <c r="G172" s="156"/>
      <c r="H172" s="168">
        <v>167</v>
      </c>
      <c r="I172" s="169" t="str">
        <f t="shared" si="11"/>
        <v/>
      </c>
      <c r="J172" s="169">
        <f t="shared" si="14"/>
        <v>-2</v>
      </c>
      <c r="K172" s="168">
        <f t="shared" si="12"/>
        <v>-20</v>
      </c>
      <c r="L172" s="168"/>
      <c r="M172" s="170">
        <f t="shared" si="13"/>
        <v>0</v>
      </c>
    </row>
    <row r="173" spans="1:13">
      <c r="A173" s="185"/>
      <c r="G173" s="156"/>
      <c r="H173" s="168">
        <v>168</v>
      </c>
      <c r="I173" s="169" t="str">
        <f t="shared" si="11"/>
        <v/>
      </c>
      <c r="J173" s="169">
        <f t="shared" si="14"/>
        <v>-2</v>
      </c>
      <c r="K173" s="168">
        <f t="shared" si="12"/>
        <v>-20</v>
      </c>
      <c r="L173" s="168"/>
      <c r="M173" s="170">
        <f t="shared" si="13"/>
        <v>0</v>
      </c>
    </row>
    <row r="174" spans="1:13">
      <c r="A174" s="185"/>
      <c r="G174" s="156"/>
      <c r="H174" s="168">
        <v>169</v>
      </c>
      <c r="I174" s="169" t="str">
        <f t="shared" si="11"/>
        <v/>
      </c>
      <c r="J174" s="169">
        <f t="shared" si="14"/>
        <v>-2</v>
      </c>
      <c r="K174" s="168">
        <f t="shared" si="12"/>
        <v>-20</v>
      </c>
      <c r="L174" s="168"/>
      <c r="M174" s="170">
        <f t="shared" si="13"/>
        <v>0</v>
      </c>
    </row>
    <row r="175" spans="1:13">
      <c r="A175" s="185"/>
      <c r="G175" s="156"/>
      <c r="H175" s="168">
        <v>170</v>
      </c>
      <c r="I175" s="169" t="str">
        <f t="shared" si="11"/>
        <v/>
      </c>
      <c r="J175" s="169">
        <f t="shared" si="14"/>
        <v>-2</v>
      </c>
      <c r="K175" s="168">
        <f t="shared" si="12"/>
        <v>-20</v>
      </c>
      <c r="L175" s="168"/>
      <c r="M175" s="170">
        <f t="shared" si="13"/>
        <v>0</v>
      </c>
    </row>
    <row r="176" spans="1:13">
      <c r="A176" s="185"/>
      <c r="G176" s="156"/>
      <c r="H176" s="168">
        <v>171</v>
      </c>
      <c r="I176" s="169" t="str">
        <f t="shared" si="11"/>
        <v/>
      </c>
      <c r="J176" s="169">
        <f t="shared" si="14"/>
        <v>-2</v>
      </c>
      <c r="K176" s="168">
        <f t="shared" si="12"/>
        <v>-20</v>
      </c>
      <c r="L176" s="168"/>
      <c r="M176" s="170">
        <f t="shared" si="13"/>
        <v>0</v>
      </c>
    </row>
    <row r="177" spans="1:13">
      <c r="A177" s="185"/>
      <c r="G177" s="156"/>
      <c r="H177" s="168">
        <v>172</v>
      </c>
      <c r="I177" s="169" t="str">
        <f t="shared" si="11"/>
        <v/>
      </c>
      <c r="J177" s="169">
        <f t="shared" si="14"/>
        <v>-2</v>
      </c>
      <c r="K177" s="168">
        <f t="shared" si="12"/>
        <v>-20</v>
      </c>
      <c r="L177" s="168"/>
      <c r="M177" s="170">
        <f t="shared" si="13"/>
        <v>0</v>
      </c>
    </row>
    <row r="178" spans="1:13">
      <c r="A178" s="185"/>
      <c r="G178" s="156"/>
      <c r="H178" s="168">
        <v>173</v>
      </c>
      <c r="I178" s="169" t="str">
        <f t="shared" si="11"/>
        <v/>
      </c>
      <c r="J178" s="169">
        <f t="shared" si="14"/>
        <v>-2</v>
      </c>
      <c r="K178" s="168">
        <f t="shared" si="12"/>
        <v>-20</v>
      </c>
      <c r="L178" s="168"/>
      <c r="M178" s="170">
        <f t="shared" si="13"/>
        <v>0</v>
      </c>
    </row>
    <row r="179" spans="1:13">
      <c r="A179" s="185"/>
      <c r="G179" s="156"/>
      <c r="H179" s="168">
        <v>174</v>
      </c>
      <c r="I179" s="169" t="str">
        <f t="shared" si="11"/>
        <v/>
      </c>
      <c r="J179" s="169">
        <f t="shared" si="14"/>
        <v>-2</v>
      </c>
      <c r="K179" s="168">
        <f t="shared" si="12"/>
        <v>-20</v>
      </c>
      <c r="L179" s="168"/>
      <c r="M179" s="170">
        <f t="shared" si="13"/>
        <v>0</v>
      </c>
    </row>
    <row r="180" spans="1:13">
      <c r="A180" s="185"/>
      <c r="G180" s="156"/>
      <c r="H180" s="168">
        <v>175</v>
      </c>
      <c r="I180" s="169" t="str">
        <f t="shared" si="11"/>
        <v/>
      </c>
      <c r="J180" s="169">
        <f t="shared" si="14"/>
        <v>-2</v>
      </c>
      <c r="K180" s="168">
        <f t="shared" si="12"/>
        <v>-20</v>
      </c>
      <c r="L180" s="168"/>
      <c r="M180" s="170">
        <f t="shared" si="13"/>
        <v>0</v>
      </c>
    </row>
    <row r="181" spans="1:13">
      <c r="A181" s="185"/>
      <c r="G181" s="156"/>
      <c r="H181" s="168">
        <v>176</v>
      </c>
      <c r="I181" s="169" t="str">
        <f t="shared" si="11"/>
        <v/>
      </c>
      <c r="J181" s="169">
        <f t="shared" si="14"/>
        <v>-2</v>
      </c>
      <c r="K181" s="168">
        <f t="shared" si="12"/>
        <v>-20</v>
      </c>
      <c r="L181" s="168"/>
      <c r="M181" s="170">
        <f t="shared" si="13"/>
        <v>0</v>
      </c>
    </row>
    <row r="182" spans="1:13">
      <c r="A182" s="185"/>
      <c r="G182" s="156"/>
      <c r="H182" s="168">
        <v>177</v>
      </c>
      <c r="I182" s="169" t="str">
        <f t="shared" si="11"/>
        <v/>
      </c>
      <c r="J182" s="169">
        <f t="shared" si="14"/>
        <v>-2</v>
      </c>
      <c r="K182" s="168">
        <f t="shared" si="12"/>
        <v>-20</v>
      </c>
      <c r="L182" s="168"/>
      <c r="M182" s="170">
        <f t="shared" si="13"/>
        <v>0</v>
      </c>
    </row>
    <row r="183" spans="1:13">
      <c r="A183" s="185"/>
      <c r="G183" s="156"/>
      <c r="H183" s="168">
        <v>178</v>
      </c>
      <c r="I183" s="169" t="str">
        <f t="shared" si="11"/>
        <v/>
      </c>
      <c r="J183" s="169">
        <f t="shared" si="14"/>
        <v>-2</v>
      </c>
      <c r="K183" s="168">
        <f t="shared" si="12"/>
        <v>-20</v>
      </c>
      <c r="L183" s="168"/>
      <c r="M183" s="170">
        <f t="shared" si="13"/>
        <v>0</v>
      </c>
    </row>
    <row r="184" spans="1:13">
      <c r="A184" s="185"/>
      <c r="G184" s="156"/>
      <c r="H184" s="168">
        <v>179</v>
      </c>
      <c r="I184" s="169" t="str">
        <f t="shared" si="11"/>
        <v/>
      </c>
      <c r="J184" s="169">
        <f t="shared" si="14"/>
        <v>-2</v>
      </c>
      <c r="K184" s="168">
        <f t="shared" si="12"/>
        <v>-20</v>
      </c>
      <c r="L184" s="168"/>
      <c r="M184" s="170">
        <f t="shared" si="13"/>
        <v>0</v>
      </c>
    </row>
    <row r="185" spans="1:13">
      <c r="A185" s="185"/>
      <c r="G185" s="156"/>
      <c r="H185" s="168">
        <v>180</v>
      </c>
      <c r="I185" s="169" t="str">
        <f t="shared" si="11"/>
        <v/>
      </c>
      <c r="J185" s="169">
        <f t="shared" si="14"/>
        <v>-2</v>
      </c>
      <c r="K185" s="168">
        <f t="shared" si="12"/>
        <v>-20</v>
      </c>
      <c r="L185" s="168"/>
      <c r="M185" s="170">
        <f t="shared" si="13"/>
        <v>0</v>
      </c>
    </row>
    <row r="186" spans="1:13">
      <c r="A186" s="185"/>
      <c r="G186" s="156"/>
      <c r="H186" s="168">
        <v>181</v>
      </c>
      <c r="I186" s="169" t="str">
        <f t="shared" si="11"/>
        <v/>
      </c>
      <c r="J186" s="169">
        <f t="shared" si="14"/>
        <v>-2</v>
      </c>
      <c r="K186" s="168">
        <f t="shared" si="12"/>
        <v>-20</v>
      </c>
      <c r="L186" s="168"/>
      <c r="M186" s="170">
        <f t="shared" si="13"/>
        <v>0</v>
      </c>
    </row>
    <row r="187" spans="1:13">
      <c r="A187" s="185"/>
      <c r="G187" s="156"/>
      <c r="H187" s="168">
        <v>182</v>
      </c>
      <c r="I187" s="169" t="str">
        <f t="shared" si="11"/>
        <v/>
      </c>
      <c r="J187" s="169">
        <f t="shared" si="14"/>
        <v>-2</v>
      </c>
      <c r="K187" s="168">
        <f t="shared" si="12"/>
        <v>-20</v>
      </c>
      <c r="L187" s="168"/>
      <c r="M187" s="170">
        <f t="shared" si="13"/>
        <v>0</v>
      </c>
    </row>
    <row r="188" spans="1:13">
      <c r="A188" s="185"/>
      <c r="G188" s="156"/>
      <c r="H188" s="168">
        <v>183</v>
      </c>
      <c r="I188" s="169" t="str">
        <f t="shared" si="11"/>
        <v/>
      </c>
      <c r="J188" s="169">
        <f t="shared" si="14"/>
        <v>-2</v>
      </c>
      <c r="K188" s="168">
        <f t="shared" si="12"/>
        <v>-20</v>
      </c>
      <c r="L188" s="168"/>
      <c r="M188" s="170">
        <f t="shared" si="13"/>
        <v>0</v>
      </c>
    </row>
    <row r="189" spans="1:13">
      <c r="A189" s="185"/>
      <c r="G189" s="156"/>
      <c r="H189" s="168">
        <v>184</v>
      </c>
      <c r="I189" s="169" t="str">
        <f t="shared" si="11"/>
        <v/>
      </c>
      <c r="J189" s="169">
        <f t="shared" si="14"/>
        <v>-2</v>
      </c>
      <c r="K189" s="168">
        <f t="shared" si="12"/>
        <v>-20</v>
      </c>
      <c r="L189" s="168"/>
      <c r="M189" s="170">
        <f t="shared" si="13"/>
        <v>0</v>
      </c>
    </row>
    <row r="190" spans="1:13">
      <c r="A190" s="185"/>
      <c r="G190" s="156"/>
      <c r="H190" s="168">
        <v>185</v>
      </c>
      <c r="I190" s="169" t="str">
        <f t="shared" si="11"/>
        <v/>
      </c>
      <c r="J190" s="169">
        <f t="shared" si="14"/>
        <v>-2</v>
      </c>
      <c r="K190" s="168">
        <f t="shared" si="12"/>
        <v>-20</v>
      </c>
      <c r="L190" s="168"/>
      <c r="M190" s="170">
        <f t="shared" si="13"/>
        <v>0</v>
      </c>
    </row>
    <row r="191" spans="1:13">
      <c r="A191" s="185"/>
      <c r="G191" s="156"/>
      <c r="H191" s="168">
        <v>186</v>
      </c>
      <c r="I191" s="169" t="str">
        <f t="shared" si="11"/>
        <v/>
      </c>
      <c r="J191" s="169">
        <f t="shared" si="14"/>
        <v>-2</v>
      </c>
      <c r="K191" s="168">
        <f t="shared" si="12"/>
        <v>-20</v>
      </c>
      <c r="L191" s="168"/>
      <c r="M191" s="170">
        <f t="shared" si="13"/>
        <v>0</v>
      </c>
    </row>
    <row r="192" spans="1:13">
      <c r="A192" s="185"/>
      <c r="G192" s="156"/>
      <c r="H192" s="168">
        <v>187</v>
      </c>
      <c r="I192" s="169" t="str">
        <f t="shared" si="11"/>
        <v/>
      </c>
      <c r="J192" s="169">
        <f t="shared" si="14"/>
        <v>-2</v>
      </c>
      <c r="K192" s="168">
        <f t="shared" si="12"/>
        <v>-20</v>
      </c>
      <c r="L192" s="168"/>
      <c r="M192" s="170">
        <f t="shared" si="13"/>
        <v>0</v>
      </c>
    </row>
    <row r="193" spans="1:13">
      <c r="A193" s="185"/>
      <c r="G193" s="156"/>
      <c r="H193" s="168">
        <v>188</v>
      </c>
      <c r="I193" s="169" t="str">
        <f t="shared" si="11"/>
        <v/>
      </c>
      <c r="J193" s="169">
        <f t="shared" si="14"/>
        <v>-2</v>
      </c>
      <c r="K193" s="168">
        <f t="shared" si="12"/>
        <v>-20</v>
      </c>
      <c r="L193" s="168"/>
      <c r="M193" s="170">
        <f t="shared" si="13"/>
        <v>0</v>
      </c>
    </row>
    <row r="194" spans="1:13">
      <c r="A194" s="185"/>
      <c r="G194" s="156"/>
      <c r="H194" s="168">
        <v>189</v>
      </c>
      <c r="I194" s="169" t="str">
        <f t="shared" si="11"/>
        <v/>
      </c>
      <c r="J194" s="169">
        <f t="shared" si="14"/>
        <v>-2</v>
      </c>
      <c r="K194" s="168">
        <f t="shared" si="12"/>
        <v>-20</v>
      </c>
      <c r="L194" s="168"/>
      <c r="M194" s="170">
        <f t="shared" si="13"/>
        <v>0</v>
      </c>
    </row>
    <row r="195" spans="1:13">
      <c r="A195" s="185"/>
      <c r="G195" s="156"/>
      <c r="H195" s="168">
        <v>190</v>
      </c>
      <c r="I195" s="169" t="str">
        <f t="shared" si="11"/>
        <v/>
      </c>
      <c r="J195" s="169">
        <f t="shared" si="14"/>
        <v>-2</v>
      </c>
      <c r="K195" s="168">
        <f t="shared" si="12"/>
        <v>-20</v>
      </c>
      <c r="L195" s="168"/>
      <c r="M195" s="170">
        <f t="shared" si="13"/>
        <v>0</v>
      </c>
    </row>
    <row r="196" spans="1:13">
      <c r="A196" s="185"/>
      <c r="G196" s="156"/>
      <c r="H196" s="168">
        <v>191</v>
      </c>
      <c r="I196" s="169" t="str">
        <f t="shared" si="11"/>
        <v/>
      </c>
      <c r="J196" s="169">
        <f t="shared" si="14"/>
        <v>-2</v>
      </c>
      <c r="K196" s="168">
        <f t="shared" si="12"/>
        <v>-20</v>
      </c>
      <c r="L196" s="168"/>
      <c r="M196" s="170">
        <f t="shared" si="13"/>
        <v>0</v>
      </c>
    </row>
    <row r="197" spans="1:13">
      <c r="A197" s="185"/>
      <c r="G197" s="156"/>
      <c r="H197" s="168">
        <v>192</v>
      </c>
      <c r="I197" s="169" t="str">
        <f t="shared" si="11"/>
        <v/>
      </c>
      <c r="J197" s="169">
        <f t="shared" si="14"/>
        <v>-2</v>
      </c>
      <c r="K197" s="168">
        <f t="shared" si="12"/>
        <v>-20</v>
      </c>
      <c r="L197" s="168"/>
      <c r="M197" s="170">
        <f t="shared" si="13"/>
        <v>0</v>
      </c>
    </row>
    <row r="198" spans="1:13">
      <c r="A198" s="185"/>
      <c r="G198" s="156"/>
      <c r="H198" s="168">
        <v>193</v>
      </c>
      <c r="I198" s="169" t="str">
        <f t="shared" ref="I198:I261" si="15">IF(H198&lt;$H$2+1,($I$2-($I$2-1)*(LOG(H198)/LOG($H$2))),"")</f>
        <v/>
      </c>
      <c r="J198" s="169">
        <f t="shared" si="14"/>
        <v>-2</v>
      </c>
      <c r="K198" s="168">
        <f t="shared" ref="K198:K261" si="16">J198*$J$2</f>
        <v>-20</v>
      </c>
      <c r="L198" s="168"/>
      <c r="M198" s="170">
        <f t="shared" ref="M198:M261" si="17">IF(I198&lt;&gt;"",K198+I198+L198,0)</f>
        <v>0</v>
      </c>
    </row>
    <row r="199" spans="1:13">
      <c r="A199" s="185"/>
      <c r="G199" s="156"/>
      <c r="H199" s="168">
        <v>194</v>
      </c>
      <c r="I199" s="169" t="str">
        <f t="shared" si="15"/>
        <v/>
      </c>
      <c r="J199" s="169">
        <f t="shared" ref="J199:J262" si="18">INT(LOG($H$2,2))-ROUNDUP(LOG(H199,2),0)+IF(OR($H$2=1,$H$2=2,$H$2=4,$H$2=8,$H$2=16,$H$2=32,$H$2=64,$H$2=128,$H$2=256),0,1)</f>
        <v>-2</v>
      </c>
      <c r="K199" s="168">
        <f t="shared" si="16"/>
        <v>-20</v>
      </c>
      <c r="L199" s="168"/>
      <c r="M199" s="170">
        <f t="shared" si="17"/>
        <v>0</v>
      </c>
    </row>
    <row r="200" spans="1:13">
      <c r="A200" s="185"/>
      <c r="G200" s="156"/>
      <c r="H200" s="168">
        <v>195</v>
      </c>
      <c r="I200" s="169" t="str">
        <f t="shared" si="15"/>
        <v/>
      </c>
      <c r="J200" s="169">
        <f t="shared" si="18"/>
        <v>-2</v>
      </c>
      <c r="K200" s="168">
        <f t="shared" si="16"/>
        <v>-20</v>
      </c>
      <c r="L200" s="168"/>
      <c r="M200" s="170">
        <f t="shared" si="17"/>
        <v>0</v>
      </c>
    </row>
    <row r="201" spans="1:13">
      <c r="A201" s="185"/>
      <c r="G201" s="156"/>
      <c r="H201" s="168">
        <v>196</v>
      </c>
      <c r="I201" s="169" t="str">
        <f t="shared" si="15"/>
        <v/>
      </c>
      <c r="J201" s="169">
        <f t="shared" si="18"/>
        <v>-2</v>
      </c>
      <c r="K201" s="168">
        <f t="shared" si="16"/>
        <v>-20</v>
      </c>
      <c r="L201" s="168"/>
      <c r="M201" s="170">
        <f t="shared" si="17"/>
        <v>0</v>
      </c>
    </row>
    <row r="202" spans="1:13">
      <c r="A202" s="185"/>
      <c r="G202" s="156"/>
      <c r="H202" s="168">
        <v>197</v>
      </c>
      <c r="I202" s="169" t="str">
        <f t="shared" si="15"/>
        <v/>
      </c>
      <c r="J202" s="169">
        <f t="shared" si="18"/>
        <v>-2</v>
      </c>
      <c r="K202" s="168">
        <f t="shared" si="16"/>
        <v>-20</v>
      </c>
      <c r="L202" s="168"/>
      <c r="M202" s="170">
        <f t="shared" si="17"/>
        <v>0</v>
      </c>
    </row>
    <row r="203" spans="1:13">
      <c r="A203" s="185"/>
      <c r="G203" s="156"/>
      <c r="H203" s="168">
        <v>198</v>
      </c>
      <c r="I203" s="169" t="str">
        <f t="shared" si="15"/>
        <v/>
      </c>
      <c r="J203" s="169">
        <f t="shared" si="18"/>
        <v>-2</v>
      </c>
      <c r="K203" s="168">
        <f t="shared" si="16"/>
        <v>-20</v>
      </c>
      <c r="L203" s="168"/>
      <c r="M203" s="170">
        <f t="shared" si="17"/>
        <v>0</v>
      </c>
    </row>
    <row r="204" spans="1:13">
      <c r="A204" s="185"/>
      <c r="G204" s="156"/>
      <c r="H204" s="168">
        <v>199</v>
      </c>
      <c r="I204" s="169" t="str">
        <f t="shared" si="15"/>
        <v/>
      </c>
      <c r="J204" s="169">
        <f t="shared" si="18"/>
        <v>-2</v>
      </c>
      <c r="K204" s="168">
        <f t="shared" si="16"/>
        <v>-20</v>
      </c>
      <c r="L204" s="168"/>
      <c r="M204" s="170">
        <f t="shared" si="17"/>
        <v>0</v>
      </c>
    </row>
    <row r="205" spans="1:13">
      <c r="A205" s="185"/>
      <c r="G205" s="156"/>
      <c r="H205" s="168">
        <v>200</v>
      </c>
      <c r="I205" s="169" t="str">
        <f t="shared" si="15"/>
        <v/>
      </c>
      <c r="J205" s="169">
        <f t="shared" si="18"/>
        <v>-2</v>
      </c>
      <c r="K205" s="168">
        <f t="shared" si="16"/>
        <v>-20</v>
      </c>
      <c r="L205" s="168"/>
      <c r="M205" s="170">
        <f t="shared" si="17"/>
        <v>0</v>
      </c>
    </row>
    <row r="206" spans="1:13">
      <c r="A206" s="185"/>
      <c r="G206" s="156"/>
      <c r="H206" s="168">
        <v>201</v>
      </c>
      <c r="I206" s="169" t="str">
        <f t="shared" si="15"/>
        <v/>
      </c>
      <c r="J206" s="169">
        <f t="shared" si="18"/>
        <v>-2</v>
      </c>
      <c r="K206" s="168">
        <f t="shared" si="16"/>
        <v>-20</v>
      </c>
      <c r="L206" s="168"/>
      <c r="M206" s="170">
        <f t="shared" si="17"/>
        <v>0</v>
      </c>
    </row>
    <row r="207" spans="1:13">
      <c r="A207" s="185"/>
      <c r="G207" s="156"/>
      <c r="H207" s="168">
        <v>202</v>
      </c>
      <c r="I207" s="169" t="str">
        <f t="shared" si="15"/>
        <v/>
      </c>
      <c r="J207" s="169">
        <f t="shared" si="18"/>
        <v>-2</v>
      </c>
      <c r="K207" s="168">
        <f t="shared" si="16"/>
        <v>-20</v>
      </c>
      <c r="L207" s="168"/>
      <c r="M207" s="170">
        <f t="shared" si="17"/>
        <v>0</v>
      </c>
    </row>
    <row r="208" spans="1:13">
      <c r="A208" s="185"/>
      <c r="G208" s="156"/>
      <c r="H208" s="168">
        <v>203</v>
      </c>
      <c r="I208" s="169" t="str">
        <f t="shared" si="15"/>
        <v/>
      </c>
      <c r="J208" s="169">
        <f t="shared" si="18"/>
        <v>-2</v>
      </c>
      <c r="K208" s="168">
        <f t="shared" si="16"/>
        <v>-20</v>
      </c>
      <c r="L208" s="168"/>
      <c r="M208" s="170">
        <f t="shared" si="17"/>
        <v>0</v>
      </c>
    </row>
    <row r="209" spans="1:13">
      <c r="A209" s="185"/>
      <c r="G209" s="156"/>
      <c r="H209" s="168">
        <v>204</v>
      </c>
      <c r="I209" s="169" t="str">
        <f t="shared" si="15"/>
        <v/>
      </c>
      <c r="J209" s="169">
        <f t="shared" si="18"/>
        <v>-2</v>
      </c>
      <c r="K209" s="168">
        <f t="shared" si="16"/>
        <v>-20</v>
      </c>
      <c r="L209" s="168"/>
      <c r="M209" s="170">
        <f t="shared" si="17"/>
        <v>0</v>
      </c>
    </row>
    <row r="210" spans="1:13">
      <c r="A210" s="185"/>
      <c r="G210" s="156"/>
      <c r="H210" s="168">
        <v>205</v>
      </c>
      <c r="I210" s="169" t="str">
        <f t="shared" si="15"/>
        <v/>
      </c>
      <c r="J210" s="169">
        <f t="shared" si="18"/>
        <v>-2</v>
      </c>
      <c r="K210" s="168">
        <f t="shared" si="16"/>
        <v>-20</v>
      </c>
      <c r="L210" s="168"/>
      <c r="M210" s="170">
        <f t="shared" si="17"/>
        <v>0</v>
      </c>
    </row>
    <row r="211" spans="1:13">
      <c r="A211" s="185"/>
      <c r="G211" s="156"/>
      <c r="H211" s="168">
        <v>206</v>
      </c>
      <c r="I211" s="169" t="str">
        <f t="shared" si="15"/>
        <v/>
      </c>
      <c r="J211" s="169">
        <f t="shared" si="18"/>
        <v>-2</v>
      </c>
      <c r="K211" s="168">
        <f t="shared" si="16"/>
        <v>-20</v>
      </c>
      <c r="L211" s="168"/>
      <c r="M211" s="170">
        <f t="shared" si="17"/>
        <v>0</v>
      </c>
    </row>
    <row r="212" spans="1:13">
      <c r="A212" s="185"/>
      <c r="G212" s="156"/>
      <c r="H212" s="168">
        <v>207</v>
      </c>
      <c r="I212" s="169" t="str">
        <f t="shared" si="15"/>
        <v/>
      </c>
      <c r="J212" s="169">
        <f t="shared" si="18"/>
        <v>-2</v>
      </c>
      <c r="K212" s="168">
        <f t="shared" si="16"/>
        <v>-20</v>
      </c>
      <c r="L212" s="168"/>
      <c r="M212" s="170">
        <f t="shared" si="17"/>
        <v>0</v>
      </c>
    </row>
    <row r="213" spans="1:13">
      <c r="A213" s="185"/>
      <c r="G213" s="156"/>
      <c r="H213" s="168">
        <v>208</v>
      </c>
      <c r="I213" s="169" t="str">
        <f t="shared" si="15"/>
        <v/>
      </c>
      <c r="J213" s="169">
        <f t="shared" si="18"/>
        <v>-2</v>
      </c>
      <c r="K213" s="168">
        <f t="shared" si="16"/>
        <v>-20</v>
      </c>
      <c r="L213" s="168"/>
      <c r="M213" s="170">
        <f t="shared" si="17"/>
        <v>0</v>
      </c>
    </row>
    <row r="214" spans="1:13">
      <c r="A214" s="185"/>
      <c r="G214" s="156"/>
      <c r="H214" s="168">
        <v>209</v>
      </c>
      <c r="I214" s="169" t="str">
        <f t="shared" si="15"/>
        <v/>
      </c>
      <c r="J214" s="169">
        <f t="shared" si="18"/>
        <v>-2</v>
      </c>
      <c r="K214" s="168">
        <f t="shared" si="16"/>
        <v>-20</v>
      </c>
      <c r="L214" s="168"/>
      <c r="M214" s="170">
        <f t="shared" si="17"/>
        <v>0</v>
      </c>
    </row>
    <row r="215" spans="1:13">
      <c r="A215" s="185"/>
      <c r="G215" s="156"/>
      <c r="H215" s="168">
        <v>210</v>
      </c>
      <c r="I215" s="169" t="str">
        <f t="shared" si="15"/>
        <v/>
      </c>
      <c r="J215" s="169">
        <f t="shared" si="18"/>
        <v>-2</v>
      </c>
      <c r="K215" s="168">
        <f t="shared" si="16"/>
        <v>-20</v>
      </c>
      <c r="L215" s="168"/>
      <c r="M215" s="170">
        <f t="shared" si="17"/>
        <v>0</v>
      </c>
    </row>
    <row r="216" spans="1:13">
      <c r="A216" s="185"/>
      <c r="G216" s="156"/>
      <c r="H216" s="168">
        <v>211</v>
      </c>
      <c r="I216" s="169" t="str">
        <f t="shared" si="15"/>
        <v/>
      </c>
      <c r="J216" s="169">
        <f t="shared" si="18"/>
        <v>-2</v>
      </c>
      <c r="K216" s="168">
        <f t="shared" si="16"/>
        <v>-20</v>
      </c>
      <c r="L216" s="168"/>
      <c r="M216" s="170">
        <f t="shared" si="17"/>
        <v>0</v>
      </c>
    </row>
    <row r="217" spans="1:13">
      <c r="A217" s="185"/>
      <c r="G217" s="156"/>
      <c r="H217" s="168">
        <v>212</v>
      </c>
      <c r="I217" s="169" t="str">
        <f t="shared" si="15"/>
        <v/>
      </c>
      <c r="J217" s="169">
        <f t="shared" si="18"/>
        <v>-2</v>
      </c>
      <c r="K217" s="168">
        <f t="shared" si="16"/>
        <v>-20</v>
      </c>
      <c r="L217" s="168"/>
      <c r="M217" s="170">
        <f t="shared" si="17"/>
        <v>0</v>
      </c>
    </row>
    <row r="218" spans="1:13">
      <c r="A218" s="185"/>
      <c r="G218" s="156"/>
      <c r="H218" s="168">
        <v>213</v>
      </c>
      <c r="I218" s="169" t="str">
        <f t="shared" si="15"/>
        <v/>
      </c>
      <c r="J218" s="169">
        <f t="shared" si="18"/>
        <v>-2</v>
      </c>
      <c r="K218" s="168">
        <f t="shared" si="16"/>
        <v>-20</v>
      </c>
      <c r="L218" s="168"/>
      <c r="M218" s="170">
        <f t="shared" si="17"/>
        <v>0</v>
      </c>
    </row>
    <row r="219" spans="1:13">
      <c r="A219" s="185"/>
      <c r="G219" s="156"/>
      <c r="H219" s="168">
        <v>214</v>
      </c>
      <c r="I219" s="169" t="str">
        <f t="shared" si="15"/>
        <v/>
      </c>
      <c r="J219" s="169">
        <f t="shared" si="18"/>
        <v>-2</v>
      </c>
      <c r="K219" s="168">
        <f t="shared" si="16"/>
        <v>-20</v>
      </c>
      <c r="L219" s="168"/>
      <c r="M219" s="170">
        <f t="shared" si="17"/>
        <v>0</v>
      </c>
    </row>
    <row r="220" spans="1:13">
      <c r="A220" s="185"/>
      <c r="G220" s="156"/>
      <c r="H220" s="168">
        <v>215</v>
      </c>
      <c r="I220" s="169" t="str">
        <f t="shared" si="15"/>
        <v/>
      </c>
      <c r="J220" s="169">
        <f t="shared" si="18"/>
        <v>-2</v>
      </c>
      <c r="K220" s="168">
        <f t="shared" si="16"/>
        <v>-20</v>
      </c>
      <c r="L220" s="168"/>
      <c r="M220" s="170">
        <f t="shared" si="17"/>
        <v>0</v>
      </c>
    </row>
    <row r="221" spans="1:13">
      <c r="A221" s="185"/>
      <c r="G221" s="156"/>
      <c r="H221" s="168">
        <v>216</v>
      </c>
      <c r="I221" s="169" t="str">
        <f t="shared" si="15"/>
        <v/>
      </c>
      <c r="J221" s="169">
        <f t="shared" si="18"/>
        <v>-2</v>
      </c>
      <c r="K221" s="168">
        <f t="shared" si="16"/>
        <v>-20</v>
      </c>
      <c r="L221" s="168"/>
      <c r="M221" s="170">
        <f t="shared" si="17"/>
        <v>0</v>
      </c>
    </row>
    <row r="222" spans="1:13">
      <c r="A222" s="185"/>
      <c r="G222" s="156"/>
      <c r="H222" s="168">
        <v>217</v>
      </c>
      <c r="I222" s="169" t="str">
        <f t="shared" si="15"/>
        <v/>
      </c>
      <c r="J222" s="169">
        <f t="shared" si="18"/>
        <v>-2</v>
      </c>
      <c r="K222" s="168">
        <f t="shared" si="16"/>
        <v>-20</v>
      </c>
      <c r="L222" s="168"/>
      <c r="M222" s="170">
        <f t="shared" si="17"/>
        <v>0</v>
      </c>
    </row>
    <row r="223" spans="1:13">
      <c r="A223" s="185"/>
      <c r="G223" s="156"/>
      <c r="H223" s="168">
        <v>218</v>
      </c>
      <c r="I223" s="169" t="str">
        <f t="shared" si="15"/>
        <v/>
      </c>
      <c r="J223" s="169">
        <f t="shared" si="18"/>
        <v>-2</v>
      </c>
      <c r="K223" s="168">
        <f t="shared" si="16"/>
        <v>-20</v>
      </c>
      <c r="L223" s="168"/>
      <c r="M223" s="170">
        <f t="shared" si="17"/>
        <v>0</v>
      </c>
    </row>
    <row r="224" spans="1:13">
      <c r="A224" s="185"/>
      <c r="G224" s="156"/>
      <c r="H224" s="168">
        <v>219</v>
      </c>
      <c r="I224" s="169" t="str">
        <f t="shared" si="15"/>
        <v/>
      </c>
      <c r="J224" s="169">
        <f t="shared" si="18"/>
        <v>-2</v>
      </c>
      <c r="K224" s="168">
        <f t="shared" si="16"/>
        <v>-20</v>
      </c>
      <c r="L224" s="168"/>
      <c r="M224" s="170">
        <f t="shared" si="17"/>
        <v>0</v>
      </c>
    </row>
    <row r="225" spans="1:13">
      <c r="A225" s="185"/>
      <c r="G225" s="156"/>
      <c r="H225" s="168">
        <v>220</v>
      </c>
      <c r="I225" s="169" t="str">
        <f t="shared" si="15"/>
        <v/>
      </c>
      <c r="J225" s="169">
        <f t="shared" si="18"/>
        <v>-2</v>
      </c>
      <c r="K225" s="168">
        <f t="shared" si="16"/>
        <v>-20</v>
      </c>
      <c r="L225" s="168"/>
      <c r="M225" s="170">
        <f t="shared" si="17"/>
        <v>0</v>
      </c>
    </row>
    <row r="226" spans="1:13">
      <c r="A226" s="185"/>
      <c r="G226" s="156"/>
      <c r="H226" s="168">
        <v>221</v>
      </c>
      <c r="I226" s="169" t="str">
        <f t="shared" si="15"/>
        <v/>
      </c>
      <c r="J226" s="169">
        <f t="shared" si="18"/>
        <v>-2</v>
      </c>
      <c r="K226" s="168">
        <f t="shared" si="16"/>
        <v>-20</v>
      </c>
      <c r="L226" s="168"/>
      <c r="M226" s="170">
        <f t="shared" si="17"/>
        <v>0</v>
      </c>
    </row>
    <row r="227" spans="1:13">
      <c r="A227" s="185"/>
      <c r="G227" s="156"/>
      <c r="H227" s="168">
        <v>222</v>
      </c>
      <c r="I227" s="169" t="str">
        <f t="shared" si="15"/>
        <v/>
      </c>
      <c r="J227" s="169">
        <f t="shared" si="18"/>
        <v>-2</v>
      </c>
      <c r="K227" s="168">
        <f t="shared" si="16"/>
        <v>-20</v>
      </c>
      <c r="L227" s="168"/>
      <c r="M227" s="170">
        <f t="shared" si="17"/>
        <v>0</v>
      </c>
    </row>
    <row r="228" spans="1:13">
      <c r="A228" s="185"/>
      <c r="G228" s="156"/>
      <c r="H228" s="168">
        <v>223</v>
      </c>
      <c r="I228" s="169" t="str">
        <f t="shared" si="15"/>
        <v/>
      </c>
      <c r="J228" s="169">
        <f t="shared" si="18"/>
        <v>-2</v>
      </c>
      <c r="K228" s="168">
        <f t="shared" si="16"/>
        <v>-20</v>
      </c>
      <c r="L228" s="168"/>
      <c r="M228" s="170">
        <f t="shared" si="17"/>
        <v>0</v>
      </c>
    </row>
    <row r="229" spans="1:13">
      <c r="A229" s="185"/>
      <c r="G229" s="156"/>
      <c r="H229" s="168">
        <v>224</v>
      </c>
      <c r="I229" s="169" t="str">
        <f t="shared" si="15"/>
        <v/>
      </c>
      <c r="J229" s="169">
        <f t="shared" si="18"/>
        <v>-2</v>
      </c>
      <c r="K229" s="168">
        <f t="shared" si="16"/>
        <v>-20</v>
      </c>
      <c r="L229" s="168"/>
      <c r="M229" s="170">
        <f t="shared" si="17"/>
        <v>0</v>
      </c>
    </row>
    <row r="230" spans="1:13">
      <c r="A230" s="185"/>
      <c r="G230" s="156"/>
      <c r="H230" s="168">
        <v>225</v>
      </c>
      <c r="I230" s="169" t="str">
        <f t="shared" si="15"/>
        <v/>
      </c>
      <c r="J230" s="169">
        <f t="shared" si="18"/>
        <v>-2</v>
      </c>
      <c r="K230" s="168">
        <f t="shared" si="16"/>
        <v>-20</v>
      </c>
      <c r="L230" s="168"/>
      <c r="M230" s="170">
        <f t="shared" si="17"/>
        <v>0</v>
      </c>
    </row>
    <row r="231" spans="1:13">
      <c r="A231" s="185"/>
      <c r="G231" s="156"/>
      <c r="H231" s="168">
        <v>226</v>
      </c>
      <c r="I231" s="169" t="str">
        <f t="shared" si="15"/>
        <v/>
      </c>
      <c r="J231" s="169">
        <f t="shared" si="18"/>
        <v>-2</v>
      </c>
      <c r="K231" s="168">
        <f t="shared" si="16"/>
        <v>-20</v>
      </c>
      <c r="L231" s="168"/>
      <c r="M231" s="170">
        <f t="shared" si="17"/>
        <v>0</v>
      </c>
    </row>
    <row r="232" spans="1:13">
      <c r="A232" s="185"/>
      <c r="G232" s="156"/>
      <c r="H232" s="168">
        <v>227</v>
      </c>
      <c r="I232" s="169" t="str">
        <f t="shared" si="15"/>
        <v/>
      </c>
      <c r="J232" s="169">
        <f t="shared" si="18"/>
        <v>-2</v>
      </c>
      <c r="K232" s="168">
        <f t="shared" si="16"/>
        <v>-20</v>
      </c>
      <c r="L232" s="168"/>
      <c r="M232" s="170">
        <f t="shared" si="17"/>
        <v>0</v>
      </c>
    </row>
    <row r="233" spans="1:13">
      <c r="A233" s="185"/>
      <c r="G233" s="156"/>
      <c r="H233" s="168">
        <v>228</v>
      </c>
      <c r="I233" s="169" t="str">
        <f t="shared" si="15"/>
        <v/>
      </c>
      <c r="J233" s="169">
        <f t="shared" si="18"/>
        <v>-2</v>
      </c>
      <c r="K233" s="168">
        <f t="shared" si="16"/>
        <v>-20</v>
      </c>
      <c r="L233" s="168"/>
      <c r="M233" s="170">
        <f t="shared" si="17"/>
        <v>0</v>
      </c>
    </row>
    <row r="234" spans="1:13">
      <c r="A234" s="185"/>
      <c r="G234" s="156"/>
      <c r="H234" s="168">
        <v>229</v>
      </c>
      <c r="I234" s="169" t="str">
        <f t="shared" si="15"/>
        <v/>
      </c>
      <c r="J234" s="169">
        <f t="shared" si="18"/>
        <v>-2</v>
      </c>
      <c r="K234" s="168">
        <f t="shared" si="16"/>
        <v>-20</v>
      </c>
      <c r="L234" s="168"/>
      <c r="M234" s="170">
        <f t="shared" si="17"/>
        <v>0</v>
      </c>
    </row>
    <row r="235" spans="1:13">
      <c r="A235" s="185"/>
      <c r="G235" s="156"/>
      <c r="H235" s="168">
        <v>230</v>
      </c>
      <c r="I235" s="169" t="str">
        <f t="shared" si="15"/>
        <v/>
      </c>
      <c r="J235" s="169">
        <f t="shared" si="18"/>
        <v>-2</v>
      </c>
      <c r="K235" s="168">
        <f t="shared" si="16"/>
        <v>-20</v>
      </c>
      <c r="L235" s="168"/>
      <c r="M235" s="170">
        <f t="shared" si="17"/>
        <v>0</v>
      </c>
    </row>
    <row r="236" spans="1:13">
      <c r="A236" s="185"/>
      <c r="G236" s="156"/>
      <c r="H236" s="168">
        <v>231</v>
      </c>
      <c r="I236" s="169" t="str">
        <f t="shared" si="15"/>
        <v/>
      </c>
      <c r="J236" s="169">
        <f t="shared" si="18"/>
        <v>-2</v>
      </c>
      <c r="K236" s="168">
        <f t="shared" si="16"/>
        <v>-20</v>
      </c>
      <c r="L236" s="168"/>
      <c r="M236" s="170">
        <f t="shared" si="17"/>
        <v>0</v>
      </c>
    </row>
    <row r="237" spans="1:13">
      <c r="A237" s="185"/>
      <c r="G237" s="156"/>
      <c r="H237" s="168">
        <v>232</v>
      </c>
      <c r="I237" s="169" t="str">
        <f t="shared" si="15"/>
        <v/>
      </c>
      <c r="J237" s="169">
        <f t="shared" si="18"/>
        <v>-2</v>
      </c>
      <c r="K237" s="168">
        <f t="shared" si="16"/>
        <v>-20</v>
      </c>
      <c r="L237" s="168"/>
      <c r="M237" s="170">
        <f t="shared" si="17"/>
        <v>0</v>
      </c>
    </row>
    <row r="238" spans="1:13">
      <c r="A238" s="185"/>
      <c r="G238" s="156"/>
      <c r="H238" s="168">
        <v>233</v>
      </c>
      <c r="I238" s="169" t="str">
        <f t="shared" si="15"/>
        <v/>
      </c>
      <c r="J238" s="169">
        <f t="shared" si="18"/>
        <v>-2</v>
      </c>
      <c r="K238" s="168">
        <f t="shared" si="16"/>
        <v>-20</v>
      </c>
      <c r="L238" s="168"/>
      <c r="M238" s="170">
        <f t="shared" si="17"/>
        <v>0</v>
      </c>
    </row>
    <row r="239" spans="1:13">
      <c r="A239" s="185"/>
      <c r="G239" s="156"/>
      <c r="H239" s="168">
        <v>234</v>
      </c>
      <c r="I239" s="169" t="str">
        <f t="shared" si="15"/>
        <v/>
      </c>
      <c r="J239" s="169">
        <f t="shared" si="18"/>
        <v>-2</v>
      </c>
      <c r="K239" s="168">
        <f t="shared" si="16"/>
        <v>-20</v>
      </c>
      <c r="L239" s="168"/>
      <c r="M239" s="170">
        <f t="shared" si="17"/>
        <v>0</v>
      </c>
    </row>
    <row r="240" spans="1:13">
      <c r="A240" s="185"/>
      <c r="G240" s="156"/>
      <c r="H240" s="168">
        <v>235</v>
      </c>
      <c r="I240" s="169" t="str">
        <f t="shared" si="15"/>
        <v/>
      </c>
      <c r="J240" s="169">
        <f t="shared" si="18"/>
        <v>-2</v>
      </c>
      <c r="K240" s="168">
        <f t="shared" si="16"/>
        <v>-20</v>
      </c>
      <c r="L240" s="168"/>
      <c r="M240" s="170">
        <f t="shared" si="17"/>
        <v>0</v>
      </c>
    </row>
    <row r="241" spans="1:13">
      <c r="A241" s="185"/>
      <c r="G241" s="156"/>
      <c r="H241" s="168">
        <v>236</v>
      </c>
      <c r="I241" s="169" t="str">
        <f t="shared" si="15"/>
        <v/>
      </c>
      <c r="J241" s="169">
        <f t="shared" si="18"/>
        <v>-2</v>
      </c>
      <c r="K241" s="168">
        <f t="shared" si="16"/>
        <v>-20</v>
      </c>
      <c r="L241" s="168"/>
      <c r="M241" s="170">
        <f t="shared" si="17"/>
        <v>0</v>
      </c>
    </row>
    <row r="242" spans="1:13">
      <c r="A242" s="185"/>
      <c r="G242" s="156"/>
      <c r="H242" s="168">
        <v>237</v>
      </c>
      <c r="I242" s="169" t="str">
        <f t="shared" si="15"/>
        <v/>
      </c>
      <c r="J242" s="169">
        <f t="shared" si="18"/>
        <v>-2</v>
      </c>
      <c r="K242" s="168">
        <f t="shared" si="16"/>
        <v>-20</v>
      </c>
      <c r="L242" s="168"/>
      <c r="M242" s="170">
        <f t="shared" si="17"/>
        <v>0</v>
      </c>
    </row>
    <row r="243" spans="1:13">
      <c r="A243" s="185"/>
      <c r="G243" s="156"/>
      <c r="H243" s="168">
        <v>238</v>
      </c>
      <c r="I243" s="169" t="str">
        <f t="shared" si="15"/>
        <v/>
      </c>
      <c r="J243" s="169">
        <f t="shared" si="18"/>
        <v>-2</v>
      </c>
      <c r="K243" s="168">
        <f t="shared" si="16"/>
        <v>-20</v>
      </c>
      <c r="L243" s="168"/>
      <c r="M243" s="170">
        <f t="shared" si="17"/>
        <v>0</v>
      </c>
    </row>
    <row r="244" spans="1:13">
      <c r="A244" s="185"/>
      <c r="G244" s="156"/>
      <c r="H244" s="168">
        <v>239</v>
      </c>
      <c r="I244" s="169" t="str">
        <f t="shared" si="15"/>
        <v/>
      </c>
      <c r="J244" s="169">
        <f t="shared" si="18"/>
        <v>-2</v>
      </c>
      <c r="K244" s="168">
        <f t="shared" si="16"/>
        <v>-20</v>
      </c>
      <c r="L244" s="168"/>
      <c r="M244" s="170">
        <f t="shared" si="17"/>
        <v>0</v>
      </c>
    </row>
    <row r="245" spans="1:13">
      <c r="A245" s="185"/>
      <c r="G245" s="156"/>
      <c r="H245" s="168">
        <v>240</v>
      </c>
      <c r="I245" s="169" t="str">
        <f t="shared" si="15"/>
        <v/>
      </c>
      <c r="J245" s="169">
        <f t="shared" si="18"/>
        <v>-2</v>
      </c>
      <c r="K245" s="168">
        <f t="shared" si="16"/>
        <v>-20</v>
      </c>
      <c r="L245" s="168"/>
      <c r="M245" s="170">
        <f t="shared" si="17"/>
        <v>0</v>
      </c>
    </row>
    <row r="246" spans="1:13">
      <c r="A246" s="185"/>
      <c r="G246" s="156"/>
      <c r="H246" s="168">
        <v>241</v>
      </c>
      <c r="I246" s="169" t="str">
        <f t="shared" si="15"/>
        <v/>
      </c>
      <c r="J246" s="169">
        <f t="shared" si="18"/>
        <v>-2</v>
      </c>
      <c r="K246" s="168">
        <f t="shared" si="16"/>
        <v>-20</v>
      </c>
      <c r="L246" s="168"/>
      <c r="M246" s="170">
        <f t="shared" si="17"/>
        <v>0</v>
      </c>
    </row>
    <row r="247" spans="1:13">
      <c r="A247" s="185"/>
      <c r="G247" s="156"/>
      <c r="H247" s="168">
        <v>242</v>
      </c>
      <c r="I247" s="169" t="str">
        <f t="shared" si="15"/>
        <v/>
      </c>
      <c r="J247" s="169">
        <f t="shared" si="18"/>
        <v>-2</v>
      </c>
      <c r="K247" s="168">
        <f t="shared" si="16"/>
        <v>-20</v>
      </c>
      <c r="L247" s="168"/>
      <c r="M247" s="170">
        <f t="shared" si="17"/>
        <v>0</v>
      </c>
    </row>
    <row r="248" spans="1:13">
      <c r="A248" s="185"/>
      <c r="G248" s="156"/>
      <c r="H248" s="168">
        <v>243</v>
      </c>
      <c r="I248" s="169" t="str">
        <f t="shared" si="15"/>
        <v/>
      </c>
      <c r="J248" s="169">
        <f t="shared" si="18"/>
        <v>-2</v>
      </c>
      <c r="K248" s="168">
        <f t="shared" si="16"/>
        <v>-20</v>
      </c>
      <c r="L248" s="168"/>
      <c r="M248" s="170">
        <f t="shared" si="17"/>
        <v>0</v>
      </c>
    </row>
    <row r="249" spans="1:13">
      <c r="A249" s="185"/>
      <c r="G249" s="156"/>
      <c r="H249" s="168">
        <v>244</v>
      </c>
      <c r="I249" s="169" t="str">
        <f t="shared" si="15"/>
        <v/>
      </c>
      <c r="J249" s="169">
        <f t="shared" si="18"/>
        <v>-2</v>
      </c>
      <c r="K249" s="168">
        <f t="shared" si="16"/>
        <v>-20</v>
      </c>
      <c r="L249" s="168"/>
      <c r="M249" s="170">
        <f t="shared" si="17"/>
        <v>0</v>
      </c>
    </row>
    <row r="250" spans="1:13">
      <c r="A250" s="185"/>
      <c r="G250" s="156"/>
      <c r="H250" s="168">
        <v>245</v>
      </c>
      <c r="I250" s="169" t="str">
        <f t="shared" si="15"/>
        <v/>
      </c>
      <c r="J250" s="169">
        <f t="shared" si="18"/>
        <v>-2</v>
      </c>
      <c r="K250" s="168">
        <f t="shared" si="16"/>
        <v>-20</v>
      </c>
      <c r="L250" s="168"/>
      <c r="M250" s="170">
        <f t="shared" si="17"/>
        <v>0</v>
      </c>
    </row>
    <row r="251" spans="1:13">
      <c r="A251" s="185"/>
      <c r="G251" s="156"/>
      <c r="H251" s="168">
        <v>246</v>
      </c>
      <c r="I251" s="169" t="str">
        <f t="shared" si="15"/>
        <v/>
      </c>
      <c r="J251" s="169">
        <f t="shared" si="18"/>
        <v>-2</v>
      </c>
      <c r="K251" s="168">
        <f t="shared" si="16"/>
        <v>-20</v>
      </c>
      <c r="L251" s="168"/>
      <c r="M251" s="170">
        <f t="shared" si="17"/>
        <v>0</v>
      </c>
    </row>
    <row r="252" spans="1:13">
      <c r="A252" s="185"/>
      <c r="G252" s="156"/>
      <c r="H252" s="168">
        <v>247</v>
      </c>
      <c r="I252" s="169" t="str">
        <f t="shared" si="15"/>
        <v/>
      </c>
      <c r="J252" s="169">
        <f t="shared" si="18"/>
        <v>-2</v>
      </c>
      <c r="K252" s="168">
        <f t="shared" si="16"/>
        <v>-20</v>
      </c>
      <c r="L252" s="168"/>
      <c r="M252" s="170">
        <f t="shared" si="17"/>
        <v>0</v>
      </c>
    </row>
    <row r="253" spans="1:13">
      <c r="A253" s="185"/>
      <c r="G253" s="156"/>
      <c r="H253" s="168">
        <v>248</v>
      </c>
      <c r="I253" s="169" t="str">
        <f t="shared" si="15"/>
        <v/>
      </c>
      <c r="J253" s="169">
        <f t="shared" si="18"/>
        <v>-2</v>
      </c>
      <c r="K253" s="168">
        <f t="shared" si="16"/>
        <v>-20</v>
      </c>
      <c r="L253" s="168"/>
      <c r="M253" s="170">
        <f t="shared" si="17"/>
        <v>0</v>
      </c>
    </row>
    <row r="254" spans="1:13">
      <c r="A254" s="185"/>
      <c r="G254" s="156"/>
      <c r="H254" s="168">
        <v>249</v>
      </c>
      <c r="I254" s="169" t="str">
        <f t="shared" si="15"/>
        <v/>
      </c>
      <c r="J254" s="169">
        <f t="shared" si="18"/>
        <v>-2</v>
      </c>
      <c r="K254" s="168">
        <f t="shared" si="16"/>
        <v>-20</v>
      </c>
      <c r="L254" s="168"/>
      <c r="M254" s="170">
        <f t="shared" si="17"/>
        <v>0</v>
      </c>
    </row>
    <row r="255" spans="1:13">
      <c r="A255" s="185"/>
      <c r="G255" s="156"/>
      <c r="H255" s="168">
        <v>250</v>
      </c>
      <c r="I255" s="169" t="str">
        <f t="shared" si="15"/>
        <v/>
      </c>
      <c r="J255" s="169">
        <f t="shared" si="18"/>
        <v>-2</v>
      </c>
      <c r="K255" s="168">
        <f t="shared" si="16"/>
        <v>-20</v>
      </c>
      <c r="L255" s="168"/>
      <c r="M255" s="170">
        <f t="shared" si="17"/>
        <v>0</v>
      </c>
    </row>
    <row r="256" spans="1:13">
      <c r="A256" s="185"/>
      <c r="G256" s="156"/>
      <c r="H256" s="168">
        <v>251</v>
      </c>
      <c r="I256" s="169" t="str">
        <f t="shared" si="15"/>
        <v/>
      </c>
      <c r="J256" s="169">
        <f t="shared" si="18"/>
        <v>-2</v>
      </c>
      <c r="K256" s="168">
        <f t="shared" si="16"/>
        <v>-20</v>
      </c>
      <c r="L256" s="168"/>
      <c r="M256" s="170">
        <f t="shared" si="17"/>
        <v>0</v>
      </c>
    </row>
    <row r="257" spans="1:13">
      <c r="A257" s="185"/>
      <c r="G257" s="156"/>
      <c r="H257" s="168">
        <v>252</v>
      </c>
      <c r="I257" s="169" t="str">
        <f t="shared" si="15"/>
        <v/>
      </c>
      <c r="J257" s="169">
        <f t="shared" si="18"/>
        <v>-2</v>
      </c>
      <c r="K257" s="168">
        <f t="shared" si="16"/>
        <v>-20</v>
      </c>
      <c r="L257" s="168"/>
      <c r="M257" s="170">
        <f t="shared" si="17"/>
        <v>0</v>
      </c>
    </row>
    <row r="258" spans="1:13">
      <c r="A258" s="185"/>
      <c r="G258" s="156"/>
      <c r="H258" s="168">
        <v>253</v>
      </c>
      <c r="I258" s="169" t="str">
        <f t="shared" si="15"/>
        <v/>
      </c>
      <c r="J258" s="169">
        <f t="shared" si="18"/>
        <v>-2</v>
      </c>
      <c r="K258" s="168">
        <f t="shared" si="16"/>
        <v>-20</v>
      </c>
      <c r="L258" s="168"/>
      <c r="M258" s="170">
        <f t="shared" si="17"/>
        <v>0</v>
      </c>
    </row>
    <row r="259" spans="1:13">
      <c r="A259" s="185"/>
      <c r="G259" s="156"/>
      <c r="H259" s="168">
        <v>254</v>
      </c>
      <c r="I259" s="169" t="str">
        <f t="shared" si="15"/>
        <v/>
      </c>
      <c r="J259" s="169">
        <f t="shared" si="18"/>
        <v>-2</v>
      </c>
      <c r="K259" s="168">
        <f t="shared" si="16"/>
        <v>-20</v>
      </c>
      <c r="L259" s="168"/>
      <c r="M259" s="170">
        <f t="shared" si="17"/>
        <v>0</v>
      </c>
    </row>
    <row r="260" spans="1:13">
      <c r="A260" s="185"/>
      <c r="G260" s="156"/>
      <c r="H260" s="168">
        <v>255</v>
      </c>
      <c r="I260" s="169" t="str">
        <f t="shared" si="15"/>
        <v/>
      </c>
      <c r="J260" s="169">
        <f t="shared" si="18"/>
        <v>-2</v>
      </c>
      <c r="K260" s="168">
        <f t="shared" si="16"/>
        <v>-20</v>
      </c>
      <c r="L260" s="168"/>
      <c r="M260" s="170">
        <f t="shared" si="17"/>
        <v>0</v>
      </c>
    </row>
    <row r="261" spans="1:13">
      <c r="A261" s="185"/>
      <c r="G261" s="156"/>
      <c r="H261" s="168">
        <v>256</v>
      </c>
      <c r="I261" s="169" t="str">
        <f t="shared" si="15"/>
        <v/>
      </c>
      <c r="J261" s="169">
        <f t="shared" si="18"/>
        <v>-2</v>
      </c>
      <c r="K261" s="168">
        <f t="shared" si="16"/>
        <v>-20</v>
      </c>
      <c r="L261" s="168"/>
      <c r="M261" s="170">
        <f t="shared" si="17"/>
        <v>0</v>
      </c>
    </row>
    <row r="262" spans="1:13">
      <c r="A262" s="185"/>
      <c r="G262" s="156"/>
      <c r="H262" s="168">
        <v>257</v>
      </c>
      <c r="I262" s="169" t="str">
        <f t="shared" ref="I262:I305" si="19">IF(H262&lt;$H$2+1,($I$2-($I$2-1)*(LOG(H262)/LOG($H$2))),"")</f>
        <v/>
      </c>
      <c r="J262" s="169">
        <f t="shared" si="18"/>
        <v>-3</v>
      </c>
      <c r="K262" s="168">
        <f t="shared" ref="K262:K305" si="20">J262*$J$2</f>
        <v>-30</v>
      </c>
      <c r="L262" s="168"/>
      <c r="M262" s="170">
        <f t="shared" ref="M262:M305" si="21">IF(I262&lt;&gt;"",K262+I262+L262,0)</f>
        <v>0</v>
      </c>
    </row>
    <row r="263" spans="1:13">
      <c r="A263" s="185"/>
      <c r="G263" s="156"/>
      <c r="H263" s="168">
        <v>258</v>
      </c>
      <c r="I263" s="169" t="str">
        <f t="shared" si="19"/>
        <v/>
      </c>
      <c r="J263" s="169">
        <f t="shared" ref="J263:J305" si="22">INT(LOG($H$2,2))-ROUNDUP(LOG(H263,2),0)+IF(OR($H$2=1,$H$2=2,$H$2=4,$H$2=8,$H$2=16,$H$2=32,$H$2=64,$H$2=128,$H$2=256),0,1)</f>
        <v>-3</v>
      </c>
      <c r="K263" s="168">
        <f t="shared" si="20"/>
        <v>-30</v>
      </c>
      <c r="L263" s="168"/>
      <c r="M263" s="170">
        <f t="shared" si="21"/>
        <v>0</v>
      </c>
    </row>
    <row r="264" spans="1:13">
      <c r="A264" s="185"/>
      <c r="G264" s="156"/>
      <c r="H264" s="168">
        <v>259</v>
      </c>
      <c r="I264" s="169" t="str">
        <f t="shared" si="19"/>
        <v/>
      </c>
      <c r="J264" s="169">
        <f t="shared" si="22"/>
        <v>-3</v>
      </c>
      <c r="K264" s="168">
        <f t="shared" si="20"/>
        <v>-30</v>
      </c>
      <c r="L264" s="168"/>
      <c r="M264" s="170">
        <f t="shared" si="21"/>
        <v>0</v>
      </c>
    </row>
    <row r="265" spans="1:13">
      <c r="A265" s="185"/>
      <c r="G265" s="156"/>
      <c r="H265" s="168">
        <v>260</v>
      </c>
      <c r="I265" s="169" t="str">
        <f t="shared" si="19"/>
        <v/>
      </c>
      <c r="J265" s="169">
        <f t="shared" si="22"/>
        <v>-3</v>
      </c>
      <c r="K265" s="168">
        <f t="shared" si="20"/>
        <v>-30</v>
      </c>
      <c r="L265" s="168"/>
      <c r="M265" s="170">
        <f t="shared" si="21"/>
        <v>0</v>
      </c>
    </row>
    <row r="266" spans="1:13">
      <c r="A266" s="185"/>
      <c r="G266" s="156"/>
      <c r="H266" s="168">
        <v>261</v>
      </c>
      <c r="I266" s="169" t="str">
        <f t="shared" si="19"/>
        <v/>
      </c>
      <c r="J266" s="169">
        <f t="shared" si="22"/>
        <v>-3</v>
      </c>
      <c r="K266" s="168">
        <f t="shared" si="20"/>
        <v>-30</v>
      </c>
      <c r="L266" s="168"/>
      <c r="M266" s="170">
        <f t="shared" si="21"/>
        <v>0</v>
      </c>
    </row>
    <row r="267" spans="1:13">
      <c r="A267" s="185"/>
      <c r="G267" s="156"/>
      <c r="H267" s="168">
        <v>262</v>
      </c>
      <c r="I267" s="169" t="str">
        <f t="shared" si="19"/>
        <v/>
      </c>
      <c r="J267" s="169">
        <f t="shared" si="22"/>
        <v>-3</v>
      </c>
      <c r="K267" s="168">
        <f t="shared" si="20"/>
        <v>-30</v>
      </c>
      <c r="L267" s="168"/>
      <c r="M267" s="170">
        <f t="shared" si="21"/>
        <v>0</v>
      </c>
    </row>
    <row r="268" spans="1:13">
      <c r="A268" s="185"/>
      <c r="G268" s="156"/>
      <c r="H268" s="168">
        <v>263</v>
      </c>
      <c r="I268" s="169" t="str">
        <f t="shared" si="19"/>
        <v/>
      </c>
      <c r="J268" s="169">
        <f t="shared" si="22"/>
        <v>-3</v>
      </c>
      <c r="K268" s="168">
        <f t="shared" si="20"/>
        <v>-30</v>
      </c>
      <c r="L268" s="168"/>
      <c r="M268" s="170">
        <f t="shared" si="21"/>
        <v>0</v>
      </c>
    </row>
    <row r="269" spans="1:13">
      <c r="A269" s="185"/>
      <c r="G269" s="156"/>
      <c r="H269" s="168">
        <v>264</v>
      </c>
      <c r="I269" s="169" t="str">
        <f t="shared" si="19"/>
        <v/>
      </c>
      <c r="J269" s="169">
        <f t="shared" si="22"/>
        <v>-3</v>
      </c>
      <c r="K269" s="168">
        <f t="shared" si="20"/>
        <v>-30</v>
      </c>
      <c r="L269" s="168"/>
      <c r="M269" s="170">
        <f t="shared" si="21"/>
        <v>0</v>
      </c>
    </row>
    <row r="270" spans="1:13">
      <c r="A270" s="185"/>
      <c r="G270" s="156"/>
      <c r="H270" s="168">
        <v>265</v>
      </c>
      <c r="I270" s="169" t="str">
        <f t="shared" si="19"/>
        <v/>
      </c>
      <c r="J270" s="169">
        <f t="shared" si="22"/>
        <v>-3</v>
      </c>
      <c r="K270" s="168">
        <f t="shared" si="20"/>
        <v>-30</v>
      </c>
      <c r="L270" s="168"/>
      <c r="M270" s="170">
        <f t="shared" si="21"/>
        <v>0</v>
      </c>
    </row>
    <row r="271" spans="1:13">
      <c r="A271" s="185"/>
      <c r="G271" s="156"/>
      <c r="H271" s="168">
        <v>266</v>
      </c>
      <c r="I271" s="169" t="str">
        <f t="shared" si="19"/>
        <v/>
      </c>
      <c r="J271" s="169">
        <f t="shared" si="22"/>
        <v>-3</v>
      </c>
      <c r="K271" s="168">
        <f t="shared" si="20"/>
        <v>-30</v>
      </c>
      <c r="L271" s="168"/>
      <c r="M271" s="170">
        <f t="shared" si="21"/>
        <v>0</v>
      </c>
    </row>
    <row r="272" spans="1:13">
      <c r="A272" s="185"/>
      <c r="G272" s="156"/>
      <c r="H272" s="168">
        <v>267</v>
      </c>
      <c r="I272" s="169" t="str">
        <f t="shared" si="19"/>
        <v/>
      </c>
      <c r="J272" s="169">
        <f t="shared" si="22"/>
        <v>-3</v>
      </c>
      <c r="K272" s="168">
        <f t="shared" si="20"/>
        <v>-30</v>
      </c>
      <c r="L272" s="168"/>
      <c r="M272" s="170">
        <f t="shared" si="21"/>
        <v>0</v>
      </c>
    </row>
    <row r="273" spans="1:13">
      <c r="A273" s="185"/>
      <c r="G273" s="156"/>
      <c r="H273" s="168">
        <v>268</v>
      </c>
      <c r="I273" s="169" t="str">
        <f t="shared" si="19"/>
        <v/>
      </c>
      <c r="J273" s="169">
        <f t="shared" si="22"/>
        <v>-3</v>
      </c>
      <c r="K273" s="168">
        <f t="shared" si="20"/>
        <v>-30</v>
      </c>
      <c r="L273" s="168"/>
      <c r="M273" s="170">
        <f t="shared" si="21"/>
        <v>0</v>
      </c>
    </row>
    <row r="274" spans="1:13">
      <c r="A274" s="185"/>
      <c r="G274" s="156"/>
      <c r="H274" s="168">
        <v>269</v>
      </c>
      <c r="I274" s="169" t="str">
        <f t="shared" si="19"/>
        <v/>
      </c>
      <c r="J274" s="169">
        <f t="shared" si="22"/>
        <v>-3</v>
      </c>
      <c r="K274" s="168">
        <f t="shared" si="20"/>
        <v>-30</v>
      </c>
      <c r="L274" s="168"/>
      <c r="M274" s="170">
        <f t="shared" si="21"/>
        <v>0</v>
      </c>
    </row>
    <row r="275" spans="1:13">
      <c r="A275" s="185"/>
      <c r="G275" s="156"/>
      <c r="H275" s="168">
        <v>270</v>
      </c>
      <c r="I275" s="169" t="str">
        <f t="shared" si="19"/>
        <v/>
      </c>
      <c r="J275" s="169">
        <f t="shared" si="22"/>
        <v>-3</v>
      </c>
      <c r="K275" s="168">
        <f t="shared" si="20"/>
        <v>-30</v>
      </c>
      <c r="L275" s="168"/>
      <c r="M275" s="170">
        <f t="shared" si="21"/>
        <v>0</v>
      </c>
    </row>
    <row r="276" spans="1:13">
      <c r="A276" s="185"/>
      <c r="G276" s="156"/>
      <c r="H276" s="168">
        <v>271</v>
      </c>
      <c r="I276" s="169" t="str">
        <f t="shared" si="19"/>
        <v/>
      </c>
      <c r="J276" s="169">
        <f t="shared" si="22"/>
        <v>-3</v>
      </c>
      <c r="K276" s="168">
        <f t="shared" si="20"/>
        <v>-30</v>
      </c>
      <c r="L276" s="168"/>
      <c r="M276" s="170">
        <f t="shared" si="21"/>
        <v>0</v>
      </c>
    </row>
    <row r="277" spans="1:13">
      <c r="A277" s="185"/>
      <c r="G277" s="156"/>
      <c r="H277" s="168">
        <v>272</v>
      </c>
      <c r="I277" s="169" t="str">
        <f t="shared" si="19"/>
        <v/>
      </c>
      <c r="J277" s="169">
        <f t="shared" si="22"/>
        <v>-3</v>
      </c>
      <c r="K277" s="168">
        <f t="shared" si="20"/>
        <v>-30</v>
      </c>
      <c r="L277" s="168"/>
      <c r="M277" s="170">
        <f t="shared" si="21"/>
        <v>0</v>
      </c>
    </row>
    <row r="278" spans="1:13">
      <c r="A278" s="185"/>
      <c r="G278" s="156"/>
      <c r="H278" s="168">
        <v>273</v>
      </c>
      <c r="I278" s="169" t="str">
        <f t="shared" si="19"/>
        <v/>
      </c>
      <c r="J278" s="169">
        <f t="shared" si="22"/>
        <v>-3</v>
      </c>
      <c r="K278" s="168">
        <f t="shared" si="20"/>
        <v>-30</v>
      </c>
      <c r="L278" s="168"/>
      <c r="M278" s="170">
        <f t="shared" si="21"/>
        <v>0</v>
      </c>
    </row>
    <row r="279" spans="1:13">
      <c r="A279" s="185"/>
      <c r="G279" s="156"/>
      <c r="H279" s="168">
        <v>274</v>
      </c>
      <c r="I279" s="169" t="str">
        <f t="shared" si="19"/>
        <v/>
      </c>
      <c r="J279" s="169">
        <f t="shared" si="22"/>
        <v>-3</v>
      </c>
      <c r="K279" s="168">
        <f t="shared" si="20"/>
        <v>-30</v>
      </c>
      <c r="L279" s="168"/>
      <c r="M279" s="170">
        <f t="shared" si="21"/>
        <v>0</v>
      </c>
    </row>
    <row r="280" spans="1:13">
      <c r="A280" s="185"/>
      <c r="G280" s="156"/>
      <c r="H280" s="168">
        <v>275</v>
      </c>
      <c r="I280" s="169" t="str">
        <f t="shared" si="19"/>
        <v/>
      </c>
      <c r="J280" s="169">
        <f t="shared" si="22"/>
        <v>-3</v>
      </c>
      <c r="K280" s="168">
        <f t="shared" si="20"/>
        <v>-30</v>
      </c>
      <c r="L280" s="168"/>
      <c r="M280" s="170">
        <f t="shared" si="21"/>
        <v>0</v>
      </c>
    </row>
    <row r="281" spans="1:13">
      <c r="A281" s="185"/>
      <c r="G281" s="156"/>
      <c r="H281" s="168">
        <v>276</v>
      </c>
      <c r="I281" s="169" t="str">
        <f t="shared" si="19"/>
        <v/>
      </c>
      <c r="J281" s="169">
        <f t="shared" si="22"/>
        <v>-3</v>
      </c>
      <c r="K281" s="168">
        <f t="shared" si="20"/>
        <v>-30</v>
      </c>
      <c r="L281" s="168"/>
      <c r="M281" s="170">
        <f t="shared" si="21"/>
        <v>0</v>
      </c>
    </row>
    <row r="282" spans="1:13">
      <c r="A282" s="185"/>
      <c r="G282" s="156"/>
      <c r="H282" s="168">
        <v>277</v>
      </c>
      <c r="I282" s="169" t="str">
        <f t="shared" si="19"/>
        <v/>
      </c>
      <c r="J282" s="169">
        <f t="shared" si="22"/>
        <v>-3</v>
      </c>
      <c r="K282" s="168">
        <f t="shared" si="20"/>
        <v>-30</v>
      </c>
      <c r="L282" s="168"/>
      <c r="M282" s="170">
        <f t="shared" si="21"/>
        <v>0</v>
      </c>
    </row>
    <row r="283" spans="1:13">
      <c r="A283" s="185"/>
      <c r="G283" s="156"/>
      <c r="H283" s="168">
        <v>278</v>
      </c>
      <c r="I283" s="169" t="str">
        <f t="shared" si="19"/>
        <v/>
      </c>
      <c r="J283" s="169">
        <f t="shared" si="22"/>
        <v>-3</v>
      </c>
      <c r="K283" s="168">
        <f t="shared" si="20"/>
        <v>-30</v>
      </c>
      <c r="L283" s="168"/>
      <c r="M283" s="170">
        <f t="shared" si="21"/>
        <v>0</v>
      </c>
    </row>
    <row r="284" spans="1:13">
      <c r="A284" s="185"/>
      <c r="G284" s="156"/>
      <c r="H284" s="168">
        <v>279</v>
      </c>
      <c r="I284" s="169" t="str">
        <f t="shared" si="19"/>
        <v/>
      </c>
      <c r="J284" s="169">
        <f t="shared" si="22"/>
        <v>-3</v>
      </c>
      <c r="K284" s="168">
        <f t="shared" si="20"/>
        <v>-30</v>
      </c>
      <c r="L284" s="168"/>
      <c r="M284" s="170">
        <f t="shared" si="21"/>
        <v>0</v>
      </c>
    </row>
    <row r="285" spans="1:13">
      <c r="A285" s="185"/>
      <c r="G285" s="156"/>
      <c r="H285" s="168">
        <v>280</v>
      </c>
      <c r="I285" s="169" t="str">
        <f t="shared" si="19"/>
        <v/>
      </c>
      <c r="J285" s="169">
        <f t="shared" si="22"/>
        <v>-3</v>
      </c>
      <c r="K285" s="168">
        <f t="shared" si="20"/>
        <v>-30</v>
      </c>
      <c r="L285" s="168"/>
      <c r="M285" s="170">
        <f t="shared" si="21"/>
        <v>0</v>
      </c>
    </row>
    <row r="286" spans="1:13">
      <c r="A286" s="185"/>
      <c r="G286" s="156"/>
      <c r="H286" s="168">
        <v>281</v>
      </c>
      <c r="I286" s="169" t="str">
        <f t="shared" si="19"/>
        <v/>
      </c>
      <c r="J286" s="169">
        <f t="shared" si="22"/>
        <v>-3</v>
      </c>
      <c r="K286" s="168">
        <f t="shared" si="20"/>
        <v>-30</v>
      </c>
      <c r="L286" s="168"/>
      <c r="M286" s="170">
        <f t="shared" si="21"/>
        <v>0</v>
      </c>
    </row>
    <row r="287" spans="1:13">
      <c r="A287" s="185"/>
      <c r="G287" s="156"/>
      <c r="H287" s="168">
        <v>282</v>
      </c>
      <c r="I287" s="169" t="str">
        <f t="shared" si="19"/>
        <v/>
      </c>
      <c r="J287" s="169">
        <f t="shared" si="22"/>
        <v>-3</v>
      </c>
      <c r="K287" s="168">
        <f t="shared" si="20"/>
        <v>-30</v>
      </c>
      <c r="L287" s="168"/>
      <c r="M287" s="170">
        <f t="shared" si="21"/>
        <v>0</v>
      </c>
    </row>
    <row r="288" spans="1:13">
      <c r="A288" s="185"/>
      <c r="G288" s="156"/>
      <c r="H288" s="168">
        <v>283</v>
      </c>
      <c r="I288" s="169" t="str">
        <f t="shared" si="19"/>
        <v/>
      </c>
      <c r="J288" s="169">
        <f t="shared" si="22"/>
        <v>-3</v>
      </c>
      <c r="K288" s="168">
        <f t="shared" si="20"/>
        <v>-30</v>
      </c>
      <c r="L288" s="168"/>
      <c r="M288" s="170">
        <f t="shared" si="21"/>
        <v>0</v>
      </c>
    </row>
    <row r="289" spans="1:13">
      <c r="A289" s="185"/>
      <c r="G289" s="156"/>
      <c r="H289" s="168">
        <v>284</v>
      </c>
      <c r="I289" s="169" t="str">
        <f t="shared" si="19"/>
        <v/>
      </c>
      <c r="J289" s="169">
        <f t="shared" si="22"/>
        <v>-3</v>
      </c>
      <c r="K289" s="168">
        <f t="shared" si="20"/>
        <v>-30</v>
      </c>
      <c r="L289" s="168"/>
      <c r="M289" s="170">
        <f t="shared" si="21"/>
        <v>0</v>
      </c>
    </row>
    <row r="290" spans="1:13">
      <c r="A290" s="185"/>
      <c r="G290" s="156"/>
      <c r="H290" s="168">
        <v>285</v>
      </c>
      <c r="I290" s="169" t="str">
        <f t="shared" si="19"/>
        <v/>
      </c>
      <c r="J290" s="169">
        <f t="shared" si="22"/>
        <v>-3</v>
      </c>
      <c r="K290" s="168">
        <f t="shared" si="20"/>
        <v>-30</v>
      </c>
      <c r="L290" s="168"/>
      <c r="M290" s="170">
        <f t="shared" si="21"/>
        <v>0</v>
      </c>
    </row>
    <row r="291" spans="1:13">
      <c r="A291" s="185"/>
      <c r="G291" s="156"/>
      <c r="H291" s="168">
        <v>286</v>
      </c>
      <c r="I291" s="169" t="str">
        <f t="shared" si="19"/>
        <v/>
      </c>
      <c r="J291" s="169">
        <f t="shared" si="22"/>
        <v>-3</v>
      </c>
      <c r="K291" s="168">
        <f t="shared" si="20"/>
        <v>-30</v>
      </c>
      <c r="L291" s="168"/>
      <c r="M291" s="170">
        <f t="shared" si="21"/>
        <v>0</v>
      </c>
    </row>
    <row r="292" spans="1:13">
      <c r="A292" s="185"/>
      <c r="G292" s="156"/>
      <c r="H292" s="168">
        <v>287</v>
      </c>
      <c r="I292" s="169" t="str">
        <f t="shared" si="19"/>
        <v/>
      </c>
      <c r="J292" s="169">
        <f t="shared" si="22"/>
        <v>-3</v>
      </c>
      <c r="K292" s="168">
        <f t="shared" si="20"/>
        <v>-30</v>
      </c>
      <c r="L292" s="168"/>
      <c r="M292" s="170">
        <f t="shared" si="21"/>
        <v>0</v>
      </c>
    </row>
    <row r="293" spans="1:13">
      <c r="A293" s="185"/>
      <c r="G293" s="156"/>
      <c r="H293" s="168">
        <v>288</v>
      </c>
      <c r="I293" s="169" t="str">
        <f t="shared" si="19"/>
        <v/>
      </c>
      <c r="J293" s="169">
        <f t="shared" si="22"/>
        <v>-3</v>
      </c>
      <c r="K293" s="168">
        <f t="shared" si="20"/>
        <v>-30</v>
      </c>
      <c r="L293" s="168"/>
      <c r="M293" s="170">
        <f t="shared" si="21"/>
        <v>0</v>
      </c>
    </row>
    <row r="294" spans="1:13">
      <c r="A294" s="185"/>
      <c r="G294" s="156"/>
      <c r="H294" s="168">
        <v>289</v>
      </c>
      <c r="I294" s="169" t="str">
        <f t="shared" si="19"/>
        <v/>
      </c>
      <c r="J294" s="169">
        <f t="shared" si="22"/>
        <v>-3</v>
      </c>
      <c r="K294" s="168">
        <f t="shared" si="20"/>
        <v>-30</v>
      </c>
      <c r="L294" s="168"/>
      <c r="M294" s="170">
        <f t="shared" si="21"/>
        <v>0</v>
      </c>
    </row>
    <row r="295" spans="1:13">
      <c r="A295" s="185"/>
      <c r="G295" s="156"/>
      <c r="H295" s="168">
        <v>290</v>
      </c>
      <c r="I295" s="169" t="str">
        <f t="shared" si="19"/>
        <v/>
      </c>
      <c r="J295" s="169">
        <f t="shared" si="22"/>
        <v>-3</v>
      </c>
      <c r="K295" s="168">
        <f t="shared" si="20"/>
        <v>-30</v>
      </c>
      <c r="L295" s="168"/>
      <c r="M295" s="170">
        <f t="shared" si="21"/>
        <v>0</v>
      </c>
    </row>
    <row r="296" spans="1:13">
      <c r="A296" s="185"/>
      <c r="G296" s="156"/>
      <c r="H296" s="168">
        <v>291</v>
      </c>
      <c r="I296" s="169" t="str">
        <f t="shared" si="19"/>
        <v/>
      </c>
      <c r="J296" s="169">
        <f t="shared" si="22"/>
        <v>-3</v>
      </c>
      <c r="K296" s="168">
        <f t="shared" si="20"/>
        <v>-30</v>
      </c>
      <c r="L296" s="168"/>
      <c r="M296" s="170">
        <f t="shared" si="21"/>
        <v>0</v>
      </c>
    </row>
    <row r="297" spans="1:13">
      <c r="A297" s="185"/>
      <c r="G297" s="156"/>
      <c r="H297" s="168">
        <v>292</v>
      </c>
      <c r="I297" s="169" t="str">
        <f t="shared" si="19"/>
        <v/>
      </c>
      <c r="J297" s="169">
        <f t="shared" si="22"/>
        <v>-3</v>
      </c>
      <c r="K297" s="168">
        <f t="shared" si="20"/>
        <v>-30</v>
      </c>
      <c r="L297" s="168"/>
      <c r="M297" s="170">
        <f t="shared" si="21"/>
        <v>0</v>
      </c>
    </row>
    <row r="298" spans="1:13">
      <c r="A298" s="185"/>
      <c r="G298" s="156"/>
      <c r="H298" s="168">
        <v>293</v>
      </c>
      <c r="I298" s="169" t="str">
        <f t="shared" si="19"/>
        <v/>
      </c>
      <c r="J298" s="169">
        <f t="shared" si="22"/>
        <v>-3</v>
      </c>
      <c r="K298" s="168">
        <f t="shared" si="20"/>
        <v>-30</v>
      </c>
      <c r="L298" s="168"/>
      <c r="M298" s="170">
        <f t="shared" si="21"/>
        <v>0</v>
      </c>
    </row>
    <row r="299" spans="1:13">
      <c r="A299" s="185"/>
      <c r="G299" s="156"/>
      <c r="H299" s="168">
        <v>294</v>
      </c>
      <c r="I299" s="169" t="str">
        <f t="shared" si="19"/>
        <v/>
      </c>
      <c r="J299" s="169">
        <f t="shared" si="22"/>
        <v>-3</v>
      </c>
      <c r="K299" s="168">
        <f t="shared" si="20"/>
        <v>-30</v>
      </c>
      <c r="L299" s="168"/>
      <c r="M299" s="170">
        <f t="shared" si="21"/>
        <v>0</v>
      </c>
    </row>
    <row r="300" spans="1:13">
      <c r="A300" s="185"/>
      <c r="G300" s="156"/>
      <c r="H300" s="168">
        <v>295</v>
      </c>
      <c r="I300" s="169" t="str">
        <f t="shared" si="19"/>
        <v/>
      </c>
      <c r="J300" s="169">
        <f t="shared" si="22"/>
        <v>-3</v>
      </c>
      <c r="K300" s="168">
        <f t="shared" si="20"/>
        <v>-30</v>
      </c>
      <c r="L300" s="168"/>
      <c r="M300" s="170">
        <f t="shared" si="21"/>
        <v>0</v>
      </c>
    </row>
    <row r="301" spans="1:13">
      <c r="A301" s="185"/>
      <c r="G301" s="156"/>
      <c r="H301" s="168">
        <v>296</v>
      </c>
      <c r="I301" s="169" t="str">
        <f t="shared" si="19"/>
        <v/>
      </c>
      <c r="J301" s="169">
        <f t="shared" si="22"/>
        <v>-3</v>
      </c>
      <c r="K301" s="168">
        <f t="shared" si="20"/>
        <v>-30</v>
      </c>
      <c r="L301" s="168"/>
      <c r="M301" s="170">
        <f t="shared" si="21"/>
        <v>0</v>
      </c>
    </row>
    <row r="302" spans="1:13">
      <c r="A302" s="185"/>
      <c r="G302" s="156"/>
      <c r="H302" s="168">
        <v>297</v>
      </c>
      <c r="I302" s="169" t="str">
        <f t="shared" si="19"/>
        <v/>
      </c>
      <c r="J302" s="169">
        <f t="shared" si="22"/>
        <v>-3</v>
      </c>
      <c r="K302" s="168">
        <f t="shared" si="20"/>
        <v>-30</v>
      </c>
      <c r="L302" s="168"/>
      <c r="M302" s="170">
        <f t="shared" si="21"/>
        <v>0</v>
      </c>
    </row>
    <row r="303" spans="1:13">
      <c r="A303" s="185"/>
      <c r="G303" s="156"/>
      <c r="H303" s="168">
        <v>298</v>
      </c>
      <c r="I303" s="169" t="str">
        <f t="shared" si="19"/>
        <v/>
      </c>
      <c r="J303" s="169">
        <f t="shared" si="22"/>
        <v>-3</v>
      </c>
      <c r="K303" s="168">
        <f t="shared" si="20"/>
        <v>-30</v>
      </c>
      <c r="L303" s="168"/>
      <c r="M303" s="170">
        <f t="shared" si="21"/>
        <v>0</v>
      </c>
    </row>
    <row r="304" spans="1:13">
      <c r="A304" s="185"/>
      <c r="G304" s="156"/>
      <c r="H304" s="168">
        <v>299</v>
      </c>
      <c r="I304" s="169" t="str">
        <f t="shared" si="19"/>
        <v/>
      </c>
      <c r="J304" s="169">
        <f t="shared" si="22"/>
        <v>-3</v>
      </c>
      <c r="K304" s="168">
        <f t="shared" si="20"/>
        <v>-30</v>
      </c>
      <c r="L304" s="168"/>
      <c r="M304" s="170">
        <f t="shared" si="21"/>
        <v>0</v>
      </c>
    </row>
    <row r="305" spans="1:16">
      <c r="A305" s="185"/>
      <c r="G305" s="156"/>
      <c r="H305" s="168">
        <v>300</v>
      </c>
      <c r="I305" s="169" t="str">
        <f t="shared" si="19"/>
        <v/>
      </c>
      <c r="J305" s="169">
        <f t="shared" si="22"/>
        <v>-3</v>
      </c>
      <c r="K305" s="168">
        <f t="shared" si="20"/>
        <v>-30</v>
      </c>
      <c r="L305" s="168"/>
      <c r="M305" s="170">
        <f t="shared" si="21"/>
        <v>0</v>
      </c>
    </row>
    <row r="306" spans="1:16">
      <c r="A306" s="186"/>
    </row>
    <row r="314" spans="1:16">
      <c r="L314" s="189"/>
      <c r="P314" s="179"/>
    </row>
    <row r="315" spans="1:16">
      <c r="L315" s="189"/>
      <c r="P315" s="179"/>
    </row>
    <row r="316" spans="1:16">
      <c r="L316" s="189"/>
      <c r="P316" s="179"/>
    </row>
    <row r="317" spans="1:16">
      <c r="L317" s="189"/>
      <c r="P317" s="179"/>
    </row>
  </sheetData>
  <conditionalFormatting sqref="J9:K9">
    <cfRule type="cellIs" dxfId="12" priority="1" operator="lessThanOrEqual">
      <formula>0</formula>
    </cfRule>
  </conditionalFormatting>
  <conditionalFormatting sqref="K6:K8 K10:K305">
    <cfRule type="cellIs" dxfId="11" priority="2" operator="lessThanOrEqual">
      <formula>0</formula>
    </cfRule>
  </conditionalFormatting>
  <hyperlinks>
    <hyperlink ref="C2" r:id="rId1" xr:uid="{7709AE79-2FEB-48AD-9A32-2AB7469BBC0F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EACC-6E67-49C6-84E0-6D965D51A221}">
  <sheetPr>
    <tabColor theme="7" tint="0.79998168889431442"/>
  </sheetPr>
  <dimension ref="A1:AL317"/>
  <sheetViews>
    <sheetView topLeftCell="A59" workbookViewId="0">
      <selection activeCell="C77" sqref="C77"/>
    </sheetView>
  </sheetViews>
  <sheetFormatPr defaultColWidth="8.85546875" defaultRowHeight="15"/>
  <cols>
    <col min="1" max="1" width="8" style="104" customWidth="1"/>
    <col min="2" max="2" width="8.28515625" style="104" customWidth="1"/>
    <col min="3" max="3" width="34.7109375" style="104" customWidth="1"/>
    <col min="4" max="4" width="11.28515625" style="104" customWidth="1"/>
    <col min="5" max="6" width="8.85546875" style="104"/>
    <col min="7" max="7" width="0.85546875" style="104" customWidth="1"/>
    <col min="8" max="8" width="8.85546875" style="107"/>
    <col min="9" max="9" width="11" style="107" customWidth="1"/>
    <col min="10" max="10" width="15" style="107" customWidth="1"/>
    <col min="11" max="11" width="8.7109375" style="107" customWidth="1"/>
    <col min="12" max="12" width="11" style="107" customWidth="1"/>
    <col min="13" max="13" width="11.7109375" style="108" customWidth="1"/>
    <col min="14" max="15" width="13.85546875" style="73" customWidth="1"/>
    <col min="16" max="18" width="8.85546875" style="73"/>
    <col min="19" max="20" width="8.85546875" style="78"/>
    <col min="21" max="21" width="12.140625" style="78" customWidth="1"/>
    <col min="22" max="22" width="27.42578125" style="78" customWidth="1"/>
    <col min="23" max="38" width="8.85546875" style="78"/>
    <col min="39" max="16384" width="8.85546875" style="104"/>
  </cols>
  <sheetData>
    <row r="1" spans="1:36">
      <c r="A1" s="73"/>
      <c r="B1" s="73"/>
      <c r="C1" s="73"/>
      <c r="D1" s="73"/>
      <c r="E1" s="73"/>
      <c r="F1" s="73"/>
      <c r="G1" s="73"/>
      <c r="H1" s="74" t="s">
        <v>40</v>
      </c>
      <c r="I1" s="75" t="s">
        <v>41</v>
      </c>
      <c r="J1" s="75" t="s">
        <v>42</v>
      </c>
      <c r="K1" s="76" t="s">
        <v>272</v>
      </c>
      <c r="L1" s="77"/>
      <c r="M1" s="77"/>
    </row>
    <row r="2" spans="1:36">
      <c r="A2" s="73"/>
      <c r="B2" s="47" t="s">
        <v>44</v>
      </c>
      <c r="C2" s="363" t="s">
        <v>276</v>
      </c>
      <c r="D2" s="363"/>
      <c r="E2" s="6"/>
      <c r="F2" s="6"/>
      <c r="G2" s="6"/>
      <c r="H2" s="79">
        <v>64</v>
      </c>
      <c r="I2" s="80">
        <v>50</v>
      </c>
      <c r="J2" s="80">
        <v>10</v>
      </c>
      <c r="K2" s="110">
        <f>3*H2^(1/3)</f>
        <v>11.999999999999996</v>
      </c>
      <c r="L2" s="77"/>
      <c r="M2" s="77"/>
    </row>
    <row r="3" spans="1:36" ht="14.45" customHeight="1">
      <c r="A3" s="73"/>
      <c r="B3" s="81" t="s">
        <v>46</v>
      </c>
      <c r="C3" s="341" t="s">
        <v>277</v>
      </c>
      <c r="D3" s="341"/>
      <c r="E3" s="7"/>
      <c r="F3" s="7"/>
      <c r="G3" s="7"/>
      <c r="H3" s="77"/>
      <c r="I3" s="77"/>
      <c r="J3" s="77"/>
      <c r="K3" s="77"/>
      <c r="L3" s="77"/>
      <c r="M3" s="77"/>
    </row>
    <row r="4" spans="1:36" ht="10.15" customHeight="1">
      <c r="A4" s="8"/>
      <c r="B4" s="7"/>
      <c r="C4" s="8"/>
      <c r="D4" s="8"/>
      <c r="E4" s="8"/>
      <c r="F4" s="8"/>
      <c r="G4" s="8"/>
      <c r="H4" s="77"/>
      <c r="I4" s="77"/>
      <c r="J4" s="77"/>
      <c r="K4" s="77"/>
      <c r="L4" s="77"/>
      <c r="M4" s="77"/>
    </row>
    <row r="5" spans="1:36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83" t="s">
        <v>54</v>
      </c>
      <c r="I5" s="84" t="s">
        <v>55</v>
      </c>
      <c r="J5" s="84" t="s">
        <v>96</v>
      </c>
      <c r="K5" s="84" t="s">
        <v>97</v>
      </c>
      <c r="L5" s="84" t="s">
        <v>58</v>
      </c>
      <c r="M5" s="83" t="s">
        <v>59</v>
      </c>
    </row>
    <row r="6" spans="1:36" ht="14.45" customHeight="1">
      <c r="A6" s="86">
        <f>M6</f>
        <v>146</v>
      </c>
      <c r="B6" s="36">
        <f t="shared" ref="B6:B69" si="0">IF(H6&gt;$H$2,"",(ROW()-5))</f>
        <v>1</v>
      </c>
      <c r="C6" s="24" t="s">
        <v>99</v>
      </c>
      <c r="D6" s="24"/>
      <c r="E6" s="24"/>
      <c r="F6" s="24"/>
      <c r="G6" s="8"/>
      <c r="H6" s="87">
        <v>1</v>
      </c>
      <c r="I6" s="88">
        <f t="shared" ref="I6:I69" si="1">IF(H6&lt;$H$2+1,($I$2-($I$2-1)*(LOG(H6)/LOG($H$2))),"")</f>
        <v>50</v>
      </c>
      <c r="J6" s="88">
        <f>INT(LOG($H$2,2))-ROUNDUP(LOG(H6,2),0)+IF(OR($H$2=1,$H$2=2,$H$2=4,$H$2=8,$H$2=16,$H$2=32,$H$2=64,$H$2=128,$H$2=256),0,1)</f>
        <v>6</v>
      </c>
      <c r="K6" s="87">
        <f t="shared" ref="K6:K69" si="2">J6*$J$2</f>
        <v>60</v>
      </c>
      <c r="L6" s="89">
        <f>3*K2</f>
        <v>35.999999999999986</v>
      </c>
      <c r="M6" s="89">
        <f t="shared" ref="M6:M69" si="3">IF(I6&lt;&gt;"",K6+I6+L6,0)</f>
        <v>146</v>
      </c>
    </row>
    <row r="7" spans="1:36" ht="14.45" customHeight="1">
      <c r="A7" s="90">
        <f t="shared" ref="A7:A70" si="4">M7</f>
        <v>115.83333333333331</v>
      </c>
      <c r="B7" s="35">
        <f t="shared" si="0"/>
        <v>2</v>
      </c>
      <c r="C7" s="25" t="s">
        <v>17</v>
      </c>
      <c r="D7" s="25"/>
      <c r="E7" s="25"/>
      <c r="F7" s="25"/>
      <c r="G7" s="8"/>
      <c r="H7" s="91">
        <v>2</v>
      </c>
      <c r="I7" s="92">
        <f t="shared" si="1"/>
        <v>41.833333333333329</v>
      </c>
      <c r="J7" s="92">
        <f t="shared" ref="J7:J70" si="5">INT(LOG($H$2,2))-ROUNDUP(LOG(H7,2),0)+IF(OR($H$2=1,$H$2=2,$H$2=4,$H$2=8,$H$2=16,$H$2=32,$H$2=64,$H$2=128,$H$2=256),0,1)</f>
        <v>5</v>
      </c>
      <c r="K7" s="91">
        <f t="shared" si="2"/>
        <v>50</v>
      </c>
      <c r="L7" s="93">
        <f>2*K2</f>
        <v>23.999999999999993</v>
      </c>
      <c r="M7" s="93">
        <f t="shared" si="3"/>
        <v>115.83333333333331</v>
      </c>
    </row>
    <row r="8" spans="1:36" ht="14.45" customHeight="1">
      <c r="A8" s="86">
        <f t="shared" si="4"/>
        <v>89.056139577443901</v>
      </c>
      <c r="B8" s="36">
        <f t="shared" si="0"/>
        <v>3</v>
      </c>
      <c r="C8" s="24" t="s">
        <v>99</v>
      </c>
      <c r="D8" s="24"/>
      <c r="E8" s="24"/>
      <c r="F8" s="24"/>
      <c r="G8" s="8"/>
      <c r="H8" s="87">
        <v>3</v>
      </c>
      <c r="I8" s="88">
        <f t="shared" si="1"/>
        <v>37.056139577443894</v>
      </c>
      <c r="J8" s="88">
        <f t="shared" si="5"/>
        <v>4</v>
      </c>
      <c r="K8" s="87">
        <f t="shared" si="2"/>
        <v>40</v>
      </c>
      <c r="L8" s="89">
        <f>K2</f>
        <v>11.999999999999996</v>
      </c>
      <c r="M8" s="89">
        <f t="shared" si="3"/>
        <v>89.056139577443901</v>
      </c>
    </row>
    <row r="9" spans="1:36" s="78" customFormat="1" ht="14.45" customHeight="1">
      <c r="A9" s="90">
        <f t="shared" si="4"/>
        <v>89.056139577443901</v>
      </c>
      <c r="B9" s="35">
        <f>IF(H9&gt;$H$2,"",3)</f>
        <v>3</v>
      </c>
      <c r="C9" s="25" t="s">
        <v>99</v>
      </c>
      <c r="D9" s="25"/>
      <c r="E9" s="25"/>
      <c r="F9" s="25"/>
      <c r="G9" s="8"/>
      <c r="H9" s="91">
        <v>3</v>
      </c>
      <c r="I9" s="92">
        <f t="shared" si="1"/>
        <v>37.056139577443894</v>
      </c>
      <c r="J9" s="91">
        <f t="shared" si="5"/>
        <v>4</v>
      </c>
      <c r="K9" s="91">
        <f t="shared" si="2"/>
        <v>40</v>
      </c>
      <c r="L9" s="93">
        <f>K2</f>
        <v>11.999999999999996</v>
      </c>
      <c r="M9" s="93">
        <f t="shared" si="3"/>
        <v>89.056139577443901</v>
      </c>
      <c r="N9" s="73"/>
      <c r="O9" s="73"/>
      <c r="P9" s="73"/>
      <c r="Q9" s="73"/>
      <c r="R9" s="73"/>
      <c r="V9" s="94"/>
      <c r="Z9" s="95"/>
      <c r="AA9" s="95"/>
      <c r="AG9" s="96"/>
      <c r="AH9" s="78" t="s">
        <v>99</v>
      </c>
      <c r="AI9" s="78">
        <v>23</v>
      </c>
    </row>
    <row r="10" spans="1:36" ht="14.45" customHeight="1">
      <c r="A10" s="86">
        <f t="shared" si="4"/>
        <v>61.03758722508654</v>
      </c>
      <c r="B10" s="36">
        <f t="shared" si="0"/>
        <v>5</v>
      </c>
      <c r="C10" s="24" t="s">
        <v>99</v>
      </c>
      <c r="D10" s="24"/>
      <c r="E10" s="24"/>
      <c r="F10" s="24"/>
      <c r="G10" s="8"/>
      <c r="H10" s="87">
        <v>5</v>
      </c>
      <c r="I10" s="88">
        <f t="shared" si="1"/>
        <v>31.03758722508654</v>
      </c>
      <c r="J10" s="88">
        <f t="shared" si="5"/>
        <v>3</v>
      </c>
      <c r="K10" s="87">
        <f t="shared" si="2"/>
        <v>30</v>
      </c>
      <c r="L10" s="87"/>
      <c r="M10" s="89">
        <f t="shared" si="3"/>
        <v>61.03758722508654</v>
      </c>
      <c r="V10" s="94"/>
      <c r="Z10" s="95"/>
      <c r="AA10" s="95"/>
      <c r="AG10" s="96"/>
      <c r="AH10" s="78" t="s">
        <v>100</v>
      </c>
      <c r="AI10" s="78">
        <v>45</v>
      </c>
    </row>
    <row r="11" spans="1:36" ht="14.45" customHeight="1">
      <c r="A11" s="90">
        <f t="shared" si="4"/>
        <v>58.889472910777222</v>
      </c>
      <c r="B11" s="35">
        <f t="shared" si="0"/>
        <v>6</v>
      </c>
      <c r="C11" s="25" t="s">
        <v>99</v>
      </c>
      <c r="D11" s="25"/>
      <c r="E11" s="25"/>
      <c r="F11" s="25"/>
      <c r="G11" s="8"/>
      <c r="H11" s="91">
        <v>6</v>
      </c>
      <c r="I11" s="92">
        <f t="shared" si="1"/>
        <v>28.889472910777222</v>
      </c>
      <c r="J11" s="92">
        <f t="shared" si="5"/>
        <v>3</v>
      </c>
      <c r="K11" s="91">
        <f t="shared" si="2"/>
        <v>30</v>
      </c>
      <c r="L11" s="91"/>
      <c r="M11" s="93">
        <f t="shared" si="3"/>
        <v>58.889472910777222</v>
      </c>
      <c r="V11" s="97"/>
      <c r="Z11" s="95"/>
      <c r="AA11" s="95"/>
      <c r="AG11" s="96"/>
      <c r="AH11" s="78" t="s">
        <v>101</v>
      </c>
      <c r="AI11" s="78">
        <v>50</v>
      </c>
    </row>
    <row r="12" spans="1:36" ht="14.45" customHeight="1">
      <c r="A12" s="86">
        <f t="shared" si="4"/>
        <v>57.073268136529563</v>
      </c>
      <c r="B12" s="36">
        <f t="shared" si="0"/>
        <v>7</v>
      </c>
      <c r="C12" s="24" t="s">
        <v>99</v>
      </c>
      <c r="D12" s="24"/>
      <c r="E12" s="24"/>
      <c r="F12" s="24"/>
      <c r="G12" s="8"/>
      <c r="H12" s="87">
        <v>7</v>
      </c>
      <c r="I12" s="88">
        <f t="shared" si="1"/>
        <v>27.073268136529567</v>
      </c>
      <c r="J12" s="88">
        <f t="shared" si="5"/>
        <v>3</v>
      </c>
      <c r="K12" s="87">
        <f t="shared" si="2"/>
        <v>30</v>
      </c>
      <c r="L12" s="87"/>
      <c r="M12" s="89">
        <f t="shared" si="3"/>
        <v>57.073268136529563</v>
      </c>
      <c r="Z12" s="95"/>
      <c r="AA12" s="95"/>
      <c r="AG12" s="96"/>
      <c r="AH12" s="78" t="s">
        <v>102</v>
      </c>
      <c r="AI12" s="78">
        <f>AI11-1</f>
        <v>49</v>
      </c>
    </row>
    <row r="13" spans="1:36" ht="14.45" customHeight="1">
      <c r="A13" s="90">
        <f t="shared" si="4"/>
        <v>55.5</v>
      </c>
      <c r="B13" s="35">
        <f t="shared" si="0"/>
        <v>8</v>
      </c>
      <c r="C13" s="25" t="s">
        <v>99</v>
      </c>
      <c r="D13" s="25"/>
      <c r="E13" s="25"/>
      <c r="F13" s="25"/>
      <c r="G13" s="8"/>
      <c r="H13" s="91">
        <v>8</v>
      </c>
      <c r="I13" s="92">
        <f t="shared" si="1"/>
        <v>25.5</v>
      </c>
      <c r="J13" s="92">
        <f t="shared" si="5"/>
        <v>3</v>
      </c>
      <c r="K13" s="91">
        <f t="shared" si="2"/>
        <v>30</v>
      </c>
      <c r="L13" s="91"/>
      <c r="M13" s="93">
        <f t="shared" si="3"/>
        <v>55.5</v>
      </c>
      <c r="X13" s="94"/>
      <c r="AG13" s="96"/>
      <c r="AH13" s="78" t="s">
        <v>104</v>
      </c>
      <c r="AI13" s="78">
        <f>LOG(AI9)</f>
        <v>1.3617278360175928</v>
      </c>
    </row>
    <row r="14" spans="1:36">
      <c r="A14" s="86">
        <f t="shared" si="4"/>
        <v>44.112279154887787</v>
      </c>
      <c r="B14" s="36">
        <f t="shared" si="0"/>
        <v>9</v>
      </c>
      <c r="C14" s="24" t="s">
        <v>99</v>
      </c>
      <c r="D14" s="24"/>
      <c r="E14" s="24"/>
      <c r="F14" s="24"/>
      <c r="G14" s="8"/>
      <c r="H14" s="87">
        <v>9</v>
      </c>
      <c r="I14" s="88">
        <f t="shared" si="1"/>
        <v>24.112279154887784</v>
      </c>
      <c r="J14" s="88">
        <f t="shared" si="5"/>
        <v>2</v>
      </c>
      <c r="K14" s="87">
        <f t="shared" si="2"/>
        <v>20</v>
      </c>
      <c r="L14" s="87"/>
      <c r="M14" s="89">
        <f t="shared" si="3"/>
        <v>44.112279154887787</v>
      </c>
      <c r="X14" s="98"/>
      <c r="Z14" s="95"/>
      <c r="AA14" s="95"/>
      <c r="AG14" s="96"/>
      <c r="AH14" s="78" t="s">
        <v>105</v>
      </c>
      <c r="AI14" s="78">
        <f>LOG(AI10)</f>
        <v>1.6532125137753437</v>
      </c>
    </row>
    <row r="15" spans="1:36">
      <c r="A15" s="90">
        <f t="shared" si="4"/>
        <v>42.870920558419868</v>
      </c>
      <c r="B15" s="35">
        <f t="shared" si="0"/>
        <v>10</v>
      </c>
      <c r="C15" s="25" t="s">
        <v>99</v>
      </c>
      <c r="D15" s="25"/>
      <c r="E15" s="25"/>
      <c r="F15" s="25"/>
      <c r="G15" s="8"/>
      <c r="H15" s="91">
        <v>10</v>
      </c>
      <c r="I15" s="92">
        <f t="shared" si="1"/>
        <v>22.870920558419872</v>
      </c>
      <c r="J15" s="92">
        <f t="shared" si="5"/>
        <v>2</v>
      </c>
      <c r="K15" s="91">
        <f t="shared" si="2"/>
        <v>20</v>
      </c>
      <c r="L15" s="91"/>
      <c r="M15" s="93">
        <f t="shared" si="3"/>
        <v>42.870920558419868</v>
      </c>
      <c r="X15" s="94"/>
      <c r="Z15" s="95"/>
      <c r="AA15" s="95"/>
    </row>
    <row r="16" spans="1:36">
      <c r="A16" s="86">
        <f t="shared" si="4"/>
        <v>41.747975114462065</v>
      </c>
      <c r="B16" s="36">
        <f t="shared" si="0"/>
        <v>11</v>
      </c>
      <c r="C16" s="24" t="s">
        <v>99</v>
      </c>
      <c r="D16" s="24"/>
      <c r="E16" s="24"/>
      <c r="F16" s="24"/>
      <c r="G16" s="8"/>
      <c r="H16" s="87">
        <v>11</v>
      </c>
      <c r="I16" s="88">
        <f t="shared" si="1"/>
        <v>21.747975114462069</v>
      </c>
      <c r="J16" s="88">
        <f t="shared" si="5"/>
        <v>2</v>
      </c>
      <c r="K16" s="87">
        <f t="shared" si="2"/>
        <v>20</v>
      </c>
      <c r="L16" s="87"/>
      <c r="M16" s="89">
        <f t="shared" si="3"/>
        <v>41.747975114462065</v>
      </c>
      <c r="R16" s="99"/>
      <c r="Z16" s="95"/>
      <c r="AA16" s="95"/>
      <c r="AH16" s="100" t="s">
        <v>107</v>
      </c>
      <c r="AI16" s="78">
        <f>AI11-AI12*AI13/AI14</f>
        <v>9.6393909380186855</v>
      </c>
      <c r="AJ16" s="78" t="s">
        <v>108</v>
      </c>
    </row>
    <row r="17" spans="1:19">
      <c r="A17" s="90">
        <f t="shared" si="4"/>
        <v>40.722806244110558</v>
      </c>
      <c r="B17" s="35">
        <f t="shared" si="0"/>
        <v>12</v>
      </c>
      <c r="C17" s="25" t="s">
        <v>99</v>
      </c>
      <c r="D17" s="25"/>
      <c r="E17" s="25"/>
      <c r="F17" s="25"/>
      <c r="G17" s="8"/>
      <c r="H17" s="91">
        <v>12</v>
      </c>
      <c r="I17" s="92">
        <f t="shared" si="1"/>
        <v>20.722806244110554</v>
      </c>
      <c r="J17" s="92">
        <f t="shared" si="5"/>
        <v>2</v>
      </c>
      <c r="K17" s="91">
        <f t="shared" si="2"/>
        <v>20</v>
      </c>
      <c r="L17" s="91"/>
      <c r="M17" s="93">
        <f t="shared" si="3"/>
        <v>40.722806244110558</v>
      </c>
    </row>
    <row r="18" spans="1:19">
      <c r="A18" s="86">
        <f t="shared" si="4"/>
        <v>39.779742301847747</v>
      </c>
      <c r="B18" s="36">
        <f t="shared" si="0"/>
        <v>13</v>
      </c>
      <c r="C18" s="24" t="s">
        <v>99</v>
      </c>
      <c r="D18" s="24"/>
      <c r="E18" s="24"/>
      <c r="F18" s="24"/>
      <c r="G18" s="8"/>
      <c r="H18" s="87">
        <v>13</v>
      </c>
      <c r="I18" s="88">
        <f t="shared" si="1"/>
        <v>19.779742301847747</v>
      </c>
      <c r="J18" s="88">
        <f t="shared" si="5"/>
        <v>2</v>
      </c>
      <c r="K18" s="87">
        <f t="shared" si="2"/>
        <v>20</v>
      </c>
      <c r="L18" s="87"/>
      <c r="M18" s="89">
        <f t="shared" si="3"/>
        <v>39.779742301847747</v>
      </c>
    </row>
    <row r="19" spans="1:19">
      <c r="A19" s="90">
        <f t="shared" si="4"/>
        <v>38.906601469862899</v>
      </c>
      <c r="B19" s="35">
        <f t="shared" si="0"/>
        <v>14</v>
      </c>
      <c r="C19" s="25" t="s">
        <v>99</v>
      </c>
      <c r="D19" s="25"/>
      <c r="E19" s="25"/>
      <c r="F19" s="25"/>
      <c r="G19" s="8"/>
      <c r="H19" s="91">
        <v>14</v>
      </c>
      <c r="I19" s="92">
        <f t="shared" si="1"/>
        <v>18.906601469862899</v>
      </c>
      <c r="J19" s="92">
        <f t="shared" si="5"/>
        <v>2</v>
      </c>
      <c r="K19" s="91">
        <f t="shared" si="2"/>
        <v>20</v>
      </c>
      <c r="L19" s="91"/>
      <c r="M19" s="93">
        <f t="shared" si="3"/>
        <v>38.906601469862899</v>
      </c>
    </row>
    <row r="20" spans="1:19">
      <c r="A20" s="86">
        <f t="shared" si="4"/>
        <v>38.093726802530426</v>
      </c>
      <c r="B20" s="36">
        <f t="shared" si="0"/>
        <v>15</v>
      </c>
      <c r="C20" s="24" t="s">
        <v>99</v>
      </c>
      <c r="D20" s="24"/>
      <c r="E20" s="24"/>
      <c r="F20" s="24"/>
      <c r="G20" s="8"/>
      <c r="H20" s="87">
        <v>15</v>
      </c>
      <c r="I20" s="88">
        <f t="shared" si="1"/>
        <v>18.093726802530426</v>
      </c>
      <c r="J20" s="88">
        <f t="shared" si="5"/>
        <v>2</v>
      </c>
      <c r="K20" s="87">
        <f t="shared" si="2"/>
        <v>20</v>
      </c>
      <c r="L20" s="87"/>
      <c r="M20" s="89">
        <f t="shared" si="3"/>
        <v>38.093726802530426</v>
      </c>
      <c r="R20" s="101"/>
      <c r="S20" s="102"/>
    </row>
    <row r="21" spans="1:19">
      <c r="A21" s="90">
        <f t="shared" si="4"/>
        <v>37.333333333333329</v>
      </c>
      <c r="B21" s="35">
        <f t="shared" si="0"/>
        <v>16</v>
      </c>
      <c r="C21" s="25" t="s">
        <v>99</v>
      </c>
      <c r="D21" s="25"/>
      <c r="E21" s="25"/>
      <c r="F21" s="25"/>
      <c r="G21" s="8"/>
      <c r="H21" s="91">
        <v>16</v>
      </c>
      <c r="I21" s="92">
        <f t="shared" si="1"/>
        <v>17.333333333333329</v>
      </c>
      <c r="J21" s="92">
        <f t="shared" si="5"/>
        <v>2</v>
      </c>
      <c r="K21" s="91">
        <f t="shared" si="2"/>
        <v>20</v>
      </c>
      <c r="L21" s="91"/>
      <c r="M21" s="93">
        <f t="shared" si="3"/>
        <v>37.333333333333329</v>
      </c>
    </row>
    <row r="22" spans="1:19">
      <c r="A22" s="86">
        <f t="shared" si="4"/>
        <v>26.619053463122228</v>
      </c>
      <c r="B22" s="36">
        <f t="shared" si="0"/>
        <v>17</v>
      </c>
      <c r="C22" s="24" t="s">
        <v>99</v>
      </c>
      <c r="D22" s="24"/>
      <c r="E22" s="24"/>
      <c r="F22" s="24"/>
      <c r="G22" s="8"/>
      <c r="H22" s="87">
        <v>17</v>
      </c>
      <c r="I22" s="88">
        <f t="shared" si="1"/>
        <v>16.619053463122228</v>
      </c>
      <c r="J22" s="88">
        <f t="shared" si="5"/>
        <v>1</v>
      </c>
      <c r="K22" s="87">
        <f t="shared" si="2"/>
        <v>10</v>
      </c>
      <c r="L22" s="87"/>
      <c r="M22" s="89">
        <f t="shared" si="3"/>
        <v>26.619053463122228</v>
      </c>
    </row>
    <row r="23" spans="1:19">
      <c r="A23" s="90">
        <f t="shared" si="4"/>
        <v>25.945612488221116</v>
      </c>
      <c r="B23" s="35">
        <f t="shared" si="0"/>
        <v>18</v>
      </c>
      <c r="C23" s="25" t="s">
        <v>99</v>
      </c>
      <c r="D23" s="25"/>
      <c r="E23" s="25"/>
      <c r="F23" s="25"/>
      <c r="G23" s="8"/>
      <c r="H23" s="91">
        <v>18</v>
      </c>
      <c r="I23" s="92">
        <f t="shared" si="1"/>
        <v>15.945612488221116</v>
      </c>
      <c r="J23" s="92">
        <f t="shared" si="5"/>
        <v>1</v>
      </c>
      <c r="K23" s="91">
        <f t="shared" si="2"/>
        <v>10</v>
      </c>
      <c r="L23" s="91"/>
      <c r="M23" s="93">
        <f t="shared" si="3"/>
        <v>25.945612488221116</v>
      </c>
    </row>
    <row r="24" spans="1:19">
      <c r="A24" s="86">
        <f t="shared" si="4"/>
        <v>25.308591973544054</v>
      </c>
      <c r="B24" s="36">
        <f t="shared" si="0"/>
        <v>19</v>
      </c>
      <c r="C24" s="24" t="s">
        <v>99</v>
      </c>
      <c r="D24" s="24"/>
      <c r="E24" s="24"/>
      <c r="F24" s="24"/>
      <c r="G24" s="8"/>
      <c r="H24" s="87">
        <v>19</v>
      </c>
      <c r="I24" s="88">
        <f t="shared" si="1"/>
        <v>15.308591973544054</v>
      </c>
      <c r="J24" s="88">
        <f t="shared" si="5"/>
        <v>1</v>
      </c>
      <c r="K24" s="87">
        <f t="shared" si="2"/>
        <v>10</v>
      </c>
      <c r="L24" s="87"/>
      <c r="M24" s="89">
        <f t="shared" si="3"/>
        <v>25.308591973544054</v>
      </c>
      <c r="R24" s="101"/>
      <c r="S24" s="102"/>
    </row>
    <row r="25" spans="1:19">
      <c r="A25" s="90">
        <f t="shared" si="4"/>
        <v>24.704253891753204</v>
      </c>
      <c r="B25" s="35">
        <f t="shared" si="0"/>
        <v>20</v>
      </c>
      <c r="C25" s="25" t="s">
        <v>99</v>
      </c>
      <c r="D25" s="25"/>
      <c r="E25" s="25"/>
      <c r="F25" s="25"/>
      <c r="G25" s="8"/>
      <c r="H25" s="91">
        <v>20</v>
      </c>
      <c r="I25" s="92">
        <f t="shared" si="1"/>
        <v>14.704253891753204</v>
      </c>
      <c r="J25" s="92">
        <f t="shared" si="5"/>
        <v>1</v>
      </c>
      <c r="K25" s="91">
        <f t="shared" si="2"/>
        <v>10</v>
      </c>
      <c r="L25" s="91"/>
      <c r="M25" s="93">
        <f t="shared" si="3"/>
        <v>24.704253891753204</v>
      </c>
    </row>
    <row r="26" spans="1:19">
      <c r="A26" s="86">
        <f t="shared" si="4"/>
        <v>24.12940771397345</v>
      </c>
      <c r="B26" s="36">
        <f t="shared" si="0"/>
        <v>21</v>
      </c>
      <c r="C26" s="24" t="s">
        <v>99</v>
      </c>
      <c r="D26" s="24"/>
      <c r="E26" s="24"/>
      <c r="F26" s="24"/>
      <c r="G26" s="8"/>
      <c r="H26" s="87">
        <v>21</v>
      </c>
      <c r="I26" s="88">
        <f t="shared" si="1"/>
        <v>14.12940771397345</v>
      </c>
      <c r="J26" s="88">
        <f t="shared" si="5"/>
        <v>1</v>
      </c>
      <c r="K26" s="87">
        <f t="shared" si="2"/>
        <v>10</v>
      </c>
      <c r="L26" s="87"/>
      <c r="M26" s="89">
        <f t="shared" si="3"/>
        <v>24.12940771397345</v>
      </c>
    </row>
    <row r="27" spans="1:19">
      <c r="A27" s="90">
        <f t="shared" si="4"/>
        <v>23.581308447795401</v>
      </c>
      <c r="B27" s="35">
        <f t="shared" si="0"/>
        <v>22</v>
      </c>
      <c r="C27" s="25" t="s">
        <v>99</v>
      </c>
      <c r="D27" s="25"/>
      <c r="E27" s="25"/>
      <c r="F27" s="25"/>
      <c r="G27" s="8"/>
      <c r="H27" s="91">
        <v>22</v>
      </c>
      <c r="I27" s="92">
        <f t="shared" si="1"/>
        <v>13.581308447795401</v>
      </c>
      <c r="J27" s="92">
        <f t="shared" si="5"/>
        <v>1</v>
      </c>
      <c r="K27" s="91">
        <f t="shared" si="2"/>
        <v>10</v>
      </c>
      <c r="L27" s="91"/>
      <c r="M27" s="93">
        <f t="shared" si="3"/>
        <v>23.581308447795401</v>
      </c>
    </row>
    <row r="28" spans="1:19">
      <c r="A28" s="86">
        <f t="shared" si="4"/>
        <v>23.057577358867725</v>
      </c>
      <c r="B28" s="36">
        <f t="shared" si="0"/>
        <v>23</v>
      </c>
      <c r="C28" s="24" t="s">
        <v>99</v>
      </c>
      <c r="D28" s="24"/>
      <c r="E28" s="24"/>
      <c r="F28" s="24"/>
      <c r="G28" s="8"/>
      <c r="H28" s="87">
        <v>23</v>
      </c>
      <c r="I28" s="88">
        <f t="shared" si="1"/>
        <v>13.057577358867725</v>
      </c>
      <c r="J28" s="88">
        <f t="shared" si="5"/>
        <v>1</v>
      </c>
      <c r="K28" s="87">
        <f t="shared" si="2"/>
        <v>10</v>
      </c>
      <c r="L28" s="87"/>
      <c r="M28" s="89">
        <f t="shared" si="3"/>
        <v>23.057577358867725</v>
      </c>
      <c r="R28" s="101"/>
      <c r="S28" s="102"/>
    </row>
    <row r="29" spans="1:19">
      <c r="A29" s="90">
        <f t="shared" si="4"/>
        <v>22.556139577443894</v>
      </c>
      <c r="B29" s="35">
        <f t="shared" si="0"/>
        <v>24</v>
      </c>
      <c r="C29" s="25" t="s">
        <v>99</v>
      </c>
      <c r="D29" s="25"/>
      <c r="E29" s="25"/>
      <c r="F29" s="25"/>
      <c r="G29" s="73"/>
      <c r="H29" s="91">
        <v>24</v>
      </c>
      <c r="I29" s="92">
        <f t="shared" si="1"/>
        <v>12.556139577443894</v>
      </c>
      <c r="J29" s="92">
        <f t="shared" si="5"/>
        <v>1</v>
      </c>
      <c r="K29" s="91">
        <f t="shared" si="2"/>
        <v>10</v>
      </c>
      <c r="L29" s="91"/>
      <c r="M29" s="93">
        <f t="shared" si="3"/>
        <v>22.556139577443894</v>
      </c>
    </row>
    <row r="30" spans="1:19">
      <c r="A30" s="86">
        <f t="shared" si="4"/>
        <v>22.07517445017308</v>
      </c>
      <c r="B30" s="36">
        <f t="shared" si="0"/>
        <v>25</v>
      </c>
      <c r="C30" s="24" t="s">
        <v>99</v>
      </c>
      <c r="D30" s="24"/>
      <c r="E30" s="24"/>
      <c r="F30" s="24"/>
      <c r="G30" s="73"/>
      <c r="H30" s="87">
        <v>25</v>
      </c>
      <c r="I30" s="88">
        <f t="shared" si="1"/>
        <v>12.07517445017308</v>
      </c>
      <c r="J30" s="88">
        <f t="shared" si="5"/>
        <v>1</v>
      </c>
      <c r="K30" s="87">
        <f t="shared" si="2"/>
        <v>10</v>
      </c>
      <c r="L30" s="87"/>
      <c r="M30" s="89">
        <f t="shared" si="3"/>
        <v>22.07517445017308</v>
      </c>
    </row>
    <row r="31" spans="1:19">
      <c r="A31" s="90">
        <f t="shared" si="4"/>
        <v>21.613075635181076</v>
      </c>
      <c r="B31" s="35">
        <f t="shared" si="0"/>
        <v>26</v>
      </c>
      <c r="C31" s="25" t="s">
        <v>99</v>
      </c>
      <c r="D31" s="25"/>
      <c r="E31" s="25"/>
      <c r="F31" s="25"/>
      <c r="G31" s="73"/>
      <c r="H31" s="91">
        <v>26</v>
      </c>
      <c r="I31" s="92">
        <f t="shared" si="1"/>
        <v>11.613075635181076</v>
      </c>
      <c r="J31" s="92">
        <f t="shared" si="5"/>
        <v>1</v>
      </c>
      <c r="K31" s="91">
        <f t="shared" si="2"/>
        <v>10</v>
      </c>
      <c r="L31" s="91"/>
      <c r="M31" s="93">
        <f t="shared" si="3"/>
        <v>21.613075635181076</v>
      </c>
    </row>
    <row r="32" spans="1:19">
      <c r="A32" s="86">
        <f t="shared" si="4"/>
        <v>21.168418732331673</v>
      </c>
      <c r="B32" s="36">
        <f t="shared" si="0"/>
        <v>27</v>
      </c>
      <c r="C32" s="24" t="s">
        <v>99</v>
      </c>
      <c r="D32" s="24"/>
      <c r="E32" s="24"/>
      <c r="F32" s="24"/>
      <c r="G32" s="73"/>
      <c r="H32" s="87">
        <v>27</v>
      </c>
      <c r="I32" s="88">
        <f t="shared" si="1"/>
        <v>11.168418732331673</v>
      </c>
      <c r="J32" s="88">
        <f t="shared" si="5"/>
        <v>1</v>
      </c>
      <c r="K32" s="87">
        <f t="shared" si="2"/>
        <v>10</v>
      </c>
      <c r="L32" s="87"/>
      <c r="M32" s="89">
        <f t="shared" si="3"/>
        <v>21.168418732331673</v>
      </c>
      <c r="R32" s="101"/>
      <c r="S32" s="102"/>
    </row>
    <row r="33" spans="1:21">
      <c r="A33" s="90">
        <f t="shared" si="4"/>
        <v>20.739934803196228</v>
      </c>
      <c r="B33" s="35">
        <f t="shared" si="0"/>
        <v>28</v>
      </c>
      <c r="C33" s="25" t="s">
        <v>99</v>
      </c>
      <c r="D33" s="25"/>
      <c r="E33" s="25"/>
      <c r="F33" s="25"/>
      <c r="G33" s="73"/>
      <c r="H33" s="91">
        <v>28</v>
      </c>
      <c r="I33" s="92">
        <f t="shared" si="1"/>
        <v>10.739934803196228</v>
      </c>
      <c r="J33" s="92">
        <f t="shared" si="5"/>
        <v>1</v>
      </c>
      <c r="K33" s="91">
        <f t="shared" si="2"/>
        <v>10</v>
      </c>
      <c r="L33" s="91"/>
      <c r="M33" s="93">
        <f t="shared" si="3"/>
        <v>20.739934803196228</v>
      </c>
    </row>
    <row r="34" spans="1:21">
      <c r="A34" s="86">
        <f t="shared" si="4"/>
        <v>20.326488539791498</v>
      </c>
      <c r="B34" s="36">
        <f t="shared" si="0"/>
        <v>29</v>
      </c>
      <c r="C34" s="24" t="s">
        <v>99</v>
      </c>
      <c r="D34" s="24"/>
      <c r="E34" s="24"/>
      <c r="F34" s="24"/>
      <c r="G34" s="73"/>
      <c r="H34" s="87">
        <v>29</v>
      </c>
      <c r="I34" s="88">
        <f t="shared" si="1"/>
        <v>10.326488539791498</v>
      </c>
      <c r="J34" s="88">
        <f t="shared" si="5"/>
        <v>1</v>
      </c>
      <c r="K34" s="87">
        <f t="shared" si="2"/>
        <v>10</v>
      </c>
      <c r="L34" s="87"/>
      <c r="M34" s="89">
        <f t="shared" si="3"/>
        <v>20.326488539791498</v>
      </c>
    </row>
    <row r="35" spans="1:21">
      <c r="A35" s="90">
        <f t="shared" si="4"/>
        <v>19.927060135863762</v>
      </c>
      <c r="B35" s="35">
        <f t="shared" si="0"/>
        <v>30</v>
      </c>
      <c r="C35" s="25" t="s">
        <v>99</v>
      </c>
      <c r="D35" s="25"/>
      <c r="E35" s="25"/>
      <c r="F35" s="25"/>
      <c r="G35" s="73"/>
      <c r="H35" s="91">
        <v>30</v>
      </c>
      <c r="I35" s="92">
        <f t="shared" si="1"/>
        <v>9.927060135863762</v>
      </c>
      <c r="J35" s="92">
        <f t="shared" si="5"/>
        <v>1</v>
      </c>
      <c r="K35" s="91">
        <f t="shared" si="2"/>
        <v>10</v>
      </c>
      <c r="L35" s="91"/>
      <c r="M35" s="93">
        <f t="shared" si="3"/>
        <v>19.927060135863762</v>
      </c>
    </row>
    <row r="36" spans="1:21">
      <c r="A36" s="86">
        <f t="shared" si="4"/>
        <v>19.540730131840519</v>
      </c>
      <c r="B36" s="36">
        <f t="shared" si="0"/>
        <v>31</v>
      </c>
      <c r="C36" s="24" t="s">
        <v>28</v>
      </c>
      <c r="D36" s="24"/>
      <c r="E36" s="24"/>
      <c r="F36" s="24"/>
      <c r="G36" s="73"/>
      <c r="H36" s="87">
        <v>31</v>
      </c>
      <c r="I36" s="88">
        <f t="shared" si="1"/>
        <v>9.5407301318405189</v>
      </c>
      <c r="J36" s="88">
        <f t="shared" si="5"/>
        <v>1</v>
      </c>
      <c r="K36" s="87">
        <f t="shared" si="2"/>
        <v>10</v>
      </c>
      <c r="L36" s="87"/>
      <c r="M36" s="89">
        <f t="shared" si="3"/>
        <v>19.540730131840519</v>
      </c>
      <c r="R36" s="101"/>
      <c r="S36" s="102"/>
    </row>
    <row r="37" spans="1:21">
      <c r="A37" s="90">
        <f t="shared" si="4"/>
        <v>19.166666666666664</v>
      </c>
      <c r="B37" s="35">
        <f t="shared" si="0"/>
        <v>32</v>
      </c>
      <c r="C37" s="25" t="s">
        <v>99</v>
      </c>
      <c r="D37" s="25"/>
      <c r="E37" s="25"/>
      <c r="F37" s="25"/>
      <c r="G37" s="73"/>
      <c r="H37" s="91">
        <v>32</v>
      </c>
      <c r="I37" s="92">
        <f t="shared" si="1"/>
        <v>9.1666666666666643</v>
      </c>
      <c r="J37" s="92">
        <f t="shared" si="5"/>
        <v>1</v>
      </c>
      <c r="K37" s="91">
        <f t="shared" si="2"/>
        <v>10</v>
      </c>
      <c r="L37" s="91"/>
      <c r="M37" s="93">
        <f t="shared" si="3"/>
        <v>19.166666666666664</v>
      </c>
    </row>
    <row r="38" spans="1:21">
      <c r="A38" s="90">
        <f t="shared" si="4"/>
        <v>8.8041146919059656</v>
      </c>
      <c r="B38" s="36">
        <f t="shared" si="0"/>
        <v>33</v>
      </c>
      <c r="C38" s="24" t="s">
        <v>99</v>
      </c>
      <c r="D38" s="24"/>
      <c r="E38" s="24"/>
      <c r="F38" s="24"/>
      <c r="G38" s="73"/>
      <c r="H38" s="87">
        <v>33</v>
      </c>
      <c r="I38" s="88">
        <f t="shared" si="1"/>
        <v>8.8041146919059656</v>
      </c>
      <c r="J38" s="88">
        <f t="shared" si="5"/>
        <v>0</v>
      </c>
      <c r="K38" s="87">
        <f t="shared" si="2"/>
        <v>0</v>
      </c>
      <c r="L38" s="87"/>
      <c r="M38" s="89">
        <f t="shared" si="3"/>
        <v>8.8041146919059656</v>
      </c>
    </row>
    <row r="39" spans="1:21">
      <c r="A39" s="90">
        <f t="shared" si="4"/>
        <v>8.4523867964555564</v>
      </c>
      <c r="B39" s="35">
        <f t="shared" si="0"/>
        <v>34</v>
      </c>
      <c r="C39" s="25" t="s">
        <v>99</v>
      </c>
      <c r="D39" s="25"/>
      <c r="E39" s="25"/>
      <c r="F39" s="25"/>
      <c r="G39" s="73"/>
      <c r="H39" s="91">
        <v>34</v>
      </c>
      <c r="I39" s="92">
        <f t="shared" si="1"/>
        <v>8.4523867964555564</v>
      </c>
      <c r="J39" s="92">
        <f t="shared" si="5"/>
        <v>0</v>
      </c>
      <c r="K39" s="91">
        <f t="shared" si="2"/>
        <v>0</v>
      </c>
      <c r="L39" s="91"/>
      <c r="M39" s="93">
        <f t="shared" si="3"/>
        <v>8.4523867964555564</v>
      </c>
    </row>
    <row r="40" spans="1:21">
      <c r="A40" s="90">
        <f t="shared" si="4"/>
        <v>8.1108553616161032</v>
      </c>
      <c r="B40" s="36">
        <f t="shared" si="0"/>
        <v>35</v>
      </c>
      <c r="C40" s="24" t="s">
        <v>99</v>
      </c>
      <c r="D40" s="24"/>
      <c r="E40" s="24"/>
      <c r="F40" s="24"/>
      <c r="G40" s="73"/>
      <c r="H40" s="87">
        <v>35</v>
      </c>
      <c r="I40" s="88">
        <f t="shared" si="1"/>
        <v>8.1108553616161032</v>
      </c>
      <c r="J40" s="88">
        <f t="shared" si="5"/>
        <v>0</v>
      </c>
      <c r="K40" s="87">
        <f t="shared" si="2"/>
        <v>0</v>
      </c>
      <c r="L40" s="87"/>
      <c r="M40" s="89">
        <f t="shared" si="3"/>
        <v>8.1108553616161032</v>
      </c>
    </row>
    <row r="41" spans="1:21">
      <c r="A41" s="90">
        <f t="shared" si="4"/>
        <v>7.7789458215544443</v>
      </c>
      <c r="B41" s="35">
        <f t="shared" si="0"/>
        <v>36</v>
      </c>
      <c r="C41" s="25" t="s">
        <v>99</v>
      </c>
      <c r="D41" s="25"/>
      <c r="E41" s="25"/>
      <c r="F41" s="25"/>
      <c r="G41" s="73"/>
      <c r="H41" s="91">
        <v>36</v>
      </c>
      <c r="I41" s="92">
        <f t="shared" si="1"/>
        <v>7.7789458215544443</v>
      </c>
      <c r="J41" s="92">
        <f t="shared" si="5"/>
        <v>0</v>
      </c>
      <c r="K41" s="91">
        <f t="shared" si="2"/>
        <v>0</v>
      </c>
      <c r="L41" s="91"/>
      <c r="M41" s="93">
        <f t="shared" si="3"/>
        <v>7.7789458215544443</v>
      </c>
      <c r="S41" s="103"/>
    </row>
    <row r="42" spans="1:21">
      <c r="A42" s="90">
        <f t="shared" si="4"/>
        <v>7.4561308473635748</v>
      </c>
      <c r="B42" s="36">
        <f t="shared" si="0"/>
        <v>37</v>
      </c>
      <c r="C42" s="24" t="s">
        <v>99</v>
      </c>
      <c r="D42" s="24"/>
      <c r="E42" s="24"/>
      <c r="F42" s="24"/>
      <c r="G42" s="73"/>
      <c r="H42" s="87">
        <v>37</v>
      </c>
      <c r="I42" s="88">
        <f t="shared" si="1"/>
        <v>7.4561308473635748</v>
      </c>
      <c r="J42" s="88">
        <f t="shared" si="5"/>
        <v>0</v>
      </c>
      <c r="K42" s="87">
        <f t="shared" si="2"/>
        <v>0</v>
      </c>
      <c r="L42" s="87"/>
      <c r="M42" s="89">
        <f t="shared" si="3"/>
        <v>7.4561308473635748</v>
      </c>
    </row>
    <row r="43" spans="1:21">
      <c r="A43" s="90">
        <f t="shared" si="4"/>
        <v>7.1419253068773827</v>
      </c>
      <c r="B43" s="35">
        <f t="shared" si="0"/>
        <v>38</v>
      </c>
      <c r="C43" s="25" t="s">
        <v>99</v>
      </c>
      <c r="D43" s="25"/>
      <c r="E43" s="25"/>
      <c r="F43" s="25"/>
      <c r="G43" s="73"/>
      <c r="H43" s="91">
        <v>38</v>
      </c>
      <c r="I43" s="92">
        <f t="shared" si="1"/>
        <v>7.1419253068773827</v>
      </c>
      <c r="J43" s="92">
        <f t="shared" si="5"/>
        <v>0</v>
      </c>
      <c r="K43" s="91">
        <f t="shared" si="2"/>
        <v>0</v>
      </c>
      <c r="L43" s="91"/>
      <c r="M43" s="93">
        <f t="shared" si="3"/>
        <v>7.1419253068773827</v>
      </c>
    </row>
    <row r="44" spans="1:21">
      <c r="A44" s="90">
        <f t="shared" si="4"/>
        <v>6.8358818792916409</v>
      </c>
      <c r="B44" s="36">
        <f t="shared" si="0"/>
        <v>39</v>
      </c>
      <c r="C44" s="24" t="s">
        <v>99</v>
      </c>
      <c r="D44" s="24"/>
      <c r="E44" s="24"/>
      <c r="F44" s="24"/>
      <c r="G44" s="73"/>
      <c r="H44" s="87">
        <v>39</v>
      </c>
      <c r="I44" s="88">
        <f t="shared" si="1"/>
        <v>6.8358818792916409</v>
      </c>
      <c r="J44" s="88">
        <f t="shared" si="5"/>
        <v>0</v>
      </c>
      <c r="K44" s="87">
        <f t="shared" si="2"/>
        <v>0</v>
      </c>
      <c r="L44" s="87"/>
      <c r="M44" s="89">
        <f t="shared" si="3"/>
        <v>6.8358818792916409</v>
      </c>
    </row>
    <row r="45" spans="1:21">
      <c r="A45" s="90">
        <f t="shared" si="4"/>
        <v>6.537587225086547</v>
      </c>
      <c r="B45" s="35">
        <f t="shared" si="0"/>
        <v>40</v>
      </c>
      <c r="C45" s="25" t="s">
        <v>99</v>
      </c>
      <c r="D45" s="25"/>
      <c r="E45" s="25"/>
      <c r="F45" s="25"/>
      <c r="G45" s="73"/>
      <c r="H45" s="91">
        <v>40</v>
      </c>
      <c r="I45" s="92">
        <f t="shared" si="1"/>
        <v>6.537587225086547</v>
      </c>
      <c r="J45" s="92">
        <f t="shared" si="5"/>
        <v>0</v>
      </c>
      <c r="K45" s="91">
        <f t="shared" si="2"/>
        <v>0</v>
      </c>
      <c r="L45" s="91"/>
      <c r="M45" s="93">
        <f t="shared" si="3"/>
        <v>6.537587225086547</v>
      </c>
    </row>
    <row r="46" spans="1:21">
      <c r="A46" s="90">
        <f t="shared" si="4"/>
        <v>6.2466586289523107</v>
      </c>
      <c r="B46" s="36">
        <f t="shared" si="0"/>
        <v>41</v>
      </c>
      <c r="C46" s="24" t="s">
        <v>99</v>
      </c>
      <c r="D46" s="24"/>
      <c r="E46" s="24"/>
      <c r="F46" s="24"/>
      <c r="G46" s="73"/>
      <c r="H46" s="87">
        <v>41</v>
      </c>
      <c r="I46" s="88">
        <f t="shared" si="1"/>
        <v>6.2466586289523107</v>
      </c>
      <c r="J46" s="88">
        <f t="shared" si="5"/>
        <v>0</v>
      </c>
      <c r="K46" s="87">
        <f t="shared" si="2"/>
        <v>0</v>
      </c>
      <c r="L46" s="87"/>
      <c r="M46" s="89">
        <f t="shared" si="3"/>
        <v>6.2466586289523107</v>
      </c>
      <c r="R46" s="73">
        <f>LOG($H$2,2)</f>
        <v>6</v>
      </c>
      <c r="T46" s="78">
        <f>LOG(H38,2)</f>
        <v>5.0443941193584534</v>
      </c>
      <c r="U46" s="78">
        <f>R46-T46</f>
        <v>0.95560588064154661</v>
      </c>
    </row>
    <row r="47" spans="1:21">
      <c r="A47" s="90">
        <f t="shared" si="4"/>
        <v>5.9627410473067854</v>
      </c>
      <c r="B47" s="35">
        <f t="shared" si="0"/>
        <v>42</v>
      </c>
      <c r="C47" s="25" t="s">
        <v>99</v>
      </c>
      <c r="D47" s="25"/>
      <c r="E47" s="25"/>
      <c r="F47" s="25"/>
      <c r="G47" s="73"/>
      <c r="H47" s="91">
        <v>42</v>
      </c>
      <c r="I47" s="92">
        <f t="shared" si="1"/>
        <v>5.9627410473067854</v>
      </c>
      <c r="J47" s="92">
        <f t="shared" si="5"/>
        <v>0</v>
      </c>
      <c r="K47" s="91">
        <f t="shared" si="2"/>
        <v>0</v>
      </c>
      <c r="L47" s="91"/>
      <c r="M47" s="93">
        <f t="shared" si="3"/>
        <v>5.9627410473067854</v>
      </c>
    </row>
    <row r="48" spans="1:21">
      <c r="A48" s="90">
        <f t="shared" si="4"/>
        <v>5.6855045032662019</v>
      </c>
      <c r="B48" s="36">
        <f t="shared" si="0"/>
        <v>43</v>
      </c>
      <c r="C48" s="24" t="s">
        <v>99</v>
      </c>
      <c r="D48" s="24"/>
      <c r="E48" s="24"/>
      <c r="F48" s="24"/>
      <c r="G48" s="73"/>
      <c r="H48" s="87">
        <v>43</v>
      </c>
      <c r="I48" s="88">
        <f t="shared" si="1"/>
        <v>5.6855045032662019</v>
      </c>
      <c r="J48" s="88">
        <f t="shared" si="5"/>
        <v>0</v>
      </c>
      <c r="K48" s="87">
        <f t="shared" si="2"/>
        <v>0</v>
      </c>
      <c r="L48" s="87"/>
      <c r="M48" s="89">
        <f t="shared" si="3"/>
        <v>5.6855045032662019</v>
      </c>
    </row>
    <row r="49" spans="1:13">
      <c r="A49" s="90">
        <f t="shared" si="4"/>
        <v>5.4146417811287364</v>
      </c>
      <c r="B49" s="35">
        <f t="shared" si="0"/>
        <v>44</v>
      </c>
      <c r="C49" s="25" t="s">
        <v>99</v>
      </c>
      <c r="D49" s="25"/>
      <c r="E49" s="25"/>
      <c r="F49" s="25"/>
      <c r="G49" s="73"/>
      <c r="H49" s="91">
        <v>44</v>
      </c>
      <c r="I49" s="92">
        <f t="shared" si="1"/>
        <v>5.4146417811287364</v>
      </c>
      <c r="J49" s="92">
        <f t="shared" si="5"/>
        <v>0</v>
      </c>
      <c r="K49" s="91">
        <f t="shared" si="2"/>
        <v>0</v>
      </c>
      <c r="L49" s="91"/>
      <c r="M49" s="93">
        <f t="shared" si="3"/>
        <v>5.4146417811287364</v>
      </c>
    </row>
    <row r="50" spans="1:13">
      <c r="A50" s="90">
        <f t="shared" si="4"/>
        <v>5.1498663799743198</v>
      </c>
      <c r="B50" s="36">
        <f t="shared" si="0"/>
        <v>45</v>
      </c>
      <c r="C50" s="24" t="s">
        <v>99</v>
      </c>
      <c r="D50" s="24"/>
      <c r="E50" s="24"/>
      <c r="F50" s="24"/>
      <c r="G50" s="73"/>
      <c r="H50" s="87">
        <v>45</v>
      </c>
      <c r="I50" s="88">
        <f t="shared" si="1"/>
        <v>5.1498663799743198</v>
      </c>
      <c r="J50" s="88">
        <f t="shared" si="5"/>
        <v>0</v>
      </c>
      <c r="K50" s="87">
        <f t="shared" si="2"/>
        <v>0</v>
      </c>
      <c r="L50" s="87"/>
      <c r="M50" s="89">
        <f t="shared" si="3"/>
        <v>5.1498663799743198</v>
      </c>
    </row>
    <row r="51" spans="1:13">
      <c r="A51" s="90">
        <f t="shared" si="4"/>
        <v>4.8909106922010608</v>
      </c>
      <c r="B51" s="35">
        <f t="shared" si="0"/>
        <v>46</v>
      </c>
      <c r="C51" s="25" t="s">
        <v>99</v>
      </c>
      <c r="D51" s="25"/>
      <c r="E51" s="25"/>
      <c r="F51" s="25"/>
      <c r="G51" s="73"/>
      <c r="H51" s="91">
        <v>46</v>
      </c>
      <c r="I51" s="92">
        <f t="shared" si="1"/>
        <v>4.8909106922010608</v>
      </c>
      <c r="J51" s="92">
        <f t="shared" si="5"/>
        <v>0</v>
      </c>
      <c r="K51" s="91">
        <f t="shared" si="2"/>
        <v>0</v>
      </c>
      <c r="L51" s="91"/>
      <c r="M51" s="93">
        <f t="shared" si="3"/>
        <v>4.8909106922010608</v>
      </c>
    </row>
    <row r="52" spans="1:13">
      <c r="A52" s="90">
        <f t="shared" si="4"/>
        <v>4.6375243779659598</v>
      </c>
      <c r="B52" s="36">
        <f t="shared" si="0"/>
        <v>47</v>
      </c>
      <c r="C52" s="24" t="s">
        <v>99</v>
      </c>
      <c r="D52" s="24"/>
      <c r="E52" s="24"/>
      <c r="F52" s="24"/>
      <c r="G52" s="73"/>
      <c r="H52" s="87">
        <v>47</v>
      </c>
      <c r="I52" s="88">
        <f t="shared" si="1"/>
        <v>4.6375243779659598</v>
      </c>
      <c r="J52" s="88">
        <f t="shared" si="5"/>
        <v>0</v>
      </c>
      <c r="K52" s="87">
        <f t="shared" si="2"/>
        <v>0</v>
      </c>
      <c r="L52" s="87"/>
      <c r="M52" s="89">
        <f t="shared" si="3"/>
        <v>4.6375243779659598</v>
      </c>
    </row>
    <row r="53" spans="1:13">
      <c r="A53" s="90">
        <f t="shared" si="4"/>
        <v>4.3894729107772221</v>
      </c>
      <c r="B53" s="35">
        <f t="shared" si="0"/>
        <v>48</v>
      </c>
      <c r="C53" s="25" t="s">
        <v>99</v>
      </c>
      <c r="D53" s="25"/>
      <c r="E53" s="25"/>
      <c r="F53" s="25"/>
      <c r="G53" s="73"/>
      <c r="H53" s="91">
        <v>48</v>
      </c>
      <c r="I53" s="92">
        <f t="shared" si="1"/>
        <v>4.3894729107772221</v>
      </c>
      <c r="J53" s="92">
        <f t="shared" si="5"/>
        <v>0</v>
      </c>
      <c r="K53" s="91">
        <f t="shared" si="2"/>
        <v>0</v>
      </c>
      <c r="L53" s="91"/>
      <c r="M53" s="93">
        <f t="shared" si="3"/>
        <v>4.3894729107772221</v>
      </c>
    </row>
    <row r="54" spans="1:13">
      <c r="A54" s="90">
        <f t="shared" si="4"/>
        <v>4.1465362730591337</v>
      </c>
      <c r="B54" s="36">
        <f t="shared" si="0"/>
        <v>49</v>
      </c>
      <c r="C54" s="24" t="s">
        <v>99</v>
      </c>
      <c r="D54" s="24"/>
      <c r="E54" s="24"/>
      <c r="F54" s="24"/>
      <c r="G54" s="73"/>
      <c r="H54" s="87">
        <v>49</v>
      </c>
      <c r="I54" s="88">
        <f t="shared" si="1"/>
        <v>4.1465362730591337</v>
      </c>
      <c r="J54" s="88">
        <f t="shared" si="5"/>
        <v>0</v>
      </c>
      <c r="K54" s="87">
        <f t="shared" si="2"/>
        <v>0</v>
      </c>
      <c r="L54" s="87"/>
      <c r="M54" s="89">
        <f t="shared" si="3"/>
        <v>4.1465362730591337</v>
      </c>
    </row>
    <row r="55" spans="1:13">
      <c r="A55" s="90">
        <f t="shared" si="4"/>
        <v>3.9085077835064155</v>
      </c>
      <c r="B55" s="35">
        <f t="shared" si="0"/>
        <v>50</v>
      </c>
      <c r="C55" s="25" t="s">
        <v>99</v>
      </c>
      <c r="D55" s="25"/>
      <c r="E55" s="25"/>
      <c r="F55" s="25"/>
      <c r="G55" s="73"/>
      <c r="H55" s="91">
        <v>50</v>
      </c>
      <c r="I55" s="92">
        <f t="shared" si="1"/>
        <v>3.9085077835064155</v>
      </c>
      <c r="J55" s="92">
        <f t="shared" si="5"/>
        <v>0</v>
      </c>
      <c r="K55" s="91">
        <f t="shared" si="2"/>
        <v>0</v>
      </c>
      <c r="L55" s="91"/>
      <c r="M55" s="93">
        <f t="shared" si="3"/>
        <v>3.9085077835064155</v>
      </c>
    </row>
    <row r="56" spans="1:13">
      <c r="A56" s="90">
        <f t="shared" si="4"/>
        <v>3.6751930405661213</v>
      </c>
      <c r="B56" s="36">
        <f t="shared" si="0"/>
        <v>51</v>
      </c>
      <c r="C56" s="24" t="s">
        <v>99</v>
      </c>
      <c r="D56" s="24"/>
      <c r="E56" s="24"/>
      <c r="F56" s="24"/>
      <c r="G56" s="73"/>
      <c r="H56" s="87">
        <v>51</v>
      </c>
      <c r="I56" s="88">
        <f t="shared" si="1"/>
        <v>3.6751930405661213</v>
      </c>
      <c r="J56" s="88">
        <f t="shared" si="5"/>
        <v>0</v>
      </c>
      <c r="K56" s="87">
        <f t="shared" si="2"/>
        <v>0</v>
      </c>
      <c r="L56" s="87"/>
      <c r="M56" s="89">
        <f t="shared" si="3"/>
        <v>3.6751930405661213</v>
      </c>
    </row>
    <row r="57" spans="1:13">
      <c r="A57" s="90">
        <f t="shared" si="4"/>
        <v>3.4464089685144117</v>
      </c>
      <c r="B57" s="35">
        <f t="shared" si="0"/>
        <v>52</v>
      </c>
      <c r="C57" s="25" t="s">
        <v>99</v>
      </c>
      <c r="D57" s="25"/>
      <c r="E57" s="25"/>
      <c r="F57" s="25"/>
      <c r="G57" s="73"/>
      <c r="H57" s="91">
        <v>52</v>
      </c>
      <c r="I57" s="92">
        <f t="shared" si="1"/>
        <v>3.4464089685144117</v>
      </c>
      <c r="J57" s="92">
        <f t="shared" si="5"/>
        <v>0</v>
      </c>
      <c r="K57" s="91">
        <f t="shared" si="2"/>
        <v>0</v>
      </c>
      <c r="L57" s="91"/>
      <c r="M57" s="93">
        <f t="shared" si="3"/>
        <v>3.4464089685144117</v>
      </c>
    </row>
    <row r="58" spans="1:13">
      <c r="A58" s="90">
        <f t="shared" si="4"/>
        <v>3.2219829544005378</v>
      </c>
      <c r="B58" s="36">
        <f t="shared" si="0"/>
        <v>53</v>
      </c>
      <c r="C58" s="24" t="s">
        <v>99</v>
      </c>
      <c r="D58" s="24"/>
      <c r="E58" s="24"/>
      <c r="F58" s="24"/>
      <c r="G58" s="73"/>
      <c r="H58" s="87">
        <v>53</v>
      </c>
      <c r="I58" s="88">
        <f t="shared" si="1"/>
        <v>3.2219829544005378</v>
      </c>
      <c r="J58" s="88">
        <f t="shared" si="5"/>
        <v>0</v>
      </c>
      <c r="K58" s="87">
        <f t="shared" si="2"/>
        <v>0</v>
      </c>
      <c r="L58" s="87"/>
      <c r="M58" s="89">
        <f t="shared" si="3"/>
        <v>3.2219829544005378</v>
      </c>
    </row>
    <row r="59" spans="1:13">
      <c r="A59" s="90">
        <f t="shared" si="4"/>
        <v>3.0017520656650021</v>
      </c>
      <c r="B59" s="35">
        <f t="shared" si="0"/>
        <v>54</v>
      </c>
      <c r="C59" s="25" t="s">
        <v>99</v>
      </c>
      <c r="D59" s="25"/>
      <c r="E59" s="25"/>
      <c r="F59" s="25"/>
      <c r="G59" s="73"/>
      <c r="H59" s="91">
        <v>54</v>
      </c>
      <c r="I59" s="92">
        <f t="shared" si="1"/>
        <v>3.0017520656650021</v>
      </c>
      <c r="J59" s="92">
        <f t="shared" si="5"/>
        <v>0</v>
      </c>
      <c r="K59" s="91">
        <f t="shared" si="2"/>
        <v>0</v>
      </c>
      <c r="L59" s="91"/>
      <c r="M59" s="93">
        <f t="shared" si="3"/>
        <v>3.0017520656650021</v>
      </c>
    </row>
    <row r="60" spans="1:13">
      <c r="A60" s="90">
        <f t="shared" si="4"/>
        <v>2.785562339548612</v>
      </c>
      <c r="B60" s="36">
        <f t="shared" si="0"/>
        <v>55</v>
      </c>
      <c r="C60" s="24" t="s">
        <v>99</v>
      </c>
      <c r="D60" s="24"/>
      <c r="E60" s="24"/>
      <c r="F60" s="24"/>
      <c r="G60" s="73"/>
      <c r="H60" s="87">
        <v>55</v>
      </c>
      <c r="I60" s="88">
        <f t="shared" si="1"/>
        <v>2.785562339548612</v>
      </c>
      <c r="J60" s="88">
        <f t="shared" si="5"/>
        <v>0</v>
      </c>
      <c r="K60" s="87">
        <f t="shared" si="2"/>
        <v>0</v>
      </c>
      <c r="L60" s="87"/>
      <c r="M60" s="89">
        <f t="shared" si="3"/>
        <v>2.785562339548612</v>
      </c>
    </row>
    <row r="61" spans="1:13">
      <c r="A61" s="90">
        <f t="shared" si="4"/>
        <v>2.5732681365295633</v>
      </c>
      <c r="B61" s="35">
        <f t="shared" si="0"/>
        <v>56</v>
      </c>
      <c r="C61" s="25" t="s">
        <v>99</v>
      </c>
      <c r="D61" s="25"/>
      <c r="E61" s="25"/>
      <c r="F61" s="25"/>
      <c r="G61" s="73"/>
      <c r="H61" s="91">
        <v>56</v>
      </c>
      <c r="I61" s="92">
        <f t="shared" si="1"/>
        <v>2.5732681365295633</v>
      </c>
      <c r="J61" s="92">
        <f t="shared" si="5"/>
        <v>0</v>
      </c>
      <c r="K61" s="91">
        <f t="shared" si="2"/>
        <v>0</v>
      </c>
      <c r="L61" s="91"/>
      <c r="M61" s="93">
        <f t="shared" si="3"/>
        <v>2.5732681365295633</v>
      </c>
    </row>
    <row r="62" spans="1:13">
      <c r="A62" s="90">
        <f t="shared" si="4"/>
        <v>2.3647315509879405</v>
      </c>
      <c r="B62" s="36">
        <f t="shared" si="0"/>
        <v>57</v>
      </c>
      <c r="C62" s="24" t="s">
        <v>99</v>
      </c>
      <c r="D62" s="24"/>
      <c r="E62" s="24"/>
      <c r="F62" s="24"/>
      <c r="G62" s="73"/>
      <c r="H62" s="87">
        <v>57</v>
      </c>
      <c r="I62" s="88">
        <f t="shared" si="1"/>
        <v>2.3647315509879405</v>
      </c>
      <c r="J62" s="88">
        <f t="shared" si="5"/>
        <v>0</v>
      </c>
      <c r="K62" s="87">
        <f t="shared" si="2"/>
        <v>0</v>
      </c>
      <c r="L62" s="87"/>
      <c r="M62" s="89">
        <f t="shared" si="3"/>
        <v>2.3647315509879405</v>
      </c>
    </row>
    <row r="63" spans="1:13">
      <c r="A63" s="90">
        <f t="shared" si="4"/>
        <v>2.1598218731248267</v>
      </c>
      <c r="B63" s="35">
        <f t="shared" si="0"/>
        <v>58</v>
      </c>
      <c r="C63" s="25" t="s">
        <v>99</v>
      </c>
      <c r="D63" s="25"/>
      <c r="E63" s="25"/>
      <c r="F63" s="25"/>
      <c r="G63" s="73"/>
      <c r="H63" s="91">
        <v>58</v>
      </c>
      <c r="I63" s="92">
        <f t="shared" si="1"/>
        <v>2.1598218731248267</v>
      </c>
      <c r="J63" s="92">
        <f t="shared" si="5"/>
        <v>0</v>
      </c>
      <c r="K63" s="91">
        <f t="shared" si="2"/>
        <v>0</v>
      </c>
      <c r="L63" s="91"/>
      <c r="M63" s="93">
        <f t="shared" si="3"/>
        <v>2.1598218731248267</v>
      </c>
    </row>
    <row r="64" spans="1:13">
      <c r="A64" s="90">
        <f t="shared" si="4"/>
        <v>1.9584150968782907</v>
      </c>
      <c r="B64" s="36">
        <f t="shared" si="0"/>
        <v>59</v>
      </c>
      <c r="C64" s="24" t="s">
        <v>99</v>
      </c>
      <c r="D64" s="24"/>
      <c r="E64" s="24"/>
      <c r="F64" s="24"/>
      <c r="G64" s="73"/>
      <c r="H64" s="87">
        <v>59</v>
      </c>
      <c r="I64" s="88">
        <f t="shared" si="1"/>
        <v>1.9584150968782907</v>
      </c>
      <c r="J64" s="88">
        <f t="shared" si="5"/>
        <v>0</v>
      </c>
      <c r="K64" s="87">
        <f t="shared" si="2"/>
        <v>0</v>
      </c>
      <c r="L64" s="87"/>
      <c r="M64" s="89">
        <f t="shared" si="3"/>
        <v>1.9584150968782907</v>
      </c>
    </row>
    <row r="65" spans="1:13">
      <c r="A65" s="90">
        <f t="shared" si="4"/>
        <v>1.7603934691970977</v>
      </c>
      <c r="B65" s="35">
        <f t="shared" si="0"/>
        <v>60</v>
      </c>
      <c r="C65" s="25" t="s">
        <v>99</v>
      </c>
      <c r="D65" s="25"/>
      <c r="E65" s="25"/>
      <c r="F65" s="25"/>
      <c r="G65" s="73"/>
      <c r="H65" s="91">
        <v>60</v>
      </c>
      <c r="I65" s="92">
        <f t="shared" si="1"/>
        <v>1.7603934691970977</v>
      </c>
      <c r="J65" s="92">
        <f t="shared" si="5"/>
        <v>0</v>
      </c>
      <c r="K65" s="91">
        <f t="shared" si="2"/>
        <v>0</v>
      </c>
      <c r="L65" s="91"/>
      <c r="M65" s="93">
        <f t="shared" si="3"/>
        <v>1.7603934691970977</v>
      </c>
    </row>
    <row r="66" spans="1:13">
      <c r="A66" s="90">
        <f t="shared" si="4"/>
        <v>1.5656450765697585</v>
      </c>
      <c r="B66" s="36">
        <f t="shared" si="0"/>
        <v>61</v>
      </c>
      <c r="C66" s="24" t="s">
        <v>99</v>
      </c>
      <c r="D66" s="24"/>
      <c r="E66" s="24"/>
      <c r="F66" s="24"/>
      <c r="G66" s="73"/>
      <c r="H66" s="87">
        <v>61</v>
      </c>
      <c r="I66" s="88">
        <f t="shared" si="1"/>
        <v>1.5656450765697585</v>
      </c>
      <c r="J66" s="88">
        <f t="shared" si="5"/>
        <v>0</v>
      </c>
      <c r="K66" s="87">
        <f t="shared" si="2"/>
        <v>0</v>
      </c>
      <c r="L66" s="87"/>
      <c r="M66" s="89">
        <f t="shared" si="3"/>
        <v>1.5656450765697585</v>
      </c>
    </row>
    <row r="67" spans="1:13">
      <c r="A67" s="90">
        <f t="shared" si="4"/>
        <v>1.3740634651738546</v>
      </c>
      <c r="B67" s="35">
        <f t="shared" si="0"/>
        <v>62</v>
      </c>
      <c r="C67" s="25" t="s">
        <v>99</v>
      </c>
      <c r="D67" s="25"/>
      <c r="E67" s="25"/>
      <c r="F67" s="25"/>
      <c r="G67" s="73"/>
      <c r="H67" s="91">
        <v>62</v>
      </c>
      <c r="I67" s="92">
        <f t="shared" si="1"/>
        <v>1.3740634651738546</v>
      </c>
      <c r="J67" s="92">
        <f t="shared" si="5"/>
        <v>0</v>
      </c>
      <c r="K67" s="91">
        <f t="shared" si="2"/>
        <v>0</v>
      </c>
      <c r="L67" s="91"/>
      <c r="M67" s="93">
        <f t="shared" si="3"/>
        <v>1.3740634651738546</v>
      </c>
    </row>
    <row r="68" spans="1:13">
      <c r="A68" s="90">
        <f t="shared" si="4"/>
        <v>1.1855472914173433</v>
      </c>
      <c r="B68" s="36">
        <f t="shared" si="0"/>
        <v>63</v>
      </c>
      <c r="C68" s="24" t="s">
        <v>99</v>
      </c>
      <c r="D68" s="24"/>
      <c r="E68" s="24"/>
      <c r="F68" s="24"/>
      <c r="G68" s="73"/>
      <c r="H68" s="87">
        <v>63</v>
      </c>
      <c r="I68" s="88">
        <f t="shared" si="1"/>
        <v>1.1855472914173433</v>
      </c>
      <c r="J68" s="88">
        <f t="shared" si="5"/>
        <v>0</v>
      </c>
      <c r="K68" s="87">
        <f t="shared" si="2"/>
        <v>0</v>
      </c>
      <c r="L68" s="87"/>
      <c r="M68" s="89">
        <f t="shared" si="3"/>
        <v>1.1855472914173433</v>
      </c>
    </row>
    <row r="69" spans="1:13">
      <c r="A69" s="90">
        <f t="shared" si="4"/>
        <v>1</v>
      </c>
      <c r="B69" s="35">
        <f t="shared" si="0"/>
        <v>64</v>
      </c>
      <c r="C69" s="25" t="s">
        <v>99</v>
      </c>
      <c r="D69" s="25"/>
      <c r="E69" s="25"/>
      <c r="F69" s="25"/>
      <c r="G69" s="73"/>
      <c r="H69" s="91">
        <v>64</v>
      </c>
      <c r="I69" s="92">
        <f t="shared" si="1"/>
        <v>1</v>
      </c>
      <c r="J69" s="92">
        <f t="shared" si="5"/>
        <v>0</v>
      </c>
      <c r="K69" s="91">
        <f t="shared" si="2"/>
        <v>0</v>
      </c>
      <c r="L69" s="91"/>
      <c r="M69" s="93">
        <f t="shared" si="3"/>
        <v>1</v>
      </c>
    </row>
    <row r="70" spans="1:13">
      <c r="A70" s="90">
        <f t="shared" si="4"/>
        <v>0</v>
      </c>
      <c r="G70" s="73"/>
      <c r="H70" s="87">
        <v>65</v>
      </c>
      <c r="I70" s="88" t="str">
        <f t="shared" ref="I70:I133" si="6">IF(H70&lt;$H$2+1,($I$2-($I$2-1)*(LOG(H70)/LOG($H$2))),"")</f>
        <v/>
      </c>
      <c r="J70" s="88">
        <f t="shared" si="5"/>
        <v>-1</v>
      </c>
      <c r="K70" s="87">
        <f t="shared" ref="K70:K133" si="7">J70*$J$2</f>
        <v>-10</v>
      </c>
      <c r="L70" s="87"/>
      <c r="M70" s="89">
        <f t="shared" ref="M70:M133" si="8">IF(I70&lt;&gt;"",K70+I70+L70,0)</f>
        <v>0</v>
      </c>
    </row>
    <row r="71" spans="1:13">
      <c r="A71" s="245">
        <v>113.42218180519998</v>
      </c>
      <c r="B71" s="246" t="s">
        <v>116</v>
      </c>
      <c r="C71" s="246" t="s">
        <v>18</v>
      </c>
      <c r="G71" s="73"/>
      <c r="H71" s="87">
        <v>66</v>
      </c>
      <c r="I71" s="88" t="str">
        <f t="shared" si="6"/>
        <v/>
      </c>
      <c r="J71" s="88">
        <f t="shared" ref="J71:J134" si="9">INT(LOG($H$2,2))-ROUNDUP(LOG(H71,2),0)+IF(OR($H$2=1,$H$2=2,$H$2=4,$H$2=8,$H$2=16,$H$2=32,$H$2=64,$H$2=128,$H$2=256),0,1)</f>
        <v>-1</v>
      </c>
      <c r="K71" s="87">
        <f t="shared" si="7"/>
        <v>-10</v>
      </c>
      <c r="L71" s="87"/>
      <c r="M71" s="89">
        <f t="shared" si="8"/>
        <v>0</v>
      </c>
    </row>
    <row r="72" spans="1:13">
      <c r="A72" s="90">
        <f t="shared" ref="A72:A79" si="10">M72</f>
        <v>0</v>
      </c>
      <c r="G72" s="73"/>
      <c r="H72" s="87">
        <v>67</v>
      </c>
      <c r="I72" s="88" t="str">
        <f t="shared" si="6"/>
        <v/>
      </c>
      <c r="J72" s="88">
        <f t="shared" si="9"/>
        <v>-1</v>
      </c>
      <c r="K72" s="87">
        <f t="shared" si="7"/>
        <v>-10</v>
      </c>
      <c r="L72" s="87"/>
      <c r="M72" s="89">
        <f t="shared" si="8"/>
        <v>0</v>
      </c>
    </row>
    <row r="73" spans="1:13">
      <c r="A73" s="90">
        <f t="shared" si="10"/>
        <v>0</v>
      </c>
      <c r="G73" s="73"/>
      <c r="H73" s="87">
        <v>68</v>
      </c>
      <c r="I73" s="88" t="str">
        <f t="shared" si="6"/>
        <v/>
      </c>
      <c r="J73" s="88">
        <f t="shared" si="9"/>
        <v>-1</v>
      </c>
      <c r="K73" s="87">
        <f t="shared" si="7"/>
        <v>-10</v>
      </c>
      <c r="L73" s="87"/>
      <c r="M73" s="89">
        <f t="shared" si="8"/>
        <v>0</v>
      </c>
    </row>
    <row r="74" spans="1:13">
      <c r="A74" s="90">
        <f t="shared" si="10"/>
        <v>0</v>
      </c>
      <c r="G74" s="73"/>
      <c r="H74" s="87">
        <v>69</v>
      </c>
      <c r="I74" s="88" t="str">
        <f t="shared" si="6"/>
        <v/>
      </c>
      <c r="J74" s="88">
        <f t="shared" si="9"/>
        <v>-1</v>
      </c>
      <c r="K74" s="87">
        <f t="shared" si="7"/>
        <v>-10</v>
      </c>
      <c r="L74" s="87"/>
      <c r="M74" s="89">
        <f t="shared" si="8"/>
        <v>0</v>
      </c>
    </row>
    <row r="75" spans="1:13">
      <c r="A75" s="90">
        <f t="shared" si="10"/>
        <v>0</v>
      </c>
      <c r="G75" s="73"/>
      <c r="H75" s="87">
        <v>70</v>
      </c>
      <c r="I75" s="88" t="str">
        <f t="shared" si="6"/>
        <v/>
      </c>
      <c r="J75" s="88">
        <f t="shared" si="9"/>
        <v>-1</v>
      </c>
      <c r="K75" s="87">
        <f t="shared" si="7"/>
        <v>-10</v>
      </c>
      <c r="L75" s="87"/>
      <c r="M75" s="89">
        <f t="shared" si="8"/>
        <v>0</v>
      </c>
    </row>
    <row r="76" spans="1:13">
      <c r="A76" s="90">
        <f t="shared" si="10"/>
        <v>0</v>
      </c>
      <c r="G76" s="73"/>
      <c r="H76" s="87">
        <v>71</v>
      </c>
      <c r="I76" s="88" t="str">
        <f t="shared" si="6"/>
        <v/>
      </c>
      <c r="J76" s="88">
        <f t="shared" si="9"/>
        <v>-1</v>
      </c>
      <c r="K76" s="87">
        <f t="shared" si="7"/>
        <v>-10</v>
      </c>
      <c r="L76" s="87"/>
      <c r="M76" s="89">
        <f t="shared" si="8"/>
        <v>0</v>
      </c>
    </row>
    <row r="77" spans="1:13">
      <c r="A77" s="90">
        <f t="shared" si="10"/>
        <v>0</v>
      </c>
      <c r="G77" s="73"/>
      <c r="H77" s="87">
        <v>72</v>
      </c>
      <c r="I77" s="88" t="str">
        <f t="shared" si="6"/>
        <v/>
      </c>
      <c r="J77" s="88">
        <f t="shared" si="9"/>
        <v>-1</v>
      </c>
      <c r="K77" s="87">
        <f t="shared" si="7"/>
        <v>-10</v>
      </c>
      <c r="L77" s="87"/>
      <c r="M77" s="89">
        <f t="shared" si="8"/>
        <v>0</v>
      </c>
    </row>
    <row r="78" spans="1:13">
      <c r="A78" s="90">
        <f t="shared" si="10"/>
        <v>0</v>
      </c>
      <c r="G78" s="73"/>
      <c r="H78" s="87">
        <v>73</v>
      </c>
      <c r="I78" s="88" t="str">
        <f t="shared" si="6"/>
        <v/>
      </c>
      <c r="J78" s="88">
        <f t="shared" si="9"/>
        <v>-1</v>
      </c>
      <c r="K78" s="87">
        <f t="shared" si="7"/>
        <v>-10</v>
      </c>
      <c r="L78" s="87"/>
      <c r="M78" s="89">
        <f t="shared" si="8"/>
        <v>0</v>
      </c>
    </row>
    <row r="79" spans="1:13">
      <c r="A79" s="90">
        <f t="shared" si="10"/>
        <v>0</v>
      </c>
      <c r="G79" s="73"/>
      <c r="H79" s="87">
        <v>74</v>
      </c>
      <c r="I79" s="88" t="str">
        <f t="shared" si="6"/>
        <v/>
      </c>
      <c r="J79" s="88">
        <f t="shared" si="9"/>
        <v>-1</v>
      </c>
      <c r="K79" s="87">
        <f t="shared" si="7"/>
        <v>-10</v>
      </c>
      <c r="L79" s="87"/>
      <c r="M79" s="89">
        <f t="shared" si="8"/>
        <v>0</v>
      </c>
    </row>
    <row r="80" spans="1:13">
      <c r="A80" s="86"/>
      <c r="G80" s="73"/>
      <c r="H80" s="87">
        <v>75</v>
      </c>
      <c r="I80" s="88" t="str">
        <f t="shared" si="6"/>
        <v/>
      </c>
      <c r="J80" s="88">
        <f t="shared" si="9"/>
        <v>-1</v>
      </c>
      <c r="K80" s="87">
        <f t="shared" si="7"/>
        <v>-10</v>
      </c>
      <c r="L80" s="87"/>
      <c r="M80" s="89">
        <f t="shared" si="8"/>
        <v>0</v>
      </c>
    </row>
    <row r="81" spans="1:13">
      <c r="A81" s="105"/>
      <c r="G81" s="73"/>
      <c r="H81" s="87">
        <v>76</v>
      </c>
      <c r="I81" s="88" t="str">
        <f t="shared" si="6"/>
        <v/>
      </c>
      <c r="J81" s="88">
        <f t="shared" si="9"/>
        <v>-1</v>
      </c>
      <c r="K81" s="87">
        <f t="shared" si="7"/>
        <v>-10</v>
      </c>
      <c r="L81" s="87"/>
      <c r="M81" s="89">
        <f t="shared" si="8"/>
        <v>0</v>
      </c>
    </row>
    <row r="82" spans="1:13">
      <c r="A82" s="105"/>
      <c r="G82" s="73"/>
      <c r="H82" s="87">
        <v>77</v>
      </c>
      <c r="I82" s="88" t="str">
        <f t="shared" si="6"/>
        <v/>
      </c>
      <c r="J82" s="88">
        <f t="shared" si="9"/>
        <v>-1</v>
      </c>
      <c r="K82" s="87">
        <f t="shared" si="7"/>
        <v>-10</v>
      </c>
      <c r="L82" s="87"/>
      <c r="M82" s="89">
        <f t="shared" si="8"/>
        <v>0</v>
      </c>
    </row>
    <row r="83" spans="1:13">
      <c r="A83" s="105"/>
      <c r="G83" s="73"/>
      <c r="H83" s="87">
        <v>78</v>
      </c>
      <c r="I83" s="88" t="str">
        <f t="shared" si="6"/>
        <v/>
      </c>
      <c r="J83" s="88">
        <f t="shared" si="9"/>
        <v>-1</v>
      </c>
      <c r="K83" s="87">
        <f t="shared" si="7"/>
        <v>-10</v>
      </c>
      <c r="L83" s="87"/>
      <c r="M83" s="89">
        <f t="shared" si="8"/>
        <v>0</v>
      </c>
    </row>
    <row r="84" spans="1:13">
      <c r="A84" s="105"/>
      <c r="G84" s="73"/>
      <c r="H84" s="87">
        <v>79</v>
      </c>
      <c r="I84" s="88" t="str">
        <f t="shared" si="6"/>
        <v/>
      </c>
      <c r="J84" s="88">
        <f t="shared" si="9"/>
        <v>-1</v>
      </c>
      <c r="K84" s="87">
        <f t="shared" si="7"/>
        <v>-10</v>
      </c>
      <c r="L84" s="87"/>
      <c r="M84" s="89">
        <f t="shared" si="8"/>
        <v>0</v>
      </c>
    </row>
    <row r="85" spans="1:13">
      <c r="A85" s="105"/>
      <c r="G85" s="73"/>
      <c r="H85" s="87">
        <v>80</v>
      </c>
      <c r="I85" s="88" t="str">
        <f t="shared" si="6"/>
        <v/>
      </c>
      <c r="J85" s="88">
        <f t="shared" si="9"/>
        <v>-1</v>
      </c>
      <c r="K85" s="87">
        <f t="shared" si="7"/>
        <v>-10</v>
      </c>
      <c r="L85" s="87"/>
      <c r="M85" s="89">
        <f t="shared" si="8"/>
        <v>0</v>
      </c>
    </row>
    <row r="86" spans="1:13">
      <c r="A86" s="105"/>
      <c r="G86" s="73"/>
      <c r="H86" s="87">
        <v>81</v>
      </c>
      <c r="I86" s="88" t="str">
        <f t="shared" si="6"/>
        <v/>
      </c>
      <c r="J86" s="88">
        <f t="shared" si="9"/>
        <v>-1</v>
      </c>
      <c r="K86" s="87">
        <f t="shared" si="7"/>
        <v>-10</v>
      </c>
      <c r="L86" s="87"/>
      <c r="M86" s="89">
        <f t="shared" si="8"/>
        <v>0</v>
      </c>
    </row>
    <row r="87" spans="1:13">
      <c r="A87" s="105"/>
      <c r="G87" s="73"/>
      <c r="H87" s="87">
        <v>82</v>
      </c>
      <c r="I87" s="88" t="str">
        <f t="shared" si="6"/>
        <v/>
      </c>
      <c r="J87" s="88">
        <f t="shared" si="9"/>
        <v>-1</v>
      </c>
      <c r="K87" s="87">
        <f t="shared" si="7"/>
        <v>-10</v>
      </c>
      <c r="L87" s="87"/>
      <c r="M87" s="89">
        <f t="shared" si="8"/>
        <v>0</v>
      </c>
    </row>
    <row r="88" spans="1:13">
      <c r="A88" s="105"/>
      <c r="G88" s="73"/>
      <c r="H88" s="87">
        <v>83</v>
      </c>
      <c r="I88" s="88" t="str">
        <f t="shared" si="6"/>
        <v/>
      </c>
      <c r="J88" s="88">
        <f t="shared" si="9"/>
        <v>-1</v>
      </c>
      <c r="K88" s="87">
        <f t="shared" si="7"/>
        <v>-10</v>
      </c>
      <c r="L88" s="87"/>
      <c r="M88" s="89">
        <f t="shared" si="8"/>
        <v>0</v>
      </c>
    </row>
    <row r="89" spans="1:13">
      <c r="A89" s="105"/>
      <c r="G89" s="73"/>
      <c r="H89" s="87">
        <v>84</v>
      </c>
      <c r="I89" s="88" t="str">
        <f t="shared" si="6"/>
        <v/>
      </c>
      <c r="J89" s="88">
        <f t="shared" si="9"/>
        <v>-1</v>
      </c>
      <c r="K89" s="87">
        <f t="shared" si="7"/>
        <v>-10</v>
      </c>
      <c r="L89" s="87"/>
      <c r="M89" s="89">
        <f t="shared" si="8"/>
        <v>0</v>
      </c>
    </row>
    <row r="90" spans="1:13">
      <c r="A90" s="105"/>
      <c r="G90" s="73"/>
      <c r="H90" s="87">
        <v>85</v>
      </c>
      <c r="I90" s="88" t="str">
        <f t="shared" si="6"/>
        <v/>
      </c>
      <c r="J90" s="88">
        <f t="shared" si="9"/>
        <v>-1</v>
      </c>
      <c r="K90" s="87">
        <f t="shared" si="7"/>
        <v>-10</v>
      </c>
      <c r="L90" s="87"/>
      <c r="M90" s="89">
        <f t="shared" si="8"/>
        <v>0</v>
      </c>
    </row>
    <row r="91" spans="1:13">
      <c r="A91" s="105"/>
      <c r="G91" s="73"/>
      <c r="H91" s="87">
        <v>86</v>
      </c>
      <c r="I91" s="88" t="str">
        <f t="shared" si="6"/>
        <v/>
      </c>
      <c r="J91" s="88">
        <f t="shared" si="9"/>
        <v>-1</v>
      </c>
      <c r="K91" s="87">
        <f t="shared" si="7"/>
        <v>-10</v>
      </c>
      <c r="L91" s="87"/>
      <c r="M91" s="89">
        <f t="shared" si="8"/>
        <v>0</v>
      </c>
    </row>
    <row r="92" spans="1:13">
      <c r="A92" s="105"/>
      <c r="G92" s="73"/>
      <c r="H92" s="87">
        <v>87</v>
      </c>
      <c r="I92" s="88" t="str">
        <f t="shared" si="6"/>
        <v/>
      </c>
      <c r="J92" s="88">
        <f t="shared" si="9"/>
        <v>-1</v>
      </c>
      <c r="K92" s="87">
        <f t="shared" si="7"/>
        <v>-10</v>
      </c>
      <c r="L92" s="87"/>
      <c r="M92" s="89">
        <f t="shared" si="8"/>
        <v>0</v>
      </c>
    </row>
    <row r="93" spans="1:13">
      <c r="A93" s="105"/>
      <c r="G93" s="73"/>
      <c r="H93" s="87">
        <v>88</v>
      </c>
      <c r="I93" s="88" t="str">
        <f t="shared" si="6"/>
        <v/>
      </c>
      <c r="J93" s="88">
        <f t="shared" si="9"/>
        <v>-1</v>
      </c>
      <c r="K93" s="87">
        <f t="shared" si="7"/>
        <v>-10</v>
      </c>
      <c r="L93" s="87"/>
      <c r="M93" s="89">
        <f t="shared" si="8"/>
        <v>0</v>
      </c>
    </row>
    <row r="94" spans="1:13">
      <c r="A94" s="105"/>
      <c r="G94" s="73"/>
      <c r="H94" s="87">
        <v>89</v>
      </c>
      <c r="I94" s="88" t="str">
        <f t="shared" si="6"/>
        <v/>
      </c>
      <c r="J94" s="88">
        <f t="shared" si="9"/>
        <v>-1</v>
      </c>
      <c r="K94" s="87">
        <f t="shared" si="7"/>
        <v>-10</v>
      </c>
      <c r="L94" s="87"/>
      <c r="M94" s="89">
        <f t="shared" si="8"/>
        <v>0</v>
      </c>
    </row>
    <row r="95" spans="1:13">
      <c r="A95" s="105"/>
      <c r="G95" s="73"/>
      <c r="H95" s="87">
        <v>90</v>
      </c>
      <c r="I95" s="88" t="str">
        <f t="shared" si="6"/>
        <v/>
      </c>
      <c r="J95" s="88">
        <f t="shared" si="9"/>
        <v>-1</v>
      </c>
      <c r="K95" s="87">
        <f t="shared" si="7"/>
        <v>-10</v>
      </c>
      <c r="L95" s="87"/>
      <c r="M95" s="89">
        <f t="shared" si="8"/>
        <v>0</v>
      </c>
    </row>
    <row r="96" spans="1:13">
      <c r="A96" s="105"/>
      <c r="G96" s="73"/>
      <c r="H96" s="87">
        <v>91</v>
      </c>
      <c r="I96" s="88" t="str">
        <f t="shared" si="6"/>
        <v/>
      </c>
      <c r="J96" s="88">
        <f t="shared" si="9"/>
        <v>-1</v>
      </c>
      <c r="K96" s="87">
        <f t="shared" si="7"/>
        <v>-10</v>
      </c>
      <c r="L96" s="87"/>
      <c r="M96" s="89">
        <f t="shared" si="8"/>
        <v>0</v>
      </c>
    </row>
    <row r="97" spans="1:13">
      <c r="A97" s="105"/>
      <c r="G97" s="73"/>
      <c r="H97" s="87">
        <v>92</v>
      </c>
      <c r="I97" s="88" t="str">
        <f t="shared" si="6"/>
        <v/>
      </c>
      <c r="J97" s="88">
        <f t="shared" si="9"/>
        <v>-1</v>
      </c>
      <c r="K97" s="87">
        <f t="shared" si="7"/>
        <v>-10</v>
      </c>
      <c r="L97" s="87"/>
      <c r="M97" s="89">
        <f t="shared" si="8"/>
        <v>0</v>
      </c>
    </row>
    <row r="98" spans="1:13">
      <c r="A98" s="105"/>
      <c r="G98" s="73"/>
      <c r="H98" s="87">
        <v>93</v>
      </c>
      <c r="I98" s="88" t="str">
        <f t="shared" si="6"/>
        <v/>
      </c>
      <c r="J98" s="88">
        <f t="shared" si="9"/>
        <v>-1</v>
      </c>
      <c r="K98" s="87">
        <f t="shared" si="7"/>
        <v>-10</v>
      </c>
      <c r="L98" s="87"/>
      <c r="M98" s="89">
        <f t="shared" si="8"/>
        <v>0</v>
      </c>
    </row>
    <row r="99" spans="1:13">
      <c r="A99" s="105"/>
      <c r="G99" s="73"/>
      <c r="H99" s="87">
        <v>94</v>
      </c>
      <c r="I99" s="88" t="str">
        <f t="shared" si="6"/>
        <v/>
      </c>
      <c r="J99" s="88">
        <f t="shared" si="9"/>
        <v>-1</v>
      </c>
      <c r="K99" s="87">
        <f t="shared" si="7"/>
        <v>-10</v>
      </c>
      <c r="L99" s="87"/>
      <c r="M99" s="89">
        <f t="shared" si="8"/>
        <v>0</v>
      </c>
    </row>
    <row r="100" spans="1:13">
      <c r="A100" s="105"/>
      <c r="G100" s="73"/>
      <c r="H100" s="87">
        <v>95</v>
      </c>
      <c r="I100" s="88" t="str">
        <f t="shared" si="6"/>
        <v/>
      </c>
      <c r="J100" s="88">
        <f t="shared" si="9"/>
        <v>-1</v>
      </c>
      <c r="K100" s="87">
        <f t="shared" si="7"/>
        <v>-10</v>
      </c>
      <c r="L100" s="87"/>
      <c r="M100" s="89">
        <f t="shared" si="8"/>
        <v>0</v>
      </c>
    </row>
    <row r="101" spans="1:13">
      <c r="A101" s="105"/>
      <c r="G101" s="73"/>
      <c r="H101" s="87">
        <v>96</v>
      </c>
      <c r="I101" s="88" t="str">
        <f t="shared" si="6"/>
        <v/>
      </c>
      <c r="J101" s="88">
        <f t="shared" si="9"/>
        <v>-1</v>
      </c>
      <c r="K101" s="87">
        <f t="shared" si="7"/>
        <v>-10</v>
      </c>
      <c r="L101" s="87"/>
      <c r="M101" s="89">
        <f t="shared" si="8"/>
        <v>0</v>
      </c>
    </row>
    <row r="102" spans="1:13">
      <c r="A102" s="105"/>
      <c r="G102" s="73"/>
      <c r="H102" s="87">
        <v>97</v>
      </c>
      <c r="I102" s="88" t="str">
        <f t="shared" si="6"/>
        <v/>
      </c>
      <c r="J102" s="88">
        <f t="shared" si="9"/>
        <v>-1</v>
      </c>
      <c r="K102" s="87">
        <f t="shared" si="7"/>
        <v>-10</v>
      </c>
      <c r="L102" s="87"/>
      <c r="M102" s="89">
        <f t="shared" si="8"/>
        <v>0</v>
      </c>
    </row>
    <row r="103" spans="1:13">
      <c r="A103" s="105"/>
      <c r="G103" s="73"/>
      <c r="H103" s="87">
        <v>98</v>
      </c>
      <c r="I103" s="88" t="str">
        <f t="shared" si="6"/>
        <v/>
      </c>
      <c r="J103" s="88">
        <f t="shared" si="9"/>
        <v>-1</v>
      </c>
      <c r="K103" s="87">
        <f t="shared" si="7"/>
        <v>-10</v>
      </c>
      <c r="L103" s="87"/>
      <c r="M103" s="89">
        <f t="shared" si="8"/>
        <v>0</v>
      </c>
    </row>
    <row r="104" spans="1:13">
      <c r="A104" s="105"/>
      <c r="G104" s="73"/>
      <c r="H104" s="87">
        <v>99</v>
      </c>
      <c r="I104" s="88" t="str">
        <f t="shared" si="6"/>
        <v/>
      </c>
      <c r="J104" s="88">
        <f t="shared" si="9"/>
        <v>-1</v>
      </c>
      <c r="K104" s="87">
        <f t="shared" si="7"/>
        <v>-10</v>
      </c>
      <c r="L104" s="87"/>
      <c r="M104" s="89">
        <f t="shared" si="8"/>
        <v>0</v>
      </c>
    </row>
    <row r="105" spans="1:13">
      <c r="A105" s="105"/>
      <c r="G105" s="73"/>
      <c r="H105" s="87">
        <v>100</v>
      </c>
      <c r="I105" s="88" t="str">
        <f t="shared" si="6"/>
        <v/>
      </c>
      <c r="J105" s="88">
        <f t="shared" si="9"/>
        <v>-1</v>
      </c>
      <c r="K105" s="87">
        <f t="shared" si="7"/>
        <v>-10</v>
      </c>
      <c r="L105" s="87"/>
      <c r="M105" s="89">
        <f t="shared" si="8"/>
        <v>0</v>
      </c>
    </row>
    <row r="106" spans="1:13">
      <c r="A106" s="105"/>
      <c r="G106" s="73"/>
      <c r="H106" s="87">
        <v>101</v>
      </c>
      <c r="I106" s="88" t="str">
        <f t="shared" si="6"/>
        <v/>
      </c>
      <c r="J106" s="88">
        <f t="shared" si="9"/>
        <v>-1</v>
      </c>
      <c r="K106" s="87">
        <f t="shared" si="7"/>
        <v>-10</v>
      </c>
      <c r="L106" s="87"/>
      <c r="M106" s="89">
        <f t="shared" si="8"/>
        <v>0</v>
      </c>
    </row>
    <row r="107" spans="1:13">
      <c r="A107" s="105"/>
      <c r="G107" s="73"/>
      <c r="H107" s="87">
        <v>102</v>
      </c>
      <c r="I107" s="88" t="str">
        <f t="shared" si="6"/>
        <v/>
      </c>
      <c r="J107" s="88">
        <f t="shared" si="9"/>
        <v>-1</v>
      </c>
      <c r="K107" s="87">
        <f t="shared" si="7"/>
        <v>-10</v>
      </c>
      <c r="L107" s="87"/>
      <c r="M107" s="89">
        <f t="shared" si="8"/>
        <v>0</v>
      </c>
    </row>
    <row r="108" spans="1:13">
      <c r="A108" s="105"/>
      <c r="G108" s="73"/>
      <c r="H108" s="87">
        <v>103</v>
      </c>
      <c r="I108" s="88" t="str">
        <f t="shared" si="6"/>
        <v/>
      </c>
      <c r="J108" s="88">
        <f t="shared" si="9"/>
        <v>-1</v>
      </c>
      <c r="K108" s="87">
        <f t="shared" si="7"/>
        <v>-10</v>
      </c>
      <c r="L108" s="87"/>
      <c r="M108" s="89">
        <f t="shared" si="8"/>
        <v>0</v>
      </c>
    </row>
    <row r="109" spans="1:13">
      <c r="A109" s="105"/>
      <c r="G109" s="73"/>
      <c r="H109" s="87">
        <v>104</v>
      </c>
      <c r="I109" s="88" t="str">
        <f t="shared" si="6"/>
        <v/>
      </c>
      <c r="J109" s="88">
        <f t="shared" si="9"/>
        <v>-1</v>
      </c>
      <c r="K109" s="87">
        <f t="shared" si="7"/>
        <v>-10</v>
      </c>
      <c r="L109" s="87"/>
      <c r="M109" s="89">
        <f t="shared" si="8"/>
        <v>0</v>
      </c>
    </row>
    <row r="110" spans="1:13">
      <c r="A110" s="105"/>
      <c r="G110" s="73"/>
      <c r="H110" s="87">
        <v>105</v>
      </c>
      <c r="I110" s="88" t="str">
        <f t="shared" si="6"/>
        <v/>
      </c>
      <c r="J110" s="88">
        <f t="shared" si="9"/>
        <v>-1</v>
      </c>
      <c r="K110" s="87">
        <f t="shared" si="7"/>
        <v>-10</v>
      </c>
      <c r="L110" s="87"/>
      <c r="M110" s="89">
        <f t="shared" si="8"/>
        <v>0</v>
      </c>
    </row>
    <row r="111" spans="1:13">
      <c r="A111" s="105"/>
      <c r="G111" s="73"/>
      <c r="H111" s="87">
        <v>106</v>
      </c>
      <c r="I111" s="88" t="str">
        <f t="shared" si="6"/>
        <v/>
      </c>
      <c r="J111" s="88">
        <f t="shared" si="9"/>
        <v>-1</v>
      </c>
      <c r="K111" s="87">
        <f t="shared" si="7"/>
        <v>-10</v>
      </c>
      <c r="L111" s="87"/>
      <c r="M111" s="89">
        <f t="shared" si="8"/>
        <v>0</v>
      </c>
    </row>
    <row r="112" spans="1:13">
      <c r="A112" s="105"/>
      <c r="G112" s="73"/>
      <c r="H112" s="87">
        <v>107</v>
      </c>
      <c r="I112" s="88" t="str">
        <f t="shared" si="6"/>
        <v/>
      </c>
      <c r="J112" s="88">
        <f t="shared" si="9"/>
        <v>-1</v>
      </c>
      <c r="K112" s="87">
        <f t="shared" si="7"/>
        <v>-10</v>
      </c>
      <c r="L112" s="87"/>
      <c r="M112" s="89">
        <f t="shared" si="8"/>
        <v>0</v>
      </c>
    </row>
    <row r="113" spans="1:13">
      <c r="A113" s="105"/>
      <c r="G113" s="73"/>
      <c r="H113" s="87">
        <v>108</v>
      </c>
      <c r="I113" s="88" t="str">
        <f t="shared" si="6"/>
        <v/>
      </c>
      <c r="J113" s="88">
        <f t="shared" si="9"/>
        <v>-1</v>
      </c>
      <c r="K113" s="87">
        <f t="shared" si="7"/>
        <v>-10</v>
      </c>
      <c r="L113" s="87"/>
      <c r="M113" s="89">
        <f t="shared" si="8"/>
        <v>0</v>
      </c>
    </row>
    <row r="114" spans="1:13">
      <c r="A114" s="105"/>
      <c r="G114" s="73"/>
      <c r="H114" s="87">
        <v>109</v>
      </c>
      <c r="I114" s="88" t="str">
        <f t="shared" si="6"/>
        <v/>
      </c>
      <c r="J114" s="88">
        <f t="shared" si="9"/>
        <v>-1</v>
      </c>
      <c r="K114" s="87">
        <f t="shared" si="7"/>
        <v>-10</v>
      </c>
      <c r="L114" s="87"/>
      <c r="M114" s="89">
        <f t="shared" si="8"/>
        <v>0</v>
      </c>
    </row>
    <row r="115" spans="1:13">
      <c r="A115" s="105"/>
      <c r="G115" s="73"/>
      <c r="H115" s="87">
        <v>110</v>
      </c>
      <c r="I115" s="88" t="str">
        <f t="shared" si="6"/>
        <v/>
      </c>
      <c r="J115" s="88">
        <f t="shared" si="9"/>
        <v>-1</v>
      </c>
      <c r="K115" s="87">
        <f t="shared" si="7"/>
        <v>-10</v>
      </c>
      <c r="L115" s="87"/>
      <c r="M115" s="89">
        <f t="shared" si="8"/>
        <v>0</v>
      </c>
    </row>
    <row r="116" spans="1:13">
      <c r="A116" s="105"/>
      <c r="G116" s="73"/>
      <c r="H116" s="87">
        <v>111</v>
      </c>
      <c r="I116" s="88" t="str">
        <f t="shared" si="6"/>
        <v/>
      </c>
      <c r="J116" s="88">
        <f t="shared" si="9"/>
        <v>-1</v>
      </c>
      <c r="K116" s="87">
        <f t="shared" si="7"/>
        <v>-10</v>
      </c>
      <c r="L116" s="87"/>
      <c r="M116" s="89">
        <f t="shared" si="8"/>
        <v>0</v>
      </c>
    </row>
    <row r="117" spans="1:13">
      <c r="A117" s="105"/>
      <c r="G117" s="73"/>
      <c r="H117" s="87">
        <v>112</v>
      </c>
      <c r="I117" s="88" t="str">
        <f t="shared" si="6"/>
        <v/>
      </c>
      <c r="J117" s="88">
        <f t="shared" si="9"/>
        <v>-1</v>
      </c>
      <c r="K117" s="87">
        <f t="shared" si="7"/>
        <v>-10</v>
      </c>
      <c r="L117" s="87"/>
      <c r="M117" s="89">
        <f t="shared" si="8"/>
        <v>0</v>
      </c>
    </row>
    <row r="118" spans="1:13">
      <c r="A118" s="105"/>
      <c r="G118" s="73"/>
      <c r="H118" s="87">
        <v>113</v>
      </c>
      <c r="I118" s="88" t="str">
        <f t="shared" si="6"/>
        <v/>
      </c>
      <c r="J118" s="88">
        <f t="shared" si="9"/>
        <v>-1</v>
      </c>
      <c r="K118" s="87">
        <f t="shared" si="7"/>
        <v>-10</v>
      </c>
      <c r="L118" s="87"/>
      <c r="M118" s="89">
        <f t="shared" si="8"/>
        <v>0</v>
      </c>
    </row>
    <row r="119" spans="1:13">
      <c r="A119" s="105"/>
      <c r="G119" s="73"/>
      <c r="H119" s="87">
        <v>114</v>
      </c>
      <c r="I119" s="88" t="str">
        <f t="shared" si="6"/>
        <v/>
      </c>
      <c r="J119" s="88">
        <f t="shared" si="9"/>
        <v>-1</v>
      </c>
      <c r="K119" s="87">
        <f t="shared" si="7"/>
        <v>-10</v>
      </c>
      <c r="L119" s="87"/>
      <c r="M119" s="89">
        <f t="shared" si="8"/>
        <v>0</v>
      </c>
    </row>
    <row r="120" spans="1:13">
      <c r="A120" s="105"/>
      <c r="G120" s="73"/>
      <c r="H120" s="87">
        <v>115</v>
      </c>
      <c r="I120" s="88" t="str">
        <f t="shared" si="6"/>
        <v/>
      </c>
      <c r="J120" s="88">
        <f t="shared" si="9"/>
        <v>-1</v>
      </c>
      <c r="K120" s="87">
        <f t="shared" si="7"/>
        <v>-10</v>
      </c>
      <c r="L120" s="87"/>
      <c r="M120" s="89">
        <f t="shared" si="8"/>
        <v>0</v>
      </c>
    </row>
    <row r="121" spans="1:13">
      <c r="A121" s="105"/>
      <c r="G121" s="73"/>
      <c r="H121" s="87">
        <v>116</v>
      </c>
      <c r="I121" s="88" t="str">
        <f t="shared" si="6"/>
        <v/>
      </c>
      <c r="J121" s="88">
        <f t="shared" si="9"/>
        <v>-1</v>
      </c>
      <c r="K121" s="87">
        <f t="shared" si="7"/>
        <v>-10</v>
      </c>
      <c r="L121" s="87"/>
      <c r="M121" s="89">
        <f t="shared" si="8"/>
        <v>0</v>
      </c>
    </row>
    <row r="122" spans="1:13">
      <c r="A122" s="105"/>
      <c r="G122" s="73"/>
      <c r="H122" s="87">
        <v>117</v>
      </c>
      <c r="I122" s="88" t="str">
        <f t="shared" si="6"/>
        <v/>
      </c>
      <c r="J122" s="88">
        <f t="shared" si="9"/>
        <v>-1</v>
      </c>
      <c r="K122" s="87">
        <f t="shared" si="7"/>
        <v>-10</v>
      </c>
      <c r="L122" s="87"/>
      <c r="M122" s="89">
        <f t="shared" si="8"/>
        <v>0</v>
      </c>
    </row>
    <row r="123" spans="1:13">
      <c r="A123" s="105"/>
      <c r="G123" s="73"/>
      <c r="H123" s="87">
        <v>118</v>
      </c>
      <c r="I123" s="88" t="str">
        <f t="shared" si="6"/>
        <v/>
      </c>
      <c r="J123" s="88">
        <f t="shared" si="9"/>
        <v>-1</v>
      </c>
      <c r="K123" s="87">
        <f t="shared" si="7"/>
        <v>-10</v>
      </c>
      <c r="L123" s="87"/>
      <c r="M123" s="89">
        <f t="shared" si="8"/>
        <v>0</v>
      </c>
    </row>
    <row r="124" spans="1:13">
      <c r="A124" s="105"/>
      <c r="G124" s="73"/>
      <c r="H124" s="87">
        <v>119</v>
      </c>
      <c r="I124" s="88" t="str">
        <f t="shared" si="6"/>
        <v/>
      </c>
      <c r="J124" s="88">
        <f t="shared" si="9"/>
        <v>-1</v>
      </c>
      <c r="K124" s="87">
        <f t="shared" si="7"/>
        <v>-10</v>
      </c>
      <c r="L124" s="87"/>
      <c r="M124" s="89">
        <f t="shared" si="8"/>
        <v>0</v>
      </c>
    </row>
    <row r="125" spans="1:13">
      <c r="A125" s="105"/>
      <c r="G125" s="73"/>
      <c r="H125" s="87">
        <v>120</v>
      </c>
      <c r="I125" s="88" t="str">
        <f t="shared" si="6"/>
        <v/>
      </c>
      <c r="J125" s="88">
        <f t="shared" si="9"/>
        <v>-1</v>
      </c>
      <c r="K125" s="87">
        <f t="shared" si="7"/>
        <v>-10</v>
      </c>
      <c r="L125" s="87"/>
      <c r="M125" s="89">
        <f t="shared" si="8"/>
        <v>0</v>
      </c>
    </row>
    <row r="126" spans="1:13">
      <c r="A126" s="105"/>
      <c r="G126" s="73"/>
      <c r="H126" s="87">
        <v>121</v>
      </c>
      <c r="I126" s="88" t="str">
        <f t="shared" si="6"/>
        <v/>
      </c>
      <c r="J126" s="88">
        <f t="shared" si="9"/>
        <v>-1</v>
      </c>
      <c r="K126" s="87">
        <f t="shared" si="7"/>
        <v>-10</v>
      </c>
      <c r="L126" s="87"/>
      <c r="M126" s="89">
        <f t="shared" si="8"/>
        <v>0</v>
      </c>
    </row>
    <row r="127" spans="1:13">
      <c r="A127" s="105"/>
      <c r="G127" s="73"/>
      <c r="H127" s="87">
        <v>122</v>
      </c>
      <c r="I127" s="88" t="str">
        <f t="shared" si="6"/>
        <v/>
      </c>
      <c r="J127" s="88">
        <f t="shared" si="9"/>
        <v>-1</v>
      </c>
      <c r="K127" s="87">
        <f t="shared" si="7"/>
        <v>-10</v>
      </c>
      <c r="L127" s="87"/>
      <c r="M127" s="89">
        <f t="shared" si="8"/>
        <v>0</v>
      </c>
    </row>
    <row r="128" spans="1:13">
      <c r="A128" s="105"/>
      <c r="G128" s="73"/>
      <c r="H128" s="87">
        <v>123</v>
      </c>
      <c r="I128" s="88" t="str">
        <f t="shared" si="6"/>
        <v/>
      </c>
      <c r="J128" s="88">
        <f t="shared" si="9"/>
        <v>-1</v>
      </c>
      <c r="K128" s="87">
        <f t="shared" si="7"/>
        <v>-10</v>
      </c>
      <c r="L128" s="87"/>
      <c r="M128" s="89">
        <f t="shared" si="8"/>
        <v>0</v>
      </c>
    </row>
    <row r="129" spans="1:13">
      <c r="A129" s="105"/>
      <c r="G129" s="73"/>
      <c r="H129" s="87">
        <v>124</v>
      </c>
      <c r="I129" s="88" t="str">
        <f t="shared" si="6"/>
        <v/>
      </c>
      <c r="J129" s="88">
        <f t="shared" si="9"/>
        <v>-1</v>
      </c>
      <c r="K129" s="87">
        <f t="shared" si="7"/>
        <v>-10</v>
      </c>
      <c r="L129" s="87"/>
      <c r="M129" s="89">
        <f t="shared" si="8"/>
        <v>0</v>
      </c>
    </row>
    <row r="130" spans="1:13">
      <c r="A130" s="105"/>
      <c r="G130" s="73"/>
      <c r="H130" s="87">
        <v>125</v>
      </c>
      <c r="I130" s="88" t="str">
        <f t="shared" si="6"/>
        <v/>
      </c>
      <c r="J130" s="88">
        <f t="shared" si="9"/>
        <v>-1</v>
      </c>
      <c r="K130" s="87">
        <f t="shared" si="7"/>
        <v>-10</v>
      </c>
      <c r="L130" s="87"/>
      <c r="M130" s="89">
        <f t="shared" si="8"/>
        <v>0</v>
      </c>
    </row>
    <row r="131" spans="1:13">
      <c r="A131" s="105"/>
      <c r="G131" s="73"/>
      <c r="H131" s="87">
        <v>126</v>
      </c>
      <c r="I131" s="88" t="str">
        <f t="shared" si="6"/>
        <v/>
      </c>
      <c r="J131" s="88">
        <f t="shared" si="9"/>
        <v>-1</v>
      </c>
      <c r="K131" s="87">
        <f t="shared" si="7"/>
        <v>-10</v>
      </c>
      <c r="L131" s="87"/>
      <c r="M131" s="89">
        <f t="shared" si="8"/>
        <v>0</v>
      </c>
    </row>
    <row r="132" spans="1:13">
      <c r="A132" s="105"/>
      <c r="G132" s="73"/>
      <c r="H132" s="87">
        <v>127</v>
      </c>
      <c r="I132" s="88" t="str">
        <f t="shared" si="6"/>
        <v/>
      </c>
      <c r="J132" s="88">
        <f t="shared" si="9"/>
        <v>-1</v>
      </c>
      <c r="K132" s="87">
        <f t="shared" si="7"/>
        <v>-10</v>
      </c>
      <c r="L132" s="87"/>
      <c r="M132" s="89">
        <f t="shared" si="8"/>
        <v>0</v>
      </c>
    </row>
    <row r="133" spans="1:13">
      <c r="A133" s="105"/>
      <c r="G133" s="73"/>
      <c r="H133" s="87">
        <v>128</v>
      </c>
      <c r="I133" s="88" t="str">
        <f t="shared" si="6"/>
        <v/>
      </c>
      <c r="J133" s="88">
        <f t="shared" si="9"/>
        <v>-1</v>
      </c>
      <c r="K133" s="87">
        <f t="shared" si="7"/>
        <v>-10</v>
      </c>
      <c r="L133" s="87"/>
      <c r="M133" s="89">
        <f t="shared" si="8"/>
        <v>0</v>
      </c>
    </row>
    <row r="134" spans="1:13">
      <c r="A134" s="105"/>
      <c r="G134" s="73"/>
      <c r="H134" s="87">
        <v>129</v>
      </c>
      <c r="I134" s="88" t="str">
        <f t="shared" ref="I134:I197" si="11">IF(H134&lt;$H$2+1,($I$2-($I$2-1)*(LOG(H134)/LOG($H$2))),"")</f>
        <v/>
      </c>
      <c r="J134" s="88">
        <f t="shared" si="9"/>
        <v>-2</v>
      </c>
      <c r="K134" s="87">
        <f t="shared" ref="K134:K197" si="12">J134*$J$2</f>
        <v>-20</v>
      </c>
      <c r="L134" s="87"/>
      <c r="M134" s="89">
        <f t="shared" ref="M134:M197" si="13">IF(I134&lt;&gt;"",K134+I134+L134,0)</f>
        <v>0</v>
      </c>
    </row>
    <row r="135" spans="1:13">
      <c r="A135" s="105"/>
      <c r="G135" s="73"/>
      <c r="H135" s="87">
        <v>130</v>
      </c>
      <c r="I135" s="88" t="str">
        <f t="shared" si="11"/>
        <v/>
      </c>
      <c r="J135" s="88">
        <f t="shared" ref="J135:J198" si="14">INT(LOG($H$2,2))-ROUNDUP(LOG(H135,2),0)+IF(OR($H$2=1,$H$2=2,$H$2=4,$H$2=8,$H$2=16,$H$2=32,$H$2=64,$H$2=128,$H$2=256),0,1)</f>
        <v>-2</v>
      </c>
      <c r="K135" s="87">
        <f t="shared" si="12"/>
        <v>-20</v>
      </c>
      <c r="L135" s="87"/>
      <c r="M135" s="89">
        <f t="shared" si="13"/>
        <v>0</v>
      </c>
    </row>
    <row r="136" spans="1:13">
      <c r="A136" s="105"/>
      <c r="G136" s="73"/>
      <c r="H136" s="87">
        <v>131</v>
      </c>
      <c r="I136" s="88" t="str">
        <f t="shared" si="11"/>
        <v/>
      </c>
      <c r="J136" s="88">
        <f t="shared" si="14"/>
        <v>-2</v>
      </c>
      <c r="K136" s="87">
        <f t="shared" si="12"/>
        <v>-20</v>
      </c>
      <c r="L136" s="87"/>
      <c r="M136" s="89">
        <f t="shared" si="13"/>
        <v>0</v>
      </c>
    </row>
    <row r="137" spans="1:13">
      <c r="A137" s="105"/>
      <c r="G137" s="73"/>
      <c r="H137" s="87">
        <v>132</v>
      </c>
      <c r="I137" s="88" t="str">
        <f t="shared" si="11"/>
        <v/>
      </c>
      <c r="J137" s="88">
        <f t="shared" si="14"/>
        <v>-2</v>
      </c>
      <c r="K137" s="87">
        <f t="shared" si="12"/>
        <v>-20</v>
      </c>
      <c r="L137" s="87"/>
      <c r="M137" s="89">
        <f t="shared" si="13"/>
        <v>0</v>
      </c>
    </row>
    <row r="138" spans="1:13">
      <c r="A138" s="105"/>
      <c r="G138" s="73"/>
      <c r="H138" s="87">
        <v>133</v>
      </c>
      <c r="I138" s="88" t="str">
        <f t="shared" si="11"/>
        <v/>
      </c>
      <c r="J138" s="88">
        <f t="shared" si="14"/>
        <v>-2</v>
      </c>
      <c r="K138" s="87">
        <f t="shared" si="12"/>
        <v>-20</v>
      </c>
      <c r="L138" s="87"/>
      <c r="M138" s="89">
        <f t="shared" si="13"/>
        <v>0</v>
      </c>
    </row>
    <row r="139" spans="1:13">
      <c r="A139" s="105"/>
      <c r="G139" s="73"/>
      <c r="H139" s="87">
        <v>134</v>
      </c>
      <c r="I139" s="88" t="str">
        <f t="shared" si="11"/>
        <v/>
      </c>
      <c r="J139" s="88">
        <f t="shared" si="14"/>
        <v>-2</v>
      </c>
      <c r="K139" s="87">
        <f t="shared" si="12"/>
        <v>-20</v>
      </c>
      <c r="L139" s="87"/>
      <c r="M139" s="89">
        <f t="shared" si="13"/>
        <v>0</v>
      </c>
    </row>
    <row r="140" spans="1:13">
      <c r="A140" s="105"/>
      <c r="G140" s="73"/>
      <c r="H140" s="87">
        <v>135</v>
      </c>
      <c r="I140" s="88" t="str">
        <f t="shared" si="11"/>
        <v/>
      </c>
      <c r="J140" s="88">
        <f t="shared" si="14"/>
        <v>-2</v>
      </c>
      <c r="K140" s="87">
        <f t="shared" si="12"/>
        <v>-20</v>
      </c>
      <c r="L140" s="87"/>
      <c r="M140" s="89">
        <f t="shared" si="13"/>
        <v>0</v>
      </c>
    </row>
    <row r="141" spans="1:13">
      <c r="A141" s="105"/>
      <c r="G141" s="73"/>
      <c r="H141" s="87">
        <v>136</v>
      </c>
      <c r="I141" s="88" t="str">
        <f t="shared" si="11"/>
        <v/>
      </c>
      <c r="J141" s="88">
        <f t="shared" si="14"/>
        <v>-2</v>
      </c>
      <c r="K141" s="87">
        <f t="shared" si="12"/>
        <v>-20</v>
      </c>
      <c r="L141" s="87"/>
      <c r="M141" s="89">
        <f t="shared" si="13"/>
        <v>0</v>
      </c>
    </row>
    <row r="142" spans="1:13">
      <c r="A142" s="105"/>
      <c r="G142" s="73"/>
      <c r="H142" s="87">
        <v>137</v>
      </c>
      <c r="I142" s="88" t="str">
        <f t="shared" si="11"/>
        <v/>
      </c>
      <c r="J142" s="88">
        <f t="shared" si="14"/>
        <v>-2</v>
      </c>
      <c r="K142" s="87">
        <f t="shared" si="12"/>
        <v>-20</v>
      </c>
      <c r="L142" s="87"/>
      <c r="M142" s="89">
        <f t="shared" si="13"/>
        <v>0</v>
      </c>
    </row>
    <row r="143" spans="1:13">
      <c r="A143" s="105"/>
      <c r="G143" s="73"/>
      <c r="H143" s="87">
        <v>138</v>
      </c>
      <c r="I143" s="88" t="str">
        <f t="shared" si="11"/>
        <v/>
      </c>
      <c r="J143" s="88">
        <f t="shared" si="14"/>
        <v>-2</v>
      </c>
      <c r="K143" s="87">
        <f t="shared" si="12"/>
        <v>-20</v>
      </c>
      <c r="L143" s="87"/>
      <c r="M143" s="89">
        <f t="shared" si="13"/>
        <v>0</v>
      </c>
    </row>
    <row r="144" spans="1:13">
      <c r="A144" s="105"/>
      <c r="G144" s="73"/>
      <c r="H144" s="87">
        <v>139</v>
      </c>
      <c r="I144" s="88" t="str">
        <f t="shared" si="11"/>
        <v/>
      </c>
      <c r="J144" s="88">
        <f t="shared" si="14"/>
        <v>-2</v>
      </c>
      <c r="K144" s="87">
        <f t="shared" si="12"/>
        <v>-20</v>
      </c>
      <c r="L144" s="87"/>
      <c r="M144" s="89">
        <f t="shared" si="13"/>
        <v>0</v>
      </c>
    </row>
    <row r="145" spans="1:13">
      <c r="A145" s="105"/>
      <c r="G145" s="73"/>
      <c r="H145" s="87">
        <v>140</v>
      </c>
      <c r="I145" s="88" t="str">
        <f t="shared" si="11"/>
        <v/>
      </c>
      <c r="J145" s="88">
        <f t="shared" si="14"/>
        <v>-2</v>
      </c>
      <c r="K145" s="87">
        <f t="shared" si="12"/>
        <v>-20</v>
      </c>
      <c r="L145" s="87"/>
      <c r="M145" s="89">
        <f t="shared" si="13"/>
        <v>0</v>
      </c>
    </row>
    <row r="146" spans="1:13">
      <c r="A146" s="105"/>
      <c r="G146" s="73"/>
      <c r="H146" s="87">
        <v>141</v>
      </c>
      <c r="I146" s="88" t="str">
        <f t="shared" si="11"/>
        <v/>
      </c>
      <c r="J146" s="88">
        <f t="shared" si="14"/>
        <v>-2</v>
      </c>
      <c r="K146" s="87">
        <f t="shared" si="12"/>
        <v>-20</v>
      </c>
      <c r="L146" s="87"/>
      <c r="M146" s="89">
        <f t="shared" si="13"/>
        <v>0</v>
      </c>
    </row>
    <row r="147" spans="1:13">
      <c r="A147" s="105"/>
      <c r="G147" s="73"/>
      <c r="H147" s="87">
        <v>142</v>
      </c>
      <c r="I147" s="88" t="str">
        <f t="shared" si="11"/>
        <v/>
      </c>
      <c r="J147" s="88">
        <f t="shared" si="14"/>
        <v>-2</v>
      </c>
      <c r="K147" s="87">
        <f t="shared" si="12"/>
        <v>-20</v>
      </c>
      <c r="L147" s="87"/>
      <c r="M147" s="89">
        <f t="shared" si="13"/>
        <v>0</v>
      </c>
    </row>
    <row r="148" spans="1:13">
      <c r="A148" s="105"/>
      <c r="G148" s="73"/>
      <c r="H148" s="87">
        <v>143</v>
      </c>
      <c r="I148" s="88" t="str">
        <f t="shared" si="11"/>
        <v/>
      </c>
      <c r="J148" s="88">
        <f t="shared" si="14"/>
        <v>-2</v>
      </c>
      <c r="K148" s="87">
        <f t="shared" si="12"/>
        <v>-20</v>
      </c>
      <c r="L148" s="87"/>
      <c r="M148" s="89">
        <f t="shared" si="13"/>
        <v>0</v>
      </c>
    </row>
    <row r="149" spans="1:13">
      <c r="A149" s="105"/>
      <c r="G149" s="73"/>
      <c r="H149" s="87">
        <v>144</v>
      </c>
      <c r="I149" s="88" t="str">
        <f t="shared" si="11"/>
        <v/>
      </c>
      <c r="J149" s="88">
        <f t="shared" si="14"/>
        <v>-2</v>
      </c>
      <c r="K149" s="87">
        <f t="shared" si="12"/>
        <v>-20</v>
      </c>
      <c r="L149" s="87"/>
      <c r="M149" s="89">
        <f t="shared" si="13"/>
        <v>0</v>
      </c>
    </row>
    <row r="150" spans="1:13">
      <c r="A150" s="105"/>
      <c r="G150" s="73"/>
      <c r="H150" s="87">
        <v>145</v>
      </c>
      <c r="I150" s="88" t="str">
        <f t="shared" si="11"/>
        <v/>
      </c>
      <c r="J150" s="88">
        <f t="shared" si="14"/>
        <v>-2</v>
      </c>
      <c r="K150" s="87">
        <f t="shared" si="12"/>
        <v>-20</v>
      </c>
      <c r="L150" s="87"/>
      <c r="M150" s="89">
        <f t="shared" si="13"/>
        <v>0</v>
      </c>
    </row>
    <row r="151" spans="1:13">
      <c r="A151" s="105"/>
      <c r="G151" s="73"/>
      <c r="H151" s="87">
        <v>146</v>
      </c>
      <c r="I151" s="88" t="str">
        <f t="shared" si="11"/>
        <v/>
      </c>
      <c r="J151" s="88">
        <f t="shared" si="14"/>
        <v>-2</v>
      </c>
      <c r="K151" s="87">
        <f t="shared" si="12"/>
        <v>-20</v>
      </c>
      <c r="L151" s="87"/>
      <c r="M151" s="89">
        <f t="shared" si="13"/>
        <v>0</v>
      </c>
    </row>
    <row r="152" spans="1:13">
      <c r="A152" s="105"/>
      <c r="G152" s="73"/>
      <c r="H152" s="87">
        <v>147</v>
      </c>
      <c r="I152" s="88" t="str">
        <f t="shared" si="11"/>
        <v/>
      </c>
      <c r="J152" s="88">
        <f t="shared" si="14"/>
        <v>-2</v>
      </c>
      <c r="K152" s="87">
        <f t="shared" si="12"/>
        <v>-20</v>
      </c>
      <c r="L152" s="87"/>
      <c r="M152" s="89">
        <f t="shared" si="13"/>
        <v>0</v>
      </c>
    </row>
    <row r="153" spans="1:13">
      <c r="A153" s="105"/>
      <c r="G153" s="73"/>
      <c r="H153" s="87">
        <v>148</v>
      </c>
      <c r="I153" s="88" t="str">
        <f t="shared" si="11"/>
        <v/>
      </c>
      <c r="J153" s="88">
        <f t="shared" si="14"/>
        <v>-2</v>
      </c>
      <c r="K153" s="87">
        <f t="shared" si="12"/>
        <v>-20</v>
      </c>
      <c r="L153" s="87"/>
      <c r="M153" s="89">
        <f t="shared" si="13"/>
        <v>0</v>
      </c>
    </row>
    <row r="154" spans="1:13">
      <c r="A154" s="105"/>
      <c r="G154" s="73"/>
      <c r="H154" s="87">
        <v>149</v>
      </c>
      <c r="I154" s="88" t="str">
        <f t="shared" si="11"/>
        <v/>
      </c>
      <c r="J154" s="88">
        <f t="shared" si="14"/>
        <v>-2</v>
      </c>
      <c r="K154" s="87">
        <f t="shared" si="12"/>
        <v>-20</v>
      </c>
      <c r="L154" s="87"/>
      <c r="M154" s="89">
        <f t="shared" si="13"/>
        <v>0</v>
      </c>
    </row>
    <row r="155" spans="1:13">
      <c r="A155" s="105"/>
      <c r="G155" s="73"/>
      <c r="H155" s="87">
        <v>150</v>
      </c>
      <c r="I155" s="88" t="str">
        <f t="shared" si="11"/>
        <v/>
      </c>
      <c r="J155" s="88">
        <f t="shared" si="14"/>
        <v>-2</v>
      </c>
      <c r="K155" s="87">
        <f t="shared" si="12"/>
        <v>-20</v>
      </c>
      <c r="L155" s="87"/>
      <c r="M155" s="89">
        <f t="shared" si="13"/>
        <v>0</v>
      </c>
    </row>
    <row r="156" spans="1:13">
      <c r="A156" s="105"/>
      <c r="G156" s="73"/>
      <c r="H156" s="87">
        <v>151</v>
      </c>
      <c r="I156" s="88" t="str">
        <f t="shared" si="11"/>
        <v/>
      </c>
      <c r="J156" s="88">
        <f t="shared" si="14"/>
        <v>-2</v>
      </c>
      <c r="K156" s="87">
        <f t="shared" si="12"/>
        <v>-20</v>
      </c>
      <c r="L156" s="87"/>
      <c r="M156" s="89">
        <f t="shared" si="13"/>
        <v>0</v>
      </c>
    </row>
    <row r="157" spans="1:13">
      <c r="A157" s="105"/>
      <c r="G157" s="73"/>
      <c r="H157" s="87">
        <v>152</v>
      </c>
      <c r="I157" s="88" t="str">
        <f t="shared" si="11"/>
        <v/>
      </c>
      <c r="J157" s="88">
        <f t="shared" si="14"/>
        <v>-2</v>
      </c>
      <c r="K157" s="87">
        <f t="shared" si="12"/>
        <v>-20</v>
      </c>
      <c r="L157" s="87"/>
      <c r="M157" s="89">
        <f t="shared" si="13"/>
        <v>0</v>
      </c>
    </row>
    <row r="158" spans="1:13">
      <c r="A158" s="105"/>
      <c r="G158" s="73"/>
      <c r="H158" s="87">
        <v>153</v>
      </c>
      <c r="I158" s="88" t="str">
        <f t="shared" si="11"/>
        <v/>
      </c>
      <c r="J158" s="88">
        <f t="shared" si="14"/>
        <v>-2</v>
      </c>
      <c r="K158" s="87">
        <f t="shared" si="12"/>
        <v>-20</v>
      </c>
      <c r="L158" s="87"/>
      <c r="M158" s="89">
        <f t="shared" si="13"/>
        <v>0</v>
      </c>
    </row>
    <row r="159" spans="1:13">
      <c r="A159" s="105"/>
      <c r="G159" s="73"/>
      <c r="H159" s="87">
        <v>154</v>
      </c>
      <c r="I159" s="88" t="str">
        <f t="shared" si="11"/>
        <v/>
      </c>
      <c r="J159" s="88">
        <f t="shared" si="14"/>
        <v>-2</v>
      </c>
      <c r="K159" s="87">
        <f t="shared" si="12"/>
        <v>-20</v>
      </c>
      <c r="L159" s="87"/>
      <c r="M159" s="89">
        <f t="shared" si="13"/>
        <v>0</v>
      </c>
    </row>
    <row r="160" spans="1:13">
      <c r="A160" s="105"/>
      <c r="G160" s="73"/>
      <c r="H160" s="87">
        <v>155</v>
      </c>
      <c r="I160" s="88" t="str">
        <f t="shared" si="11"/>
        <v/>
      </c>
      <c r="J160" s="88">
        <f t="shared" si="14"/>
        <v>-2</v>
      </c>
      <c r="K160" s="87">
        <f t="shared" si="12"/>
        <v>-20</v>
      </c>
      <c r="L160" s="87"/>
      <c r="M160" s="89">
        <f t="shared" si="13"/>
        <v>0</v>
      </c>
    </row>
    <row r="161" spans="1:13">
      <c r="A161" s="105"/>
      <c r="G161" s="73"/>
      <c r="H161" s="87">
        <v>156</v>
      </c>
      <c r="I161" s="88" t="str">
        <f t="shared" si="11"/>
        <v/>
      </c>
      <c r="J161" s="88">
        <f t="shared" si="14"/>
        <v>-2</v>
      </c>
      <c r="K161" s="87">
        <f t="shared" si="12"/>
        <v>-20</v>
      </c>
      <c r="L161" s="87"/>
      <c r="M161" s="89">
        <f t="shared" si="13"/>
        <v>0</v>
      </c>
    </row>
    <row r="162" spans="1:13">
      <c r="A162" s="105"/>
      <c r="G162" s="73"/>
      <c r="H162" s="87">
        <v>157</v>
      </c>
      <c r="I162" s="88" t="str">
        <f t="shared" si="11"/>
        <v/>
      </c>
      <c r="J162" s="88">
        <f t="shared" si="14"/>
        <v>-2</v>
      </c>
      <c r="K162" s="87">
        <f t="shared" si="12"/>
        <v>-20</v>
      </c>
      <c r="L162" s="87"/>
      <c r="M162" s="89">
        <f t="shared" si="13"/>
        <v>0</v>
      </c>
    </row>
    <row r="163" spans="1:13">
      <c r="A163" s="105"/>
      <c r="G163" s="73"/>
      <c r="H163" s="87">
        <v>158</v>
      </c>
      <c r="I163" s="88" t="str">
        <f t="shared" si="11"/>
        <v/>
      </c>
      <c r="J163" s="88">
        <f t="shared" si="14"/>
        <v>-2</v>
      </c>
      <c r="K163" s="87">
        <f t="shared" si="12"/>
        <v>-20</v>
      </c>
      <c r="L163" s="87"/>
      <c r="M163" s="89">
        <f t="shared" si="13"/>
        <v>0</v>
      </c>
    </row>
    <row r="164" spans="1:13">
      <c r="A164" s="105"/>
      <c r="G164" s="73"/>
      <c r="H164" s="87">
        <v>159</v>
      </c>
      <c r="I164" s="88" t="str">
        <f t="shared" si="11"/>
        <v/>
      </c>
      <c r="J164" s="88">
        <f t="shared" si="14"/>
        <v>-2</v>
      </c>
      <c r="K164" s="87">
        <f t="shared" si="12"/>
        <v>-20</v>
      </c>
      <c r="L164" s="87"/>
      <c r="M164" s="89">
        <f t="shared" si="13"/>
        <v>0</v>
      </c>
    </row>
    <row r="165" spans="1:13">
      <c r="A165" s="105"/>
      <c r="G165" s="73"/>
      <c r="H165" s="87">
        <v>160</v>
      </c>
      <c r="I165" s="88" t="str">
        <f t="shared" si="11"/>
        <v/>
      </c>
      <c r="J165" s="88">
        <f t="shared" si="14"/>
        <v>-2</v>
      </c>
      <c r="K165" s="87">
        <f t="shared" si="12"/>
        <v>-20</v>
      </c>
      <c r="L165" s="87"/>
      <c r="M165" s="89">
        <f t="shared" si="13"/>
        <v>0</v>
      </c>
    </row>
    <row r="166" spans="1:13">
      <c r="A166" s="105"/>
      <c r="G166" s="73"/>
      <c r="H166" s="87">
        <v>161</v>
      </c>
      <c r="I166" s="88" t="str">
        <f t="shared" si="11"/>
        <v/>
      </c>
      <c r="J166" s="88">
        <f t="shared" si="14"/>
        <v>-2</v>
      </c>
      <c r="K166" s="87">
        <f t="shared" si="12"/>
        <v>-20</v>
      </c>
      <c r="L166" s="87"/>
      <c r="M166" s="89">
        <f t="shared" si="13"/>
        <v>0</v>
      </c>
    </row>
    <row r="167" spans="1:13">
      <c r="A167" s="105"/>
      <c r="G167" s="73"/>
      <c r="H167" s="87">
        <v>162</v>
      </c>
      <c r="I167" s="88" t="str">
        <f t="shared" si="11"/>
        <v/>
      </c>
      <c r="J167" s="88">
        <f t="shared" si="14"/>
        <v>-2</v>
      </c>
      <c r="K167" s="87">
        <f t="shared" si="12"/>
        <v>-20</v>
      </c>
      <c r="L167" s="87"/>
      <c r="M167" s="89">
        <f t="shared" si="13"/>
        <v>0</v>
      </c>
    </row>
    <row r="168" spans="1:13">
      <c r="A168" s="105"/>
      <c r="G168" s="73"/>
      <c r="H168" s="87">
        <v>163</v>
      </c>
      <c r="I168" s="88" t="str">
        <f t="shared" si="11"/>
        <v/>
      </c>
      <c r="J168" s="88">
        <f t="shared" si="14"/>
        <v>-2</v>
      </c>
      <c r="K168" s="87">
        <f t="shared" si="12"/>
        <v>-20</v>
      </c>
      <c r="L168" s="87"/>
      <c r="M168" s="89">
        <f t="shared" si="13"/>
        <v>0</v>
      </c>
    </row>
    <row r="169" spans="1:13">
      <c r="A169" s="105"/>
      <c r="G169" s="73"/>
      <c r="H169" s="87">
        <v>164</v>
      </c>
      <c r="I169" s="88" t="str">
        <f t="shared" si="11"/>
        <v/>
      </c>
      <c r="J169" s="88">
        <f t="shared" si="14"/>
        <v>-2</v>
      </c>
      <c r="K169" s="87">
        <f t="shared" si="12"/>
        <v>-20</v>
      </c>
      <c r="L169" s="87"/>
      <c r="M169" s="89">
        <f t="shared" si="13"/>
        <v>0</v>
      </c>
    </row>
    <row r="170" spans="1:13">
      <c r="A170" s="105"/>
      <c r="G170" s="73"/>
      <c r="H170" s="87">
        <v>165</v>
      </c>
      <c r="I170" s="88" t="str">
        <f t="shared" si="11"/>
        <v/>
      </c>
      <c r="J170" s="88">
        <f t="shared" si="14"/>
        <v>-2</v>
      </c>
      <c r="K170" s="87">
        <f t="shared" si="12"/>
        <v>-20</v>
      </c>
      <c r="L170" s="87"/>
      <c r="M170" s="89">
        <f t="shared" si="13"/>
        <v>0</v>
      </c>
    </row>
    <row r="171" spans="1:13">
      <c r="A171" s="105"/>
      <c r="G171" s="73"/>
      <c r="H171" s="87">
        <v>166</v>
      </c>
      <c r="I171" s="88" t="str">
        <f t="shared" si="11"/>
        <v/>
      </c>
      <c r="J171" s="88">
        <f t="shared" si="14"/>
        <v>-2</v>
      </c>
      <c r="K171" s="87">
        <f t="shared" si="12"/>
        <v>-20</v>
      </c>
      <c r="L171" s="87"/>
      <c r="M171" s="89">
        <f t="shared" si="13"/>
        <v>0</v>
      </c>
    </row>
    <row r="172" spans="1:13">
      <c r="A172" s="105"/>
      <c r="G172" s="73"/>
      <c r="H172" s="87">
        <v>167</v>
      </c>
      <c r="I172" s="88" t="str">
        <f t="shared" si="11"/>
        <v/>
      </c>
      <c r="J172" s="88">
        <f t="shared" si="14"/>
        <v>-2</v>
      </c>
      <c r="K172" s="87">
        <f t="shared" si="12"/>
        <v>-20</v>
      </c>
      <c r="L172" s="87"/>
      <c r="M172" s="89">
        <f t="shared" si="13"/>
        <v>0</v>
      </c>
    </row>
    <row r="173" spans="1:13">
      <c r="A173" s="105"/>
      <c r="G173" s="73"/>
      <c r="H173" s="87">
        <v>168</v>
      </c>
      <c r="I173" s="88" t="str">
        <f t="shared" si="11"/>
        <v/>
      </c>
      <c r="J173" s="88">
        <f t="shared" si="14"/>
        <v>-2</v>
      </c>
      <c r="K173" s="87">
        <f t="shared" si="12"/>
        <v>-20</v>
      </c>
      <c r="L173" s="87"/>
      <c r="M173" s="89">
        <f t="shared" si="13"/>
        <v>0</v>
      </c>
    </row>
    <row r="174" spans="1:13">
      <c r="A174" s="105"/>
      <c r="G174" s="73"/>
      <c r="H174" s="87">
        <v>169</v>
      </c>
      <c r="I174" s="88" t="str">
        <f t="shared" si="11"/>
        <v/>
      </c>
      <c r="J174" s="88">
        <f t="shared" si="14"/>
        <v>-2</v>
      </c>
      <c r="K174" s="87">
        <f t="shared" si="12"/>
        <v>-20</v>
      </c>
      <c r="L174" s="87"/>
      <c r="M174" s="89">
        <f t="shared" si="13"/>
        <v>0</v>
      </c>
    </row>
    <row r="175" spans="1:13">
      <c r="A175" s="105"/>
      <c r="G175" s="73"/>
      <c r="H175" s="87">
        <v>170</v>
      </c>
      <c r="I175" s="88" t="str">
        <f t="shared" si="11"/>
        <v/>
      </c>
      <c r="J175" s="88">
        <f t="shared" si="14"/>
        <v>-2</v>
      </c>
      <c r="K175" s="87">
        <f t="shared" si="12"/>
        <v>-20</v>
      </c>
      <c r="L175" s="87"/>
      <c r="M175" s="89">
        <f t="shared" si="13"/>
        <v>0</v>
      </c>
    </row>
    <row r="176" spans="1:13">
      <c r="A176" s="105"/>
      <c r="G176" s="73"/>
      <c r="H176" s="87">
        <v>171</v>
      </c>
      <c r="I176" s="88" t="str">
        <f t="shared" si="11"/>
        <v/>
      </c>
      <c r="J176" s="88">
        <f t="shared" si="14"/>
        <v>-2</v>
      </c>
      <c r="K176" s="87">
        <f t="shared" si="12"/>
        <v>-20</v>
      </c>
      <c r="L176" s="87"/>
      <c r="M176" s="89">
        <f t="shared" si="13"/>
        <v>0</v>
      </c>
    </row>
    <row r="177" spans="1:13">
      <c r="A177" s="105"/>
      <c r="G177" s="73"/>
      <c r="H177" s="87">
        <v>172</v>
      </c>
      <c r="I177" s="88" t="str">
        <f t="shared" si="11"/>
        <v/>
      </c>
      <c r="J177" s="88">
        <f t="shared" si="14"/>
        <v>-2</v>
      </c>
      <c r="K177" s="87">
        <f t="shared" si="12"/>
        <v>-20</v>
      </c>
      <c r="L177" s="87"/>
      <c r="M177" s="89">
        <f t="shared" si="13"/>
        <v>0</v>
      </c>
    </row>
    <row r="178" spans="1:13">
      <c r="A178" s="105"/>
      <c r="G178" s="73"/>
      <c r="H178" s="87">
        <v>173</v>
      </c>
      <c r="I178" s="88" t="str">
        <f t="shared" si="11"/>
        <v/>
      </c>
      <c r="J178" s="88">
        <f t="shared" si="14"/>
        <v>-2</v>
      </c>
      <c r="K178" s="87">
        <f t="shared" si="12"/>
        <v>-20</v>
      </c>
      <c r="L178" s="87"/>
      <c r="M178" s="89">
        <f t="shared" si="13"/>
        <v>0</v>
      </c>
    </row>
    <row r="179" spans="1:13">
      <c r="A179" s="105"/>
      <c r="G179" s="73"/>
      <c r="H179" s="87">
        <v>174</v>
      </c>
      <c r="I179" s="88" t="str">
        <f t="shared" si="11"/>
        <v/>
      </c>
      <c r="J179" s="88">
        <f t="shared" si="14"/>
        <v>-2</v>
      </c>
      <c r="K179" s="87">
        <f t="shared" si="12"/>
        <v>-20</v>
      </c>
      <c r="L179" s="87"/>
      <c r="M179" s="89">
        <f t="shared" si="13"/>
        <v>0</v>
      </c>
    </row>
    <row r="180" spans="1:13">
      <c r="A180" s="105"/>
      <c r="G180" s="73"/>
      <c r="H180" s="87">
        <v>175</v>
      </c>
      <c r="I180" s="88" t="str">
        <f t="shared" si="11"/>
        <v/>
      </c>
      <c r="J180" s="88">
        <f t="shared" si="14"/>
        <v>-2</v>
      </c>
      <c r="K180" s="87">
        <f t="shared" si="12"/>
        <v>-20</v>
      </c>
      <c r="L180" s="87"/>
      <c r="M180" s="89">
        <f t="shared" si="13"/>
        <v>0</v>
      </c>
    </row>
    <row r="181" spans="1:13">
      <c r="A181" s="105"/>
      <c r="G181" s="73"/>
      <c r="H181" s="87">
        <v>176</v>
      </c>
      <c r="I181" s="88" t="str">
        <f t="shared" si="11"/>
        <v/>
      </c>
      <c r="J181" s="88">
        <f t="shared" si="14"/>
        <v>-2</v>
      </c>
      <c r="K181" s="87">
        <f t="shared" si="12"/>
        <v>-20</v>
      </c>
      <c r="L181" s="87"/>
      <c r="M181" s="89">
        <f t="shared" si="13"/>
        <v>0</v>
      </c>
    </row>
    <row r="182" spans="1:13">
      <c r="A182" s="105"/>
      <c r="G182" s="73"/>
      <c r="H182" s="87">
        <v>177</v>
      </c>
      <c r="I182" s="88" t="str">
        <f t="shared" si="11"/>
        <v/>
      </c>
      <c r="J182" s="88">
        <f t="shared" si="14"/>
        <v>-2</v>
      </c>
      <c r="K182" s="87">
        <f t="shared" si="12"/>
        <v>-20</v>
      </c>
      <c r="L182" s="87"/>
      <c r="M182" s="89">
        <f t="shared" si="13"/>
        <v>0</v>
      </c>
    </row>
    <row r="183" spans="1:13">
      <c r="A183" s="105"/>
      <c r="G183" s="73"/>
      <c r="H183" s="87">
        <v>178</v>
      </c>
      <c r="I183" s="88" t="str">
        <f t="shared" si="11"/>
        <v/>
      </c>
      <c r="J183" s="88">
        <f t="shared" si="14"/>
        <v>-2</v>
      </c>
      <c r="K183" s="87">
        <f t="shared" si="12"/>
        <v>-20</v>
      </c>
      <c r="L183" s="87"/>
      <c r="M183" s="89">
        <f t="shared" si="13"/>
        <v>0</v>
      </c>
    </row>
    <row r="184" spans="1:13">
      <c r="A184" s="105"/>
      <c r="G184" s="73"/>
      <c r="H184" s="87">
        <v>179</v>
      </c>
      <c r="I184" s="88" t="str">
        <f t="shared" si="11"/>
        <v/>
      </c>
      <c r="J184" s="88">
        <f t="shared" si="14"/>
        <v>-2</v>
      </c>
      <c r="K184" s="87">
        <f t="shared" si="12"/>
        <v>-20</v>
      </c>
      <c r="L184" s="87"/>
      <c r="M184" s="89">
        <f t="shared" si="13"/>
        <v>0</v>
      </c>
    </row>
    <row r="185" spans="1:13">
      <c r="A185" s="105"/>
      <c r="G185" s="73"/>
      <c r="H185" s="87">
        <v>180</v>
      </c>
      <c r="I185" s="88" t="str">
        <f t="shared" si="11"/>
        <v/>
      </c>
      <c r="J185" s="88">
        <f t="shared" si="14"/>
        <v>-2</v>
      </c>
      <c r="K185" s="87">
        <f t="shared" si="12"/>
        <v>-20</v>
      </c>
      <c r="L185" s="87"/>
      <c r="M185" s="89">
        <f t="shared" si="13"/>
        <v>0</v>
      </c>
    </row>
    <row r="186" spans="1:13">
      <c r="A186" s="105"/>
      <c r="G186" s="73"/>
      <c r="H186" s="87">
        <v>181</v>
      </c>
      <c r="I186" s="88" t="str">
        <f t="shared" si="11"/>
        <v/>
      </c>
      <c r="J186" s="88">
        <f t="shared" si="14"/>
        <v>-2</v>
      </c>
      <c r="K186" s="87">
        <f t="shared" si="12"/>
        <v>-20</v>
      </c>
      <c r="L186" s="87"/>
      <c r="M186" s="89">
        <f t="shared" si="13"/>
        <v>0</v>
      </c>
    </row>
    <row r="187" spans="1:13">
      <c r="A187" s="105"/>
      <c r="G187" s="73"/>
      <c r="H187" s="87">
        <v>182</v>
      </c>
      <c r="I187" s="88" t="str">
        <f t="shared" si="11"/>
        <v/>
      </c>
      <c r="J187" s="88">
        <f t="shared" si="14"/>
        <v>-2</v>
      </c>
      <c r="K187" s="87">
        <f t="shared" si="12"/>
        <v>-20</v>
      </c>
      <c r="L187" s="87"/>
      <c r="M187" s="89">
        <f t="shared" si="13"/>
        <v>0</v>
      </c>
    </row>
    <row r="188" spans="1:13">
      <c r="A188" s="105"/>
      <c r="G188" s="73"/>
      <c r="H188" s="87">
        <v>183</v>
      </c>
      <c r="I188" s="88" t="str">
        <f t="shared" si="11"/>
        <v/>
      </c>
      <c r="J188" s="88">
        <f t="shared" si="14"/>
        <v>-2</v>
      </c>
      <c r="K188" s="87">
        <f t="shared" si="12"/>
        <v>-20</v>
      </c>
      <c r="L188" s="87"/>
      <c r="M188" s="89">
        <f t="shared" si="13"/>
        <v>0</v>
      </c>
    </row>
    <row r="189" spans="1:13">
      <c r="A189" s="105"/>
      <c r="G189" s="73"/>
      <c r="H189" s="87">
        <v>184</v>
      </c>
      <c r="I189" s="88" t="str">
        <f t="shared" si="11"/>
        <v/>
      </c>
      <c r="J189" s="88">
        <f t="shared" si="14"/>
        <v>-2</v>
      </c>
      <c r="K189" s="87">
        <f t="shared" si="12"/>
        <v>-20</v>
      </c>
      <c r="L189" s="87"/>
      <c r="M189" s="89">
        <f t="shared" si="13"/>
        <v>0</v>
      </c>
    </row>
    <row r="190" spans="1:13">
      <c r="A190" s="105"/>
      <c r="G190" s="73"/>
      <c r="H190" s="87">
        <v>185</v>
      </c>
      <c r="I190" s="88" t="str">
        <f t="shared" si="11"/>
        <v/>
      </c>
      <c r="J190" s="88">
        <f t="shared" si="14"/>
        <v>-2</v>
      </c>
      <c r="K190" s="87">
        <f t="shared" si="12"/>
        <v>-20</v>
      </c>
      <c r="L190" s="87"/>
      <c r="M190" s="89">
        <f t="shared" si="13"/>
        <v>0</v>
      </c>
    </row>
    <row r="191" spans="1:13">
      <c r="A191" s="105"/>
      <c r="G191" s="73"/>
      <c r="H191" s="87">
        <v>186</v>
      </c>
      <c r="I191" s="88" t="str">
        <f t="shared" si="11"/>
        <v/>
      </c>
      <c r="J191" s="88">
        <f t="shared" si="14"/>
        <v>-2</v>
      </c>
      <c r="K191" s="87">
        <f t="shared" si="12"/>
        <v>-20</v>
      </c>
      <c r="L191" s="87"/>
      <c r="M191" s="89">
        <f t="shared" si="13"/>
        <v>0</v>
      </c>
    </row>
    <row r="192" spans="1:13">
      <c r="A192" s="105"/>
      <c r="G192" s="73"/>
      <c r="H192" s="87">
        <v>187</v>
      </c>
      <c r="I192" s="88" t="str">
        <f t="shared" si="11"/>
        <v/>
      </c>
      <c r="J192" s="88">
        <f t="shared" si="14"/>
        <v>-2</v>
      </c>
      <c r="K192" s="87">
        <f t="shared" si="12"/>
        <v>-20</v>
      </c>
      <c r="L192" s="87"/>
      <c r="M192" s="89">
        <f t="shared" si="13"/>
        <v>0</v>
      </c>
    </row>
    <row r="193" spans="1:13">
      <c r="A193" s="105"/>
      <c r="G193" s="73"/>
      <c r="H193" s="87">
        <v>188</v>
      </c>
      <c r="I193" s="88" t="str">
        <f t="shared" si="11"/>
        <v/>
      </c>
      <c r="J193" s="88">
        <f t="shared" si="14"/>
        <v>-2</v>
      </c>
      <c r="K193" s="87">
        <f t="shared" si="12"/>
        <v>-20</v>
      </c>
      <c r="L193" s="87"/>
      <c r="M193" s="89">
        <f t="shared" si="13"/>
        <v>0</v>
      </c>
    </row>
    <row r="194" spans="1:13">
      <c r="A194" s="105"/>
      <c r="G194" s="73"/>
      <c r="H194" s="87">
        <v>189</v>
      </c>
      <c r="I194" s="88" t="str">
        <f t="shared" si="11"/>
        <v/>
      </c>
      <c r="J194" s="88">
        <f t="shared" si="14"/>
        <v>-2</v>
      </c>
      <c r="K194" s="87">
        <f t="shared" si="12"/>
        <v>-20</v>
      </c>
      <c r="L194" s="87"/>
      <c r="M194" s="89">
        <f t="shared" si="13"/>
        <v>0</v>
      </c>
    </row>
    <row r="195" spans="1:13">
      <c r="A195" s="105"/>
      <c r="G195" s="73"/>
      <c r="H195" s="87">
        <v>190</v>
      </c>
      <c r="I195" s="88" t="str">
        <f t="shared" si="11"/>
        <v/>
      </c>
      <c r="J195" s="88">
        <f t="shared" si="14"/>
        <v>-2</v>
      </c>
      <c r="K195" s="87">
        <f t="shared" si="12"/>
        <v>-20</v>
      </c>
      <c r="L195" s="87"/>
      <c r="M195" s="89">
        <f t="shared" si="13"/>
        <v>0</v>
      </c>
    </row>
    <row r="196" spans="1:13">
      <c r="A196" s="105"/>
      <c r="G196" s="73"/>
      <c r="H196" s="87">
        <v>191</v>
      </c>
      <c r="I196" s="88" t="str">
        <f t="shared" si="11"/>
        <v/>
      </c>
      <c r="J196" s="88">
        <f t="shared" si="14"/>
        <v>-2</v>
      </c>
      <c r="K196" s="87">
        <f t="shared" si="12"/>
        <v>-20</v>
      </c>
      <c r="L196" s="87"/>
      <c r="M196" s="89">
        <f t="shared" si="13"/>
        <v>0</v>
      </c>
    </row>
    <row r="197" spans="1:13">
      <c r="A197" s="105"/>
      <c r="G197" s="73"/>
      <c r="H197" s="87">
        <v>192</v>
      </c>
      <c r="I197" s="88" t="str">
        <f t="shared" si="11"/>
        <v/>
      </c>
      <c r="J197" s="88">
        <f t="shared" si="14"/>
        <v>-2</v>
      </c>
      <c r="K197" s="87">
        <f t="shared" si="12"/>
        <v>-20</v>
      </c>
      <c r="L197" s="87"/>
      <c r="M197" s="89">
        <f t="shared" si="13"/>
        <v>0</v>
      </c>
    </row>
    <row r="198" spans="1:13">
      <c r="A198" s="105"/>
      <c r="G198" s="73"/>
      <c r="H198" s="87">
        <v>193</v>
      </c>
      <c r="I198" s="88" t="str">
        <f t="shared" ref="I198:I261" si="15">IF(H198&lt;$H$2+1,($I$2-($I$2-1)*(LOG(H198)/LOG($H$2))),"")</f>
        <v/>
      </c>
      <c r="J198" s="88">
        <f t="shared" si="14"/>
        <v>-2</v>
      </c>
      <c r="K198" s="87">
        <f t="shared" ref="K198:K261" si="16">J198*$J$2</f>
        <v>-20</v>
      </c>
      <c r="L198" s="87"/>
      <c r="M198" s="89">
        <f t="shared" ref="M198:M261" si="17">IF(I198&lt;&gt;"",K198+I198+L198,0)</f>
        <v>0</v>
      </c>
    </row>
    <row r="199" spans="1:13">
      <c r="A199" s="105"/>
      <c r="G199" s="73"/>
      <c r="H199" s="87">
        <v>194</v>
      </c>
      <c r="I199" s="88" t="str">
        <f t="shared" si="15"/>
        <v/>
      </c>
      <c r="J199" s="88">
        <f t="shared" ref="J199:J262" si="18">INT(LOG($H$2,2))-ROUNDUP(LOG(H199,2),0)+IF(OR($H$2=1,$H$2=2,$H$2=4,$H$2=8,$H$2=16,$H$2=32,$H$2=64,$H$2=128,$H$2=256),0,1)</f>
        <v>-2</v>
      </c>
      <c r="K199" s="87">
        <f t="shared" si="16"/>
        <v>-20</v>
      </c>
      <c r="L199" s="87"/>
      <c r="M199" s="89">
        <f t="shared" si="17"/>
        <v>0</v>
      </c>
    </row>
    <row r="200" spans="1:13">
      <c r="A200" s="105"/>
      <c r="G200" s="73"/>
      <c r="H200" s="87">
        <v>195</v>
      </c>
      <c r="I200" s="88" t="str">
        <f t="shared" si="15"/>
        <v/>
      </c>
      <c r="J200" s="88">
        <f t="shared" si="18"/>
        <v>-2</v>
      </c>
      <c r="K200" s="87">
        <f t="shared" si="16"/>
        <v>-20</v>
      </c>
      <c r="L200" s="87"/>
      <c r="M200" s="89">
        <f t="shared" si="17"/>
        <v>0</v>
      </c>
    </row>
    <row r="201" spans="1:13">
      <c r="A201" s="105"/>
      <c r="G201" s="73"/>
      <c r="H201" s="87">
        <v>196</v>
      </c>
      <c r="I201" s="88" t="str">
        <f t="shared" si="15"/>
        <v/>
      </c>
      <c r="J201" s="88">
        <f t="shared" si="18"/>
        <v>-2</v>
      </c>
      <c r="K201" s="87">
        <f t="shared" si="16"/>
        <v>-20</v>
      </c>
      <c r="L201" s="87"/>
      <c r="M201" s="89">
        <f t="shared" si="17"/>
        <v>0</v>
      </c>
    </row>
    <row r="202" spans="1:13">
      <c r="A202" s="105"/>
      <c r="G202" s="73"/>
      <c r="H202" s="87">
        <v>197</v>
      </c>
      <c r="I202" s="88" t="str">
        <f t="shared" si="15"/>
        <v/>
      </c>
      <c r="J202" s="88">
        <f t="shared" si="18"/>
        <v>-2</v>
      </c>
      <c r="K202" s="87">
        <f t="shared" si="16"/>
        <v>-20</v>
      </c>
      <c r="L202" s="87"/>
      <c r="M202" s="89">
        <f t="shared" si="17"/>
        <v>0</v>
      </c>
    </row>
    <row r="203" spans="1:13">
      <c r="A203" s="105"/>
      <c r="G203" s="73"/>
      <c r="H203" s="87">
        <v>198</v>
      </c>
      <c r="I203" s="88" t="str">
        <f t="shared" si="15"/>
        <v/>
      </c>
      <c r="J203" s="88">
        <f t="shared" si="18"/>
        <v>-2</v>
      </c>
      <c r="K203" s="87">
        <f t="shared" si="16"/>
        <v>-20</v>
      </c>
      <c r="L203" s="87"/>
      <c r="M203" s="89">
        <f t="shared" si="17"/>
        <v>0</v>
      </c>
    </row>
    <row r="204" spans="1:13">
      <c r="A204" s="105"/>
      <c r="G204" s="73"/>
      <c r="H204" s="87">
        <v>199</v>
      </c>
      <c r="I204" s="88" t="str">
        <f t="shared" si="15"/>
        <v/>
      </c>
      <c r="J204" s="88">
        <f t="shared" si="18"/>
        <v>-2</v>
      </c>
      <c r="K204" s="87">
        <f t="shared" si="16"/>
        <v>-20</v>
      </c>
      <c r="L204" s="87"/>
      <c r="M204" s="89">
        <f t="shared" si="17"/>
        <v>0</v>
      </c>
    </row>
    <row r="205" spans="1:13">
      <c r="A205" s="105"/>
      <c r="G205" s="73"/>
      <c r="H205" s="87">
        <v>200</v>
      </c>
      <c r="I205" s="88" t="str">
        <f t="shared" si="15"/>
        <v/>
      </c>
      <c r="J205" s="88">
        <f t="shared" si="18"/>
        <v>-2</v>
      </c>
      <c r="K205" s="87">
        <f t="shared" si="16"/>
        <v>-20</v>
      </c>
      <c r="L205" s="87"/>
      <c r="M205" s="89">
        <f t="shared" si="17"/>
        <v>0</v>
      </c>
    </row>
    <row r="206" spans="1:13">
      <c r="A206" s="105"/>
      <c r="G206" s="73"/>
      <c r="H206" s="87">
        <v>201</v>
      </c>
      <c r="I206" s="88" t="str">
        <f t="shared" si="15"/>
        <v/>
      </c>
      <c r="J206" s="88">
        <f t="shared" si="18"/>
        <v>-2</v>
      </c>
      <c r="K206" s="87">
        <f t="shared" si="16"/>
        <v>-20</v>
      </c>
      <c r="L206" s="87"/>
      <c r="M206" s="89">
        <f t="shared" si="17"/>
        <v>0</v>
      </c>
    </row>
    <row r="207" spans="1:13">
      <c r="A207" s="105"/>
      <c r="G207" s="73"/>
      <c r="H207" s="87">
        <v>202</v>
      </c>
      <c r="I207" s="88" t="str">
        <f t="shared" si="15"/>
        <v/>
      </c>
      <c r="J207" s="88">
        <f t="shared" si="18"/>
        <v>-2</v>
      </c>
      <c r="K207" s="87">
        <f t="shared" si="16"/>
        <v>-20</v>
      </c>
      <c r="L207" s="87"/>
      <c r="M207" s="89">
        <f t="shared" si="17"/>
        <v>0</v>
      </c>
    </row>
    <row r="208" spans="1:13">
      <c r="A208" s="105"/>
      <c r="G208" s="73"/>
      <c r="H208" s="87">
        <v>203</v>
      </c>
      <c r="I208" s="88" t="str">
        <f t="shared" si="15"/>
        <v/>
      </c>
      <c r="J208" s="88">
        <f t="shared" si="18"/>
        <v>-2</v>
      </c>
      <c r="K208" s="87">
        <f t="shared" si="16"/>
        <v>-20</v>
      </c>
      <c r="L208" s="87"/>
      <c r="M208" s="89">
        <f t="shared" si="17"/>
        <v>0</v>
      </c>
    </row>
    <row r="209" spans="1:13">
      <c r="A209" s="105"/>
      <c r="G209" s="73"/>
      <c r="H209" s="87">
        <v>204</v>
      </c>
      <c r="I209" s="88" t="str">
        <f t="shared" si="15"/>
        <v/>
      </c>
      <c r="J209" s="88">
        <f t="shared" si="18"/>
        <v>-2</v>
      </c>
      <c r="K209" s="87">
        <f t="shared" si="16"/>
        <v>-20</v>
      </c>
      <c r="L209" s="87"/>
      <c r="M209" s="89">
        <f t="shared" si="17"/>
        <v>0</v>
      </c>
    </row>
    <row r="210" spans="1:13">
      <c r="A210" s="105"/>
      <c r="G210" s="73"/>
      <c r="H210" s="87">
        <v>205</v>
      </c>
      <c r="I210" s="88" t="str">
        <f t="shared" si="15"/>
        <v/>
      </c>
      <c r="J210" s="88">
        <f t="shared" si="18"/>
        <v>-2</v>
      </c>
      <c r="K210" s="87">
        <f t="shared" si="16"/>
        <v>-20</v>
      </c>
      <c r="L210" s="87"/>
      <c r="M210" s="89">
        <f t="shared" si="17"/>
        <v>0</v>
      </c>
    </row>
    <row r="211" spans="1:13">
      <c r="A211" s="105"/>
      <c r="G211" s="73"/>
      <c r="H211" s="87">
        <v>206</v>
      </c>
      <c r="I211" s="88" t="str">
        <f t="shared" si="15"/>
        <v/>
      </c>
      <c r="J211" s="88">
        <f t="shared" si="18"/>
        <v>-2</v>
      </c>
      <c r="K211" s="87">
        <f t="shared" si="16"/>
        <v>-20</v>
      </c>
      <c r="L211" s="87"/>
      <c r="M211" s="89">
        <f t="shared" si="17"/>
        <v>0</v>
      </c>
    </row>
    <row r="212" spans="1:13">
      <c r="A212" s="105"/>
      <c r="G212" s="73"/>
      <c r="H212" s="87">
        <v>207</v>
      </c>
      <c r="I212" s="88" t="str">
        <f t="shared" si="15"/>
        <v/>
      </c>
      <c r="J212" s="88">
        <f t="shared" si="18"/>
        <v>-2</v>
      </c>
      <c r="K212" s="87">
        <f t="shared" si="16"/>
        <v>-20</v>
      </c>
      <c r="L212" s="87"/>
      <c r="M212" s="89">
        <f t="shared" si="17"/>
        <v>0</v>
      </c>
    </row>
    <row r="213" spans="1:13">
      <c r="A213" s="105"/>
      <c r="G213" s="73"/>
      <c r="H213" s="87">
        <v>208</v>
      </c>
      <c r="I213" s="88" t="str">
        <f t="shared" si="15"/>
        <v/>
      </c>
      <c r="J213" s="88">
        <f t="shared" si="18"/>
        <v>-2</v>
      </c>
      <c r="K213" s="87">
        <f t="shared" si="16"/>
        <v>-20</v>
      </c>
      <c r="L213" s="87"/>
      <c r="M213" s="89">
        <f t="shared" si="17"/>
        <v>0</v>
      </c>
    </row>
    <row r="214" spans="1:13">
      <c r="A214" s="105"/>
      <c r="G214" s="73"/>
      <c r="H214" s="87">
        <v>209</v>
      </c>
      <c r="I214" s="88" t="str">
        <f t="shared" si="15"/>
        <v/>
      </c>
      <c r="J214" s="88">
        <f t="shared" si="18"/>
        <v>-2</v>
      </c>
      <c r="K214" s="87">
        <f t="shared" si="16"/>
        <v>-20</v>
      </c>
      <c r="L214" s="87"/>
      <c r="M214" s="89">
        <f t="shared" si="17"/>
        <v>0</v>
      </c>
    </row>
    <row r="215" spans="1:13">
      <c r="A215" s="105"/>
      <c r="G215" s="73"/>
      <c r="H215" s="87">
        <v>210</v>
      </c>
      <c r="I215" s="88" t="str">
        <f t="shared" si="15"/>
        <v/>
      </c>
      <c r="J215" s="88">
        <f t="shared" si="18"/>
        <v>-2</v>
      </c>
      <c r="K215" s="87">
        <f t="shared" si="16"/>
        <v>-20</v>
      </c>
      <c r="L215" s="87"/>
      <c r="M215" s="89">
        <f t="shared" si="17"/>
        <v>0</v>
      </c>
    </row>
    <row r="216" spans="1:13">
      <c r="A216" s="105"/>
      <c r="G216" s="73"/>
      <c r="H216" s="87">
        <v>211</v>
      </c>
      <c r="I216" s="88" t="str">
        <f t="shared" si="15"/>
        <v/>
      </c>
      <c r="J216" s="88">
        <f t="shared" si="18"/>
        <v>-2</v>
      </c>
      <c r="K216" s="87">
        <f t="shared" si="16"/>
        <v>-20</v>
      </c>
      <c r="L216" s="87"/>
      <c r="M216" s="89">
        <f t="shared" si="17"/>
        <v>0</v>
      </c>
    </row>
    <row r="217" spans="1:13">
      <c r="A217" s="105"/>
      <c r="G217" s="73"/>
      <c r="H217" s="87">
        <v>212</v>
      </c>
      <c r="I217" s="88" t="str">
        <f t="shared" si="15"/>
        <v/>
      </c>
      <c r="J217" s="88">
        <f t="shared" si="18"/>
        <v>-2</v>
      </c>
      <c r="K217" s="87">
        <f t="shared" si="16"/>
        <v>-20</v>
      </c>
      <c r="L217" s="87"/>
      <c r="M217" s="89">
        <f t="shared" si="17"/>
        <v>0</v>
      </c>
    </row>
    <row r="218" spans="1:13">
      <c r="A218" s="105"/>
      <c r="G218" s="73"/>
      <c r="H218" s="87">
        <v>213</v>
      </c>
      <c r="I218" s="88" t="str">
        <f t="shared" si="15"/>
        <v/>
      </c>
      <c r="J218" s="88">
        <f t="shared" si="18"/>
        <v>-2</v>
      </c>
      <c r="K218" s="87">
        <f t="shared" si="16"/>
        <v>-20</v>
      </c>
      <c r="L218" s="87"/>
      <c r="M218" s="89">
        <f t="shared" si="17"/>
        <v>0</v>
      </c>
    </row>
    <row r="219" spans="1:13">
      <c r="A219" s="105"/>
      <c r="G219" s="73"/>
      <c r="H219" s="87">
        <v>214</v>
      </c>
      <c r="I219" s="88" t="str">
        <f t="shared" si="15"/>
        <v/>
      </c>
      <c r="J219" s="88">
        <f t="shared" si="18"/>
        <v>-2</v>
      </c>
      <c r="K219" s="87">
        <f t="shared" si="16"/>
        <v>-20</v>
      </c>
      <c r="L219" s="87"/>
      <c r="M219" s="89">
        <f t="shared" si="17"/>
        <v>0</v>
      </c>
    </row>
    <row r="220" spans="1:13">
      <c r="A220" s="105"/>
      <c r="G220" s="73"/>
      <c r="H220" s="87">
        <v>215</v>
      </c>
      <c r="I220" s="88" t="str">
        <f t="shared" si="15"/>
        <v/>
      </c>
      <c r="J220" s="88">
        <f t="shared" si="18"/>
        <v>-2</v>
      </c>
      <c r="K220" s="87">
        <f t="shared" si="16"/>
        <v>-20</v>
      </c>
      <c r="L220" s="87"/>
      <c r="M220" s="89">
        <f t="shared" si="17"/>
        <v>0</v>
      </c>
    </row>
    <row r="221" spans="1:13">
      <c r="A221" s="105"/>
      <c r="G221" s="73"/>
      <c r="H221" s="87">
        <v>216</v>
      </c>
      <c r="I221" s="88" t="str">
        <f t="shared" si="15"/>
        <v/>
      </c>
      <c r="J221" s="88">
        <f t="shared" si="18"/>
        <v>-2</v>
      </c>
      <c r="K221" s="87">
        <f t="shared" si="16"/>
        <v>-20</v>
      </c>
      <c r="L221" s="87"/>
      <c r="M221" s="89">
        <f t="shared" si="17"/>
        <v>0</v>
      </c>
    </row>
    <row r="222" spans="1:13">
      <c r="A222" s="105"/>
      <c r="G222" s="73"/>
      <c r="H222" s="87">
        <v>217</v>
      </c>
      <c r="I222" s="88" t="str">
        <f t="shared" si="15"/>
        <v/>
      </c>
      <c r="J222" s="88">
        <f t="shared" si="18"/>
        <v>-2</v>
      </c>
      <c r="K222" s="87">
        <f t="shared" si="16"/>
        <v>-20</v>
      </c>
      <c r="L222" s="87"/>
      <c r="M222" s="89">
        <f t="shared" si="17"/>
        <v>0</v>
      </c>
    </row>
    <row r="223" spans="1:13">
      <c r="A223" s="105"/>
      <c r="G223" s="73"/>
      <c r="H223" s="87">
        <v>218</v>
      </c>
      <c r="I223" s="88" t="str">
        <f t="shared" si="15"/>
        <v/>
      </c>
      <c r="J223" s="88">
        <f t="shared" si="18"/>
        <v>-2</v>
      </c>
      <c r="K223" s="87">
        <f t="shared" si="16"/>
        <v>-20</v>
      </c>
      <c r="L223" s="87"/>
      <c r="M223" s="89">
        <f t="shared" si="17"/>
        <v>0</v>
      </c>
    </row>
    <row r="224" spans="1:13">
      <c r="A224" s="105"/>
      <c r="G224" s="73"/>
      <c r="H224" s="87">
        <v>219</v>
      </c>
      <c r="I224" s="88" t="str">
        <f t="shared" si="15"/>
        <v/>
      </c>
      <c r="J224" s="88">
        <f t="shared" si="18"/>
        <v>-2</v>
      </c>
      <c r="K224" s="87">
        <f t="shared" si="16"/>
        <v>-20</v>
      </c>
      <c r="L224" s="87"/>
      <c r="M224" s="89">
        <f t="shared" si="17"/>
        <v>0</v>
      </c>
    </row>
    <row r="225" spans="1:13">
      <c r="A225" s="105"/>
      <c r="G225" s="73"/>
      <c r="H225" s="87">
        <v>220</v>
      </c>
      <c r="I225" s="88" t="str">
        <f t="shared" si="15"/>
        <v/>
      </c>
      <c r="J225" s="88">
        <f t="shared" si="18"/>
        <v>-2</v>
      </c>
      <c r="K225" s="87">
        <f t="shared" si="16"/>
        <v>-20</v>
      </c>
      <c r="L225" s="87"/>
      <c r="M225" s="89">
        <f t="shared" si="17"/>
        <v>0</v>
      </c>
    </row>
    <row r="226" spans="1:13">
      <c r="A226" s="105"/>
      <c r="G226" s="73"/>
      <c r="H226" s="87">
        <v>221</v>
      </c>
      <c r="I226" s="88" t="str">
        <f t="shared" si="15"/>
        <v/>
      </c>
      <c r="J226" s="88">
        <f t="shared" si="18"/>
        <v>-2</v>
      </c>
      <c r="K226" s="87">
        <f t="shared" si="16"/>
        <v>-20</v>
      </c>
      <c r="L226" s="87"/>
      <c r="M226" s="89">
        <f t="shared" si="17"/>
        <v>0</v>
      </c>
    </row>
    <row r="227" spans="1:13">
      <c r="A227" s="105"/>
      <c r="G227" s="73"/>
      <c r="H227" s="87">
        <v>222</v>
      </c>
      <c r="I227" s="88" t="str">
        <f t="shared" si="15"/>
        <v/>
      </c>
      <c r="J227" s="88">
        <f t="shared" si="18"/>
        <v>-2</v>
      </c>
      <c r="K227" s="87">
        <f t="shared" si="16"/>
        <v>-20</v>
      </c>
      <c r="L227" s="87"/>
      <c r="M227" s="89">
        <f t="shared" si="17"/>
        <v>0</v>
      </c>
    </row>
    <row r="228" spans="1:13">
      <c r="A228" s="105"/>
      <c r="G228" s="73"/>
      <c r="H228" s="87">
        <v>223</v>
      </c>
      <c r="I228" s="88" t="str">
        <f t="shared" si="15"/>
        <v/>
      </c>
      <c r="J228" s="88">
        <f t="shared" si="18"/>
        <v>-2</v>
      </c>
      <c r="K228" s="87">
        <f t="shared" si="16"/>
        <v>-20</v>
      </c>
      <c r="L228" s="87"/>
      <c r="M228" s="89">
        <f t="shared" si="17"/>
        <v>0</v>
      </c>
    </row>
    <row r="229" spans="1:13">
      <c r="A229" s="105"/>
      <c r="G229" s="73"/>
      <c r="H229" s="87">
        <v>224</v>
      </c>
      <c r="I229" s="88" t="str">
        <f t="shared" si="15"/>
        <v/>
      </c>
      <c r="J229" s="88">
        <f t="shared" si="18"/>
        <v>-2</v>
      </c>
      <c r="K229" s="87">
        <f t="shared" si="16"/>
        <v>-20</v>
      </c>
      <c r="L229" s="87"/>
      <c r="M229" s="89">
        <f t="shared" si="17"/>
        <v>0</v>
      </c>
    </row>
    <row r="230" spans="1:13">
      <c r="A230" s="105"/>
      <c r="G230" s="73"/>
      <c r="H230" s="87">
        <v>225</v>
      </c>
      <c r="I230" s="88" t="str">
        <f t="shared" si="15"/>
        <v/>
      </c>
      <c r="J230" s="88">
        <f t="shared" si="18"/>
        <v>-2</v>
      </c>
      <c r="K230" s="87">
        <f t="shared" si="16"/>
        <v>-20</v>
      </c>
      <c r="L230" s="87"/>
      <c r="M230" s="89">
        <f t="shared" si="17"/>
        <v>0</v>
      </c>
    </row>
    <row r="231" spans="1:13">
      <c r="A231" s="105"/>
      <c r="G231" s="73"/>
      <c r="H231" s="87">
        <v>226</v>
      </c>
      <c r="I231" s="88" t="str">
        <f t="shared" si="15"/>
        <v/>
      </c>
      <c r="J231" s="88">
        <f t="shared" si="18"/>
        <v>-2</v>
      </c>
      <c r="K231" s="87">
        <f t="shared" si="16"/>
        <v>-20</v>
      </c>
      <c r="L231" s="87"/>
      <c r="M231" s="89">
        <f t="shared" si="17"/>
        <v>0</v>
      </c>
    </row>
    <row r="232" spans="1:13">
      <c r="A232" s="105"/>
      <c r="G232" s="73"/>
      <c r="H232" s="87">
        <v>227</v>
      </c>
      <c r="I232" s="88" t="str">
        <f t="shared" si="15"/>
        <v/>
      </c>
      <c r="J232" s="88">
        <f t="shared" si="18"/>
        <v>-2</v>
      </c>
      <c r="K232" s="87">
        <f t="shared" si="16"/>
        <v>-20</v>
      </c>
      <c r="L232" s="87"/>
      <c r="M232" s="89">
        <f t="shared" si="17"/>
        <v>0</v>
      </c>
    </row>
    <row r="233" spans="1:13">
      <c r="A233" s="105"/>
      <c r="G233" s="73"/>
      <c r="H233" s="87">
        <v>228</v>
      </c>
      <c r="I233" s="88" t="str">
        <f t="shared" si="15"/>
        <v/>
      </c>
      <c r="J233" s="88">
        <f t="shared" si="18"/>
        <v>-2</v>
      </c>
      <c r="K233" s="87">
        <f t="shared" si="16"/>
        <v>-20</v>
      </c>
      <c r="L233" s="87"/>
      <c r="M233" s="89">
        <f t="shared" si="17"/>
        <v>0</v>
      </c>
    </row>
    <row r="234" spans="1:13">
      <c r="A234" s="105"/>
      <c r="G234" s="73"/>
      <c r="H234" s="87">
        <v>229</v>
      </c>
      <c r="I234" s="88" t="str">
        <f t="shared" si="15"/>
        <v/>
      </c>
      <c r="J234" s="88">
        <f t="shared" si="18"/>
        <v>-2</v>
      </c>
      <c r="K234" s="87">
        <f t="shared" si="16"/>
        <v>-20</v>
      </c>
      <c r="L234" s="87"/>
      <c r="M234" s="89">
        <f t="shared" si="17"/>
        <v>0</v>
      </c>
    </row>
    <row r="235" spans="1:13">
      <c r="A235" s="105"/>
      <c r="G235" s="73"/>
      <c r="H235" s="87">
        <v>230</v>
      </c>
      <c r="I235" s="88" t="str">
        <f t="shared" si="15"/>
        <v/>
      </c>
      <c r="J235" s="88">
        <f t="shared" si="18"/>
        <v>-2</v>
      </c>
      <c r="K235" s="87">
        <f t="shared" si="16"/>
        <v>-20</v>
      </c>
      <c r="L235" s="87"/>
      <c r="M235" s="89">
        <f t="shared" si="17"/>
        <v>0</v>
      </c>
    </row>
    <row r="236" spans="1:13">
      <c r="A236" s="105"/>
      <c r="G236" s="73"/>
      <c r="H236" s="87">
        <v>231</v>
      </c>
      <c r="I236" s="88" t="str">
        <f t="shared" si="15"/>
        <v/>
      </c>
      <c r="J236" s="88">
        <f t="shared" si="18"/>
        <v>-2</v>
      </c>
      <c r="K236" s="87">
        <f t="shared" si="16"/>
        <v>-20</v>
      </c>
      <c r="L236" s="87"/>
      <c r="M236" s="89">
        <f t="shared" si="17"/>
        <v>0</v>
      </c>
    </row>
    <row r="237" spans="1:13">
      <c r="A237" s="105"/>
      <c r="G237" s="73"/>
      <c r="H237" s="87">
        <v>232</v>
      </c>
      <c r="I237" s="88" t="str">
        <f t="shared" si="15"/>
        <v/>
      </c>
      <c r="J237" s="88">
        <f t="shared" si="18"/>
        <v>-2</v>
      </c>
      <c r="K237" s="87">
        <f t="shared" si="16"/>
        <v>-20</v>
      </c>
      <c r="L237" s="87"/>
      <c r="M237" s="89">
        <f t="shared" si="17"/>
        <v>0</v>
      </c>
    </row>
    <row r="238" spans="1:13">
      <c r="A238" s="105"/>
      <c r="G238" s="73"/>
      <c r="H238" s="87">
        <v>233</v>
      </c>
      <c r="I238" s="88" t="str">
        <f t="shared" si="15"/>
        <v/>
      </c>
      <c r="J238" s="88">
        <f t="shared" si="18"/>
        <v>-2</v>
      </c>
      <c r="K238" s="87">
        <f t="shared" si="16"/>
        <v>-20</v>
      </c>
      <c r="L238" s="87"/>
      <c r="M238" s="89">
        <f t="shared" si="17"/>
        <v>0</v>
      </c>
    </row>
    <row r="239" spans="1:13">
      <c r="A239" s="105"/>
      <c r="G239" s="73"/>
      <c r="H239" s="87">
        <v>234</v>
      </c>
      <c r="I239" s="88" t="str">
        <f t="shared" si="15"/>
        <v/>
      </c>
      <c r="J239" s="88">
        <f t="shared" si="18"/>
        <v>-2</v>
      </c>
      <c r="K239" s="87">
        <f t="shared" si="16"/>
        <v>-20</v>
      </c>
      <c r="L239" s="87"/>
      <c r="M239" s="89">
        <f t="shared" si="17"/>
        <v>0</v>
      </c>
    </row>
    <row r="240" spans="1:13">
      <c r="A240" s="105"/>
      <c r="G240" s="73"/>
      <c r="H240" s="87">
        <v>235</v>
      </c>
      <c r="I240" s="88" t="str">
        <f t="shared" si="15"/>
        <v/>
      </c>
      <c r="J240" s="88">
        <f t="shared" si="18"/>
        <v>-2</v>
      </c>
      <c r="K240" s="87">
        <f t="shared" si="16"/>
        <v>-20</v>
      </c>
      <c r="L240" s="87"/>
      <c r="M240" s="89">
        <f t="shared" si="17"/>
        <v>0</v>
      </c>
    </row>
    <row r="241" spans="1:13">
      <c r="A241" s="105"/>
      <c r="G241" s="73"/>
      <c r="H241" s="87">
        <v>236</v>
      </c>
      <c r="I241" s="88" t="str">
        <f t="shared" si="15"/>
        <v/>
      </c>
      <c r="J241" s="88">
        <f t="shared" si="18"/>
        <v>-2</v>
      </c>
      <c r="K241" s="87">
        <f t="shared" si="16"/>
        <v>-20</v>
      </c>
      <c r="L241" s="87"/>
      <c r="M241" s="89">
        <f t="shared" si="17"/>
        <v>0</v>
      </c>
    </row>
    <row r="242" spans="1:13">
      <c r="A242" s="105"/>
      <c r="G242" s="73"/>
      <c r="H242" s="87">
        <v>237</v>
      </c>
      <c r="I242" s="88" t="str">
        <f t="shared" si="15"/>
        <v/>
      </c>
      <c r="J242" s="88">
        <f t="shared" si="18"/>
        <v>-2</v>
      </c>
      <c r="K242" s="87">
        <f t="shared" si="16"/>
        <v>-20</v>
      </c>
      <c r="L242" s="87"/>
      <c r="M242" s="89">
        <f t="shared" si="17"/>
        <v>0</v>
      </c>
    </row>
    <row r="243" spans="1:13">
      <c r="A243" s="105"/>
      <c r="G243" s="73"/>
      <c r="H243" s="87">
        <v>238</v>
      </c>
      <c r="I243" s="88" t="str">
        <f t="shared" si="15"/>
        <v/>
      </c>
      <c r="J243" s="88">
        <f t="shared" si="18"/>
        <v>-2</v>
      </c>
      <c r="K243" s="87">
        <f t="shared" si="16"/>
        <v>-20</v>
      </c>
      <c r="L243" s="87"/>
      <c r="M243" s="89">
        <f t="shared" si="17"/>
        <v>0</v>
      </c>
    </row>
    <row r="244" spans="1:13">
      <c r="A244" s="105"/>
      <c r="G244" s="73"/>
      <c r="H244" s="87">
        <v>239</v>
      </c>
      <c r="I244" s="88" t="str">
        <f t="shared" si="15"/>
        <v/>
      </c>
      <c r="J244" s="88">
        <f t="shared" si="18"/>
        <v>-2</v>
      </c>
      <c r="K244" s="87">
        <f t="shared" si="16"/>
        <v>-20</v>
      </c>
      <c r="L244" s="87"/>
      <c r="M244" s="89">
        <f t="shared" si="17"/>
        <v>0</v>
      </c>
    </row>
    <row r="245" spans="1:13">
      <c r="A245" s="105"/>
      <c r="G245" s="73"/>
      <c r="H245" s="87">
        <v>240</v>
      </c>
      <c r="I245" s="88" t="str">
        <f t="shared" si="15"/>
        <v/>
      </c>
      <c r="J245" s="88">
        <f t="shared" si="18"/>
        <v>-2</v>
      </c>
      <c r="K245" s="87">
        <f t="shared" si="16"/>
        <v>-20</v>
      </c>
      <c r="L245" s="87"/>
      <c r="M245" s="89">
        <f t="shared" si="17"/>
        <v>0</v>
      </c>
    </row>
    <row r="246" spans="1:13">
      <c r="A246" s="105"/>
      <c r="G246" s="73"/>
      <c r="H246" s="87">
        <v>241</v>
      </c>
      <c r="I246" s="88" t="str">
        <f t="shared" si="15"/>
        <v/>
      </c>
      <c r="J246" s="88">
        <f t="shared" si="18"/>
        <v>-2</v>
      </c>
      <c r="K246" s="87">
        <f t="shared" si="16"/>
        <v>-20</v>
      </c>
      <c r="L246" s="87"/>
      <c r="M246" s="89">
        <f t="shared" si="17"/>
        <v>0</v>
      </c>
    </row>
    <row r="247" spans="1:13">
      <c r="A247" s="105"/>
      <c r="G247" s="73"/>
      <c r="H247" s="87">
        <v>242</v>
      </c>
      <c r="I247" s="88" t="str">
        <f t="shared" si="15"/>
        <v/>
      </c>
      <c r="J247" s="88">
        <f t="shared" si="18"/>
        <v>-2</v>
      </c>
      <c r="K247" s="87">
        <f t="shared" si="16"/>
        <v>-20</v>
      </c>
      <c r="L247" s="87"/>
      <c r="M247" s="89">
        <f t="shared" si="17"/>
        <v>0</v>
      </c>
    </row>
    <row r="248" spans="1:13">
      <c r="A248" s="105"/>
      <c r="G248" s="73"/>
      <c r="H248" s="87">
        <v>243</v>
      </c>
      <c r="I248" s="88" t="str">
        <f t="shared" si="15"/>
        <v/>
      </c>
      <c r="J248" s="88">
        <f t="shared" si="18"/>
        <v>-2</v>
      </c>
      <c r="K248" s="87">
        <f t="shared" si="16"/>
        <v>-20</v>
      </c>
      <c r="L248" s="87"/>
      <c r="M248" s="89">
        <f t="shared" si="17"/>
        <v>0</v>
      </c>
    </row>
    <row r="249" spans="1:13">
      <c r="A249" s="105"/>
      <c r="G249" s="73"/>
      <c r="H249" s="87">
        <v>244</v>
      </c>
      <c r="I249" s="88" t="str">
        <f t="shared" si="15"/>
        <v/>
      </c>
      <c r="J249" s="88">
        <f t="shared" si="18"/>
        <v>-2</v>
      </c>
      <c r="K249" s="87">
        <f t="shared" si="16"/>
        <v>-20</v>
      </c>
      <c r="L249" s="87"/>
      <c r="M249" s="89">
        <f t="shared" si="17"/>
        <v>0</v>
      </c>
    </row>
    <row r="250" spans="1:13">
      <c r="A250" s="105"/>
      <c r="G250" s="73"/>
      <c r="H250" s="87">
        <v>245</v>
      </c>
      <c r="I250" s="88" t="str">
        <f t="shared" si="15"/>
        <v/>
      </c>
      <c r="J250" s="88">
        <f t="shared" si="18"/>
        <v>-2</v>
      </c>
      <c r="K250" s="87">
        <f t="shared" si="16"/>
        <v>-20</v>
      </c>
      <c r="L250" s="87"/>
      <c r="M250" s="89">
        <f t="shared" si="17"/>
        <v>0</v>
      </c>
    </row>
    <row r="251" spans="1:13">
      <c r="A251" s="105"/>
      <c r="G251" s="73"/>
      <c r="H251" s="87">
        <v>246</v>
      </c>
      <c r="I251" s="88" t="str">
        <f t="shared" si="15"/>
        <v/>
      </c>
      <c r="J251" s="88">
        <f t="shared" si="18"/>
        <v>-2</v>
      </c>
      <c r="K251" s="87">
        <f t="shared" si="16"/>
        <v>-20</v>
      </c>
      <c r="L251" s="87"/>
      <c r="M251" s="89">
        <f t="shared" si="17"/>
        <v>0</v>
      </c>
    </row>
    <row r="252" spans="1:13">
      <c r="A252" s="105"/>
      <c r="G252" s="73"/>
      <c r="H252" s="87">
        <v>247</v>
      </c>
      <c r="I252" s="88" t="str">
        <f t="shared" si="15"/>
        <v/>
      </c>
      <c r="J252" s="88">
        <f t="shared" si="18"/>
        <v>-2</v>
      </c>
      <c r="K252" s="87">
        <f t="shared" si="16"/>
        <v>-20</v>
      </c>
      <c r="L252" s="87"/>
      <c r="M252" s="89">
        <f t="shared" si="17"/>
        <v>0</v>
      </c>
    </row>
    <row r="253" spans="1:13">
      <c r="A253" s="105"/>
      <c r="G253" s="73"/>
      <c r="H253" s="87">
        <v>248</v>
      </c>
      <c r="I253" s="88" t="str">
        <f t="shared" si="15"/>
        <v/>
      </c>
      <c r="J253" s="88">
        <f t="shared" si="18"/>
        <v>-2</v>
      </c>
      <c r="K253" s="87">
        <f t="shared" si="16"/>
        <v>-20</v>
      </c>
      <c r="L253" s="87"/>
      <c r="M253" s="89">
        <f t="shared" si="17"/>
        <v>0</v>
      </c>
    </row>
    <row r="254" spans="1:13">
      <c r="A254" s="105"/>
      <c r="G254" s="73"/>
      <c r="H254" s="87">
        <v>249</v>
      </c>
      <c r="I254" s="88" t="str">
        <f t="shared" si="15"/>
        <v/>
      </c>
      <c r="J254" s="88">
        <f t="shared" si="18"/>
        <v>-2</v>
      </c>
      <c r="K254" s="87">
        <f t="shared" si="16"/>
        <v>-20</v>
      </c>
      <c r="L254" s="87"/>
      <c r="M254" s="89">
        <f t="shared" si="17"/>
        <v>0</v>
      </c>
    </row>
    <row r="255" spans="1:13">
      <c r="A255" s="105"/>
      <c r="G255" s="73"/>
      <c r="H255" s="87">
        <v>250</v>
      </c>
      <c r="I255" s="88" t="str">
        <f t="shared" si="15"/>
        <v/>
      </c>
      <c r="J255" s="88">
        <f t="shared" si="18"/>
        <v>-2</v>
      </c>
      <c r="K255" s="87">
        <f t="shared" si="16"/>
        <v>-20</v>
      </c>
      <c r="L255" s="87"/>
      <c r="M255" s="89">
        <f t="shared" si="17"/>
        <v>0</v>
      </c>
    </row>
    <row r="256" spans="1:13">
      <c r="A256" s="105"/>
      <c r="G256" s="73"/>
      <c r="H256" s="87">
        <v>251</v>
      </c>
      <c r="I256" s="88" t="str">
        <f t="shared" si="15"/>
        <v/>
      </c>
      <c r="J256" s="88">
        <f t="shared" si="18"/>
        <v>-2</v>
      </c>
      <c r="K256" s="87">
        <f t="shared" si="16"/>
        <v>-20</v>
      </c>
      <c r="L256" s="87"/>
      <c r="M256" s="89">
        <f t="shared" si="17"/>
        <v>0</v>
      </c>
    </row>
    <row r="257" spans="1:13">
      <c r="A257" s="105"/>
      <c r="G257" s="73"/>
      <c r="H257" s="87">
        <v>252</v>
      </c>
      <c r="I257" s="88" t="str">
        <f t="shared" si="15"/>
        <v/>
      </c>
      <c r="J257" s="88">
        <f t="shared" si="18"/>
        <v>-2</v>
      </c>
      <c r="K257" s="87">
        <f t="shared" si="16"/>
        <v>-20</v>
      </c>
      <c r="L257" s="87"/>
      <c r="M257" s="89">
        <f t="shared" si="17"/>
        <v>0</v>
      </c>
    </row>
    <row r="258" spans="1:13">
      <c r="A258" s="105"/>
      <c r="G258" s="73"/>
      <c r="H258" s="87">
        <v>253</v>
      </c>
      <c r="I258" s="88" t="str">
        <f t="shared" si="15"/>
        <v/>
      </c>
      <c r="J258" s="88">
        <f t="shared" si="18"/>
        <v>-2</v>
      </c>
      <c r="K258" s="87">
        <f t="shared" si="16"/>
        <v>-20</v>
      </c>
      <c r="L258" s="87"/>
      <c r="M258" s="89">
        <f t="shared" si="17"/>
        <v>0</v>
      </c>
    </row>
    <row r="259" spans="1:13">
      <c r="A259" s="105"/>
      <c r="G259" s="73"/>
      <c r="H259" s="87">
        <v>254</v>
      </c>
      <c r="I259" s="88" t="str">
        <f t="shared" si="15"/>
        <v/>
      </c>
      <c r="J259" s="88">
        <f t="shared" si="18"/>
        <v>-2</v>
      </c>
      <c r="K259" s="87">
        <f t="shared" si="16"/>
        <v>-20</v>
      </c>
      <c r="L259" s="87"/>
      <c r="M259" s="89">
        <f t="shared" si="17"/>
        <v>0</v>
      </c>
    </row>
    <row r="260" spans="1:13">
      <c r="A260" s="105"/>
      <c r="G260" s="73"/>
      <c r="H260" s="87">
        <v>255</v>
      </c>
      <c r="I260" s="88" t="str">
        <f t="shared" si="15"/>
        <v/>
      </c>
      <c r="J260" s="88">
        <f t="shared" si="18"/>
        <v>-2</v>
      </c>
      <c r="K260" s="87">
        <f t="shared" si="16"/>
        <v>-20</v>
      </c>
      <c r="L260" s="87"/>
      <c r="M260" s="89">
        <f t="shared" si="17"/>
        <v>0</v>
      </c>
    </row>
    <row r="261" spans="1:13">
      <c r="A261" s="105"/>
      <c r="G261" s="73"/>
      <c r="H261" s="87">
        <v>256</v>
      </c>
      <c r="I261" s="88" t="str">
        <f t="shared" si="15"/>
        <v/>
      </c>
      <c r="J261" s="88">
        <f t="shared" si="18"/>
        <v>-2</v>
      </c>
      <c r="K261" s="87">
        <f t="shared" si="16"/>
        <v>-20</v>
      </c>
      <c r="L261" s="87"/>
      <c r="M261" s="89">
        <f t="shared" si="17"/>
        <v>0</v>
      </c>
    </row>
    <row r="262" spans="1:13">
      <c r="A262" s="105"/>
      <c r="G262" s="73"/>
      <c r="H262" s="87">
        <v>257</v>
      </c>
      <c r="I262" s="88" t="str">
        <f t="shared" ref="I262:I305" si="19">IF(H262&lt;$H$2+1,($I$2-($I$2-1)*(LOG(H262)/LOG($H$2))),"")</f>
        <v/>
      </c>
      <c r="J262" s="88">
        <f t="shared" si="18"/>
        <v>-3</v>
      </c>
      <c r="K262" s="87">
        <f t="shared" ref="K262:K305" si="20">J262*$J$2</f>
        <v>-30</v>
      </c>
      <c r="L262" s="87"/>
      <c r="M262" s="89">
        <f t="shared" ref="M262:M305" si="21">IF(I262&lt;&gt;"",K262+I262+L262,0)</f>
        <v>0</v>
      </c>
    </row>
    <row r="263" spans="1:13">
      <c r="A263" s="105"/>
      <c r="G263" s="73"/>
      <c r="H263" s="87">
        <v>258</v>
      </c>
      <c r="I263" s="88" t="str">
        <f t="shared" si="19"/>
        <v/>
      </c>
      <c r="J263" s="88">
        <f t="shared" ref="J263:J305" si="22">INT(LOG($H$2,2))-ROUNDUP(LOG(H263,2),0)+IF(OR($H$2=1,$H$2=2,$H$2=4,$H$2=8,$H$2=16,$H$2=32,$H$2=64,$H$2=128,$H$2=256),0,1)</f>
        <v>-3</v>
      </c>
      <c r="K263" s="87">
        <f t="shared" si="20"/>
        <v>-30</v>
      </c>
      <c r="L263" s="87"/>
      <c r="M263" s="89">
        <f t="shared" si="21"/>
        <v>0</v>
      </c>
    </row>
    <row r="264" spans="1:13">
      <c r="A264" s="105"/>
      <c r="G264" s="73"/>
      <c r="H264" s="87">
        <v>259</v>
      </c>
      <c r="I264" s="88" t="str">
        <f t="shared" si="19"/>
        <v/>
      </c>
      <c r="J264" s="88">
        <f t="shared" si="22"/>
        <v>-3</v>
      </c>
      <c r="K264" s="87">
        <f t="shared" si="20"/>
        <v>-30</v>
      </c>
      <c r="L264" s="87"/>
      <c r="M264" s="89">
        <f t="shared" si="21"/>
        <v>0</v>
      </c>
    </row>
    <row r="265" spans="1:13">
      <c r="A265" s="105"/>
      <c r="G265" s="73"/>
      <c r="H265" s="87">
        <v>260</v>
      </c>
      <c r="I265" s="88" t="str">
        <f t="shared" si="19"/>
        <v/>
      </c>
      <c r="J265" s="88">
        <f t="shared" si="22"/>
        <v>-3</v>
      </c>
      <c r="K265" s="87">
        <f t="shared" si="20"/>
        <v>-30</v>
      </c>
      <c r="L265" s="87"/>
      <c r="M265" s="89">
        <f t="shared" si="21"/>
        <v>0</v>
      </c>
    </row>
    <row r="266" spans="1:13">
      <c r="A266" s="105"/>
      <c r="G266" s="73"/>
      <c r="H266" s="87">
        <v>261</v>
      </c>
      <c r="I266" s="88" t="str">
        <f t="shared" si="19"/>
        <v/>
      </c>
      <c r="J266" s="88">
        <f t="shared" si="22"/>
        <v>-3</v>
      </c>
      <c r="K266" s="87">
        <f t="shared" si="20"/>
        <v>-30</v>
      </c>
      <c r="L266" s="87"/>
      <c r="M266" s="89">
        <f t="shared" si="21"/>
        <v>0</v>
      </c>
    </row>
    <row r="267" spans="1:13">
      <c r="A267" s="105"/>
      <c r="G267" s="73"/>
      <c r="H267" s="87">
        <v>262</v>
      </c>
      <c r="I267" s="88" t="str">
        <f t="shared" si="19"/>
        <v/>
      </c>
      <c r="J267" s="88">
        <f t="shared" si="22"/>
        <v>-3</v>
      </c>
      <c r="K267" s="87">
        <f t="shared" si="20"/>
        <v>-30</v>
      </c>
      <c r="L267" s="87"/>
      <c r="M267" s="89">
        <f t="shared" si="21"/>
        <v>0</v>
      </c>
    </row>
    <row r="268" spans="1:13">
      <c r="A268" s="105"/>
      <c r="G268" s="73"/>
      <c r="H268" s="87">
        <v>263</v>
      </c>
      <c r="I268" s="88" t="str">
        <f t="shared" si="19"/>
        <v/>
      </c>
      <c r="J268" s="88">
        <f t="shared" si="22"/>
        <v>-3</v>
      </c>
      <c r="K268" s="87">
        <f t="shared" si="20"/>
        <v>-30</v>
      </c>
      <c r="L268" s="87"/>
      <c r="M268" s="89">
        <f t="shared" si="21"/>
        <v>0</v>
      </c>
    </row>
    <row r="269" spans="1:13">
      <c r="A269" s="105"/>
      <c r="G269" s="73"/>
      <c r="H269" s="87">
        <v>264</v>
      </c>
      <c r="I269" s="88" t="str">
        <f t="shared" si="19"/>
        <v/>
      </c>
      <c r="J269" s="88">
        <f t="shared" si="22"/>
        <v>-3</v>
      </c>
      <c r="K269" s="87">
        <f t="shared" si="20"/>
        <v>-30</v>
      </c>
      <c r="L269" s="87"/>
      <c r="M269" s="89">
        <f t="shared" si="21"/>
        <v>0</v>
      </c>
    </row>
    <row r="270" spans="1:13">
      <c r="A270" s="105"/>
      <c r="G270" s="73"/>
      <c r="H270" s="87">
        <v>265</v>
      </c>
      <c r="I270" s="88" t="str">
        <f t="shared" si="19"/>
        <v/>
      </c>
      <c r="J270" s="88">
        <f t="shared" si="22"/>
        <v>-3</v>
      </c>
      <c r="K270" s="87">
        <f t="shared" si="20"/>
        <v>-30</v>
      </c>
      <c r="L270" s="87"/>
      <c r="M270" s="89">
        <f t="shared" si="21"/>
        <v>0</v>
      </c>
    </row>
    <row r="271" spans="1:13">
      <c r="A271" s="105"/>
      <c r="G271" s="73"/>
      <c r="H271" s="87">
        <v>266</v>
      </c>
      <c r="I271" s="88" t="str">
        <f t="shared" si="19"/>
        <v/>
      </c>
      <c r="J271" s="88">
        <f t="shared" si="22"/>
        <v>-3</v>
      </c>
      <c r="K271" s="87">
        <f t="shared" si="20"/>
        <v>-30</v>
      </c>
      <c r="L271" s="87"/>
      <c r="M271" s="89">
        <f t="shared" si="21"/>
        <v>0</v>
      </c>
    </row>
    <row r="272" spans="1:13">
      <c r="A272" s="105"/>
      <c r="G272" s="73"/>
      <c r="H272" s="87">
        <v>267</v>
      </c>
      <c r="I272" s="88" t="str">
        <f t="shared" si="19"/>
        <v/>
      </c>
      <c r="J272" s="88">
        <f t="shared" si="22"/>
        <v>-3</v>
      </c>
      <c r="K272" s="87">
        <f t="shared" si="20"/>
        <v>-30</v>
      </c>
      <c r="L272" s="87"/>
      <c r="M272" s="89">
        <f t="shared" si="21"/>
        <v>0</v>
      </c>
    </row>
    <row r="273" spans="1:13">
      <c r="A273" s="105"/>
      <c r="G273" s="73"/>
      <c r="H273" s="87">
        <v>268</v>
      </c>
      <c r="I273" s="88" t="str">
        <f t="shared" si="19"/>
        <v/>
      </c>
      <c r="J273" s="88">
        <f t="shared" si="22"/>
        <v>-3</v>
      </c>
      <c r="K273" s="87">
        <f t="shared" si="20"/>
        <v>-30</v>
      </c>
      <c r="L273" s="87"/>
      <c r="M273" s="89">
        <f t="shared" si="21"/>
        <v>0</v>
      </c>
    </row>
    <row r="274" spans="1:13">
      <c r="A274" s="105"/>
      <c r="G274" s="73"/>
      <c r="H274" s="87">
        <v>269</v>
      </c>
      <c r="I274" s="88" t="str">
        <f t="shared" si="19"/>
        <v/>
      </c>
      <c r="J274" s="88">
        <f t="shared" si="22"/>
        <v>-3</v>
      </c>
      <c r="K274" s="87">
        <f t="shared" si="20"/>
        <v>-30</v>
      </c>
      <c r="L274" s="87"/>
      <c r="M274" s="89">
        <f t="shared" si="21"/>
        <v>0</v>
      </c>
    </row>
    <row r="275" spans="1:13">
      <c r="A275" s="105"/>
      <c r="G275" s="73"/>
      <c r="H275" s="87">
        <v>270</v>
      </c>
      <c r="I275" s="88" t="str">
        <f t="shared" si="19"/>
        <v/>
      </c>
      <c r="J275" s="88">
        <f t="shared" si="22"/>
        <v>-3</v>
      </c>
      <c r="K275" s="87">
        <f t="shared" si="20"/>
        <v>-30</v>
      </c>
      <c r="L275" s="87"/>
      <c r="M275" s="89">
        <f t="shared" si="21"/>
        <v>0</v>
      </c>
    </row>
    <row r="276" spans="1:13">
      <c r="A276" s="105"/>
      <c r="G276" s="73"/>
      <c r="H276" s="87">
        <v>271</v>
      </c>
      <c r="I276" s="88" t="str">
        <f t="shared" si="19"/>
        <v/>
      </c>
      <c r="J276" s="88">
        <f t="shared" si="22"/>
        <v>-3</v>
      </c>
      <c r="K276" s="87">
        <f t="shared" si="20"/>
        <v>-30</v>
      </c>
      <c r="L276" s="87"/>
      <c r="M276" s="89">
        <f t="shared" si="21"/>
        <v>0</v>
      </c>
    </row>
    <row r="277" spans="1:13">
      <c r="A277" s="105"/>
      <c r="G277" s="73"/>
      <c r="H277" s="87">
        <v>272</v>
      </c>
      <c r="I277" s="88" t="str">
        <f t="shared" si="19"/>
        <v/>
      </c>
      <c r="J277" s="88">
        <f t="shared" si="22"/>
        <v>-3</v>
      </c>
      <c r="K277" s="87">
        <f t="shared" si="20"/>
        <v>-30</v>
      </c>
      <c r="L277" s="87"/>
      <c r="M277" s="89">
        <f t="shared" si="21"/>
        <v>0</v>
      </c>
    </row>
    <row r="278" spans="1:13">
      <c r="A278" s="105"/>
      <c r="G278" s="73"/>
      <c r="H278" s="87">
        <v>273</v>
      </c>
      <c r="I278" s="88" t="str">
        <f t="shared" si="19"/>
        <v/>
      </c>
      <c r="J278" s="88">
        <f t="shared" si="22"/>
        <v>-3</v>
      </c>
      <c r="K278" s="87">
        <f t="shared" si="20"/>
        <v>-30</v>
      </c>
      <c r="L278" s="87"/>
      <c r="M278" s="89">
        <f t="shared" si="21"/>
        <v>0</v>
      </c>
    </row>
    <row r="279" spans="1:13">
      <c r="A279" s="105"/>
      <c r="G279" s="73"/>
      <c r="H279" s="87">
        <v>274</v>
      </c>
      <c r="I279" s="88" t="str">
        <f t="shared" si="19"/>
        <v/>
      </c>
      <c r="J279" s="88">
        <f t="shared" si="22"/>
        <v>-3</v>
      </c>
      <c r="K279" s="87">
        <f t="shared" si="20"/>
        <v>-30</v>
      </c>
      <c r="L279" s="87"/>
      <c r="M279" s="89">
        <f t="shared" si="21"/>
        <v>0</v>
      </c>
    </row>
    <row r="280" spans="1:13">
      <c r="A280" s="105"/>
      <c r="G280" s="73"/>
      <c r="H280" s="87">
        <v>275</v>
      </c>
      <c r="I280" s="88" t="str">
        <f t="shared" si="19"/>
        <v/>
      </c>
      <c r="J280" s="88">
        <f t="shared" si="22"/>
        <v>-3</v>
      </c>
      <c r="K280" s="87">
        <f t="shared" si="20"/>
        <v>-30</v>
      </c>
      <c r="L280" s="87"/>
      <c r="M280" s="89">
        <f t="shared" si="21"/>
        <v>0</v>
      </c>
    </row>
    <row r="281" spans="1:13">
      <c r="A281" s="105"/>
      <c r="G281" s="73"/>
      <c r="H281" s="87">
        <v>276</v>
      </c>
      <c r="I281" s="88" t="str">
        <f t="shared" si="19"/>
        <v/>
      </c>
      <c r="J281" s="88">
        <f t="shared" si="22"/>
        <v>-3</v>
      </c>
      <c r="K281" s="87">
        <f t="shared" si="20"/>
        <v>-30</v>
      </c>
      <c r="L281" s="87"/>
      <c r="M281" s="89">
        <f t="shared" si="21"/>
        <v>0</v>
      </c>
    </row>
    <row r="282" spans="1:13">
      <c r="A282" s="105"/>
      <c r="G282" s="73"/>
      <c r="H282" s="87">
        <v>277</v>
      </c>
      <c r="I282" s="88" t="str">
        <f t="shared" si="19"/>
        <v/>
      </c>
      <c r="J282" s="88">
        <f t="shared" si="22"/>
        <v>-3</v>
      </c>
      <c r="K282" s="87">
        <f t="shared" si="20"/>
        <v>-30</v>
      </c>
      <c r="L282" s="87"/>
      <c r="M282" s="89">
        <f t="shared" si="21"/>
        <v>0</v>
      </c>
    </row>
    <row r="283" spans="1:13">
      <c r="A283" s="105"/>
      <c r="G283" s="73"/>
      <c r="H283" s="87">
        <v>278</v>
      </c>
      <c r="I283" s="88" t="str">
        <f t="shared" si="19"/>
        <v/>
      </c>
      <c r="J283" s="88">
        <f t="shared" si="22"/>
        <v>-3</v>
      </c>
      <c r="K283" s="87">
        <f t="shared" si="20"/>
        <v>-30</v>
      </c>
      <c r="L283" s="87"/>
      <c r="M283" s="89">
        <f t="shared" si="21"/>
        <v>0</v>
      </c>
    </row>
    <row r="284" spans="1:13">
      <c r="A284" s="105"/>
      <c r="G284" s="73"/>
      <c r="H284" s="87">
        <v>279</v>
      </c>
      <c r="I284" s="88" t="str">
        <f t="shared" si="19"/>
        <v/>
      </c>
      <c r="J284" s="88">
        <f t="shared" si="22"/>
        <v>-3</v>
      </c>
      <c r="K284" s="87">
        <f t="shared" si="20"/>
        <v>-30</v>
      </c>
      <c r="L284" s="87"/>
      <c r="M284" s="89">
        <f t="shared" si="21"/>
        <v>0</v>
      </c>
    </row>
    <row r="285" spans="1:13">
      <c r="A285" s="105"/>
      <c r="G285" s="73"/>
      <c r="H285" s="87">
        <v>280</v>
      </c>
      <c r="I285" s="88" t="str">
        <f t="shared" si="19"/>
        <v/>
      </c>
      <c r="J285" s="88">
        <f t="shared" si="22"/>
        <v>-3</v>
      </c>
      <c r="K285" s="87">
        <f t="shared" si="20"/>
        <v>-30</v>
      </c>
      <c r="L285" s="87"/>
      <c r="M285" s="89">
        <f t="shared" si="21"/>
        <v>0</v>
      </c>
    </row>
    <row r="286" spans="1:13">
      <c r="A286" s="105"/>
      <c r="G286" s="73"/>
      <c r="H286" s="87">
        <v>281</v>
      </c>
      <c r="I286" s="88" t="str">
        <f t="shared" si="19"/>
        <v/>
      </c>
      <c r="J286" s="88">
        <f t="shared" si="22"/>
        <v>-3</v>
      </c>
      <c r="K286" s="87">
        <f t="shared" si="20"/>
        <v>-30</v>
      </c>
      <c r="L286" s="87"/>
      <c r="M286" s="89">
        <f t="shared" si="21"/>
        <v>0</v>
      </c>
    </row>
    <row r="287" spans="1:13">
      <c r="A287" s="105"/>
      <c r="G287" s="73"/>
      <c r="H287" s="87">
        <v>282</v>
      </c>
      <c r="I287" s="88" t="str">
        <f t="shared" si="19"/>
        <v/>
      </c>
      <c r="J287" s="88">
        <f t="shared" si="22"/>
        <v>-3</v>
      </c>
      <c r="K287" s="87">
        <f t="shared" si="20"/>
        <v>-30</v>
      </c>
      <c r="L287" s="87"/>
      <c r="M287" s="89">
        <f t="shared" si="21"/>
        <v>0</v>
      </c>
    </row>
    <row r="288" spans="1:13">
      <c r="A288" s="105"/>
      <c r="G288" s="73"/>
      <c r="H288" s="87">
        <v>283</v>
      </c>
      <c r="I288" s="88" t="str">
        <f t="shared" si="19"/>
        <v/>
      </c>
      <c r="J288" s="88">
        <f t="shared" si="22"/>
        <v>-3</v>
      </c>
      <c r="K288" s="87">
        <f t="shared" si="20"/>
        <v>-30</v>
      </c>
      <c r="L288" s="87"/>
      <c r="M288" s="89">
        <f t="shared" si="21"/>
        <v>0</v>
      </c>
    </row>
    <row r="289" spans="1:13">
      <c r="A289" s="105"/>
      <c r="G289" s="73"/>
      <c r="H289" s="87">
        <v>284</v>
      </c>
      <c r="I289" s="88" t="str">
        <f t="shared" si="19"/>
        <v/>
      </c>
      <c r="J289" s="88">
        <f t="shared" si="22"/>
        <v>-3</v>
      </c>
      <c r="K289" s="87">
        <f t="shared" si="20"/>
        <v>-30</v>
      </c>
      <c r="L289" s="87"/>
      <c r="M289" s="89">
        <f t="shared" si="21"/>
        <v>0</v>
      </c>
    </row>
    <row r="290" spans="1:13">
      <c r="A290" s="105"/>
      <c r="G290" s="73"/>
      <c r="H290" s="87">
        <v>285</v>
      </c>
      <c r="I290" s="88" t="str">
        <f t="shared" si="19"/>
        <v/>
      </c>
      <c r="J290" s="88">
        <f t="shared" si="22"/>
        <v>-3</v>
      </c>
      <c r="K290" s="87">
        <f t="shared" si="20"/>
        <v>-30</v>
      </c>
      <c r="L290" s="87"/>
      <c r="M290" s="89">
        <f t="shared" si="21"/>
        <v>0</v>
      </c>
    </row>
    <row r="291" spans="1:13">
      <c r="A291" s="105"/>
      <c r="G291" s="73"/>
      <c r="H291" s="87">
        <v>286</v>
      </c>
      <c r="I291" s="88" t="str">
        <f t="shared" si="19"/>
        <v/>
      </c>
      <c r="J291" s="88">
        <f t="shared" si="22"/>
        <v>-3</v>
      </c>
      <c r="K291" s="87">
        <f t="shared" si="20"/>
        <v>-30</v>
      </c>
      <c r="L291" s="87"/>
      <c r="M291" s="89">
        <f t="shared" si="21"/>
        <v>0</v>
      </c>
    </row>
    <row r="292" spans="1:13">
      <c r="A292" s="105"/>
      <c r="G292" s="73"/>
      <c r="H292" s="87">
        <v>287</v>
      </c>
      <c r="I292" s="88" t="str">
        <f t="shared" si="19"/>
        <v/>
      </c>
      <c r="J292" s="88">
        <f t="shared" si="22"/>
        <v>-3</v>
      </c>
      <c r="K292" s="87">
        <f t="shared" si="20"/>
        <v>-30</v>
      </c>
      <c r="L292" s="87"/>
      <c r="M292" s="89">
        <f t="shared" si="21"/>
        <v>0</v>
      </c>
    </row>
    <row r="293" spans="1:13">
      <c r="A293" s="105"/>
      <c r="G293" s="73"/>
      <c r="H293" s="87">
        <v>288</v>
      </c>
      <c r="I293" s="88" t="str">
        <f t="shared" si="19"/>
        <v/>
      </c>
      <c r="J293" s="88">
        <f t="shared" si="22"/>
        <v>-3</v>
      </c>
      <c r="K293" s="87">
        <f t="shared" si="20"/>
        <v>-30</v>
      </c>
      <c r="L293" s="87"/>
      <c r="M293" s="89">
        <f t="shared" si="21"/>
        <v>0</v>
      </c>
    </row>
    <row r="294" spans="1:13">
      <c r="A294" s="105"/>
      <c r="G294" s="73"/>
      <c r="H294" s="87">
        <v>289</v>
      </c>
      <c r="I294" s="88" t="str">
        <f t="shared" si="19"/>
        <v/>
      </c>
      <c r="J294" s="88">
        <f t="shared" si="22"/>
        <v>-3</v>
      </c>
      <c r="K294" s="87">
        <f t="shared" si="20"/>
        <v>-30</v>
      </c>
      <c r="L294" s="87"/>
      <c r="M294" s="89">
        <f t="shared" si="21"/>
        <v>0</v>
      </c>
    </row>
    <row r="295" spans="1:13">
      <c r="A295" s="105"/>
      <c r="G295" s="73"/>
      <c r="H295" s="87">
        <v>290</v>
      </c>
      <c r="I295" s="88" t="str">
        <f t="shared" si="19"/>
        <v/>
      </c>
      <c r="J295" s="88">
        <f t="shared" si="22"/>
        <v>-3</v>
      </c>
      <c r="K295" s="87">
        <f t="shared" si="20"/>
        <v>-30</v>
      </c>
      <c r="L295" s="87"/>
      <c r="M295" s="89">
        <f t="shared" si="21"/>
        <v>0</v>
      </c>
    </row>
    <row r="296" spans="1:13">
      <c r="A296" s="105"/>
      <c r="G296" s="73"/>
      <c r="H296" s="87">
        <v>291</v>
      </c>
      <c r="I296" s="88" t="str">
        <f t="shared" si="19"/>
        <v/>
      </c>
      <c r="J296" s="88">
        <f t="shared" si="22"/>
        <v>-3</v>
      </c>
      <c r="K296" s="87">
        <f t="shared" si="20"/>
        <v>-30</v>
      </c>
      <c r="L296" s="87"/>
      <c r="M296" s="89">
        <f t="shared" si="21"/>
        <v>0</v>
      </c>
    </row>
    <row r="297" spans="1:13">
      <c r="A297" s="105"/>
      <c r="G297" s="73"/>
      <c r="H297" s="87">
        <v>292</v>
      </c>
      <c r="I297" s="88" t="str">
        <f t="shared" si="19"/>
        <v/>
      </c>
      <c r="J297" s="88">
        <f t="shared" si="22"/>
        <v>-3</v>
      </c>
      <c r="K297" s="87">
        <f t="shared" si="20"/>
        <v>-30</v>
      </c>
      <c r="L297" s="87"/>
      <c r="M297" s="89">
        <f t="shared" si="21"/>
        <v>0</v>
      </c>
    </row>
    <row r="298" spans="1:13">
      <c r="A298" s="105"/>
      <c r="G298" s="73"/>
      <c r="H298" s="87">
        <v>293</v>
      </c>
      <c r="I298" s="88" t="str">
        <f t="shared" si="19"/>
        <v/>
      </c>
      <c r="J298" s="88">
        <f t="shared" si="22"/>
        <v>-3</v>
      </c>
      <c r="K298" s="87">
        <f t="shared" si="20"/>
        <v>-30</v>
      </c>
      <c r="L298" s="87"/>
      <c r="M298" s="89">
        <f t="shared" si="21"/>
        <v>0</v>
      </c>
    </row>
    <row r="299" spans="1:13">
      <c r="A299" s="105"/>
      <c r="G299" s="73"/>
      <c r="H299" s="87">
        <v>294</v>
      </c>
      <c r="I299" s="88" t="str">
        <f t="shared" si="19"/>
        <v/>
      </c>
      <c r="J299" s="88">
        <f t="shared" si="22"/>
        <v>-3</v>
      </c>
      <c r="K299" s="87">
        <f t="shared" si="20"/>
        <v>-30</v>
      </c>
      <c r="L299" s="87"/>
      <c r="M299" s="89">
        <f t="shared" si="21"/>
        <v>0</v>
      </c>
    </row>
    <row r="300" spans="1:13">
      <c r="A300" s="105"/>
      <c r="G300" s="73"/>
      <c r="H300" s="87">
        <v>295</v>
      </c>
      <c r="I300" s="88" t="str">
        <f t="shared" si="19"/>
        <v/>
      </c>
      <c r="J300" s="88">
        <f t="shared" si="22"/>
        <v>-3</v>
      </c>
      <c r="K300" s="87">
        <f t="shared" si="20"/>
        <v>-30</v>
      </c>
      <c r="L300" s="87"/>
      <c r="M300" s="89">
        <f t="shared" si="21"/>
        <v>0</v>
      </c>
    </row>
    <row r="301" spans="1:13">
      <c r="A301" s="105"/>
      <c r="G301" s="73"/>
      <c r="H301" s="87">
        <v>296</v>
      </c>
      <c r="I301" s="88" t="str">
        <f t="shared" si="19"/>
        <v/>
      </c>
      <c r="J301" s="88">
        <f t="shared" si="22"/>
        <v>-3</v>
      </c>
      <c r="K301" s="87">
        <f t="shared" si="20"/>
        <v>-30</v>
      </c>
      <c r="L301" s="87"/>
      <c r="M301" s="89">
        <f t="shared" si="21"/>
        <v>0</v>
      </c>
    </row>
    <row r="302" spans="1:13">
      <c r="A302" s="105"/>
      <c r="G302" s="73"/>
      <c r="H302" s="87">
        <v>297</v>
      </c>
      <c r="I302" s="88" t="str">
        <f t="shared" si="19"/>
        <v/>
      </c>
      <c r="J302" s="88">
        <f t="shared" si="22"/>
        <v>-3</v>
      </c>
      <c r="K302" s="87">
        <f t="shared" si="20"/>
        <v>-30</v>
      </c>
      <c r="L302" s="87"/>
      <c r="M302" s="89">
        <f t="shared" si="21"/>
        <v>0</v>
      </c>
    </row>
    <row r="303" spans="1:13">
      <c r="A303" s="105"/>
      <c r="G303" s="73"/>
      <c r="H303" s="87">
        <v>298</v>
      </c>
      <c r="I303" s="88" t="str">
        <f t="shared" si="19"/>
        <v/>
      </c>
      <c r="J303" s="88">
        <f t="shared" si="22"/>
        <v>-3</v>
      </c>
      <c r="K303" s="87">
        <f t="shared" si="20"/>
        <v>-30</v>
      </c>
      <c r="L303" s="87"/>
      <c r="M303" s="89">
        <f t="shared" si="21"/>
        <v>0</v>
      </c>
    </row>
    <row r="304" spans="1:13">
      <c r="A304" s="105"/>
      <c r="G304" s="73"/>
      <c r="H304" s="87">
        <v>299</v>
      </c>
      <c r="I304" s="88" t="str">
        <f t="shared" si="19"/>
        <v/>
      </c>
      <c r="J304" s="88">
        <f t="shared" si="22"/>
        <v>-3</v>
      </c>
      <c r="K304" s="87">
        <f t="shared" si="20"/>
        <v>-30</v>
      </c>
      <c r="L304" s="87"/>
      <c r="M304" s="89">
        <f t="shared" si="21"/>
        <v>0</v>
      </c>
    </row>
    <row r="305" spans="1:16">
      <c r="A305" s="105"/>
      <c r="G305" s="73"/>
      <c r="H305" s="87">
        <v>300</v>
      </c>
      <c r="I305" s="88" t="str">
        <f t="shared" si="19"/>
        <v/>
      </c>
      <c r="J305" s="88">
        <f t="shared" si="22"/>
        <v>-3</v>
      </c>
      <c r="K305" s="87">
        <f t="shared" si="20"/>
        <v>-30</v>
      </c>
      <c r="L305" s="87"/>
      <c r="M305" s="89">
        <f t="shared" si="21"/>
        <v>0</v>
      </c>
    </row>
    <row r="306" spans="1:16">
      <c r="A306" s="106"/>
    </row>
    <row r="314" spans="1:16">
      <c r="L314" s="109"/>
      <c r="P314" s="99"/>
    </row>
    <row r="315" spans="1:16">
      <c r="L315" s="109"/>
      <c r="P315" s="99"/>
    </row>
    <row r="316" spans="1:16">
      <c r="L316" s="109"/>
      <c r="P316" s="99"/>
    </row>
    <row r="317" spans="1:16">
      <c r="L317" s="109"/>
      <c r="P317" s="99"/>
    </row>
  </sheetData>
  <mergeCells count="2">
    <mergeCell ref="C2:D2"/>
    <mergeCell ref="C3:D3"/>
  </mergeCells>
  <conditionalFormatting sqref="J9:K9">
    <cfRule type="cellIs" dxfId="10" priority="1" operator="lessThanOrEqual">
      <formula>0</formula>
    </cfRule>
  </conditionalFormatting>
  <conditionalFormatting sqref="K6:K8 K10:K305">
    <cfRule type="cellIs" dxfId="9" priority="2" operator="lessThanOrEqual">
      <formula>0</formula>
    </cfRule>
  </conditionalFormatting>
  <hyperlinks>
    <hyperlink ref="C2:D2" r:id="rId1" display="Terni" xr:uid="{CEFBFBB5-1F04-40FB-9CA7-3BCE9B8F8025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5535-151B-4A18-B75C-F9BB6930B06E}">
  <sheetPr>
    <tabColor theme="7" tint="0.79998168889431442"/>
  </sheetPr>
  <dimension ref="A1:AL374"/>
  <sheetViews>
    <sheetView topLeftCell="A26" zoomScaleNormal="100" workbookViewId="0">
      <selection activeCell="E49" sqref="E49"/>
    </sheetView>
  </sheetViews>
  <sheetFormatPr defaultColWidth="8.85546875" defaultRowHeight="15"/>
  <cols>
    <col min="1" max="1" width="8" style="184" customWidth="1"/>
    <col min="2" max="2" width="8.28515625" style="184" customWidth="1"/>
    <col min="3" max="3" width="34.7109375" style="184" customWidth="1"/>
    <col min="4" max="4" width="11.28515625" style="184" customWidth="1"/>
    <col min="5" max="6" width="8.85546875" style="184"/>
    <col min="7" max="7" width="0.85546875" style="184" customWidth="1"/>
    <col min="8" max="8" width="8.85546875" style="187"/>
    <col min="9" max="9" width="11" style="187" customWidth="1"/>
    <col min="10" max="10" width="15.28515625" style="187" customWidth="1"/>
    <col min="11" max="11" width="8.7109375" style="187" customWidth="1"/>
    <col min="12" max="12" width="11" style="187" customWidth="1"/>
    <col min="13" max="13" width="12.28515625" style="188" customWidth="1"/>
    <col min="14" max="15" width="13.85546875" style="156" customWidth="1"/>
    <col min="16" max="18" width="8.85546875" style="156"/>
    <col min="19" max="20" width="8.85546875" style="161"/>
    <col min="21" max="21" width="12.140625" style="161" customWidth="1"/>
    <col min="22" max="22" width="27.42578125" style="161" customWidth="1"/>
    <col min="23" max="38" width="8.85546875" style="161"/>
    <col min="39" max="16384" width="8.85546875" style="184"/>
  </cols>
  <sheetData>
    <row r="1" spans="1:36">
      <c r="A1" s="156"/>
      <c r="B1" s="156"/>
      <c r="C1" s="156"/>
      <c r="D1" s="156"/>
      <c r="E1" s="156"/>
      <c r="F1" s="156"/>
      <c r="G1" s="156"/>
      <c r="H1" s="157" t="s">
        <v>40</v>
      </c>
      <c r="I1" s="158" t="s">
        <v>41</v>
      </c>
      <c r="J1" s="158" t="s">
        <v>42</v>
      </c>
      <c r="K1" s="159" t="s">
        <v>272</v>
      </c>
      <c r="L1" s="160"/>
      <c r="M1" s="160"/>
    </row>
    <row r="2" spans="1:36">
      <c r="A2" s="156"/>
      <c r="B2" s="47" t="s">
        <v>44</v>
      </c>
      <c r="C2" s="202" t="s">
        <v>278</v>
      </c>
      <c r="D2" s="200"/>
      <c r="E2" s="6"/>
      <c r="F2" s="6"/>
      <c r="G2" s="6"/>
      <c r="H2" s="162">
        <v>31</v>
      </c>
      <c r="I2" s="163">
        <v>50</v>
      </c>
      <c r="J2" s="163">
        <v>10</v>
      </c>
      <c r="K2" s="190">
        <f>3*H2^(1/3)</f>
        <v>9.4241419571741787</v>
      </c>
      <c r="L2" s="160"/>
      <c r="M2" s="160"/>
    </row>
    <row r="3" spans="1:36">
      <c r="A3" s="156"/>
      <c r="B3" s="165" t="s">
        <v>46</v>
      </c>
      <c r="C3" s="201" t="s">
        <v>279</v>
      </c>
      <c r="D3" s="201"/>
      <c r="E3" s="7"/>
      <c r="F3" s="7"/>
      <c r="G3" s="7"/>
      <c r="H3" s="160"/>
      <c r="I3" s="160"/>
      <c r="J3" s="191"/>
      <c r="K3" s="160"/>
      <c r="L3" s="160"/>
      <c r="M3" s="160"/>
    </row>
    <row r="4" spans="1:36" ht="10.15" customHeight="1">
      <c r="A4" s="8"/>
      <c r="B4" s="7"/>
      <c r="C4" s="8"/>
      <c r="D4" s="8"/>
      <c r="E4" s="8"/>
      <c r="F4" s="8"/>
      <c r="G4" s="8"/>
      <c r="H4" s="160"/>
      <c r="I4" s="160"/>
      <c r="J4" s="191"/>
      <c r="K4" s="160"/>
      <c r="L4" s="160"/>
      <c r="M4" s="160"/>
    </row>
    <row r="5" spans="1:36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166" t="s">
        <v>54</v>
      </c>
      <c r="I5" s="167" t="s">
        <v>55</v>
      </c>
      <c r="J5" s="192" t="s">
        <v>96</v>
      </c>
      <c r="K5" s="167" t="s">
        <v>97</v>
      </c>
      <c r="L5" s="167" t="s">
        <v>58</v>
      </c>
      <c r="M5" s="166" t="s">
        <v>59</v>
      </c>
    </row>
    <row r="6" spans="1:36" ht="14.45" customHeight="1">
      <c r="A6" s="86">
        <f>M6</f>
        <v>128.27242587152253</v>
      </c>
      <c r="B6" s="36">
        <f>IF(H6&gt;$H$2,"",(ROW()-5))</f>
        <v>1</v>
      </c>
      <c r="C6" s="24" t="s">
        <v>99</v>
      </c>
      <c r="D6" s="24"/>
      <c r="E6" s="24"/>
      <c r="F6" s="24"/>
      <c r="G6" s="8"/>
      <c r="H6" s="168">
        <v>1</v>
      </c>
      <c r="I6" s="169">
        <f t="shared" ref="I6:I69" si="0">IF(H6&lt;$H$2+1,($I$2-($I$2-1)*(LOG(H6)/LOG($H$2))),"")</f>
        <v>50</v>
      </c>
      <c r="J6" s="168">
        <f>INT(LOG($H$2,2))-ROUNDUP(LOG(H6,2),0)+IF(OR($H$2=1,$H$2=2,$H$2=4,$H$2=8,$H$2=16,$H$2=32,$H$2=64,$H$2=128,$H$2=256),0,1)</f>
        <v>5</v>
      </c>
      <c r="K6" s="168">
        <f t="shared" ref="K6:K69" si="1">J6*$J$2</f>
        <v>50</v>
      </c>
      <c r="L6" s="170">
        <f>3*K2</f>
        <v>28.272425871522536</v>
      </c>
      <c r="M6" s="170">
        <f t="shared" ref="M6:M69" si="2">IF(I6&lt;&gt;"",K6+I6+L6,0)</f>
        <v>128.27242587152253</v>
      </c>
    </row>
    <row r="7" spans="1:36" ht="14.45" customHeight="1">
      <c r="A7" s="90">
        <f t="shared" ref="A7:A37" si="3">M7</f>
        <v>98.957678671825462</v>
      </c>
      <c r="B7" s="35">
        <f t="shared" ref="B7:B65" si="4">IF(H7&gt;$H$2,"",(ROW()-5))</f>
        <v>2</v>
      </c>
      <c r="C7" s="25" t="s">
        <v>99</v>
      </c>
      <c r="D7" s="25"/>
      <c r="E7" s="25"/>
      <c r="F7" s="25"/>
      <c r="G7" s="8"/>
      <c r="H7" s="171">
        <v>2</v>
      </c>
      <c r="I7" s="172">
        <f t="shared" si="0"/>
        <v>40.109394757477105</v>
      </c>
      <c r="J7" s="171">
        <f t="shared" ref="J7:J70" si="5">INT(LOG($H$2,2))-ROUNDUP(LOG(H7,2),0)+IF(OR($H$2=1,$H$2=2,$H$2=4,$H$2=8,$H$2=16,$H$2=32,$H$2=64,$H$2=128,$H$2=256),0,1)</f>
        <v>4</v>
      </c>
      <c r="K7" s="171">
        <f t="shared" si="1"/>
        <v>40</v>
      </c>
      <c r="L7" s="173">
        <f>2*K2</f>
        <v>18.848283914348357</v>
      </c>
      <c r="M7" s="173">
        <f t="shared" si="2"/>
        <v>98.957678671825462</v>
      </c>
    </row>
    <row r="8" spans="1:36" ht="14.45" customHeight="1">
      <c r="A8" s="86">
        <f t="shared" si="3"/>
        <v>73.74790353833933</v>
      </c>
      <c r="B8" s="36">
        <f t="shared" si="4"/>
        <v>3</v>
      </c>
      <c r="C8" s="24" t="s">
        <v>99</v>
      </c>
      <c r="D8" s="24"/>
      <c r="E8" s="24"/>
      <c r="F8" s="24"/>
      <c r="G8" s="8"/>
      <c r="H8" s="168">
        <v>3</v>
      </c>
      <c r="I8" s="169">
        <f t="shared" si="0"/>
        <v>34.323761581165144</v>
      </c>
      <c r="J8" s="168">
        <f t="shared" si="5"/>
        <v>3</v>
      </c>
      <c r="K8" s="168">
        <f t="shared" si="1"/>
        <v>30</v>
      </c>
      <c r="L8" s="170">
        <f>K2</f>
        <v>9.4241419571741787</v>
      </c>
      <c r="M8" s="170">
        <f t="shared" si="2"/>
        <v>73.74790353833933</v>
      </c>
    </row>
    <row r="9" spans="1:36" s="161" customFormat="1" ht="14.45" customHeight="1">
      <c r="A9" s="90">
        <f t="shared" si="3"/>
        <v>73.74790353833933</v>
      </c>
      <c r="B9" s="35">
        <f>IF(H9&gt;$H$2,"",3)</f>
        <v>3</v>
      </c>
      <c r="C9" s="25" t="s">
        <v>99</v>
      </c>
      <c r="D9" s="25"/>
      <c r="E9" s="25"/>
      <c r="F9" s="25"/>
      <c r="G9" s="8"/>
      <c r="H9" s="171">
        <v>3</v>
      </c>
      <c r="I9" s="172">
        <f t="shared" si="0"/>
        <v>34.323761581165144</v>
      </c>
      <c r="J9" s="171">
        <f t="shared" si="5"/>
        <v>3</v>
      </c>
      <c r="K9" s="171">
        <f t="shared" si="1"/>
        <v>30</v>
      </c>
      <c r="L9" s="173">
        <f>K2</f>
        <v>9.4241419571741787</v>
      </c>
      <c r="M9" s="173">
        <f t="shared" si="2"/>
        <v>73.74790353833933</v>
      </c>
      <c r="N9" s="156"/>
      <c r="O9" s="156"/>
      <c r="P9" s="156"/>
      <c r="Q9" s="156"/>
      <c r="R9" s="156"/>
      <c r="V9" s="174"/>
      <c r="Z9" s="175"/>
      <c r="AA9" s="175"/>
      <c r="AG9" s="176"/>
      <c r="AH9" s="161" t="s">
        <v>99</v>
      </c>
      <c r="AI9" s="161">
        <v>23</v>
      </c>
    </row>
    <row r="10" spans="1:36" ht="14.45" customHeight="1">
      <c r="A10" s="86">
        <f t="shared" si="3"/>
        <v>47.034725811945862</v>
      </c>
      <c r="B10" s="36">
        <f t="shared" si="4"/>
        <v>5</v>
      </c>
      <c r="C10" s="24" t="s">
        <v>99</v>
      </c>
      <c r="D10" s="24"/>
      <c r="E10" s="24"/>
      <c r="F10" s="24"/>
      <c r="G10" s="8"/>
      <c r="H10" s="168">
        <v>5</v>
      </c>
      <c r="I10" s="169">
        <f t="shared" si="0"/>
        <v>27.034725811945858</v>
      </c>
      <c r="J10" s="168">
        <f t="shared" si="5"/>
        <v>2</v>
      </c>
      <c r="K10" s="168">
        <f t="shared" si="1"/>
        <v>20</v>
      </c>
      <c r="L10" s="168"/>
      <c r="M10" s="170">
        <f t="shared" si="2"/>
        <v>47.034725811945862</v>
      </c>
      <c r="V10" s="174"/>
      <c r="Z10" s="175"/>
      <c r="AA10" s="175"/>
      <c r="AG10" s="176"/>
      <c r="AH10" s="161" t="s">
        <v>100</v>
      </c>
      <c r="AI10" s="161">
        <v>45</v>
      </c>
    </row>
    <row r="11" spans="1:36" ht="14.45" customHeight="1">
      <c r="A11" s="90">
        <f t="shared" si="3"/>
        <v>44.433156338642242</v>
      </c>
      <c r="B11" s="35">
        <f t="shared" si="4"/>
        <v>6</v>
      </c>
      <c r="C11" s="25" t="s">
        <v>99</v>
      </c>
      <c r="D11" s="25"/>
      <c r="E11" s="25"/>
      <c r="F11" s="25"/>
      <c r="G11" s="8"/>
      <c r="H11" s="171">
        <v>6</v>
      </c>
      <c r="I11" s="172">
        <f t="shared" si="0"/>
        <v>24.433156338642242</v>
      </c>
      <c r="J11" s="171">
        <f t="shared" si="5"/>
        <v>2</v>
      </c>
      <c r="K11" s="171">
        <f t="shared" si="1"/>
        <v>20</v>
      </c>
      <c r="L11" s="171"/>
      <c r="M11" s="173">
        <f t="shared" si="2"/>
        <v>44.433156338642242</v>
      </c>
      <c r="V11" s="177"/>
      <c r="Z11" s="175"/>
      <c r="AA11" s="175"/>
      <c r="AG11" s="176"/>
      <c r="AH11" s="161" t="s">
        <v>101</v>
      </c>
      <c r="AI11" s="161">
        <v>50</v>
      </c>
    </row>
    <row r="12" spans="1:36" ht="14.45" customHeight="1">
      <c r="A12" s="86">
        <f t="shared" si="3"/>
        <v>42.233560690274615</v>
      </c>
      <c r="B12" s="36">
        <f t="shared" si="4"/>
        <v>7</v>
      </c>
      <c r="C12" s="24" t="s">
        <v>99</v>
      </c>
      <c r="D12" s="24"/>
      <c r="E12" s="24"/>
      <c r="F12" s="24"/>
      <c r="G12" s="8"/>
      <c r="H12" s="168">
        <v>7</v>
      </c>
      <c r="I12" s="169">
        <f t="shared" si="0"/>
        <v>22.233560690274615</v>
      </c>
      <c r="J12" s="168">
        <f t="shared" si="5"/>
        <v>2</v>
      </c>
      <c r="K12" s="168">
        <f t="shared" si="1"/>
        <v>20</v>
      </c>
      <c r="L12" s="168"/>
      <c r="M12" s="170">
        <f t="shared" si="2"/>
        <v>42.233560690274615</v>
      </c>
      <c r="Z12" s="175"/>
      <c r="AA12" s="175"/>
      <c r="AG12" s="176"/>
      <c r="AH12" s="161" t="s">
        <v>102</v>
      </c>
      <c r="AI12" s="161">
        <f>AI11-1</f>
        <v>49</v>
      </c>
    </row>
    <row r="13" spans="1:36" ht="14.45" customHeight="1">
      <c r="A13" s="90">
        <f t="shared" si="3"/>
        <v>40.328184272431322</v>
      </c>
      <c r="B13" s="35">
        <f t="shared" si="4"/>
        <v>8</v>
      </c>
      <c r="C13" s="25" t="s">
        <v>99</v>
      </c>
      <c r="D13" s="25"/>
      <c r="E13" s="25"/>
      <c r="F13" s="25"/>
      <c r="G13" s="8"/>
      <c r="H13" s="171">
        <v>8</v>
      </c>
      <c r="I13" s="172">
        <f t="shared" si="0"/>
        <v>20.328184272431322</v>
      </c>
      <c r="J13" s="171">
        <f t="shared" si="5"/>
        <v>2</v>
      </c>
      <c r="K13" s="171">
        <f t="shared" si="1"/>
        <v>20</v>
      </c>
      <c r="L13" s="171"/>
      <c r="M13" s="173">
        <f t="shared" si="2"/>
        <v>40.328184272431322</v>
      </c>
      <c r="X13" s="174"/>
      <c r="AG13" s="176"/>
      <c r="AH13" s="161" t="s">
        <v>104</v>
      </c>
      <c r="AI13" s="161">
        <f>LOG(AI9)</f>
        <v>1.3617278360175928</v>
      </c>
    </row>
    <row r="14" spans="1:36">
      <c r="A14" s="86">
        <f t="shared" si="3"/>
        <v>28.64752316233028</v>
      </c>
      <c r="B14" s="36">
        <f t="shared" si="4"/>
        <v>9</v>
      </c>
      <c r="C14" s="24" t="s">
        <v>99</v>
      </c>
      <c r="D14" s="24"/>
      <c r="E14" s="24"/>
      <c r="F14" s="24"/>
      <c r="G14" s="8"/>
      <c r="H14" s="168">
        <v>9</v>
      </c>
      <c r="I14" s="169">
        <f t="shared" si="0"/>
        <v>18.64752316233028</v>
      </c>
      <c r="J14" s="168">
        <f t="shared" si="5"/>
        <v>1</v>
      </c>
      <c r="K14" s="168">
        <f t="shared" si="1"/>
        <v>10</v>
      </c>
      <c r="L14" s="168"/>
      <c r="M14" s="170">
        <f t="shared" si="2"/>
        <v>28.64752316233028</v>
      </c>
      <c r="X14" s="178"/>
      <c r="Z14" s="175"/>
      <c r="AA14" s="175"/>
      <c r="AG14" s="176"/>
      <c r="AH14" s="161" t="s">
        <v>105</v>
      </c>
      <c r="AI14" s="161">
        <f>LOG(AI10)</f>
        <v>1.6532125137753437</v>
      </c>
    </row>
    <row r="15" spans="1:36">
      <c r="A15" s="90">
        <f t="shared" si="3"/>
        <v>27.144120569422967</v>
      </c>
      <c r="B15" s="35">
        <f t="shared" si="4"/>
        <v>10</v>
      </c>
      <c r="C15" s="25" t="s">
        <v>99</v>
      </c>
      <c r="D15" s="25"/>
      <c r="E15" s="25"/>
      <c r="F15" s="25"/>
      <c r="G15" s="8"/>
      <c r="H15" s="171">
        <v>10</v>
      </c>
      <c r="I15" s="172">
        <f t="shared" si="0"/>
        <v>17.144120569422967</v>
      </c>
      <c r="J15" s="171">
        <f t="shared" si="5"/>
        <v>1</v>
      </c>
      <c r="K15" s="171">
        <f t="shared" si="1"/>
        <v>10</v>
      </c>
      <c r="L15" s="171"/>
      <c r="M15" s="173">
        <f t="shared" si="2"/>
        <v>27.144120569422967</v>
      </c>
      <c r="X15" s="174"/>
      <c r="Z15" s="175"/>
      <c r="AA15" s="175"/>
    </row>
    <row r="16" spans="1:36">
      <c r="A16" s="86">
        <f t="shared" si="3"/>
        <v>25.784127496556486</v>
      </c>
      <c r="B16" s="36">
        <f t="shared" si="4"/>
        <v>11</v>
      </c>
      <c r="C16" s="24" t="s">
        <v>99</v>
      </c>
      <c r="D16" s="24"/>
      <c r="E16" s="24"/>
      <c r="F16" s="24"/>
      <c r="G16" s="8"/>
      <c r="H16" s="168">
        <v>11</v>
      </c>
      <c r="I16" s="169">
        <f t="shared" si="0"/>
        <v>15.784127496556486</v>
      </c>
      <c r="J16" s="168">
        <f t="shared" si="5"/>
        <v>1</v>
      </c>
      <c r="K16" s="168">
        <f t="shared" si="1"/>
        <v>10</v>
      </c>
      <c r="L16" s="168"/>
      <c r="M16" s="170">
        <f t="shared" si="2"/>
        <v>25.784127496556486</v>
      </c>
      <c r="R16" s="179"/>
      <c r="Z16" s="175"/>
      <c r="AA16" s="175"/>
      <c r="AH16" s="180" t="s">
        <v>107</v>
      </c>
      <c r="AI16" s="161">
        <f>AI11-AI12*AI13/AI14</f>
        <v>9.6393909380186855</v>
      </c>
      <c r="AJ16" s="161" t="s">
        <v>108</v>
      </c>
    </row>
    <row r="17" spans="1:19">
      <c r="A17" s="90">
        <f t="shared" si="3"/>
        <v>24.542551096119347</v>
      </c>
      <c r="B17" s="35">
        <f t="shared" si="4"/>
        <v>12</v>
      </c>
      <c r="C17" s="25" t="s">
        <v>99</v>
      </c>
      <c r="D17" s="25"/>
      <c r="E17" s="25"/>
      <c r="F17" s="25"/>
      <c r="G17" s="8"/>
      <c r="H17" s="171">
        <v>12</v>
      </c>
      <c r="I17" s="172">
        <f t="shared" si="0"/>
        <v>14.542551096119347</v>
      </c>
      <c r="J17" s="171">
        <f t="shared" si="5"/>
        <v>1</v>
      </c>
      <c r="K17" s="171">
        <f t="shared" si="1"/>
        <v>10</v>
      </c>
      <c r="L17" s="171"/>
      <c r="M17" s="173">
        <f t="shared" si="2"/>
        <v>24.542551096119347</v>
      </c>
    </row>
    <row r="18" spans="1:19">
      <c r="A18" s="86">
        <f t="shared" si="3"/>
        <v>23.400411524113778</v>
      </c>
      <c r="B18" s="36">
        <f t="shared" si="4"/>
        <v>13</v>
      </c>
      <c r="C18" s="24" t="s">
        <v>99</v>
      </c>
      <c r="D18" s="24"/>
      <c r="E18" s="24"/>
      <c r="F18" s="24"/>
      <c r="G18" s="8"/>
      <c r="H18" s="168">
        <v>13</v>
      </c>
      <c r="I18" s="169">
        <f t="shared" si="0"/>
        <v>13.400411524113778</v>
      </c>
      <c r="J18" s="168">
        <f t="shared" si="5"/>
        <v>1</v>
      </c>
      <c r="K18" s="168">
        <f t="shared" si="1"/>
        <v>10</v>
      </c>
      <c r="L18" s="168"/>
      <c r="M18" s="170">
        <f t="shared" si="2"/>
        <v>23.400411524113778</v>
      </c>
    </row>
    <row r="19" spans="1:19">
      <c r="A19" s="90">
        <f t="shared" si="3"/>
        <v>22.34295544775172</v>
      </c>
      <c r="B19" s="35">
        <f t="shared" si="4"/>
        <v>14</v>
      </c>
      <c r="C19" s="25" t="s">
        <v>99</v>
      </c>
      <c r="D19" s="25"/>
      <c r="E19" s="25"/>
      <c r="F19" s="25"/>
      <c r="G19" s="8"/>
      <c r="H19" s="171">
        <v>14</v>
      </c>
      <c r="I19" s="172">
        <f t="shared" si="0"/>
        <v>12.34295544775172</v>
      </c>
      <c r="J19" s="171">
        <f t="shared" si="5"/>
        <v>1</v>
      </c>
      <c r="K19" s="171">
        <f t="shared" si="1"/>
        <v>10</v>
      </c>
      <c r="L19" s="171"/>
      <c r="M19" s="173">
        <f t="shared" si="2"/>
        <v>22.34295544775172</v>
      </c>
    </row>
    <row r="20" spans="1:19">
      <c r="A20" s="86">
        <f t="shared" si="3"/>
        <v>21.358487393110998</v>
      </c>
      <c r="B20" s="36">
        <f t="shared" si="4"/>
        <v>15</v>
      </c>
      <c r="C20" s="24" t="s">
        <v>99</v>
      </c>
      <c r="D20" s="24"/>
      <c r="E20" s="24"/>
      <c r="F20" s="24"/>
      <c r="G20" s="8"/>
      <c r="H20" s="168">
        <v>15</v>
      </c>
      <c r="I20" s="169">
        <f t="shared" si="0"/>
        <v>11.358487393110998</v>
      </c>
      <c r="J20" s="168">
        <f t="shared" si="5"/>
        <v>1</v>
      </c>
      <c r="K20" s="168">
        <f t="shared" si="1"/>
        <v>10</v>
      </c>
      <c r="L20" s="168"/>
      <c r="M20" s="170">
        <f t="shared" si="2"/>
        <v>21.358487393110998</v>
      </c>
      <c r="R20" s="181"/>
      <c r="S20" s="182"/>
    </row>
    <row r="21" spans="1:19">
      <c r="A21" s="90">
        <f t="shared" si="3"/>
        <v>20.437579029908427</v>
      </c>
      <c r="B21" s="35">
        <f t="shared" si="4"/>
        <v>16</v>
      </c>
      <c r="C21" s="25" t="s">
        <v>99</v>
      </c>
      <c r="D21" s="25"/>
      <c r="E21" s="25"/>
      <c r="F21" s="25"/>
      <c r="G21" s="8"/>
      <c r="H21" s="171">
        <v>16</v>
      </c>
      <c r="I21" s="172">
        <f t="shared" si="0"/>
        <v>10.437579029908427</v>
      </c>
      <c r="J21" s="171">
        <f t="shared" si="5"/>
        <v>1</v>
      </c>
      <c r="K21" s="171">
        <f t="shared" si="1"/>
        <v>10</v>
      </c>
      <c r="L21" s="171"/>
      <c r="M21" s="173">
        <f t="shared" si="2"/>
        <v>20.437579029908427</v>
      </c>
    </row>
    <row r="22" spans="1:19">
      <c r="A22" s="86">
        <f t="shared" si="3"/>
        <v>9.5725185937118766</v>
      </c>
      <c r="B22" s="36">
        <f t="shared" si="4"/>
        <v>17</v>
      </c>
      <c r="C22" s="24" t="s">
        <v>99</v>
      </c>
      <c r="D22" s="24"/>
      <c r="E22" s="24"/>
      <c r="F22" s="24"/>
      <c r="G22" s="8"/>
      <c r="H22" s="168">
        <v>17</v>
      </c>
      <c r="I22" s="169">
        <f t="shared" si="0"/>
        <v>9.5725185937118766</v>
      </c>
      <c r="J22" s="168">
        <f t="shared" si="5"/>
        <v>0</v>
      </c>
      <c r="K22" s="168">
        <f t="shared" si="1"/>
        <v>0</v>
      </c>
      <c r="L22" s="168"/>
      <c r="M22" s="170">
        <f t="shared" si="2"/>
        <v>9.5725185937118766</v>
      </c>
    </row>
    <row r="23" spans="1:19">
      <c r="A23" s="90">
        <f t="shared" si="3"/>
        <v>8.7569179198073854</v>
      </c>
      <c r="B23" s="35">
        <f t="shared" si="4"/>
        <v>18</v>
      </c>
      <c r="C23" s="25" t="s">
        <v>99</v>
      </c>
      <c r="D23" s="25"/>
      <c r="E23" s="25"/>
      <c r="F23" s="25"/>
      <c r="G23" s="8"/>
      <c r="H23" s="171">
        <v>18</v>
      </c>
      <c r="I23" s="172">
        <f t="shared" si="0"/>
        <v>8.7569179198073854</v>
      </c>
      <c r="J23" s="171">
        <f t="shared" si="5"/>
        <v>0</v>
      </c>
      <c r="K23" s="171">
        <f t="shared" si="1"/>
        <v>0</v>
      </c>
      <c r="L23" s="171"/>
      <c r="M23" s="173">
        <f t="shared" si="2"/>
        <v>8.7569179198073854</v>
      </c>
    </row>
    <row r="24" spans="1:19">
      <c r="A24" s="86">
        <f t="shared" si="3"/>
        <v>7.9854258656776409</v>
      </c>
      <c r="B24" s="36">
        <f t="shared" si="4"/>
        <v>19</v>
      </c>
      <c r="C24" s="24" t="s">
        <v>99</v>
      </c>
      <c r="D24" s="24"/>
      <c r="E24" s="24"/>
      <c r="F24" s="24"/>
      <c r="G24" s="8"/>
      <c r="H24" s="168">
        <v>19</v>
      </c>
      <c r="I24" s="169">
        <f t="shared" si="0"/>
        <v>7.9854258656776409</v>
      </c>
      <c r="J24" s="168">
        <f t="shared" si="5"/>
        <v>0</v>
      </c>
      <c r="K24" s="168">
        <f t="shared" si="1"/>
        <v>0</v>
      </c>
      <c r="L24" s="168"/>
      <c r="M24" s="170">
        <f t="shared" si="2"/>
        <v>7.9854258656776409</v>
      </c>
      <c r="R24" s="181"/>
      <c r="S24" s="182"/>
    </row>
    <row r="25" spans="1:19">
      <c r="A25" s="90">
        <f t="shared" si="3"/>
        <v>7.2535153269000716</v>
      </c>
      <c r="B25" s="35">
        <f t="shared" si="4"/>
        <v>20</v>
      </c>
      <c r="C25" s="25" t="s">
        <v>99</v>
      </c>
      <c r="D25" s="25"/>
      <c r="E25" s="25"/>
      <c r="F25" s="25"/>
      <c r="G25" s="8"/>
      <c r="H25" s="171">
        <v>20</v>
      </c>
      <c r="I25" s="172">
        <f t="shared" si="0"/>
        <v>7.2535153269000716</v>
      </c>
      <c r="J25" s="171">
        <f t="shared" si="5"/>
        <v>0</v>
      </c>
      <c r="K25" s="171">
        <f t="shared" si="1"/>
        <v>0</v>
      </c>
      <c r="L25" s="171"/>
      <c r="M25" s="173">
        <f t="shared" si="2"/>
        <v>7.2535153269000716</v>
      </c>
    </row>
    <row r="26" spans="1:19">
      <c r="A26" s="86">
        <f t="shared" si="3"/>
        <v>6.5573222714397517</v>
      </c>
      <c r="B26" s="36">
        <f t="shared" si="4"/>
        <v>21</v>
      </c>
      <c r="C26" s="24" t="s">
        <v>99</v>
      </c>
      <c r="D26" s="24"/>
      <c r="E26" s="24"/>
      <c r="F26" s="24"/>
      <c r="G26" s="8"/>
      <c r="H26" s="168">
        <v>21</v>
      </c>
      <c r="I26" s="169">
        <f t="shared" si="0"/>
        <v>6.5573222714397517</v>
      </c>
      <c r="J26" s="168">
        <f t="shared" si="5"/>
        <v>0</v>
      </c>
      <c r="K26" s="168">
        <f t="shared" si="1"/>
        <v>0</v>
      </c>
      <c r="L26" s="168"/>
      <c r="M26" s="170">
        <f t="shared" si="2"/>
        <v>6.5573222714397517</v>
      </c>
    </row>
    <row r="27" spans="1:19">
      <c r="A27" s="90">
        <f t="shared" si="3"/>
        <v>5.8935222540335985</v>
      </c>
      <c r="B27" s="35">
        <f t="shared" si="4"/>
        <v>22</v>
      </c>
      <c r="C27" s="25" t="s">
        <v>28</v>
      </c>
      <c r="D27" s="25"/>
      <c r="E27" s="25"/>
      <c r="F27" s="25"/>
      <c r="G27" s="8"/>
      <c r="H27" s="171">
        <v>22</v>
      </c>
      <c r="I27" s="172">
        <f t="shared" si="0"/>
        <v>5.8935222540335985</v>
      </c>
      <c r="J27" s="171">
        <f t="shared" si="5"/>
        <v>0</v>
      </c>
      <c r="K27" s="171">
        <f t="shared" si="1"/>
        <v>0</v>
      </c>
      <c r="L27" s="171"/>
      <c r="M27" s="173">
        <f t="shared" si="2"/>
        <v>5.8935222540335985</v>
      </c>
    </row>
    <row r="28" spans="1:19">
      <c r="A28" s="86">
        <f t="shared" si="3"/>
        <v>5.2592344025453954</v>
      </c>
      <c r="B28" s="36">
        <f t="shared" si="4"/>
        <v>23</v>
      </c>
      <c r="C28" s="24" t="s">
        <v>99</v>
      </c>
      <c r="D28" s="24"/>
      <c r="E28" s="24"/>
      <c r="F28" s="24"/>
      <c r="G28" s="8"/>
      <c r="H28" s="168">
        <v>23</v>
      </c>
      <c r="I28" s="169">
        <f t="shared" si="0"/>
        <v>5.2592344025453954</v>
      </c>
      <c r="J28" s="168">
        <f t="shared" si="5"/>
        <v>0</v>
      </c>
      <c r="K28" s="168">
        <f t="shared" si="1"/>
        <v>0</v>
      </c>
      <c r="L28" s="168"/>
      <c r="M28" s="170">
        <f t="shared" si="2"/>
        <v>5.2592344025453954</v>
      </c>
      <c r="R28" s="181"/>
      <c r="S28" s="182"/>
    </row>
    <row r="29" spans="1:19">
      <c r="A29" s="90">
        <f t="shared" si="3"/>
        <v>4.6519458535964588</v>
      </c>
      <c r="B29" s="35">
        <f t="shared" si="4"/>
        <v>24</v>
      </c>
      <c r="C29" s="25" t="s">
        <v>99</v>
      </c>
      <c r="D29" s="25"/>
      <c r="E29" s="25"/>
      <c r="F29" s="25"/>
      <c r="G29" s="156"/>
      <c r="H29" s="171">
        <v>24</v>
      </c>
      <c r="I29" s="172">
        <f t="shared" si="0"/>
        <v>4.6519458535964588</v>
      </c>
      <c r="J29" s="171">
        <f t="shared" si="5"/>
        <v>0</v>
      </c>
      <c r="K29" s="171">
        <f t="shared" si="1"/>
        <v>0</v>
      </c>
      <c r="L29" s="171"/>
      <c r="M29" s="173">
        <f t="shared" si="2"/>
        <v>4.6519458535964588</v>
      </c>
    </row>
    <row r="30" spans="1:19">
      <c r="A30" s="86">
        <f t="shared" si="3"/>
        <v>4.069451623891716</v>
      </c>
      <c r="B30" s="36">
        <f t="shared" si="4"/>
        <v>25</v>
      </c>
      <c r="C30" s="24" t="s">
        <v>99</v>
      </c>
      <c r="D30" s="24"/>
      <c r="E30" s="24"/>
      <c r="F30" s="24"/>
      <c r="G30" s="156"/>
      <c r="H30" s="168">
        <v>25</v>
      </c>
      <c r="I30" s="169">
        <f t="shared" si="0"/>
        <v>4.069451623891716</v>
      </c>
      <c r="J30" s="168">
        <f t="shared" si="5"/>
        <v>0</v>
      </c>
      <c r="K30" s="168">
        <f t="shared" si="1"/>
        <v>0</v>
      </c>
      <c r="L30" s="168"/>
      <c r="M30" s="170">
        <f t="shared" si="2"/>
        <v>4.069451623891716</v>
      </c>
    </row>
    <row r="31" spans="1:19">
      <c r="A31" s="90">
        <f t="shared" si="3"/>
        <v>3.5098062815908833</v>
      </c>
      <c r="B31" s="35">
        <f t="shared" si="4"/>
        <v>26</v>
      </c>
      <c r="C31" s="25" t="s">
        <v>99</v>
      </c>
      <c r="D31" s="25"/>
      <c r="E31" s="25"/>
      <c r="F31" s="25"/>
      <c r="G31" s="156"/>
      <c r="H31" s="171">
        <v>26</v>
      </c>
      <c r="I31" s="172">
        <f t="shared" si="0"/>
        <v>3.5098062815908833</v>
      </c>
      <c r="J31" s="171">
        <f t="shared" si="5"/>
        <v>0</v>
      </c>
      <c r="K31" s="171">
        <f t="shared" si="1"/>
        <v>0</v>
      </c>
      <c r="L31" s="171"/>
      <c r="M31" s="173">
        <f t="shared" si="2"/>
        <v>3.5098062815908833</v>
      </c>
    </row>
    <row r="32" spans="1:19">
      <c r="A32" s="86">
        <f t="shared" si="3"/>
        <v>2.9712847434954099</v>
      </c>
      <c r="B32" s="36">
        <f t="shared" si="4"/>
        <v>27</v>
      </c>
      <c r="C32" s="24" t="s">
        <v>99</v>
      </c>
      <c r="D32" s="24"/>
      <c r="E32" s="24"/>
      <c r="F32" s="24"/>
      <c r="G32" s="156"/>
      <c r="H32" s="168">
        <v>27</v>
      </c>
      <c r="I32" s="169">
        <f t="shared" si="0"/>
        <v>2.9712847434954099</v>
      </c>
      <c r="J32" s="168">
        <f t="shared" si="5"/>
        <v>0</v>
      </c>
      <c r="K32" s="168">
        <f t="shared" si="1"/>
        <v>0</v>
      </c>
      <c r="L32" s="168"/>
      <c r="M32" s="170">
        <f t="shared" si="2"/>
        <v>2.9712847434954099</v>
      </c>
      <c r="R32" s="181"/>
      <c r="S32" s="182"/>
    </row>
    <row r="33" spans="1:21">
      <c r="A33" s="90">
        <f t="shared" si="3"/>
        <v>2.4523502052288251</v>
      </c>
      <c r="B33" s="35">
        <f t="shared" si="4"/>
        <v>28</v>
      </c>
      <c r="C33" s="25" t="s">
        <v>99</v>
      </c>
      <c r="D33" s="25"/>
      <c r="E33" s="25"/>
      <c r="F33" s="25"/>
      <c r="G33" s="156"/>
      <c r="H33" s="171">
        <v>28</v>
      </c>
      <c r="I33" s="172">
        <f t="shared" si="0"/>
        <v>2.4523502052288251</v>
      </c>
      <c r="J33" s="171">
        <f t="shared" si="5"/>
        <v>0</v>
      </c>
      <c r="K33" s="171">
        <f t="shared" si="1"/>
        <v>0</v>
      </c>
      <c r="L33" s="171"/>
      <c r="M33" s="173">
        <f t="shared" si="2"/>
        <v>2.4523502052288251</v>
      </c>
    </row>
    <row r="34" spans="1:21">
      <c r="A34" s="86">
        <f t="shared" si="3"/>
        <v>1.9516277015146528</v>
      </c>
      <c r="B34" s="36">
        <f t="shared" si="4"/>
        <v>29</v>
      </c>
      <c r="C34" s="24" t="s">
        <v>99</v>
      </c>
      <c r="D34" s="24"/>
      <c r="E34" s="24"/>
      <c r="F34" s="24"/>
      <c r="G34" s="156"/>
      <c r="H34" s="168">
        <v>29</v>
      </c>
      <c r="I34" s="169">
        <f t="shared" si="0"/>
        <v>1.9516277015146528</v>
      </c>
      <c r="J34" s="168">
        <f t="shared" si="5"/>
        <v>0</v>
      </c>
      <c r="K34" s="168">
        <f t="shared" si="1"/>
        <v>0</v>
      </c>
      <c r="L34" s="168"/>
      <c r="M34" s="170">
        <f t="shared" si="2"/>
        <v>1.9516277015146528</v>
      </c>
    </row>
    <row r="35" spans="1:21">
      <c r="A35" s="90">
        <f t="shared" si="3"/>
        <v>1.4678821505881103</v>
      </c>
      <c r="B35" s="35">
        <f t="shared" si="4"/>
        <v>30</v>
      </c>
      <c r="C35" s="25" t="s">
        <v>99</v>
      </c>
      <c r="D35" s="25"/>
      <c r="E35" s="25"/>
      <c r="F35" s="25"/>
      <c r="G35" s="156"/>
      <c r="H35" s="171">
        <v>30</v>
      </c>
      <c r="I35" s="172">
        <f t="shared" si="0"/>
        <v>1.4678821505881103</v>
      </c>
      <c r="J35" s="171">
        <f t="shared" si="5"/>
        <v>0</v>
      </c>
      <c r="K35" s="171">
        <f t="shared" si="1"/>
        <v>0</v>
      </c>
      <c r="L35" s="171"/>
      <c r="M35" s="173">
        <f t="shared" si="2"/>
        <v>1.4678821505881103</v>
      </c>
    </row>
    <row r="36" spans="1:21">
      <c r="A36" s="86">
        <f t="shared" si="3"/>
        <v>1</v>
      </c>
      <c r="B36" s="36">
        <f t="shared" si="4"/>
        <v>31</v>
      </c>
      <c r="C36" s="24" t="s">
        <v>99</v>
      </c>
      <c r="D36" s="24"/>
      <c r="E36" s="24"/>
      <c r="F36" s="24"/>
      <c r="G36" s="156"/>
      <c r="H36" s="168">
        <v>31</v>
      </c>
      <c r="I36" s="169">
        <f t="shared" si="0"/>
        <v>1</v>
      </c>
      <c r="J36" s="168">
        <f t="shared" si="5"/>
        <v>0</v>
      </c>
      <c r="K36" s="168">
        <f t="shared" si="1"/>
        <v>0</v>
      </c>
      <c r="L36" s="168"/>
      <c r="M36" s="170">
        <f t="shared" si="2"/>
        <v>1</v>
      </c>
      <c r="R36" s="181"/>
      <c r="S36" s="182"/>
    </row>
    <row r="37" spans="1:21">
      <c r="A37" s="90">
        <f t="shared" si="3"/>
        <v>0</v>
      </c>
      <c r="B37" s="35" t="str">
        <f t="shared" si="4"/>
        <v/>
      </c>
      <c r="C37" s="25"/>
      <c r="D37" s="25"/>
      <c r="E37" s="25"/>
      <c r="F37" s="25"/>
      <c r="G37" s="156"/>
      <c r="H37" s="171">
        <v>32</v>
      </c>
      <c r="I37" s="172" t="str">
        <f t="shared" si="0"/>
        <v/>
      </c>
      <c r="J37" s="171">
        <f t="shared" si="5"/>
        <v>0</v>
      </c>
      <c r="K37" s="171">
        <f t="shared" si="1"/>
        <v>0</v>
      </c>
      <c r="L37" s="171"/>
      <c r="M37" s="173">
        <f t="shared" si="2"/>
        <v>0</v>
      </c>
    </row>
    <row r="38" spans="1:21">
      <c r="A38" s="86"/>
      <c r="B38" s="36" t="str">
        <f t="shared" si="4"/>
        <v/>
      </c>
      <c r="C38" s="24"/>
      <c r="D38" s="24"/>
      <c r="E38" s="24"/>
      <c r="F38" s="24"/>
      <c r="G38" s="156"/>
      <c r="H38" s="168">
        <v>33</v>
      </c>
      <c r="I38" s="169" t="str">
        <f t="shared" si="0"/>
        <v/>
      </c>
      <c r="J38" s="168">
        <f t="shared" si="5"/>
        <v>-1</v>
      </c>
      <c r="K38" s="168">
        <f t="shared" si="1"/>
        <v>-10</v>
      </c>
      <c r="L38" s="168"/>
      <c r="M38" s="170">
        <f t="shared" si="2"/>
        <v>0</v>
      </c>
    </row>
    <row r="39" spans="1:21">
      <c r="A39" s="245">
        <v>20.778581783035108</v>
      </c>
      <c r="B39" s="241" t="s">
        <v>280</v>
      </c>
      <c r="C39" s="242" t="s">
        <v>18</v>
      </c>
      <c r="D39" s="25"/>
      <c r="E39" s="25"/>
      <c r="F39" s="25"/>
      <c r="G39" s="156"/>
      <c r="H39" s="171">
        <v>34</v>
      </c>
      <c r="I39" s="172" t="str">
        <f t="shared" si="0"/>
        <v/>
      </c>
      <c r="J39" s="171">
        <f t="shared" si="5"/>
        <v>-1</v>
      </c>
      <c r="K39" s="171">
        <f t="shared" si="1"/>
        <v>-10</v>
      </c>
      <c r="L39" s="171"/>
      <c r="M39" s="173">
        <f t="shared" si="2"/>
        <v>0</v>
      </c>
    </row>
    <row r="40" spans="1:21">
      <c r="A40" s="86"/>
      <c r="B40" s="36" t="str">
        <f t="shared" si="4"/>
        <v/>
      </c>
      <c r="C40" s="24"/>
      <c r="D40" s="24"/>
      <c r="E40" s="24"/>
      <c r="F40" s="24"/>
      <c r="G40" s="156"/>
      <c r="H40" s="168">
        <v>35</v>
      </c>
      <c r="I40" s="169" t="str">
        <f t="shared" si="0"/>
        <v/>
      </c>
      <c r="J40" s="168">
        <f t="shared" si="5"/>
        <v>-1</v>
      </c>
      <c r="K40" s="168">
        <f t="shared" si="1"/>
        <v>-10</v>
      </c>
      <c r="L40" s="168"/>
      <c r="M40" s="170">
        <f t="shared" si="2"/>
        <v>0</v>
      </c>
    </row>
    <row r="41" spans="1:21">
      <c r="A41" s="90"/>
      <c r="B41" s="35" t="str">
        <f t="shared" si="4"/>
        <v/>
      </c>
      <c r="C41" s="25"/>
      <c r="D41" s="25"/>
      <c r="E41" s="25"/>
      <c r="F41" s="25"/>
      <c r="G41" s="156"/>
      <c r="H41" s="171">
        <v>36</v>
      </c>
      <c r="I41" s="172" t="str">
        <f t="shared" si="0"/>
        <v/>
      </c>
      <c r="J41" s="171">
        <f t="shared" si="5"/>
        <v>-1</v>
      </c>
      <c r="K41" s="171">
        <f t="shared" si="1"/>
        <v>-10</v>
      </c>
      <c r="L41" s="171"/>
      <c r="M41" s="173">
        <f t="shared" si="2"/>
        <v>0</v>
      </c>
      <c r="S41" s="183"/>
    </row>
    <row r="42" spans="1:21">
      <c r="A42" s="86"/>
      <c r="B42" s="36" t="str">
        <f t="shared" si="4"/>
        <v/>
      </c>
      <c r="C42" s="24"/>
      <c r="D42" s="24"/>
      <c r="E42" s="24"/>
      <c r="F42" s="24"/>
      <c r="G42" s="156"/>
      <c r="H42" s="168">
        <v>37</v>
      </c>
      <c r="I42" s="169" t="str">
        <f t="shared" si="0"/>
        <v/>
      </c>
      <c r="J42" s="168">
        <f t="shared" si="5"/>
        <v>-1</v>
      </c>
      <c r="K42" s="168">
        <f t="shared" si="1"/>
        <v>-10</v>
      </c>
      <c r="L42" s="168"/>
      <c r="M42" s="170">
        <f t="shared" si="2"/>
        <v>0</v>
      </c>
    </row>
    <row r="43" spans="1:21">
      <c r="A43" s="90"/>
      <c r="B43" s="35" t="str">
        <f t="shared" si="4"/>
        <v/>
      </c>
      <c r="C43" s="25"/>
      <c r="D43" s="25"/>
      <c r="E43" s="25"/>
      <c r="F43" s="25"/>
      <c r="G43" s="156"/>
      <c r="H43" s="171">
        <v>38</v>
      </c>
      <c r="I43" s="172" t="str">
        <f t="shared" si="0"/>
        <v/>
      </c>
      <c r="J43" s="171">
        <f t="shared" si="5"/>
        <v>-1</v>
      </c>
      <c r="K43" s="171">
        <f t="shared" si="1"/>
        <v>-10</v>
      </c>
      <c r="L43" s="171"/>
      <c r="M43" s="173">
        <f t="shared" si="2"/>
        <v>0</v>
      </c>
    </row>
    <row r="44" spans="1:21">
      <c r="A44" s="86"/>
      <c r="B44" s="36" t="str">
        <f t="shared" si="4"/>
        <v/>
      </c>
      <c r="C44" s="24"/>
      <c r="D44" s="24"/>
      <c r="E44" s="24"/>
      <c r="F44" s="24"/>
      <c r="G44" s="156"/>
      <c r="H44" s="168">
        <v>39</v>
      </c>
      <c r="I44" s="169" t="str">
        <f t="shared" si="0"/>
        <v/>
      </c>
      <c r="J44" s="168">
        <f t="shared" si="5"/>
        <v>-1</v>
      </c>
      <c r="K44" s="168">
        <f t="shared" si="1"/>
        <v>-10</v>
      </c>
      <c r="L44" s="168"/>
      <c r="M44" s="170">
        <f t="shared" si="2"/>
        <v>0</v>
      </c>
    </row>
    <row r="45" spans="1:21">
      <c r="A45" s="90"/>
      <c r="B45" s="35" t="str">
        <f t="shared" si="4"/>
        <v/>
      </c>
      <c r="C45" s="25"/>
      <c r="D45" s="25"/>
      <c r="E45" s="25"/>
      <c r="F45" s="25"/>
      <c r="G45" s="156"/>
      <c r="H45" s="171">
        <v>40</v>
      </c>
      <c r="I45" s="172" t="str">
        <f t="shared" si="0"/>
        <v/>
      </c>
      <c r="J45" s="171">
        <f t="shared" si="5"/>
        <v>-1</v>
      </c>
      <c r="K45" s="171">
        <f t="shared" si="1"/>
        <v>-10</v>
      </c>
      <c r="L45" s="171"/>
      <c r="M45" s="173">
        <f t="shared" si="2"/>
        <v>0</v>
      </c>
    </row>
    <row r="46" spans="1:21">
      <c r="A46" s="86"/>
      <c r="B46" s="36" t="str">
        <f t="shared" si="4"/>
        <v/>
      </c>
      <c r="C46" s="24"/>
      <c r="D46" s="24"/>
      <c r="E46" s="24"/>
      <c r="F46" s="24"/>
      <c r="G46" s="156"/>
      <c r="H46" s="168">
        <v>41</v>
      </c>
      <c r="I46" s="169" t="str">
        <f t="shared" si="0"/>
        <v/>
      </c>
      <c r="J46" s="168">
        <f t="shared" si="5"/>
        <v>-1</v>
      </c>
      <c r="K46" s="168">
        <f t="shared" si="1"/>
        <v>-10</v>
      </c>
      <c r="L46" s="168"/>
      <c r="M46" s="170">
        <f t="shared" si="2"/>
        <v>0</v>
      </c>
      <c r="R46" s="156">
        <f>LOG($H$2,2)</f>
        <v>4.9541963103868758</v>
      </c>
      <c r="T46" s="161">
        <f>LOG(H38,2)</f>
        <v>5.0443941193584534</v>
      </c>
      <c r="U46" s="161">
        <f>R46-T46</f>
        <v>-9.0197808971577587E-2</v>
      </c>
    </row>
    <row r="47" spans="1:21">
      <c r="A47" s="90"/>
      <c r="B47" s="35" t="str">
        <f t="shared" si="4"/>
        <v/>
      </c>
      <c r="C47" s="25"/>
      <c r="D47" s="25"/>
      <c r="E47" s="25"/>
      <c r="F47" s="25"/>
      <c r="G47" s="156"/>
      <c r="H47" s="171">
        <v>42</v>
      </c>
      <c r="I47" s="172" t="str">
        <f t="shared" si="0"/>
        <v/>
      </c>
      <c r="J47" s="171">
        <f t="shared" si="5"/>
        <v>-1</v>
      </c>
      <c r="K47" s="171">
        <f t="shared" si="1"/>
        <v>-10</v>
      </c>
      <c r="L47" s="171"/>
      <c r="M47" s="173">
        <f t="shared" si="2"/>
        <v>0</v>
      </c>
    </row>
    <row r="48" spans="1:21">
      <c r="A48" s="86"/>
      <c r="B48" s="36" t="str">
        <f t="shared" si="4"/>
        <v/>
      </c>
      <c r="C48" s="24"/>
      <c r="D48" s="24"/>
      <c r="E48" s="24"/>
      <c r="F48" s="24"/>
      <c r="G48" s="156"/>
      <c r="H48" s="168">
        <v>43</v>
      </c>
      <c r="I48" s="169" t="str">
        <f t="shared" si="0"/>
        <v/>
      </c>
      <c r="J48" s="168">
        <f t="shared" si="5"/>
        <v>-1</v>
      </c>
      <c r="K48" s="168">
        <f t="shared" si="1"/>
        <v>-10</v>
      </c>
      <c r="L48" s="168"/>
      <c r="M48" s="170">
        <f t="shared" si="2"/>
        <v>0</v>
      </c>
    </row>
    <row r="49" spans="1:13">
      <c r="A49" s="90"/>
      <c r="B49" s="35" t="str">
        <f t="shared" si="4"/>
        <v/>
      </c>
      <c r="C49" s="25"/>
      <c r="D49" s="25"/>
      <c r="E49" s="25"/>
      <c r="F49" s="25"/>
      <c r="G49" s="156"/>
      <c r="H49" s="171">
        <v>44</v>
      </c>
      <c r="I49" s="172" t="str">
        <f t="shared" si="0"/>
        <v/>
      </c>
      <c r="J49" s="171">
        <f t="shared" si="5"/>
        <v>-1</v>
      </c>
      <c r="K49" s="171">
        <f t="shared" si="1"/>
        <v>-10</v>
      </c>
      <c r="L49" s="171"/>
      <c r="M49" s="173">
        <f t="shared" si="2"/>
        <v>0</v>
      </c>
    </row>
    <row r="50" spans="1:13">
      <c r="A50" s="86"/>
      <c r="B50" s="36" t="str">
        <f t="shared" si="4"/>
        <v/>
      </c>
      <c r="C50" s="24"/>
      <c r="D50" s="24"/>
      <c r="E50" s="24"/>
      <c r="F50" s="24"/>
      <c r="G50" s="156"/>
      <c r="H50" s="168">
        <v>45</v>
      </c>
      <c r="I50" s="169" t="str">
        <f t="shared" si="0"/>
        <v/>
      </c>
      <c r="J50" s="168">
        <f t="shared" si="5"/>
        <v>-1</v>
      </c>
      <c r="K50" s="168">
        <f t="shared" si="1"/>
        <v>-10</v>
      </c>
      <c r="L50" s="168"/>
      <c r="M50" s="170">
        <f t="shared" si="2"/>
        <v>0</v>
      </c>
    </row>
    <row r="51" spans="1:13">
      <c r="A51" s="90"/>
      <c r="B51" s="35" t="str">
        <f t="shared" si="4"/>
        <v/>
      </c>
      <c r="C51" s="25"/>
      <c r="D51" s="25"/>
      <c r="E51" s="25"/>
      <c r="F51" s="25"/>
      <c r="G51" s="156"/>
      <c r="H51" s="171">
        <v>46</v>
      </c>
      <c r="I51" s="172" t="str">
        <f t="shared" si="0"/>
        <v/>
      </c>
      <c r="J51" s="171">
        <f t="shared" si="5"/>
        <v>-1</v>
      </c>
      <c r="K51" s="171">
        <f t="shared" si="1"/>
        <v>-10</v>
      </c>
      <c r="L51" s="171"/>
      <c r="M51" s="173">
        <f t="shared" si="2"/>
        <v>0</v>
      </c>
    </row>
    <row r="52" spans="1:13">
      <c r="A52" s="86"/>
      <c r="B52" s="36" t="str">
        <f t="shared" si="4"/>
        <v/>
      </c>
      <c r="C52" s="24"/>
      <c r="D52" s="24"/>
      <c r="E52" s="24"/>
      <c r="F52" s="24"/>
      <c r="G52" s="156"/>
      <c r="H52" s="168">
        <v>47</v>
      </c>
      <c r="I52" s="169" t="str">
        <f t="shared" si="0"/>
        <v/>
      </c>
      <c r="J52" s="168">
        <f t="shared" si="5"/>
        <v>-1</v>
      </c>
      <c r="K52" s="168">
        <f t="shared" si="1"/>
        <v>-10</v>
      </c>
      <c r="L52" s="168"/>
      <c r="M52" s="170">
        <f t="shared" si="2"/>
        <v>0</v>
      </c>
    </row>
    <row r="53" spans="1:13">
      <c r="A53" s="90"/>
      <c r="B53" s="35" t="str">
        <f t="shared" si="4"/>
        <v/>
      </c>
      <c r="C53" s="25"/>
      <c r="D53" s="25"/>
      <c r="E53" s="25"/>
      <c r="F53" s="25"/>
      <c r="G53" s="156"/>
      <c r="H53" s="171">
        <v>48</v>
      </c>
      <c r="I53" s="172" t="str">
        <f t="shared" si="0"/>
        <v/>
      </c>
      <c r="J53" s="171">
        <f t="shared" si="5"/>
        <v>-1</v>
      </c>
      <c r="K53" s="171">
        <f t="shared" si="1"/>
        <v>-10</v>
      </c>
      <c r="L53" s="171"/>
      <c r="M53" s="173">
        <f t="shared" si="2"/>
        <v>0</v>
      </c>
    </row>
    <row r="54" spans="1:13">
      <c r="A54" s="86"/>
      <c r="B54" s="36" t="str">
        <f t="shared" si="4"/>
        <v/>
      </c>
      <c r="C54" s="24"/>
      <c r="D54" s="24"/>
      <c r="E54" s="24"/>
      <c r="F54" s="24"/>
      <c r="G54" s="156"/>
      <c r="H54" s="168">
        <v>49</v>
      </c>
      <c r="I54" s="169" t="str">
        <f t="shared" si="0"/>
        <v/>
      </c>
      <c r="J54" s="168">
        <f t="shared" si="5"/>
        <v>-1</v>
      </c>
      <c r="K54" s="168">
        <f t="shared" si="1"/>
        <v>-10</v>
      </c>
      <c r="L54" s="168"/>
      <c r="M54" s="170">
        <f t="shared" si="2"/>
        <v>0</v>
      </c>
    </row>
    <row r="55" spans="1:13">
      <c r="A55" s="90"/>
      <c r="B55" s="35" t="str">
        <f t="shared" si="4"/>
        <v/>
      </c>
      <c r="C55" s="25"/>
      <c r="D55" s="25"/>
      <c r="E55" s="25"/>
      <c r="F55" s="25"/>
      <c r="G55" s="156"/>
      <c r="H55" s="171">
        <v>50</v>
      </c>
      <c r="I55" s="172" t="str">
        <f t="shared" si="0"/>
        <v/>
      </c>
      <c r="J55" s="171">
        <f t="shared" si="5"/>
        <v>-1</v>
      </c>
      <c r="K55" s="171">
        <f t="shared" si="1"/>
        <v>-10</v>
      </c>
      <c r="L55" s="171"/>
      <c r="M55" s="173">
        <f t="shared" si="2"/>
        <v>0</v>
      </c>
    </row>
    <row r="56" spans="1:13">
      <c r="A56" s="86"/>
      <c r="B56" s="36" t="str">
        <f t="shared" si="4"/>
        <v/>
      </c>
      <c r="C56" s="24"/>
      <c r="D56" s="24"/>
      <c r="E56" s="24"/>
      <c r="F56" s="24"/>
      <c r="G56" s="156"/>
      <c r="H56" s="168">
        <v>51</v>
      </c>
      <c r="I56" s="169" t="str">
        <f t="shared" si="0"/>
        <v/>
      </c>
      <c r="J56" s="168">
        <f t="shared" si="5"/>
        <v>-1</v>
      </c>
      <c r="K56" s="168">
        <f t="shared" si="1"/>
        <v>-10</v>
      </c>
      <c r="L56" s="168"/>
      <c r="M56" s="170">
        <f t="shared" si="2"/>
        <v>0</v>
      </c>
    </row>
    <row r="57" spans="1:13">
      <c r="A57" s="90"/>
      <c r="B57" s="35" t="str">
        <f t="shared" si="4"/>
        <v/>
      </c>
      <c r="C57" s="25"/>
      <c r="D57" s="25"/>
      <c r="E57" s="25"/>
      <c r="F57" s="25"/>
      <c r="G57" s="156"/>
      <c r="H57" s="171">
        <v>52</v>
      </c>
      <c r="I57" s="172" t="str">
        <f t="shared" si="0"/>
        <v/>
      </c>
      <c r="J57" s="171">
        <f t="shared" si="5"/>
        <v>-1</v>
      </c>
      <c r="K57" s="171">
        <f t="shared" si="1"/>
        <v>-10</v>
      </c>
      <c r="L57" s="171"/>
      <c r="M57" s="173">
        <f t="shared" si="2"/>
        <v>0</v>
      </c>
    </row>
    <row r="58" spans="1:13">
      <c r="A58" s="86"/>
      <c r="B58" s="36" t="str">
        <f t="shared" si="4"/>
        <v/>
      </c>
      <c r="C58" s="24"/>
      <c r="D58" s="24"/>
      <c r="E58" s="24"/>
      <c r="F58" s="24"/>
      <c r="G58" s="156"/>
      <c r="H58" s="168">
        <v>53</v>
      </c>
      <c r="I58" s="169" t="str">
        <f t="shared" si="0"/>
        <v/>
      </c>
      <c r="J58" s="168">
        <f t="shared" si="5"/>
        <v>-1</v>
      </c>
      <c r="K58" s="168">
        <f t="shared" si="1"/>
        <v>-10</v>
      </c>
      <c r="L58" s="168"/>
      <c r="M58" s="170">
        <f t="shared" si="2"/>
        <v>0</v>
      </c>
    </row>
    <row r="59" spans="1:13">
      <c r="A59" s="90"/>
      <c r="B59" s="35" t="str">
        <f t="shared" si="4"/>
        <v/>
      </c>
      <c r="C59" s="25"/>
      <c r="D59" s="25"/>
      <c r="E59" s="25"/>
      <c r="F59" s="25"/>
      <c r="G59" s="156"/>
      <c r="H59" s="171">
        <v>54</v>
      </c>
      <c r="I59" s="172" t="str">
        <f t="shared" si="0"/>
        <v/>
      </c>
      <c r="J59" s="171">
        <f t="shared" si="5"/>
        <v>-1</v>
      </c>
      <c r="K59" s="171">
        <f t="shared" si="1"/>
        <v>-10</v>
      </c>
      <c r="L59" s="171"/>
      <c r="M59" s="173">
        <f t="shared" si="2"/>
        <v>0</v>
      </c>
    </row>
    <row r="60" spans="1:13">
      <c r="A60" s="86"/>
      <c r="B60" s="36" t="str">
        <f t="shared" si="4"/>
        <v/>
      </c>
      <c r="C60" s="24"/>
      <c r="D60" s="24"/>
      <c r="E60" s="24"/>
      <c r="F60" s="24"/>
      <c r="G60" s="156"/>
      <c r="H60" s="168">
        <v>55</v>
      </c>
      <c r="I60" s="169" t="str">
        <f t="shared" si="0"/>
        <v/>
      </c>
      <c r="J60" s="168">
        <f t="shared" si="5"/>
        <v>-1</v>
      </c>
      <c r="K60" s="168">
        <f t="shared" si="1"/>
        <v>-10</v>
      </c>
      <c r="L60" s="168"/>
      <c r="M60" s="170">
        <f t="shared" si="2"/>
        <v>0</v>
      </c>
    </row>
    <row r="61" spans="1:13">
      <c r="A61" s="90"/>
      <c r="B61" s="35" t="str">
        <f t="shared" si="4"/>
        <v/>
      </c>
      <c r="C61" s="25"/>
      <c r="D61" s="25"/>
      <c r="E61" s="25"/>
      <c r="F61" s="25"/>
      <c r="G61" s="156"/>
      <c r="H61" s="171">
        <v>56</v>
      </c>
      <c r="I61" s="172" t="str">
        <f t="shared" si="0"/>
        <v/>
      </c>
      <c r="J61" s="171">
        <f t="shared" si="5"/>
        <v>-1</v>
      </c>
      <c r="K61" s="171">
        <f t="shared" si="1"/>
        <v>-10</v>
      </c>
      <c r="L61" s="171"/>
      <c r="M61" s="173">
        <f t="shared" si="2"/>
        <v>0</v>
      </c>
    </row>
    <row r="62" spans="1:13">
      <c r="A62" s="86"/>
      <c r="B62" s="36" t="str">
        <f t="shared" si="4"/>
        <v/>
      </c>
      <c r="C62" s="24"/>
      <c r="D62" s="24"/>
      <c r="E62" s="24"/>
      <c r="F62" s="24"/>
      <c r="G62" s="156"/>
      <c r="H62" s="168">
        <v>57</v>
      </c>
      <c r="I62" s="169" t="str">
        <f t="shared" si="0"/>
        <v/>
      </c>
      <c r="J62" s="168">
        <f t="shared" si="5"/>
        <v>-1</v>
      </c>
      <c r="K62" s="168">
        <f t="shared" si="1"/>
        <v>-10</v>
      </c>
      <c r="L62" s="168"/>
      <c r="M62" s="170">
        <f t="shared" si="2"/>
        <v>0</v>
      </c>
    </row>
    <row r="63" spans="1:13">
      <c r="A63" s="90"/>
      <c r="B63" s="35" t="str">
        <f t="shared" si="4"/>
        <v/>
      </c>
      <c r="C63" s="25"/>
      <c r="D63" s="25"/>
      <c r="E63" s="25"/>
      <c r="F63" s="25"/>
      <c r="G63" s="156"/>
      <c r="H63" s="171">
        <v>58</v>
      </c>
      <c r="I63" s="172" t="str">
        <f t="shared" si="0"/>
        <v/>
      </c>
      <c r="J63" s="171">
        <f t="shared" si="5"/>
        <v>-1</v>
      </c>
      <c r="K63" s="171">
        <f t="shared" si="1"/>
        <v>-10</v>
      </c>
      <c r="L63" s="171"/>
      <c r="M63" s="173">
        <f t="shared" si="2"/>
        <v>0</v>
      </c>
    </row>
    <row r="64" spans="1:13">
      <c r="A64" s="86"/>
      <c r="B64" s="36" t="str">
        <f t="shared" si="4"/>
        <v/>
      </c>
      <c r="C64" s="24"/>
      <c r="D64" s="24"/>
      <c r="E64" s="24"/>
      <c r="F64" s="24"/>
      <c r="G64" s="156"/>
      <c r="H64" s="168">
        <v>59</v>
      </c>
      <c r="I64" s="169" t="str">
        <f t="shared" si="0"/>
        <v/>
      </c>
      <c r="J64" s="168">
        <f t="shared" si="5"/>
        <v>-1</v>
      </c>
      <c r="K64" s="168">
        <f t="shared" si="1"/>
        <v>-10</v>
      </c>
      <c r="L64" s="168"/>
      <c r="M64" s="170">
        <f t="shared" si="2"/>
        <v>0</v>
      </c>
    </row>
    <row r="65" spans="1:13">
      <c r="A65" s="90"/>
      <c r="B65" s="35" t="str">
        <f t="shared" si="4"/>
        <v/>
      </c>
      <c r="C65" s="25"/>
      <c r="D65" s="25"/>
      <c r="E65" s="25"/>
      <c r="F65" s="25"/>
      <c r="G65" s="156"/>
      <c r="H65" s="171">
        <v>60</v>
      </c>
      <c r="I65" s="172" t="str">
        <f t="shared" si="0"/>
        <v/>
      </c>
      <c r="J65" s="171">
        <f t="shared" si="5"/>
        <v>-1</v>
      </c>
      <c r="K65" s="171">
        <f t="shared" si="1"/>
        <v>-10</v>
      </c>
      <c r="L65" s="171"/>
      <c r="M65" s="173">
        <f t="shared" si="2"/>
        <v>0</v>
      </c>
    </row>
    <row r="66" spans="1:13">
      <c r="A66" s="193"/>
      <c r="B66" s="36"/>
      <c r="G66" s="156"/>
      <c r="H66" s="168">
        <v>61</v>
      </c>
      <c r="I66" s="169" t="str">
        <f t="shared" si="0"/>
        <v/>
      </c>
      <c r="J66" s="168">
        <f t="shared" si="5"/>
        <v>-1</v>
      </c>
      <c r="K66" s="168">
        <f t="shared" si="1"/>
        <v>-10</v>
      </c>
      <c r="L66" s="168"/>
      <c r="M66" s="170">
        <f t="shared" si="2"/>
        <v>0</v>
      </c>
    </row>
    <row r="67" spans="1:13">
      <c r="A67" s="193"/>
      <c r="B67" s="35"/>
      <c r="G67" s="156"/>
      <c r="H67" s="168">
        <v>62</v>
      </c>
      <c r="I67" s="169" t="str">
        <f t="shared" si="0"/>
        <v/>
      </c>
      <c r="J67" s="168">
        <f t="shared" si="5"/>
        <v>-1</v>
      </c>
      <c r="K67" s="168">
        <f t="shared" si="1"/>
        <v>-10</v>
      </c>
      <c r="L67" s="168"/>
      <c r="M67" s="170">
        <f t="shared" si="2"/>
        <v>0</v>
      </c>
    </row>
    <row r="68" spans="1:13">
      <c r="A68" s="193"/>
      <c r="B68" s="36"/>
      <c r="G68" s="156"/>
      <c r="H68" s="168">
        <v>63</v>
      </c>
      <c r="I68" s="169" t="str">
        <f t="shared" si="0"/>
        <v/>
      </c>
      <c r="J68" s="168">
        <f t="shared" si="5"/>
        <v>-1</v>
      </c>
      <c r="K68" s="168">
        <f t="shared" si="1"/>
        <v>-10</v>
      </c>
      <c r="L68" s="168"/>
      <c r="M68" s="170">
        <f t="shared" si="2"/>
        <v>0</v>
      </c>
    </row>
    <row r="69" spans="1:13">
      <c r="A69" s="193"/>
      <c r="B69" s="35"/>
      <c r="G69" s="156"/>
      <c r="H69" s="168">
        <v>64</v>
      </c>
      <c r="I69" s="169" t="str">
        <f t="shared" si="0"/>
        <v/>
      </c>
      <c r="J69" s="168">
        <f t="shared" si="5"/>
        <v>-1</v>
      </c>
      <c r="K69" s="168">
        <f t="shared" si="1"/>
        <v>-10</v>
      </c>
      <c r="L69" s="168"/>
      <c r="M69" s="170">
        <f t="shared" si="2"/>
        <v>0</v>
      </c>
    </row>
    <row r="70" spans="1:13">
      <c r="A70" s="193"/>
      <c r="G70" s="156"/>
      <c r="H70" s="168">
        <v>65</v>
      </c>
      <c r="I70" s="169" t="str">
        <f t="shared" ref="I70:I133" si="6">IF(H70&lt;$H$2+1,($I$2-($I$2-1)*(LOG(H70)/LOG($H$2))),"")</f>
        <v/>
      </c>
      <c r="J70" s="168">
        <f t="shared" si="5"/>
        <v>-2</v>
      </c>
      <c r="K70" s="168">
        <f t="shared" ref="K70:K133" si="7">J70*$J$2</f>
        <v>-20</v>
      </c>
      <c r="L70" s="168"/>
      <c r="M70" s="170">
        <f t="shared" ref="M70:M133" si="8">IF(I70&lt;&gt;"",K70+I70+L70,0)</f>
        <v>0</v>
      </c>
    </row>
    <row r="71" spans="1:13">
      <c r="A71" s="193"/>
      <c r="G71" s="156"/>
      <c r="H71" s="168">
        <v>66</v>
      </c>
      <c r="I71" s="169" t="str">
        <f t="shared" si="6"/>
        <v/>
      </c>
      <c r="J71" s="168">
        <f t="shared" ref="J71:J134" si="9">INT(LOG($H$2,2))-ROUNDUP(LOG(H71,2),0)+IF(OR($H$2=1,$H$2=2,$H$2=4,$H$2=8,$H$2=16,$H$2=32,$H$2=64,$H$2=128,$H$2=256),0,1)</f>
        <v>-2</v>
      </c>
      <c r="K71" s="168">
        <f t="shared" si="7"/>
        <v>-20</v>
      </c>
      <c r="L71" s="168"/>
      <c r="M71" s="170">
        <f t="shared" si="8"/>
        <v>0</v>
      </c>
    </row>
    <row r="72" spans="1:13">
      <c r="A72" s="193"/>
      <c r="G72" s="156"/>
      <c r="H72" s="168">
        <v>67</v>
      </c>
      <c r="I72" s="169" t="str">
        <f t="shared" si="6"/>
        <v/>
      </c>
      <c r="J72" s="168">
        <f t="shared" si="9"/>
        <v>-2</v>
      </c>
      <c r="K72" s="168">
        <f t="shared" si="7"/>
        <v>-20</v>
      </c>
      <c r="L72" s="168"/>
      <c r="M72" s="170">
        <f t="shared" si="8"/>
        <v>0</v>
      </c>
    </row>
    <row r="73" spans="1:13">
      <c r="A73" s="193"/>
      <c r="G73" s="156"/>
      <c r="H73" s="168">
        <v>68</v>
      </c>
      <c r="I73" s="169" t="str">
        <f t="shared" si="6"/>
        <v/>
      </c>
      <c r="J73" s="168">
        <f t="shared" si="9"/>
        <v>-2</v>
      </c>
      <c r="K73" s="168">
        <f t="shared" si="7"/>
        <v>-20</v>
      </c>
      <c r="L73" s="168"/>
      <c r="M73" s="170">
        <f t="shared" si="8"/>
        <v>0</v>
      </c>
    </row>
    <row r="74" spans="1:13">
      <c r="A74" s="193"/>
      <c r="G74" s="156"/>
      <c r="H74" s="168">
        <v>69</v>
      </c>
      <c r="I74" s="169" t="str">
        <f t="shared" si="6"/>
        <v/>
      </c>
      <c r="J74" s="168">
        <f t="shared" si="9"/>
        <v>-2</v>
      </c>
      <c r="K74" s="168">
        <f t="shared" si="7"/>
        <v>-20</v>
      </c>
      <c r="L74" s="168"/>
      <c r="M74" s="170">
        <f t="shared" si="8"/>
        <v>0</v>
      </c>
    </row>
    <row r="75" spans="1:13">
      <c r="A75" s="193"/>
      <c r="G75" s="156"/>
      <c r="H75" s="168">
        <v>70</v>
      </c>
      <c r="I75" s="169" t="str">
        <f t="shared" si="6"/>
        <v/>
      </c>
      <c r="J75" s="168">
        <f t="shared" si="9"/>
        <v>-2</v>
      </c>
      <c r="K75" s="168">
        <f t="shared" si="7"/>
        <v>-20</v>
      </c>
      <c r="L75" s="168"/>
      <c r="M75" s="170">
        <f t="shared" si="8"/>
        <v>0</v>
      </c>
    </row>
    <row r="76" spans="1:13">
      <c r="A76" s="193"/>
      <c r="G76" s="156"/>
      <c r="H76" s="168">
        <v>71</v>
      </c>
      <c r="I76" s="169" t="str">
        <f t="shared" si="6"/>
        <v/>
      </c>
      <c r="J76" s="168">
        <f t="shared" si="9"/>
        <v>-2</v>
      </c>
      <c r="K76" s="168">
        <f t="shared" si="7"/>
        <v>-20</v>
      </c>
      <c r="L76" s="168"/>
      <c r="M76" s="170">
        <f t="shared" si="8"/>
        <v>0</v>
      </c>
    </row>
    <row r="77" spans="1:13">
      <c r="A77" s="193"/>
      <c r="G77" s="156"/>
      <c r="H77" s="168">
        <v>72</v>
      </c>
      <c r="I77" s="169" t="str">
        <f t="shared" si="6"/>
        <v/>
      </c>
      <c r="J77" s="168">
        <f t="shared" si="9"/>
        <v>-2</v>
      </c>
      <c r="K77" s="168">
        <f t="shared" si="7"/>
        <v>-20</v>
      </c>
      <c r="L77" s="168"/>
      <c r="M77" s="170">
        <f t="shared" si="8"/>
        <v>0</v>
      </c>
    </row>
    <row r="78" spans="1:13">
      <c r="A78" s="193"/>
      <c r="G78" s="156"/>
      <c r="H78" s="168">
        <v>73</v>
      </c>
      <c r="I78" s="169" t="str">
        <f t="shared" si="6"/>
        <v/>
      </c>
      <c r="J78" s="168">
        <f t="shared" si="9"/>
        <v>-2</v>
      </c>
      <c r="K78" s="168">
        <f t="shared" si="7"/>
        <v>-20</v>
      </c>
      <c r="L78" s="168"/>
      <c r="M78" s="170">
        <f t="shared" si="8"/>
        <v>0</v>
      </c>
    </row>
    <row r="79" spans="1:13">
      <c r="A79" s="193"/>
      <c r="G79" s="156"/>
      <c r="H79" s="168">
        <v>74</v>
      </c>
      <c r="I79" s="169" t="str">
        <f t="shared" si="6"/>
        <v/>
      </c>
      <c r="J79" s="168">
        <f t="shared" si="9"/>
        <v>-2</v>
      </c>
      <c r="K79" s="168">
        <f t="shared" si="7"/>
        <v>-20</v>
      </c>
      <c r="L79" s="168"/>
      <c r="M79" s="170">
        <f t="shared" si="8"/>
        <v>0</v>
      </c>
    </row>
    <row r="80" spans="1:13">
      <c r="A80" s="193"/>
      <c r="G80" s="156"/>
      <c r="H80" s="168">
        <v>75</v>
      </c>
      <c r="I80" s="169" t="str">
        <f t="shared" si="6"/>
        <v/>
      </c>
      <c r="J80" s="168">
        <f t="shared" si="9"/>
        <v>-2</v>
      </c>
      <c r="K80" s="168">
        <f t="shared" si="7"/>
        <v>-20</v>
      </c>
      <c r="L80" s="168"/>
      <c r="M80" s="170">
        <f t="shared" si="8"/>
        <v>0</v>
      </c>
    </row>
    <row r="81" spans="1:13">
      <c r="A81" s="193"/>
      <c r="G81" s="156"/>
      <c r="H81" s="168">
        <v>76</v>
      </c>
      <c r="I81" s="169" t="str">
        <f t="shared" si="6"/>
        <v/>
      </c>
      <c r="J81" s="168">
        <f t="shared" si="9"/>
        <v>-2</v>
      </c>
      <c r="K81" s="168">
        <f t="shared" si="7"/>
        <v>-20</v>
      </c>
      <c r="L81" s="168"/>
      <c r="M81" s="170">
        <f t="shared" si="8"/>
        <v>0</v>
      </c>
    </row>
    <row r="82" spans="1:13">
      <c r="A82" s="193"/>
      <c r="G82" s="156"/>
      <c r="H82" s="168">
        <v>77</v>
      </c>
      <c r="I82" s="169" t="str">
        <f t="shared" si="6"/>
        <v/>
      </c>
      <c r="J82" s="168">
        <f t="shared" si="9"/>
        <v>-2</v>
      </c>
      <c r="K82" s="168">
        <f t="shared" si="7"/>
        <v>-20</v>
      </c>
      <c r="L82" s="168"/>
      <c r="M82" s="170">
        <f t="shared" si="8"/>
        <v>0</v>
      </c>
    </row>
    <row r="83" spans="1:13">
      <c r="A83" s="193"/>
      <c r="G83" s="156"/>
      <c r="H83" s="168">
        <v>78</v>
      </c>
      <c r="I83" s="169" t="str">
        <f t="shared" si="6"/>
        <v/>
      </c>
      <c r="J83" s="168">
        <f t="shared" si="9"/>
        <v>-2</v>
      </c>
      <c r="K83" s="168">
        <f t="shared" si="7"/>
        <v>-20</v>
      </c>
      <c r="L83" s="168"/>
      <c r="M83" s="170">
        <f t="shared" si="8"/>
        <v>0</v>
      </c>
    </row>
    <row r="84" spans="1:13">
      <c r="A84" s="193"/>
      <c r="G84" s="156"/>
      <c r="H84" s="168">
        <v>79</v>
      </c>
      <c r="I84" s="169" t="str">
        <f t="shared" si="6"/>
        <v/>
      </c>
      <c r="J84" s="168">
        <f t="shared" si="9"/>
        <v>-2</v>
      </c>
      <c r="K84" s="168">
        <f t="shared" si="7"/>
        <v>-20</v>
      </c>
      <c r="L84" s="168"/>
      <c r="M84" s="170">
        <f t="shared" si="8"/>
        <v>0</v>
      </c>
    </row>
    <row r="85" spans="1:13">
      <c r="A85" s="193"/>
      <c r="G85" s="156"/>
      <c r="H85" s="168">
        <v>80</v>
      </c>
      <c r="I85" s="169" t="str">
        <f t="shared" si="6"/>
        <v/>
      </c>
      <c r="J85" s="168">
        <f t="shared" si="9"/>
        <v>-2</v>
      </c>
      <c r="K85" s="168">
        <f t="shared" si="7"/>
        <v>-20</v>
      </c>
      <c r="L85" s="168"/>
      <c r="M85" s="170">
        <f t="shared" si="8"/>
        <v>0</v>
      </c>
    </row>
    <row r="86" spans="1:13">
      <c r="A86" s="193"/>
      <c r="G86" s="156"/>
      <c r="H86" s="168">
        <v>81</v>
      </c>
      <c r="I86" s="169" t="str">
        <f t="shared" si="6"/>
        <v/>
      </c>
      <c r="J86" s="168">
        <f t="shared" si="9"/>
        <v>-2</v>
      </c>
      <c r="K86" s="168">
        <f t="shared" si="7"/>
        <v>-20</v>
      </c>
      <c r="L86" s="168"/>
      <c r="M86" s="170">
        <f t="shared" si="8"/>
        <v>0</v>
      </c>
    </row>
    <row r="87" spans="1:13">
      <c r="A87" s="193"/>
      <c r="G87" s="156"/>
      <c r="H87" s="168">
        <v>82</v>
      </c>
      <c r="I87" s="169" t="str">
        <f t="shared" si="6"/>
        <v/>
      </c>
      <c r="J87" s="168">
        <f t="shared" si="9"/>
        <v>-2</v>
      </c>
      <c r="K87" s="168">
        <f t="shared" si="7"/>
        <v>-20</v>
      </c>
      <c r="L87" s="168"/>
      <c r="M87" s="170">
        <f t="shared" si="8"/>
        <v>0</v>
      </c>
    </row>
    <row r="88" spans="1:13">
      <c r="A88" s="193"/>
      <c r="G88" s="156"/>
      <c r="H88" s="168">
        <v>83</v>
      </c>
      <c r="I88" s="169" t="str">
        <f t="shared" si="6"/>
        <v/>
      </c>
      <c r="J88" s="168">
        <f t="shared" si="9"/>
        <v>-2</v>
      </c>
      <c r="K88" s="168">
        <f t="shared" si="7"/>
        <v>-20</v>
      </c>
      <c r="L88" s="168"/>
      <c r="M88" s="170">
        <f t="shared" si="8"/>
        <v>0</v>
      </c>
    </row>
    <row r="89" spans="1:13">
      <c r="A89" s="193"/>
      <c r="G89" s="156"/>
      <c r="H89" s="168">
        <v>84</v>
      </c>
      <c r="I89" s="169" t="str">
        <f t="shared" si="6"/>
        <v/>
      </c>
      <c r="J89" s="168">
        <f t="shared" si="9"/>
        <v>-2</v>
      </c>
      <c r="K89" s="168">
        <f t="shared" si="7"/>
        <v>-20</v>
      </c>
      <c r="L89" s="168"/>
      <c r="M89" s="170">
        <f t="shared" si="8"/>
        <v>0</v>
      </c>
    </row>
    <row r="90" spans="1:13">
      <c r="A90" s="193"/>
      <c r="G90" s="156"/>
      <c r="H90" s="168">
        <v>85</v>
      </c>
      <c r="I90" s="169" t="str">
        <f t="shared" si="6"/>
        <v/>
      </c>
      <c r="J90" s="168">
        <f t="shared" si="9"/>
        <v>-2</v>
      </c>
      <c r="K90" s="168">
        <f t="shared" si="7"/>
        <v>-20</v>
      </c>
      <c r="L90" s="168"/>
      <c r="M90" s="170">
        <f t="shared" si="8"/>
        <v>0</v>
      </c>
    </row>
    <row r="91" spans="1:13">
      <c r="A91" s="193"/>
      <c r="G91" s="156"/>
      <c r="H91" s="168">
        <v>86</v>
      </c>
      <c r="I91" s="169" t="str">
        <f t="shared" si="6"/>
        <v/>
      </c>
      <c r="J91" s="168">
        <f t="shared" si="9"/>
        <v>-2</v>
      </c>
      <c r="K91" s="168">
        <f t="shared" si="7"/>
        <v>-20</v>
      </c>
      <c r="L91" s="168"/>
      <c r="M91" s="170">
        <f t="shared" si="8"/>
        <v>0</v>
      </c>
    </row>
    <row r="92" spans="1:13">
      <c r="A92" s="193"/>
      <c r="G92" s="156"/>
      <c r="H92" s="168">
        <v>87</v>
      </c>
      <c r="I92" s="169" t="str">
        <f t="shared" si="6"/>
        <v/>
      </c>
      <c r="J92" s="168">
        <f t="shared" si="9"/>
        <v>-2</v>
      </c>
      <c r="K92" s="168">
        <f t="shared" si="7"/>
        <v>-20</v>
      </c>
      <c r="L92" s="168"/>
      <c r="M92" s="170">
        <f t="shared" si="8"/>
        <v>0</v>
      </c>
    </row>
    <row r="93" spans="1:13">
      <c r="A93" s="193"/>
      <c r="G93" s="156"/>
      <c r="H93" s="168">
        <v>88</v>
      </c>
      <c r="I93" s="169" t="str">
        <f t="shared" si="6"/>
        <v/>
      </c>
      <c r="J93" s="168">
        <f t="shared" si="9"/>
        <v>-2</v>
      </c>
      <c r="K93" s="168">
        <f t="shared" si="7"/>
        <v>-20</v>
      </c>
      <c r="L93" s="168"/>
      <c r="M93" s="170">
        <f t="shared" si="8"/>
        <v>0</v>
      </c>
    </row>
    <row r="94" spans="1:13">
      <c r="A94" s="193"/>
      <c r="G94" s="156"/>
      <c r="H94" s="168">
        <v>89</v>
      </c>
      <c r="I94" s="169" t="str">
        <f t="shared" si="6"/>
        <v/>
      </c>
      <c r="J94" s="168">
        <f t="shared" si="9"/>
        <v>-2</v>
      </c>
      <c r="K94" s="168">
        <f t="shared" si="7"/>
        <v>-20</v>
      </c>
      <c r="L94" s="168"/>
      <c r="M94" s="170">
        <f t="shared" si="8"/>
        <v>0</v>
      </c>
    </row>
    <row r="95" spans="1:13">
      <c r="A95" s="193"/>
      <c r="G95" s="156"/>
      <c r="H95" s="168">
        <v>90</v>
      </c>
      <c r="I95" s="169" t="str">
        <f t="shared" si="6"/>
        <v/>
      </c>
      <c r="J95" s="168">
        <f t="shared" si="9"/>
        <v>-2</v>
      </c>
      <c r="K95" s="168">
        <f t="shared" si="7"/>
        <v>-20</v>
      </c>
      <c r="L95" s="168"/>
      <c r="M95" s="170">
        <f t="shared" si="8"/>
        <v>0</v>
      </c>
    </row>
    <row r="96" spans="1:13">
      <c r="A96" s="193"/>
      <c r="G96" s="156"/>
      <c r="H96" s="168">
        <v>91</v>
      </c>
      <c r="I96" s="169" t="str">
        <f t="shared" si="6"/>
        <v/>
      </c>
      <c r="J96" s="168">
        <f t="shared" si="9"/>
        <v>-2</v>
      </c>
      <c r="K96" s="168">
        <f t="shared" si="7"/>
        <v>-20</v>
      </c>
      <c r="L96" s="168"/>
      <c r="M96" s="170">
        <f t="shared" si="8"/>
        <v>0</v>
      </c>
    </row>
    <row r="97" spans="1:13">
      <c r="A97" s="193"/>
      <c r="G97" s="156"/>
      <c r="H97" s="168">
        <v>92</v>
      </c>
      <c r="I97" s="169" t="str">
        <f t="shared" si="6"/>
        <v/>
      </c>
      <c r="J97" s="168">
        <f t="shared" si="9"/>
        <v>-2</v>
      </c>
      <c r="K97" s="168">
        <f t="shared" si="7"/>
        <v>-20</v>
      </c>
      <c r="L97" s="168"/>
      <c r="M97" s="170">
        <f t="shared" si="8"/>
        <v>0</v>
      </c>
    </row>
    <row r="98" spans="1:13">
      <c r="A98" s="193"/>
      <c r="G98" s="156"/>
      <c r="H98" s="168">
        <v>93</v>
      </c>
      <c r="I98" s="169" t="str">
        <f t="shared" si="6"/>
        <v/>
      </c>
      <c r="J98" s="168">
        <f t="shared" si="9"/>
        <v>-2</v>
      </c>
      <c r="K98" s="168">
        <f t="shared" si="7"/>
        <v>-20</v>
      </c>
      <c r="L98" s="168"/>
      <c r="M98" s="170">
        <f t="shared" si="8"/>
        <v>0</v>
      </c>
    </row>
    <row r="99" spans="1:13">
      <c r="A99" s="193"/>
      <c r="G99" s="156"/>
      <c r="H99" s="168">
        <v>94</v>
      </c>
      <c r="I99" s="169" t="str">
        <f t="shared" si="6"/>
        <v/>
      </c>
      <c r="J99" s="168">
        <f t="shared" si="9"/>
        <v>-2</v>
      </c>
      <c r="K99" s="168">
        <f t="shared" si="7"/>
        <v>-20</v>
      </c>
      <c r="L99" s="168"/>
      <c r="M99" s="170">
        <f t="shared" si="8"/>
        <v>0</v>
      </c>
    </row>
    <row r="100" spans="1:13">
      <c r="A100" s="193"/>
      <c r="G100" s="156"/>
      <c r="H100" s="168">
        <v>95</v>
      </c>
      <c r="I100" s="169" t="str">
        <f t="shared" si="6"/>
        <v/>
      </c>
      <c r="J100" s="168">
        <f t="shared" si="9"/>
        <v>-2</v>
      </c>
      <c r="K100" s="168">
        <f t="shared" si="7"/>
        <v>-20</v>
      </c>
      <c r="L100" s="168"/>
      <c r="M100" s="170">
        <f t="shared" si="8"/>
        <v>0</v>
      </c>
    </row>
    <row r="101" spans="1:13">
      <c r="A101" s="185"/>
      <c r="G101" s="156"/>
      <c r="H101" s="168">
        <v>96</v>
      </c>
      <c r="I101" s="169" t="str">
        <f t="shared" si="6"/>
        <v/>
      </c>
      <c r="J101" s="168">
        <f t="shared" si="9"/>
        <v>-2</v>
      </c>
      <c r="K101" s="168">
        <f t="shared" si="7"/>
        <v>-20</v>
      </c>
      <c r="L101" s="168"/>
      <c r="M101" s="170">
        <f t="shared" si="8"/>
        <v>0</v>
      </c>
    </row>
    <row r="102" spans="1:13">
      <c r="A102" s="185"/>
      <c r="G102" s="156"/>
      <c r="H102" s="168">
        <v>97</v>
      </c>
      <c r="I102" s="169" t="str">
        <f t="shared" si="6"/>
        <v/>
      </c>
      <c r="J102" s="168">
        <f t="shared" si="9"/>
        <v>-2</v>
      </c>
      <c r="K102" s="168">
        <f t="shared" si="7"/>
        <v>-20</v>
      </c>
      <c r="L102" s="168"/>
      <c r="M102" s="170">
        <f t="shared" si="8"/>
        <v>0</v>
      </c>
    </row>
    <row r="103" spans="1:13">
      <c r="A103" s="185"/>
      <c r="G103" s="156"/>
      <c r="H103" s="168">
        <v>98</v>
      </c>
      <c r="I103" s="169" t="str">
        <f t="shared" si="6"/>
        <v/>
      </c>
      <c r="J103" s="168">
        <f t="shared" si="9"/>
        <v>-2</v>
      </c>
      <c r="K103" s="168">
        <f t="shared" si="7"/>
        <v>-20</v>
      </c>
      <c r="L103" s="168"/>
      <c r="M103" s="170">
        <f t="shared" si="8"/>
        <v>0</v>
      </c>
    </row>
    <row r="104" spans="1:13">
      <c r="A104" s="185"/>
      <c r="G104" s="156"/>
      <c r="H104" s="168">
        <v>99</v>
      </c>
      <c r="I104" s="169" t="str">
        <f t="shared" si="6"/>
        <v/>
      </c>
      <c r="J104" s="168">
        <f t="shared" si="9"/>
        <v>-2</v>
      </c>
      <c r="K104" s="168">
        <f t="shared" si="7"/>
        <v>-20</v>
      </c>
      <c r="L104" s="168"/>
      <c r="M104" s="170">
        <f t="shared" si="8"/>
        <v>0</v>
      </c>
    </row>
    <row r="105" spans="1:13">
      <c r="A105" s="185"/>
      <c r="G105" s="156"/>
      <c r="H105" s="168">
        <v>100</v>
      </c>
      <c r="I105" s="169" t="str">
        <f t="shared" si="6"/>
        <v/>
      </c>
      <c r="J105" s="168">
        <f t="shared" si="9"/>
        <v>-2</v>
      </c>
      <c r="K105" s="168">
        <f t="shared" si="7"/>
        <v>-20</v>
      </c>
      <c r="L105" s="168"/>
      <c r="M105" s="170">
        <f t="shared" si="8"/>
        <v>0</v>
      </c>
    </row>
    <row r="106" spans="1:13">
      <c r="A106" s="185"/>
      <c r="G106" s="156"/>
      <c r="H106" s="168">
        <v>101</v>
      </c>
      <c r="I106" s="169" t="str">
        <f t="shared" si="6"/>
        <v/>
      </c>
      <c r="J106" s="168">
        <f t="shared" si="9"/>
        <v>-2</v>
      </c>
      <c r="K106" s="168">
        <f t="shared" si="7"/>
        <v>-20</v>
      </c>
      <c r="L106" s="168"/>
      <c r="M106" s="170">
        <f t="shared" si="8"/>
        <v>0</v>
      </c>
    </row>
    <row r="107" spans="1:13">
      <c r="A107" s="185"/>
      <c r="G107" s="156"/>
      <c r="H107" s="168">
        <v>102</v>
      </c>
      <c r="I107" s="169" t="str">
        <f t="shared" si="6"/>
        <v/>
      </c>
      <c r="J107" s="168">
        <f t="shared" si="9"/>
        <v>-2</v>
      </c>
      <c r="K107" s="168">
        <f t="shared" si="7"/>
        <v>-20</v>
      </c>
      <c r="L107" s="168"/>
      <c r="M107" s="170">
        <f t="shared" si="8"/>
        <v>0</v>
      </c>
    </row>
    <row r="108" spans="1:13">
      <c r="A108" s="185"/>
      <c r="G108" s="156"/>
      <c r="H108" s="168">
        <v>103</v>
      </c>
      <c r="I108" s="169" t="str">
        <f t="shared" si="6"/>
        <v/>
      </c>
      <c r="J108" s="168">
        <f t="shared" si="9"/>
        <v>-2</v>
      </c>
      <c r="K108" s="168">
        <f t="shared" si="7"/>
        <v>-20</v>
      </c>
      <c r="L108" s="168"/>
      <c r="M108" s="170">
        <f t="shared" si="8"/>
        <v>0</v>
      </c>
    </row>
    <row r="109" spans="1:13">
      <c r="A109" s="185"/>
      <c r="G109" s="156"/>
      <c r="H109" s="168">
        <v>104</v>
      </c>
      <c r="I109" s="169" t="str">
        <f t="shared" si="6"/>
        <v/>
      </c>
      <c r="J109" s="168">
        <f t="shared" si="9"/>
        <v>-2</v>
      </c>
      <c r="K109" s="168">
        <f t="shared" si="7"/>
        <v>-20</v>
      </c>
      <c r="L109" s="168"/>
      <c r="M109" s="170">
        <f t="shared" si="8"/>
        <v>0</v>
      </c>
    </row>
    <row r="110" spans="1:13">
      <c r="A110" s="185"/>
      <c r="G110" s="156"/>
      <c r="H110" s="168">
        <v>105</v>
      </c>
      <c r="I110" s="169" t="str">
        <f t="shared" si="6"/>
        <v/>
      </c>
      <c r="J110" s="168">
        <f t="shared" si="9"/>
        <v>-2</v>
      </c>
      <c r="K110" s="168">
        <f t="shared" si="7"/>
        <v>-20</v>
      </c>
      <c r="L110" s="168"/>
      <c r="M110" s="170">
        <f t="shared" si="8"/>
        <v>0</v>
      </c>
    </row>
    <row r="111" spans="1:13">
      <c r="A111" s="185"/>
      <c r="G111" s="156"/>
      <c r="H111" s="168">
        <v>106</v>
      </c>
      <c r="I111" s="169" t="str">
        <f t="shared" si="6"/>
        <v/>
      </c>
      <c r="J111" s="168">
        <f t="shared" si="9"/>
        <v>-2</v>
      </c>
      <c r="K111" s="168">
        <f t="shared" si="7"/>
        <v>-20</v>
      </c>
      <c r="L111" s="168"/>
      <c r="M111" s="170">
        <f t="shared" si="8"/>
        <v>0</v>
      </c>
    </row>
    <row r="112" spans="1:13">
      <c r="A112" s="185"/>
      <c r="G112" s="156"/>
      <c r="H112" s="168">
        <v>107</v>
      </c>
      <c r="I112" s="169" t="str">
        <f t="shared" si="6"/>
        <v/>
      </c>
      <c r="J112" s="168">
        <f t="shared" si="9"/>
        <v>-2</v>
      </c>
      <c r="K112" s="168">
        <f t="shared" si="7"/>
        <v>-20</v>
      </c>
      <c r="L112" s="168"/>
      <c r="M112" s="170">
        <f t="shared" si="8"/>
        <v>0</v>
      </c>
    </row>
    <row r="113" spans="1:13">
      <c r="A113" s="185"/>
      <c r="G113" s="156"/>
      <c r="H113" s="168">
        <v>108</v>
      </c>
      <c r="I113" s="169" t="str">
        <f t="shared" si="6"/>
        <v/>
      </c>
      <c r="J113" s="168">
        <f t="shared" si="9"/>
        <v>-2</v>
      </c>
      <c r="K113" s="168">
        <f t="shared" si="7"/>
        <v>-20</v>
      </c>
      <c r="L113" s="168"/>
      <c r="M113" s="170">
        <f t="shared" si="8"/>
        <v>0</v>
      </c>
    </row>
    <row r="114" spans="1:13">
      <c r="A114" s="185"/>
      <c r="G114" s="156"/>
      <c r="H114" s="168">
        <v>109</v>
      </c>
      <c r="I114" s="169" t="str">
        <f t="shared" si="6"/>
        <v/>
      </c>
      <c r="J114" s="168">
        <f t="shared" si="9"/>
        <v>-2</v>
      </c>
      <c r="K114" s="168">
        <f t="shared" si="7"/>
        <v>-20</v>
      </c>
      <c r="L114" s="168"/>
      <c r="M114" s="170">
        <f t="shared" si="8"/>
        <v>0</v>
      </c>
    </row>
    <row r="115" spans="1:13">
      <c r="A115" s="185"/>
      <c r="G115" s="156"/>
      <c r="H115" s="168">
        <v>110</v>
      </c>
      <c r="I115" s="169" t="str">
        <f t="shared" si="6"/>
        <v/>
      </c>
      <c r="J115" s="168">
        <f t="shared" si="9"/>
        <v>-2</v>
      </c>
      <c r="K115" s="168">
        <f t="shared" si="7"/>
        <v>-20</v>
      </c>
      <c r="L115" s="168"/>
      <c r="M115" s="170">
        <f t="shared" si="8"/>
        <v>0</v>
      </c>
    </row>
    <row r="116" spans="1:13">
      <c r="A116" s="185"/>
      <c r="G116" s="156"/>
      <c r="H116" s="168">
        <v>111</v>
      </c>
      <c r="I116" s="169" t="str">
        <f t="shared" si="6"/>
        <v/>
      </c>
      <c r="J116" s="168">
        <f t="shared" si="9"/>
        <v>-2</v>
      </c>
      <c r="K116" s="168">
        <f t="shared" si="7"/>
        <v>-20</v>
      </c>
      <c r="L116" s="168"/>
      <c r="M116" s="170">
        <f t="shared" si="8"/>
        <v>0</v>
      </c>
    </row>
    <row r="117" spans="1:13">
      <c r="A117" s="185"/>
      <c r="G117" s="156"/>
      <c r="H117" s="168">
        <v>112</v>
      </c>
      <c r="I117" s="169" t="str">
        <f t="shared" si="6"/>
        <v/>
      </c>
      <c r="J117" s="168">
        <f t="shared" si="9"/>
        <v>-2</v>
      </c>
      <c r="K117" s="168">
        <f t="shared" si="7"/>
        <v>-20</v>
      </c>
      <c r="L117" s="168"/>
      <c r="M117" s="170">
        <f t="shared" si="8"/>
        <v>0</v>
      </c>
    </row>
    <row r="118" spans="1:13">
      <c r="A118" s="185"/>
      <c r="G118" s="156"/>
      <c r="H118" s="168">
        <v>113</v>
      </c>
      <c r="I118" s="169" t="str">
        <f t="shared" si="6"/>
        <v/>
      </c>
      <c r="J118" s="168">
        <f t="shared" si="9"/>
        <v>-2</v>
      </c>
      <c r="K118" s="168">
        <f t="shared" si="7"/>
        <v>-20</v>
      </c>
      <c r="L118" s="168"/>
      <c r="M118" s="170">
        <f t="shared" si="8"/>
        <v>0</v>
      </c>
    </row>
    <row r="119" spans="1:13">
      <c r="A119" s="185"/>
      <c r="G119" s="156"/>
      <c r="H119" s="168">
        <v>114</v>
      </c>
      <c r="I119" s="169" t="str">
        <f t="shared" si="6"/>
        <v/>
      </c>
      <c r="J119" s="168">
        <f t="shared" si="9"/>
        <v>-2</v>
      </c>
      <c r="K119" s="168">
        <f t="shared" si="7"/>
        <v>-20</v>
      </c>
      <c r="L119" s="168"/>
      <c r="M119" s="170">
        <f t="shared" si="8"/>
        <v>0</v>
      </c>
    </row>
    <row r="120" spans="1:13">
      <c r="A120" s="185"/>
      <c r="G120" s="156"/>
      <c r="H120" s="168">
        <v>115</v>
      </c>
      <c r="I120" s="169" t="str">
        <f t="shared" si="6"/>
        <v/>
      </c>
      <c r="J120" s="168">
        <f t="shared" si="9"/>
        <v>-2</v>
      </c>
      <c r="K120" s="168">
        <f t="shared" si="7"/>
        <v>-20</v>
      </c>
      <c r="L120" s="168"/>
      <c r="M120" s="170">
        <f t="shared" si="8"/>
        <v>0</v>
      </c>
    </row>
    <row r="121" spans="1:13">
      <c r="A121" s="185"/>
      <c r="G121" s="156"/>
      <c r="H121" s="168">
        <v>116</v>
      </c>
      <c r="I121" s="169" t="str">
        <f t="shared" si="6"/>
        <v/>
      </c>
      <c r="J121" s="168">
        <f t="shared" si="9"/>
        <v>-2</v>
      </c>
      <c r="K121" s="168">
        <f t="shared" si="7"/>
        <v>-20</v>
      </c>
      <c r="L121" s="168"/>
      <c r="M121" s="170">
        <f t="shared" si="8"/>
        <v>0</v>
      </c>
    </row>
    <row r="122" spans="1:13">
      <c r="A122" s="185"/>
      <c r="G122" s="156"/>
      <c r="H122" s="168">
        <v>117</v>
      </c>
      <c r="I122" s="169" t="str">
        <f t="shared" si="6"/>
        <v/>
      </c>
      <c r="J122" s="168">
        <f t="shared" si="9"/>
        <v>-2</v>
      </c>
      <c r="K122" s="168">
        <f t="shared" si="7"/>
        <v>-20</v>
      </c>
      <c r="L122" s="168"/>
      <c r="M122" s="170">
        <f t="shared" si="8"/>
        <v>0</v>
      </c>
    </row>
    <row r="123" spans="1:13">
      <c r="A123" s="185"/>
      <c r="G123" s="156"/>
      <c r="H123" s="168">
        <v>118</v>
      </c>
      <c r="I123" s="169" t="str">
        <f t="shared" si="6"/>
        <v/>
      </c>
      <c r="J123" s="168">
        <f t="shared" si="9"/>
        <v>-2</v>
      </c>
      <c r="K123" s="168">
        <f t="shared" si="7"/>
        <v>-20</v>
      </c>
      <c r="L123" s="168"/>
      <c r="M123" s="170">
        <f t="shared" si="8"/>
        <v>0</v>
      </c>
    </row>
    <row r="124" spans="1:13">
      <c r="A124" s="185"/>
      <c r="G124" s="156"/>
      <c r="H124" s="168">
        <v>119</v>
      </c>
      <c r="I124" s="169" t="str">
        <f t="shared" si="6"/>
        <v/>
      </c>
      <c r="J124" s="168">
        <f t="shared" si="9"/>
        <v>-2</v>
      </c>
      <c r="K124" s="168">
        <f t="shared" si="7"/>
        <v>-20</v>
      </c>
      <c r="L124" s="168"/>
      <c r="M124" s="170">
        <f t="shared" si="8"/>
        <v>0</v>
      </c>
    </row>
    <row r="125" spans="1:13">
      <c r="A125" s="185"/>
      <c r="G125" s="156"/>
      <c r="H125" s="168">
        <v>120</v>
      </c>
      <c r="I125" s="169" t="str">
        <f t="shared" si="6"/>
        <v/>
      </c>
      <c r="J125" s="168">
        <f t="shared" si="9"/>
        <v>-2</v>
      </c>
      <c r="K125" s="168">
        <f t="shared" si="7"/>
        <v>-20</v>
      </c>
      <c r="L125" s="168"/>
      <c r="M125" s="170">
        <f t="shared" si="8"/>
        <v>0</v>
      </c>
    </row>
    <row r="126" spans="1:13">
      <c r="A126" s="185"/>
      <c r="G126" s="156"/>
      <c r="H126" s="168">
        <v>121</v>
      </c>
      <c r="I126" s="169" t="str">
        <f t="shared" si="6"/>
        <v/>
      </c>
      <c r="J126" s="168">
        <f t="shared" si="9"/>
        <v>-2</v>
      </c>
      <c r="K126" s="168">
        <f t="shared" si="7"/>
        <v>-20</v>
      </c>
      <c r="L126" s="168"/>
      <c r="M126" s="170">
        <f t="shared" si="8"/>
        <v>0</v>
      </c>
    </row>
    <row r="127" spans="1:13">
      <c r="A127" s="185"/>
      <c r="G127" s="156"/>
      <c r="H127" s="168">
        <v>122</v>
      </c>
      <c r="I127" s="169" t="str">
        <f t="shared" si="6"/>
        <v/>
      </c>
      <c r="J127" s="168">
        <f t="shared" si="9"/>
        <v>-2</v>
      </c>
      <c r="K127" s="168">
        <f t="shared" si="7"/>
        <v>-20</v>
      </c>
      <c r="L127" s="168"/>
      <c r="M127" s="170">
        <f t="shared" si="8"/>
        <v>0</v>
      </c>
    </row>
    <row r="128" spans="1:13">
      <c r="A128" s="185"/>
      <c r="G128" s="156"/>
      <c r="H128" s="168">
        <v>123</v>
      </c>
      <c r="I128" s="169" t="str">
        <f t="shared" si="6"/>
        <v/>
      </c>
      <c r="J128" s="168">
        <f t="shared" si="9"/>
        <v>-2</v>
      </c>
      <c r="K128" s="168">
        <f t="shared" si="7"/>
        <v>-20</v>
      </c>
      <c r="L128" s="168"/>
      <c r="M128" s="170">
        <f t="shared" si="8"/>
        <v>0</v>
      </c>
    </row>
    <row r="129" spans="1:13">
      <c r="A129" s="185"/>
      <c r="G129" s="156"/>
      <c r="H129" s="168">
        <v>124</v>
      </c>
      <c r="I129" s="169" t="str">
        <f t="shared" si="6"/>
        <v/>
      </c>
      <c r="J129" s="168">
        <f t="shared" si="9"/>
        <v>-2</v>
      </c>
      <c r="K129" s="168">
        <f t="shared" si="7"/>
        <v>-20</v>
      </c>
      <c r="L129" s="168"/>
      <c r="M129" s="170">
        <f t="shared" si="8"/>
        <v>0</v>
      </c>
    </row>
    <row r="130" spans="1:13">
      <c r="A130" s="185"/>
      <c r="G130" s="156"/>
      <c r="H130" s="168">
        <v>125</v>
      </c>
      <c r="I130" s="169" t="str">
        <f t="shared" si="6"/>
        <v/>
      </c>
      <c r="J130" s="168">
        <f t="shared" si="9"/>
        <v>-2</v>
      </c>
      <c r="K130" s="168">
        <f t="shared" si="7"/>
        <v>-20</v>
      </c>
      <c r="L130" s="168"/>
      <c r="M130" s="170">
        <f t="shared" si="8"/>
        <v>0</v>
      </c>
    </row>
    <row r="131" spans="1:13">
      <c r="A131" s="185"/>
      <c r="G131" s="156"/>
      <c r="H131" s="168">
        <v>126</v>
      </c>
      <c r="I131" s="169" t="str">
        <f t="shared" si="6"/>
        <v/>
      </c>
      <c r="J131" s="168">
        <f t="shared" si="9"/>
        <v>-2</v>
      </c>
      <c r="K131" s="168">
        <f t="shared" si="7"/>
        <v>-20</v>
      </c>
      <c r="L131" s="168"/>
      <c r="M131" s="170">
        <f t="shared" si="8"/>
        <v>0</v>
      </c>
    </row>
    <row r="132" spans="1:13">
      <c r="A132" s="185"/>
      <c r="G132" s="156"/>
      <c r="H132" s="168">
        <v>127</v>
      </c>
      <c r="I132" s="169" t="str">
        <f t="shared" si="6"/>
        <v/>
      </c>
      <c r="J132" s="168">
        <f t="shared" si="9"/>
        <v>-2</v>
      </c>
      <c r="K132" s="168">
        <f t="shared" si="7"/>
        <v>-20</v>
      </c>
      <c r="L132" s="168"/>
      <c r="M132" s="170">
        <f t="shared" si="8"/>
        <v>0</v>
      </c>
    </row>
    <row r="133" spans="1:13">
      <c r="A133" s="185"/>
      <c r="G133" s="156"/>
      <c r="H133" s="168">
        <v>128</v>
      </c>
      <c r="I133" s="169" t="str">
        <f t="shared" si="6"/>
        <v/>
      </c>
      <c r="J133" s="168">
        <f t="shared" si="9"/>
        <v>-2</v>
      </c>
      <c r="K133" s="168">
        <f t="shared" si="7"/>
        <v>-20</v>
      </c>
      <c r="L133" s="168"/>
      <c r="M133" s="170">
        <f t="shared" si="8"/>
        <v>0</v>
      </c>
    </row>
    <row r="134" spans="1:13">
      <c r="A134" s="185"/>
      <c r="G134" s="156"/>
      <c r="H134" s="168">
        <v>129</v>
      </c>
      <c r="I134" s="169" t="str">
        <f t="shared" ref="I134:I197" si="10">IF(H134&lt;$H$2+1,($I$2-($I$2-1)*(LOG(H134)/LOG($H$2))),"")</f>
        <v/>
      </c>
      <c r="J134" s="168">
        <f t="shared" si="9"/>
        <v>-3</v>
      </c>
      <c r="K134" s="168">
        <f t="shared" ref="K134:K197" si="11">J134*$J$2</f>
        <v>-30</v>
      </c>
      <c r="L134" s="168"/>
      <c r="M134" s="170">
        <f t="shared" ref="M134:M197" si="12">IF(I134&lt;&gt;"",K134+I134+L134,0)</f>
        <v>0</v>
      </c>
    </row>
    <row r="135" spans="1:13">
      <c r="A135" s="185"/>
      <c r="G135" s="156"/>
      <c r="H135" s="168">
        <v>130</v>
      </c>
      <c r="I135" s="169" t="str">
        <f t="shared" si="10"/>
        <v/>
      </c>
      <c r="J135" s="168">
        <f t="shared" ref="J135:J198" si="13">INT(LOG($H$2,2))-ROUNDUP(LOG(H135,2),0)+IF(OR($H$2=1,$H$2=2,$H$2=4,$H$2=8,$H$2=16,$H$2=32,$H$2=64,$H$2=128,$H$2=256),0,1)</f>
        <v>-3</v>
      </c>
      <c r="K135" s="168">
        <f t="shared" si="11"/>
        <v>-30</v>
      </c>
      <c r="L135" s="168"/>
      <c r="M135" s="170">
        <f t="shared" si="12"/>
        <v>0</v>
      </c>
    </row>
    <row r="136" spans="1:13">
      <c r="A136" s="185"/>
      <c r="G136" s="156"/>
      <c r="H136" s="168">
        <v>131</v>
      </c>
      <c r="I136" s="169" t="str">
        <f t="shared" si="10"/>
        <v/>
      </c>
      <c r="J136" s="168">
        <f t="shared" si="13"/>
        <v>-3</v>
      </c>
      <c r="K136" s="168">
        <f t="shared" si="11"/>
        <v>-30</v>
      </c>
      <c r="L136" s="168"/>
      <c r="M136" s="170">
        <f t="shared" si="12"/>
        <v>0</v>
      </c>
    </row>
    <row r="137" spans="1:13">
      <c r="A137" s="185"/>
      <c r="G137" s="156"/>
      <c r="H137" s="168">
        <v>132</v>
      </c>
      <c r="I137" s="169" t="str">
        <f t="shared" si="10"/>
        <v/>
      </c>
      <c r="J137" s="168">
        <f t="shared" si="13"/>
        <v>-3</v>
      </c>
      <c r="K137" s="168">
        <f t="shared" si="11"/>
        <v>-30</v>
      </c>
      <c r="L137" s="168"/>
      <c r="M137" s="170">
        <f t="shared" si="12"/>
        <v>0</v>
      </c>
    </row>
    <row r="138" spans="1:13">
      <c r="A138" s="185"/>
      <c r="G138" s="156"/>
      <c r="H138" s="168">
        <v>133</v>
      </c>
      <c r="I138" s="169" t="str">
        <f t="shared" si="10"/>
        <v/>
      </c>
      <c r="J138" s="168">
        <f t="shared" si="13"/>
        <v>-3</v>
      </c>
      <c r="K138" s="168">
        <f t="shared" si="11"/>
        <v>-30</v>
      </c>
      <c r="L138" s="168"/>
      <c r="M138" s="170">
        <f t="shared" si="12"/>
        <v>0</v>
      </c>
    </row>
    <row r="139" spans="1:13">
      <c r="A139" s="185"/>
      <c r="G139" s="156"/>
      <c r="H139" s="168">
        <v>134</v>
      </c>
      <c r="I139" s="169" t="str">
        <f t="shared" si="10"/>
        <v/>
      </c>
      <c r="J139" s="168">
        <f t="shared" si="13"/>
        <v>-3</v>
      </c>
      <c r="K139" s="168">
        <f t="shared" si="11"/>
        <v>-30</v>
      </c>
      <c r="L139" s="168"/>
      <c r="M139" s="170">
        <f t="shared" si="12"/>
        <v>0</v>
      </c>
    </row>
    <row r="140" spans="1:13">
      <c r="A140" s="185"/>
      <c r="G140" s="156"/>
      <c r="H140" s="168">
        <v>135</v>
      </c>
      <c r="I140" s="169" t="str">
        <f t="shared" si="10"/>
        <v/>
      </c>
      <c r="J140" s="168">
        <f t="shared" si="13"/>
        <v>-3</v>
      </c>
      <c r="K140" s="168">
        <f t="shared" si="11"/>
        <v>-30</v>
      </c>
      <c r="L140" s="168"/>
      <c r="M140" s="170">
        <f t="shared" si="12"/>
        <v>0</v>
      </c>
    </row>
    <row r="141" spans="1:13">
      <c r="A141" s="185"/>
      <c r="G141" s="156"/>
      <c r="H141" s="168">
        <v>136</v>
      </c>
      <c r="I141" s="169" t="str">
        <f t="shared" si="10"/>
        <v/>
      </c>
      <c r="J141" s="168">
        <f t="shared" si="13"/>
        <v>-3</v>
      </c>
      <c r="K141" s="168">
        <f t="shared" si="11"/>
        <v>-30</v>
      </c>
      <c r="L141" s="168"/>
      <c r="M141" s="170">
        <f t="shared" si="12"/>
        <v>0</v>
      </c>
    </row>
    <row r="142" spans="1:13">
      <c r="A142" s="185"/>
      <c r="G142" s="156"/>
      <c r="H142" s="168">
        <v>137</v>
      </c>
      <c r="I142" s="169" t="str">
        <f t="shared" si="10"/>
        <v/>
      </c>
      <c r="J142" s="168">
        <f t="shared" si="13"/>
        <v>-3</v>
      </c>
      <c r="K142" s="168">
        <f t="shared" si="11"/>
        <v>-30</v>
      </c>
      <c r="L142" s="168"/>
      <c r="M142" s="170">
        <f t="shared" si="12"/>
        <v>0</v>
      </c>
    </row>
    <row r="143" spans="1:13">
      <c r="A143" s="185"/>
      <c r="G143" s="156"/>
      <c r="H143" s="168">
        <v>138</v>
      </c>
      <c r="I143" s="169" t="str">
        <f t="shared" si="10"/>
        <v/>
      </c>
      <c r="J143" s="168">
        <f t="shared" si="13"/>
        <v>-3</v>
      </c>
      <c r="K143" s="168">
        <f t="shared" si="11"/>
        <v>-30</v>
      </c>
      <c r="L143" s="168"/>
      <c r="M143" s="170">
        <f t="shared" si="12"/>
        <v>0</v>
      </c>
    </row>
    <row r="144" spans="1:13">
      <c r="A144" s="185"/>
      <c r="G144" s="156"/>
      <c r="H144" s="168">
        <v>139</v>
      </c>
      <c r="I144" s="169" t="str">
        <f t="shared" si="10"/>
        <v/>
      </c>
      <c r="J144" s="168">
        <f t="shared" si="13"/>
        <v>-3</v>
      </c>
      <c r="K144" s="168">
        <f t="shared" si="11"/>
        <v>-30</v>
      </c>
      <c r="L144" s="168"/>
      <c r="M144" s="170">
        <f t="shared" si="12"/>
        <v>0</v>
      </c>
    </row>
    <row r="145" spans="1:13">
      <c r="A145" s="185"/>
      <c r="G145" s="156"/>
      <c r="H145" s="168">
        <v>140</v>
      </c>
      <c r="I145" s="169" t="str">
        <f t="shared" si="10"/>
        <v/>
      </c>
      <c r="J145" s="168">
        <f t="shared" si="13"/>
        <v>-3</v>
      </c>
      <c r="K145" s="168">
        <f t="shared" si="11"/>
        <v>-30</v>
      </c>
      <c r="L145" s="168"/>
      <c r="M145" s="170">
        <f t="shared" si="12"/>
        <v>0</v>
      </c>
    </row>
    <row r="146" spans="1:13">
      <c r="A146" s="185"/>
      <c r="G146" s="156"/>
      <c r="H146" s="168">
        <v>141</v>
      </c>
      <c r="I146" s="169" t="str">
        <f t="shared" si="10"/>
        <v/>
      </c>
      <c r="J146" s="168">
        <f t="shared" si="13"/>
        <v>-3</v>
      </c>
      <c r="K146" s="168">
        <f t="shared" si="11"/>
        <v>-30</v>
      </c>
      <c r="L146" s="168"/>
      <c r="M146" s="170">
        <f t="shared" si="12"/>
        <v>0</v>
      </c>
    </row>
    <row r="147" spans="1:13">
      <c r="A147" s="185"/>
      <c r="G147" s="156"/>
      <c r="H147" s="168">
        <v>142</v>
      </c>
      <c r="I147" s="169" t="str">
        <f t="shared" si="10"/>
        <v/>
      </c>
      <c r="J147" s="168">
        <f t="shared" si="13"/>
        <v>-3</v>
      </c>
      <c r="K147" s="168">
        <f t="shared" si="11"/>
        <v>-30</v>
      </c>
      <c r="L147" s="168"/>
      <c r="M147" s="170">
        <f t="shared" si="12"/>
        <v>0</v>
      </c>
    </row>
    <row r="148" spans="1:13">
      <c r="A148" s="185"/>
      <c r="G148" s="156"/>
      <c r="H148" s="168">
        <v>143</v>
      </c>
      <c r="I148" s="169" t="str">
        <f t="shared" si="10"/>
        <v/>
      </c>
      <c r="J148" s="168">
        <f t="shared" si="13"/>
        <v>-3</v>
      </c>
      <c r="K148" s="168">
        <f t="shared" si="11"/>
        <v>-30</v>
      </c>
      <c r="L148" s="168"/>
      <c r="M148" s="170">
        <f t="shared" si="12"/>
        <v>0</v>
      </c>
    </row>
    <row r="149" spans="1:13">
      <c r="A149" s="185"/>
      <c r="G149" s="156"/>
      <c r="H149" s="168">
        <v>144</v>
      </c>
      <c r="I149" s="169" t="str">
        <f t="shared" si="10"/>
        <v/>
      </c>
      <c r="J149" s="168">
        <f t="shared" si="13"/>
        <v>-3</v>
      </c>
      <c r="K149" s="168">
        <f t="shared" si="11"/>
        <v>-30</v>
      </c>
      <c r="L149" s="168"/>
      <c r="M149" s="170">
        <f t="shared" si="12"/>
        <v>0</v>
      </c>
    </row>
    <row r="150" spans="1:13">
      <c r="A150" s="185"/>
      <c r="G150" s="156"/>
      <c r="H150" s="168">
        <v>145</v>
      </c>
      <c r="I150" s="169" t="str">
        <f t="shared" si="10"/>
        <v/>
      </c>
      <c r="J150" s="168">
        <f t="shared" si="13"/>
        <v>-3</v>
      </c>
      <c r="K150" s="168">
        <f t="shared" si="11"/>
        <v>-30</v>
      </c>
      <c r="L150" s="168"/>
      <c r="M150" s="170">
        <f t="shared" si="12"/>
        <v>0</v>
      </c>
    </row>
    <row r="151" spans="1:13">
      <c r="A151" s="185"/>
      <c r="G151" s="156"/>
      <c r="H151" s="168">
        <v>146</v>
      </c>
      <c r="I151" s="169" t="str">
        <f t="shared" si="10"/>
        <v/>
      </c>
      <c r="J151" s="168">
        <f t="shared" si="13"/>
        <v>-3</v>
      </c>
      <c r="K151" s="168">
        <f t="shared" si="11"/>
        <v>-30</v>
      </c>
      <c r="L151" s="168"/>
      <c r="M151" s="170">
        <f t="shared" si="12"/>
        <v>0</v>
      </c>
    </row>
    <row r="152" spans="1:13">
      <c r="A152" s="185"/>
      <c r="G152" s="156"/>
      <c r="H152" s="168">
        <v>147</v>
      </c>
      <c r="I152" s="169" t="str">
        <f t="shared" si="10"/>
        <v/>
      </c>
      <c r="J152" s="168">
        <f t="shared" si="13"/>
        <v>-3</v>
      </c>
      <c r="K152" s="168">
        <f t="shared" si="11"/>
        <v>-30</v>
      </c>
      <c r="L152" s="168"/>
      <c r="M152" s="170">
        <f t="shared" si="12"/>
        <v>0</v>
      </c>
    </row>
    <row r="153" spans="1:13">
      <c r="A153" s="185"/>
      <c r="G153" s="156"/>
      <c r="H153" s="168">
        <v>148</v>
      </c>
      <c r="I153" s="169" t="str">
        <f t="shared" si="10"/>
        <v/>
      </c>
      <c r="J153" s="168">
        <f t="shared" si="13"/>
        <v>-3</v>
      </c>
      <c r="K153" s="168">
        <f t="shared" si="11"/>
        <v>-30</v>
      </c>
      <c r="L153" s="168"/>
      <c r="M153" s="170">
        <f t="shared" si="12"/>
        <v>0</v>
      </c>
    </row>
    <row r="154" spans="1:13">
      <c r="A154" s="185"/>
      <c r="G154" s="156"/>
      <c r="H154" s="168">
        <v>149</v>
      </c>
      <c r="I154" s="169" t="str">
        <f t="shared" si="10"/>
        <v/>
      </c>
      <c r="J154" s="168">
        <f t="shared" si="13"/>
        <v>-3</v>
      </c>
      <c r="K154" s="168">
        <f t="shared" si="11"/>
        <v>-30</v>
      </c>
      <c r="L154" s="168"/>
      <c r="M154" s="170">
        <f t="shared" si="12"/>
        <v>0</v>
      </c>
    </row>
    <row r="155" spans="1:13">
      <c r="A155" s="185"/>
      <c r="G155" s="156"/>
      <c r="H155" s="168">
        <v>150</v>
      </c>
      <c r="I155" s="169" t="str">
        <f t="shared" si="10"/>
        <v/>
      </c>
      <c r="J155" s="168">
        <f t="shared" si="13"/>
        <v>-3</v>
      </c>
      <c r="K155" s="168">
        <f t="shared" si="11"/>
        <v>-30</v>
      </c>
      <c r="L155" s="168"/>
      <c r="M155" s="170">
        <f t="shared" si="12"/>
        <v>0</v>
      </c>
    </row>
    <row r="156" spans="1:13">
      <c r="A156" s="185"/>
      <c r="G156" s="156"/>
      <c r="H156" s="168">
        <v>151</v>
      </c>
      <c r="I156" s="169" t="str">
        <f t="shared" si="10"/>
        <v/>
      </c>
      <c r="J156" s="168">
        <f t="shared" si="13"/>
        <v>-3</v>
      </c>
      <c r="K156" s="168">
        <f t="shared" si="11"/>
        <v>-30</v>
      </c>
      <c r="L156" s="168"/>
      <c r="M156" s="170">
        <f t="shared" si="12"/>
        <v>0</v>
      </c>
    </row>
    <row r="157" spans="1:13">
      <c r="A157" s="185"/>
      <c r="G157" s="156"/>
      <c r="H157" s="168">
        <v>152</v>
      </c>
      <c r="I157" s="169" t="str">
        <f t="shared" si="10"/>
        <v/>
      </c>
      <c r="J157" s="168">
        <f t="shared" si="13"/>
        <v>-3</v>
      </c>
      <c r="K157" s="168">
        <f t="shared" si="11"/>
        <v>-30</v>
      </c>
      <c r="L157" s="168"/>
      <c r="M157" s="170">
        <f t="shared" si="12"/>
        <v>0</v>
      </c>
    </row>
    <row r="158" spans="1:13">
      <c r="A158" s="185"/>
      <c r="G158" s="156"/>
      <c r="H158" s="168">
        <v>153</v>
      </c>
      <c r="I158" s="169" t="str">
        <f t="shared" si="10"/>
        <v/>
      </c>
      <c r="J158" s="168">
        <f t="shared" si="13"/>
        <v>-3</v>
      </c>
      <c r="K158" s="168">
        <f t="shared" si="11"/>
        <v>-30</v>
      </c>
      <c r="L158" s="168"/>
      <c r="M158" s="170">
        <f t="shared" si="12"/>
        <v>0</v>
      </c>
    </row>
    <row r="159" spans="1:13">
      <c r="A159" s="185"/>
      <c r="G159" s="156"/>
      <c r="H159" s="168">
        <v>154</v>
      </c>
      <c r="I159" s="169" t="str">
        <f t="shared" si="10"/>
        <v/>
      </c>
      <c r="J159" s="168">
        <f t="shared" si="13"/>
        <v>-3</v>
      </c>
      <c r="K159" s="168">
        <f t="shared" si="11"/>
        <v>-30</v>
      </c>
      <c r="L159" s="168"/>
      <c r="M159" s="170">
        <f t="shared" si="12"/>
        <v>0</v>
      </c>
    </row>
    <row r="160" spans="1:13">
      <c r="A160" s="185"/>
      <c r="G160" s="156"/>
      <c r="H160" s="168">
        <v>155</v>
      </c>
      <c r="I160" s="169" t="str">
        <f t="shared" si="10"/>
        <v/>
      </c>
      <c r="J160" s="168">
        <f t="shared" si="13"/>
        <v>-3</v>
      </c>
      <c r="K160" s="168">
        <f t="shared" si="11"/>
        <v>-30</v>
      </c>
      <c r="L160" s="168"/>
      <c r="M160" s="170">
        <f t="shared" si="12"/>
        <v>0</v>
      </c>
    </row>
    <row r="161" spans="1:13">
      <c r="A161" s="185"/>
      <c r="G161" s="156"/>
      <c r="H161" s="168">
        <v>156</v>
      </c>
      <c r="I161" s="169" t="str">
        <f t="shared" si="10"/>
        <v/>
      </c>
      <c r="J161" s="168">
        <f t="shared" si="13"/>
        <v>-3</v>
      </c>
      <c r="K161" s="168">
        <f t="shared" si="11"/>
        <v>-30</v>
      </c>
      <c r="L161" s="168"/>
      <c r="M161" s="170">
        <f t="shared" si="12"/>
        <v>0</v>
      </c>
    </row>
    <row r="162" spans="1:13">
      <c r="A162" s="185"/>
      <c r="G162" s="156"/>
      <c r="H162" s="168">
        <v>157</v>
      </c>
      <c r="I162" s="169" t="str">
        <f t="shared" si="10"/>
        <v/>
      </c>
      <c r="J162" s="168">
        <f t="shared" si="13"/>
        <v>-3</v>
      </c>
      <c r="K162" s="168">
        <f t="shared" si="11"/>
        <v>-30</v>
      </c>
      <c r="L162" s="168"/>
      <c r="M162" s="170">
        <f t="shared" si="12"/>
        <v>0</v>
      </c>
    </row>
    <row r="163" spans="1:13">
      <c r="A163" s="185"/>
      <c r="G163" s="156"/>
      <c r="H163" s="168">
        <v>158</v>
      </c>
      <c r="I163" s="169" t="str">
        <f t="shared" si="10"/>
        <v/>
      </c>
      <c r="J163" s="168">
        <f t="shared" si="13"/>
        <v>-3</v>
      </c>
      <c r="K163" s="168">
        <f t="shared" si="11"/>
        <v>-30</v>
      </c>
      <c r="L163" s="168"/>
      <c r="M163" s="170">
        <f t="shared" si="12"/>
        <v>0</v>
      </c>
    </row>
    <row r="164" spans="1:13">
      <c r="A164" s="185"/>
      <c r="G164" s="156"/>
      <c r="H164" s="168">
        <v>159</v>
      </c>
      <c r="I164" s="169" t="str">
        <f t="shared" si="10"/>
        <v/>
      </c>
      <c r="J164" s="168">
        <f t="shared" si="13"/>
        <v>-3</v>
      </c>
      <c r="K164" s="168">
        <f t="shared" si="11"/>
        <v>-30</v>
      </c>
      <c r="L164" s="168"/>
      <c r="M164" s="170">
        <f t="shared" si="12"/>
        <v>0</v>
      </c>
    </row>
    <row r="165" spans="1:13">
      <c r="A165" s="185"/>
      <c r="G165" s="156"/>
      <c r="H165" s="168">
        <v>160</v>
      </c>
      <c r="I165" s="169" t="str">
        <f t="shared" si="10"/>
        <v/>
      </c>
      <c r="J165" s="168">
        <f t="shared" si="13"/>
        <v>-3</v>
      </c>
      <c r="K165" s="168">
        <f t="shared" si="11"/>
        <v>-30</v>
      </c>
      <c r="L165" s="168"/>
      <c r="M165" s="170">
        <f t="shared" si="12"/>
        <v>0</v>
      </c>
    </row>
    <row r="166" spans="1:13">
      <c r="A166" s="185"/>
      <c r="G166" s="156"/>
      <c r="H166" s="168">
        <v>161</v>
      </c>
      <c r="I166" s="169" t="str">
        <f t="shared" si="10"/>
        <v/>
      </c>
      <c r="J166" s="168">
        <f t="shared" si="13"/>
        <v>-3</v>
      </c>
      <c r="K166" s="168">
        <f t="shared" si="11"/>
        <v>-30</v>
      </c>
      <c r="L166" s="168"/>
      <c r="M166" s="170">
        <f t="shared" si="12"/>
        <v>0</v>
      </c>
    </row>
    <row r="167" spans="1:13">
      <c r="A167" s="185"/>
      <c r="G167" s="156"/>
      <c r="H167" s="168">
        <v>162</v>
      </c>
      <c r="I167" s="169" t="str">
        <f t="shared" si="10"/>
        <v/>
      </c>
      <c r="J167" s="168">
        <f t="shared" si="13"/>
        <v>-3</v>
      </c>
      <c r="K167" s="168">
        <f t="shared" si="11"/>
        <v>-30</v>
      </c>
      <c r="L167" s="168"/>
      <c r="M167" s="170">
        <f t="shared" si="12"/>
        <v>0</v>
      </c>
    </row>
    <row r="168" spans="1:13">
      <c r="A168" s="185"/>
      <c r="G168" s="156"/>
      <c r="H168" s="168">
        <v>163</v>
      </c>
      <c r="I168" s="169" t="str">
        <f t="shared" si="10"/>
        <v/>
      </c>
      <c r="J168" s="168">
        <f t="shared" si="13"/>
        <v>-3</v>
      </c>
      <c r="K168" s="168">
        <f t="shared" si="11"/>
        <v>-30</v>
      </c>
      <c r="L168" s="168"/>
      <c r="M168" s="170">
        <f t="shared" si="12"/>
        <v>0</v>
      </c>
    </row>
    <row r="169" spans="1:13">
      <c r="A169" s="185"/>
      <c r="C169" s="184" t="s">
        <v>99</v>
      </c>
      <c r="G169" s="156"/>
      <c r="H169" s="168">
        <v>164</v>
      </c>
      <c r="I169" s="169" t="str">
        <f t="shared" si="10"/>
        <v/>
      </c>
      <c r="J169" s="168">
        <f t="shared" si="13"/>
        <v>-3</v>
      </c>
      <c r="K169" s="168">
        <f t="shared" si="11"/>
        <v>-30</v>
      </c>
      <c r="L169" s="168"/>
      <c r="M169" s="170">
        <f t="shared" si="12"/>
        <v>0</v>
      </c>
    </row>
    <row r="170" spans="1:13">
      <c r="A170" s="185"/>
      <c r="G170" s="156"/>
      <c r="H170" s="168">
        <v>165</v>
      </c>
      <c r="I170" s="169" t="str">
        <f t="shared" si="10"/>
        <v/>
      </c>
      <c r="J170" s="168">
        <f t="shared" si="13"/>
        <v>-3</v>
      </c>
      <c r="K170" s="168">
        <f t="shared" si="11"/>
        <v>-30</v>
      </c>
      <c r="L170" s="168"/>
      <c r="M170" s="170">
        <f t="shared" si="12"/>
        <v>0</v>
      </c>
    </row>
    <row r="171" spans="1:13">
      <c r="A171" s="185"/>
      <c r="G171" s="156"/>
      <c r="H171" s="168">
        <v>166</v>
      </c>
      <c r="I171" s="169" t="str">
        <f t="shared" si="10"/>
        <v/>
      </c>
      <c r="J171" s="168">
        <f t="shared" si="13"/>
        <v>-3</v>
      </c>
      <c r="K171" s="168">
        <f t="shared" si="11"/>
        <v>-30</v>
      </c>
      <c r="L171" s="168"/>
      <c r="M171" s="170">
        <f t="shared" si="12"/>
        <v>0</v>
      </c>
    </row>
    <row r="172" spans="1:13">
      <c r="A172" s="185"/>
      <c r="G172" s="156"/>
      <c r="H172" s="168">
        <v>167</v>
      </c>
      <c r="I172" s="169" t="str">
        <f t="shared" si="10"/>
        <v/>
      </c>
      <c r="J172" s="168">
        <f t="shared" si="13"/>
        <v>-3</v>
      </c>
      <c r="K172" s="168">
        <f t="shared" si="11"/>
        <v>-30</v>
      </c>
      <c r="L172" s="168"/>
      <c r="M172" s="170">
        <f t="shared" si="12"/>
        <v>0</v>
      </c>
    </row>
    <row r="173" spans="1:13">
      <c r="A173" s="185"/>
      <c r="G173" s="156"/>
      <c r="H173" s="168">
        <v>168</v>
      </c>
      <c r="I173" s="169" t="str">
        <f t="shared" si="10"/>
        <v/>
      </c>
      <c r="J173" s="168">
        <f t="shared" si="13"/>
        <v>-3</v>
      </c>
      <c r="K173" s="168">
        <f t="shared" si="11"/>
        <v>-30</v>
      </c>
      <c r="L173" s="168"/>
      <c r="M173" s="170">
        <f t="shared" si="12"/>
        <v>0</v>
      </c>
    </row>
    <row r="174" spans="1:13">
      <c r="A174" s="185"/>
      <c r="G174" s="156"/>
      <c r="H174" s="168">
        <v>169</v>
      </c>
      <c r="I174" s="169" t="str">
        <f t="shared" si="10"/>
        <v/>
      </c>
      <c r="J174" s="168">
        <f t="shared" si="13"/>
        <v>-3</v>
      </c>
      <c r="K174" s="168">
        <f t="shared" si="11"/>
        <v>-30</v>
      </c>
      <c r="L174" s="168"/>
      <c r="M174" s="170">
        <f t="shared" si="12"/>
        <v>0</v>
      </c>
    </row>
    <row r="175" spans="1:13">
      <c r="A175" s="185"/>
      <c r="G175" s="156"/>
      <c r="H175" s="168">
        <v>170</v>
      </c>
      <c r="I175" s="169" t="str">
        <f t="shared" si="10"/>
        <v/>
      </c>
      <c r="J175" s="168">
        <f t="shared" si="13"/>
        <v>-3</v>
      </c>
      <c r="K175" s="168">
        <f t="shared" si="11"/>
        <v>-30</v>
      </c>
      <c r="L175" s="168"/>
      <c r="M175" s="170">
        <f t="shared" si="12"/>
        <v>0</v>
      </c>
    </row>
    <row r="176" spans="1:13">
      <c r="A176" s="185"/>
      <c r="G176" s="156"/>
      <c r="H176" s="168">
        <v>171</v>
      </c>
      <c r="I176" s="169" t="str">
        <f t="shared" si="10"/>
        <v/>
      </c>
      <c r="J176" s="168">
        <f t="shared" si="13"/>
        <v>-3</v>
      </c>
      <c r="K176" s="168">
        <f t="shared" si="11"/>
        <v>-30</v>
      </c>
      <c r="L176" s="168"/>
      <c r="M176" s="170">
        <f t="shared" si="12"/>
        <v>0</v>
      </c>
    </row>
    <row r="177" spans="1:13">
      <c r="A177" s="185"/>
      <c r="G177" s="156"/>
      <c r="H177" s="168">
        <v>172</v>
      </c>
      <c r="I177" s="169" t="str">
        <f t="shared" si="10"/>
        <v/>
      </c>
      <c r="J177" s="168">
        <f t="shared" si="13"/>
        <v>-3</v>
      </c>
      <c r="K177" s="168">
        <f t="shared" si="11"/>
        <v>-30</v>
      </c>
      <c r="L177" s="168"/>
      <c r="M177" s="170">
        <f t="shared" si="12"/>
        <v>0</v>
      </c>
    </row>
    <row r="178" spans="1:13">
      <c r="A178" s="185"/>
      <c r="G178" s="156"/>
      <c r="H178" s="168">
        <v>173</v>
      </c>
      <c r="I178" s="169" t="str">
        <f t="shared" si="10"/>
        <v/>
      </c>
      <c r="J178" s="168">
        <f t="shared" si="13"/>
        <v>-3</v>
      </c>
      <c r="K178" s="168">
        <f t="shared" si="11"/>
        <v>-30</v>
      </c>
      <c r="L178" s="168"/>
      <c r="M178" s="170">
        <f t="shared" si="12"/>
        <v>0</v>
      </c>
    </row>
    <row r="179" spans="1:13">
      <c r="A179" s="185"/>
      <c r="G179" s="156"/>
      <c r="H179" s="168">
        <v>174</v>
      </c>
      <c r="I179" s="169" t="str">
        <f t="shared" si="10"/>
        <v/>
      </c>
      <c r="J179" s="168">
        <f t="shared" si="13"/>
        <v>-3</v>
      </c>
      <c r="K179" s="168">
        <f t="shared" si="11"/>
        <v>-30</v>
      </c>
      <c r="L179" s="168"/>
      <c r="M179" s="170">
        <f t="shared" si="12"/>
        <v>0</v>
      </c>
    </row>
    <row r="180" spans="1:13">
      <c r="A180" s="185"/>
      <c r="G180" s="156"/>
      <c r="H180" s="168">
        <v>175</v>
      </c>
      <c r="I180" s="169" t="str">
        <f t="shared" si="10"/>
        <v/>
      </c>
      <c r="J180" s="168">
        <f t="shared" si="13"/>
        <v>-3</v>
      </c>
      <c r="K180" s="168">
        <f t="shared" si="11"/>
        <v>-30</v>
      </c>
      <c r="L180" s="168"/>
      <c r="M180" s="170">
        <f t="shared" si="12"/>
        <v>0</v>
      </c>
    </row>
    <row r="181" spans="1:13">
      <c r="A181" s="185"/>
      <c r="G181" s="156"/>
      <c r="H181" s="168">
        <v>176</v>
      </c>
      <c r="I181" s="169" t="str">
        <f t="shared" si="10"/>
        <v/>
      </c>
      <c r="J181" s="168">
        <f t="shared" si="13"/>
        <v>-3</v>
      </c>
      <c r="K181" s="168">
        <f t="shared" si="11"/>
        <v>-30</v>
      </c>
      <c r="L181" s="168"/>
      <c r="M181" s="170">
        <f t="shared" si="12"/>
        <v>0</v>
      </c>
    </row>
    <row r="182" spans="1:13">
      <c r="A182" s="185"/>
      <c r="G182" s="156"/>
      <c r="H182" s="168">
        <v>177</v>
      </c>
      <c r="I182" s="169" t="str">
        <f t="shared" si="10"/>
        <v/>
      </c>
      <c r="J182" s="168">
        <f t="shared" si="13"/>
        <v>-3</v>
      </c>
      <c r="K182" s="168">
        <f t="shared" si="11"/>
        <v>-30</v>
      </c>
      <c r="L182" s="168"/>
      <c r="M182" s="170">
        <f t="shared" si="12"/>
        <v>0</v>
      </c>
    </row>
    <row r="183" spans="1:13">
      <c r="A183" s="185"/>
      <c r="G183" s="156"/>
      <c r="H183" s="168">
        <v>178</v>
      </c>
      <c r="I183" s="169" t="str">
        <f t="shared" si="10"/>
        <v/>
      </c>
      <c r="J183" s="168">
        <f t="shared" si="13"/>
        <v>-3</v>
      </c>
      <c r="K183" s="168">
        <f t="shared" si="11"/>
        <v>-30</v>
      </c>
      <c r="L183" s="168"/>
      <c r="M183" s="170">
        <f t="shared" si="12"/>
        <v>0</v>
      </c>
    </row>
    <row r="184" spans="1:13">
      <c r="A184" s="185"/>
      <c r="G184" s="156"/>
      <c r="H184" s="168">
        <v>179</v>
      </c>
      <c r="I184" s="169" t="str">
        <f t="shared" si="10"/>
        <v/>
      </c>
      <c r="J184" s="168">
        <f t="shared" si="13"/>
        <v>-3</v>
      </c>
      <c r="K184" s="168">
        <f t="shared" si="11"/>
        <v>-30</v>
      </c>
      <c r="L184" s="168"/>
      <c r="M184" s="170">
        <f t="shared" si="12"/>
        <v>0</v>
      </c>
    </row>
    <row r="185" spans="1:13">
      <c r="A185" s="185"/>
      <c r="G185" s="156"/>
      <c r="H185" s="168">
        <v>180</v>
      </c>
      <c r="I185" s="169" t="str">
        <f t="shared" si="10"/>
        <v/>
      </c>
      <c r="J185" s="168">
        <f t="shared" si="13"/>
        <v>-3</v>
      </c>
      <c r="K185" s="168">
        <f t="shared" si="11"/>
        <v>-30</v>
      </c>
      <c r="L185" s="168"/>
      <c r="M185" s="170">
        <f t="shared" si="12"/>
        <v>0</v>
      </c>
    </row>
    <row r="186" spans="1:13">
      <c r="A186" s="185"/>
      <c r="G186" s="156"/>
      <c r="H186" s="168">
        <v>181</v>
      </c>
      <c r="I186" s="169" t="str">
        <f t="shared" si="10"/>
        <v/>
      </c>
      <c r="J186" s="168">
        <f t="shared" si="13"/>
        <v>-3</v>
      </c>
      <c r="K186" s="168">
        <f t="shared" si="11"/>
        <v>-30</v>
      </c>
      <c r="L186" s="168"/>
      <c r="M186" s="170">
        <f t="shared" si="12"/>
        <v>0</v>
      </c>
    </row>
    <row r="187" spans="1:13">
      <c r="A187" s="185"/>
      <c r="G187" s="156"/>
      <c r="H187" s="168">
        <v>182</v>
      </c>
      <c r="I187" s="169" t="str">
        <f t="shared" si="10"/>
        <v/>
      </c>
      <c r="J187" s="168">
        <f t="shared" si="13"/>
        <v>-3</v>
      </c>
      <c r="K187" s="168">
        <f t="shared" si="11"/>
        <v>-30</v>
      </c>
      <c r="L187" s="168"/>
      <c r="M187" s="170">
        <f t="shared" si="12"/>
        <v>0</v>
      </c>
    </row>
    <row r="188" spans="1:13">
      <c r="A188" s="185"/>
      <c r="G188" s="156"/>
      <c r="H188" s="168">
        <v>183</v>
      </c>
      <c r="I188" s="169" t="str">
        <f t="shared" si="10"/>
        <v/>
      </c>
      <c r="J188" s="168">
        <f t="shared" si="13"/>
        <v>-3</v>
      </c>
      <c r="K188" s="168">
        <f t="shared" si="11"/>
        <v>-30</v>
      </c>
      <c r="L188" s="168"/>
      <c r="M188" s="170">
        <f t="shared" si="12"/>
        <v>0</v>
      </c>
    </row>
    <row r="189" spans="1:13">
      <c r="A189" s="185"/>
      <c r="G189" s="156"/>
      <c r="H189" s="168">
        <v>184</v>
      </c>
      <c r="I189" s="169" t="str">
        <f t="shared" si="10"/>
        <v/>
      </c>
      <c r="J189" s="168">
        <f t="shared" si="13"/>
        <v>-3</v>
      </c>
      <c r="K189" s="168">
        <f t="shared" si="11"/>
        <v>-30</v>
      </c>
      <c r="L189" s="168"/>
      <c r="M189" s="170">
        <f t="shared" si="12"/>
        <v>0</v>
      </c>
    </row>
    <row r="190" spans="1:13">
      <c r="A190" s="185"/>
      <c r="G190" s="156"/>
      <c r="H190" s="168">
        <v>185</v>
      </c>
      <c r="I190" s="169" t="str">
        <f t="shared" si="10"/>
        <v/>
      </c>
      <c r="J190" s="168">
        <f t="shared" si="13"/>
        <v>-3</v>
      </c>
      <c r="K190" s="168">
        <f t="shared" si="11"/>
        <v>-30</v>
      </c>
      <c r="L190" s="168"/>
      <c r="M190" s="170">
        <f t="shared" si="12"/>
        <v>0</v>
      </c>
    </row>
    <row r="191" spans="1:13">
      <c r="A191" s="185"/>
      <c r="G191" s="156"/>
      <c r="H191" s="168">
        <v>186</v>
      </c>
      <c r="I191" s="169" t="str">
        <f t="shared" si="10"/>
        <v/>
      </c>
      <c r="J191" s="168">
        <f t="shared" si="13"/>
        <v>-3</v>
      </c>
      <c r="K191" s="168">
        <f t="shared" si="11"/>
        <v>-30</v>
      </c>
      <c r="L191" s="168"/>
      <c r="M191" s="170">
        <f t="shared" si="12"/>
        <v>0</v>
      </c>
    </row>
    <row r="192" spans="1:13">
      <c r="A192" s="185"/>
      <c r="G192" s="156"/>
      <c r="H192" s="168">
        <v>187</v>
      </c>
      <c r="I192" s="169" t="str">
        <f t="shared" si="10"/>
        <v/>
      </c>
      <c r="J192" s="168">
        <f t="shared" si="13"/>
        <v>-3</v>
      </c>
      <c r="K192" s="168">
        <f t="shared" si="11"/>
        <v>-30</v>
      </c>
      <c r="L192" s="168"/>
      <c r="M192" s="170">
        <f t="shared" si="12"/>
        <v>0</v>
      </c>
    </row>
    <row r="193" spans="1:13">
      <c r="A193" s="185"/>
      <c r="G193" s="156"/>
      <c r="H193" s="168">
        <v>188</v>
      </c>
      <c r="I193" s="169" t="str">
        <f t="shared" si="10"/>
        <v/>
      </c>
      <c r="J193" s="168">
        <f t="shared" si="13"/>
        <v>-3</v>
      </c>
      <c r="K193" s="168">
        <f t="shared" si="11"/>
        <v>-30</v>
      </c>
      <c r="L193" s="168"/>
      <c r="M193" s="170">
        <f t="shared" si="12"/>
        <v>0</v>
      </c>
    </row>
    <row r="194" spans="1:13">
      <c r="A194" s="185"/>
      <c r="G194" s="156"/>
      <c r="H194" s="168">
        <v>189</v>
      </c>
      <c r="I194" s="169" t="str">
        <f t="shared" si="10"/>
        <v/>
      </c>
      <c r="J194" s="168">
        <f t="shared" si="13"/>
        <v>-3</v>
      </c>
      <c r="K194" s="168">
        <f t="shared" si="11"/>
        <v>-30</v>
      </c>
      <c r="L194" s="168"/>
      <c r="M194" s="170">
        <f t="shared" si="12"/>
        <v>0</v>
      </c>
    </row>
    <row r="195" spans="1:13">
      <c r="A195" s="185"/>
      <c r="G195" s="156"/>
      <c r="H195" s="168">
        <v>190</v>
      </c>
      <c r="I195" s="169" t="str">
        <f t="shared" si="10"/>
        <v/>
      </c>
      <c r="J195" s="168">
        <f t="shared" si="13"/>
        <v>-3</v>
      </c>
      <c r="K195" s="168">
        <f t="shared" si="11"/>
        <v>-30</v>
      </c>
      <c r="L195" s="168"/>
      <c r="M195" s="170">
        <f t="shared" si="12"/>
        <v>0</v>
      </c>
    </row>
    <row r="196" spans="1:13">
      <c r="A196" s="185"/>
      <c r="G196" s="156"/>
      <c r="H196" s="168">
        <v>191</v>
      </c>
      <c r="I196" s="169" t="str">
        <f t="shared" si="10"/>
        <v/>
      </c>
      <c r="J196" s="168">
        <f t="shared" si="13"/>
        <v>-3</v>
      </c>
      <c r="K196" s="168">
        <f t="shared" si="11"/>
        <v>-30</v>
      </c>
      <c r="L196" s="168"/>
      <c r="M196" s="170">
        <f t="shared" si="12"/>
        <v>0</v>
      </c>
    </row>
    <row r="197" spans="1:13">
      <c r="A197" s="185"/>
      <c r="G197" s="156"/>
      <c r="H197" s="168">
        <v>192</v>
      </c>
      <c r="I197" s="169" t="str">
        <f t="shared" si="10"/>
        <v/>
      </c>
      <c r="J197" s="168">
        <f t="shared" si="13"/>
        <v>-3</v>
      </c>
      <c r="K197" s="168">
        <f t="shared" si="11"/>
        <v>-30</v>
      </c>
      <c r="L197" s="168"/>
      <c r="M197" s="170">
        <f t="shared" si="12"/>
        <v>0</v>
      </c>
    </row>
    <row r="198" spans="1:13">
      <c r="A198" s="185"/>
      <c r="G198" s="156"/>
      <c r="H198" s="168">
        <v>193</v>
      </c>
      <c r="I198" s="169" t="str">
        <f t="shared" ref="I198:I261" si="14">IF(H198&lt;$H$2+1,($I$2-($I$2-1)*(LOG(H198)/LOG($H$2))),"")</f>
        <v/>
      </c>
      <c r="J198" s="168">
        <f t="shared" si="13"/>
        <v>-3</v>
      </c>
      <c r="K198" s="168">
        <f t="shared" ref="K198:K261" si="15">J198*$J$2</f>
        <v>-30</v>
      </c>
      <c r="L198" s="168"/>
      <c r="M198" s="170">
        <f t="shared" ref="M198:M261" si="16">IF(I198&lt;&gt;"",K198+I198+L198,0)</f>
        <v>0</v>
      </c>
    </row>
    <row r="199" spans="1:13">
      <c r="A199" s="185"/>
      <c r="G199" s="156"/>
      <c r="H199" s="168">
        <v>194</v>
      </c>
      <c r="I199" s="169" t="str">
        <f t="shared" si="14"/>
        <v/>
      </c>
      <c r="J199" s="168">
        <f t="shared" ref="J199:J262" si="17">INT(LOG($H$2,2))-ROUNDUP(LOG(H199,2),0)+IF(OR($H$2=1,$H$2=2,$H$2=4,$H$2=8,$H$2=16,$H$2=32,$H$2=64,$H$2=128,$H$2=256),0,1)</f>
        <v>-3</v>
      </c>
      <c r="K199" s="168">
        <f t="shared" si="15"/>
        <v>-30</v>
      </c>
      <c r="L199" s="168"/>
      <c r="M199" s="170">
        <f t="shared" si="16"/>
        <v>0</v>
      </c>
    </row>
    <row r="200" spans="1:13">
      <c r="A200" s="185"/>
      <c r="G200" s="156"/>
      <c r="H200" s="168">
        <v>195</v>
      </c>
      <c r="I200" s="169" t="str">
        <f t="shared" si="14"/>
        <v/>
      </c>
      <c r="J200" s="168">
        <f t="shared" si="17"/>
        <v>-3</v>
      </c>
      <c r="K200" s="168">
        <f t="shared" si="15"/>
        <v>-30</v>
      </c>
      <c r="L200" s="168"/>
      <c r="M200" s="170">
        <f t="shared" si="16"/>
        <v>0</v>
      </c>
    </row>
    <row r="201" spans="1:13">
      <c r="A201" s="185"/>
      <c r="G201" s="156"/>
      <c r="H201" s="168">
        <v>196</v>
      </c>
      <c r="I201" s="169" t="str">
        <f t="shared" si="14"/>
        <v/>
      </c>
      <c r="J201" s="168">
        <f t="shared" si="17"/>
        <v>-3</v>
      </c>
      <c r="K201" s="168">
        <f t="shared" si="15"/>
        <v>-30</v>
      </c>
      <c r="L201" s="168"/>
      <c r="M201" s="170">
        <f t="shared" si="16"/>
        <v>0</v>
      </c>
    </row>
    <row r="202" spans="1:13">
      <c r="A202" s="185"/>
      <c r="G202" s="156"/>
      <c r="H202" s="168">
        <v>197</v>
      </c>
      <c r="I202" s="169" t="str">
        <f t="shared" si="14"/>
        <v/>
      </c>
      <c r="J202" s="168">
        <f t="shared" si="17"/>
        <v>-3</v>
      </c>
      <c r="K202" s="168">
        <f t="shared" si="15"/>
        <v>-30</v>
      </c>
      <c r="L202" s="168"/>
      <c r="M202" s="170">
        <f t="shared" si="16"/>
        <v>0</v>
      </c>
    </row>
    <row r="203" spans="1:13">
      <c r="A203" s="185"/>
      <c r="G203" s="156"/>
      <c r="H203" s="168">
        <v>198</v>
      </c>
      <c r="I203" s="169" t="str">
        <f t="shared" si="14"/>
        <v/>
      </c>
      <c r="J203" s="168">
        <f t="shared" si="17"/>
        <v>-3</v>
      </c>
      <c r="K203" s="168">
        <f t="shared" si="15"/>
        <v>-30</v>
      </c>
      <c r="L203" s="168"/>
      <c r="M203" s="170">
        <f t="shared" si="16"/>
        <v>0</v>
      </c>
    </row>
    <row r="204" spans="1:13">
      <c r="A204" s="185"/>
      <c r="G204" s="156"/>
      <c r="H204" s="168">
        <v>199</v>
      </c>
      <c r="I204" s="169" t="str">
        <f t="shared" si="14"/>
        <v/>
      </c>
      <c r="J204" s="168">
        <f t="shared" si="17"/>
        <v>-3</v>
      </c>
      <c r="K204" s="168">
        <f t="shared" si="15"/>
        <v>-30</v>
      </c>
      <c r="L204" s="168"/>
      <c r="M204" s="170">
        <f t="shared" si="16"/>
        <v>0</v>
      </c>
    </row>
    <row r="205" spans="1:13">
      <c r="A205" s="185"/>
      <c r="G205" s="156"/>
      <c r="H205" s="168">
        <v>200</v>
      </c>
      <c r="I205" s="169" t="str">
        <f t="shared" si="14"/>
        <v/>
      </c>
      <c r="J205" s="168">
        <f t="shared" si="17"/>
        <v>-3</v>
      </c>
      <c r="K205" s="168">
        <f t="shared" si="15"/>
        <v>-30</v>
      </c>
      <c r="L205" s="168"/>
      <c r="M205" s="170">
        <f t="shared" si="16"/>
        <v>0</v>
      </c>
    </row>
    <row r="206" spans="1:13">
      <c r="A206" s="185"/>
      <c r="G206" s="156"/>
      <c r="H206" s="168">
        <v>201</v>
      </c>
      <c r="I206" s="169" t="str">
        <f t="shared" si="14"/>
        <v/>
      </c>
      <c r="J206" s="168">
        <f t="shared" si="17"/>
        <v>-3</v>
      </c>
      <c r="K206" s="168">
        <f t="shared" si="15"/>
        <v>-30</v>
      </c>
      <c r="L206" s="168"/>
      <c r="M206" s="170">
        <f t="shared" si="16"/>
        <v>0</v>
      </c>
    </row>
    <row r="207" spans="1:13">
      <c r="A207" s="185"/>
      <c r="G207" s="156"/>
      <c r="H207" s="168">
        <v>202</v>
      </c>
      <c r="I207" s="169" t="str">
        <f t="shared" si="14"/>
        <v/>
      </c>
      <c r="J207" s="168">
        <f t="shared" si="17"/>
        <v>-3</v>
      </c>
      <c r="K207" s="168">
        <f t="shared" si="15"/>
        <v>-30</v>
      </c>
      <c r="L207" s="168"/>
      <c r="M207" s="170">
        <f t="shared" si="16"/>
        <v>0</v>
      </c>
    </row>
    <row r="208" spans="1:13">
      <c r="A208" s="185"/>
      <c r="G208" s="156"/>
      <c r="H208" s="168">
        <v>203</v>
      </c>
      <c r="I208" s="169" t="str">
        <f t="shared" si="14"/>
        <v/>
      </c>
      <c r="J208" s="168">
        <f t="shared" si="17"/>
        <v>-3</v>
      </c>
      <c r="K208" s="168">
        <f t="shared" si="15"/>
        <v>-30</v>
      </c>
      <c r="L208" s="168"/>
      <c r="M208" s="170">
        <f t="shared" si="16"/>
        <v>0</v>
      </c>
    </row>
    <row r="209" spans="1:13">
      <c r="A209" s="185"/>
      <c r="G209" s="156"/>
      <c r="H209" s="168">
        <v>204</v>
      </c>
      <c r="I209" s="169" t="str">
        <f t="shared" si="14"/>
        <v/>
      </c>
      <c r="J209" s="168">
        <f t="shared" si="17"/>
        <v>-3</v>
      </c>
      <c r="K209" s="168">
        <f t="shared" si="15"/>
        <v>-30</v>
      </c>
      <c r="L209" s="168"/>
      <c r="M209" s="170">
        <f t="shared" si="16"/>
        <v>0</v>
      </c>
    </row>
    <row r="210" spans="1:13">
      <c r="A210" s="185"/>
      <c r="G210" s="156"/>
      <c r="H210" s="168">
        <v>205</v>
      </c>
      <c r="I210" s="169" t="str">
        <f t="shared" si="14"/>
        <v/>
      </c>
      <c r="J210" s="168">
        <f t="shared" si="17"/>
        <v>-3</v>
      </c>
      <c r="K210" s="168">
        <f t="shared" si="15"/>
        <v>-30</v>
      </c>
      <c r="L210" s="168"/>
      <c r="M210" s="170">
        <f t="shared" si="16"/>
        <v>0</v>
      </c>
    </row>
    <row r="211" spans="1:13">
      <c r="A211" s="185"/>
      <c r="G211" s="156"/>
      <c r="H211" s="168">
        <v>206</v>
      </c>
      <c r="I211" s="169" t="str">
        <f t="shared" si="14"/>
        <v/>
      </c>
      <c r="J211" s="168">
        <f t="shared" si="17"/>
        <v>-3</v>
      </c>
      <c r="K211" s="168">
        <f t="shared" si="15"/>
        <v>-30</v>
      </c>
      <c r="L211" s="168"/>
      <c r="M211" s="170">
        <f t="shared" si="16"/>
        <v>0</v>
      </c>
    </row>
    <row r="212" spans="1:13">
      <c r="A212" s="185"/>
      <c r="G212" s="156"/>
      <c r="H212" s="168">
        <v>207</v>
      </c>
      <c r="I212" s="169" t="str">
        <f t="shared" si="14"/>
        <v/>
      </c>
      <c r="J212" s="168">
        <f t="shared" si="17"/>
        <v>-3</v>
      </c>
      <c r="K212" s="168">
        <f t="shared" si="15"/>
        <v>-30</v>
      </c>
      <c r="L212" s="168"/>
      <c r="M212" s="170">
        <f t="shared" si="16"/>
        <v>0</v>
      </c>
    </row>
    <row r="213" spans="1:13">
      <c r="A213" s="185"/>
      <c r="G213" s="156"/>
      <c r="H213" s="168">
        <v>208</v>
      </c>
      <c r="I213" s="169" t="str">
        <f t="shared" si="14"/>
        <v/>
      </c>
      <c r="J213" s="168">
        <f t="shared" si="17"/>
        <v>-3</v>
      </c>
      <c r="K213" s="168">
        <f t="shared" si="15"/>
        <v>-30</v>
      </c>
      <c r="L213" s="168"/>
      <c r="M213" s="170">
        <f t="shared" si="16"/>
        <v>0</v>
      </c>
    </row>
    <row r="214" spans="1:13">
      <c r="A214" s="185"/>
      <c r="G214" s="156"/>
      <c r="H214" s="168">
        <v>209</v>
      </c>
      <c r="I214" s="169" t="str">
        <f t="shared" si="14"/>
        <v/>
      </c>
      <c r="J214" s="168">
        <f t="shared" si="17"/>
        <v>-3</v>
      </c>
      <c r="K214" s="168">
        <f t="shared" si="15"/>
        <v>-30</v>
      </c>
      <c r="L214" s="168"/>
      <c r="M214" s="170">
        <f t="shared" si="16"/>
        <v>0</v>
      </c>
    </row>
    <row r="215" spans="1:13">
      <c r="A215" s="185"/>
      <c r="G215" s="156"/>
      <c r="H215" s="168">
        <v>210</v>
      </c>
      <c r="I215" s="169" t="str">
        <f t="shared" si="14"/>
        <v/>
      </c>
      <c r="J215" s="168">
        <f t="shared" si="17"/>
        <v>-3</v>
      </c>
      <c r="K215" s="168">
        <f t="shared" si="15"/>
        <v>-30</v>
      </c>
      <c r="L215" s="168"/>
      <c r="M215" s="170">
        <f t="shared" si="16"/>
        <v>0</v>
      </c>
    </row>
    <row r="216" spans="1:13">
      <c r="A216" s="185"/>
      <c r="G216" s="156"/>
      <c r="H216" s="168">
        <v>211</v>
      </c>
      <c r="I216" s="169" t="str">
        <f t="shared" si="14"/>
        <v/>
      </c>
      <c r="J216" s="168">
        <f t="shared" si="17"/>
        <v>-3</v>
      </c>
      <c r="K216" s="168">
        <f t="shared" si="15"/>
        <v>-30</v>
      </c>
      <c r="L216" s="168"/>
      <c r="M216" s="170">
        <f t="shared" si="16"/>
        <v>0</v>
      </c>
    </row>
    <row r="217" spans="1:13">
      <c r="A217" s="185"/>
      <c r="G217" s="156"/>
      <c r="H217" s="168">
        <v>212</v>
      </c>
      <c r="I217" s="169" t="str">
        <f t="shared" si="14"/>
        <v/>
      </c>
      <c r="J217" s="168">
        <f t="shared" si="17"/>
        <v>-3</v>
      </c>
      <c r="K217" s="168">
        <f t="shared" si="15"/>
        <v>-30</v>
      </c>
      <c r="L217" s="168"/>
      <c r="M217" s="170">
        <f t="shared" si="16"/>
        <v>0</v>
      </c>
    </row>
    <row r="218" spans="1:13">
      <c r="A218" s="185"/>
      <c r="G218" s="156"/>
      <c r="H218" s="168">
        <v>213</v>
      </c>
      <c r="I218" s="169" t="str">
        <f t="shared" si="14"/>
        <v/>
      </c>
      <c r="J218" s="168">
        <f t="shared" si="17"/>
        <v>-3</v>
      </c>
      <c r="K218" s="168">
        <f t="shared" si="15"/>
        <v>-30</v>
      </c>
      <c r="L218" s="168"/>
      <c r="M218" s="170">
        <f t="shared" si="16"/>
        <v>0</v>
      </c>
    </row>
    <row r="219" spans="1:13">
      <c r="A219" s="185"/>
      <c r="G219" s="156"/>
      <c r="H219" s="168">
        <v>214</v>
      </c>
      <c r="I219" s="169" t="str">
        <f t="shared" si="14"/>
        <v/>
      </c>
      <c r="J219" s="168">
        <f t="shared" si="17"/>
        <v>-3</v>
      </c>
      <c r="K219" s="168">
        <f t="shared" si="15"/>
        <v>-30</v>
      </c>
      <c r="L219" s="168"/>
      <c r="M219" s="170">
        <f t="shared" si="16"/>
        <v>0</v>
      </c>
    </row>
    <row r="220" spans="1:13">
      <c r="A220" s="185"/>
      <c r="G220" s="156"/>
      <c r="H220" s="168">
        <v>215</v>
      </c>
      <c r="I220" s="169" t="str">
        <f t="shared" si="14"/>
        <v/>
      </c>
      <c r="J220" s="168">
        <f t="shared" si="17"/>
        <v>-3</v>
      </c>
      <c r="K220" s="168">
        <f t="shared" si="15"/>
        <v>-30</v>
      </c>
      <c r="L220" s="168"/>
      <c r="M220" s="170">
        <f t="shared" si="16"/>
        <v>0</v>
      </c>
    </row>
    <row r="221" spans="1:13">
      <c r="A221" s="185"/>
      <c r="G221" s="156"/>
      <c r="H221" s="168">
        <v>216</v>
      </c>
      <c r="I221" s="169" t="str">
        <f t="shared" si="14"/>
        <v/>
      </c>
      <c r="J221" s="168">
        <f t="shared" si="17"/>
        <v>-3</v>
      </c>
      <c r="K221" s="168">
        <f t="shared" si="15"/>
        <v>-30</v>
      </c>
      <c r="L221" s="168"/>
      <c r="M221" s="170">
        <f t="shared" si="16"/>
        <v>0</v>
      </c>
    </row>
    <row r="222" spans="1:13">
      <c r="A222" s="185"/>
      <c r="G222" s="156"/>
      <c r="H222" s="168">
        <v>217</v>
      </c>
      <c r="I222" s="169" t="str">
        <f t="shared" si="14"/>
        <v/>
      </c>
      <c r="J222" s="168">
        <f t="shared" si="17"/>
        <v>-3</v>
      </c>
      <c r="K222" s="168">
        <f t="shared" si="15"/>
        <v>-30</v>
      </c>
      <c r="L222" s="168"/>
      <c r="M222" s="170">
        <f t="shared" si="16"/>
        <v>0</v>
      </c>
    </row>
    <row r="223" spans="1:13">
      <c r="A223" s="185"/>
      <c r="G223" s="156"/>
      <c r="H223" s="168">
        <v>218</v>
      </c>
      <c r="I223" s="169" t="str">
        <f t="shared" si="14"/>
        <v/>
      </c>
      <c r="J223" s="168">
        <f t="shared" si="17"/>
        <v>-3</v>
      </c>
      <c r="K223" s="168">
        <f t="shared" si="15"/>
        <v>-30</v>
      </c>
      <c r="L223" s="168"/>
      <c r="M223" s="170">
        <f t="shared" si="16"/>
        <v>0</v>
      </c>
    </row>
    <row r="224" spans="1:13">
      <c r="A224" s="185"/>
      <c r="G224" s="156"/>
      <c r="H224" s="168">
        <v>219</v>
      </c>
      <c r="I224" s="169" t="str">
        <f t="shared" si="14"/>
        <v/>
      </c>
      <c r="J224" s="168">
        <f t="shared" si="17"/>
        <v>-3</v>
      </c>
      <c r="K224" s="168">
        <f t="shared" si="15"/>
        <v>-30</v>
      </c>
      <c r="L224" s="168"/>
      <c r="M224" s="170">
        <f t="shared" si="16"/>
        <v>0</v>
      </c>
    </row>
    <row r="225" spans="1:13">
      <c r="A225" s="185"/>
      <c r="G225" s="156"/>
      <c r="H225" s="168">
        <v>220</v>
      </c>
      <c r="I225" s="169" t="str">
        <f t="shared" si="14"/>
        <v/>
      </c>
      <c r="J225" s="168">
        <f t="shared" si="17"/>
        <v>-3</v>
      </c>
      <c r="K225" s="168">
        <f t="shared" si="15"/>
        <v>-30</v>
      </c>
      <c r="L225" s="168"/>
      <c r="M225" s="170">
        <f t="shared" si="16"/>
        <v>0</v>
      </c>
    </row>
    <row r="226" spans="1:13">
      <c r="A226" s="185"/>
      <c r="G226" s="156"/>
      <c r="H226" s="168">
        <v>221</v>
      </c>
      <c r="I226" s="169" t="str">
        <f t="shared" si="14"/>
        <v/>
      </c>
      <c r="J226" s="168">
        <f t="shared" si="17"/>
        <v>-3</v>
      </c>
      <c r="K226" s="168">
        <f t="shared" si="15"/>
        <v>-30</v>
      </c>
      <c r="L226" s="168"/>
      <c r="M226" s="170">
        <f t="shared" si="16"/>
        <v>0</v>
      </c>
    </row>
    <row r="227" spans="1:13">
      <c r="A227" s="185"/>
      <c r="G227" s="156"/>
      <c r="H227" s="168">
        <v>222</v>
      </c>
      <c r="I227" s="169" t="str">
        <f t="shared" si="14"/>
        <v/>
      </c>
      <c r="J227" s="168">
        <f t="shared" si="17"/>
        <v>-3</v>
      </c>
      <c r="K227" s="168">
        <f t="shared" si="15"/>
        <v>-30</v>
      </c>
      <c r="L227" s="168"/>
      <c r="M227" s="170">
        <f t="shared" si="16"/>
        <v>0</v>
      </c>
    </row>
    <row r="228" spans="1:13">
      <c r="A228" s="185"/>
      <c r="G228" s="156"/>
      <c r="H228" s="168">
        <v>223</v>
      </c>
      <c r="I228" s="169" t="str">
        <f t="shared" si="14"/>
        <v/>
      </c>
      <c r="J228" s="168">
        <f t="shared" si="17"/>
        <v>-3</v>
      </c>
      <c r="K228" s="168">
        <f t="shared" si="15"/>
        <v>-30</v>
      </c>
      <c r="L228" s="168"/>
      <c r="M228" s="170">
        <f t="shared" si="16"/>
        <v>0</v>
      </c>
    </row>
    <row r="229" spans="1:13">
      <c r="A229" s="185"/>
      <c r="G229" s="156"/>
      <c r="H229" s="168">
        <v>224</v>
      </c>
      <c r="I229" s="169" t="str">
        <f t="shared" si="14"/>
        <v/>
      </c>
      <c r="J229" s="168">
        <f t="shared" si="17"/>
        <v>-3</v>
      </c>
      <c r="K229" s="168">
        <f t="shared" si="15"/>
        <v>-30</v>
      </c>
      <c r="L229" s="168"/>
      <c r="M229" s="170">
        <f t="shared" si="16"/>
        <v>0</v>
      </c>
    </row>
    <row r="230" spans="1:13">
      <c r="A230" s="185"/>
      <c r="G230" s="156"/>
      <c r="H230" s="168">
        <v>225</v>
      </c>
      <c r="I230" s="169" t="str">
        <f t="shared" si="14"/>
        <v/>
      </c>
      <c r="J230" s="168">
        <f t="shared" si="17"/>
        <v>-3</v>
      </c>
      <c r="K230" s="168">
        <f t="shared" si="15"/>
        <v>-30</v>
      </c>
      <c r="L230" s="168"/>
      <c r="M230" s="170">
        <f t="shared" si="16"/>
        <v>0</v>
      </c>
    </row>
    <row r="231" spans="1:13">
      <c r="A231" s="185"/>
      <c r="G231" s="156"/>
      <c r="H231" s="168">
        <v>226</v>
      </c>
      <c r="I231" s="169" t="str">
        <f t="shared" si="14"/>
        <v/>
      </c>
      <c r="J231" s="168">
        <f t="shared" si="17"/>
        <v>-3</v>
      </c>
      <c r="K231" s="168">
        <f t="shared" si="15"/>
        <v>-30</v>
      </c>
      <c r="L231" s="168"/>
      <c r="M231" s="170">
        <f t="shared" si="16"/>
        <v>0</v>
      </c>
    </row>
    <row r="232" spans="1:13">
      <c r="A232" s="185"/>
      <c r="G232" s="156"/>
      <c r="H232" s="168">
        <v>227</v>
      </c>
      <c r="I232" s="169" t="str">
        <f t="shared" si="14"/>
        <v/>
      </c>
      <c r="J232" s="168">
        <f t="shared" si="17"/>
        <v>-3</v>
      </c>
      <c r="K232" s="168">
        <f t="shared" si="15"/>
        <v>-30</v>
      </c>
      <c r="L232" s="168"/>
      <c r="M232" s="170">
        <f t="shared" si="16"/>
        <v>0</v>
      </c>
    </row>
    <row r="233" spans="1:13">
      <c r="A233" s="185"/>
      <c r="G233" s="156"/>
      <c r="H233" s="168">
        <v>228</v>
      </c>
      <c r="I233" s="169" t="str">
        <f t="shared" si="14"/>
        <v/>
      </c>
      <c r="J233" s="168">
        <f t="shared" si="17"/>
        <v>-3</v>
      </c>
      <c r="K233" s="168">
        <f t="shared" si="15"/>
        <v>-30</v>
      </c>
      <c r="L233" s="168"/>
      <c r="M233" s="170">
        <f t="shared" si="16"/>
        <v>0</v>
      </c>
    </row>
    <row r="234" spans="1:13">
      <c r="A234" s="185"/>
      <c r="G234" s="156"/>
      <c r="H234" s="168">
        <v>229</v>
      </c>
      <c r="I234" s="169" t="str">
        <f t="shared" si="14"/>
        <v/>
      </c>
      <c r="J234" s="168">
        <f t="shared" si="17"/>
        <v>-3</v>
      </c>
      <c r="K234" s="168">
        <f t="shared" si="15"/>
        <v>-30</v>
      </c>
      <c r="L234" s="168"/>
      <c r="M234" s="170">
        <f t="shared" si="16"/>
        <v>0</v>
      </c>
    </row>
    <row r="235" spans="1:13">
      <c r="A235" s="185"/>
      <c r="G235" s="156"/>
      <c r="H235" s="168">
        <v>230</v>
      </c>
      <c r="I235" s="169" t="str">
        <f t="shared" si="14"/>
        <v/>
      </c>
      <c r="J235" s="168">
        <f t="shared" si="17"/>
        <v>-3</v>
      </c>
      <c r="K235" s="168">
        <f t="shared" si="15"/>
        <v>-30</v>
      </c>
      <c r="L235" s="168"/>
      <c r="M235" s="170">
        <f t="shared" si="16"/>
        <v>0</v>
      </c>
    </row>
    <row r="236" spans="1:13">
      <c r="A236" s="185"/>
      <c r="G236" s="156"/>
      <c r="H236" s="168">
        <v>231</v>
      </c>
      <c r="I236" s="169" t="str">
        <f t="shared" si="14"/>
        <v/>
      </c>
      <c r="J236" s="168">
        <f t="shared" si="17"/>
        <v>-3</v>
      </c>
      <c r="K236" s="168">
        <f t="shared" si="15"/>
        <v>-30</v>
      </c>
      <c r="L236" s="168"/>
      <c r="M236" s="170">
        <f t="shared" si="16"/>
        <v>0</v>
      </c>
    </row>
    <row r="237" spans="1:13">
      <c r="A237" s="185"/>
      <c r="G237" s="156"/>
      <c r="H237" s="168">
        <v>232</v>
      </c>
      <c r="I237" s="169" t="str">
        <f t="shared" si="14"/>
        <v/>
      </c>
      <c r="J237" s="168">
        <f t="shared" si="17"/>
        <v>-3</v>
      </c>
      <c r="K237" s="168">
        <f t="shared" si="15"/>
        <v>-30</v>
      </c>
      <c r="L237" s="168"/>
      <c r="M237" s="170">
        <f t="shared" si="16"/>
        <v>0</v>
      </c>
    </row>
    <row r="238" spans="1:13">
      <c r="A238" s="185"/>
      <c r="G238" s="156"/>
      <c r="H238" s="168">
        <v>233</v>
      </c>
      <c r="I238" s="169" t="str">
        <f t="shared" si="14"/>
        <v/>
      </c>
      <c r="J238" s="168">
        <f t="shared" si="17"/>
        <v>-3</v>
      </c>
      <c r="K238" s="168">
        <f t="shared" si="15"/>
        <v>-30</v>
      </c>
      <c r="L238" s="168"/>
      <c r="M238" s="170">
        <f t="shared" si="16"/>
        <v>0</v>
      </c>
    </row>
    <row r="239" spans="1:13">
      <c r="A239" s="185"/>
      <c r="G239" s="156"/>
      <c r="H239" s="168">
        <v>234</v>
      </c>
      <c r="I239" s="169" t="str">
        <f t="shared" si="14"/>
        <v/>
      </c>
      <c r="J239" s="168">
        <f t="shared" si="17"/>
        <v>-3</v>
      </c>
      <c r="K239" s="168">
        <f t="shared" si="15"/>
        <v>-30</v>
      </c>
      <c r="L239" s="168"/>
      <c r="M239" s="170">
        <f t="shared" si="16"/>
        <v>0</v>
      </c>
    </row>
    <row r="240" spans="1:13">
      <c r="A240" s="185"/>
      <c r="G240" s="156"/>
      <c r="H240" s="168">
        <v>235</v>
      </c>
      <c r="I240" s="169" t="str">
        <f t="shared" si="14"/>
        <v/>
      </c>
      <c r="J240" s="168">
        <f t="shared" si="17"/>
        <v>-3</v>
      </c>
      <c r="K240" s="168">
        <f t="shared" si="15"/>
        <v>-30</v>
      </c>
      <c r="L240" s="168"/>
      <c r="M240" s="170">
        <f t="shared" si="16"/>
        <v>0</v>
      </c>
    </row>
    <row r="241" spans="1:13">
      <c r="A241" s="185"/>
      <c r="G241" s="156"/>
      <c r="H241" s="168">
        <v>236</v>
      </c>
      <c r="I241" s="169" t="str">
        <f t="shared" si="14"/>
        <v/>
      </c>
      <c r="J241" s="168">
        <f t="shared" si="17"/>
        <v>-3</v>
      </c>
      <c r="K241" s="168">
        <f t="shared" si="15"/>
        <v>-30</v>
      </c>
      <c r="L241" s="168"/>
      <c r="M241" s="170">
        <f t="shared" si="16"/>
        <v>0</v>
      </c>
    </row>
    <row r="242" spans="1:13">
      <c r="A242" s="185"/>
      <c r="G242" s="156"/>
      <c r="H242" s="168">
        <v>237</v>
      </c>
      <c r="I242" s="169" t="str">
        <f t="shared" si="14"/>
        <v/>
      </c>
      <c r="J242" s="168">
        <f t="shared" si="17"/>
        <v>-3</v>
      </c>
      <c r="K242" s="168">
        <f t="shared" si="15"/>
        <v>-30</v>
      </c>
      <c r="L242" s="168"/>
      <c r="M242" s="170">
        <f t="shared" si="16"/>
        <v>0</v>
      </c>
    </row>
    <row r="243" spans="1:13">
      <c r="A243" s="185"/>
      <c r="G243" s="156"/>
      <c r="H243" s="168">
        <v>238</v>
      </c>
      <c r="I243" s="169" t="str">
        <f t="shared" si="14"/>
        <v/>
      </c>
      <c r="J243" s="168">
        <f t="shared" si="17"/>
        <v>-3</v>
      </c>
      <c r="K243" s="168">
        <f t="shared" si="15"/>
        <v>-30</v>
      </c>
      <c r="L243" s="168"/>
      <c r="M243" s="170">
        <f t="shared" si="16"/>
        <v>0</v>
      </c>
    </row>
    <row r="244" spans="1:13">
      <c r="A244" s="185"/>
      <c r="G244" s="156"/>
      <c r="H244" s="168">
        <v>239</v>
      </c>
      <c r="I244" s="169" t="str">
        <f t="shared" si="14"/>
        <v/>
      </c>
      <c r="J244" s="168">
        <f t="shared" si="17"/>
        <v>-3</v>
      </c>
      <c r="K244" s="168">
        <f t="shared" si="15"/>
        <v>-30</v>
      </c>
      <c r="L244" s="168"/>
      <c r="M244" s="170">
        <f t="shared" si="16"/>
        <v>0</v>
      </c>
    </row>
    <row r="245" spans="1:13">
      <c r="A245" s="185"/>
      <c r="G245" s="156"/>
      <c r="H245" s="168">
        <v>240</v>
      </c>
      <c r="I245" s="169" t="str">
        <f t="shared" si="14"/>
        <v/>
      </c>
      <c r="J245" s="168">
        <f t="shared" si="17"/>
        <v>-3</v>
      </c>
      <c r="K245" s="168">
        <f t="shared" si="15"/>
        <v>-30</v>
      </c>
      <c r="L245" s="168"/>
      <c r="M245" s="170">
        <f t="shared" si="16"/>
        <v>0</v>
      </c>
    </row>
    <row r="246" spans="1:13">
      <c r="A246" s="185"/>
      <c r="G246" s="156"/>
      <c r="H246" s="168">
        <v>241</v>
      </c>
      <c r="I246" s="169" t="str">
        <f t="shared" si="14"/>
        <v/>
      </c>
      <c r="J246" s="168">
        <f t="shared" si="17"/>
        <v>-3</v>
      </c>
      <c r="K246" s="168">
        <f t="shared" si="15"/>
        <v>-30</v>
      </c>
      <c r="L246" s="168"/>
      <c r="M246" s="170">
        <f t="shared" si="16"/>
        <v>0</v>
      </c>
    </row>
    <row r="247" spans="1:13">
      <c r="A247" s="185"/>
      <c r="G247" s="156"/>
      <c r="H247" s="168">
        <v>242</v>
      </c>
      <c r="I247" s="169" t="str">
        <f t="shared" si="14"/>
        <v/>
      </c>
      <c r="J247" s="168">
        <f t="shared" si="17"/>
        <v>-3</v>
      </c>
      <c r="K247" s="168">
        <f t="shared" si="15"/>
        <v>-30</v>
      </c>
      <c r="L247" s="168"/>
      <c r="M247" s="170">
        <f t="shared" si="16"/>
        <v>0</v>
      </c>
    </row>
    <row r="248" spans="1:13">
      <c r="A248" s="185"/>
      <c r="G248" s="156"/>
      <c r="H248" s="168">
        <v>243</v>
      </c>
      <c r="I248" s="169" t="str">
        <f t="shared" si="14"/>
        <v/>
      </c>
      <c r="J248" s="168">
        <f t="shared" si="17"/>
        <v>-3</v>
      </c>
      <c r="K248" s="168">
        <f t="shared" si="15"/>
        <v>-30</v>
      </c>
      <c r="L248" s="168"/>
      <c r="M248" s="170">
        <f t="shared" si="16"/>
        <v>0</v>
      </c>
    </row>
    <row r="249" spans="1:13">
      <c r="A249" s="185"/>
      <c r="G249" s="156"/>
      <c r="H249" s="168">
        <v>244</v>
      </c>
      <c r="I249" s="169" t="str">
        <f t="shared" si="14"/>
        <v/>
      </c>
      <c r="J249" s="168">
        <f t="shared" si="17"/>
        <v>-3</v>
      </c>
      <c r="K249" s="168">
        <f t="shared" si="15"/>
        <v>-30</v>
      </c>
      <c r="L249" s="168"/>
      <c r="M249" s="170">
        <f t="shared" si="16"/>
        <v>0</v>
      </c>
    </row>
    <row r="250" spans="1:13">
      <c r="A250" s="185"/>
      <c r="G250" s="156"/>
      <c r="H250" s="168">
        <v>245</v>
      </c>
      <c r="I250" s="169" t="str">
        <f t="shared" si="14"/>
        <v/>
      </c>
      <c r="J250" s="168">
        <f t="shared" si="17"/>
        <v>-3</v>
      </c>
      <c r="K250" s="168">
        <f t="shared" si="15"/>
        <v>-30</v>
      </c>
      <c r="L250" s="168"/>
      <c r="M250" s="170">
        <f t="shared" si="16"/>
        <v>0</v>
      </c>
    </row>
    <row r="251" spans="1:13">
      <c r="A251" s="185"/>
      <c r="G251" s="156"/>
      <c r="H251" s="168">
        <v>246</v>
      </c>
      <c r="I251" s="169" t="str">
        <f t="shared" si="14"/>
        <v/>
      </c>
      <c r="J251" s="168">
        <f t="shared" si="17"/>
        <v>-3</v>
      </c>
      <c r="K251" s="168">
        <f t="shared" si="15"/>
        <v>-30</v>
      </c>
      <c r="L251" s="168"/>
      <c r="M251" s="170">
        <f t="shared" si="16"/>
        <v>0</v>
      </c>
    </row>
    <row r="252" spans="1:13">
      <c r="A252" s="185"/>
      <c r="G252" s="156"/>
      <c r="H252" s="168">
        <v>247</v>
      </c>
      <c r="I252" s="169" t="str">
        <f t="shared" si="14"/>
        <v/>
      </c>
      <c r="J252" s="168">
        <f t="shared" si="17"/>
        <v>-3</v>
      </c>
      <c r="K252" s="168">
        <f t="shared" si="15"/>
        <v>-30</v>
      </c>
      <c r="L252" s="168"/>
      <c r="M252" s="170">
        <f t="shared" si="16"/>
        <v>0</v>
      </c>
    </row>
    <row r="253" spans="1:13">
      <c r="A253" s="185"/>
      <c r="G253" s="156"/>
      <c r="H253" s="168">
        <v>248</v>
      </c>
      <c r="I253" s="169" t="str">
        <f t="shared" si="14"/>
        <v/>
      </c>
      <c r="J253" s="168">
        <f t="shared" si="17"/>
        <v>-3</v>
      </c>
      <c r="K253" s="168">
        <f t="shared" si="15"/>
        <v>-30</v>
      </c>
      <c r="L253" s="168"/>
      <c r="M253" s="170">
        <f t="shared" si="16"/>
        <v>0</v>
      </c>
    </row>
    <row r="254" spans="1:13">
      <c r="A254" s="185"/>
      <c r="G254" s="156"/>
      <c r="H254" s="168">
        <v>249</v>
      </c>
      <c r="I254" s="169" t="str">
        <f t="shared" si="14"/>
        <v/>
      </c>
      <c r="J254" s="168">
        <f t="shared" si="17"/>
        <v>-3</v>
      </c>
      <c r="K254" s="168">
        <f t="shared" si="15"/>
        <v>-30</v>
      </c>
      <c r="L254" s="168"/>
      <c r="M254" s="170">
        <f t="shared" si="16"/>
        <v>0</v>
      </c>
    </row>
    <row r="255" spans="1:13">
      <c r="A255" s="185"/>
      <c r="G255" s="156"/>
      <c r="H255" s="168">
        <v>250</v>
      </c>
      <c r="I255" s="169" t="str">
        <f t="shared" si="14"/>
        <v/>
      </c>
      <c r="J255" s="168">
        <f t="shared" si="17"/>
        <v>-3</v>
      </c>
      <c r="K255" s="168">
        <f t="shared" si="15"/>
        <v>-30</v>
      </c>
      <c r="L255" s="168"/>
      <c r="M255" s="170">
        <f t="shared" si="16"/>
        <v>0</v>
      </c>
    </row>
    <row r="256" spans="1:13">
      <c r="A256" s="185"/>
      <c r="G256" s="156"/>
      <c r="H256" s="168">
        <v>251</v>
      </c>
      <c r="I256" s="169" t="str">
        <f t="shared" si="14"/>
        <v/>
      </c>
      <c r="J256" s="168">
        <f t="shared" si="17"/>
        <v>-3</v>
      </c>
      <c r="K256" s="168">
        <f t="shared" si="15"/>
        <v>-30</v>
      </c>
      <c r="L256" s="168"/>
      <c r="M256" s="170">
        <f t="shared" si="16"/>
        <v>0</v>
      </c>
    </row>
    <row r="257" spans="1:13">
      <c r="A257" s="185"/>
      <c r="G257" s="156"/>
      <c r="H257" s="168">
        <v>252</v>
      </c>
      <c r="I257" s="169" t="str">
        <f t="shared" si="14"/>
        <v/>
      </c>
      <c r="J257" s="168">
        <f t="shared" si="17"/>
        <v>-3</v>
      </c>
      <c r="K257" s="168">
        <f t="shared" si="15"/>
        <v>-30</v>
      </c>
      <c r="L257" s="168"/>
      <c r="M257" s="170">
        <f t="shared" si="16"/>
        <v>0</v>
      </c>
    </row>
    <row r="258" spans="1:13">
      <c r="A258" s="185"/>
      <c r="G258" s="156"/>
      <c r="H258" s="168">
        <v>253</v>
      </c>
      <c r="I258" s="169" t="str">
        <f t="shared" si="14"/>
        <v/>
      </c>
      <c r="J258" s="168">
        <f t="shared" si="17"/>
        <v>-3</v>
      </c>
      <c r="K258" s="168">
        <f t="shared" si="15"/>
        <v>-30</v>
      </c>
      <c r="L258" s="168"/>
      <c r="M258" s="170">
        <f t="shared" si="16"/>
        <v>0</v>
      </c>
    </row>
    <row r="259" spans="1:13">
      <c r="A259" s="185"/>
      <c r="G259" s="156"/>
      <c r="H259" s="168">
        <v>254</v>
      </c>
      <c r="I259" s="169" t="str">
        <f t="shared" si="14"/>
        <v/>
      </c>
      <c r="J259" s="168">
        <f t="shared" si="17"/>
        <v>-3</v>
      </c>
      <c r="K259" s="168">
        <f t="shared" si="15"/>
        <v>-30</v>
      </c>
      <c r="L259" s="168"/>
      <c r="M259" s="170">
        <f t="shared" si="16"/>
        <v>0</v>
      </c>
    </row>
    <row r="260" spans="1:13">
      <c r="A260" s="185"/>
      <c r="G260" s="156"/>
      <c r="H260" s="168">
        <v>255</v>
      </c>
      <c r="I260" s="169" t="str">
        <f t="shared" si="14"/>
        <v/>
      </c>
      <c r="J260" s="168">
        <f t="shared" si="17"/>
        <v>-3</v>
      </c>
      <c r="K260" s="168">
        <f t="shared" si="15"/>
        <v>-30</v>
      </c>
      <c r="L260" s="168"/>
      <c r="M260" s="170">
        <f t="shared" si="16"/>
        <v>0</v>
      </c>
    </row>
    <row r="261" spans="1:13">
      <c r="A261" s="185"/>
      <c r="G261" s="156"/>
      <c r="H261" s="168">
        <v>256</v>
      </c>
      <c r="I261" s="169" t="str">
        <f t="shared" si="14"/>
        <v/>
      </c>
      <c r="J261" s="168">
        <f t="shared" si="17"/>
        <v>-3</v>
      </c>
      <c r="K261" s="168">
        <f t="shared" si="15"/>
        <v>-30</v>
      </c>
      <c r="L261" s="168"/>
      <c r="M261" s="170">
        <f t="shared" si="16"/>
        <v>0</v>
      </c>
    </row>
    <row r="262" spans="1:13">
      <c r="A262" s="185"/>
      <c r="G262" s="156"/>
      <c r="H262" s="168">
        <v>257</v>
      </c>
      <c r="I262" s="169" t="str">
        <f t="shared" ref="I262:I305" si="18">IF(H262&lt;$H$2+1,($I$2-($I$2-1)*(LOG(H262)/LOG($H$2))),"")</f>
        <v/>
      </c>
      <c r="J262" s="168">
        <f t="shared" si="17"/>
        <v>-4</v>
      </c>
      <c r="K262" s="168">
        <f t="shared" ref="K262:K305" si="19">J262*$J$2</f>
        <v>-40</v>
      </c>
      <c r="L262" s="168"/>
      <c r="M262" s="170">
        <f t="shared" ref="M262:M305" si="20">IF(I262&lt;&gt;"",K262+I262+L262,0)</f>
        <v>0</v>
      </c>
    </row>
    <row r="263" spans="1:13">
      <c r="A263" s="185"/>
      <c r="G263" s="156"/>
      <c r="H263" s="168">
        <v>258</v>
      </c>
      <c r="I263" s="169" t="str">
        <f t="shared" si="18"/>
        <v/>
      </c>
      <c r="J263" s="168">
        <f t="shared" ref="J263:J326" si="21">INT(LOG($H$2,2))-ROUNDUP(LOG(H263,2),0)+IF(OR($H$2=1,$H$2=2,$H$2=4,$H$2=8,$H$2=16,$H$2=32,$H$2=64,$H$2=128,$H$2=256),0,1)</f>
        <v>-4</v>
      </c>
      <c r="K263" s="168">
        <f t="shared" si="19"/>
        <v>-40</v>
      </c>
      <c r="L263" s="168"/>
      <c r="M263" s="170">
        <f t="shared" si="20"/>
        <v>0</v>
      </c>
    </row>
    <row r="264" spans="1:13">
      <c r="A264" s="185"/>
      <c r="G264" s="156"/>
      <c r="H264" s="168">
        <v>259</v>
      </c>
      <c r="I264" s="169" t="str">
        <f t="shared" si="18"/>
        <v/>
      </c>
      <c r="J264" s="168">
        <f t="shared" si="21"/>
        <v>-4</v>
      </c>
      <c r="K264" s="168">
        <f t="shared" si="19"/>
        <v>-40</v>
      </c>
      <c r="L264" s="168"/>
      <c r="M264" s="170">
        <f t="shared" si="20"/>
        <v>0</v>
      </c>
    </row>
    <row r="265" spans="1:13">
      <c r="A265" s="185"/>
      <c r="G265" s="156"/>
      <c r="H265" s="168">
        <v>260</v>
      </c>
      <c r="I265" s="169" t="str">
        <f t="shared" si="18"/>
        <v/>
      </c>
      <c r="J265" s="168">
        <f t="shared" si="21"/>
        <v>-4</v>
      </c>
      <c r="K265" s="168">
        <f t="shared" si="19"/>
        <v>-40</v>
      </c>
      <c r="L265" s="168"/>
      <c r="M265" s="170">
        <f t="shared" si="20"/>
        <v>0</v>
      </c>
    </row>
    <row r="266" spans="1:13">
      <c r="A266" s="185"/>
      <c r="G266" s="156"/>
      <c r="H266" s="168">
        <v>261</v>
      </c>
      <c r="I266" s="169" t="str">
        <f t="shared" si="18"/>
        <v/>
      </c>
      <c r="J266" s="168">
        <f t="shared" si="21"/>
        <v>-4</v>
      </c>
      <c r="K266" s="168">
        <f t="shared" si="19"/>
        <v>-40</v>
      </c>
      <c r="L266" s="168"/>
      <c r="M266" s="170">
        <f t="shared" si="20"/>
        <v>0</v>
      </c>
    </row>
    <row r="267" spans="1:13">
      <c r="A267" s="185"/>
      <c r="G267" s="156"/>
      <c r="H267" s="168">
        <v>262</v>
      </c>
      <c r="I267" s="169" t="str">
        <f t="shared" si="18"/>
        <v/>
      </c>
      <c r="J267" s="168">
        <f t="shared" si="21"/>
        <v>-4</v>
      </c>
      <c r="K267" s="168">
        <f t="shared" si="19"/>
        <v>-40</v>
      </c>
      <c r="L267" s="168"/>
      <c r="M267" s="170">
        <f t="shared" si="20"/>
        <v>0</v>
      </c>
    </row>
    <row r="268" spans="1:13">
      <c r="A268" s="185"/>
      <c r="G268" s="156"/>
      <c r="H268" s="168">
        <v>263</v>
      </c>
      <c r="I268" s="169" t="str">
        <f t="shared" si="18"/>
        <v/>
      </c>
      <c r="J268" s="168">
        <f t="shared" si="21"/>
        <v>-4</v>
      </c>
      <c r="K268" s="168">
        <f t="shared" si="19"/>
        <v>-40</v>
      </c>
      <c r="L268" s="168"/>
      <c r="M268" s="170">
        <f t="shared" si="20"/>
        <v>0</v>
      </c>
    </row>
    <row r="269" spans="1:13">
      <c r="A269" s="185"/>
      <c r="G269" s="156"/>
      <c r="H269" s="168">
        <v>264</v>
      </c>
      <c r="I269" s="169" t="str">
        <f t="shared" si="18"/>
        <v/>
      </c>
      <c r="J269" s="168">
        <f t="shared" si="21"/>
        <v>-4</v>
      </c>
      <c r="K269" s="168">
        <f t="shared" si="19"/>
        <v>-40</v>
      </c>
      <c r="L269" s="168"/>
      <c r="M269" s="170">
        <f t="shared" si="20"/>
        <v>0</v>
      </c>
    </row>
    <row r="270" spans="1:13">
      <c r="A270" s="185"/>
      <c r="G270" s="156"/>
      <c r="H270" s="168">
        <v>265</v>
      </c>
      <c r="I270" s="169" t="str">
        <f t="shared" si="18"/>
        <v/>
      </c>
      <c r="J270" s="168">
        <f t="shared" si="21"/>
        <v>-4</v>
      </c>
      <c r="K270" s="168">
        <f t="shared" si="19"/>
        <v>-40</v>
      </c>
      <c r="L270" s="168"/>
      <c r="M270" s="170">
        <f t="shared" si="20"/>
        <v>0</v>
      </c>
    </row>
    <row r="271" spans="1:13">
      <c r="A271" s="185"/>
      <c r="G271" s="156"/>
      <c r="H271" s="168">
        <v>266</v>
      </c>
      <c r="I271" s="169" t="str">
        <f t="shared" si="18"/>
        <v/>
      </c>
      <c r="J271" s="168">
        <f t="shared" si="21"/>
        <v>-4</v>
      </c>
      <c r="K271" s="168">
        <f t="shared" si="19"/>
        <v>-40</v>
      </c>
      <c r="L271" s="168"/>
      <c r="M271" s="170">
        <f t="shared" si="20"/>
        <v>0</v>
      </c>
    </row>
    <row r="272" spans="1:13">
      <c r="A272" s="185"/>
      <c r="G272" s="156"/>
      <c r="H272" s="168">
        <v>267</v>
      </c>
      <c r="I272" s="169" t="str">
        <f t="shared" si="18"/>
        <v/>
      </c>
      <c r="J272" s="168">
        <f t="shared" si="21"/>
        <v>-4</v>
      </c>
      <c r="K272" s="168">
        <f t="shared" si="19"/>
        <v>-40</v>
      </c>
      <c r="L272" s="168"/>
      <c r="M272" s="170">
        <f t="shared" si="20"/>
        <v>0</v>
      </c>
    </row>
    <row r="273" spans="1:13">
      <c r="A273" s="185"/>
      <c r="G273" s="156"/>
      <c r="H273" s="168">
        <v>268</v>
      </c>
      <c r="I273" s="169" t="str">
        <f t="shared" si="18"/>
        <v/>
      </c>
      <c r="J273" s="168">
        <f t="shared" si="21"/>
        <v>-4</v>
      </c>
      <c r="K273" s="168">
        <f t="shared" si="19"/>
        <v>-40</v>
      </c>
      <c r="L273" s="168"/>
      <c r="M273" s="170">
        <f t="shared" si="20"/>
        <v>0</v>
      </c>
    </row>
    <row r="274" spans="1:13">
      <c r="A274" s="185"/>
      <c r="G274" s="156"/>
      <c r="H274" s="168">
        <v>269</v>
      </c>
      <c r="I274" s="169" t="str">
        <f t="shared" si="18"/>
        <v/>
      </c>
      <c r="J274" s="168">
        <f t="shared" si="21"/>
        <v>-4</v>
      </c>
      <c r="K274" s="168">
        <f t="shared" si="19"/>
        <v>-40</v>
      </c>
      <c r="L274" s="168"/>
      <c r="M274" s="170">
        <f t="shared" si="20"/>
        <v>0</v>
      </c>
    </row>
    <row r="275" spans="1:13">
      <c r="A275" s="185"/>
      <c r="G275" s="156"/>
      <c r="H275" s="168">
        <v>270</v>
      </c>
      <c r="I275" s="169" t="str">
        <f t="shared" si="18"/>
        <v/>
      </c>
      <c r="J275" s="168">
        <f t="shared" si="21"/>
        <v>-4</v>
      </c>
      <c r="K275" s="168">
        <f t="shared" si="19"/>
        <v>-40</v>
      </c>
      <c r="L275" s="168"/>
      <c r="M275" s="170">
        <f t="shared" si="20"/>
        <v>0</v>
      </c>
    </row>
    <row r="276" spans="1:13">
      <c r="A276" s="185"/>
      <c r="G276" s="156"/>
      <c r="H276" s="168">
        <v>271</v>
      </c>
      <c r="I276" s="169" t="str">
        <f t="shared" si="18"/>
        <v/>
      </c>
      <c r="J276" s="168">
        <f t="shared" si="21"/>
        <v>-4</v>
      </c>
      <c r="K276" s="168">
        <f t="shared" si="19"/>
        <v>-40</v>
      </c>
      <c r="L276" s="168"/>
      <c r="M276" s="170">
        <f t="shared" si="20"/>
        <v>0</v>
      </c>
    </row>
    <row r="277" spans="1:13">
      <c r="A277" s="185"/>
      <c r="G277" s="156"/>
      <c r="H277" s="168">
        <v>272</v>
      </c>
      <c r="I277" s="169" t="str">
        <f t="shared" si="18"/>
        <v/>
      </c>
      <c r="J277" s="168">
        <f t="shared" si="21"/>
        <v>-4</v>
      </c>
      <c r="K277" s="168">
        <f t="shared" si="19"/>
        <v>-40</v>
      </c>
      <c r="L277" s="168"/>
      <c r="M277" s="170">
        <f t="shared" si="20"/>
        <v>0</v>
      </c>
    </row>
    <row r="278" spans="1:13">
      <c r="A278" s="185"/>
      <c r="G278" s="156"/>
      <c r="H278" s="168">
        <v>273</v>
      </c>
      <c r="I278" s="169" t="str">
        <f t="shared" si="18"/>
        <v/>
      </c>
      <c r="J278" s="168">
        <f t="shared" si="21"/>
        <v>-4</v>
      </c>
      <c r="K278" s="168">
        <f t="shared" si="19"/>
        <v>-40</v>
      </c>
      <c r="L278" s="168"/>
      <c r="M278" s="170">
        <f t="shared" si="20"/>
        <v>0</v>
      </c>
    </row>
    <row r="279" spans="1:13">
      <c r="A279" s="185"/>
      <c r="G279" s="156"/>
      <c r="H279" s="168">
        <v>274</v>
      </c>
      <c r="I279" s="169" t="str">
        <f t="shared" si="18"/>
        <v/>
      </c>
      <c r="J279" s="168">
        <f t="shared" si="21"/>
        <v>-4</v>
      </c>
      <c r="K279" s="168">
        <f t="shared" si="19"/>
        <v>-40</v>
      </c>
      <c r="L279" s="168"/>
      <c r="M279" s="170">
        <f t="shared" si="20"/>
        <v>0</v>
      </c>
    </row>
    <row r="280" spans="1:13">
      <c r="A280" s="185"/>
      <c r="G280" s="156"/>
      <c r="H280" s="168">
        <v>275</v>
      </c>
      <c r="I280" s="169" t="str">
        <f t="shared" si="18"/>
        <v/>
      </c>
      <c r="J280" s="168">
        <f t="shared" si="21"/>
        <v>-4</v>
      </c>
      <c r="K280" s="168">
        <f t="shared" si="19"/>
        <v>-40</v>
      </c>
      <c r="L280" s="168"/>
      <c r="M280" s="170">
        <f t="shared" si="20"/>
        <v>0</v>
      </c>
    </row>
    <row r="281" spans="1:13">
      <c r="A281" s="185"/>
      <c r="G281" s="156"/>
      <c r="H281" s="168">
        <v>276</v>
      </c>
      <c r="I281" s="169" t="str">
        <f t="shared" si="18"/>
        <v/>
      </c>
      <c r="J281" s="168">
        <f t="shared" si="21"/>
        <v>-4</v>
      </c>
      <c r="K281" s="168">
        <f t="shared" si="19"/>
        <v>-40</v>
      </c>
      <c r="L281" s="168"/>
      <c r="M281" s="170">
        <f t="shared" si="20"/>
        <v>0</v>
      </c>
    </row>
    <row r="282" spans="1:13">
      <c r="A282" s="185"/>
      <c r="G282" s="156"/>
      <c r="H282" s="168">
        <v>277</v>
      </c>
      <c r="I282" s="169" t="str">
        <f t="shared" si="18"/>
        <v/>
      </c>
      <c r="J282" s="168">
        <f t="shared" si="21"/>
        <v>-4</v>
      </c>
      <c r="K282" s="168">
        <f t="shared" si="19"/>
        <v>-40</v>
      </c>
      <c r="L282" s="168"/>
      <c r="M282" s="170">
        <f t="shared" si="20"/>
        <v>0</v>
      </c>
    </row>
    <row r="283" spans="1:13">
      <c r="A283" s="185"/>
      <c r="G283" s="156"/>
      <c r="H283" s="168">
        <v>278</v>
      </c>
      <c r="I283" s="169" t="str">
        <f t="shared" si="18"/>
        <v/>
      </c>
      <c r="J283" s="168">
        <f t="shared" si="21"/>
        <v>-4</v>
      </c>
      <c r="K283" s="168">
        <f t="shared" si="19"/>
        <v>-40</v>
      </c>
      <c r="L283" s="168"/>
      <c r="M283" s="170">
        <f t="shared" si="20"/>
        <v>0</v>
      </c>
    </row>
    <row r="284" spans="1:13">
      <c r="A284" s="185"/>
      <c r="G284" s="156"/>
      <c r="H284" s="168">
        <v>279</v>
      </c>
      <c r="I284" s="169" t="str">
        <f t="shared" si="18"/>
        <v/>
      </c>
      <c r="J284" s="168">
        <f t="shared" si="21"/>
        <v>-4</v>
      </c>
      <c r="K284" s="168">
        <f t="shared" si="19"/>
        <v>-40</v>
      </c>
      <c r="L284" s="168"/>
      <c r="M284" s="170">
        <f t="shared" si="20"/>
        <v>0</v>
      </c>
    </row>
    <row r="285" spans="1:13">
      <c r="A285" s="185"/>
      <c r="G285" s="156"/>
      <c r="H285" s="168">
        <v>280</v>
      </c>
      <c r="I285" s="169" t="str">
        <f t="shared" si="18"/>
        <v/>
      </c>
      <c r="J285" s="168">
        <f t="shared" si="21"/>
        <v>-4</v>
      </c>
      <c r="K285" s="168">
        <f t="shared" si="19"/>
        <v>-40</v>
      </c>
      <c r="L285" s="168"/>
      <c r="M285" s="170">
        <f t="shared" si="20"/>
        <v>0</v>
      </c>
    </row>
    <row r="286" spans="1:13">
      <c r="A286" s="185"/>
      <c r="G286" s="156"/>
      <c r="H286" s="168">
        <v>281</v>
      </c>
      <c r="I286" s="169" t="str">
        <f t="shared" si="18"/>
        <v/>
      </c>
      <c r="J286" s="168">
        <f t="shared" si="21"/>
        <v>-4</v>
      </c>
      <c r="K286" s="168">
        <f t="shared" si="19"/>
        <v>-40</v>
      </c>
      <c r="L286" s="168"/>
      <c r="M286" s="170">
        <f t="shared" si="20"/>
        <v>0</v>
      </c>
    </row>
    <row r="287" spans="1:13">
      <c r="A287" s="185"/>
      <c r="G287" s="156"/>
      <c r="H287" s="168">
        <v>282</v>
      </c>
      <c r="I287" s="169" t="str">
        <f t="shared" si="18"/>
        <v/>
      </c>
      <c r="J287" s="168">
        <f t="shared" si="21"/>
        <v>-4</v>
      </c>
      <c r="K287" s="168">
        <f t="shared" si="19"/>
        <v>-40</v>
      </c>
      <c r="L287" s="168"/>
      <c r="M287" s="170">
        <f t="shared" si="20"/>
        <v>0</v>
      </c>
    </row>
    <row r="288" spans="1:13">
      <c r="A288" s="185"/>
      <c r="G288" s="156"/>
      <c r="H288" s="168">
        <v>283</v>
      </c>
      <c r="I288" s="169" t="str">
        <f t="shared" si="18"/>
        <v/>
      </c>
      <c r="J288" s="168">
        <f t="shared" si="21"/>
        <v>-4</v>
      </c>
      <c r="K288" s="168">
        <f t="shared" si="19"/>
        <v>-40</v>
      </c>
      <c r="L288" s="168"/>
      <c r="M288" s="170">
        <f t="shared" si="20"/>
        <v>0</v>
      </c>
    </row>
    <row r="289" spans="1:13">
      <c r="A289" s="185"/>
      <c r="G289" s="156"/>
      <c r="H289" s="168">
        <v>284</v>
      </c>
      <c r="I289" s="169" t="str">
        <f t="shared" si="18"/>
        <v/>
      </c>
      <c r="J289" s="168">
        <f t="shared" si="21"/>
        <v>-4</v>
      </c>
      <c r="K289" s="168">
        <f t="shared" si="19"/>
        <v>-40</v>
      </c>
      <c r="L289" s="168"/>
      <c r="M289" s="170">
        <f t="shared" si="20"/>
        <v>0</v>
      </c>
    </row>
    <row r="290" spans="1:13">
      <c r="A290" s="185"/>
      <c r="G290" s="156"/>
      <c r="H290" s="168">
        <v>285</v>
      </c>
      <c r="I290" s="169" t="str">
        <f t="shared" si="18"/>
        <v/>
      </c>
      <c r="J290" s="168">
        <f t="shared" si="21"/>
        <v>-4</v>
      </c>
      <c r="K290" s="168">
        <f t="shared" si="19"/>
        <v>-40</v>
      </c>
      <c r="L290" s="168"/>
      <c r="M290" s="170">
        <f t="shared" si="20"/>
        <v>0</v>
      </c>
    </row>
    <row r="291" spans="1:13">
      <c r="A291" s="185"/>
      <c r="G291" s="156"/>
      <c r="H291" s="168">
        <v>286</v>
      </c>
      <c r="I291" s="169" t="str">
        <f t="shared" si="18"/>
        <v/>
      </c>
      <c r="J291" s="168">
        <f t="shared" si="21"/>
        <v>-4</v>
      </c>
      <c r="K291" s="168">
        <f t="shared" si="19"/>
        <v>-40</v>
      </c>
      <c r="L291" s="168"/>
      <c r="M291" s="170">
        <f t="shared" si="20"/>
        <v>0</v>
      </c>
    </row>
    <row r="292" spans="1:13">
      <c r="A292" s="185"/>
      <c r="G292" s="156"/>
      <c r="H292" s="168">
        <v>287</v>
      </c>
      <c r="I292" s="169" t="str">
        <f t="shared" si="18"/>
        <v/>
      </c>
      <c r="J292" s="168">
        <f t="shared" si="21"/>
        <v>-4</v>
      </c>
      <c r="K292" s="168">
        <f t="shared" si="19"/>
        <v>-40</v>
      </c>
      <c r="L292" s="168"/>
      <c r="M292" s="170">
        <f t="shared" si="20"/>
        <v>0</v>
      </c>
    </row>
    <row r="293" spans="1:13">
      <c r="A293" s="185"/>
      <c r="G293" s="156"/>
      <c r="H293" s="168">
        <v>288</v>
      </c>
      <c r="I293" s="169" t="str">
        <f t="shared" si="18"/>
        <v/>
      </c>
      <c r="J293" s="168">
        <f t="shared" si="21"/>
        <v>-4</v>
      </c>
      <c r="K293" s="168">
        <f t="shared" si="19"/>
        <v>-40</v>
      </c>
      <c r="L293" s="168"/>
      <c r="M293" s="170">
        <f t="shared" si="20"/>
        <v>0</v>
      </c>
    </row>
    <row r="294" spans="1:13">
      <c r="A294" s="185"/>
      <c r="G294" s="156"/>
      <c r="H294" s="168">
        <v>289</v>
      </c>
      <c r="I294" s="169" t="str">
        <f t="shared" si="18"/>
        <v/>
      </c>
      <c r="J294" s="168">
        <f t="shared" si="21"/>
        <v>-4</v>
      </c>
      <c r="K294" s="168">
        <f t="shared" si="19"/>
        <v>-40</v>
      </c>
      <c r="L294" s="168"/>
      <c r="M294" s="170">
        <f t="shared" si="20"/>
        <v>0</v>
      </c>
    </row>
    <row r="295" spans="1:13">
      <c r="A295" s="185"/>
      <c r="G295" s="156"/>
      <c r="H295" s="168">
        <v>290</v>
      </c>
      <c r="I295" s="169" t="str">
        <f t="shared" si="18"/>
        <v/>
      </c>
      <c r="J295" s="168">
        <f t="shared" si="21"/>
        <v>-4</v>
      </c>
      <c r="K295" s="168">
        <f t="shared" si="19"/>
        <v>-40</v>
      </c>
      <c r="L295" s="168"/>
      <c r="M295" s="170">
        <f t="shared" si="20"/>
        <v>0</v>
      </c>
    </row>
    <row r="296" spans="1:13">
      <c r="A296" s="185"/>
      <c r="G296" s="156"/>
      <c r="H296" s="168">
        <v>291</v>
      </c>
      <c r="I296" s="169" t="str">
        <f t="shared" si="18"/>
        <v/>
      </c>
      <c r="J296" s="168">
        <f t="shared" si="21"/>
        <v>-4</v>
      </c>
      <c r="K296" s="168">
        <f t="shared" si="19"/>
        <v>-40</v>
      </c>
      <c r="L296" s="168"/>
      <c r="M296" s="170">
        <f t="shared" si="20"/>
        <v>0</v>
      </c>
    </row>
    <row r="297" spans="1:13">
      <c r="A297" s="185"/>
      <c r="G297" s="156"/>
      <c r="H297" s="168">
        <v>292</v>
      </c>
      <c r="I297" s="169" t="str">
        <f t="shared" si="18"/>
        <v/>
      </c>
      <c r="J297" s="168">
        <f t="shared" si="21"/>
        <v>-4</v>
      </c>
      <c r="K297" s="168">
        <f t="shared" si="19"/>
        <v>-40</v>
      </c>
      <c r="L297" s="168"/>
      <c r="M297" s="170">
        <f t="shared" si="20"/>
        <v>0</v>
      </c>
    </row>
    <row r="298" spans="1:13">
      <c r="A298" s="185"/>
      <c r="G298" s="156"/>
      <c r="H298" s="168">
        <v>293</v>
      </c>
      <c r="I298" s="169" t="str">
        <f t="shared" si="18"/>
        <v/>
      </c>
      <c r="J298" s="168">
        <f t="shared" si="21"/>
        <v>-4</v>
      </c>
      <c r="K298" s="168">
        <f t="shared" si="19"/>
        <v>-40</v>
      </c>
      <c r="L298" s="168"/>
      <c r="M298" s="170">
        <f t="shared" si="20"/>
        <v>0</v>
      </c>
    </row>
    <row r="299" spans="1:13">
      <c r="A299" s="185"/>
      <c r="G299" s="156"/>
      <c r="H299" s="168">
        <v>294</v>
      </c>
      <c r="I299" s="169" t="str">
        <f t="shared" si="18"/>
        <v/>
      </c>
      <c r="J299" s="168">
        <f t="shared" si="21"/>
        <v>-4</v>
      </c>
      <c r="K299" s="168">
        <f t="shared" si="19"/>
        <v>-40</v>
      </c>
      <c r="L299" s="168"/>
      <c r="M299" s="170">
        <f t="shared" si="20"/>
        <v>0</v>
      </c>
    </row>
    <row r="300" spans="1:13">
      <c r="A300" s="185"/>
      <c r="G300" s="156"/>
      <c r="H300" s="168">
        <v>295</v>
      </c>
      <c r="I300" s="169" t="str">
        <f t="shared" si="18"/>
        <v/>
      </c>
      <c r="J300" s="168">
        <f t="shared" si="21"/>
        <v>-4</v>
      </c>
      <c r="K300" s="168">
        <f t="shared" si="19"/>
        <v>-40</v>
      </c>
      <c r="L300" s="168"/>
      <c r="M300" s="170">
        <f t="shared" si="20"/>
        <v>0</v>
      </c>
    </row>
    <row r="301" spans="1:13">
      <c r="A301" s="185"/>
      <c r="G301" s="156"/>
      <c r="H301" s="168">
        <v>296</v>
      </c>
      <c r="I301" s="169" t="str">
        <f t="shared" si="18"/>
        <v/>
      </c>
      <c r="J301" s="168">
        <f t="shared" si="21"/>
        <v>-4</v>
      </c>
      <c r="K301" s="168">
        <f t="shared" si="19"/>
        <v>-40</v>
      </c>
      <c r="L301" s="168"/>
      <c r="M301" s="170">
        <f t="shared" si="20"/>
        <v>0</v>
      </c>
    </row>
    <row r="302" spans="1:13">
      <c r="A302" s="185"/>
      <c r="G302" s="156"/>
      <c r="H302" s="168">
        <v>297</v>
      </c>
      <c r="I302" s="169" t="str">
        <f t="shared" si="18"/>
        <v/>
      </c>
      <c r="J302" s="168">
        <f t="shared" si="21"/>
        <v>-4</v>
      </c>
      <c r="K302" s="168">
        <f t="shared" si="19"/>
        <v>-40</v>
      </c>
      <c r="L302" s="168"/>
      <c r="M302" s="170">
        <f t="shared" si="20"/>
        <v>0</v>
      </c>
    </row>
    <row r="303" spans="1:13">
      <c r="A303" s="185"/>
      <c r="G303" s="156"/>
      <c r="H303" s="168">
        <v>298</v>
      </c>
      <c r="I303" s="169" t="str">
        <f t="shared" si="18"/>
        <v/>
      </c>
      <c r="J303" s="168">
        <f t="shared" si="21"/>
        <v>-4</v>
      </c>
      <c r="K303" s="168">
        <f t="shared" si="19"/>
        <v>-40</v>
      </c>
      <c r="L303" s="168"/>
      <c r="M303" s="170">
        <f t="shared" si="20"/>
        <v>0</v>
      </c>
    </row>
    <row r="304" spans="1:13">
      <c r="A304" s="185"/>
      <c r="G304" s="156"/>
      <c r="H304" s="168">
        <v>299</v>
      </c>
      <c r="I304" s="169" t="str">
        <f t="shared" si="18"/>
        <v/>
      </c>
      <c r="J304" s="168">
        <f t="shared" si="21"/>
        <v>-4</v>
      </c>
      <c r="K304" s="168">
        <f t="shared" si="19"/>
        <v>-40</v>
      </c>
      <c r="L304" s="168"/>
      <c r="M304" s="170">
        <f t="shared" si="20"/>
        <v>0</v>
      </c>
    </row>
    <row r="305" spans="1:16">
      <c r="A305" s="185"/>
      <c r="G305" s="156"/>
      <c r="H305" s="168">
        <v>300</v>
      </c>
      <c r="I305" s="169" t="str">
        <f t="shared" si="18"/>
        <v/>
      </c>
      <c r="J305" s="168">
        <f t="shared" si="21"/>
        <v>-4</v>
      </c>
      <c r="K305" s="168">
        <f t="shared" si="19"/>
        <v>-40</v>
      </c>
      <c r="L305" s="168"/>
      <c r="M305" s="170">
        <f t="shared" si="20"/>
        <v>0</v>
      </c>
    </row>
    <row r="306" spans="1:16">
      <c r="A306" s="186"/>
      <c r="J306" s="187" t="e">
        <f t="shared" si="21"/>
        <v>#NUM!</v>
      </c>
    </row>
    <row r="307" spans="1:16">
      <c r="J307" s="187" t="e">
        <f t="shared" si="21"/>
        <v>#NUM!</v>
      </c>
    </row>
    <row r="308" spans="1:16">
      <c r="J308" s="187" t="e">
        <f t="shared" si="21"/>
        <v>#NUM!</v>
      </c>
    </row>
    <row r="309" spans="1:16">
      <c r="J309" s="187" t="e">
        <f t="shared" si="21"/>
        <v>#NUM!</v>
      </c>
    </row>
    <row r="310" spans="1:16">
      <c r="J310" s="187" t="e">
        <f t="shared" si="21"/>
        <v>#NUM!</v>
      </c>
    </row>
    <row r="311" spans="1:16">
      <c r="J311" s="187" t="e">
        <f t="shared" si="21"/>
        <v>#NUM!</v>
      </c>
    </row>
    <row r="312" spans="1:16">
      <c r="J312" s="187" t="e">
        <f t="shared" si="21"/>
        <v>#NUM!</v>
      </c>
    </row>
    <row r="313" spans="1:16">
      <c r="J313" s="187" t="e">
        <f t="shared" si="21"/>
        <v>#NUM!</v>
      </c>
    </row>
    <row r="314" spans="1:16">
      <c r="J314" s="187" t="e">
        <f t="shared" si="21"/>
        <v>#NUM!</v>
      </c>
      <c r="L314" s="189"/>
      <c r="P314" s="179"/>
    </row>
    <row r="315" spans="1:16">
      <c r="J315" s="187" t="e">
        <f t="shared" si="21"/>
        <v>#NUM!</v>
      </c>
      <c r="L315" s="189"/>
      <c r="P315" s="179"/>
    </row>
    <row r="316" spans="1:16">
      <c r="J316" s="187" t="e">
        <f t="shared" si="21"/>
        <v>#NUM!</v>
      </c>
      <c r="L316" s="189"/>
      <c r="P316" s="179"/>
    </row>
    <row r="317" spans="1:16">
      <c r="J317" s="187" t="e">
        <f t="shared" si="21"/>
        <v>#NUM!</v>
      </c>
      <c r="L317" s="189"/>
      <c r="P317" s="179"/>
    </row>
    <row r="318" spans="1:16">
      <c r="J318" s="187" t="e">
        <f t="shared" si="21"/>
        <v>#NUM!</v>
      </c>
    </row>
    <row r="319" spans="1:16">
      <c r="J319" s="187" t="e">
        <f t="shared" si="21"/>
        <v>#NUM!</v>
      </c>
    </row>
    <row r="320" spans="1:16">
      <c r="J320" s="187" t="e">
        <f t="shared" si="21"/>
        <v>#NUM!</v>
      </c>
    </row>
    <row r="321" spans="10:10">
      <c r="J321" s="187" t="e">
        <f t="shared" si="21"/>
        <v>#NUM!</v>
      </c>
    </row>
    <row r="322" spans="10:10">
      <c r="J322" s="187" t="e">
        <f t="shared" si="21"/>
        <v>#NUM!</v>
      </c>
    </row>
    <row r="323" spans="10:10">
      <c r="J323" s="187" t="e">
        <f t="shared" si="21"/>
        <v>#NUM!</v>
      </c>
    </row>
    <row r="324" spans="10:10">
      <c r="J324" s="187" t="e">
        <f t="shared" si="21"/>
        <v>#NUM!</v>
      </c>
    </row>
    <row r="325" spans="10:10">
      <c r="J325" s="187" t="e">
        <f t="shared" si="21"/>
        <v>#NUM!</v>
      </c>
    </row>
    <row r="326" spans="10:10">
      <c r="J326" s="187" t="e">
        <f t="shared" si="21"/>
        <v>#NUM!</v>
      </c>
    </row>
    <row r="327" spans="10:10">
      <c r="J327" s="187" t="e">
        <f t="shared" ref="J327:J374" si="22">INT(LOG($H$2,2))-ROUNDUP(LOG(H327,2),0)+IF(OR($H$2=1,$H$2=2,$H$2=4,$H$2=8,$H$2=16,$H$2=32,$H$2=64,$H$2=128,$H$2=256),0,1)</f>
        <v>#NUM!</v>
      </c>
    </row>
    <row r="328" spans="10:10">
      <c r="J328" s="187" t="e">
        <f t="shared" si="22"/>
        <v>#NUM!</v>
      </c>
    </row>
    <row r="329" spans="10:10">
      <c r="J329" s="187" t="e">
        <f t="shared" si="22"/>
        <v>#NUM!</v>
      </c>
    </row>
    <row r="330" spans="10:10">
      <c r="J330" s="187" t="e">
        <f t="shared" si="22"/>
        <v>#NUM!</v>
      </c>
    </row>
    <row r="331" spans="10:10">
      <c r="J331" s="187" t="e">
        <f t="shared" si="22"/>
        <v>#NUM!</v>
      </c>
    </row>
    <row r="332" spans="10:10">
      <c r="J332" s="187" t="e">
        <f t="shared" si="22"/>
        <v>#NUM!</v>
      </c>
    </row>
    <row r="333" spans="10:10">
      <c r="J333" s="187" t="e">
        <f t="shared" si="22"/>
        <v>#NUM!</v>
      </c>
    </row>
    <row r="334" spans="10:10">
      <c r="J334" s="187" t="e">
        <f t="shared" si="22"/>
        <v>#NUM!</v>
      </c>
    </row>
    <row r="335" spans="10:10">
      <c r="J335" s="187" t="e">
        <f t="shared" si="22"/>
        <v>#NUM!</v>
      </c>
    </row>
    <row r="336" spans="10:10">
      <c r="J336" s="187" t="e">
        <f t="shared" si="22"/>
        <v>#NUM!</v>
      </c>
    </row>
    <row r="337" spans="10:10">
      <c r="J337" s="187" t="e">
        <f t="shared" si="22"/>
        <v>#NUM!</v>
      </c>
    </row>
    <row r="338" spans="10:10">
      <c r="J338" s="187" t="e">
        <f t="shared" si="22"/>
        <v>#NUM!</v>
      </c>
    </row>
    <row r="339" spans="10:10">
      <c r="J339" s="187" t="e">
        <f t="shared" si="22"/>
        <v>#NUM!</v>
      </c>
    </row>
    <row r="340" spans="10:10">
      <c r="J340" s="187" t="e">
        <f t="shared" si="22"/>
        <v>#NUM!</v>
      </c>
    </row>
    <row r="341" spans="10:10">
      <c r="J341" s="187" t="e">
        <f t="shared" si="22"/>
        <v>#NUM!</v>
      </c>
    </row>
    <row r="342" spans="10:10">
      <c r="J342" s="187" t="e">
        <f t="shared" si="22"/>
        <v>#NUM!</v>
      </c>
    </row>
    <row r="343" spans="10:10">
      <c r="J343" s="187" t="e">
        <f t="shared" si="22"/>
        <v>#NUM!</v>
      </c>
    </row>
    <row r="344" spans="10:10">
      <c r="J344" s="187" t="e">
        <f t="shared" si="22"/>
        <v>#NUM!</v>
      </c>
    </row>
    <row r="345" spans="10:10">
      <c r="J345" s="187" t="e">
        <f t="shared" si="22"/>
        <v>#NUM!</v>
      </c>
    </row>
    <row r="346" spans="10:10">
      <c r="J346" s="187" t="e">
        <f t="shared" si="22"/>
        <v>#NUM!</v>
      </c>
    </row>
    <row r="347" spans="10:10">
      <c r="J347" s="187" t="e">
        <f t="shared" si="22"/>
        <v>#NUM!</v>
      </c>
    </row>
    <row r="348" spans="10:10">
      <c r="J348" s="187" t="e">
        <f t="shared" si="22"/>
        <v>#NUM!</v>
      </c>
    </row>
    <row r="349" spans="10:10">
      <c r="J349" s="187" t="e">
        <f t="shared" si="22"/>
        <v>#NUM!</v>
      </c>
    </row>
    <row r="350" spans="10:10">
      <c r="J350" s="187" t="e">
        <f t="shared" si="22"/>
        <v>#NUM!</v>
      </c>
    </row>
    <row r="351" spans="10:10">
      <c r="J351" s="187" t="e">
        <f t="shared" si="22"/>
        <v>#NUM!</v>
      </c>
    </row>
    <row r="352" spans="10:10">
      <c r="J352" s="187" t="e">
        <f t="shared" si="22"/>
        <v>#NUM!</v>
      </c>
    </row>
    <row r="353" spans="10:10">
      <c r="J353" s="187" t="e">
        <f t="shared" si="22"/>
        <v>#NUM!</v>
      </c>
    </row>
    <row r="354" spans="10:10">
      <c r="J354" s="187" t="e">
        <f t="shared" si="22"/>
        <v>#NUM!</v>
      </c>
    </row>
    <row r="355" spans="10:10">
      <c r="J355" s="187" t="e">
        <f t="shared" si="22"/>
        <v>#NUM!</v>
      </c>
    </row>
    <row r="356" spans="10:10">
      <c r="J356" s="187" t="e">
        <f t="shared" si="22"/>
        <v>#NUM!</v>
      </c>
    </row>
    <row r="357" spans="10:10">
      <c r="J357" s="187" t="e">
        <f t="shared" si="22"/>
        <v>#NUM!</v>
      </c>
    </row>
    <row r="358" spans="10:10">
      <c r="J358" s="187" t="e">
        <f t="shared" si="22"/>
        <v>#NUM!</v>
      </c>
    </row>
    <row r="359" spans="10:10">
      <c r="J359" s="187" t="e">
        <f t="shared" si="22"/>
        <v>#NUM!</v>
      </c>
    </row>
    <row r="360" spans="10:10">
      <c r="J360" s="187" t="e">
        <f t="shared" si="22"/>
        <v>#NUM!</v>
      </c>
    </row>
    <row r="361" spans="10:10">
      <c r="J361" s="187" t="e">
        <f t="shared" si="22"/>
        <v>#NUM!</v>
      </c>
    </row>
    <row r="362" spans="10:10">
      <c r="J362" s="187" t="e">
        <f t="shared" si="22"/>
        <v>#NUM!</v>
      </c>
    </row>
    <row r="363" spans="10:10">
      <c r="J363" s="187" t="e">
        <f t="shared" si="22"/>
        <v>#NUM!</v>
      </c>
    </row>
    <row r="364" spans="10:10">
      <c r="J364" s="187" t="e">
        <f t="shared" si="22"/>
        <v>#NUM!</v>
      </c>
    </row>
    <row r="365" spans="10:10">
      <c r="J365" s="187" t="e">
        <f t="shared" si="22"/>
        <v>#NUM!</v>
      </c>
    </row>
    <row r="366" spans="10:10">
      <c r="J366" s="187" t="e">
        <f t="shared" si="22"/>
        <v>#NUM!</v>
      </c>
    </row>
    <row r="367" spans="10:10">
      <c r="J367" s="187" t="e">
        <f t="shared" si="22"/>
        <v>#NUM!</v>
      </c>
    </row>
    <row r="368" spans="10:10">
      <c r="J368" s="187" t="e">
        <f t="shared" si="22"/>
        <v>#NUM!</v>
      </c>
    </row>
    <row r="369" spans="10:10">
      <c r="J369" s="187" t="e">
        <f t="shared" si="22"/>
        <v>#NUM!</v>
      </c>
    </row>
    <row r="370" spans="10:10">
      <c r="J370" s="187" t="e">
        <f t="shared" si="22"/>
        <v>#NUM!</v>
      </c>
    </row>
    <row r="371" spans="10:10">
      <c r="J371" s="187" t="e">
        <f t="shared" si="22"/>
        <v>#NUM!</v>
      </c>
    </row>
    <row r="372" spans="10:10">
      <c r="J372" s="187" t="e">
        <f t="shared" si="22"/>
        <v>#NUM!</v>
      </c>
    </row>
    <row r="373" spans="10:10">
      <c r="J373" s="187" t="e">
        <f t="shared" si="22"/>
        <v>#NUM!</v>
      </c>
    </row>
    <row r="374" spans="10:10">
      <c r="J374" s="187" t="e">
        <f t="shared" si="22"/>
        <v>#NUM!</v>
      </c>
    </row>
  </sheetData>
  <conditionalFormatting sqref="J9:K305">
    <cfRule type="cellIs" dxfId="8" priority="1" operator="lessThanOrEqual">
      <formula>0</formula>
    </cfRule>
  </conditionalFormatting>
  <hyperlinks>
    <hyperlink ref="C2" r:id="rId1" xr:uid="{18E66B3B-10E5-4D5C-8B01-79C660223389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D446-D39E-458C-B959-46AC19CF9656}">
  <sheetPr>
    <tabColor theme="7" tint="0.79998168889431442"/>
  </sheetPr>
  <dimension ref="A1:AL374"/>
  <sheetViews>
    <sheetView topLeftCell="A42" zoomScaleNormal="100" workbookViewId="0">
      <selection activeCell="C56" sqref="C56"/>
    </sheetView>
  </sheetViews>
  <sheetFormatPr defaultColWidth="8.85546875" defaultRowHeight="15"/>
  <cols>
    <col min="1" max="1" width="8" style="184" customWidth="1"/>
    <col min="2" max="2" width="8.28515625" style="184" customWidth="1"/>
    <col min="3" max="3" width="34.7109375" style="184" customWidth="1"/>
    <col min="4" max="4" width="11.28515625" style="184" customWidth="1"/>
    <col min="5" max="6" width="8.85546875" style="184"/>
    <col min="7" max="7" width="0.85546875" style="184" customWidth="1"/>
    <col min="8" max="8" width="8.85546875" style="187"/>
    <col min="9" max="9" width="11" style="187" customWidth="1"/>
    <col min="10" max="10" width="15.28515625" style="187" customWidth="1"/>
    <col min="11" max="11" width="8.7109375" style="187" customWidth="1"/>
    <col min="12" max="12" width="11" style="187" customWidth="1"/>
    <col min="13" max="13" width="12.28515625" style="188" customWidth="1"/>
    <col min="14" max="15" width="13.85546875" style="156" customWidth="1"/>
    <col min="16" max="18" width="8.85546875" style="156"/>
    <col min="19" max="20" width="8.85546875" style="161"/>
    <col min="21" max="21" width="12.140625" style="161" customWidth="1"/>
    <col min="22" max="22" width="27.42578125" style="161" customWidth="1"/>
    <col min="23" max="38" width="8.85546875" style="161"/>
    <col min="39" max="16384" width="8.85546875" style="184"/>
  </cols>
  <sheetData>
    <row r="1" spans="1:36">
      <c r="A1" s="156"/>
      <c r="B1" s="156"/>
      <c r="C1" s="156"/>
      <c r="D1" s="156"/>
      <c r="E1" s="156"/>
      <c r="F1" s="156"/>
      <c r="G1" s="156"/>
      <c r="H1" s="157" t="s">
        <v>40</v>
      </c>
      <c r="I1" s="158" t="s">
        <v>41</v>
      </c>
      <c r="J1" s="158" t="s">
        <v>42</v>
      </c>
      <c r="K1" s="159" t="s">
        <v>272</v>
      </c>
      <c r="L1" s="160"/>
      <c r="M1" s="160"/>
    </row>
    <row r="2" spans="1:36">
      <c r="A2" s="156"/>
      <c r="B2" s="47" t="s">
        <v>44</v>
      </c>
      <c r="C2" s="202" t="s">
        <v>94</v>
      </c>
      <c r="D2" s="200"/>
      <c r="E2" s="6"/>
      <c r="F2" s="6"/>
      <c r="G2" s="6"/>
      <c r="H2" s="162">
        <v>45</v>
      </c>
      <c r="I2" s="163">
        <v>50</v>
      </c>
      <c r="J2" s="163">
        <v>10</v>
      </c>
      <c r="K2" s="190">
        <f>3*H2^(1/3)</f>
        <v>10.670679913470188</v>
      </c>
      <c r="L2" s="160"/>
      <c r="M2" s="160"/>
    </row>
    <row r="3" spans="1:36">
      <c r="A3" s="156"/>
      <c r="B3" s="165" t="s">
        <v>46</v>
      </c>
      <c r="C3" s="201" t="s">
        <v>281</v>
      </c>
      <c r="D3" s="201"/>
      <c r="E3" s="7"/>
      <c r="F3" s="7"/>
      <c r="G3" s="7"/>
      <c r="H3" s="160"/>
      <c r="I3" s="160"/>
      <c r="J3" s="191"/>
      <c r="K3" s="160"/>
      <c r="L3" s="160"/>
      <c r="M3" s="160"/>
    </row>
    <row r="4" spans="1:36" ht="10.15" customHeight="1">
      <c r="A4" s="8"/>
      <c r="B4" s="7"/>
      <c r="C4" s="8"/>
      <c r="D4" s="8"/>
      <c r="E4" s="8"/>
      <c r="F4" s="8"/>
      <c r="G4" s="8"/>
      <c r="H4" s="160"/>
      <c r="I4" s="160"/>
      <c r="J4" s="191"/>
      <c r="K4" s="160"/>
      <c r="L4" s="160"/>
      <c r="M4" s="160"/>
    </row>
    <row r="5" spans="1:36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166" t="s">
        <v>54</v>
      </c>
      <c r="I5" s="167" t="s">
        <v>55</v>
      </c>
      <c r="J5" s="192" t="s">
        <v>96</v>
      </c>
      <c r="K5" s="167" t="s">
        <v>97</v>
      </c>
      <c r="L5" s="167" t="s">
        <v>58</v>
      </c>
      <c r="M5" s="166" t="s">
        <v>59</v>
      </c>
    </row>
    <row r="6" spans="1:36" ht="14.45" customHeight="1">
      <c r="A6" s="86">
        <f>M6</f>
        <v>142.01203974041056</v>
      </c>
      <c r="B6" s="36">
        <f t="shared" ref="B6:B51" si="0">IF(H6&gt;$H$2,"",(ROW()-5))</f>
        <v>1</v>
      </c>
      <c r="C6" s="24" t="s">
        <v>17</v>
      </c>
      <c r="D6" s="24" t="s">
        <v>98</v>
      </c>
      <c r="E6" s="24"/>
      <c r="F6" s="24"/>
      <c r="G6" s="8"/>
      <c r="H6" s="168">
        <v>1</v>
      </c>
      <c r="I6" s="169">
        <f t="shared" ref="I6:I69" si="1">IF(H6&lt;$H$2+1,($I$2-($I$2-1)*(LOG(H6)/LOG($H$2))),"")</f>
        <v>50</v>
      </c>
      <c r="J6" s="168">
        <f>INT(LOG($H$2,2))-ROUNDUP(LOG(H6,2),0)+IF(OR($H$2=1,$H$2=2,$H$2=4,$H$2=8,$H$2=16,$H$2=32,$H$2=64,$H$2=128,$H$2=256),0,1)</f>
        <v>6</v>
      </c>
      <c r="K6" s="168">
        <f t="shared" ref="K6:K69" si="2">J6*$J$2</f>
        <v>60</v>
      </c>
      <c r="L6" s="170">
        <f>3*K2</f>
        <v>32.012039740410565</v>
      </c>
      <c r="M6" s="170">
        <f t="shared" ref="M6:M69" si="3">IF(I6&lt;&gt;"",K6+I6+L6,0)</f>
        <v>142.01203974041056</v>
      </c>
    </row>
    <row r="7" spans="1:36" ht="14.45" customHeight="1">
      <c r="A7" s="86">
        <f t="shared" ref="A7:A50" si="4">M7</f>
        <v>112.41905270391341</v>
      </c>
      <c r="B7" s="35">
        <f t="shared" si="0"/>
        <v>2</v>
      </c>
      <c r="C7" s="25" t="s">
        <v>216</v>
      </c>
      <c r="D7" s="25" t="s">
        <v>282</v>
      </c>
      <c r="E7" s="25"/>
      <c r="F7" s="25"/>
      <c r="G7" s="8"/>
      <c r="H7" s="171">
        <v>2</v>
      </c>
      <c r="I7" s="172">
        <f t="shared" si="1"/>
        <v>41.077692876973025</v>
      </c>
      <c r="J7" s="171">
        <f t="shared" ref="J7:J70" si="5">INT(LOG($H$2,2))-ROUNDUP(LOG(H7,2),0)+IF(OR($H$2=1,$H$2=2,$H$2=4,$H$2=8,$H$2=16,$H$2=32,$H$2=64,$H$2=128,$H$2=256),0,1)</f>
        <v>5</v>
      </c>
      <c r="K7" s="171">
        <f t="shared" si="2"/>
        <v>50</v>
      </c>
      <c r="L7" s="173">
        <f>2*K2</f>
        <v>21.341359826940376</v>
      </c>
      <c r="M7" s="173">
        <f t="shared" si="3"/>
        <v>112.41905270391341</v>
      </c>
    </row>
    <row r="8" spans="1:36" ht="14.45" customHeight="1">
      <c r="A8" s="86">
        <f t="shared" si="4"/>
        <v>86.529157703555171</v>
      </c>
      <c r="B8" s="36">
        <f t="shared" si="0"/>
        <v>3</v>
      </c>
      <c r="C8" s="24" t="s">
        <v>207</v>
      </c>
      <c r="D8" s="24" t="s">
        <v>283</v>
      </c>
      <c r="E8" s="24"/>
      <c r="F8" s="24"/>
      <c r="G8" s="8"/>
      <c r="H8" s="168">
        <v>3</v>
      </c>
      <c r="I8" s="169">
        <f t="shared" si="1"/>
        <v>35.858477790084983</v>
      </c>
      <c r="J8" s="168">
        <f t="shared" si="5"/>
        <v>4</v>
      </c>
      <c r="K8" s="168">
        <f t="shared" si="2"/>
        <v>40</v>
      </c>
      <c r="L8" s="170">
        <f>K2</f>
        <v>10.670679913470188</v>
      </c>
      <c r="M8" s="170">
        <f t="shared" si="3"/>
        <v>86.529157703555171</v>
      </c>
    </row>
    <row r="9" spans="1:36" s="161" customFormat="1" ht="14.45" customHeight="1">
      <c r="A9" s="86">
        <f t="shared" si="4"/>
        <v>86.529157703555171</v>
      </c>
      <c r="B9" s="35">
        <f t="shared" si="0"/>
        <v>4</v>
      </c>
      <c r="C9" s="25" t="s">
        <v>284</v>
      </c>
      <c r="D9" s="25" t="s">
        <v>283</v>
      </c>
      <c r="E9" s="25"/>
      <c r="F9" s="25"/>
      <c r="G9" s="8"/>
      <c r="H9" s="171">
        <v>3</v>
      </c>
      <c r="I9" s="172">
        <f t="shared" si="1"/>
        <v>35.858477790084983</v>
      </c>
      <c r="J9" s="171">
        <f t="shared" si="5"/>
        <v>4</v>
      </c>
      <c r="K9" s="171">
        <f t="shared" si="2"/>
        <v>40</v>
      </c>
      <c r="L9" s="173">
        <f>K2</f>
        <v>10.670679913470188</v>
      </c>
      <c r="M9" s="173">
        <f t="shared" si="3"/>
        <v>86.529157703555171</v>
      </c>
      <c r="N9" s="156"/>
      <c r="O9" s="156"/>
      <c r="P9" s="156"/>
      <c r="Q9" s="156"/>
      <c r="R9" s="156"/>
      <c r="V9" s="174"/>
      <c r="Z9" s="175"/>
      <c r="AA9" s="175"/>
      <c r="AG9" s="176"/>
      <c r="AH9" s="161" t="s">
        <v>99</v>
      </c>
      <c r="AI9" s="161">
        <v>23</v>
      </c>
    </row>
    <row r="10" spans="1:36" ht="14.45" customHeight="1">
      <c r="A10" s="86">
        <f t="shared" si="4"/>
        <v>59.283044419830034</v>
      </c>
      <c r="B10" s="36">
        <f t="shared" si="0"/>
        <v>5</v>
      </c>
      <c r="C10" s="24" t="s">
        <v>285</v>
      </c>
      <c r="D10" s="24" t="s">
        <v>283</v>
      </c>
      <c r="E10" s="24"/>
      <c r="F10" s="24"/>
      <c r="G10" s="8"/>
      <c r="H10" s="168">
        <v>5</v>
      </c>
      <c r="I10" s="169">
        <f t="shared" si="1"/>
        <v>29.283044419830034</v>
      </c>
      <c r="J10" s="168">
        <f t="shared" si="5"/>
        <v>3</v>
      </c>
      <c r="K10" s="168">
        <f t="shared" si="2"/>
        <v>30</v>
      </c>
      <c r="L10" s="168"/>
      <c r="M10" s="170">
        <f t="shared" si="3"/>
        <v>59.283044419830034</v>
      </c>
      <c r="V10" s="174"/>
      <c r="Z10" s="175"/>
      <c r="AA10" s="175"/>
      <c r="AG10" s="176"/>
      <c r="AH10" s="161" t="s">
        <v>100</v>
      </c>
      <c r="AI10" s="161">
        <v>45</v>
      </c>
    </row>
    <row r="11" spans="1:36" ht="14.45" customHeight="1">
      <c r="A11" s="86">
        <f t="shared" si="4"/>
        <v>56.936170667058008</v>
      </c>
      <c r="B11" s="35">
        <f t="shared" si="0"/>
        <v>6</v>
      </c>
      <c r="C11" s="25" t="s">
        <v>199</v>
      </c>
      <c r="D11" s="25" t="s">
        <v>286</v>
      </c>
      <c r="E11" s="25"/>
      <c r="F11" s="25"/>
      <c r="G11" s="8"/>
      <c r="H11" s="171">
        <v>6</v>
      </c>
      <c r="I11" s="172">
        <f t="shared" si="1"/>
        <v>26.936170667058008</v>
      </c>
      <c r="J11" s="171">
        <f t="shared" si="5"/>
        <v>3</v>
      </c>
      <c r="K11" s="171">
        <f t="shared" si="2"/>
        <v>30</v>
      </c>
      <c r="L11" s="171"/>
      <c r="M11" s="173">
        <f t="shared" si="3"/>
        <v>56.936170667058008</v>
      </c>
      <c r="V11" s="177"/>
      <c r="Z11" s="175"/>
      <c r="AA11" s="175"/>
      <c r="AG11" s="176"/>
      <c r="AH11" s="161" t="s">
        <v>101</v>
      </c>
      <c r="AI11" s="161">
        <v>50</v>
      </c>
    </row>
    <row r="12" spans="1:36" ht="14.45" customHeight="1">
      <c r="A12" s="86">
        <f t="shared" si="4"/>
        <v>54.951917182060605</v>
      </c>
      <c r="B12" s="36">
        <f t="shared" si="0"/>
        <v>7</v>
      </c>
      <c r="C12" s="24" t="s">
        <v>195</v>
      </c>
      <c r="D12" s="24" t="s">
        <v>287</v>
      </c>
      <c r="E12" s="24"/>
      <c r="F12" s="24"/>
      <c r="G12" s="8"/>
      <c r="H12" s="168">
        <v>7</v>
      </c>
      <c r="I12" s="169">
        <f t="shared" si="1"/>
        <v>24.951917182060605</v>
      </c>
      <c r="J12" s="168">
        <f t="shared" si="5"/>
        <v>3</v>
      </c>
      <c r="K12" s="168">
        <f t="shared" si="2"/>
        <v>30</v>
      </c>
      <c r="L12" s="168"/>
      <c r="M12" s="170">
        <f t="shared" si="3"/>
        <v>54.951917182060605</v>
      </c>
      <c r="Z12" s="175"/>
      <c r="AA12" s="175"/>
      <c r="AG12" s="176"/>
      <c r="AH12" s="161" t="s">
        <v>102</v>
      </c>
      <c r="AI12" s="161">
        <f>AI11-1</f>
        <v>49</v>
      </c>
    </row>
    <row r="13" spans="1:36" ht="14.45" customHeight="1">
      <c r="A13" s="86">
        <f t="shared" si="4"/>
        <v>53.233078630919081</v>
      </c>
      <c r="B13" s="35">
        <f t="shared" si="0"/>
        <v>8</v>
      </c>
      <c r="C13" s="25" t="s">
        <v>214</v>
      </c>
      <c r="D13" s="25" t="s">
        <v>288</v>
      </c>
      <c r="E13" s="25"/>
      <c r="F13" s="25"/>
      <c r="G13" s="8"/>
      <c r="H13" s="171">
        <v>8</v>
      </c>
      <c r="I13" s="172">
        <f t="shared" si="1"/>
        <v>23.233078630919078</v>
      </c>
      <c r="J13" s="171">
        <f t="shared" si="5"/>
        <v>3</v>
      </c>
      <c r="K13" s="171">
        <f t="shared" si="2"/>
        <v>30</v>
      </c>
      <c r="L13" s="171"/>
      <c r="M13" s="173">
        <f t="shared" si="3"/>
        <v>53.233078630919081</v>
      </c>
      <c r="X13" s="174"/>
      <c r="AG13" s="176"/>
      <c r="AH13" s="161" t="s">
        <v>104</v>
      </c>
      <c r="AI13" s="161">
        <f>LOG(AI9)</f>
        <v>1.3617278360175928</v>
      </c>
    </row>
    <row r="14" spans="1:36">
      <c r="A14" s="86">
        <f t="shared" si="4"/>
        <v>41.716955580169966</v>
      </c>
      <c r="B14" s="36">
        <f t="shared" si="0"/>
        <v>9</v>
      </c>
      <c r="C14" s="24" t="s">
        <v>16</v>
      </c>
      <c r="D14" s="24" t="s">
        <v>98</v>
      </c>
      <c r="E14" s="24"/>
      <c r="F14" s="24"/>
      <c r="G14" s="8"/>
      <c r="H14" s="168">
        <v>9</v>
      </c>
      <c r="I14" s="169">
        <f t="shared" si="1"/>
        <v>21.716955580169966</v>
      </c>
      <c r="J14" s="168">
        <f t="shared" si="5"/>
        <v>2</v>
      </c>
      <c r="K14" s="168">
        <f t="shared" si="2"/>
        <v>20</v>
      </c>
      <c r="L14" s="168"/>
      <c r="M14" s="170">
        <f t="shared" si="3"/>
        <v>41.716955580169966</v>
      </c>
      <c r="X14" s="178"/>
      <c r="Z14" s="175"/>
      <c r="AA14" s="175"/>
      <c r="AG14" s="176"/>
      <c r="AH14" s="161" t="s">
        <v>105</v>
      </c>
      <c r="AI14" s="161">
        <f>LOG(AI10)</f>
        <v>1.6532125137753437</v>
      </c>
    </row>
    <row r="15" spans="1:36">
      <c r="A15" s="86">
        <f t="shared" si="4"/>
        <v>40.360737296803066</v>
      </c>
      <c r="B15" s="35">
        <f t="shared" si="0"/>
        <v>10</v>
      </c>
      <c r="C15" s="25" t="s">
        <v>19</v>
      </c>
      <c r="D15" s="25" t="s">
        <v>98</v>
      </c>
      <c r="E15" s="25"/>
      <c r="F15" s="25"/>
      <c r="G15" s="8"/>
      <c r="H15" s="171">
        <v>10</v>
      </c>
      <c r="I15" s="172">
        <f t="shared" si="1"/>
        <v>20.360737296803062</v>
      </c>
      <c r="J15" s="171">
        <f t="shared" si="5"/>
        <v>2</v>
      </c>
      <c r="K15" s="171">
        <f t="shared" si="2"/>
        <v>20</v>
      </c>
      <c r="L15" s="171"/>
      <c r="M15" s="173">
        <f t="shared" si="3"/>
        <v>40.360737296803066</v>
      </c>
      <c r="X15" s="174"/>
      <c r="Z15" s="175"/>
      <c r="AA15" s="175"/>
    </row>
    <row r="16" spans="1:36">
      <c r="A16" s="86">
        <f t="shared" si="4"/>
        <v>39.133888627407707</v>
      </c>
      <c r="B16" s="36">
        <f t="shared" si="0"/>
        <v>11</v>
      </c>
      <c r="C16" s="24" t="s">
        <v>213</v>
      </c>
      <c r="D16" s="24" t="s">
        <v>288</v>
      </c>
      <c r="E16" s="24"/>
      <c r="F16" s="24"/>
      <c r="G16" s="8"/>
      <c r="H16" s="168">
        <v>11</v>
      </c>
      <c r="I16" s="169">
        <f t="shared" si="1"/>
        <v>19.133888627407707</v>
      </c>
      <c r="J16" s="168">
        <f t="shared" si="5"/>
        <v>2</v>
      </c>
      <c r="K16" s="168">
        <f t="shared" si="2"/>
        <v>20</v>
      </c>
      <c r="L16" s="168"/>
      <c r="M16" s="170">
        <f t="shared" si="3"/>
        <v>39.133888627407707</v>
      </c>
      <c r="R16" s="179"/>
      <c r="Z16" s="175"/>
      <c r="AA16" s="175"/>
      <c r="AH16" s="180" t="s">
        <v>107</v>
      </c>
      <c r="AI16" s="161">
        <f>AI11-AI12*AI13/AI14</f>
        <v>9.6393909380186855</v>
      </c>
      <c r="AJ16" s="161" t="s">
        <v>108</v>
      </c>
    </row>
    <row r="17" spans="1:19">
      <c r="A17" s="86">
        <f t="shared" si="4"/>
        <v>38.01386354403104</v>
      </c>
      <c r="B17" s="35">
        <f t="shared" si="0"/>
        <v>12</v>
      </c>
      <c r="C17" s="25" t="s">
        <v>289</v>
      </c>
      <c r="D17" s="25" t="s">
        <v>290</v>
      </c>
      <c r="E17" s="25"/>
      <c r="F17" s="25"/>
      <c r="G17" s="8"/>
      <c r="H17" s="171">
        <v>12</v>
      </c>
      <c r="I17" s="172">
        <f t="shared" si="1"/>
        <v>18.013863544031036</v>
      </c>
      <c r="J17" s="171">
        <f t="shared" si="5"/>
        <v>2</v>
      </c>
      <c r="K17" s="171">
        <f t="shared" si="2"/>
        <v>20</v>
      </c>
      <c r="L17" s="171"/>
      <c r="M17" s="173">
        <f t="shared" si="3"/>
        <v>38.01386354403104</v>
      </c>
    </row>
    <row r="18" spans="1:19">
      <c r="A18" s="86">
        <f t="shared" si="4"/>
        <v>36.983540344497811</v>
      </c>
      <c r="B18" s="36">
        <f t="shared" si="0"/>
        <v>13</v>
      </c>
      <c r="C18" s="24" t="s">
        <v>25</v>
      </c>
      <c r="D18" s="24" t="s">
        <v>291</v>
      </c>
      <c r="E18" s="24"/>
      <c r="F18" s="24"/>
      <c r="G18" s="8"/>
      <c r="H18" s="168">
        <v>13</v>
      </c>
      <c r="I18" s="169">
        <f t="shared" si="1"/>
        <v>16.983540344497811</v>
      </c>
      <c r="J18" s="168">
        <f t="shared" si="5"/>
        <v>2</v>
      </c>
      <c r="K18" s="168">
        <f t="shared" si="2"/>
        <v>20</v>
      </c>
      <c r="L18" s="168"/>
      <c r="M18" s="170">
        <f t="shared" si="3"/>
        <v>36.983540344497811</v>
      </c>
    </row>
    <row r="19" spans="1:19">
      <c r="A19" s="86">
        <f t="shared" si="4"/>
        <v>36.029610059033629</v>
      </c>
      <c r="B19" s="35">
        <f t="shared" si="0"/>
        <v>14</v>
      </c>
      <c r="C19" s="25" t="s">
        <v>163</v>
      </c>
      <c r="D19" s="25" t="s">
        <v>98</v>
      </c>
      <c r="E19" s="25"/>
      <c r="F19" s="25"/>
      <c r="G19" s="8"/>
      <c r="H19" s="171">
        <v>14</v>
      </c>
      <c r="I19" s="172">
        <f t="shared" si="1"/>
        <v>16.029610059033629</v>
      </c>
      <c r="J19" s="171">
        <f t="shared" si="5"/>
        <v>2</v>
      </c>
      <c r="K19" s="171">
        <f t="shared" si="2"/>
        <v>20</v>
      </c>
      <c r="L19" s="171"/>
      <c r="M19" s="173">
        <f t="shared" si="3"/>
        <v>36.029610059033629</v>
      </c>
    </row>
    <row r="20" spans="1:19">
      <c r="A20" s="86">
        <f t="shared" si="4"/>
        <v>35.141522209915017</v>
      </c>
      <c r="B20" s="36">
        <f t="shared" si="0"/>
        <v>15</v>
      </c>
      <c r="C20" s="24" t="s">
        <v>292</v>
      </c>
      <c r="D20" s="24" t="s">
        <v>293</v>
      </c>
      <c r="E20" s="24"/>
      <c r="F20" s="24"/>
      <c r="G20" s="8"/>
      <c r="H20" s="168">
        <v>15</v>
      </c>
      <c r="I20" s="169">
        <f t="shared" si="1"/>
        <v>15.141522209915017</v>
      </c>
      <c r="J20" s="168">
        <f t="shared" si="5"/>
        <v>2</v>
      </c>
      <c r="K20" s="168">
        <f t="shared" si="2"/>
        <v>20</v>
      </c>
      <c r="L20" s="168"/>
      <c r="M20" s="170">
        <f t="shared" si="3"/>
        <v>35.141522209915017</v>
      </c>
      <c r="R20" s="181"/>
      <c r="S20" s="182"/>
    </row>
    <row r="21" spans="1:19">
      <c r="A21" s="86">
        <f t="shared" si="4"/>
        <v>34.310771507892106</v>
      </c>
      <c r="B21" s="35">
        <f t="shared" si="0"/>
        <v>16</v>
      </c>
      <c r="C21" s="25" t="s">
        <v>294</v>
      </c>
      <c r="D21" s="25" t="s">
        <v>290</v>
      </c>
      <c r="E21" s="25"/>
      <c r="F21" s="25"/>
      <c r="G21" s="8"/>
      <c r="H21" s="171">
        <v>16</v>
      </c>
      <c r="I21" s="172">
        <f t="shared" si="1"/>
        <v>14.310771507892106</v>
      </c>
      <c r="J21" s="171">
        <f t="shared" si="5"/>
        <v>2</v>
      </c>
      <c r="K21" s="171">
        <f t="shared" si="2"/>
        <v>20</v>
      </c>
      <c r="L21" s="171"/>
      <c r="M21" s="173">
        <f t="shared" si="3"/>
        <v>34.310771507892106</v>
      </c>
    </row>
    <row r="22" spans="1:19">
      <c r="A22" s="86">
        <f t="shared" si="4"/>
        <v>23.530401176404027</v>
      </c>
      <c r="B22" s="36">
        <f t="shared" si="0"/>
        <v>17</v>
      </c>
      <c r="C22" s="24" t="s">
        <v>22</v>
      </c>
      <c r="D22" s="24" t="s">
        <v>98</v>
      </c>
      <c r="E22" s="24"/>
      <c r="F22" s="24"/>
      <c r="G22" s="8"/>
      <c r="H22" s="168">
        <v>17</v>
      </c>
      <c r="I22" s="169">
        <f t="shared" si="1"/>
        <v>13.530401176404027</v>
      </c>
      <c r="J22" s="168">
        <f t="shared" si="5"/>
        <v>1</v>
      </c>
      <c r="K22" s="168">
        <f t="shared" si="2"/>
        <v>10</v>
      </c>
      <c r="L22" s="168"/>
      <c r="M22" s="170">
        <f t="shared" si="3"/>
        <v>23.530401176404027</v>
      </c>
    </row>
    <row r="23" spans="1:19">
      <c r="A23" s="86">
        <f t="shared" si="4"/>
        <v>22.794648457142991</v>
      </c>
      <c r="B23" s="35">
        <f t="shared" si="0"/>
        <v>18</v>
      </c>
      <c r="C23" s="25" t="s">
        <v>202</v>
      </c>
      <c r="D23" s="25" t="s">
        <v>290</v>
      </c>
      <c r="E23" s="25"/>
      <c r="F23" s="25"/>
      <c r="G23" s="8"/>
      <c r="H23" s="171">
        <v>18</v>
      </c>
      <c r="I23" s="172">
        <f t="shared" si="1"/>
        <v>12.794648457142991</v>
      </c>
      <c r="J23" s="171">
        <f t="shared" si="5"/>
        <v>1</v>
      </c>
      <c r="K23" s="171">
        <f t="shared" si="2"/>
        <v>10</v>
      </c>
      <c r="L23" s="171"/>
      <c r="M23" s="173">
        <f t="shared" si="3"/>
        <v>22.794648457142991</v>
      </c>
    </row>
    <row r="24" spans="1:19">
      <c r="A24" s="86">
        <f t="shared" si="4"/>
        <v>22.098686088700035</v>
      </c>
      <c r="B24" s="36">
        <f t="shared" si="0"/>
        <v>19</v>
      </c>
      <c r="C24" s="24" t="s">
        <v>200</v>
      </c>
      <c r="D24" s="24" t="s">
        <v>283</v>
      </c>
      <c r="E24" s="24"/>
      <c r="F24" s="24"/>
      <c r="G24" s="8"/>
      <c r="H24" s="168">
        <v>19</v>
      </c>
      <c r="I24" s="169">
        <f t="shared" si="1"/>
        <v>12.098686088700035</v>
      </c>
      <c r="J24" s="168">
        <f t="shared" si="5"/>
        <v>1</v>
      </c>
      <c r="K24" s="168">
        <f t="shared" si="2"/>
        <v>10</v>
      </c>
      <c r="L24" s="168"/>
      <c r="M24" s="170">
        <f t="shared" si="3"/>
        <v>22.098686088700035</v>
      </c>
      <c r="R24" s="181"/>
      <c r="S24" s="182"/>
    </row>
    <row r="25" spans="1:19">
      <c r="A25" s="86">
        <f t="shared" si="4"/>
        <v>21.438430173776084</v>
      </c>
      <c r="B25" s="35">
        <f t="shared" si="0"/>
        <v>20</v>
      </c>
      <c r="C25" s="25" t="s">
        <v>218</v>
      </c>
      <c r="D25" s="25" t="s">
        <v>295</v>
      </c>
      <c r="E25" s="25"/>
      <c r="F25" s="25"/>
      <c r="G25" s="8"/>
      <c r="H25" s="171">
        <v>20</v>
      </c>
      <c r="I25" s="172">
        <f t="shared" si="1"/>
        <v>11.438430173776084</v>
      </c>
      <c r="J25" s="171">
        <f t="shared" si="5"/>
        <v>1</v>
      </c>
      <c r="K25" s="171">
        <f t="shared" si="2"/>
        <v>10</v>
      </c>
      <c r="L25" s="171"/>
      <c r="M25" s="173">
        <f t="shared" si="3"/>
        <v>21.438430173776084</v>
      </c>
    </row>
    <row r="26" spans="1:19">
      <c r="A26" s="250">
        <f t="shared" si="4"/>
        <v>20.810394972145588</v>
      </c>
      <c r="B26" s="247">
        <f t="shared" si="0"/>
        <v>21</v>
      </c>
      <c r="C26" s="248" t="s">
        <v>127</v>
      </c>
      <c r="D26" s="24" t="s">
        <v>98</v>
      </c>
      <c r="E26" s="24"/>
      <c r="F26" s="24"/>
      <c r="G26" s="8"/>
      <c r="H26" s="168">
        <v>21</v>
      </c>
      <c r="I26" s="169">
        <f t="shared" si="1"/>
        <v>10.810394972145588</v>
      </c>
      <c r="J26" s="168">
        <f t="shared" si="5"/>
        <v>1</v>
      </c>
      <c r="K26" s="168">
        <f t="shared" si="2"/>
        <v>10</v>
      </c>
      <c r="L26" s="168"/>
      <c r="M26" s="170">
        <f t="shared" si="3"/>
        <v>20.810394972145588</v>
      </c>
    </row>
    <row r="27" spans="1:19">
      <c r="A27" s="86">
        <f t="shared" si="4"/>
        <v>20.211581504380739</v>
      </c>
      <c r="B27" s="35">
        <f t="shared" si="0"/>
        <v>22</v>
      </c>
      <c r="C27" s="25" t="s">
        <v>296</v>
      </c>
      <c r="D27" s="25" t="s">
        <v>297</v>
      </c>
      <c r="E27" s="25"/>
      <c r="F27" s="25"/>
      <c r="G27" s="8"/>
      <c r="H27" s="171">
        <v>22</v>
      </c>
      <c r="I27" s="172">
        <f t="shared" si="1"/>
        <v>10.211581504380739</v>
      </c>
      <c r="J27" s="171">
        <f t="shared" si="5"/>
        <v>1</v>
      </c>
      <c r="K27" s="171">
        <f t="shared" si="2"/>
        <v>10</v>
      </c>
      <c r="L27" s="171"/>
      <c r="M27" s="173">
        <f t="shared" si="3"/>
        <v>20.211581504380739</v>
      </c>
    </row>
    <row r="28" spans="1:19">
      <c r="A28" s="86">
        <f t="shared" si="4"/>
        <v>19.639390938018686</v>
      </c>
      <c r="B28" s="36">
        <f t="shared" si="0"/>
        <v>23</v>
      </c>
      <c r="C28" s="24" t="s">
        <v>27</v>
      </c>
      <c r="D28" s="24" t="s">
        <v>98</v>
      </c>
      <c r="E28" s="24"/>
      <c r="F28" s="24"/>
      <c r="G28" s="8"/>
      <c r="H28" s="168">
        <v>23</v>
      </c>
      <c r="I28" s="169">
        <f t="shared" si="1"/>
        <v>9.6393909380186855</v>
      </c>
      <c r="J28" s="168">
        <f t="shared" si="5"/>
        <v>1</v>
      </c>
      <c r="K28" s="168">
        <f t="shared" si="2"/>
        <v>10</v>
      </c>
      <c r="L28" s="168"/>
      <c r="M28" s="170">
        <f t="shared" si="3"/>
        <v>19.639390938018686</v>
      </c>
      <c r="R28" s="181"/>
      <c r="S28" s="182"/>
    </row>
    <row r="29" spans="1:19">
      <c r="A29" s="86">
        <f t="shared" si="4"/>
        <v>19.091556421004064</v>
      </c>
      <c r="B29" s="35">
        <f t="shared" si="0"/>
        <v>24</v>
      </c>
      <c r="C29" s="25" t="s">
        <v>298</v>
      </c>
      <c r="D29" s="25" t="s">
        <v>287</v>
      </c>
      <c r="E29" s="25"/>
      <c r="F29" s="25"/>
      <c r="G29" s="156"/>
      <c r="H29" s="171">
        <v>24</v>
      </c>
      <c r="I29" s="172">
        <f t="shared" si="1"/>
        <v>9.0915564210040642</v>
      </c>
      <c r="J29" s="171">
        <f t="shared" si="5"/>
        <v>1</v>
      </c>
      <c r="K29" s="171">
        <f t="shared" si="2"/>
        <v>10</v>
      </c>
      <c r="L29" s="171"/>
      <c r="M29" s="173">
        <f t="shared" si="3"/>
        <v>19.091556421004064</v>
      </c>
    </row>
    <row r="30" spans="1:19">
      <c r="A30" s="86">
        <f t="shared" si="4"/>
        <v>18.566088839660068</v>
      </c>
      <c r="B30" s="36">
        <f t="shared" si="0"/>
        <v>25</v>
      </c>
      <c r="C30" s="24" t="s">
        <v>299</v>
      </c>
      <c r="D30" s="24" t="s">
        <v>300</v>
      </c>
      <c r="E30" s="24"/>
      <c r="F30" s="24"/>
      <c r="G30" s="156"/>
      <c r="H30" s="168">
        <v>25</v>
      </c>
      <c r="I30" s="169">
        <f t="shared" si="1"/>
        <v>8.5660888396600683</v>
      </c>
      <c r="J30" s="168">
        <f t="shared" si="5"/>
        <v>1</v>
      </c>
      <c r="K30" s="168">
        <f t="shared" si="2"/>
        <v>10</v>
      </c>
      <c r="L30" s="168"/>
      <c r="M30" s="170">
        <f t="shared" si="3"/>
        <v>18.566088839660068</v>
      </c>
    </row>
    <row r="31" spans="1:19">
      <c r="A31" s="86">
        <f t="shared" si="4"/>
        <v>18.061233221470829</v>
      </c>
      <c r="B31" s="35">
        <f t="shared" si="0"/>
        <v>26</v>
      </c>
      <c r="C31" s="25" t="s">
        <v>301</v>
      </c>
      <c r="D31" s="25" t="s">
        <v>297</v>
      </c>
      <c r="E31" s="25"/>
      <c r="F31" s="25"/>
      <c r="G31" s="156"/>
      <c r="H31" s="171">
        <v>26</v>
      </c>
      <c r="I31" s="172">
        <f t="shared" si="1"/>
        <v>8.0612332214708289</v>
      </c>
      <c r="J31" s="171">
        <f t="shared" si="5"/>
        <v>1</v>
      </c>
      <c r="K31" s="171">
        <f t="shared" si="2"/>
        <v>10</v>
      </c>
      <c r="L31" s="171"/>
      <c r="M31" s="173">
        <f t="shared" si="3"/>
        <v>18.061233221470829</v>
      </c>
    </row>
    <row r="32" spans="1:19">
      <c r="A32" s="86">
        <f t="shared" si="4"/>
        <v>17.575433370254949</v>
      </c>
      <c r="B32" s="36">
        <f t="shared" si="0"/>
        <v>27</v>
      </c>
      <c r="C32" s="24" t="s">
        <v>302</v>
      </c>
      <c r="D32" s="24" t="s">
        <v>282</v>
      </c>
      <c r="E32" s="24"/>
      <c r="F32" s="24"/>
      <c r="G32" s="156"/>
      <c r="H32" s="168">
        <v>27</v>
      </c>
      <c r="I32" s="169">
        <f t="shared" si="1"/>
        <v>7.5754333702549488</v>
      </c>
      <c r="J32" s="168">
        <f t="shared" si="5"/>
        <v>1</v>
      </c>
      <c r="K32" s="168">
        <f t="shared" si="2"/>
        <v>10</v>
      </c>
      <c r="L32" s="168"/>
      <c r="M32" s="170">
        <f t="shared" si="3"/>
        <v>17.575433370254949</v>
      </c>
      <c r="R32" s="181"/>
      <c r="S32" s="182"/>
    </row>
    <row r="33" spans="1:21">
      <c r="A33" s="86">
        <f t="shared" si="4"/>
        <v>17.107302936006654</v>
      </c>
      <c r="B33" s="35">
        <f t="shared" si="0"/>
        <v>28</v>
      </c>
      <c r="C33" s="25" t="s">
        <v>303</v>
      </c>
      <c r="D33" s="25" t="s">
        <v>291</v>
      </c>
      <c r="E33" s="25"/>
      <c r="F33" s="25"/>
      <c r="G33" s="156"/>
      <c r="H33" s="171">
        <v>28</v>
      </c>
      <c r="I33" s="172">
        <f t="shared" si="1"/>
        <v>7.1073029360066542</v>
      </c>
      <c r="J33" s="171">
        <f t="shared" si="5"/>
        <v>1</v>
      </c>
      <c r="K33" s="171">
        <f t="shared" si="2"/>
        <v>10</v>
      </c>
      <c r="L33" s="171"/>
      <c r="M33" s="173">
        <f t="shared" si="3"/>
        <v>17.107302936006654</v>
      </c>
    </row>
    <row r="34" spans="1:21">
      <c r="A34" s="86">
        <f t="shared" si="4"/>
        <v>16.6556015636436</v>
      </c>
      <c r="B34" s="36">
        <f t="shared" si="0"/>
        <v>29</v>
      </c>
      <c r="C34" s="24" t="s">
        <v>224</v>
      </c>
      <c r="D34" s="24" t="s">
        <v>295</v>
      </c>
      <c r="E34" s="24"/>
      <c r="F34" s="24"/>
      <c r="G34" s="156"/>
      <c r="H34" s="168">
        <v>29</v>
      </c>
      <c r="I34" s="169">
        <f t="shared" si="1"/>
        <v>6.6556015636436001</v>
      </c>
      <c r="J34" s="168">
        <f t="shared" si="5"/>
        <v>1</v>
      </c>
      <c r="K34" s="168">
        <f t="shared" si="2"/>
        <v>10</v>
      </c>
      <c r="L34" s="168"/>
      <c r="M34" s="170">
        <f t="shared" si="3"/>
        <v>16.6556015636436</v>
      </c>
    </row>
    <row r="35" spans="1:21">
      <c r="A35" s="86">
        <f t="shared" si="4"/>
        <v>16.219215086888049</v>
      </c>
      <c r="B35" s="35">
        <f t="shared" si="0"/>
        <v>30</v>
      </c>
      <c r="C35" s="25" t="s">
        <v>32</v>
      </c>
      <c r="D35" s="25" t="s">
        <v>98</v>
      </c>
      <c r="E35" s="25"/>
      <c r="F35" s="25"/>
      <c r="G35" s="156"/>
      <c r="H35" s="171">
        <v>30</v>
      </c>
      <c r="I35" s="172">
        <f t="shared" si="1"/>
        <v>6.2192150868880489</v>
      </c>
      <c r="J35" s="171">
        <f t="shared" si="5"/>
        <v>1</v>
      </c>
      <c r="K35" s="171">
        <f t="shared" si="2"/>
        <v>10</v>
      </c>
      <c r="L35" s="171"/>
      <c r="M35" s="173">
        <f t="shared" si="3"/>
        <v>16.219215086888049</v>
      </c>
    </row>
    <row r="36" spans="1:21">
      <c r="A36" s="86">
        <f t="shared" si="4"/>
        <v>15.797138970961235</v>
      </c>
      <c r="B36" s="36">
        <f t="shared" si="0"/>
        <v>31</v>
      </c>
      <c r="C36" s="24" t="s">
        <v>304</v>
      </c>
      <c r="D36" s="24" t="s">
        <v>283</v>
      </c>
      <c r="E36" s="24"/>
      <c r="F36" s="24"/>
      <c r="G36" s="156"/>
      <c r="H36" s="168">
        <v>31</v>
      </c>
      <c r="I36" s="169">
        <f t="shared" si="1"/>
        <v>5.7971389709612353</v>
      </c>
      <c r="J36" s="168">
        <f t="shared" si="5"/>
        <v>1</v>
      </c>
      <c r="K36" s="168">
        <f t="shared" si="2"/>
        <v>10</v>
      </c>
      <c r="L36" s="168"/>
      <c r="M36" s="170">
        <f t="shared" si="3"/>
        <v>15.797138970961235</v>
      </c>
      <c r="R36" s="181"/>
      <c r="S36" s="182"/>
    </row>
    <row r="37" spans="1:21">
      <c r="A37" s="86">
        <f t="shared" si="4"/>
        <v>15.388464384865124</v>
      </c>
      <c r="B37" s="35">
        <f t="shared" si="0"/>
        <v>32</v>
      </c>
      <c r="C37" s="25" t="s">
        <v>227</v>
      </c>
      <c r="D37" s="25" t="s">
        <v>295</v>
      </c>
      <c r="E37" s="25"/>
      <c r="F37" s="25"/>
      <c r="G37" s="156"/>
      <c r="H37" s="171">
        <v>32</v>
      </c>
      <c r="I37" s="172">
        <f t="shared" si="1"/>
        <v>5.3884643848651237</v>
      </c>
      <c r="J37" s="171">
        <f t="shared" si="5"/>
        <v>1</v>
      </c>
      <c r="K37" s="171">
        <f t="shared" si="2"/>
        <v>10</v>
      </c>
      <c r="L37" s="171"/>
      <c r="M37" s="173">
        <f t="shared" si="3"/>
        <v>15.388464384865124</v>
      </c>
    </row>
    <row r="38" spans="1:21">
      <c r="A38" s="86">
        <f t="shared" si="4"/>
        <v>4.9923664174926898</v>
      </c>
      <c r="B38" s="36">
        <f t="shared" si="0"/>
        <v>33</v>
      </c>
      <c r="C38" s="24" t="s">
        <v>305</v>
      </c>
      <c r="D38" s="24" t="s">
        <v>297</v>
      </c>
      <c r="E38" s="24"/>
      <c r="F38" s="24"/>
      <c r="G38" s="156"/>
      <c r="H38" s="168">
        <v>33</v>
      </c>
      <c r="I38" s="169">
        <f t="shared" si="1"/>
        <v>4.9923664174926898</v>
      </c>
      <c r="J38" s="168">
        <f t="shared" si="5"/>
        <v>0</v>
      </c>
      <c r="K38" s="168">
        <f t="shared" si="2"/>
        <v>0</v>
      </c>
      <c r="L38" s="168"/>
      <c r="M38" s="170">
        <f t="shared" si="3"/>
        <v>4.9923664174926898</v>
      </c>
    </row>
    <row r="39" spans="1:21">
      <c r="A39" s="86">
        <f t="shared" si="4"/>
        <v>4.6080940533770516</v>
      </c>
      <c r="B39" s="35">
        <f t="shared" si="0"/>
        <v>34</v>
      </c>
      <c r="C39" s="25" t="s">
        <v>33</v>
      </c>
      <c r="D39" s="25" t="s">
        <v>297</v>
      </c>
      <c r="E39" s="25"/>
      <c r="F39" s="25"/>
      <c r="G39" s="156"/>
      <c r="H39" s="171">
        <v>34</v>
      </c>
      <c r="I39" s="172">
        <f t="shared" si="1"/>
        <v>4.6080940533770516</v>
      </c>
      <c r="J39" s="171">
        <f t="shared" si="5"/>
        <v>0</v>
      </c>
      <c r="K39" s="171">
        <f t="shared" si="2"/>
        <v>0</v>
      </c>
      <c r="L39" s="171"/>
      <c r="M39" s="173">
        <f t="shared" si="3"/>
        <v>4.6080940533770516</v>
      </c>
    </row>
    <row r="40" spans="1:21">
      <c r="A40" s="86">
        <f t="shared" si="4"/>
        <v>4.2349616018906389</v>
      </c>
      <c r="B40" s="36">
        <f t="shared" si="0"/>
        <v>35</v>
      </c>
      <c r="C40" s="24" t="s">
        <v>28</v>
      </c>
      <c r="D40" s="24" t="s">
        <v>98</v>
      </c>
      <c r="E40" s="24"/>
      <c r="F40" s="24"/>
      <c r="G40" s="156"/>
      <c r="H40" s="168">
        <v>35</v>
      </c>
      <c r="I40" s="169">
        <f t="shared" si="1"/>
        <v>4.2349616018906389</v>
      </c>
      <c r="J40" s="168">
        <f t="shared" si="5"/>
        <v>0</v>
      </c>
      <c r="K40" s="168">
        <f t="shared" si="2"/>
        <v>0</v>
      </c>
      <c r="L40" s="168"/>
      <c r="M40" s="170">
        <f t="shared" si="3"/>
        <v>4.2349616018906389</v>
      </c>
    </row>
    <row r="41" spans="1:21">
      <c r="A41" s="86">
        <f t="shared" si="4"/>
        <v>3.8723413341160153</v>
      </c>
      <c r="B41" s="35">
        <f t="shared" si="0"/>
        <v>36</v>
      </c>
      <c r="C41" s="25" t="s">
        <v>306</v>
      </c>
      <c r="D41" s="25" t="s">
        <v>283</v>
      </c>
      <c r="E41" s="25"/>
      <c r="F41" s="25"/>
      <c r="G41" s="156"/>
      <c r="H41" s="171">
        <v>36</v>
      </c>
      <c r="I41" s="172">
        <f t="shared" si="1"/>
        <v>3.8723413341160153</v>
      </c>
      <c r="J41" s="171">
        <f t="shared" si="5"/>
        <v>0</v>
      </c>
      <c r="K41" s="171">
        <f t="shared" si="2"/>
        <v>0</v>
      </c>
      <c r="L41" s="171"/>
      <c r="M41" s="173">
        <f t="shared" si="3"/>
        <v>3.8723413341160153</v>
      </c>
      <c r="S41" s="183"/>
    </row>
    <row r="42" spans="1:21">
      <c r="A42" s="86">
        <f t="shared" si="4"/>
        <v>3.519657128771982</v>
      </c>
      <c r="B42" s="36">
        <f t="shared" si="0"/>
        <v>37</v>
      </c>
      <c r="C42" s="24" t="s">
        <v>307</v>
      </c>
      <c r="D42" s="24" t="s">
        <v>308</v>
      </c>
      <c r="E42" s="24"/>
      <c r="F42" s="24"/>
      <c r="G42" s="156"/>
      <c r="H42" s="168">
        <v>37</v>
      </c>
      <c r="I42" s="169">
        <f t="shared" si="1"/>
        <v>3.519657128771982</v>
      </c>
      <c r="J42" s="168">
        <f t="shared" si="5"/>
        <v>0</v>
      </c>
      <c r="K42" s="168">
        <f t="shared" si="2"/>
        <v>0</v>
      </c>
      <c r="L42" s="168"/>
      <c r="M42" s="170">
        <f t="shared" si="3"/>
        <v>3.519657128771982</v>
      </c>
    </row>
    <row r="43" spans="1:21">
      <c r="A43" s="86">
        <f t="shared" si="4"/>
        <v>3.1763789656730594</v>
      </c>
      <c r="B43" s="35">
        <f t="shared" si="0"/>
        <v>38</v>
      </c>
      <c r="C43" s="25" t="s">
        <v>39</v>
      </c>
      <c r="D43" s="25" t="s">
        <v>297</v>
      </c>
      <c r="E43" s="25"/>
      <c r="F43" s="25"/>
      <c r="G43" s="156"/>
      <c r="H43" s="171">
        <v>38</v>
      </c>
      <c r="I43" s="172">
        <f t="shared" si="1"/>
        <v>3.1763789656730594</v>
      </c>
      <c r="J43" s="171">
        <f t="shared" si="5"/>
        <v>0</v>
      </c>
      <c r="K43" s="171">
        <f t="shared" si="2"/>
        <v>0</v>
      </c>
      <c r="L43" s="171"/>
      <c r="M43" s="173">
        <f t="shared" si="3"/>
        <v>3.1763789656730594</v>
      </c>
    </row>
    <row r="44" spans="1:21">
      <c r="A44" s="86">
        <f t="shared" si="4"/>
        <v>2.8420181345827942</v>
      </c>
      <c r="B44" s="36">
        <f t="shared" si="0"/>
        <v>39</v>
      </c>
      <c r="C44" s="24" t="s">
        <v>164</v>
      </c>
      <c r="D44" s="24" t="s">
        <v>98</v>
      </c>
      <c r="E44" s="24"/>
      <c r="F44" s="24"/>
      <c r="G44" s="156"/>
      <c r="H44" s="168">
        <v>39</v>
      </c>
      <c r="I44" s="169">
        <f t="shared" si="1"/>
        <v>2.8420181345827942</v>
      </c>
      <c r="J44" s="168">
        <f t="shared" si="5"/>
        <v>0</v>
      </c>
      <c r="K44" s="168">
        <f t="shared" si="2"/>
        <v>0</v>
      </c>
      <c r="L44" s="168"/>
      <c r="M44" s="170">
        <f t="shared" si="3"/>
        <v>2.8420181345827942</v>
      </c>
    </row>
    <row r="45" spans="1:21">
      <c r="A45" s="86">
        <f t="shared" si="4"/>
        <v>2.5161230507491155</v>
      </c>
      <c r="B45" s="35">
        <f t="shared" si="0"/>
        <v>40</v>
      </c>
      <c r="C45" s="25" t="s">
        <v>225</v>
      </c>
      <c r="D45" s="25" t="s">
        <v>309</v>
      </c>
      <c r="E45" s="25"/>
      <c r="F45" s="25"/>
      <c r="G45" s="156"/>
      <c r="H45" s="171">
        <v>40</v>
      </c>
      <c r="I45" s="172">
        <f t="shared" si="1"/>
        <v>2.5161230507491155</v>
      </c>
      <c r="J45" s="171">
        <f t="shared" si="5"/>
        <v>0</v>
      </c>
      <c r="K45" s="171">
        <f t="shared" si="2"/>
        <v>0</v>
      </c>
      <c r="L45" s="171"/>
      <c r="M45" s="173">
        <f t="shared" si="3"/>
        <v>2.5161230507491155</v>
      </c>
    </row>
    <row r="46" spans="1:21">
      <c r="A46" s="86">
        <f t="shared" si="4"/>
        <v>2.1982755872086273</v>
      </c>
      <c r="B46" s="36">
        <f t="shared" si="0"/>
        <v>41</v>
      </c>
      <c r="C46" s="24" t="s">
        <v>165</v>
      </c>
      <c r="D46" s="24" t="s">
        <v>98</v>
      </c>
      <c r="E46" s="24"/>
      <c r="F46" s="24"/>
      <c r="G46" s="156"/>
      <c r="H46" s="168">
        <v>41</v>
      </c>
      <c r="I46" s="169">
        <f t="shared" si="1"/>
        <v>2.1982755872086273</v>
      </c>
      <c r="J46" s="168">
        <f t="shared" si="5"/>
        <v>0</v>
      </c>
      <c r="K46" s="168">
        <f t="shared" si="2"/>
        <v>0</v>
      </c>
      <c r="L46" s="168"/>
      <c r="M46" s="170">
        <f t="shared" si="3"/>
        <v>2.1982755872086273</v>
      </c>
      <c r="R46" s="156">
        <f>LOG($H$2,2)</f>
        <v>5.4918530963296748</v>
      </c>
      <c r="T46" s="161">
        <f>LOG(H38,2)</f>
        <v>5.0443941193584534</v>
      </c>
      <c r="U46" s="161">
        <f>R46-T46</f>
        <v>0.44745897697122139</v>
      </c>
    </row>
    <row r="47" spans="1:21">
      <c r="A47" s="86">
        <f t="shared" si="4"/>
        <v>1.8880878491186124</v>
      </c>
      <c r="B47" s="35">
        <f t="shared" si="0"/>
        <v>42</v>
      </c>
      <c r="C47" s="25" t="s">
        <v>310</v>
      </c>
      <c r="D47" s="25" t="s">
        <v>311</v>
      </c>
      <c r="E47" s="25"/>
      <c r="F47" s="25"/>
      <c r="G47" s="156"/>
      <c r="H47" s="171">
        <v>42</v>
      </c>
      <c r="I47" s="172">
        <f t="shared" si="1"/>
        <v>1.8880878491186124</v>
      </c>
      <c r="J47" s="171">
        <f t="shared" si="5"/>
        <v>0</v>
      </c>
      <c r="K47" s="171">
        <f t="shared" si="2"/>
        <v>0</v>
      </c>
      <c r="L47" s="171"/>
      <c r="M47" s="173">
        <f t="shared" si="3"/>
        <v>1.8880878491186124</v>
      </c>
    </row>
    <row r="48" spans="1:21">
      <c r="A48" s="86">
        <f t="shared" si="4"/>
        <v>1.5851993276912566</v>
      </c>
      <c r="B48" s="36">
        <f t="shared" si="0"/>
        <v>43</v>
      </c>
      <c r="C48" s="24" t="s">
        <v>31</v>
      </c>
      <c r="D48" s="24" t="s">
        <v>98</v>
      </c>
      <c r="E48" s="24"/>
      <c r="F48" s="24"/>
      <c r="G48" s="156"/>
      <c r="H48" s="168">
        <v>43</v>
      </c>
      <c r="I48" s="169">
        <f t="shared" si="1"/>
        <v>1.5851993276912566</v>
      </c>
      <c r="J48" s="168">
        <f t="shared" si="5"/>
        <v>0</v>
      </c>
      <c r="K48" s="168">
        <f t="shared" si="2"/>
        <v>0</v>
      </c>
      <c r="L48" s="168"/>
      <c r="M48" s="170">
        <f t="shared" si="3"/>
        <v>1.5851993276912566</v>
      </c>
    </row>
    <row r="49" spans="1:13">
      <c r="A49" s="86">
        <f t="shared" si="4"/>
        <v>1.2892743813537635</v>
      </c>
      <c r="B49" s="35">
        <f t="shared" si="0"/>
        <v>44</v>
      </c>
      <c r="C49" s="25" t="s">
        <v>29</v>
      </c>
      <c r="D49" s="25" t="s">
        <v>98</v>
      </c>
      <c r="E49" s="25"/>
      <c r="F49" s="25"/>
      <c r="G49" s="156"/>
      <c r="H49" s="171">
        <v>44</v>
      </c>
      <c r="I49" s="172">
        <f t="shared" si="1"/>
        <v>1.2892743813537635</v>
      </c>
      <c r="J49" s="171">
        <f t="shared" si="5"/>
        <v>0</v>
      </c>
      <c r="K49" s="171">
        <f t="shared" si="2"/>
        <v>0</v>
      </c>
      <c r="L49" s="171"/>
      <c r="M49" s="173">
        <f t="shared" si="3"/>
        <v>1.2892743813537635</v>
      </c>
    </row>
    <row r="50" spans="1:13">
      <c r="A50" s="86">
        <f t="shared" si="4"/>
        <v>1</v>
      </c>
      <c r="B50" s="36">
        <f t="shared" si="0"/>
        <v>45</v>
      </c>
      <c r="C50" s="24" t="s">
        <v>166</v>
      </c>
      <c r="D50" s="24" t="s">
        <v>98</v>
      </c>
      <c r="E50" s="24"/>
      <c r="F50" s="24"/>
      <c r="G50" s="156"/>
      <c r="H50" s="168">
        <v>45</v>
      </c>
      <c r="I50" s="169">
        <f t="shared" si="1"/>
        <v>1</v>
      </c>
      <c r="J50" s="168">
        <f t="shared" si="5"/>
        <v>0</v>
      </c>
      <c r="K50" s="168">
        <f t="shared" si="2"/>
        <v>0</v>
      </c>
      <c r="L50" s="168"/>
      <c r="M50" s="170">
        <f t="shared" si="3"/>
        <v>1</v>
      </c>
    </row>
    <row r="51" spans="1:13">
      <c r="A51" s="90"/>
      <c r="B51" s="35" t="str">
        <f t="shared" si="0"/>
        <v/>
      </c>
      <c r="C51" s="25"/>
      <c r="D51" s="25"/>
      <c r="E51" s="25"/>
      <c r="F51" s="25"/>
      <c r="G51" s="156"/>
      <c r="H51" s="171">
        <v>46</v>
      </c>
      <c r="I51" s="172" t="str">
        <f t="shared" si="1"/>
        <v/>
      </c>
      <c r="J51" s="171">
        <f t="shared" si="5"/>
        <v>0</v>
      </c>
      <c r="K51" s="171">
        <f t="shared" si="2"/>
        <v>0</v>
      </c>
      <c r="L51" s="171"/>
      <c r="M51" s="173">
        <f t="shared" si="3"/>
        <v>0</v>
      </c>
    </row>
    <row r="52" spans="1:13">
      <c r="A52" s="86"/>
      <c r="B52" s="36" t="str">
        <f t="shared" ref="B52:B65" si="6">IF(H52&gt;$H$2,"",(ROW()-5))</f>
        <v/>
      </c>
      <c r="C52" s="24"/>
      <c r="D52" s="24"/>
      <c r="E52" s="24"/>
      <c r="F52" s="24"/>
      <c r="G52" s="156"/>
      <c r="H52" s="168">
        <v>47</v>
      </c>
      <c r="I52" s="169" t="str">
        <f t="shared" si="1"/>
        <v/>
      </c>
      <c r="J52" s="168">
        <f t="shared" si="5"/>
        <v>0</v>
      </c>
      <c r="K52" s="168">
        <f t="shared" si="2"/>
        <v>0</v>
      </c>
      <c r="L52" s="168"/>
      <c r="M52" s="170">
        <f t="shared" si="3"/>
        <v>0</v>
      </c>
    </row>
    <row r="53" spans="1:13">
      <c r="A53" s="245">
        <v>43.926789202679778</v>
      </c>
      <c r="B53" s="241" t="s">
        <v>109</v>
      </c>
      <c r="C53" s="242" t="s">
        <v>18</v>
      </c>
      <c r="D53" s="25"/>
      <c r="E53" s="25"/>
      <c r="F53" s="25"/>
      <c r="G53" s="156"/>
      <c r="H53" s="171">
        <v>48</v>
      </c>
      <c r="I53" s="172" t="str">
        <f t="shared" si="1"/>
        <v/>
      </c>
      <c r="J53" s="171">
        <f t="shared" si="5"/>
        <v>0</v>
      </c>
      <c r="K53" s="171">
        <f t="shared" si="2"/>
        <v>0</v>
      </c>
      <c r="L53" s="171"/>
      <c r="M53" s="173">
        <f t="shared" si="3"/>
        <v>0</v>
      </c>
    </row>
    <row r="54" spans="1:13">
      <c r="A54" s="245">
        <v>26.493389576299435</v>
      </c>
      <c r="B54" s="241" t="s">
        <v>312</v>
      </c>
      <c r="C54" s="242" t="s">
        <v>21</v>
      </c>
      <c r="D54" s="24"/>
      <c r="E54" s="24"/>
      <c r="F54" s="24"/>
      <c r="G54" s="156"/>
      <c r="H54" s="168">
        <v>49</v>
      </c>
      <c r="I54" s="169" t="str">
        <f t="shared" si="1"/>
        <v/>
      </c>
      <c r="J54" s="168">
        <f t="shared" si="5"/>
        <v>0</v>
      </c>
      <c r="K54" s="168">
        <f t="shared" si="2"/>
        <v>0</v>
      </c>
      <c r="L54" s="168"/>
      <c r="M54" s="170">
        <f t="shared" si="3"/>
        <v>0</v>
      </c>
    </row>
    <row r="55" spans="1:13">
      <c r="A55" s="245">
        <v>5.6969131966504492</v>
      </c>
      <c r="B55" s="241" t="s">
        <v>313</v>
      </c>
      <c r="C55" s="242" t="s">
        <v>36</v>
      </c>
      <c r="D55" s="25"/>
      <c r="E55" s="25"/>
      <c r="F55" s="25"/>
      <c r="G55" s="156"/>
      <c r="H55" s="171">
        <v>50</v>
      </c>
      <c r="I55" s="172" t="str">
        <f t="shared" si="1"/>
        <v/>
      </c>
      <c r="J55" s="171">
        <f t="shared" si="5"/>
        <v>0</v>
      </c>
      <c r="K55" s="171">
        <f t="shared" si="2"/>
        <v>0</v>
      </c>
      <c r="L55" s="171"/>
      <c r="M55" s="173">
        <f t="shared" si="3"/>
        <v>0</v>
      </c>
    </row>
    <row r="56" spans="1:13">
      <c r="A56" s="86"/>
      <c r="B56" s="36" t="str">
        <f t="shared" si="6"/>
        <v/>
      </c>
      <c r="C56" s="24"/>
      <c r="D56" s="24"/>
      <c r="E56" s="24"/>
      <c r="F56" s="24"/>
      <c r="G56" s="156"/>
      <c r="H56" s="168">
        <v>51</v>
      </c>
      <c r="I56" s="169" t="str">
        <f t="shared" si="1"/>
        <v/>
      </c>
      <c r="J56" s="168">
        <f t="shared" si="5"/>
        <v>0</v>
      </c>
      <c r="K56" s="168">
        <f t="shared" si="2"/>
        <v>0</v>
      </c>
      <c r="L56" s="168"/>
      <c r="M56" s="170">
        <f t="shared" si="3"/>
        <v>0</v>
      </c>
    </row>
    <row r="57" spans="1:13">
      <c r="A57" s="90"/>
      <c r="B57" s="35" t="str">
        <f t="shared" si="6"/>
        <v/>
      </c>
      <c r="C57" s="25"/>
      <c r="D57" s="25"/>
      <c r="E57" s="25"/>
      <c r="F57" s="25"/>
      <c r="G57" s="156"/>
      <c r="H57" s="171">
        <v>52</v>
      </c>
      <c r="I57" s="172" t="str">
        <f t="shared" si="1"/>
        <v/>
      </c>
      <c r="J57" s="171">
        <f t="shared" si="5"/>
        <v>0</v>
      </c>
      <c r="K57" s="171">
        <f t="shared" si="2"/>
        <v>0</v>
      </c>
      <c r="L57" s="171"/>
      <c r="M57" s="173">
        <f t="shared" si="3"/>
        <v>0</v>
      </c>
    </row>
    <row r="58" spans="1:13">
      <c r="A58" s="86"/>
      <c r="B58" s="36" t="str">
        <f t="shared" si="6"/>
        <v/>
      </c>
      <c r="C58" s="24"/>
      <c r="D58" s="24"/>
      <c r="E58" s="24"/>
      <c r="F58" s="24"/>
      <c r="G58" s="156"/>
      <c r="H58" s="168">
        <v>53</v>
      </c>
      <c r="I58" s="169" t="str">
        <f t="shared" si="1"/>
        <v/>
      </c>
      <c r="J58" s="168">
        <f t="shared" si="5"/>
        <v>0</v>
      </c>
      <c r="K58" s="168">
        <f t="shared" si="2"/>
        <v>0</v>
      </c>
      <c r="L58" s="168"/>
      <c r="M58" s="170">
        <f t="shared" si="3"/>
        <v>0</v>
      </c>
    </row>
    <row r="59" spans="1:13">
      <c r="A59" s="90"/>
      <c r="B59" s="35" t="str">
        <f t="shared" si="6"/>
        <v/>
      </c>
      <c r="C59" s="25"/>
      <c r="D59" s="25"/>
      <c r="E59" s="25"/>
      <c r="F59" s="25"/>
      <c r="G59" s="156"/>
      <c r="H59" s="171">
        <v>54</v>
      </c>
      <c r="I59" s="172" t="str">
        <f t="shared" si="1"/>
        <v/>
      </c>
      <c r="J59" s="171">
        <f t="shared" si="5"/>
        <v>0</v>
      </c>
      <c r="K59" s="171">
        <f t="shared" si="2"/>
        <v>0</v>
      </c>
      <c r="L59" s="171"/>
      <c r="M59" s="173">
        <f t="shared" si="3"/>
        <v>0</v>
      </c>
    </row>
    <row r="60" spans="1:13">
      <c r="A60" s="86"/>
      <c r="B60" s="36" t="str">
        <f t="shared" si="6"/>
        <v/>
      </c>
      <c r="C60" s="24"/>
      <c r="D60" s="24"/>
      <c r="E60" s="24"/>
      <c r="F60" s="24"/>
      <c r="G60" s="156"/>
      <c r="H60" s="168">
        <v>55</v>
      </c>
      <c r="I60" s="169" t="str">
        <f t="shared" si="1"/>
        <v/>
      </c>
      <c r="J60" s="168">
        <f t="shared" si="5"/>
        <v>0</v>
      </c>
      <c r="K60" s="168">
        <f t="shared" si="2"/>
        <v>0</v>
      </c>
      <c r="L60" s="168"/>
      <c r="M60" s="170">
        <f t="shared" si="3"/>
        <v>0</v>
      </c>
    </row>
    <row r="61" spans="1:13">
      <c r="A61" s="90"/>
      <c r="B61" s="35" t="str">
        <f t="shared" si="6"/>
        <v/>
      </c>
      <c r="C61" s="25"/>
      <c r="D61" s="25"/>
      <c r="E61" s="25"/>
      <c r="F61" s="25"/>
      <c r="G61" s="156"/>
      <c r="H61" s="171">
        <v>56</v>
      </c>
      <c r="I61" s="172" t="str">
        <f t="shared" si="1"/>
        <v/>
      </c>
      <c r="J61" s="171">
        <f t="shared" si="5"/>
        <v>0</v>
      </c>
      <c r="K61" s="171">
        <f t="shared" si="2"/>
        <v>0</v>
      </c>
      <c r="L61" s="171"/>
      <c r="M61" s="173">
        <f t="shared" si="3"/>
        <v>0</v>
      </c>
    </row>
    <row r="62" spans="1:13">
      <c r="A62" s="86"/>
      <c r="B62" s="36" t="str">
        <f t="shared" si="6"/>
        <v/>
      </c>
      <c r="C62" s="24"/>
      <c r="D62" s="24"/>
      <c r="E62" s="24"/>
      <c r="F62" s="24"/>
      <c r="G62" s="156"/>
      <c r="H62" s="168">
        <v>57</v>
      </c>
      <c r="I62" s="169" t="str">
        <f t="shared" si="1"/>
        <v/>
      </c>
      <c r="J62" s="168">
        <f t="shared" si="5"/>
        <v>0</v>
      </c>
      <c r="K62" s="168">
        <f t="shared" si="2"/>
        <v>0</v>
      </c>
      <c r="L62" s="168"/>
      <c r="M62" s="170">
        <f t="shared" si="3"/>
        <v>0</v>
      </c>
    </row>
    <row r="63" spans="1:13">
      <c r="A63" s="90"/>
      <c r="B63" s="35" t="str">
        <f t="shared" si="6"/>
        <v/>
      </c>
      <c r="C63" s="25"/>
      <c r="D63" s="25"/>
      <c r="E63" s="25"/>
      <c r="F63" s="25"/>
      <c r="G63" s="156"/>
      <c r="H63" s="171">
        <v>58</v>
      </c>
      <c r="I63" s="172" t="str">
        <f t="shared" si="1"/>
        <v/>
      </c>
      <c r="J63" s="171">
        <f t="shared" si="5"/>
        <v>0</v>
      </c>
      <c r="K63" s="171">
        <f t="shared" si="2"/>
        <v>0</v>
      </c>
      <c r="L63" s="171"/>
      <c r="M63" s="173">
        <f t="shared" si="3"/>
        <v>0</v>
      </c>
    </row>
    <row r="64" spans="1:13">
      <c r="A64" s="86"/>
      <c r="B64" s="36" t="str">
        <f t="shared" si="6"/>
        <v/>
      </c>
      <c r="C64" s="24"/>
      <c r="D64" s="24"/>
      <c r="E64" s="24"/>
      <c r="F64" s="24"/>
      <c r="G64" s="156"/>
      <c r="H64" s="168">
        <v>59</v>
      </c>
      <c r="I64" s="169" t="str">
        <f t="shared" si="1"/>
        <v/>
      </c>
      <c r="J64" s="168">
        <f t="shared" si="5"/>
        <v>0</v>
      </c>
      <c r="K64" s="168">
        <f t="shared" si="2"/>
        <v>0</v>
      </c>
      <c r="L64" s="168"/>
      <c r="M64" s="170">
        <f t="shared" si="3"/>
        <v>0</v>
      </c>
    </row>
    <row r="65" spans="1:13">
      <c r="A65" s="90"/>
      <c r="B65" s="35" t="str">
        <f t="shared" si="6"/>
        <v/>
      </c>
      <c r="C65" s="25"/>
      <c r="D65" s="25"/>
      <c r="E65" s="25"/>
      <c r="F65" s="25"/>
      <c r="G65" s="156"/>
      <c r="H65" s="171">
        <v>60</v>
      </c>
      <c r="I65" s="172" t="str">
        <f t="shared" si="1"/>
        <v/>
      </c>
      <c r="J65" s="171">
        <f t="shared" si="5"/>
        <v>0</v>
      </c>
      <c r="K65" s="171">
        <f t="shared" si="2"/>
        <v>0</v>
      </c>
      <c r="L65" s="171"/>
      <c r="M65" s="173">
        <f t="shared" si="3"/>
        <v>0</v>
      </c>
    </row>
    <row r="66" spans="1:13">
      <c r="A66" s="193"/>
      <c r="B66" s="36"/>
      <c r="G66" s="156"/>
      <c r="H66" s="168">
        <v>61</v>
      </c>
      <c r="I66" s="169" t="str">
        <f t="shared" si="1"/>
        <v/>
      </c>
      <c r="J66" s="168">
        <f t="shared" si="5"/>
        <v>0</v>
      </c>
      <c r="K66" s="168">
        <f t="shared" si="2"/>
        <v>0</v>
      </c>
      <c r="L66" s="168"/>
      <c r="M66" s="170">
        <f t="shared" si="3"/>
        <v>0</v>
      </c>
    </row>
    <row r="67" spans="1:13">
      <c r="A67" s="193"/>
      <c r="B67" s="35"/>
      <c r="G67" s="156"/>
      <c r="H67" s="168">
        <v>62</v>
      </c>
      <c r="I67" s="169" t="str">
        <f t="shared" si="1"/>
        <v/>
      </c>
      <c r="J67" s="168">
        <f t="shared" si="5"/>
        <v>0</v>
      </c>
      <c r="K67" s="168">
        <f t="shared" si="2"/>
        <v>0</v>
      </c>
      <c r="L67" s="168"/>
      <c r="M67" s="170">
        <f t="shared" si="3"/>
        <v>0</v>
      </c>
    </row>
    <row r="68" spans="1:13">
      <c r="A68" s="193"/>
      <c r="B68" s="36"/>
      <c r="G68" s="156"/>
      <c r="H68" s="168">
        <v>63</v>
      </c>
      <c r="I68" s="169" t="str">
        <f t="shared" si="1"/>
        <v/>
      </c>
      <c r="J68" s="168">
        <f t="shared" si="5"/>
        <v>0</v>
      </c>
      <c r="K68" s="168">
        <f t="shared" si="2"/>
        <v>0</v>
      </c>
      <c r="L68" s="168"/>
      <c r="M68" s="170">
        <f t="shared" si="3"/>
        <v>0</v>
      </c>
    </row>
    <row r="69" spans="1:13">
      <c r="A69" s="193"/>
      <c r="B69" s="35"/>
      <c r="G69" s="156"/>
      <c r="H69" s="168">
        <v>64</v>
      </c>
      <c r="I69" s="169" t="str">
        <f t="shared" si="1"/>
        <v/>
      </c>
      <c r="J69" s="168">
        <f t="shared" si="5"/>
        <v>0</v>
      </c>
      <c r="K69" s="168">
        <f t="shared" si="2"/>
        <v>0</v>
      </c>
      <c r="L69" s="168"/>
      <c r="M69" s="170">
        <f t="shared" si="3"/>
        <v>0</v>
      </c>
    </row>
    <row r="70" spans="1:13">
      <c r="A70" s="193"/>
      <c r="G70" s="156"/>
      <c r="H70" s="168">
        <v>65</v>
      </c>
      <c r="I70" s="169" t="str">
        <f t="shared" ref="I70:I133" si="7">IF(H70&lt;$H$2+1,($I$2-($I$2-1)*(LOG(H70)/LOG($H$2))),"")</f>
        <v/>
      </c>
      <c r="J70" s="168">
        <f t="shared" si="5"/>
        <v>-1</v>
      </c>
      <c r="K70" s="168">
        <f t="shared" ref="K70:K133" si="8">J70*$J$2</f>
        <v>-10</v>
      </c>
      <c r="L70" s="168"/>
      <c r="M70" s="170">
        <f t="shared" ref="M70:M133" si="9">IF(I70&lt;&gt;"",K70+I70+L70,0)</f>
        <v>0</v>
      </c>
    </row>
    <row r="71" spans="1:13">
      <c r="A71" s="193"/>
      <c r="G71" s="156"/>
      <c r="H71" s="168">
        <v>66</v>
      </c>
      <c r="I71" s="169" t="str">
        <f t="shared" si="7"/>
        <v/>
      </c>
      <c r="J71" s="168">
        <f t="shared" ref="J71:J134" si="10">INT(LOG($H$2,2))-ROUNDUP(LOG(H71,2),0)+IF(OR($H$2=1,$H$2=2,$H$2=4,$H$2=8,$H$2=16,$H$2=32,$H$2=64,$H$2=128,$H$2=256),0,1)</f>
        <v>-1</v>
      </c>
      <c r="K71" s="168">
        <f t="shared" si="8"/>
        <v>-10</v>
      </c>
      <c r="L71" s="168"/>
      <c r="M71" s="170">
        <f t="shared" si="9"/>
        <v>0</v>
      </c>
    </row>
    <row r="72" spans="1:13">
      <c r="A72" s="193"/>
      <c r="G72" s="156"/>
      <c r="H72" s="168">
        <v>67</v>
      </c>
      <c r="I72" s="169" t="str">
        <f t="shared" si="7"/>
        <v/>
      </c>
      <c r="J72" s="168">
        <f t="shared" si="10"/>
        <v>-1</v>
      </c>
      <c r="K72" s="168">
        <f t="shared" si="8"/>
        <v>-10</v>
      </c>
      <c r="L72" s="168"/>
      <c r="M72" s="170">
        <f t="shared" si="9"/>
        <v>0</v>
      </c>
    </row>
    <row r="73" spans="1:13">
      <c r="A73" s="193"/>
      <c r="G73" s="156"/>
      <c r="H73" s="168">
        <v>68</v>
      </c>
      <c r="I73" s="169" t="str">
        <f t="shared" si="7"/>
        <v/>
      </c>
      <c r="J73" s="168">
        <f t="shared" si="10"/>
        <v>-1</v>
      </c>
      <c r="K73" s="168">
        <f t="shared" si="8"/>
        <v>-10</v>
      </c>
      <c r="L73" s="168"/>
      <c r="M73" s="170">
        <f t="shared" si="9"/>
        <v>0</v>
      </c>
    </row>
    <row r="74" spans="1:13">
      <c r="A74" s="193"/>
      <c r="G74" s="156"/>
      <c r="H74" s="168">
        <v>69</v>
      </c>
      <c r="I74" s="169" t="str">
        <f t="shared" si="7"/>
        <v/>
      </c>
      <c r="J74" s="168">
        <f t="shared" si="10"/>
        <v>-1</v>
      </c>
      <c r="K74" s="168">
        <f t="shared" si="8"/>
        <v>-10</v>
      </c>
      <c r="L74" s="168"/>
      <c r="M74" s="170">
        <f t="shared" si="9"/>
        <v>0</v>
      </c>
    </row>
    <row r="75" spans="1:13">
      <c r="A75" s="193"/>
      <c r="G75" s="156"/>
      <c r="H75" s="168">
        <v>70</v>
      </c>
      <c r="I75" s="169" t="str">
        <f t="shared" si="7"/>
        <v/>
      </c>
      <c r="J75" s="168">
        <f t="shared" si="10"/>
        <v>-1</v>
      </c>
      <c r="K75" s="168">
        <f t="shared" si="8"/>
        <v>-10</v>
      </c>
      <c r="L75" s="168"/>
      <c r="M75" s="170">
        <f t="shared" si="9"/>
        <v>0</v>
      </c>
    </row>
    <row r="76" spans="1:13">
      <c r="A76" s="193"/>
      <c r="G76" s="156"/>
      <c r="H76" s="168">
        <v>71</v>
      </c>
      <c r="I76" s="169" t="str">
        <f t="shared" si="7"/>
        <v/>
      </c>
      <c r="J76" s="168">
        <f t="shared" si="10"/>
        <v>-1</v>
      </c>
      <c r="K76" s="168">
        <f t="shared" si="8"/>
        <v>-10</v>
      </c>
      <c r="L76" s="168"/>
      <c r="M76" s="170">
        <f t="shared" si="9"/>
        <v>0</v>
      </c>
    </row>
    <row r="77" spans="1:13">
      <c r="A77" s="193"/>
      <c r="G77" s="156"/>
      <c r="H77" s="168">
        <v>72</v>
      </c>
      <c r="I77" s="169" t="str">
        <f t="shared" si="7"/>
        <v/>
      </c>
      <c r="J77" s="168">
        <f t="shared" si="10"/>
        <v>-1</v>
      </c>
      <c r="K77" s="168">
        <f t="shared" si="8"/>
        <v>-10</v>
      </c>
      <c r="L77" s="168"/>
      <c r="M77" s="170">
        <f t="shared" si="9"/>
        <v>0</v>
      </c>
    </row>
    <row r="78" spans="1:13">
      <c r="A78" s="193"/>
      <c r="G78" s="156"/>
      <c r="H78" s="168">
        <v>73</v>
      </c>
      <c r="I78" s="169" t="str">
        <f t="shared" si="7"/>
        <v/>
      </c>
      <c r="J78" s="168">
        <f t="shared" si="10"/>
        <v>-1</v>
      </c>
      <c r="K78" s="168">
        <f t="shared" si="8"/>
        <v>-10</v>
      </c>
      <c r="L78" s="168"/>
      <c r="M78" s="170">
        <f t="shared" si="9"/>
        <v>0</v>
      </c>
    </row>
    <row r="79" spans="1:13">
      <c r="A79" s="193"/>
      <c r="G79" s="156"/>
      <c r="H79" s="168">
        <v>74</v>
      </c>
      <c r="I79" s="169" t="str">
        <f t="shared" si="7"/>
        <v/>
      </c>
      <c r="J79" s="168">
        <f t="shared" si="10"/>
        <v>-1</v>
      </c>
      <c r="K79" s="168">
        <f t="shared" si="8"/>
        <v>-10</v>
      </c>
      <c r="L79" s="168"/>
      <c r="M79" s="170">
        <f t="shared" si="9"/>
        <v>0</v>
      </c>
    </row>
    <row r="80" spans="1:13">
      <c r="A80" s="193"/>
      <c r="G80" s="156"/>
      <c r="H80" s="168">
        <v>75</v>
      </c>
      <c r="I80" s="169" t="str">
        <f t="shared" si="7"/>
        <v/>
      </c>
      <c r="J80" s="168">
        <f t="shared" si="10"/>
        <v>-1</v>
      </c>
      <c r="K80" s="168">
        <f t="shared" si="8"/>
        <v>-10</v>
      </c>
      <c r="L80" s="168"/>
      <c r="M80" s="170">
        <f t="shared" si="9"/>
        <v>0</v>
      </c>
    </row>
    <row r="81" spans="1:13">
      <c r="A81" s="193"/>
      <c r="G81" s="156"/>
      <c r="H81" s="168">
        <v>76</v>
      </c>
      <c r="I81" s="169" t="str">
        <f t="shared" si="7"/>
        <v/>
      </c>
      <c r="J81" s="168">
        <f t="shared" si="10"/>
        <v>-1</v>
      </c>
      <c r="K81" s="168">
        <f t="shared" si="8"/>
        <v>-10</v>
      </c>
      <c r="L81" s="168"/>
      <c r="M81" s="170">
        <f t="shared" si="9"/>
        <v>0</v>
      </c>
    </row>
    <row r="82" spans="1:13">
      <c r="A82" s="193"/>
      <c r="G82" s="156"/>
      <c r="H82" s="168">
        <v>77</v>
      </c>
      <c r="I82" s="169" t="str">
        <f t="shared" si="7"/>
        <v/>
      </c>
      <c r="J82" s="168">
        <f t="shared" si="10"/>
        <v>-1</v>
      </c>
      <c r="K82" s="168">
        <f t="shared" si="8"/>
        <v>-10</v>
      </c>
      <c r="L82" s="168"/>
      <c r="M82" s="170">
        <f t="shared" si="9"/>
        <v>0</v>
      </c>
    </row>
    <row r="83" spans="1:13">
      <c r="A83" s="193"/>
      <c r="G83" s="156"/>
      <c r="H83" s="168">
        <v>78</v>
      </c>
      <c r="I83" s="169" t="str">
        <f t="shared" si="7"/>
        <v/>
      </c>
      <c r="J83" s="168">
        <f t="shared" si="10"/>
        <v>-1</v>
      </c>
      <c r="K83" s="168">
        <f t="shared" si="8"/>
        <v>-10</v>
      </c>
      <c r="L83" s="168"/>
      <c r="M83" s="170">
        <f t="shared" si="9"/>
        <v>0</v>
      </c>
    </row>
    <row r="84" spans="1:13">
      <c r="A84" s="193"/>
      <c r="G84" s="156"/>
      <c r="H84" s="168">
        <v>79</v>
      </c>
      <c r="I84" s="169" t="str">
        <f t="shared" si="7"/>
        <v/>
      </c>
      <c r="J84" s="168">
        <f t="shared" si="10"/>
        <v>-1</v>
      </c>
      <c r="K84" s="168">
        <f t="shared" si="8"/>
        <v>-10</v>
      </c>
      <c r="L84" s="168"/>
      <c r="M84" s="170">
        <f t="shared" si="9"/>
        <v>0</v>
      </c>
    </row>
    <row r="85" spans="1:13">
      <c r="A85" s="193"/>
      <c r="G85" s="156"/>
      <c r="H85" s="168">
        <v>80</v>
      </c>
      <c r="I85" s="169" t="str">
        <f t="shared" si="7"/>
        <v/>
      </c>
      <c r="J85" s="168">
        <f t="shared" si="10"/>
        <v>-1</v>
      </c>
      <c r="K85" s="168">
        <f t="shared" si="8"/>
        <v>-10</v>
      </c>
      <c r="L85" s="168"/>
      <c r="M85" s="170">
        <f t="shared" si="9"/>
        <v>0</v>
      </c>
    </row>
    <row r="86" spans="1:13">
      <c r="A86" s="193"/>
      <c r="G86" s="156"/>
      <c r="H86" s="168">
        <v>81</v>
      </c>
      <c r="I86" s="169" t="str">
        <f t="shared" si="7"/>
        <v/>
      </c>
      <c r="J86" s="168">
        <f t="shared" si="10"/>
        <v>-1</v>
      </c>
      <c r="K86" s="168">
        <f t="shared" si="8"/>
        <v>-10</v>
      </c>
      <c r="L86" s="168"/>
      <c r="M86" s="170">
        <f t="shared" si="9"/>
        <v>0</v>
      </c>
    </row>
    <row r="87" spans="1:13">
      <c r="A87" s="193"/>
      <c r="G87" s="156"/>
      <c r="H87" s="168">
        <v>82</v>
      </c>
      <c r="I87" s="169" t="str">
        <f t="shared" si="7"/>
        <v/>
      </c>
      <c r="J87" s="168">
        <f t="shared" si="10"/>
        <v>-1</v>
      </c>
      <c r="K87" s="168">
        <f t="shared" si="8"/>
        <v>-10</v>
      </c>
      <c r="L87" s="168"/>
      <c r="M87" s="170">
        <f t="shared" si="9"/>
        <v>0</v>
      </c>
    </row>
    <row r="88" spans="1:13">
      <c r="A88" s="193"/>
      <c r="G88" s="156"/>
      <c r="H88" s="168">
        <v>83</v>
      </c>
      <c r="I88" s="169" t="str">
        <f t="shared" si="7"/>
        <v/>
      </c>
      <c r="J88" s="168">
        <f t="shared" si="10"/>
        <v>-1</v>
      </c>
      <c r="K88" s="168">
        <f t="shared" si="8"/>
        <v>-10</v>
      </c>
      <c r="L88" s="168"/>
      <c r="M88" s="170">
        <f t="shared" si="9"/>
        <v>0</v>
      </c>
    </row>
    <row r="89" spans="1:13">
      <c r="A89" s="193"/>
      <c r="G89" s="156"/>
      <c r="H89" s="168">
        <v>84</v>
      </c>
      <c r="I89" s="169" t="str">
        <f t="shared" si="7"/>
        <v/>
      </c>
      <c r="J89" s="168">
        <f t="shared" si="10"/>
        <v>-1</v>
      </c>
      <c r="K89" s="168">
        <f t="shared" si="8"/>
        <v>-10</v>
      </c>
      <c r="L89" s="168"/>
      <c r="M89" s="170">
        <f t="shared" si="9"/>
        <v>0</v>
      </c>
    </row>
    <row r="90" spans="1:13">
      <c r="A90" s="193"/>
      <c r="G90" s="156"/>
      <c r="H90" s="168">
        <v>85</v>
      </c>
      <c r="I90" s="169" t="str">
        <f t="shared" si="7"/>
        <v/>
      </c>
      <c r="J90" s="168">
        <f t="shared" si="10"/>
        <v>-1</v>
      </c>
      <c r="K90" s="168">
        <f t="shared" si="8"/>
        <v>-10</v>
      </c>
      <c r="L90" s="168"/>
      <c r="M90" s="170">
        <f t="shared" si="9"/>
        <v>0</v>
      </c>
    </row>
    <row r="91" spans="1:13">
      <c r="A91" s="193"/>
      <c r="G91" s="156"/>
      <c r="H91" s="168">
        <v>86</v>
      </c>
      <c r="I91" s="169" t="str">
        <f t="shared" si="7"/>
        <v/>
      </c>
      <c r="J91" s="168">
        <f t="shared" si="10"/>
        <v>-1</v>
      </c>
      <c r="K91" s="168">
        <f t="shared" si="8"/>
        <v>-10</v>
      </c>
      <c r="L91" s="168"/>
      <c r="M91" s="170">
        <f t="shared" si="9"/>
        <v>0</v>
      </c>
    </row>
    <row r="92" spans="1:13">
      <c r="A92" s="193"/>
      <c r="G92" s="156"/>
      <c r="H92" s="168">
        <v>87</v>
      </c>
      <c r="I92" s="169" t="str">
        <f t="shared" si="7"/>
        <v/>
      </c>
      <c r="J92" s="168">
        <f t="shared" si="10"/>
        <v>-1</v>
      </c>
      <c r="K92" s="168">
        <f t="shared" si="8"/>
        <v>-10</v>
      </c>
      <c r="L92" s="168"/>
      <c r="M92" s="170">
        <f t="shared" si="9"/>
        <v>0</v>
      </c>
    </row>
    <row r="93" spans="1:13">
      <c r="A93" s="193"/>
      <c r="G93" s="156"/>
      <c r="H93" s="168">
        <v>88</v>
      </c>
      <c r="I93" s="169" t="str">
        <f t="shared" si="7"/>
        <v/>
      </c>
      <c r="J93" s="168">
        <f t="shared" si="10"/>
        <v>-1</v>
      </c>
      <c r="K93" s="168">
        <f t="shared" si="8"/>
        <v>-10</v>
      </c>
      <c r="L93" s="168"/>
      <c r="M93" s="170">
        <f t="shared" si="9"/>
        <v>0</v>
      </c>
    </row>
    <row r="94" spans="1:13">
      <c r="A94" s="193"/>
      <c r="G94" s="156"/>
      <c r="H94" s="168">
        <v>89</v>
      </c>
      <c r="I94" s="169" t="str">
        <f t="shared" si="7"/>
        <v/>
      </c>
      <c r="J94" s="168">
        <f t="shared" si="10"/>
        <v>-1</v>
      </c>
      <c r="K94" s="168">
        <f t="shared" si="8"/>
        <v>-10</v>
      </c>
      <c r="L94" s="168"/>
      <c r="M94" s="170">
        <f t="shared" si="9"/>
        <v>0</v>
      </c>
    </row>
    <row r="95" spans="1:13">
      <c r="A95" s="193"/>
      <c r="G95" s="156"/>
      <c r="H95" s="168">
        <v>90</v>
      </c>
      <c r="I95" s="169" t="str">
        <f t="shared" si="7"/>
        <v/>
      </c>
      <c r="J95" s="168">
        <f t="shared" si="10"/>
        <v>-1</v>
      </c>
      <c r="K95" s="168">
        <f t="shared" si="8"/>
        <v>-10</v>
      </c>
      <c r="L95" s="168"/>
      <c r="M95" s="170">
        <f t="shared" si="9"/>
        <v>0</v>
      </c>
    </row>
    <row r="96" spans="1:13">
      <c r="A96" s="193"/>
      <c r="G96" s="156"/>
      <c r="H96" s="168">
        <v>91</v>
      </c>
      <c r="I96" s="169" t="str">
        <f t="shared" si="7"/>
        <v/>
      </c>
      <c r="J96" s="168">
        <f t="shared" si="10"/>
        <v>-1</v>
      </c>
      <c r="K96" s="168">
        <f t="shared" si="8"/>
        <v>-10</v>
      </c>
      <c r="L96" s="168"/>
      <c r="M96" s="170">
        <f t="shared" si="9"/>
        <v>0</v>
      </c>
    </row>
    <row r="97" spans="1:13">
      <c r="A97" s="193"/>
      <c r="G97" s="156"/>
      <c r="H97" s="168">
        <v>92</v>
      </c>
      <c r="I97" s="169" t="str">
        <f t="shared" si="7"/>
        <v/>
      </c>
      <c r="J97" s="168">
        <f t="shared" si="10"/>
        <v>-1</v>
      </c>
      <c r="K97" s="168">
        <f t="shared" si="8"/>
        <v>-10</v>
      </c>
      <c r="L97" s="168"/>
      <c r="M97" s="170">
        <f t="shared" si="9"/>
        <v>0</v>
      </c>
    </row>
    <row r="98" spans="1:13">
      <c r="A98" s="193"/>
      <c r="G98" s="156"/>
      <c r="H98" s="168">
        <v>93</v>
      </c>
      <c r="I98" s="169" t="str">
        <f t="shared" si="7"/>
        <v/>
      </c>
      <c r="J98" s="168">
        <f t="shared" si="10"/>
        <v>-1</v>
      </c>
      <c r="K98" s="168">
        <f t="shared" si="8"/>
        <v>-10</v>
      </c>
      <c r="L98" s="168"/>
      <c r="M98" s="170">
        <f t="shared" si="9"/>
        <v>0</v>
      </c>
    </row>
    <row r="99" spans="1:13">
      <c r="A99" s="193"/>
      <c r="G99" s="156"/>
      <c r="H99" s="168">
        <v>94</v>
      </c>
      <c r="I99" s="169" t="str">
        <f t="shared" si="7"/>
        <v/>
      </c>
      <c r="J99" s="168">
        <f t="shared" si="10"/>
        <v>-1</v>
      </c>
      <c r="K99" s="168">
        <f t="shared" si="8"/>
        <v>-10</v>
      </c>
      <c r="L99" s="168"/>
      <c r="M99" s="170">
        <f t="shared" si="9"/>
        <v>0</v>
      </c>
    </row>
    <row r="100" spans="1:13">
      <c r="A100" s="193"/>
      <c r="G100" s="156"/>
      <c r="H100" s="168">
        <v>95</v>
      </c>
      <c r="I100" s="169" t="str">
        <f t="shared" si="7"/>
        <v/>
      </c>
      <c r="J100" s="168">
        <f t="shared" si="10"/>
        <v>-1</v>
      </c>
      <c r="K100" s="168">
        <f t="shared" si="8"/>
        <v>-10</v>
      </c>
      <c r="L100" s="168"/>
      <c r="M100" s="170">
        <f t="shared" si="9"/>
        <v>0</v>
      </c>
    </row>
    <row r="101" spans="1:13">
      <c r="A101" s="185"/>
      <c r="G101" s="156"/>
      <c r="H101" s="168">
        <v>96</v>
      </c>
      <c r="I101" s="169" t="str">
        <f t="shared" si="7"/>
        <v/>
      </c>
      <c r="J101" s="168">
        <f t="shared" si="10"/>
        <v>-1</v>
      </c>
      <c r="K101" s="168">
        <f t="shared" si="8"/>
        <v>-10</v>
      </c>
      <c r="L101" s="168"/>
      <c r="M101" s="170">
        <f t="shared" si="9"/>
        <v>0</v>
      </c>
    </row>
    <row r="102" spans="1:13">
      <c r="A102" s="185"/>
      <c r="G102" s="156"/>
      <c r="H102" s="168">
        <v>97</v>
      </c>
      <c r="I102" s="169" t="str">
        <f t="shared" si="7"/>
        <v/>
      </c>
      <c r="J102" s="168">
        <f t="shared" si="10"/>
        <v>-1</v>
      </c>
      <c r="K102" s="168">
        <f t="shared" si="8"/>
        <v>-10</v>
      </c>
      <c r="L102" s="168"/>
      <c r="M102" s="170">
        <f t="shared" si="9"/>
        <v>0</v>
      </c>
    </row>
    <row r="103" spans="1:13">
      <c r="A103" s="185"/>
      <c r="G103" s="156"/>
      <c r="H103" s="168">
        <v>98</v>
      </c>
      <c r="I103" s="169" t="str">
        <f t="shared" si="7"/>
        <v/>
      </c>
      <c r="J103" s="168">
        <f t="shared" si="10"/>
        <v>-1</v>
      </c>
      <c r="K103" s="168">
        <f t="shared" si="8"/>
        <v>-10</v>
      </c>
      <c r="L103" s="168"/>
      <c r="M103" s="170">
        <f t="shared" si="9"/>
        <v>0</v>
      </c>
    </row>
    <row r="104" spans="1:13">
      <c r="A104" s="185"/>
      <c r="G104" s="156"/>
      <c r="H104" s="168">
        <v>99</v>
      </c>
      <c r="I104" s="169" t="str">
        <f t="shared" si="7"/>
        <v/>
      </c>
      <c r="J104" s="168">
        <f t="shared" si="10"/>
        <v>-1</v>
      </c>
      <c r="K104" s="168">
        <f t="shared" si="8"/>
        <v>-10</v>
      </c>
      <c r="L104" s="168"/>
      <c r="M104" s="170">
        <f t="shared" si="9"/>
        <v>0</v>
      </c>
    </row>
    <row r="105" spans="1:13">
      <c r="A105" s="185"/>
      <c r="G105" s="156"/>
      <c r="H105" s="168">
        <v>100</v>
      </c>
      <c r="I105" s="169" t="str">
        <f t="shared" si="7"/>
        <v/>
      </c>
      <c r="J105" s="168">
        <f t="shared" si="10"/>
        <v>-1</v>
      </c>
      <c r="K105" s="168">
        <f t="shared" si="8"/>
        <v>-10</v>
      </c>
      <c r="L105" s="168"/>
      <c r="M105" s="170">
        <f t="shared" si="9"/>
        <v>0</v>
      </c>
    </row>
    <row r="106" spans="1:13">
      <c r="A106" s="185"/>
      <c r="G106" s="156"/>
      <c r="H106" s="168">
        <v>101</v>
      </c>
      <c r="I106" s="169" t="str">
        <f t="shared" si="7"/>
        <v/>
      </c>
      <c r="J106" s="168">
        <f t="shared" si="10"/>
        <v>-1</v>
      </c>
      <c r="K106" s="168">
        <f t="shared" si="8"/>
        <v>-10</v>
      </c>
      <c r="L106" s="168"/>
      <c r="M106" s="170">
        <f t="shared" si="9"/>
        <v>0</v>
      </c>
    </row>
    <row r="107" spans="1:13">
      <c r="A107" s="185"/>
      <c r="G107" s="156"/>
      <c r="H107" s="168">
        <v>102</v>
      </c>
      <c r="I107" s="169" t="str">
        <f t="shared" si="7"/>
        <v/>
      </c>
      <c r="J107" s="168">
        <f t="shared" si="10"/>
        <v>-1</v>
      </c>
      <c r="K107" s="168">
        <f t="shared" si="8"/>
        <v>-10</v>
      </c>
      <c r="L107" s="168"/>
      <c r="M107" s="170">
        <f t="shared" si="9"/>
        <v>0</v>
      </c>
    </row>
    <row r="108" spans="1:13">
      <c r="A108" s="185"/>
      <c r="G108" s="156"/>
      <c r="H108" s="168">
        <v>103</v>
      </c>
      <c r="I108" s="169" t="str">
        <f t="shared" si="7"/>
        <v/>
      </c>
      <c r="J108" s="168">
        <f t="shared" si="10"/>
        <v>-1</v>
      </c>
      <c r="K108" s="168">
        <f t="shared" si="8"/>
        <v>-10</v>
      </c>
      <c r="L108" s="168"/>
      <c r="M108" s="170">
        <f t="shared" si="9"/>
        <v>0</v>
      </c>
    </row>
    <row r="109" spans="1:13">
      <c r="A109" s="185"/>
      <c r="G109" s="156"/>
      <c r="H109" s="168">
        <v>104</v>
      </c>
      <c r="I109" s="169" t="str">
        <f t="shared" si="7"/>
        <v/>
      </c>
      <c r="J109" s="168">
        <f t="shared" si="10"/>
        <v>-1</v>
      </c>
      <c r="K109" s="168">
        <f t="shared" si="8"/>
        <v>-10</v>
      </c>
      <c r="L109" s="168"/>
      <c r="M109" s="170">
        <f t="shared" si="9"/>
        <v>0</v>
      </c>
    </row>
    <row r="110" spans="1:13">
      <c r="A110" s="185"/>
      <c r="G110" s="156"/>
      <c r="H110" s="168">
        <v>105</v>
      </c>
      <c r="I110" s="169" t="str">
        <f t="shared" si="7"/>
        <v/>
      </c>
      <c r="J110" s="168">
        <f t="shared" si="10"/>
        <v>-1</v>
      </c>
      <c r="K110" s="168">
        <f t="shared" si="8"/>
        <v>-10</v>
      </c>
      <c r="L110" s="168"/>
      <c r="M110" s="170">
        <f t="shared" si="9"/>
        <v>0</v>
      </c>
    </row>
    <row r="111" spans="1:13">
      <c r="A111" s="185"/>
      <c r="G111" s="156"/>
      <c r="H111" s="168">
        <v>106</v>
      </c>
      <c r="I111" s="169" t="str">
        <f t="shared" si="7"/>
        <v/>
      </c>
      <c r="J111" s="168">
        <f t="shared" si="10"/>
        <v>-1</v>
      </c>
      <c r="K111" s="168">
        <f t="shared" si="8"/>
        <v>-10</v>
      </c>
      <c r="L111" s="168"/>
      <c r="M111" s="170">
        <f t="shared" si="9"/>
        <v>0</v>
      </c>
    </row>
    <row r="112" spans="1:13">
      <c r="A112" s="185"/>
      <c r="G112" s="156"/>
      <c r="H112" s="168">
        <v>107</v>
      </c>
      <c r="I112" s="169" t="str">
        <f t="shared" si="7"/>
        <v/>
      </c>
      <c r="J112" s="168">
        <f t="shared" si="10"/>
        <v>-1</v>
      </c>
      <c r="K112" s="168">
        <f t="shared" si="8"/>
        <v>-10</v>
      </c>
      <c r="L112" s="168"/>
      <c r="M112" s="170">
        <f t="shared" si="9"/>
        <v>0</v>
      </c>
    </row>
    <row r="113" spans="1:13">
      <c r="A113" s="185"/>
      <c r="G113" s="156"/>
      <c r="H113" s="168">
        <v>108</v>
      </c>
      <c r="I113" s="169" t="str">
        <f t="shared" si="7"/>
        <v/>
      </c>
      <c r="J113" s="168">
        <f t="shared" si="10"/>
        <v>-1</v>
      </c>
      <c r="K113" s="168">
        <f t="shared" si="8"/>
        <v>-10</v>
      </c>
      <c r="L113" s="168"/>
      <c r="M113" s="170">
        <f t="shared" si="9"/>
        <v>0</v>
      </c>
    </row>
    <row r="114" spans="1:13">
      <c r="A114" s="185"/>
      <c r="G114" s="156"/>
      <c r="H114" s="168">
        <v>109</v>
      </c>
      <c r="I114" s="169" t="str">
        <f t="shared" si="7"/>
        <v/>
      </c>
      <c r="J114" s="168">
        <f t="shared" si="10"/>
        <v>-1</v>
      </c>
      <c r="K114" s="168">
        <f t="shared" si="8"/>
        <v>-10</v>
      </c>
      <c r="L114" s="168"/>
      <c r="M114" s="170">
        <f t="shared" si="9"/>
        <v>0</v>
      </c>
    </row>
    <row r="115" spans="1:13">
      <c r="A115" s="185"/>
      <c r="G115" s="156"/>
      <c r="H115" s="168">
        <v>110</v>
      </c>
      <c r="I115" s="169" t="str">
        <f t="shared" si="7"/>
        <v/>
      </c>
      <c r="J115" s="168">
        <f t="shared" si="10"/>
        <v>-1</v>
      </c>
      <c r="K115" s="168">
        <f t="shared" si="8"/>
        <v>-10</v>
      </c>
      <c r="L115" s="168"/>
      <c r="M115" s="170">
        <f t="shared" si="9"/>
        <v>0</v>
      </c>
    </row>
    <row r="116" spans="1:13">
      <c r="A116" s="185"/>
      <c r="G116" s="156"/>
      <c r="H116" s="168">
        <v>111</v>
      </c>
      <c r="I116" s="169" t="str">
        <f t="shared" si="7"/>
        <v/>
      </c>
      <c r="J116" s="168">
        <f t="shared" si="10"/>
        <v>-1</v>
      </c>
      <c r="K116" s="168">
        <f t="shared" si="8"/>
        <v>-10</v>
      </c>
      <c r="L116" s="168"/>
      <c r="M116" s="170">
        <f t="shared" si="9"/>
        <v>0</v>
      </c>
    </row>
    <row r="117" spans="1:13">
      <c r="A117" s="185"/>
      <c r="G117" s="156"/>
      <c r="H117" s="168">
        <v>112</v>
      </c>
      <c r="I117" s="169" t="str">
        <f t="shared" si="7"/>
        <v/>
      </c>
      <c r="J117" s="168">
        <f t="shared" si="10"/>
        <v>-1</v>
      </c>
      <c r="K117" s="168">
        <f t="shared" si="8"/>
        <v>-10</v>
      </c>
      <c r="L117" s="168"/>
      <c r="M117" s="170">
        <f t="shared" si="9"/>
        <v>0</v>
      </c>
    </row>
    <row r="118" spans="1:13">
      <c r="A118" s="185"/>
      <c r="G118" s="156"/>
      <c r="H118" s="168">
        <v>113</v>
      </c>
      <c r="I118" s="169" t="str">
        <f t="shared" si="7"/>
        <v/>
      </c>
      <c r="J118" s="168">
        <f t="shared" si="10"/>
        <v>-1</v>
      </c>
      <c r="K118" s="168">
        <f t="shared" si="8"/>
        <v>-10</v>
      </c>
      <c r="L118" s="168"/>
      <c r="M118" s="170">
        <f t="shared" si="9"/>
        <v>0</v>
      </c>
    </row>
    <row r="119" spans="1:13">
      <c r="A119" s="185"/>
      <c r="G119" s="156"/>
      <c r="H119" s="168">
        <v>114</v>
      </c>
      <c r="I119" s="169" t="str">
        <f t="shared" si="7"/>
        <v/>
      </c>
      <c r="J119" s="168">
        <f t="shared" si="10"/>
        <v>-1</v>
      </c>
      <c r="K119" s="168">
        <f t="shared" si="8"/>
        <v>-10</v>
      </c>
      <c r="L119" s="168"/>
      <c r="M119" s="170">
        <f t="shared" si="9"/>
        <v>0</v>
      </c>
    </row>
    <row r="120" spans="1:13">
      <c r="A120" s="185"/>
      <c r="G120" s="156"/>
      <c r="H120" s="168">
        <v>115</v>
      </c>
      <c r="I120" s="169" t="str">
        <f t="shared" si="7"/>
        <v/>
      </c>
      <c r="J120" s="168">
        <f t="shared" si="10"/>
        <v>-1</v>
      </c>
      <c r="K120" s="168">
        <f t="shared" si="8"/>
        <v>-10</v>
      </c>
      <c r="L120" s="168"/>
      <c r="M120" s="170">
        <f t="shared" si="9"/>
        <v>0</v>
      </c>
    </row>
    <row r="121" spans="1:13">
      <c r="A121" s="185"/>
      <c r="G121" s="156"/>
      <c r="H121" s="168">
        <v>116</v>
      </c>
      <c r="I121" s="169" t="str">
        <f t="shared" si="7"/>
        <v/>
      </c>
      <c r="J121" s="168">
        <f t="shared" si="10"/>
        <v>-1</v>
      </c>
      <c r="K121" s="168">
        <f t="shared" si="8"/>
        <v>-10</v>
      </c>
      <c r="L121" s="168"/>
      <c r="M121" s="170">
        <f t="shared" si="9"/>
        <v>0</v>
      </c>
    </row>
    <row r="122" spans="1:13">
      <c r="A122" s="185"/>
      <c r="G122" s="156"/>
      <c r="H122" s="168">
        <v>117</v>
      </c>
      <c r="I122" s="169" t="str">
        <f t="shared" si="7"/>
        <v/>
      </c>
      <c r="J122" s="168">
        <f t="shared" si="10"/>
        <v>-1</v>
      </c>
      <c r="K122" s="168">
        <f t="shared" si="8"/>
        <v>-10</v>
      </c>
      <c r="L122" s="168"/>
      <c r="M122" s="170">
        <f t="shared" si="9"/>
        <v>0</v>
      </c>
    </row>
    <row r="123" spans="1:13">
      <c r="A123" s="185"/>
      <c r="G123" s="156"/>
      <c r="H123" s="168">
        <v>118</v>
      </c>
      <c r="I123" s="169" t="str">
        <f t="shared" si="7"/>
        <v/>
      </c>
      <c r="J123" s="168">
        <f t="shared" si="10"/>
        <v>-1</v>
      </c>
      <c r="K123" s="168">
        <f t="shared" si="8"/>
        <v>-10</v>
      </c>
      <c r="L123" s="168"/>
      <c r="M123" s="170">
        <f t="shared" si="9"/>
        <v>0</v>
      </c>
    </row>
    <row r="124" spans="1:13">
      <c r="A124" s="185"/>
      <c r="G124" s="156"/>
      <c r="H124" s="168">
        <v>119</v>
      </c>
      <c r="I124" s="169" t="str">
        <f t="shared" si="7"/>
        <v/>
      </c>
      <c r="J124" s="168">
        <f t="shared" si="10"/>
        <v>-1</v>
      </c>
      <c r="K124" s="168">
        <f t="shared" si="8"/>
        <v>-10</v>
      </c>
      <c r="L124" s="168"/>
      <c r="M124" s="170">
        <f t="shared" si="9"/>
        <v>0</v>
      </c>
    </row>
    <row r="125" spans="1:13">
      <c r="A125" s="185"/>
      <c r="G125" s="156"/>
      <c r="H125" s="168">
        <v>120</v>
      </c>
      <c r="I125" s="169" t="str">
        <f t="shared" si="7"/>
        <v/>
      </c>
      <c r="J125" s="168">
        <f t="shared" si="10"/>
        <v>-1</v>
      </c>
      <c r="K125" s="168">
        <f t="shared" si="8"/>
        <v>-10</v>
      </c>
      <c r="L125" s="168"/>
      <c r="M125" s="170">
        <f t="shared" si="9"/>
        <v>0</v>
      </c>
    </row>
    <row r="126" spans="1:13">
      <c r="A126" s="185"/>
      <c r="G126" s="156"/>
      <c r="H126" s="168">
        <v>121</v>
      </c>
      <c r="I126" s="169" t="str">
        <f t="shared" si="7"/>
        <v/>
      </c>
      <c r="J126" s="168">
        <f t="shared" si="10"/>
        <v>-1</v>
      </c>
      <c r="K126" s="168">
        <f t="shared" si="8"/>
        <v>-10</v>
      </c>
      <c r="L126" s="168"/>
      <c r="M126" s="170">
        <f t="shared" si="9"/>
        <v>0</v>
      </c>
    </row>
    <row r="127" spans="1:13">
      <c r="A127" s="185"/>
      <c r="G127" s="156"/>
      <c r="H127" s="168">
        <v>122</v>
      </c>
      <c r="I127" s="169" t="str">
        <f t="shared" si="7"/>
        <v/>
      </c>
      <c r="J127" s="168">
        <f t="shared" si="10"/>
        <v>-1</v>
      </c>
      <c r="K127" s="168">
        <f t="shared" si="8"/>
        <v>-10</v>
      </c>
      <c r="L127" s="168"/>
      <c r="M127" s="170">
        <f t="shared" si="9"/>
        <v>0</v>
      </c>
    </row>
    <row r="128" spans="1:13">
      <c r="A128" s="185"/>
      <c r="G128" s="156"/>
      <c r="H128" s="168">
        <v>123</v>
      </c>
      <c r="I128" s="169" t="str">
        <f t="shared" si="7"/>
        <v/>
      </c>
      <c r="J128" s="168">
        <f t="shared" si="10"/>
        <v>-1</v>
      </c>
      <c r="K128" s="168">
        <f t="shared" si="8"/>
        <v>-10</v>
      </c>
      <c r="L128" s="168"/>
      <c r="M128" s="170">
        <f t="shared" si="9"/>
        <v>0</v>
      </c>
    </row>
    <row r="129" spans="1:13">
      <c r="A129" s="185"/>
      <c r="G129" s="156"/>
      <c r="H129" s="168">
        <v>124</v>
      </c>
      <c r="I129" s="169" t="str">
        <f t="shared" si="7"/>
        <v/>
      </c>
      <c r="J129" s="168">
        <f t="shared" si="10"/>
        <v>-1</v>
      </c>
      <c r="K129" s="168">
        <f t="shared" si="8"/>
        <v>-10</v>
      </c>
      <c r="L129" s="168"/>
      <c r="M129" s="170">
        <f t="shared" si="9"/>
        <v>0</v>
      </c>
    </row>
    <row r="130" spans="1:13">
      <c r="A130" s="185"/>
      <c r="G130" s="156"/>
      <c r="H130" s="168">
        <v>125</v>
      </c>
      <c r="I130" s="169" t="str">
        <f t="shared" si="7"/>
        <v/>
      </c>
      <c r="J130" s="168">
        <f t="shared" si="10"/>
        <v>-1</v>
      </c>
      <c r="K130" s="168">
        <f t="shared" si="8"/>
        <v>-10</v>
      </c>
      <c r="L130" s="168"/>
      <c r="M130" s="170">
        <f t="shared" si="9"/>
        <v>0</v>
      </c>
    </row>
    <row r="131" spans="1:13">
      <c r="A131" s="185"/>
      <c r="G131" s="156"/>
      <c r="H131" s="168">
        <v>126</v>
      </c>
      <c r="I131" s="169" t="str">
        <f t="shared" si="7"/>
        <v/>
      </c>
      <c r="J131" s="168">
        <f t="shared" si="10"/>
        <v>-1</v>
      </c>
      <c r="K131" s="168">
        <f t="shared" si="8"/>
        <v>-10</v>
      </c>
      <c r="L131" s="168"/>
      <c r="M131" s="170">
        <f t="shared" si="9"/>
        <v>0</v>
      </c>
    </row>
    <row r="132" spans="1:13">
      <c r="A132" s="185"/>
      <c r="G132" s="156"/>
      <c r="H132" s="168">
        <v>127</v>
      </c>
      <c r="I132" s="169" t="str">
        <f t="shared" si="7"/>
        <v/>
      </c>
      <c r="J132" s="168">
        <f t="shared" si="10"/>
        <v>-1</v>
      </c>
      <c r="K132" s="168">
        <f t="shared" si="8"/>
        <v>-10</v>
      </c>
      <c r="L132" s="168"/>
      <c r="M132" s="170">
        <f t="shared" si="9"/>
        <v>0</v>
      </c>
    </row>
    <row r="133" spans="1:13">
      <c r="A133" s="185"/>
      <c r="G133" s="156"/>
      <c r="H133" s="168">
        <v>128</v>
      </c>
      <c r="I133" s="169" t="str">
        <f t="shared" si="7"/>
        <v/>
      </c>
      <c r="J133" s="168">
        <f t="shared" si="10"/>
        <v>-1</v>
      </c>
      <c r="K133" s="168">
        <f t="shared" si="8"/>
        <v>-10</v>
      </c>
      <c r="L133" s="168"/>
      <c r="M133" s="170">
        <f t="shared" si="9"/>
        <v>0</v>
      </c>
    </row>
    <row r="134" spans="1:13">
      <c r="A134" s="185"/>
      <c r="G134" s="156"/>
      <c r="H134" s="168">
        <v>129</v>
      </c>
      <c r="I134" s="169" t="str">
        <f t="shared" ref="I134:I197" si="11">IF(H134&lt;$H$2+1,($I$2-($I$2-1)*(LOG(H134)/LOG($H$2))),"")</f>
        <v/>
      </c>
      <c r="J134" s="168">
        <f t="shared" si="10"/>
        <v>-2</v>
      </c>
      <c r="K134" s="168">
        <f t="shared" ref="K134:K197" si="12">J134*$J$2</f>
        <v>-20</v>
      </c>
      <c r="L134" s="168"/>
      <c r="M134" s="170">
        <f t="shared" ref="M134:M197" si="13">IF(I134&lt;&gt;"",K134+I134+L134,0)</f>
        <v>0</v>
      </c>
    </row>
    <row r="135" spans="1:13">
      <c r="A135" s="185"/>
      <c r="G135" s="156"/>
      <c r="H135" s="168">
        <v>130</v>
      </c>
      <c r="I135" s="169" t="str">
        <f t="shared" si="11"/>
        <v/>
      </c>
      <c r="J135" s="168">
        <f t="shared" ref="J135:J198" si="14">INT(LOG($H$2,2))-ROUNDUP(LOG(H135,2),0)+IF(OR($H$2=1,$H$2=2,$H$2=4,$H$2=8,$H$2=16,$H$2=32,$H$2=64,$H$2=128,$H$2=256),0,1)</f>
        <v>-2</v>
      </c>
      <c r="K135" s="168">
        <f t="shared" si="12"/>
        <v>-20</v>
      </c>
      <c r="L135" s="168"/>
      <c r="M135" s="170">
        <f t="shared" si="13"/>
        <v>0</v>
      </c>
    </row>
    <row r="136" spans="1:13">
      <c r="A136" s="185"/>
      <c r="G136" s="156"/>
      <c r="H136" s="168">
        <v>131</v>
      </c>
      <c r="I136" s="169" t="str">
        <f t="shared" si="11"/>
        <v/>
      </c>
      <c r="J136" s="168">
        <f t="shared" si="14"/>
        <v>-2</v>
      </c>
      <c r="K136" s="168">
        <f t="shared" si="12"/>
        <v>-20</v>
      </c>
      <c r="L136" s="168"/>
      <c r="M136" s="170">
        <f t="shared" si="13"/>
        <v>0</v>
      </c>
    </row>
    <row r="137" spans="1:13">
      <c r="A137" s="185"/>
      <c r="G137" s="156"/>
      <c r="H137" s="168">
        <v>132</v>
      </c>
      <c r="I137" s="169" t="str">
        <f t="shared" si="11"/>
        <v/>
      </c>
      <c r="J137" s="168">
        <f t="shared" si="14"/>
        <v>-2</v>
      </c>
      <c r="K137" s="168">
        <f t="shared" si="12"/>
        <v>-20</v>
      </c>
      <c r="L137" s="168"/>
      <c r="M137" s="170">
        <f t="shared" si="13"/>
        <v>0</v>
      </c>
    </row>
    <row r="138" spans="1:13">
      <c r="A138" s="185"/>
      <c r="G138" s="156"/>
      <c r="H138" s="168">
        <v>133</v>
      </c>
      <c r="I138" s="169" t="str">
        <f t="shared" si="11"/>
        <v/>
      </c>
      <c r="J138" s="168">
        <f t="shared" si="14"/>
        <v>-2</v>
      </c>
      <c r="K138" s="168">
        <f t="shared" si="12"/>
        <v>-20</v>
      </c>
      <c r="L138" s="168"/>
      <c r="M138" s="170">
        <f t="shared" si="13"/>
        <v>0</v>
      </c>
    </row>
    <row r="139" spans="1:13">
      <c r="A139" s="185"/>
      <c r="G139" s="156"/>
      <c r="H139" s="168">
        <v>134</v>
      </c>
      <c r="I139" s="169" t="str">
        <f t="shared" si="11"/>
        <v/>
      </c>
      <c r="J139" s="168">
        <f t="shared" si="14"/>
        <v>-2</v>
      </c>
      <c r="K139" s="168">
        <f t="shared" si="12"/>
        <v>-20</v>
      </c>
      <c r="L139" s="168"/>
      <c r="M139" s="170">
        <f t="shared" si="13"/>
        <v>0</v>
      </c>
    </row>
    <row r="140" spans="1:13">
      <c r="A140" s="185"/>
      <c r="G140" s="156"/>
      <c r="H140" s="168">
        <v>135</v>
      </c>
      <c r="I140" s="169" t="str">
        <f t="shared" si="11"/>
        <v/>
      </c>
      <c r="J140" s="168">
        <f t="shared" si="14"/>
        <v>-2</v>
      </c>
      <c r="K140" s="168">
        <f t="shared" si="12"/>
        <v>-20</v>
      </c>
      <c r="L140" s="168"/>
      <c r="M140" s="170">
        <f t="shared" si="13"/>
        <v>0</v>
      </c>
    </row>
    <row r="141" spans="1:13">
      <c r="A141" s="185"/>
      <c r="G141" s="156"/>
      <c r="H141" s="168">
        <v>136</v>
      </c>
      <c r="I141" s="169" t="str">
        <f t="shared" si="11"/>
        <v/>
      </c>
      <c r="J141" s="168">
        <f t="shared" si="14"/>
        <v>-2</v>
      </c>
      <c r="K141" s="168">
        <f t="shared" si="12"/>
        <v>-20</v>
      </c>
      <c r="L141" s="168"/>
      <c r="M141" s="170">
        <f t="shared" si="13"/>
        <v>0</v>
      </c>
    </row>
    <row r="142" spans="1:13">
      <c r="A142" s="185"/>
      <c r="G142" s="156"/>
      <c r="H142" s="168">
        <v>137</v>
      </c>
      <c r="I142" s="169" t="str">
        <f t="shared" si="11"/>
        <v/>
      </c>
      <c r="J142" s="168">
        <f t="shared" si="14"/>
        <v>-2</v>
      </c>
      <c r="K142" s="168">
        <f t="shared" si="12"/>
        <v>-20</v>
      </c>
      <c r="L142" s="168"/>
      <c r="M142" s="170">
        <f t="shared" si="13"/>
        <v>0</v>
      </c>
    </row>
    <row r="143" spans="1:13">
      <c r="A143" s="185"/>
      <c r="G143" s="156"/>
      <c r="H143" s="168">
        <v>138</v>
      </c>
      <c r="I143" s="169" t="str">
        <f t="shared" si="11"/>
        <v/>
      </c>
      <c r="J143" s="168">
        <f t="shared" si="14"/>
        <v>-2</v>
      </c>
      <c r="K143" s="168">
        <f t="shared" si="12"/>
        <v>-20</v>
      </c>
      <c r="L143" s="168"/>
      <c r="M143" s="170">
        <f t="shared" si="13"/>
        <v>0</v>
      </c>
    </row>
    <row r="144" spans="1:13">
      <c r="A144" s="185"/>
      <c r="G144" s="156"/>
      <c r="H144" s="168">
        <v>139</v>
      </c>
      <c r="I144" s="169" t="str">
        <f t="shared" si="11"/>
        <v/>
      </c>
      <c r="J144" s="168">
        <f t="shared" si="14"/>
        <v>-2</v>
      </c>
      <c r="K144" s="168">
        <f t="shared" si="12"/>
        <v>-20</v>
      </c>
      <c r="L144" s="168"/>
      <c r="M144" s="170">
        <f t="shared" si="13"/>
        <v>0</v>
      </c>
    </row>
    <row r="145" spans="1:13">
      <c r="A145" s="185"/>
      <c r="G145" s="156"/>
      <c r="H145" s="168">
        <v>140</v>
      </c>
      <c r="I145" s="169" t="str">
        <f t="shared" si="11"/>
        <v/>
      </c>
      <c r="J145" s="168">
        <f t="shared" si="14"/>
        <v>-2</v>
      </c>
      <c r="K145" s="168">
        <f t="shared" si="12"/>
        <v>-20</v>
      </c>
      <c r="L145" s="168"/>
      <c r="M145" s="170">
        <f t="shared" si="13"/>
        <v>0</v>
      </c>
    </row>
    <row r="146" spans="1:13">
      <c r="A146" s="185"/>
      <c r="G146" s="156"/>
      <c r="H146" s="168">
        <v>141</v>
      </c>
      <c r="I146" s="169" t="str">
        <f t="shared" si="11"/>
        <v/>
      </c>
      <c r="J146" s="168">
        <f t="shared" si="14"/>
        <v>-2</v>
      </c>
      <c r="K146" s="168">
        <f t="shared" si="12"/>
        <v>-20</v>
      </c>
      <c r="L146" s="168"/>
      <c r="M146" s="170">
        <f t="shared" si="13"/>
        <v>0</v>
      </c>
    </row>
    <row r="147" spans="1:13">
      <c r="A147" s="185"/>
      <c r="G147" s="156"/>
      <c r="H147" s="168">
        <v>142</v>
      </c>
      <c r="I147" s="169" t="str">
        <f t="shared" si="11"/>
        <v/>
      </c>
      <c r="J147" s="168">
        <f t="shared" si="14"/>
        <v>-2</v>
      </c>
      <c r="K147" s="168">
        <f t="shared" si="12"/>
        <v>-20</v>
      </c>
      <c r="L147" s="168"/>
      <c r="M147" s="170">
        <f t="shared" si="13"/>
        <v>0</v>
      </c>
    </row>
    <row r="148" spans="1:13">
      <c r="A148" s="185"/>
      <c r="G148" s="156"/>
      <c r="H148" s="168">
        <v>143</v>
      </c>
      <c r="I148" s="169" t="str">
        <f t="shared" si="11"/>
        <v/>
      </c>
      <c r="J148" s="168">
        <f t="shared" si="14"/>
        <v>-2</v>
      </c>
      <c r="K148" s="168">
        <f t="shared" si="12"/>
        <v>-20</v>
      </c>
      <c r="L148" s="168"/>
      <c r="M148" s="170">
        <f t="shared" si="13"/>
        <v>0</v>
      </c>
    </row>
    <row r="149" spans="1:13">
      <c r="A149" s="185"/>
      <c r="G149" s="156"/>
      <c r="H149" s="168">
        <v>144</v>
      </c>
      <c r="I149" s="169" t="str">
        <f t="shared" si="11"/>
        <v/>
      </c>
      <c r="J149" s="168">
        <f t="shared" si="14"/>
        <v>-2</v>
      </c>
      <c r="K149" s="168">
        <f t="shared" si="12"/>
        <v>-20</v>
      </c>
      <c r="L149" s="168"/>
      <c r="M149" s="170">
        <f t="shared" si="13"/>
        <v>0</v>
      </c>
    </row>
    <row r="150" spans="1:13">
      <c r="A150" s="185"/>
      <c r="G150" s="156"/>
      <c r="H150" s="168">
        <v>145</v>
      </c>
      <c r="I150" s="169" t="str">
        <f t="shared" si="11"/>
        <v/>
      </c>
      <c r="J150" s="168">
        <f t="shared" si="14"/>
        <v>-2</v>
      </c>
      <c r="K150" s="168">
        <f t="shared" si="12"/>
        <v>-20</v>
      </c>
      <c r="L150" s="168"/>
      <c r="M150" s="170">
        <f t="shared" si="13"/>
        <v>0</v>
      </c>
    </row>
    <row r="151" spans="1:13">
      <c r="A151" s="185"/>
      <c r="G151" s="156"/>
      <c r="H151" s="168">
        <v>146</v>
      </c>
      <c r="I151" s="169" t="str">
        <f t="shared" si="11"/>
        <v/>
      </c>
      <c r="J151" s="168">
        <f t="shared" si="14"/>
        <v>-2</v>
      </c>
      <c r="K151" s="168">
        <f t="shared" si="12"/>
        <v>-20</v>
      </c>
      <c r="L151" s="168"/>
      <c r="M151" s="170">
        <f t="shared" si="13"/>
        <v>0</v>
      </c>
    </row>
    <row r="152" spans="1:13">
      <c r="A152" s="185"/>
      <c r="G152" s="156"/>
      <c r="H152" s="168">
        <v>147</v>
      </c>
      <c r="I152" s="169" t="str">
        <f t="shared" si="11"/>
        <v/>
      </c>
      <c r="J152" s="168">
        <f t="shared" si="14"/>
        <v>-2</v>
      </c>
      <c r="K152" s="168">
        <f t="shared" si="12"/>
        <v>-20</v>
      </c>
      <c r="L152" s="168"/>
      <c r="M152" s="170">
        <f t="shared" si="13"/>
        <v>0</v>
      </c>
    </row>
    <row r="153" spans="1:13">
      <c r="A153" s="185"/>
      <c r="G153" s="156"/>
      <c r="H153" s="168">
        <v>148</v>
      </c>
      <c r="I153" s="169" t="str">
        <f t="shared" si="11"/>
        <v/>
      </c>
      <c r="J153" s="168">
        <f t="shared" si="14"/>
        <v>-2</v>
      </c>
      <c r="K153" s="168">
        <f t="shared" si="12"/>
        <v>-20</v>
      </c>
      <c r="L153" s="168"/>
      <c r="M153" s="170">
        <f t="shared" si="13"/>
        <v>0</v>
      </c>
    </row>
    <row r="154" spans="1:13">
      <c r="A154" s="185"/>
      <c r="G154" s="156"/>
      <c r="H154" s="168">
        <v>149</v>
      </c>
      <c r="I154" s="169" t="str">
        <f t="shared" si="11"/>
        <v/>
      </c>
      <c r="J154" s="168">
        <f t="shared" si="14"/>
        <v>-2</v>
      </c>
      <c r="K154" s="168">
        <f t="shared" si="12"/>
        <v>-20</v>
      </c>
      <c r="L154" s="168"/>
      <c r="M154" s="170">
        <f t="shared" si="13"/>
        <v>0</v>
      </c>
    </row>
    <row r="155" spans="1:13">
      <c r="A155" s="185"/>
      <c r="G155" s="156"/>
      <c r="H155" s="168">
        <v>150</v>
      </c>
      <c r="I155" s="169" t="str">
        <f t="shared" si="11"/>
        <v/>
      </c>
      <c r="J155" s="168">
        <f t="shared" si="14"/>
        <v>-2</v>
      </c>
      <c r="K155" s="168">
        <f t="shared" si="12"/>
        <v>-20</v>
      </c>
      <c r="L155" s="168"/>
      <c r="M155" s="170">
        <f t="shared" si="13"/>
        <v>0</v>
      </c>
    </row>
    <row r="156" spans="1:13">
      <c r="A156" s="185"/>
      <c r="G156" s="156"/>
      <c r="H156" s="168">
        <v>151</v>
      </c>
      <c r="I156" s="169" t="str">
        <f t="shared" si="11"/>
        <v/>
      </c>
      <c r="J156" s="168">
        <f t="shared" si="14"/>
        <v>-2</v>
      </c>
      <c r="K156" s="168">
        <f t="shared" si="12"/>
        <v>-20</v>
      </c>
      <c r="L156" s="168"/>
      <c r="M156" s="170">
        <f t="shared" si="13"/>
        <v>0</v>
      </c>
    </row>
    <row r="157" spans="1:13">
      <c r="A157" s="185"/>
      <c r="G157" s="156"/>
      <c r="H157" s="168">
        <v>152</v>
      </c>
      <c r="I157" s="169" t="str">
        <f t="shared" si="11"/>
        <v/>
      </c>
      <c r="J157" s="168">
        <f t="shared" si="14"/>
        <v>-2</v>
      </c>
      <c r="K157" s="168">
        <f t="shared" si="12"/>
        <v>-20</v>
      </c>
      <c r="L157" s="168"/>
      <c r="M157" s="170">
        <f t="shared" si="13"/>
        <v>0</v>
      </c>
    </row>
    <row r="158" spans="1:13">
      <c r="A158" s="185"/>
      <c r="G158" s="156"/>
      <c r="H158" s="168">
        <v>153</v>
      </c>
      <c r="I158" s="169" t="str">
        <f t="shared" si="11"/>
        <v/>
      </c>
      <c r="J158" s="168">
        <f t="shared" si="14"/>
        <v>-2</v>
      </c>
      <c r="K158" s="168">
        <f t="shared" si="12"/>
        <v>-20</v>
      </c>
      <c r="L158" s="168"/>
      <c r="M158" s="170">
        <f t="shared" si="13"/>
        <v>0</v>
      </c>
    </row>
    <row r="159" spans="1:13">
      <c r="A159" s="185"/>
      <c r="G159" s="156"/>
      <c r="H159" s="168">
        <v>154</v>
      </c>
      <c r="I159" s="169" t="str">
        <f t="shared" si="11"/>
        <v/>
      </c>
      <c r="J159" s="168">
        <f t="shared" si="14"/>
        <v>-2</v>
      </c>
      <c r="K159" s="168">
        <f t="shared" si="12"/>
        <v>-20</v>
      </c>
      <c r="L159" s="168"/>
      <c r="M159" s="170">
        <f t="shared" si="13"/>
        <v>0</v>
      </c>
    </row>
    <row r="160" spans="1:13">
      <c r="A160" s="185"/>
      <c r="G160" s="156"/>
      <c r="H160" s="168">
        <v>155</v>
      </c>
      <c r="I160" s="169" t="str">
        <f t="shared" si="11"/>
        <v/>
      </c>
      <c r="J160" s="168">
        <f t="shared" si="14"/>
        <v>-2</v>
      </c>
      <c r="K160" s="168">
        <f t="shared" si="12"/>
        <v>-20</v>
      </c>
      <c r="L160" s="168"/>
      <c r="M160" s="170">
        <f t="shared" si="13"/>
        <v>0</v>
      </c>
    </row>
    <row r="161" spans="1:13">
      <c r="A161" s="185"/>
      <c r="G161" s="156"/>
      <c r="H161" s="168">
        <v>156</v>
      </c>
      <c r="I161" s="169" t="str">
        <f t="shared" si="11"/>
        <v/>
      </c>
      <c r="J161" s="168">
        <f t="shared" si="14"/>
        <v>-2</v>
      </c>
      <c r="K161" s="168">
        <f t="shared" si="12"/>
        <v>-20</v>
      </c>
      <c r="L161" s="168"/>
      <c r="M161" s="170">
        <f t="shared" si="13"/>
        <v>0</v>
      </c>
    </row>
    <row r="162" spans="1:13">
      <c r="A162" s="185"/>
      <c r="G162" s="156"/>
      <c r="H162" s="168">
        <v>157</v>
      </c>
      <c r="I162" s="169" t="str">
        <f t="shared" si="11"/>
        <v/>
      </c>
      <c r="J162" s="168">
        <f t="shared" si="14"/>
        <v>-2</v>
      </c>
      <c r="K162" s="168">
        <f t="shared" si="12"/>
        <v>-20</v>
      </c>
      <c r="L162" s="168"/>
      <c r="M162" s="170">
        <f t="shared" si="13"/>
        <v>0</v>
      </c>
    </row>
    <row r="163" spans="1:13">
      <c r="A163" s="185"/>
      <c r="G163" s="156"/>
      <c r="H163" s="168">
        <v>158</v>
      </c>
      <c r="I163" s="169" t="str">
        <f t="shared" si="11"/>
        <v/>
      </c>
      <c r="J163" s="168">
        <f t="shared" si="14"/>
        <v>-2</v>
      </c>
      <c r="K163" s="168">
        <f t="shared" si="12"/>
        <v>-20</v>
      </c>
      <c r="L163" s="168"/>
      <c r="M163" s="170">
        <f t="shared" si="13"/>
        <v>0</v>
      </c>
    </row>
    <row r="164" spans="1:13">
      <c r="A164" s="185"/>
      <c r="G164" s="156"/>
      <c r="H164" s="168">
        <v>159</v>
      </c>
      <c r="I164" s="169" t="str">
        <f t="shared" si="11"/>
        <v/>
      </c>
      <c r="J164" s="168">
        <f t="shared" si="14"/>
        <v>-2</v>
      </c>
      <c r="K164" s="168">
        <f t="shared" si="12"/>
        <v>-20</v>
      </c>
      <c r="L164" s="168"/>
      <c r="M164" s="170">
        <f t="shared" si="13"/>
        <v>0</v>
      </c>
    </row>
    <row r="165" spans="1:13">
      <c r="A165" s="185"/>
      <c r="G165" s="156"/>
      <c r="H165" s="168">
        <v>160</v>
      </c>
      <c r="I165" s="169" t="str">
        <f t="shared" si="11"/>
        <v/>
      </c>
      <c r="J165" s="168">
        <f t="shared" si="14"/>
        <v>-2</v>
      </c>
      <c r="K165" s="168">
        <f t="shared" si="12"/>
        <v>-20</v>
      </c>
      <c r="L165" s="168"/>
      <c r="M165" s="170">
        <f t="shared" si="13"/>
        <v>0</v>
      </c>
    </row>
    <row r="166" spans="1:13">
      <c r="A166" s="185"/>
      <c r="G166" s="156"/>
      <c r="H166" s="168">
        <v>161</v>
      </c>
      <c r="I166" s="169" t="str">
        <f t="shared" si="11"/>
        <v/>
      </c>
      <c r="J166" s="168">
        <f t="shared" si="14"/>
        <v>-2</v>
      </c>
      <c r="K166" s="168">
        <f t="shared" si="12"/>
        <v>-20</v>
      </c>
      <c r="L166" s="168"/>
      <c r="M166" s="170">
        <f t="shared" si="13"/>
        <v>0</v>
      </c>
    </row>
    <row r="167" spans="1:13">
      <c r="A167" s="185"/>
      <c r="G167" s="156"/>
      <c r="H167" s="168">
        <v>162</v>
      </c>
      <c r="I167" s="169" t="str">
        <f t="shared" si="11"/>
        <v/>
      </c>
      <c r="J167" s="168">
        <f t="shared" si="14"/>
        <v>-2</v>
      </c>
      <c r="K167" s="168">
        <f t="shared" si="12"/>
        <v>-20</v>
      </c>
      <c r="L167" s="168"/>
      <c r="M167" s="170">
        <f t="shared" si="13"/>
        <v>0</v>
      </c>
    </row>
    <row r="168" spans="1:13">
      <c r="A168" s="185"/>
      <c r="G168" s="156"/>
      <c r="H168" s="168">
        <v>163</v>
      </c>
      <c r="I168" s="169" t="str">
        <f t="shared" si="11"/>
        <v/>
      </c>
      <c r="J168" s="168">
        <f t="shared" si="14"/>
        <v>-2</v>
      </c>
      <c r="K168" s="168">
        <f t="shared" si="12"/>
        <v>-20</v>
      </c>
      <c r="L168" s="168"/>
      <c r="M168" s="170">
        <f t="shared" si="13"/>
        <v>0</v>
      </c>
    </row>
    <row r="169" spans="1:13">
      <c r="A169" s="185"/>
      <c r="C169" s="184" t="s">
        <v>99</v>
      </c>
      <c r="G169" s="156"/>
      <c r="H169" s="168">
        <v>164</v>
      </c>
      <c r="I169" s="169" t="str">
        <f t="shared" si="11"/>
        <v/>
      </c>
      <c r="J169" s="168">
        <f t="shared" si="14"/>
        <v>-2</v>
      </c>
      <c r="K169" s="168">
        <f t="shared" si="12"/>
        <v>-20</v>
      </c>
      <c r="L169" s="168"/>
      <c r="M169" s="170">
        <f t="shared" si="13"/>
        <v>0</v>
      </c>
    </row>
    <row r="170" spans="1:13">
      <c r="A170" s="185"/>
      <c r="G170" s="156"/>
      <c r="H170" s="168">
        <v>165</v>
      </c>
      <c r="I170" s="169" t="str">
        <f t="shared" si="11"/>
        <v/>
      </c>
      <c r="J170" s="168">
        <f t="shared" si="14"/>
        <v>-2</v>
      </c>
      <c r="K170" s="168">
        <f t="shared" si="12"/>
        <v>-20</v>
      </c>
      <c r="L170" s="168"/>
      <c r="M170" s="170">
        <f t="shared" si="13"/>
        <v>0</v>
      </c>
    </row>
    <row r="171" spans="1:13">
      <c r="A171" s="185"/>
      <c r="G171" s="156"/>
      <c r="H171" s="168">
        <v>166</v>
      </c>
      <c r="I171" s="169" t="str">
        <f t="shared" si="11"/>
        <v/>
      </c>
      <c r="J171" s="168">
        <f t="shared" si="14"/>
        <v>-2</v>
      </c>
      <c r="K171" s="168">
        <f t="shared" si="12"/>
        <v>-20</v>
      </c>
      <c r="L171" s="168"/>
      <c r="M171" s="170">
        <f t="shared" si="13"/>
        <v>0</v>
      </c>
    </row>
    <row r="172" spans="1:13">
      <c r="A172" s="185"/>
      <c r="G172" s="156"/>
      <c r="H172" s="168">
        <v>167</v>
      </c>
      <c r="I172" s="169" t="str">
        <f t="shared" si="11"/>
        <v/>
      </c>
      <c r="J172" s="168">
        <f t="shared" si="14"/>
        <v>-2</v>
      </c>
      <c r="K172" s="168">
        <f t="shared" si="12"/>
        <v>-20</v>
      </c>
      <c r="L172" s="168"/>
      <c r="M172" s="170">
        <f t="shared" si="13"/>
        <v>0</v>
      </c>
    </row>
    <row r="173" spans="1:13">
      <c r="A173" s="185"/>
      <c r="G173" s="156"/>
      <c r="H173" s="168">
        <v>168</v>
      </c>
      <c r="I173" s="169" t="str">
        <f t="shared" si="11"/>
        <v/>
      </c>
      <c r="J173" s="168">
        <f t="shared" si="14"/>
        <v>-2</v>
      </c>
      <c r="K173" s="168">
        <f t="shared" si="12"/>
        <v>-20</v>
      </c>
      <c r="L173" s="168"/>
      <c r="M173" s="170">
        <f t="shared" si="13"/>
        <v>0</v>
      </c>
    </row>
    <row r="174" spans="1:13">
      <c r="A174" s="185"/>
      <c r="G174" s="156"/>
      <c r="H174" s="168">
        <v>169</v>
      </c>
      <c r="I174" s="169" t="str">
        <f t="shared" si="11"/>
        <v/>
      </c>
      <c r="J174" s="168">
        <f t="shared" si="14"/>
        <v>-2</v>
      </c>
      <c r="K174" s="168">
        <f t="shared" si="12"/>
        <v>-20</v>
      </c>
      <c r="L174" s="168"/>
      <c r="M174" s="170">
        <f t="shared" si="13"/>
        <v>0</v>
      </c>
    </row>
    <row r="175" spans="1:13">
      <c r="A175" s="185"/>
      <c r="G175" s="156"/>
      <c r="H175" s="168">
        <v>170</v>
      </c>
      <c r="I175" s="169" t="str">
        <f t="shared" si="11"/>
        <v/>
      </c>
      <c r="J175" s="168">
        <f t="shared" si="14"/>
        <v>-2</v>
      </c>
      <c r="K175" s="168">
        <f t="shared" si="12"/>
        <v>-20</v>
      </c>
      <c r="L175" s="168"/>
      <c r="M175" s="170">
        <f t="shared" si="13"/>
        <v>0</v>
      </c>
    </row>
    <row r="176" spans="1:13">
      <c r="A176" s="185"/>
      <c r="G176" s="156"/>
      <c r="H176" s="168">
        <v>171</v>
      </c>
      <c r="I176" s="169" t="str">
        <f t="shared" si="11"/>
        <v/>
      </c>
      <c r="J176" s="168">
        <f t="shared" si="14"/>
        <v>-2</v>
      </c>
      <c r="K176" s="168">
        <f t="shared" si="12"/>
        <v>-20</v>
      </c>
      <c r="L176" s="168"/>
      <c r="M176" s="170">
        <f t="shared" si="13"/>
        <v>0</v>
      </c>
    </row>
    <row r="177" spans="1:13">
      <c r="A177" s="185"/>
      <c r="G177" s="156"/>
      <c r="H177" s="168">
        <v>172</v>
      </c>
      <c r="I177" s="169" t="str">
        <f t="shared" si="11"/>
        <v/>
      </c>
      <c r="J177" s="168">
        <f t="shared" si="14"/>
        <v>-2</v>
      </c>
      <c r="K177" s="168">
        <f t="shared" si="12"/>
        <v>-20</v>
      </c>
      <c r="L177" s="168"/>
      <c r="M177" s="170">
        <f t="shared" si="13"/>
        <v>0</v>
      </c>
    </row>
    <row r="178" spans="1:13">
      <c r="A178" s="185"/>
      <c r="G178" s="156"/>
      <c r="H178" s="168">
        <v>173</v>
      </c>
      <c r="I178" s="169" t="str">
        <f t="shared" si="11"/>
        <v/>
      </c>
      <c r="J178" s="168">
        <f t="shared" si="14"/>
        <v>-2</v>
      </c>
      <c r="K178" s="168">
        <f t="shared" si="12"/>
        <v>-20</v>
      </c>
      <c r="L178" s="168"/>
      <c r="M178" s="170">
        <f t="shared" si="13"/>
        <v>0</v>
      </c>
    </row>
    <row r="179" spans="1:13">
      <c r="A179" s="185"/>
      <c r="G179" s="156"/>
      <c r="H179" s="168">
        <v>174</v>
      </c>
      <c r="I179" s="169" t="str">
        <f t="shared" si="11"/>
        <v/>
      </c>
      <c r="J179" s="168">
        <f t="shared" si="14"/>
        <v>-2</v>
      </c>
      <c r="K179" s="168">
        <f t="shared" si="12"/>
        <v>-20</v>
      </c>
      <c r="L179" s="168"/>
      <c r="M179" s="170">
        <f t="shared" si="13"/>
        <v>0</v>
      </c>
    </row>
    <row r="180" spans="1:13">
      <c r="A180" s="185"/>
      <c r="G180" s="156"/>
      <c r="H180" s="168">
        <v>175</v>
      </c>
      <c r="I180" s="169" t="str">
        <f t="shared" si="11"/>
        <v/>
      </c>
      <c r="J180" s="168">
        <f t="shared" si="14"/>
        <v>-2</v>
      </c>
      <c r="K180" s="168">
        <f t="shared" si="12"/>
        <v>-20</v>
      </c>
      <c r="L180" s="168"/>
      <c r="M180" s="170">
        <f t="shared" si="13"/>
        <v>0</v>
      </c>
    </row>
    <row r="181" spans="1:13">
      <c r="A181" s="185"/>
      <c r="G181" s="156"/>
      <c r="H181" s="168">
        <v>176</v>
      </c>
      <c r="I181" s="169" t="str">
        <f t="shared" si="11"/>
        <v/>
      </c>
      <c r="J181" s="168">
        <f t="shared" si="14"/>
        <v>-2</v>
      </c>
      <c r="K181" s="168">
        <f t="shared" si="12"/>
        <v>-20</v>
      </c>
      <c r="L181" s="168"/>
      <c r="M181" s="170">
        <f t="shared" si="13"/>
        <v>0</v>
      </c>
    </row>
    <row r="182" spans="1:13">
      <c r="A182" s="185"/>
      <c r="G182" s="156"/>
      <c r="H182" s="168">
        <v>177</v>
      </c>
      <c r="I182" s="169" t="str">
        <f t="shared" si="11"/>
        <v/>
      </c>
      <c r="J182" s="168">
        <f t="shared" si="14"/>
        <v>-2</v>
      </c>
      <c r="K182" s="168">
        <f t="shared" si="12"/>
        <v>-20</v>
      </c>
      <c r="L182" s="168"/>
      <c r="M182" s="170">
        <f t="shared" si="13"/>
        <v>0</v>
      </c>
    </row>
    <row r="183" spans="1:13">
      <c r="A183" s="185"/>
      <c r="G183" s="156"/>
      <c r="H183" s="168">
        <v>178</v>
      </c>
      <c r="I183" s="169" t="str">
        <f t="shared" si="11"/>
        <v/>
      </c>
      <c r="J183" s="168">
        <f t="shared" si="14"/>
        <v>-2</v>
      </c>
      <c r="K183" s="168">
        <f t="shared" si="12"/>
        <v>-20</v>
      </c>
      <c r="L183" s="168"/>
      <c r="M183" s="170">
        <f t="shared" si="13"/>
        <v>0</v>
      </c>
    </row>
    <row r="184" spans="1:13">
      <c r="A184" s="185"/>
      <c r="G184" s="156"/>
      <c r="H184" s="168">
        <v>179</v>
      </c>
      <c r="I184" s="169" t="str">
        <f t="shared" si="11"/>
        <v/>
      </c>
      <c r="J184" s="168">
        <f t="shared" si="14"/>
        <v>-2</v>
      </c>
      <c r="K184" s="168">
        <f t="shared" si="12"/>
        <v>-20</v>
      </c>
      <c r="L184" s="168"/>
      <c r="M184" s="170">
        <f t="shared" si="13"/>
        <v>0</v>
      </c>
    </row>
    <row r="185" spans="1:13">
      <c r="A185" s="185"/>
      <c r="G185" s="156"/>
      <c r="H185" s="168">
        <v>180</v>
      </c>
      <c r="I185" s="169" t="str">
        <f t="shared" si="11"/>
        <v/>
      </c>
      <c r="J185" s="168">
        <f t="shared" si="14"/>
        <v>-2</v>
      </c>
      <c r="K185" s="168">
        <f t="shared" si="12"/>
        <v>-20</v>
      </c>
      <c r="L185" s="168"/>
      <c r="M185" s="170">
        <f t="shared" si="13"/>
        <v>0</v>
      </c>
    </row>
    <row r="186" spans="1:13">
      <c r="A186" s="185"/>
      <c r="G186" s="156"/>
      <c r="H186" s="168">
        <v>181</v>
      </c>
      <c r="I186" s="169" t="str">
        <f t="shared" si="11"/>
        <v/>
      </c>
      <c r="J186" s="168">
        <f t="shared" si="14"/>
        <v>-2</v>
      </c>
      <c r="K186" s="168">
        <f t="shared" si="12"/>
        <v>-20</v>
      </c>
      <c r="L186" s="168"/>
      <c r="M186" s="170">
        <f t="shared" si="13"/>
        <v>0</v>
      </c>
    </row>
    <row r="187" spans="1:13">
      <c r="A187" s="185"/>
      <c r="G187" s="156"/>
      <c r="H187" s="168">
        <v>182</v>
      </c>
      <c r="I187" s="169" t="str">
        <f t="shared" si="11"/>
        <v/>
      </c>
      <c r="J187" s="168">
        <f t="shared" si="14"/>
        <v>-2</v>
      </c>
      <c r="K187" s="168">
        <f t="shared" si="12"/>
        <v>-20</v>
      </c>
      <c r="L187" s="168"/>
      <c r="M187" s="170">
        <f t="shared" si="13"/>
        <v>0</v>
      </c>
    </row>
    <row r="188" spans="1:13">
      <c r="A188" s="185"/>
      <c r="G188" s="156"/>
      <c r="H188" s="168">
        <v>183</v>
      </c>
      <c r="I188" s="169" t="str">
        <f t="shared" si="11"/>
        <v/>
      </c>
      <c r="J188" s="168">
        <f t="shared" si="14"/>
        <v>-2</v>
      </c>
      <c r="K188" s="168">
        <f t="shared" si="12"/>
        <v>-20</v>
      </c>
      <c r="L188" s="168"/>
      <c r="M188" s="170">
        <f t="shared" si="13"/>
        <v>0</v>
      </c>
    </row>
    <row r="189" spans="1:13">
      <c r="A189" s="185"/>
      <c r="G189" s="156"/>
      <c r="H189" s="168">
        <v>184</v>
      </c>
      <c r="I189" s="169" t="str">
        <f t="shared" si="11"/>
        <v/>
      </c>
      <c r="J189" s="168">
        <f t="shared" si="14"/>
        <v>-2</v>
      </c>
      <c r="K189" s="168">
        <f t="shared" si="12"/>
        <v>-20</v>
      </c>
      <c r="L189" s="168"/>
      <c r="M189" s="170">
        <f t="shared" si="13"/>
        <v>0</v>
      </c>
    </row>
    <row r="190" spans="1:13">
      <c r="A190" s="185"/>
      <c r="G190" s="156"/>
      <c r="H190" s="168">
        <v>185</v>
      </c>
      <c r="I190" s="169" t="str">
        <f t="shared" si="11"/>
        <v/>
      </c>
      <c r="J190" s="168">
        <f t="shared" si="14"/>
        <v>-2</v>
      </c>
      <c r="K190" s="168">
        <f t="shared" si="12"/>
        <v>-20</v>
      </c>
      <c r="L190" s="168"/>
      <c r="M190" s="170">
        <f t="shared" si="13"/>
        <v>0</v>
      </c>
    </row>
    <row r="191" spans="1:13">
      <c r="A191" s="185"/>
      <c r="G191" s="156"/>
      <c r="H191" s="168">
        <v>186</v>
      </c>
      <c r="I191" s="169" t="str">
        <f t="shared" si="11"/>
        <v/>
      </c>
      <c r="J191" s="168">
        <f t="shared" si="14"/>
        <v>-2</v>
      </c>
      <c r="K191" s="168">
        <f t="shared" si="12"/>
        <v>-20</v>
      </c>
      <c r="L191" s="168"/>
      <c r="M191" s="170">
        <f t="shared" si="13"/>
        <v>0</v>
      </c>
    </row>
    <row r="192" spans="1:13">
      <c r="A192" s="185"/>
      <c r="G192" s="156"/>
      <c r="H192" s="168">
        <v>187</v>
      </c>
      <c r="I192" s="169" t="str">
        <f t="shared" si="11"/>
        <v/>
      </c>
      <c r="J192" s="168">
        <f t="shared" si="14"/>
        <v>-2</v>
      </c>
      <c r="K192" s="168">
        <f t="shared" si="12"/>
        <v>-20</v>
      </c>
      <c r="L192" s="168"/>
      <c r="M192" s="170">
        <f t="shared" si="13"/>
        <v>0</v>
      </c>
    </row>
    <row r="193" spans="1:13">
      <c r="A193" s="185"/>
      <c r="G193" s="156"/>
      <c r="H193" s="168">
        <v>188</v>
      </c>
      <c r="I193" s="169" t="str">
        <f t="shared" si="11"/>
        <v/>
      </c>
      <c r="J193" s="168">
        <f t="shared" si="14"/>
        <v>-2</v>
      </c>
      <c r="K193" s="168">
        <f t="shared" si="12"/>
        <v>-20</v>
      </c>
      <c r="L193" s="168"/>
      <c r="M193" s="170">
        <f t="shared" si="13"/>
        <v>0</v>
      </c>
    </row>
    <row r="194" spans="1:13">
      <c r="A194" s="185"/>
      <c r="G194" s="156"/>
      <c r="H194" s="168">
        <v>189</v>
      </c>
      <c r="I194" s="169" t="str">
        <f t="shared" si="11"/>
        <v/>
      </c>
      <c r="J194" s="168">
        <f t="shared" si="14"/>
        <v>-2</v>
      </c>
      <c r="K194" s="168">
        <f t="shared" si="12"/>
        <v>-20</v>
      </c>
      <c r="L194" s="168"/>
      <c r="M194" s="170">
        <f t="shared" si="13"/>
        <v>0</v>
      </c>
    </row>
    <row r="195" spans="1:13">
      <c r="A195" s="185"/>
      <c r="G195" s="156"/>
      <c r="H195" s="168">
        <v>190</v>
      </c>
      <c r="I195" s="169" t="str">
        <f t="shared" si="11"/>
        <v/>
      </c>
      <c r="J195" s="168">
        <f t="shared" si="14"/>
        <v>-2</v>
      </c>
      <c r="K195" s="168">
        <f t="shared" si="12"/>
        <v>-20</v>
      </c>
      <c r="L195" s="168"/>
      <c r="M195" s="170">
        <f t="shared" si="13"/>
        <v>0</v>
      </c>
    </row>
    <row r="196" spans="1:13">
      <c r="A196" s="185"/>
      <c r="G196" s="156"/>
      <c r="H196" s="168">
        <v>191</v>
      </c>
      <c r="I196" s="169" t="str">
        <f t="shared" si="11"/>
        <v/>
      </c>
      <c r="J196" s="168">
        <f t="shared" si="14"/>
        <v>-2</v>
      </c>
      <c r="K196" s="168">
        <f t="shared" si="12"/>
        <v>-20</v>
      </c>
      <c r="L196" s="168"/>
      <c r="M196" s="170">
        <f t="shared" si="13"/>
        <v>0</v>
      </c>
    </row>
    <row r="197" spans="1:13">
      <c r="A197" s="185"/>
      <c r="G197" s="156"/>
      <c r="H197" s="168">
        <v>192</v>
      </c>
      <c r="I197" s="169" t="str">
        <f t="shared" si="11"/>
        <v/>
      </c>
      <c r="J197" s="168">
        <f t="shared" si="14"/>
        <v>-2</v>
      </c>
      <c r="K197" s="168">
        <f t="shared" si="12"/>
        <v>-20</v>
      </c>
      <c r="L197" s="168"/>
      <c r="M197" s="170">
        <f t="shared" si="13"/>
        <v>0</v>
      </c>
    </row>
    <row r="198" spans="1:13">
      <c r="A198" s="185"/>
      <c r="G198" s="156"/>
      <c r="H198" s="168">
        <v>193</v>
      </c>
      <c r="I198" s="169" t="str">
        <f t="shared" ref="I198:I261" si="15">IF(H198&lt;$H$2+1,($I$2-($I$2-1)*(LOG(H198)/LOG($H$2))),"")</f>
        <v/>
      </c>
      <c r="J198" s="168">
        <f t="shared" si="14"/>
        <v>-2</v>
      </c>
      <c r="K198" s="168">
        <f t="shared" ref="K198:K261" si="16">J198*$J$2</f>
        <v>-20</v>
      </c>
      <c r="L198" s="168"/>
      <c r="M198" s="170">
        <f t="shared" ref="M198:M261" si="17">IF(I198&lt;&gt;"",K198+I198+L198,0)</f>
        <v>0</v>
      </c>
    </row>
    <row r="199" spans="1:13">
      <c r="A199" s="185"/>
      <c r="G199" s="156"/>
      <c r="H199" s="168">
        <v>194</v>
      </c>
      <c r="I199" s="169" t="str">
        <f t="shared" si="15"/>
        <v/>
      </c>
      <c r="J199" s="168">
        <f t="shared" ref="J199:J262" si="18">INT(LOG($H$2,2))-ROUNDUP(LOG(H199,2),0)+IF(OR($H$2=1,$H$2=2,$H$2=4,$H$2=8,$H$2=16,$H$2=32,$H$2=64,$H$2=128,$H$2=256),0,1)</f>
        <v>-2</v>
      </c>
      <c r="K199" s="168">
        <f t="shared" si="16"/>
        <v>-20</v>
      </c>
      <c r="L199" s="168"/>
      <c r="M199" s="170">
        <f t="shared" si="17"/>
        <v>0</v>
      </c>
    </row>
    <row r="200" spans="1:13">
      <c r="A200" s="185"/>
      <c r="G200" s="156"/>
      <c r="H200" s="168">
        <v>195</v>
      </c>
      <c r="I200" s="169" t="str">
        <f t="shared" si="15"/>
        <v/>
      </c>
      <c r="J200" s="168">
        <f t="shared" si="18"/>
        <v>-2</v>
      </c>
      <c r="K200" s="168">
        <f t="shared" si="16"/>
        <v>-20</v>
      </c>
      <c r="L200" s="168"/>
      <c r="M200" s="170">
        <f t="shared" si="17"/>
        <v>0</v>
      </c>
    </row>
    <row r="201" spans="1:13">
      <c r="A201" s="185"/>
      <c r="G201" s="156"/>
      <c r="H201" s="168">
        <v>196</v>
      </c>
      <c r="I201" s="169" t="str">
        <f t="shared" si="15"/>
        <v/>
      </c>
      <c r="J201" s="168">
        <f t="shared" si="18"/>
        <v>-2</v>
      </c>
      <c r="K201" s="168">
        <f t="shared" si="16"/>
        <v>-20</v>
      </c>
      <c r="L201" s="168"/>
      <c r="M201" s="170">
        <f t="shared" si="17"/>
        <v>0</v>
      </c>
    </row>
    <row r="202" spans="1:13">
      <c r="A202" s="185"/>
      <c r="G202" s="156"/>
      <c r="H202" s="168">
        <v>197</v>
      </c>
      <c r="I202" s="169" t="str">
        <f t="shared" si="15"/>
        <v/>
      </c>
      <c r="J202" s="168">
        <f t="shared" si="18"/>
        <v>-2</v>
      </c>
      <c r="K202" s="168">
        <f t="shared" si="16"/>
        <v>-20</v>
      </c>
      <c r="L202" s="168"/>
      <c r="M202" s="170">
        <f t="shared" si="17"/>
        <v>0</v>
      </c>
    </row>
    <row r="203" spans="1:13">
      <c r="A203" s="185"/>
      <c r="G203" s="156"/>
      <c r="H203" s="168">
        <v>198</v>
      </c>
      <c r="I203" s="169" t="str">
        <f t="shared" si="15"/>
        <v/>
      </c>
      <c r="J203" s="168">
        <f t="shared" si="18"/>
        <v>-2</v>
      </c>
      <c r="K203" s="168">
        <f t="shared" si="16"/>
        <v>-20</v>
      </c>
      <c r="L203" s="168"/>
      <c r="M203" s="170">
        <f t="shared" si="17"/>
        <v>0</v>
      </c>
    </row>
    <row r="204" spans="1:13">
      <c r="A204" s="185"/>
      <c r="G204" s="156"/>
      <c r="H204" s="168">
        <v>199</v>
      </c>
      <c r="I204" s="169" t="str">
        <f t="shared" si="15"/>
        <v/>
      </c>
      <c r="J204" s="168">
        <f t="shared" si="18"/>
        <v>-2</v>
      </c>
      <c r="K204" s="168">
        <f t="shared" si="16"/>
        <v>-20</v>
      </c>
      <c r="L204" s="168"/>
      <c r="M204" s="170">
        <f t="shared" si="17"/>
        <v>0</v>
      </c>
    </row>
    <row r="205" spans="1:13">
      <c r="A205" s="185"/>
      <c r="G205" s="156"/>
      <c r="H205" s="168">
        <v>200</v>
      </c>
      <c r="I205" s="169" t="str">
        <f t="shared" si="15"/>
        <v/>
      </c>
      <c r="J205" s="168">
        <f t="shared" si="18"/>
        <v>-2</v>
      </c>
      <c r="K205" s="168">
        <f t="shared" si="16"/>
        <v>-20</v>
      </c>
      <c r="L205" s="168"/>
      <c r="M205" s="170">
        <f t="shared" si="17"/>
        <v>0</v>
      </c>
    </row>
    <row r="206" spans="1:13">
      <c r="A206" s="185"/>
      <c r="G206" s="156"/>
      <c r="H206" s="168">
        <v>201</v>
      </c>
      <c r="I206" s="169" t="str">
        <f t="shared" si="15"/>
        <v/>
      </c>
      <c r="J206" s="168">
        <f t="shared" si="18"/>
        <v>-2</v>
      </c>
      <c r="K206" s="168">
        <f t="shared" si="16"/>
        <v>-20</v>
      </c>
      <c r="L206" s="168"/>
      <c r="M206" s="170">
        <f t="shared" si="17"/>
        <v>0</v>
      </c>
    </row>
    <row r="207" spans="1:13">
      <c r="A207" s="185"/>
      <c r="G207" s="156"/>
      <c r="H207" s="168">
        <v>202</v>
      </c>
      <c r="I207" s="169" t="str">
        <f t="shared" si="15"/>
        <v/>
      </c>
      <c r="J207" s="168">
        <f t="shared" si="18"/>
        <v>-2</v>
      </c>
      <c r="K207" s="168">
        <f t="shared" si="16"/>
        <v>-20</v>
      </c>
      <c r="L207" s="168"/>
      <c r="M207" s="170">
        <f t="shared" si="17"/>
        <v>0</v>
      </c>
    </row>
    <row r="208" spans="1:13">
      <c r="A208" s="185"/>
      <c r="G208" s="156"/>
      <c r="H208" s="168">
        <v>203</v>
      </c>
      <c r="I208" s="169" t="str">
        <f t="shared" si="15"/>
        <v/>
      </c>
      <c r="J208" s="168">
        <f t="shared" si="18"/>
        <v>-2</v>
      </c>
      <c r="K208" s="168">
        <f t="shared" si="16"/>
        <v>-20</v>
      </c>
      <c r="L208" s="168"/>
      <c r="M208" s="170">
        <f t="shared" si="17"/>
        <v>0</v>
      </c>
    </row>
    <row r="209" spans="1:13">
      <c r="A209" s="185"/>
      <c r="G209" s="156"/>
      <c r="H209" s="168">
        <v>204</v>
      </c>
      <c r="I209" s="169" t="str">
        <f t="shared" si="15"/>
        <v/>
      </c>
      <c r="J209" s="168">
        <f t="shared" si="18"/>
        <v>-2</v>
      </c>
      <c r="K209" s="168">
        <f t="shared" si="16"/>
        <v>-20</v>
      </c>
      <c r="L209" s="168"/>
      <c r="M209" s="170">
        <f t="shared" si="17"/>
        <v>0</v>
      </c>
    </row>
    <row r="210" spans="1:13">
      <c r="A210" s="185"/>
      <c r="G210" s="156"/>
      <c r="H210" s="168">
        <v>205</v>
      </c>
      <c r="I210" s="169" t="str">
        <f t="shared" si="15"/>
        <v/>
      </c>
      <c r="J210" s="168">
        <f t="shared" si="18"/>
        <v>-2</v>
      </c>
      <c r="K210" s="168">
        <f t="shared" si="16"/>
        <v>-20</v>
      </c>
      <c r="L210" s="168"/>
      <c r="M210" s="170">
        <f t="shared" si="17"/>
        <v>0</v>
      </c>
    </row>
    <row r="211" spans="1:13">
      <c r="A211" s="185"/>
      <c r="G211" s="156"/>
      <c r="H211" s="168">
        <v>206</v>
      </c>
      <c r="I211" s="169" t="str">
        <f t="shared" si="15"/>
        <v/>
      </c>
      <c r="J211" s="168">
        <f t="shared" si="18"/>
        <v>-2</v>
      </c>
      <c r="K211" s="168">
        <f t="shared" si="16"/>
        <v>-20</v>
      </c>
      <c r="L211" s="168"/>
      <c r="M211" s="170">
        <f t="shared" si="17"/>
        <v>0</v>
      </c>
    </row>
    <row r="212" spans="1:13">
      <c r="A212" s="185"/>
      <c r="G212" s="156"/>
      <c r="H212" s="168">
        <v>207</v>
      </c>
      <c r="I212" s="169" t="str">
        <f t="shared" si="15"/>
        <v/>
      </c>
      <c r="J212" s="168">
        <f t="shared" si="18"/>
        <v>-2</v>
      </c>
      <c r="K212" s="168">
        <f t="shared" si="16"/>
        <v>-20</v>
      </c>
      <c r="L212" s="168"/>
      <c r="M212" s="170">
        <f t="shared" si="17"/>
        <v>0</v>
      </c>
    </row>
    <row r="213" spans="1:13">
      <c r="A213" s="185"/>
      <c r="G213" s="156"/>
      <c r="H213" s="168">
        <v>208</v>
      </c>
      <c r="I213" s="169" t="str">
        <f t="shared" si="15"/>
        <v/>
      </c>
      <c r="J213" s="168">
        <f t="shared" si="18"/>
        <v>-2</v>
      </c>
      <c r="K213" s="168">
        <f t="shared" si="16"/>
        <v>-20</v>
      </c>
      <c r="L213" s="168"/>
      <c r="M213" s="170">
        <f t="shared" si="17"/>
        <v>0</v>
      </c>
    </row>
    <row r="214" spans="1:13">
      <c r="A214" s="185"/>
      <c r="G214" s="156"/>
      <c r="H214" s="168">
        <v>209</v>
      </c>
      <c r="I214" s="169" t="str">
        <f t="shared" si="15"/>
        <v/>
      </c>
      <c r="J214" s="168">
        <f t="shared" si="18"/>
        <v>-2</v>
      </c>
      <c r="K214" s="168">
        <f t="shared" si="16"/>
        <v>-20</v>
      </c>
      <c r="L214" s="168"/>
      <c r="M214" s="170">
        <f t="shared" si="17"/>
        <v>0</v>
      </c>
    </row>
    <row r="215" spans="1:13">
      <c r="A215" s="185"/>
      <c r="G215" s="156"/>
      <c r="H215" s="168">
        <v>210</v>
      </c>
      <c r="I215" s="169" t="str">
        <f t="shared" si="15"/>
        <v/>
      </c>
      <c r="J215" s="168">
        <f t="shared" si="18"/>
        <v>-2</v>
      </c>
      <c r="K215" s="168">
        <f t="shared" si="16"/>
        <v>-20</v>
      </c>
      <c r="L215" s="168"/>
      <c r="M215" s="170">
        <f t="shared" si="17"/>
        <v>0</v>
      </c>
    </row>
    <row r="216" spans="1:13">
      <c r="A216" s="185"/>
      <c r="G216" s="156"/>
      <c r="H216" s="168">
        <v>211</v>
      </c>
      <c r="I216" s="169" t="str">
        <f t="shared" si="15"/>
        <v/>
      </c>
      <c r="J216" s="168">
        <f t="shared" si="18"/>
        <v>-2</v>
      </c>
      <c r="K216" s="168">
        <f t="shared" si="16"/>
        <v>-20</v>
      </c>
      <c r="L216" s="168"/>
      <c r="M216" s="170">
        <f t="shared" si="17"/>
        <v>0</v>
      </c>
    </row>
    <row r="217" spans="1:13">
      <c r="A217" s="185"/>
      <c r="G217" s="156"/>
      <c r="H217" s="168">
        <v>212</v>
      </c>
      <c r="I217" s="169" t="str">
        <f t="shared" si="15"/>
        <v/>
      </c>
      <c r="J217" s="168">
        <f t="shared" si="18"/>
        <v>-2</v>
      </c>
      <c r="K217" s="168">
        <f t="shared" si="16"/>
        <v>-20</v>
      </c>
      <c r="L217" s="168"/>
      <c r="M217" s="170">
        <f t="shared" si="17"/>
        <v>0</v>
      </c>
    </row>
    <row r="218" spans="1:13">
      <c r="A218" s="185"/>
      <c r="G218" s="156"/>
      <c r="H218" s="168">
        <v>213</v>
      </c>
      <c r="I218" s="169" t="str">
        <f t="shared" si="15"/>
        <v/>
      </c>
      <c r="J218" s="168">
        <f t="shared" si="18"/>
        <v>-2</v>
      </c>
      <c r="K218" s="168">
        <f t="shared" si="16"/>
        <v>-20</v>
      </c>
      <c r="L218" s="168"/>
      <c r="M218" s="170">
        <f t="shared" si="17"/>
        <v>0</v>
      </c>
    </row>
    <row r="219" spans="1:13">
      <c r="A219" s="185"/>
      <c r="G219" s="156"/>
      <c r="H219" s="168">
        <v>214</v>
      </c>
      <c r="I219" s="169" t="str">
        <f t="shared" si="15"/>
        <v/>
      </c>
      <c r="J219" s="168">
        <f t="shared" si="18"/>
        <v>-2</v>
      </c>
      <c r="K219" s="168">
        <f t="shared" si="16"/>
        <v>-20</v>
      </c>
      <c r="L219" s="168"/>
      <c r="M219" s="170">
        <f t="shared" si="17"/>
        <v>0</v>
      </c>
    </row>
    <row r="220" spans="1:13">
      <c r="A220" s="185"/>
      <c r="G220" s="156"/>
      <c r="H220" s="168">
        <v>215</v>
      </c>
      <c r="I220" s="169" t="str">
        <f t="shared" si="15"/>
        <v/>
      </c>
      <c r="J220" s="168">
        <f t="shared" si="18"/>
        <v>-2</v>
      </c>
      <c r="K220" s="168">
        <f t="shared" si="16"/>
        <v>-20</v>
      </c>
      <c r="L220" s="168"/>
      <c r="M220" s="170">
        <f t="shared" si="17"/>
        <v>0</v>
      </c>
    </row>
    <row r="221" spans="1:13">
      <c r="A221" s="185"/>
      <c r="G221" s="156"/>
      <c r="H221" s="168">
        <v>216</v>
      </c>
      <c r="I221" s="169" t="str">
        <f t="shared" si="15"/>
        <v/>
      </c>
      <c r="J221" s="168">
        <f t="shared" si="18"/>
        <v>-2</v>
      </c>
      <c r="K221" s="168">
        <f t="shared" si="16"/>
        <v>-20</v>
      </c>
      <c r="L221" s="168"/>
      <c r="M221" s="170">
        <f t="shared" si="17"/>
        <v>0</v>
      </c>
    </row>
    <row r="222" spans="1:13">
      <c r="A222" s="185"/>
      <c r="G222" s="156"/>
      <c r="H222" s="168">
        <v>217</v>
      </c>
      <c r="I222" s="169" t="str">
        <f t="shared" si="15"/>
        <v/>
      </c>
      <c r="J222" s="168">
        <f t="shared" si="18"/>
        <v>-2</v>
      </c>
      <c r="K222" s="168">
        <f t="shared" si="16"/>
        <v>-20</v>
      </c>
      <c r="L222" s="168"/>
      <c r="M222" s="170">
        <f t="shared" si="17"/>
        <v>0</v>
      </c>
    </row>
    <row r="223" spans="1:13">
      <c r="A223" s="185"/>
      <c r="G223" s="156"/>
      <c r="H223" s="168">
        <v>218</v>
      </c>
      <c r="I223" s="169" t="str">
        <f t="shared" si="15"/>
        <v/>
      </c>
      <c r="J223" s="168">
        <f t="shared" si="18"/>
        <v>-2</v>
      </c>
      <c r="K223" s="168">
        <f t="shared" si="16"/>
        <v>-20</v>
      </c>
      <c r="L223" s="168"/>
      <c r="M223" s="170">
        <f t="shared" si="17"/>
        <v>0</v>
      </c>
    </row>
    <row r="224" spans="1:13">
      <c r="A224" s="185"/>
      <c r="G224" s="156"/>
      <c r="H224" s="168">
        <v>219</v>
      </c>
      <c r="I224" s="169" t="str">
        <f t="shared" si="15"/>
        <v/>
      </c>
      <c r="J224" s="168">
        <f t="shared" si="18"/>
        <v>-2</v>
      </c>
      <c r="K224" s="168">
        <f t="shared" si="16"/>
        <v>-20</v>
      </c>
      <c r="L224" s="168"/>
      <c r="M224" s="170">
        <f t="shared" si="17"/>
        <v>0</v>
      </c>
    </row>
    <row r="225" spans="1:13">
      <c r="A225" s="185"/>
      <c r="G225" s="156"/>
      <c r="H225" s="168">
        <v>220</v>
      </c>
      <c r="I225" s="169" t="str">
        <f t="shared" si="15"/>
        <v/>
      </c>
      <c r="J225" s="168">
        <f t="shared" si="18"/>
        <v>-2</v>
      </c>
      <c r="K225" s="168">
        <f t="shared" si="16"/>
        <v>-20</v>
      </c>
      <c r="L225" s="168"/>
      <c r="M225" s="170">
        <f t="shared" si="17"/>
        <v>0</v>
      </c>
    </row>
    <row r="226" spans="1:13">
      <c r="A226" s="185"/>
      <c r="G226" s="156"/>
      <c r="H226" s="168">
        <v>221</v>
      </c>
      <c r="I226" s="169" t="str">
        <f t="shared" si="15"/>
        <v/>
      </c>
      <c r="J226" s="168">
        <f t="shared" si="18"/>
        <v>-2</v>
      </c>
      <c r="K226" s="168">
        <f t="shared" si="16"/>
        <v>-20</v>
      </c>
      <c r="L226" s="168"/>
      <c r="M226" s="170">
        <f t="shared" si="17"/>
        <v>0</v>
      </c>
    </row>
    <row r="227" spans="1:13">
      <c r="A227" s="185"/>
      <c r="G227" s="156"/>
      <c r="H227" s="168">
        <v>222</v>
      </c>
      <c r="I227" s="169" t="str">
        <f t="shared" si="15"/>
        <v/>
      </c>
      <c r="J227" s="168">
        <f t="shared" si="18"/>
        <v>-2</v>
      </c>
      <c r="K227" s="168">
        <f t="shared" si="16"/>
        <v>-20</v>
      </c>
      <c r="L227" s="168"/>
      <c r="M227" s="170">
        <f t="shared" si="17"/>
        <v>0</v>
      </c>
    </row>
    <row r="228" spans="1:13">
      <c r="A228" s="185"/>
      <c r="G228" s="156"/>
      <c r="H228" s="168">
        <v>223</v>
      </c>
      <c r="I228" s="169" t="str">
        <f t="shared" si="15"/>
        <v/>
      </c>
      <c r="J228" s="168">
        <f t="shared" si="18"/>
        <v>-2</v>
      </c>
      <c r="K228" s="168">
        <f t="shared" si="16"/>
        <v>-20</v>
      </c>
      <c r="L228" s="168"/>
      <c r="M228" s="170">
        <f t="shared" si="17"/>
        <v>0</v>
      </c>
    </row>
    <row r="229" spans="1:13">
      <c r="A229" s="185"/>
      <c r="G229" s="156"/>
      <c r="H229" s="168">
        <v>224</v>
      </c>
      <c r="I229" s="169" t="str">
        <f t="shared" si="15"/>
        <v/>
      </c>
      <c r="J229" s="168">
        <f t="shared" si="18"/>
        <v>-2</v>
      </c>
      <c r="K229" s="168">
        <f t="shared" si="16"/>
        <v>-20</v>
      </c>
      <c r="L229" s="168"/>
      <c r="M229" s="170">
        <f t="shared" si="17"/>
        <v>0</v>
      </c>
    </row>
    <row r="230" spans="1:13">
      <c r="A230" s="185"/>
      <c r="G230" s="156"/>
      <c r="H230" s="168">
        <v>225</v>
      </c>
      <c r="I230" s="169" t="str">
        <f t="shared" si="15"/>
        <v/>
      </c>
      <c r="J230" s="168">
        <f t="shared" si="18"/>
        <v>-2</v>
      </c>
      <c r="K230" s="168">
        <f t="shared" si="16"/>
        <v>-20</v>
      </c>
      <c r="L230" s="168"/>
      <c r="M230" s="170">
        <f t="shared" si="17"/>
        <v>0</v>
      </c>
    </row>
    <row r="231" spans="1:13">
      <c r="A231" s="185"/>
      <c r="G231" s="156"/>
      <c r="H231" s="168">
        <v>226</v>
      </c>
      <c r="I231" s="169" t="str">
        <f t="shared" si="15"/>
        <v/>
      </c>
      <c r="J231" s="168">
        <f t="shared" si="18"/>
        <v>-2</v>
      </c>
      <c r="K231" s="168">
        <f t="shared" si="16"/>
        <v>-20</v>
      </c>
      <c r="L231" s="168"/>
      <c r="M231" s="170">
        <f t="shared" si="17"/>
        <v>0</v>
      </c>
    </row>
    <row r="232" spans="1:13">
      <c r="A232" s="185"/>
      <c r="G232" s="156"/>
      <c r="H232" s="168">
        <v>227</v>
      </c>
      <c r="I232" s="169" t="str">
        <f t="shared" si="15"/>
        <v/>
      </c>
      <c r="J232" s="168">
        <f t="shared" si="18"/>
        <v>-2</v>
      </c>
      <c r="K232" s="168">
        <f t="shared" si="16"/>
        <v>-20</v>
      </c>
      <c r="L232" s="168"/>
      <c r="M232" s="170">
        <f t="shared" si="17"/>
        <v>0</v>
      </c>
    </row>
    <row r="233" spans="1:13">
      <c r="A233" s="185"/>
      <c r="G233" s="156"/>
      <c r="H233" s="168">
        <v>228</v>
      </c>
      <c r="I233" s="169" t="str">
        <f t="shared" si="15"/>
        <v/>
      </c>
      <c r="J233" s="168">
        <f t="shared" si="18"/>
        <v>-2</v>
      </c>
      <c r="K233" s="168">
        <f t="shared" si="16"/>
        <v>-20</v>
      </c>
      <c r="L233" s="168"/>
      <c r="M233" s="170">
        <f t="shared" si="17"/>
        <v>0</v>
      </c>
    </row>
    <row r="234" spans="1:13">
      <c r="A234" s="185"/>
      <c r="G234" s="156"/>
      <c r="H234" s="168">
        <v>229</v>
      </c>
      <c r="I234" s="169" t="str">
        <f t="shared" si="15"/>
        <v/>
      </c>
      <c r="J234" s="168">
        <f t="shared" si="18"/>
        <v>-2</v>
      </c>
      <c r="K234" s="168">
        <f t="shared" si="16"/>
        <v>-20</v>
      </c>
      <c r="L234" s="168"/>
      <c r="M234" s="170">
        <f t="shared" si="17"/>
        <v>0</v>
      </c>
    </row>
    <row r="235" spans="1:13">
      <c r="A235" s="185"/>
      <c r="G235" s="156"/>
      <c r="H235" s="168">
        <v>230</v>
      </c>
      <c r="I235" s="169" t="str">
        <f t="shared" si="15"/>
        <v/>
      </c>
      <c r="J235" s="168">
        <f t="shared" si="18"/>
        <v>-2</v>
      </c>
      <c r="K235" s="168">
        <f t="shared" si="16"/>
        <v>-20</v>
      </c>
      <c r="L235" s="168"/>
      <c r="M235" s="170">
        <f t="shared" si="17"/>
        <v>0</v>
      </c>
    </row>
    <row r="236" spans="1:13">
      <c r="A236" s="185"/>
      <c r="G236" s="156"/>
      <c r="H236" s="168">
        <v>231</v>
      </c>
      <c r="I236" s="169" t="str">
        <f t="shared" si="15"/>
        <v/>
      </c>
      <c r="J236" s="168">
        <f t="shared" si="18"/>
        <v>-2</v>
      </c>
      <c r="K236" s="168">
        <f t="shared" si="16"/>
        <v>-20</v>
      </c>
      <c r="L236" s="168"/>
      <c r="M236" s="170">
        <f t="shared" si="17"/>
        <v>0</v>
      </c>
    </row>
    <row r="237" spans="1:13">
      <c r="A237" s="185"/>
      <c r="G237" s="156"/>
      <c r="H237" s="168">
        <v>232</v>
      </c>
      <c r="I237" s="169" t="str">
        <f t="shared" si="15"/>
        <v/>
      </c>
      <c r="J237" s="168">
        <f t="shared" si="18"/>
        <v>-2</v>
      </c>
      <c r="K237" s="168">
        <f t="shared" si="16"/>
        <v>-20</v>
      </c>
      <c r="L237" s="168"/>
      <c r="M237" s="170">
        <f t="shared" si="17"/>
        <v>0</v>
      </c>
    </row>
    <row r="238" spans="1:13">
      <c r="A238" s="185"/>
      <c r="G238" s="156"/>
      <c r="H238" s="168">
        <v>233</v>
      </c>
      <c r="I238" s="169" t="str">
        <f t="shared" si="15"/>
        <v/>
      </c>
      <c r="J238" s="168">
        <f t="shared" si="18"/>
        <v>-2</v>
      </c>
      <c r="K238" s="168">
        <f t="shared" si="16"/>
        <v>-20</v>
      </c>
      <c r="L238" s="168"/>
      <c r="M238" s="170">
        <f t="shared" si="17"/>
        <v>0</v>
      </c>
    </row>
    <row r="239" spans="1:13">
      <c r="A239" s="185"/>
      <c r="G239" s="156"/>
      <c r="H239" s="168">
        <v>234</v>
      </c>
      <c r="I239" s="169" t="str">
        <f t="shared" si="15"/>
        <v/>
      </c>
      <c r="J239" s="168">
        <f t="shared" si="18"/>
        <v>-2</v>
      </c>
      <c r="K239" s="168">
        <f t="shared" si="16"/>
        <v>-20</v>
      </c>
      <c r="L239" s="168"/>
      <c r="M239" s="170">
        <f t="shared" si="17"/>
        <v>0</v>
      </c>
    </row>
    <row r="240" spans="1:13">
      <c r="A240" s="185"/>
      <c r="G240" s="156"/>
      <c r="H240" s="168">
        <v>235</v>
      </c>
      <c r="I240" s="169" t="str">
        <f t="shared" si="15"/>
        <v/>
      </c>
      <c r="J240" s="168">
        <f t="shared" si="18"/>
        <v>-2</v>
      </c>
      <c r="K240" s="168">
        <f t="shared" si="16"/>
        <v>-20</v>
      </c>
      <c r="L240" s="168"/>
      <c r="M240" s="170">
        <f t="shared" si="17"/>
        <v>0</v>
      </c>
    </row>
    <row r="241" spans="1:13">
      <c r="A241" s="185"/>
      <c r="G241" s="156"/>
      <c r="H241" s="168">
        <v>236</v>
      </c>
      <c r="I241" s="169" t="str">
        <f t="shared" si="15"/>
        <v/>
      </c>
      <c r="J241" s="168">
        <f t="shared" si="18"/>
        <v>-2</v>
      </c>
      <c r="K241" s="168">
        <f t="shared" si="16"/>
        <v>-20</v>
      </c>
      <c r="L241" s="168"/>
      <c r="M241" s="170">
        <f t="shared" si="17"/>
        <v>0</v>
      </c>
    </row>
    <row r="242" spans="1:13">
      <c r="A242" s="185"/>
      <c r="G242" s="156"/>
      <c r="H242" s="168">
        <v>237</v>
      </c>
      <c r="I242" s="169" t="str">
        <f t="shared" si="15"/>
        <v/>
      </c>
      <c r="J242" s="168">
        <f t="shared" si="18"/>
        <v>-2</v>
      </c>
      <c r="K242" s="168">
        <f t="shared" si="16"/>
        <v>-20</v>
      </c>
      <c r="L242" s="168"/>
      <c r="M242" s="170">
        <f t="shared" si="17"/>
        <v>0</v>
      </c>
    </row>
    <row r="243" spans="1:13">
      <c r="A243" s="185"/>
      <c r="G243" s="156"/>
      <c r="H243" s="168">
        <v>238</v>
      </c>
      <c r="I243" s="169" t="str">
        <f t="shared" si="15"/>
        <v/>
      </c>
      <c r="J243" s="168">
        <f t="shared" si="18"/>
        <v>-2</v>
      </c>
      <c r="K243" s="168">
        <f t="shared" si="16"/>
        <v>-20</v>
      </c>
      <c r="L243" s="168"/>
      <c r="M243" s="170">
        <f t="shared" si="17"/>
        <v>0</v>
      </c>
    </row>
    <row r="244" spans="1:13">
      <c r="A244" s="185"/>
      <c r="G244" s="156"/>
      <c r="H244" s="168">
        <v>239</v>
      </c>
      <c r="I244" s="169" t="str">
        <f t="shared" si="15"/>
        <v/>
      </c>
      <c r="J244" s="168">
        <f t="shared" si="18"/>
        <v>-2</v>
      </c>
      <c r="K244" s="168">
        <f t="shared" si="16"/>
        <v>-20</v>
      </c>
      <c r="L244" s="168"/>
      <c r="M244" s="170">
        <f t="shared" si="17"/>
        <v>0</v>
      </c>
    </row>
    <row r="245" spans="1:13">
      <c r="A245" s="185"/>
      <c r="G245" s="156"/>
      <c r="H245" s="168">
        <v>240</v>
      </c>
      <c r="I245" s="169" t="str">
        <f t="shared" si="15"/>
        <v/>
      </c>
      <c r="J245" s="168">
        <f t="shared" si="18"/>
        <v>-2</v>
      </c>
      <c r="K245" s="168">
        <f t="shared" si="16"/>
        <v>-20</v>
      </c>
      <c r="L245" s="168"/>
      <c r="M245" s="170">
        <f t="shared" si="17"/>
        <v>0</v>
      </c>
    </row>
    <row r="246" spans="1:13">
      <c r="A246" s="185"/>
      <c r="G246" s="156"/>
      <c r="H246" s="168">
        <v>241</v>
      </c>
      <c r="I246" s="169" t="str">
        <f t="shared" si="15"/>
        <v/>
      </c>
      <c r="J246" s="168">
        <f t="shared" si="18"/>
        <v>-2</v>
      </c>
      <c r="K246" s="168">
        <f t="shared" si="16"/>
        <v>-20</v>
      </c>
      <c r="L246" s="168"/>
      <c r="M246" s="170">
        <f t="shared" si="17"/>
        <v>0</v>
      </c>
    </row>
    <row r="247" spans="1:13">
      <c r="A247" s="185"/>
      <c r="G247" s="156"/>
      <c r="H247" s="168">
        <v>242</v>
      </c>
      <c r="I247" s="169" t="str">
        <f t="shared" si="15"/>
        <v/>
      </c>
      <c r="J247" s="168">
        <f t="shared" si="18"/>
        <v>-2</v>
      </c>
      <c r="K247" s="168">
        <f t="shared" si="16"/>
        <v>-20</v>
      </c>
      <c r="L247" s="168"/>
      <c r="M247" s="170">
        <f t="shared" si="17"/>
        <v>0</v>
      </c>
    </row>
    <row r="248" spans="1:13">
      <c r="A248" s="185"/>
      <c r="G248" s="156"/>
      <c r="H248" s="168">
        <v>243</v>
      </c>
      <c r="I248" s="169" t="str">
        <f t="shared" si="15"/>
        <v/>
      </c>
      <c r="J248" s="168">
        <f t="shared" si="18"/>
        <v>-2</v>
      </c>
      <c r="K248" s="168">
        <f t="shared" si="16"/>
        <v>-20</v>
      </c>
      <c r="L248" s="168"/>
      <c r="M248" s="170">
        <f t="shared" si="17"/>
        <v>0</v>
      </c>
    </row>
    <row r="249" spans="1:13">
      <c r="A249" s="185"/>
      <c r="G249" s="156"/>
      <c r="H249" s="168">
        <v>244</v>
      </c>
      <c r="I249" s="169" t="str">
        <f t="shared" si="15"/>
        <v/>
      </c>
      <c r="J249" s="168">
        <f t="shared" si="18"/>
        <v>-2</v>
      </c>
      <c r="K249" s="168">
        <f t="shared" si="16"/>
        <v>-20</v>
      </c>
      <c r="L249" s="168"/>
      <c r="M249" s="170">
        <f t="shared" si="17"/>
        <v>0</v>
      </c>
    </row>
    <row r="250" spans="1:13">
      <c r="A250" s="185"/>
      <c r="G250" s="156"/>
      <c r="H250" s="168">
        <v>245</v>
      </c>
      <c r="I250" s="169" t="str">
        <f t="shared" si="15"/>
        <v/>
      </c>
      <c r="J250" s="168">
        <f t="shared" si="18"/>
        <v>-2</v>
      </c>
      <c r="K250" s="168">
        <f t="shared" si="16"/>
        <v>-20</v>
      </c>
      <c r="L250" s="168"/>
      <c r="M250" s="170">
        <f t="shared" si="17"/>
        <v>0</v>
      </c>
    </row>
    <row r="251" spans="1:13">
      <c r="A251" s="185"/>
      <c r="G251" s="156"/>
      <c r="H251" s="168">
        <v>246</v>
      </c>
      <c r="I251" s="169" t="str">
        <f t="shared" si="15"/>
        <v/>
      </c>
      <c r="J251" s="168">
        <f t="shared" si="18"/>
        <v>-2</v>
      </c>
      <c r="K251" s="168">
        <f t="shared" si="16"/>
        <v>-20</v>
      </c>
      <c r="L251" s="168"/>
      <c r="M251" s="170">
        <f t="shared" si="17"/>
        <v>0</v>
      </c>
    </row>
    <row r="252" spans="1:13">
      <c r="A252" s="185"/>
      <c r="G252" s="156"/>
      <c r="H252" s="168">
        <v>247</v>
      </c>
      <c r="I252" s="169" t="str">
        <f t="shared" si="15"/>
        <v/>
      </c>
      <c r="J252" s="168">
        <f t="shared" si="18"/>
        <v>-2</v>
      </c>
      <c r="K252" s="168">
        <f t="shared" si="16"/>
        <v>-20</v>
      </c>
      <c r="L252" s="168"/>
      <c r="M252" s="170">
        <f t="shared" si="17"/>
        <v>0</v>
      </c>
    </row>
    <row r="253" spans="1:13">
      <c r="A253" s="185"/>
      <c r="G253" s="156"/>
      <c r="H253" s="168">
        <v>248</v>
      </c>
      <c r="I253" s="169" t="str">
        <f t="shared" si="15"/>
        <v/>
      </c>
      <c r="J253" s="168">
        <f t="shared" si="18"/>
        <v>-2</v>
      </c>
      <c r="K253" s="168">
        <f t="shared" si="16"/>
        <v>-20</v>
      </c>
      <c r="L253" s="168"/>
      <c r="M253" s="170">
        <f t="shared" si="17"/>
        <v>0</v>
      </c>
    </row>
    <row r="254" spans="1:13">
      <c r="A254" s="185"/>
      <c r="G254" s="156"/>
      <c r="H254" s="168">
        <v>249</v>
      </c>
      <c r="I254" s="169" t="str">
        <f t="shared" si="15"/>
        <v/>
      </c>
      <c r="J254" s="168">
        <f t="shared" si="18"/>
        <v>-2</v>
      </c>
      <c r="K254" s="168">
        <f t="shared" si="16"/>
        <v>-20</v>
      </c>
      <c r="L254" s="168"/>
      <c r="M254" s="170">
        <f t="shared" si="17"/>
        <v>0</v>
      </c>
    </row>
    <row r="255" spans="1:13">
      <c r="A255" s="185"/>
      <c r="G255" s="156"/>
      <c r="H255" s="168">
        <v>250</v>
      </c>
      <c r="I255" s="169" t="str">
        <f t="shared" si="15"/>
        <v/>
      </c>
      <c r="J255" s="168">
        <f t="shared" si="18"/>
        <v>-2</v>
      </c>
      <c r="K255" s="168">
        <f t="shared" si="16"/>
        <v>-20</v>
      </c>
      <c r="L255" s="168"/>
      <c r="M255" s="170">
        <f t="shared" si="17"/>
        <v>0</v>
      </c>
    </row>
    <row r="256" spans="1:13">
      <c r="A256" s="185"/>
      <c r="G256" s="156"/>
      <c r="H256" s="168">
        <v>251</v>
      </c>
      <c r="I256" s="169" t="str">
        <f t="shared" si="15"/>
        <v/>
      </c>
      <c r="J256" s="168">
        <f t="shared" si="18"/>
        <v>-2</v>
      </c>
      <c r="K256" s="168">
        <f t="shared" si="16"/>
        <v>-20</v>
      </c>
      <c r="L256" s="168"/>
      <c r="M256" s="170">
        <f t="shared" si="17"/>
        <v>0</v>
      </c>
    </row>
    <row r="257" spans="1:13">
      <c r="A257" s="185"/>
      <c r="G257" s="156"/>
      <c r="H257" s="168">
        <v>252</v>
      </c>
      <c r="I257" s="169" t="str">
        <f t="shared" si="15"/>
        <v/>
      </c>
      <c r="J257" s="168">
        <f t="shared" si="18"/>
        <v>-2</v>
      </c>
      <c r="K257" s="168">
        <f t="shared" si="16"/>
        <v>-20</v>
      </c>
      <c r="L257" s="168"/>
      <c r="M257" s="170">
        <f t="shared" si="17"/>
        <v>0</v>
      </c>
    </row>
    <row r="258" spans="1:13">
      <c r="A258" s="185"/>
      <c r="G258" s="156"/>
      <c r="H258" s="168">
        <v>253</v>
      </c>
      <c r="I258" s="169" t="str">
        <f t="shared" si="15"/>
        <v/>
      </c>
      <c r="J258" s="168">
        <f t="shared" si="18"/>
        <v>-2</v>
      </c>
      <c r="K258" s="168">
        <f t="shared" si="16"/>
        <v>-20</v>
      </c>
      <c r="L258" s="168"/>
      <c r="M258" s="170">
        <f t="shared" si="17"/>
        <v>0</v>
      </c>
    </row>
    <row r="259" spans="1:13">
      <c r="A259" s="185"/>
      <c r="G259" s="156"/>
      <c r="H259" s="168">
        <v>254</v>
      </c>
      <c r="I259" s="169" t="str">
        <f t="shared" si="15"/>
        <v/>
      </c>
      <c r="J259" s="168">
        <f t="shared" si="18"/>
        <v>-2</v>
      </c>
      <c r="K259" s="168">
        <f t="shared" si="16"/>
        <v>-20</v>
      </c>
      <c r="L259" s="168"/>
      <c r="M259" s="170">
        <f t="shared" si="17"/>
        <v>0</v>
      </c>
    </row>
    <row r="260" spans="1:13">
      <c r="A260" s="185"/>
      <c r="G260" s="156"/>
      <c r="H260" s="168">
        <v>255</v>
      </c>
      <c r="I260" s="169" t="str">
        <f t="shared" si="15"/>
        <v/>
      </c>
      <c r="J260" s="168">
        <f t="shared" si="18"/>
        <v>-2</v>
      </c>
      <c r="K260" s="168">
        <f t="shared" si="16"/>
        <v>-20</v>
      </c>
      <c r="L260" s="168"/>
      <c r="M260" s="170">
        <f t="shared" si="17"/>
        <v>0</v>
      </c>
    </row>
    <row r="261" spans="1:13">
      <c r="A261" s="185"/>
      <c r="G261" s="156"/>
      <c r="H261" s="168">
        <v>256</v>
      </c>
      <c r="I261" s="169" t="str">
        <f t="shared" si="15"/>
        <v/>
      </c>
      <c r="J261" s="168">
        <f t="shared" si="18"/>
        <v>-2</v>
      </c>
      <c r="K261" s="168">
        <f t="shared" si="16"/>
        <v>-20</v>
      </c>
      <c r="L261" s="168"/>
      <c r="M261" s="170">
        <f t="shared" si="17"/>
        <v>0</v>
      </c>
    </row>
    <row r="262" spans="1:13">
      <c r="A262" s="185"/>
      <c r="G262" s="156"/>
      <c r="H262" s="168">
        <v>257</v>
      </c>
      <c r="I262" s="169" t="str">
        <f t="shared" ref="I262:I305" si="19">IF(H262&lt;$H$2+1,($I$2-($I$2-1)*(LOG(H262)/LOG($H$2))),"")</f>
        <v/>
      </c>
      <c r="J262" s="168">
        <f t="shared" si="18"/>
        <v>-3</v>
      </c>
      <c r="K262" s="168">
        <f t="shared" ref="K262:K305" si="20">J262*$J$2</f>
        <v>-30</v>
      </c>
      <c r="L262" s="168"/>
      <c r="M262" s="170">
        <f t="shared" ref="M262:M305" si="21">IF(I262&lt;&gt;"",K262+I262+L262,0)</f>
        <v>0</v>
      </c>
    </row>
    <row r="263" spans="1:13">
      <c r="A263" s="185"/>
      <c r="G263" s="156"/>
      <c r="H263" s="168">
        <v>258</v>
      </c>
      <c r="I263" s="169" t="str">
        <f t="shared" si="19"/>
        <v/>
      </c>
      <c r="J263" s="168">
        <f t="shared" ref="J263:J326" si="22">INT(LOG($H$2,2))-ROUNDUP(LOG(H263,2),0)+IF(OR($H$2=1,$H$2=2,$H$2=4,$H$2=8,$H$2=16,$H$2=32,$H$2=64,$H$2=128,$H$2=256),0,1)</f>
        <v>-3</v>
      </c>
      <c r="K263" s="168">
        <f t="shared" si="20"/>
        <v>-30</v>
      </c>
      <c r="L263" s="168"/>
      <c r="M263" s="170">
        <f t="shared" si="21"/>
        <v>0</v>
      </c>
    </row>
    <row r="264" spans="1:13">
      <c r="A264" s="185"/>
      <c r="G264" s="156"/>
      <c r="H264" s="168">
        <v>259</v>
      </c>
      <c r="I264" s="169" t="str">
        <f t="shared" si="19"/>
        <v/>
      </c>
      <c r="J264" s="168">
        <f t="shared" si="22"/>
        <v>-3</v>
      </c>
      <c r="K264" s="168">
        <f t="shared" si="20"/>
        <v>-30</v>
      </c>
      <c r="L264" s="168"/>
      <c r="M264" s="170">
        <f t="shared" si="21"/>
        <v>0</v>
      </c>
    </row>
    <row r="265" spans="1:13">
      <c r="A265" s="185"/>
      <c r="G265" s="156"/>
      <c r="H265" s="168">
        <v>260</v>
      </c>
      <c r="I265" s="169" t="str">
        <f t="shared" si="19"/>
        <v/>
      </c>
      <c r="J265" s="168">
        <f t="shared" si="22"/>
        <v>-3</v>
      </c>
      <c r="K265" s="168">
        <f t="shared" si="20"/>
        <v>-30</v>
      </c>
      <c r="L265" s="168"/>
      <c r="M265" s="170">
        <f t="shared" si="21"/>
        <v>0</v>
      </c>
    </row>
    <row r="266" spans="1:13">
      <c r="A266" s="185"/>
      <c r="G266" s="156"/>
      <c r="H266" s="168">
        <v>261</v>
      </c>
      <c r="I266" s="169" t="str">
        <f t="shared" si="19"/>
        <v/>
      </c>
      <c r="J266" s="168">
        <f t="shared" si="22"/>
        <v>-3</v>
      </c>
      <c r="K266" s="168">
        <f t="shared" si="20"/>
        <v>-30</v>
      </c>
      <c r="L266" s="168"/>
      <c r="M266" s="170">
        <f t="shared" si="21"/>
        <v>0</v>
      </c>
    </row>
    <row r="267" spans="1:13">
      <c r="A267" s="185"/>
      <c r="G267" s="156"/>
      <c r="H267" s="168">
        <v>262</v>
      </c>
      <c r="I267" s="169" t="str">
        <f t="shared" si="19"/>
        <v/>
      </c>
      <c r="J267" s="168">
        <f t="shared" si="22"/>
        <v>-3</v>
      </c>
      <c r="K267" s="168">
        <f t="shared" si="20"/>
        <v>-30</v>
      </c>
      <c r="L267" s="168"/>
      <c r="M267" s="170">
        <f t="shared" si="21"/>
        <v>0</v>
      </c>
    </row>
    <row r="268" spans="1:13">
      <c r="A268" s="185"/>
      <c r="G268" s="156"/>
      <c r="H268" s="168">
        <v>263</v>
      </c>
      <c r="I268" s="169" t="str">
        <f t="shared" si="19"/>
        <v/>
      </c>
      <c r="J268" s="168">
        <f t="shared" si="22"/>
        <v>-3</v>
      </c>
      <c r="K268" s="168">
        <f t="shared" si="20"/>
        <v>-30</v>
      </c>
      <c r="L268" s="168"/>
      <c r="M268" s="170">
        <f t="shared" si="21"/>
        <v>0</v>
      </c>
    </row>
    <row r="269" spans="1:13">
      <c r="A269" s="185"/>
      <c r="G269" s="156"/>
      <c r="H269" s="168">
        <v>264</v>
      </c>
      <c r="I269" s="169" t="str">
        <f t="shared" si="19"/>
        <v/>
      </c>
      <c r="J269" s="168">
        <f t="shared" si="22"/>
        <v>-3</v>
      </c>
      <c r="K269" s="168">
        <f t="shared" si="20"/>
        <v>-30</v>
      </c>
      <c r="L269" s="168"/>
      <c r="M269" s="170">
        <f t="shared" si="21"/>
        <v>0</v>
      </c>
    </row>
    <row r="270" spans="1:13">
      <c r="A270" s="185"/>
      <c r="G270" s="156"/>
      <c r="H270" s="168">
        <v>265</v>
      </c>
      <c r="I270" s="169" t="str">
        <f t="shared" si="19"/>
        <v/>
      </c>
      <c r="J270" s="168">
        <f t="shared" si="22"/>
        <v>-3</v>
      </c>
      <c r="K270" s="168">
        <f t="shared" si="20"/>
        <v>-30</v>
      </c>
      <c r="L270" s="168"/>
      <c r="M270" s="170">
        <f t="shared" si="21"/>
        <v>0</v>
      </c>
    </row>
    <row r="271" spans="1:13">
      <c r="A271" s="185"/>
      <c r="G271" s="156"/>
      <c r="H271" s="168">
        <v>266</v>
      </c>
      <c r="I271" s="169" t="str">
        <f t="shared" si="19"/>
        <v/>
      </c>
      <c r="J271" s="168">
        <f t="shared" si="22"/>
        <v>-3</v>
      </c>
      <c r="K271" s="168">
        <f t="shared" si="20"/>
        <v>-30</v>
      </c>
      <c r="L271" s="168"/>
      <c r="M271" s="170">
        <f t="shared" si="21"/>
        <v>0</v>
      </c>
    </row>
    <row r="272" spans="1:13">
      <c r="A272" s="185"/>
      <c r="G272" s="156"/>
      <c r="H272" s="168">
        <v>267</v>
      </c>
      <c r="I272" s="169" t="str">
        <f t="shared" si="19"/>
        <v/>
      </c>
      <c r="J272" s="168">
        <f t="shared" si="22"/>
        <v>-3</v>
      </c>
      <c r="K272" s="168">
        <f t="shared" si="20"/>
        <v>-30</v>
      </c>
      <c r="L272" s="168"/>
      <c r="M272" s="170">
        <f t="shared" si="21"/>
        <v>0</v>
      </c>
    </row>
    <row r="273" spans="1:13">
      <c r="A273" s="185"/>
      <c r="G273" s="156"/>
      <c r="H273" s="168">
        <v>268</v>
      </c>
      <c r="I273" s="169" t="str">
        <f t="shared" si="19"/>
        <v/>
      </c>
      <c r="J273" s="168">
        <f t="shared" si="22"/>
        <v>-3</v>
      </c>
      <c r="K273" s="168">
        <f t="shared" si="20"/>
        <v>-30</v>
      </c>
      <c r="L273" s="168"/>
      <c r="M273" s="170">
        <f t="shared" si="21"/>
        <v>0</v>
      </c>
    </row>
    <row r="274" spans="1:13">
      <c r="A274" s="185"/>
      <c r="G274" s="156"/>
      <c r="H274" s="168">
        <v>269</v>
      </c>
      <c r="I274" s="169" t="str">
        <f t="shared" si="19"/>
        <v/>
      </c>
      <c r="J274" s="168">
        <f t="shared" si="22"/>
        <v>-3</v>
      </c>
      <c r="K274" s="168">
        <f t="shared" si="20"/>
        <v>-30</v>
      </c>
      <c r="L274" s="168"/>
      <c r="M274" s="170">
        <f t="shared" si="21"/>
        <v>0</v>
      </c>
    </row>
    <row r="275" spans="1:13">
      <c r="A275" s="185"/>
      <c r="G275" s="156"/>
      <c r="H275" s="168">
        <v>270</v>
      </c>
      <c r="I275" s="169" t="str">
        <f t="shared" si="19"/>
        <v/>
      </c>
      <c r="J275" s="168">
        <f t="shared" si="22"/>
        <v>-3</v>
      </c>
      <c r="K275" s="168">
        <f t="shared" si="20"/>
        <v>-30</v>
      </c>
      <c r="L275" s="168"/>
      <c r="M275" s="170">
        <f t="shared" si="21"/>
        <v>0</v>
      </c>
    </row>
    <row r="276" spans="1:13">
      <c r="A276" s="185"/>
      <c r="G276" s="156"/>
      <c r="H276" s="168">
        <v>271</v>
      </c>
      <c r="I276" s="169" t="str">
        <f t="shared" si="19"/>
        <v/>
      </c>
      <c r="J276" s="168">
        <f t="shared" si="22"/>
        <v>-3</v>
      </c>
      <c r="K276" s="168">
        <f t="shared" si="20"/>
        <v>-30</v>
      </c>
      <c r="L276" s="168"/>
      <c r="M276" s="170">
        <f t="shared" si="21"/>
        <v>0</v>
      </c>
    </row>
    <row r="277" spans="1:13">
      <c r="A277" s="185"/>
      <c r="G277" s="156"/>
      <c r="H277" s="168">
        <v>272</v>
      </c>
      <c r="I277" s="169" t="str">
        <f t="shared" si="19"/>
        <v/>
      </c>
      <c r="J277" s="168">
        <f t="shared" si="22"/>
        <v>-3</v>
      </c>
      <c r="K277" s="168">
        <f t="shared" si="20"/>
        <v>-30</v>
      </c>
      <c r="L277" s="168"/>
      <c r="M277" s="170">
        <f t="shared" si="21"/>
        <v>0</v>
      </c>
    </row>
    <row r="278" spans="1:13">
      <c r="A278" s="185"/>
      <c r="G278" s="156"/>
      <c r="H278" s="168">
        <v>273</v>
      </c>
      <c r="I278" s="169" t="str">
        <f t="shared" si="19"/>
        <v/>
      </c>
      <c r="J278" s="168">
        <f t="shared" si="22"/>
        <v>-3</v>
      </c>
      <c r="K278" s="168">
        <f t="shared" si="20"/>
        <v>-30</v>
      </c>
      <c r="L278" s="168"/>
      <c r="M278" s="170">
        <f t="shared" si="21"/>
        <v>0</v>
      </c>
    </row>
    <row r="279" spans="1:13">
      <c r="A279" s="185"/>
      <c r="G279" s="156"/>
      <c r="H279" s="168">
        <v>274</v>
      </c>
      <c r="I279" s="169" t="str">
        <f t="shared" si="19"/>
        <v/>
      </c>
      <c r="J279" s="168">
        <f t="shared" si="22"/>
        <v>-3</v>
      </c>
      <c r="K279" s="168">
        <f t="shared" si="20"/>
        <v>-30</v>
      </c>
      <c r="L279" s="168"/>
      <c r="M279" s="170">
        <f t="shared" si="21"/>
        <v>0</v>
      </c>
    </row>
    <row r="280" spans="1:13">
      <c r="A280" s="185"/>
      <c r="G280" s="156"/>
      <c r="H280" s="168">
        <v>275</v>
      </c>
      <c r="I280" s="169" t="str">
        <f t="shared" si="19"/>
        <v/>
      </c>
      <c r="J280" s="168">
        <f t="shared" si="22"/>
        <v>-3</v>
      </c>
      <c r="K280" s="168">
        <f t="shared" si="20"/>
        <v>-30</v>
      </c>
      <c r="L280" s="168"/>
      <c r="M280" s="170">
        <f t="shared" si="21"/>
        <v>0</v>
      </c>
    </row>
    <row r="281" spans="1:13">
      <c r="A281" s="185"/>
      <c r="G281" s="156"/>
      <c r="H281" s="168">
        <v>276</v>
      </c>
      <c r="I281" s="169" t="str">
        <f t="shared" si="19"/>
        <v/>
      </c>
      <c r="J281" s="168">
        <f t="shared" si="22"/>
        <v>-3</v>
      </c>
      <c r="K281" s="168">
        <f t="shared" si="20"/>
        <v>-30</v>
      </c>
      <c r="L281" s="168"/>
      <c r="M281" s="170">
        <f t="shared" si="21"/>
        <v>0</v>
      </c>
    </row>
    <row r="282" spans="1:13">
      <c r="A282" s="185"/>
      <c r="G282" s="156"/>
      <c r="H282" s="168">
        <v>277</v>
      </c>
      <c r="I282" s="169" t="str">
        <f t="shared" si="19"/>
        <v/>
      </c>
      <c r="J282" s="168">
        <f t="shared" si="22"/>
        <v>-3</v>
      </c>
      <c r="K282" s="168">
        <f t="shared" si="20"/>
        <v>-30</v>
      </c>
      <c r="L282" s="168"/>
      <c r="M282" s="170">
        <f t="shared" si="21"/>
        <v>0</v>
      </c>
    </row>
    <row r="283" spans="1:13">
      <c r="A283" s="185"/>
      <c r="G283" s="156"/>
      <c r="H283" s="168">
        <v>278</v>
      </c>
      <c r="I283" s="169" t="str">
        <f t="shared" si="19"/>
        <v/>
      </c>
      <c r="J283" s="168">
        <f t="shared" si="22"/>
        <v>-3</v>
      </c>
      <c r="K283" s="168">
        <f t="shared" si="20"/>
        <v>-30</v>
      </c>
      <c r="L283" s="168"/>
      <c r="M283" s="170">
        <f t="shared" si="21"/>
        <v>0</v>
      </c>
    </row>
    <row r="284" spans="1:13">
      <c r="A284" s="185"/>
      <c r="G284" s="156"/>
      <c r="H284" s="168">
        <v>279</v>
      </c>
      <c r="I284" s="169" t="str">
        <f t="shared" si="19"/>
        <v/>
      </c>
      <c r="J284" s="168">
        <f t="shared" si="22"/>
        <v>-3</v>
      </c>
      <c r="K284" s="168">
        <f t="shared" si="20"/>
        <v>-30</v>
      </c>
      <c r="L284" s="168"/>
      <c r="M284" s="170">
        <f t="shared" si="21"/>
        <v>0</v>
      </c>
    </row>
    <row r="285" spans="1:13">
      <c r="A285" s="185"/>
      <c r="G285" s="156"/>
      <c r="H285" s="168">
        <v>280</v>
      </c>
      <c r="I285" s="169" t="str">
        <f t="shared" si="19"/>
        <v/>
      </c>
      <c r="J285" s="168">
        <f t="shared" si="22"/>
        <v>-3</v>
      </c>
      <c r="K285" s="168">
        <f t="shared" si="20"/>
        <v>-30</v>
      </c>
      <c r="L285" s="168"/>
      <c r="M285" s="170">
        <f t="shared" si="21"/>
        <v>0</v>
      </c>
    </row>
    <row r="286" spans="1:13">
      <c r="A286" s="185"/>
      <c r="G286" s="156"/>
      <c r="H286" s="168">
        <v>281</v>
      </c>
      <c r="I286" s="169" t="str">
        <f t="shared" si="19"/>
        <v/>
      </c>
      <c r="J286" s="168">
        <f t="shared" si="22"/>
        <v>-3</v>
      </c>
      <c r="K286" s="168">
        <f t="shared" si="20"/>
        <v>-30</v>
      </c>
      <c r="L286" s="168"/>
      <c r="M286" s="170">
        <f t="shared" si="21"/>
        <v>0</v>
      </c>
    </row>
    <row r="287" spans="1:13">
      <c r="A287" s="185"/>
      <c r="G287" s="156"/>
      <c r="H287" s="168">
        <v>282</v>
      </c>
      <c r="I287" s="169" t="str">
        <f t="shared" si="19"/>
        <v/>
      </c>
      <c r="J287" s="168">
        <f t="shared" si="22"/>
        <v>-3</v>
      </c>
      <c r="K287" s="168">
        <f t="shared" si="20"/>
        <v>-30</v>
      </c>
      <c r="L287" s="168"/>
      <c r="M287" s="170">
        <f t="shared" si="21"/>
        <v>0</v>
      </c>
    </row>
    <row r="288" spans="1:13">
      <c r="A288" s="185"/>
      <c r="G288" s="156"/>
      <c r="H288" s="168">
        <v>283</v>
      </c>
      <c r="I288" s="169" t="str">
        <f t="shared" si="19"/>
        <v/>
      </c>
      <c r="J288" s="168">
        <f t="shared" si="22"/>
        <v>-3</v>
      </c>
      <c r="K288" s="168">
        <f t="shared" si="20"/>
        <v>-30</v>
      </c>
      <c r="L288" s="168"/>
      <c r="M288" s="170">
        <f t="shared" si="21"/>
        <v>0</v>
      </c>
    </row>
    <row r="289" spans="1:13">
      <c r="A289" s="185"/>
      <c r="G289" s="156"/>
      <c r="H289" s="168">
        <v>284</v>
      </c>
      <c r="I289" s="169" t="str">
        <f t="shared" si="19"/>
        <v/>
      </c>
      <c r="J289" s="168">
        <f t="shared" si="22"/>
        <v>-3</v>
      </c>
      <c r="K289" s="168">
        <f t="shared" si="20"/>
        <v>-30</v>
      </c>
      <c r="L289" s="168"/>
      <c r="M289" s="170">
        <f t="shared" si="21"/>
        <v>0</v>
      </c>
    </row>
    <row r="290" spans="1:13">
      <c r="A290" s="185"/>
      <c r="G290" s="156"/>
      <c r="H290" s="168">
        <v>285</v>
      </c>
      <c r="I290" s="169" t="str">
        <f t="shared" si="19"/>
        <v/>
      </c>
      <c r="J290" s="168">
        <f t="shared" si="22"/>
        <v>-3</v>
      </c>
      <c r="K290" s="168">
        <f t="shared" si="20"/>
        <v>-30</v>
      </c>
      <c r="L290" s="168"/>
      <c r="M290" s="170">
        <f t="shared" si="21"/>
        <v>0</v>
      </c>
    </row>
    <row r="291" spans="1:13">
      <c r="A291" s="185"/>
      <c r="G291" s="156"/>
      <c r="H291" s="168">
        <v>286</v>
      </c>
      <c r="I291" s="169" t="str">
        <f t="shared" si="19"/>
        <v/>
      </c>
      <c r="J291" s="168">
        <f t="shared" si="22"/>
        <v>-3</v>
      </c>
      <c r="K291" s="168">
        <f t="shared" si="20"/>
        <v>-30</v>
      </c>
      <c r="L291" s="168"/>
      <c r="M291" s="170">
        <f t="shared" si="21"/>
        <v>0</v>
      </c>
    </row>
    <row r="292" spans="1:13">
      <c r="A292" s="185"/>
      <c r="G292" s="156"/>
      <c r="H292" s="168">
        <v>287</v>
      </c>
      <c r="I292" s="169" t="str">
        <f t="shared" si="19"/>
        <v/>
      </c>
      <c r="J292" s="168">
        <f t="shared" si="22"/>
        <v>-3</v>
      </c>
      <c r="K292" s="168">
        <f t="shared" si="20"/>
        <v>-30</v>
      </c>
      <c r="L292" s="168"/>
      <c r="M292" s="170">
        <f t="shared" si="21"/>
        <v>0</v>
      </c>
    </row>
    <row r="293" spans="1:13">
      <c r="A293" s="185"/>
      <c r="G293" s="156"/>
      <c r="H293" s="168">
        <v>288</v>
      </c>
      <c r="I293" s="169" t="str">
        <f t="shared" si="19"/>
        <v/>
      </c>
      <c r="J293" s="168">
        <f t="shared" si="22"/>
        <v>-3</v>
      </c>
      <c r="K293" s="168">
        <f t="shared" si="20"/>
        <v>-30</v>
      </c>
      <c r="L293" s="168"/>
      <c r="M293" s="170">
        <f t="shared" si="21"/>
        <v>0</v>
      </c>
    </row>
    <row r="294" spans="1:13">
      <c r="A294" s="185"/>
      <c r="G294" s="156"/>
      <c r="H294" s="168">
        <v>289</v>
      </c>
      <c r="I294" s="169" t="str">
        <f t="shared" si="19"/>
        <v/>
      </c>
      <c r="J294" s="168">
        <f t="shared" si="22"/>
        <v>-3</v>
      </c>
      <c r="K294" s="168">
        <f t="shared" si="20"/>
        <v>-30</v>
      </c>
      <c r="L294" s="168"/>
      <c r="M294" s="170">
        <f t="shared" si="21"/>
        <v>0</v>
      </c>
    </row>
    <row r="295" spans="1:13">
      <c r="A295" s="185"/>
      <c r="G295" s="156"/>
      <c r="H295" s="168">
        <v>290</v>
      </c>
      <c r="I295" s="169" t="str">
        <f t="shared" si="19"/>
        <v/>
      </c>
      <c r="J295" s="168">
        <f t="shared" si="22"/>
        <v>-3</v>
      </c>
      <c r="K295" s="168">
        <f t="shared" si="20"/>
        <v>-30</v>
      </c>
      <c r="L295" s="168"/>
      <c r="M295" s="170">
        <f t="shared" si="21"/>
        <v>0</v>
      </c>
    </row>
    <row r="296" spans="1:13">
      <c r="A296" s="185"/>
      <c r="G296" s="156"/>
      <c r="H296" s="168">
        <v>291</v>
      </c>
      <c r="I296" s="169" t="str">
        <f t="shared" si="19"/>
        <v/>
      </c>
      <c r="J296" s="168">
        <f t="shared" si="22"/>
        <v>-3</v>
      </c>
      <c r="K296" s="168">
        <f t="shared" si="20"/>
        <v>-30</v>
      </c>
      <c r="L296" s="168"/>
      <c r="M296" s="170">
        <f t="shared" si="21"/>
        <v>0</v>
      </c>
    </row>
    <row r="297" spans="1:13">
      <c r="A297" s="185"/>
      <c r="G297" s="156"/>
      <c r="H297" s="168">
        <v>292</v>
      </c>
      <c r="I297" s="169" t="str">
        <f t="shared" si="19"/>
        <v/>
      </c>
      <c r="J297" s="168">
        <f t="shared" si="22"/>
        <v>-3</v>
      </c>
      <c r="K297" s="168">
        <f t="shared" si="20"/>
        <v>-30</v>
      </c>
      <c r="L297" s="168"/>
      <c r="M297" s="170">
        <f t="shared" si="21"/>
        <v>0</v>
      </c>
    </row>
    <row r="298" spans="1:13">
      <c r="A298" s="185"/>
      <c r="G298" s="156"/>
      <c r="H298" s="168">
        <v>293</v>
      </c>
      <c r="I298" s="169" t="str">
        <f t="shared" si="19"/>
        <v/>
      </c>
      <c r="J298" s="168">
        <f t="shared" si="22"/>
        <v>-3</v>
      </c>
      <c r="K298" s="168">
        <f t="shared" si="20"/>
        <v>-30</v>
      </c>
      <c r="L298" s="168"/>
      <c r="M298" s="170">
        <f t="shared" si="21"/>
        <v>0</v>
      </c>
    </row>
    <row r="299" spans="1:13">
      <c r="A299" s="185"/>
      <c r="G299" s="156"/>
      <c r="H299" s="168">
        <v>294</v>
      </c>
      <c r="I299" s="169" t="str">
        <f t="shared" si="19"/>
        <v/>
      </c>
      <c r="J299" s="168">
        <f t="shared" si="22"/>
        <v>-3</v>
      </c>
      <c r="K299" s="168">
        <f t="shared" si="20"/>
        <v>-30</v>
      </c>
      <c r="L299" s="168"/>
      <c r="M299" s="170">
        <f t="shared" si="21"/>
        <v>0</v>
      </c>
    </row>
    <row r="300" spans="1:13">
      <c r="A300" s="185"/>
      <c r="G300" s="156"/>
      <c r="H300" s="168">
        <v>295</v>
      </c>
      <c r="I300" s="169" t="str">
        <f t="shared" si="19"/>
        <v/>
      </c>
      <c r="J300" s="168">
        <f t="shared" si="22"/>
        <v>-3</v>
      </c>
      <c r="K300" s="168">
        <f t="shared" si="20"/>
        <v>-30</v>
      </c>
      <c r="L300" s="168"/>
      <c r="M300" s="170">
        <f t="shared" si="21"/>
        <v>0</v>
      </c>
    </row>
    <row r="301" spans="1:13">
      <c r="A301" s="185"/>
      <c r="G301" s="156"/>
      <c r="H301" s="168">
        <v>296</v>
      </c>
      <c r="I301" s="169" t="str">
        <f t="shared" si="19"/>
        <v/>
      </c>
      <c r="J301" s="168">
        <f t="shared" si="22"/>
        <v>-3</v>
      </c>
      <c r="K301" s="168">
        <f t="shared" si="20"/>
        <v>-30</v>
      </c>
      <c r="L301" s="168"/>
      <c r="M301" s="170">
        <f t="shared" si="21"/>
        <v>0</v>
      </c>
    </row>
    <row r="302" spans="1:13">
      <c r="A302" s="185"/>
      <c r="G302" s="156"/>
      <c r="H302" s="168">
        <v>297</v>
      </c>
      <c r="I302" s="169" t="str">
        <f t="shared" si="19"/>
        <v/>
      </c>
      <c r="J302" s="168">
        <f t="shared" si="22"/>
        <v>-3</v>
      </c>
      <c r="K302" s="168">
        <f t="shared" si="20"/>
        <v>-30</v>
      </c>
      <c r="L302" s="168"/>
      <c r="M302" s="170">
        <f t="shared" si="21"/>
        <v>0</v>
      </c>
    </row>
    <row r="303" spans="1:13">
      <c r="A303" s="185"/>
      <c r="G303" s="156"/>
      <c r="H303" s="168">
        <v>298</v>
      </c>
      <c r="I303" s="169" t="str">
        <f t="shared" si="19"/>
        <v/>
      </c>
      <c r="J303" s="168">
        <f t="shared" si="22"/>
        <v>-3</v>
      </c>
      <c r="K303" s="168">
        <f t="shared" si="20"/>
        <v>-30</v>
      </c>
      <c r="L303" s="168"/>
      <c r="M303" s="170">
        <f t="shared" si="21"/>
        <v>0</v>
      </c>
    </row>
    <row r="304" spans="1:13">
      <c r="A304" s="185"/>
      <c r="G304" s="156"/>
      <c r="H304" s="168">
        <v>299</v>
      </c>
      <c r="I304" s="169" t="str">
        <f t="shared" si="19"/>
        <v/>
      </c>
      <c r="J304" s="168">
        <f t="shared" si="22"/>
        <v>-3</v>
      </c>
      <c r="K304" s="168">
        <f t="shared" si="20"/>
        <v>-30</v>
      </c>
      <c r="L304" s="168"/>
      <c r="M304" s="170">
        <f t="shared" si="21"/>
        <v>0</v>
      </c>
    </row>
    <row r="305" spans="1:16">
      <c r="A305" s="185"/>
      <c r="G305" s="156"/>
      <c r="H305" s="168">
        <v>300</v>
      </c>
      <c r="I305" s="169" t="str">
        <f t="shared" si="19"/>
        <v/>
      </c>
      <c r="J305" s="168">
        <f t="shared" si="22"/>
        <v>-3</v>
      </c>
      <c r="K305" s="168">
        <f t="shared" si="20"/>
        <v>-30</v>
      </c>
      <c r="L305" s="168"/>
      <c r="M305" s="170">
        <f t="shared" si="21"/>
        <v>0</v>
      </c>
    </row>
    <row r="306" spans="1:16">
      <c r="A306" s="186"/>
      <c r="J306" s="187" t="e">
        <f t="shared" si="22"/>
        <v>#NUM!</v>
      </c>
    </row>
    <row r="307" spans="1:16">
      <c r="J307" s="187" t="e">
        <f t="shared" si="22"/>
        <v>#NUM!</v>
      </c>
    </row>
    <row r="308" spans="1:16">
      <c r="J308" s="187" t="e">
        <f t="shared" si="22"/>
        <v>#NUM!</v>
      </c>
    </row>
    <row r="309" spans="1:16">
      <c r="J309" s="187" t="e">
        <f t="shared" si="22"/>
        <v>#NUM!</v>
      </c>
    </row>
    <row r="310" spans="1:16">
      <c r="J310" s="187" t="e">
        <f t="shared" si="22"/>
        <v>#NUM!</v>
      </c>
    </row>
    <row r="311" spans="1:16">
      <c r="J311" s="187" t="e">
        <f t="shared" si="22"/>
        <v>#NUM!</v>
      </c>
    </row>
    <row r="312" spans="1:16">
      <c r="J312" s="187" t="e">
        <f t="shared" si="22"/>
        <v>#NUM!</v>
      </c>
    </row>
    <row r="313" spans="1:16">
      <c r="J313" s="187" t="e">
        <f t="shared" si="22"/>
        <v>#NUM!</v>
      </c>
    </row>
    <row r="314" spans="1:16">
      <c r="J314" s="187" t="e">
        <f t="shared" si="22"/>
        <v>#NUM!</v>
      </c>
      <c r="L314" s="189"/>
      <c r="P314" s="179"/>
    </row>
    <row r="315" spans="1:16">
      <c r="J315" s="187" t="e">
        <f t="shared" si="22"/>
        <v>#NUM!</v>
      </c>
      <c r="L315" s="189"/>
      <c r="P315" s="179"/>
    </row>
    <row r="316" spans="1:16">
      <c r="J316" s="187" t="e">
        <f t="shared" si="22"/>
        <v>#NUM!</v>
      </c>
      <c r="L316" s="189"/>
      <c r="P316" s="179"/>
    </row>
    <row r="317" spans="1:16">
      <c r="J317" s="187" t="e">
        <f t="shared" si="22"/>
        <v>#NUM!</v>
      </c>
      <c r="L317" s="189"/>
      <c r="P317" s="179"/>
    </row>
    <row r="318" spans="1:16">
      <c r="J318" s="187" t="e">
        <f t="shared" si="22"/>
        <v>#NUM!</v>
      </c>
    </row>
    <row r="319" spans="1:16">
      <c r="J319" s="187" t="e">
        <f t="shared" si="22"/>
        <v>#NUM!</v>
      </c>
    </row>
    <row r="320" spans="1:16">
      <c r="J320" s="187" t="e">
        <f t="shared" si="22"/>
        <v>#NUM!</v>
      </c>
    </row>
    <row r="321" spans="10:10">
      <c r="J321" s="187" t="e">
        <f t="shared" si="22"/>
        <v>#NUM!</v>
      </c>
    </row>
    <row r="322" spans="10:10">
      <c r="J322" s="187" t="e">
        <f t="shared" si="22"/>
        <v>#NUM!</v>
      </c>
    </row>
    <row r="323" spans="10:10">
      <c r="J323" s="187" t="e">
        <f t="shared" si="22"/>
        <v>#NUM!</v>
      </c>
    </row>
    <row r="324" spans="10:10">
      <c r="J324" s="187" t="e">
        <f t="shared" si="22"/>
        <v>#NUM!</v>
      </c>
    </row>
    <row r="325" spans="10:10">
      <c r="J325" s="187" t="e">
        <f t="shared" si="22"/>
        <v>#NUM!</v>
      </c>
    </row>
    <row r="326" spans="10:10">
      <c r="J326" s="187" t="e">
        <f t="shared" si="22"/>
        <v>#NUM!</v>
      </c>
    </row>
    <row r="327" spans="10:10">
      <c r="J327" s="187" t="e">
        <f t="shared" ref="J327:J374" si="23">INT(LOG($H$2,2))-ROUNDUP(LOG(H327,2),0)+IF(OR($H$2=1,$H$2=2,$H$2=4,$H$2=8,$H$2=16,$H$2=32,$H$2=64,$H$2=128,$H$2=256),0,1)</f>
        <v>#NUM!</v>
      </c>
    </row>
    <row r="328" spans="10:10">
      <c r="J328" s="187" t="e">
        <f t="shared" si="23"/>
        <v>#NUM!</v>
      </c>
    </row>
    <row r="329" spans="10:10">
      <c r="J329" s="187" t="e">
        <f t="shared" si="23"/>
        <v>#NUM!</v>
      </c>
    </row>
    <row r="330" spans="10:10">
      <c r="J330" s="187" t="e">
        <f t="shared" si="23"/>
        <v>#NUM!</v>
      </c>
    </row>
    <row r="331" spans="10:10">
      <c r="J331" s="187" t="e">
        <f t="shared" si="23"/>
        <v>#NUM!</v>
      </c>
    </row>
    <row r="332" spans="10:10">
      <c r="J332" s="187" t="e">
        <f t="shared" si="23"/>
        <v>#NUM!</v>
      </c>
    </row>
    <row r="333" spans="10:10">
      <c r="J333" s="187" t="e">
        <f t="shared" si="23"/>
        <v>#NUM!</v>
      </c>
    </row>
    <row r="334" spans="10:10">
      <c r="J334" s="187" t="e">
        <f t="shared" si="23"/>
        <v>#NUM!</v>
      </c>
    </row>
    <row r="335" spans="10:10">
      <c r="J335" s="187" t="e">
        <f t="shared" si="23"/>
        <v>#NUM!</v>
      </c>
    </row>
    <row r="336" spans="10:10">
      <c r="J336" s="187" t="e">
        <f t="shared" si="23"/>
        <v>#NUM!</v>
      </c>
    </row>
    <row r="337" spans="10:10">
      <c r="J337" s="187" t="e">
        <f t="shared" si="23"/>
        <v>#NUM!</v>
      </c>
    </row>
    <row r="338" spans="10:10">
      <c r="J338" s="187" t="e">
        <f t="shared" si="23"/>
        <v>#NUM!</v>
      </c>
    </row>
    <row r="339" spans="10:10">
      <c r="J339" s="187" t="e">
        <f t="shared" si="23"/>
        <v>#NUM!</v>
      </c>
    </row>
    <row r="340" spans="10:10">
      <c r="J340" s="187" t="e">
        <f t="shared" si="23"/>
        <v>#NUM!</v>
      </c>
    </row>
    <row r="341" spans="10:10">
      <c r="J341" s="187" t="e">
        <f t="shared" si="23"/>
        <v>#NUM!</v>
      </c>
    </row>
    <row r="342" spans="10:10">
      <c r="J342" s="187" t="e">
        <f t="shared" si="23"/>
        <v>#NUM!</v>
      </c>
    </row>
    <row r="343" spans="10:10">
      <c r="J343" s="187" t="e">
        <f t="shared" si="23"/>
        <v>#NUM!</v>
      </c>
    </row>
    <row r="344" spans="10:10">
      <c r="J344" s="187" t="e">
        <f t="shared" si="23"/>
        <v>#NUM!</v>
      </c>
    </row>
    <row r="345" spans="10:10">
      <c r="J345" s="187" t="e">
        <f t="shared" si="23"/>
        <v>#NUM!</v>
      </c>
    </row>
    <row r="346" spans="10:10">
      <c r="J346" s="187" t="e">
        <f t="shared" si="23"/>
        <v>#NUM!</v>
      </c>
    </row>
    <row r="347" spans="10:10">
      <c r="J347" s="187" t="e">
        <f t="shared" si="23"/>
        <v>#NUM!</v>
      </c>
    </row>
    <row r="348" spans="10:10">
      <c r="J348" s="187" t="e">
        <f t="shared" si="23"/>
        <v>#NUM!</v>
      </c>
    </row>
    <row r="349" spans="10:10">
      <c r="J349" s="187" t="e">
        <f t="shared" si="23"/>
        <v>#NUM!</v>
      </c>
    </row>
    <row r="350" spans="10:10">
      <c r="J350" s="187" t="e">
        <f t="shared" si="23"/>
        <v>#NUM!</v>
      </c>
    </row>
    <row r="351" spans="10:10">
      <c r="J351" s="187" t="e">
        <f t="shared" si="23"/>
        <v>#NUM!</v>
      </c>
    </row>
    <row r="352" spans="10:10">
      <c r="J352" s="187" t="e">
        <f t="shared" si="23"/>
        <v>#NUM!</v>
      </c>
    </row>
    <row r="353" spans="10:10">
      <c r="J353" s="187" t="e">
        <f t="shared" si="23"/>
        <v>#NUM!</v>
      </c>
    </row>
    <row r="354" spans="10:10">
      <c r="J354" s="187" t="e">
        <f t="shared" si="23"/>
        <v>#NUM!</v>
      </c>
    </row>
    <row r="355" spans="10:10">
      <c r="J355" s="187" t="e">
        <f t="shared" si="23"/>
        <v>#NUM!</v>
      </c>
    </row>
    <row r="356" spans="10:10">
      <c r="J356" s="187" t="e">
        <f t="shared" si="23"/>
        <v>#NUM!</v>
      </c>
    </row>
    <row r="357" spans="10:10">
      <c r="J357" s="187" t="e">
        <f t="shared" si="23"/>
        <v>#NUM!</v>
      </c>
    </row>
    <row r="358" spans="10:10">
      <c r="J358" s="187" t="e">
        <f t="shared" si="23"/>
        <v>#NUM!</v>
      </c>
    </row>
    <row r="359" spans="10:10">
      <c r="J359" s="187" t="e">
        <f t="shared" si="23"/>
        <v>#NUM!</v>
      </c>
    </row>
    <row r="360" spans="10:10">
      <c r="J360" s="187" t="e">
        <f t="shared" si="23"/>
        <v>#NUM!</v>
      </c>
    </row>
    <row r="361" spans="10:10">
      <c r="J361" s="187" t="e">
        <f t="shared" si="23"/>
        <v>#NUM!</v>
      </c>
    </row>
    <row r="362" spans="10:10">
      <c r="J362" s="187" t="e">
        <f t="shared" si="23"/>
        <v>#NUM!</v>
      </c>
    </row>
    <row r="363" spans="10:10">
      <c r="J363" s="187" t="e">
        <f t="shared" si="23"/>
        <v>#NUM!</v>
      </c>
    </row>
    <row r="364" spans="10:10">
      <c r="J364" s="187" t="e">
        <f t="shared" si="23"/>
        <v>#NUM!</v>
      </c>
    </row>
    <row r="365" spans="10:10">
      <c r="J365" s="187" t="e">
        <f t="shared" si="23"/>
        <v>#NUM!</v>
      </c>
    </row>
    <row r="366" spans="10:10">
      <c r="J366" s="187" t="e">
        <f t="shared" si="23"/>
        <v>#NUM!</v>
      </c>
    </row>
    <row r="367" spans="10:10">
      <c r="J367" s="187" t="e">
        <f t="shared" si="23"/>
        <v>#NUM!</v>
      </c>
    </row>
    <row r="368" spans="10:10">
      <c r="J368" s="187" t="e">
        <f t="shared" si="23"/>
        <v>#NUM!</v>
      </c>
    </row>
    <row r="369" spans="10:10">
      <c r="J369" s="187" t="e">
        <f t="shared" si="23"/>
        <v>#NUM!</v>
      </c>
    </row>
    <row r="370" spans="10:10">
      <c r="J370" s="187" t="e">
        <f t="shared" si="23"/>
        <v>#NUM!</v>
      </c>
    </row>
    <row r="371" spans="10:10">
      <c r="J371" s="187" t="e">
        <f t="shared" si="23"/>
        <v>#NUM!</v>
      </c>
    </row>
    <row r="372" spans="10:10">
      <c r="J372" s="187" t="e">
        <f t="shared" si="23"/>
        <v>#NUM!</v>
      </c>
    </row>
    <row r="373" spans="10:10">
      <c r="J373" s="187" t="e">
        <f t="shared" si="23"/>
        <v>#NUM!</v>
      </c>
    </row>
    <row r="374" spans="10:10">
      <c r="J374" s="187" t="e">
        <f t="shared" si="23"/>
        <v>#NUM!</v>
      </c>
    </row>
  </sheetData>
  <conditionalFormatting sqref="J9:K305">
    <cfRule type="cellIs" dxfId="7" priority="1" operator="lessThanOrEqual">
      <formula>0</formula>
    </cfRule>
  </conditionalFormatting>
  <hyperlinks>
    <hyperlink ref="C2" r:id="rId1" xr:uid="{A1F284A4-9376-4FE7-9BF2-9FE86050109F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5384-FE9A-486E-A185-4E25EA8AE243}">
  <sheetPr>
    <tabColor theme="7" tint="0.79998168889431442"/>
  </sheetPr>
  <dimension ref="A1:AL317"/>
  <sheetViews>
    <sheetView workbookViewId="0">
      <selection activeCell="C2" sqref="C2:C3"/>
    </sheetView>
  </sheetViews>
  <sheetFormatPr defaultColWidth="8.85546875" defaultRowHeight="15"/>
  <cols>
    <col min="1" max="1" width="8" style="184" customWidth="1"/>
    <col min="2" max="2" width="8.28515625" style="184" customWidth="1"/>
    <col min="3" max="3" width="34.7109375" style="184" customWidth="1"/>
    <col min="4" max="4" width="11.28515625" style="184" customWidth="1"/>
    <col min="5" max="6" width="8.85546875" style="184"/>
    <col min="7" max="7" width="0.85546875" style="184" customWidth="1"/>
    <col min="8" max="8" width="8.85546875" style="187"/>
    <col min="9" max="9" width="11" style="187" customWidth="1"/>
    <col min="10" max="10" width="15.28515625" style="187" customWidth="1"/>
    <col min="11" max="11" width="8.7109375" style="187" customWidth="1"/>
    <col min="12" max="12" width="11" style="187" customWidth="1"/>
    <col min="13" max="13" width="12.28515625" style="188" customWidth="1"/>
    <col min="14" max="15" width="13.85546875" style="156" customWidth="1"/>
    <col min="16" max="18" width="8.85546875" style="156"/>
    <col min="19" max="20" width="8.85546875" style="161"/>
    <col min="21" max="21" width="12.140625" style="161" customWidth="1"/>
    <col min="22" max="22" width="27.42578125" style="161" customWidth="1"/>
    <col min="23" max="38" width="8.85546875" style="161"/>
    <col min="39" max="16384" width="8.85546875" style="184"/>
  </cols>
  <sheetData>
    <row r="1" spans="1:36">
      <c r="A1" s="156"/>
      <c r="B1" s="156"/>
      <c r="C1" s="156"/>
      <c r="D1" s="156"/>
      <c r="E1" s="156"/>
      <c r="F1" s="156"/>
      <c r="G1" s="156"/>
      <c r="H1" s="157" t="s">
        <v>40</v>
      </c>
      <c r="I1" s="158" t="s">
        <v>41</v>
      </c>
      <c r="J1" s="158" t="s">
        <v>42</v>
      </c>
      <c r="K1" s="159" t="s">
        <v>272</v>
      </c>
      <c r="L1" s="160"/>
      <c r="M1" s="160"/>
    </row>
    <row r="2" spans="1:36">
      <c r="A2" s="156"/>
      <c r="B2" s="47" t="s">
        <v>44</v>
      </c>
      <c r="C2" s="194" t="s">
        <v>314</v>
      </c>
      <c r="D2" s="200"/>
      <c r="E2" s="6"/>
      <c r="F2" s="6"/>
      <c r="G2" s="6"/>
      <c r="H2" s="162">
        <v>0</v>
      </c>
      <c r="I2" s="163">
        <v>50</v>
      </c>
      <c r="J2" s="163">
        <v>10</v>
      </c>
      <c r="K2" s="164">
        <f>3*H2^(1/3)</f>
        <v>0</v>
      </c>
      <c r="L2" s="160"/>
      <c r="M2" s="160"/>
    </row>
    <row r="3" spans="1:36">
      <c r="A3" s="156"/>
      <c r="B3" s="165" t="s">
        <v>46</v>
      </c>
      <c r="C3" s="201" t="s">
        <v>315</v>
      </c>
      <c r="D3" s="201"/>
      <c r="E3" s="7"/>
      <c r="F3" s="7"/>
      <c r="G3" s="7"/>
      <c r="H3" s="160"/>
      <c r="I3" s="160"/>
      <c r="J3" s="191"/>
      <c r="K3" s="160"/>
      <c r="L3" s="160"/>
      <c r="M3" s="160"/>
    </row>
    <row r="4" spans="1:36" ht="10.15" customHeight="1">
      <c r="A4" s="8"/>
      <c r="B4" s="7"/>
      <c r="C4" s="8"/>
      <c r="D4" s="8"/>
      <c r="E4" s="8"/>
      <c r="F4" s="8"/>
      <c r="G4" s="8"/>
      <c r="H4" s="160"/>
      <c r="I4" s="160"/>
      <c r="J4" s="191"/>
      <c r="K4" s="160"/>
      <c r="L4" s="160"/>
      <c r="M4" s="160"/>
    </row>
    <row r="5" spans="1:36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166" t="s">
        <v>54</v>
      </c>
      <c r="I5" s="167" t="s">
        <v>55</v>
      </c>
      <c r="J5" s="192" t="s">
        <v>96</v>
      </c>
      <c r="K5" s="167" t="s">
        <v>97</v>
      </c>
      <c r="L5" s="167" t="s">
        <v>58</v>
      </c>
      <c r="M5" s="166" t="s">
        <v>59</v>
      </c>
    </row>
    <row r="6" spans="1:36" ht="14.45" customHeight="1">
      <c r="A6" s="86">
        <f>M6</f>
        <v>0</v>
      </c>
      <c r="B6" s="36" t="str">
        <f t="shared" ref="B6:B69" si="0">IF(H6&gt;$H$2,"",(ROW()-5))</f>
        <v/>
      </c>
      <c r="C6" s="24"/>
      <c r="D6" s="24"/>
      <c r="E6" s="24"/>
      <c r="F6" s="24"/>
      <c r="G6" s="8"/>
      <c r="H6" s="168">
        <v>1</v>
      </c>
      <c r="I6" s="169" t="str">
        <f t="shared" ref="I6:I69" si="1">IF(H6&lt;$H$2+1,($I$2-($I$2-1)*(LOG(H6)/LOG($H$2))),"")</f>
        <v/>
      </c>
      <c r="J6" s="168" t="e">
        <f>INT(LOG($H$2,2))-ROUNDUP(LOG(H6,2),0)+IF(OR($H$2=1,$H$2=2,$H$2=4,$H$2=8,$H$2=16,$H$2=32,$H$2=64,$H$2=128,$H$2=256),0,1)</f>
        <v>#NUM!</v>
      </c>
      <c r="K6" s="168" t="e">
        <f t="shared" ref="K6:K69" si="2">J6*$J$2</f>
        <v>#NUM!</v>
      </c>
      <c r="L6" s="170">
        <f>3*K2</f>
        <v>0</v>
      </c>
      <c r="M6" s="170">
        <f t="shared" ref="M6:M69" si="3">IF(I6&lt;&gt;"",K6+I6+L6,0)</f>
        <v>0</v>
      </c>
    </row>
    <row r="7" spans="1:36" ht="14.45" customHeight="1">
      <c r="A7" s="90">
        <f t="shared" ref="A7:A70" si="4">M7</f>
        <v>0</v>
      </c>
      <c r="B7" s="35" t="str">
        <f t="shared" si="0"/>
        <v/>
      </c>
      <c r="C7" s="25"/>
      <c r="D7" s="25"/>
      <c r="E7" s="25"/>
      <c r="F7" s="25"/>
      <c r="G7" s="8"/>
      <c r="H7" s="171">
        <v>2</v>
      </c>
      <c r="I7" s="172" t="str">
        <f t="shared" si="1"/>
        <v/>
      </c>
      <c r="J7" s="171" t="e">
        <f t="shared" ref="J7:J70" si="5">INT(LOG($H$2,2))-ROUNDUP(LOG(H7,2),0)+IF(OR($H$2=1,$H$2=2,$H$2=4,$H$2=8,$H$2=16,$H$2=32,$H$2=64,$H$2=128,$H$2=256),0,1)</f>
        <v>#NUM!</v>
      </c>
      <c r="K7" s="171" t="e">
        <f t="shared" si="2"/>
        <v>#NUM!</v>
      </c>
      <c r="L7" s="173">
        <f>2*K2</f>
        <v>0</v>
      </c>
      <c r="M7" s="173">
        <f t="shared" si="3"/>
        <v>0</v>
      </c>
    </row>
    <row r="8" spans="1:36" ht="14.45" customHeight="1">
      <c r="A8" s="86">
        <f t="shared" ref="A8" si="6">M8</f>
        <v>0</v>
      </c>
      <c r="B8" s="36" t="str">
        <f t="shared" ref="B8" si="7">IF(H8&gt;$H$2,"",(ROW()-5))</f>
        <v/>
      </c>
      <c r="C8" s="24"/>
      <c r="D8" s="24"/>
      <c r="E8" s="24"/>
      <c r="F8" s="24"/>
      <c r="G8" s="8"/>
      <c r="H8" s="168">
        <v>3</v>
      </c>
      <c r="I8" s="169" t="str">
        <f t="shared" si="1"/>
        <v/>
      </c>
      <c r="J8" s="168" t="e">
        <f t="shared" si="5"/>
        <v>#NUM!</v>
      </c>
      <c r="K8" s="168" t="e">
        <f t="shared" si="2"/>
        <v>#NUM!</v>
      </c>
      <c r="L8" s="170">
        <f>K2</f>
        <v>0</v>
      </c>
      <c r="M8" s="170">
        <f t="shared" si="3"/>
        <v>0</v>
      </c>
    </row>
    <row r="9" spans="1:36" s="161" customFormat="1" ht="14.45" customHeight="1">
      <c r="A9" s="90">
        <f t="shared" si="4"/>
        <v>0</v>
      </c>
      <c r="B9" s="35" t="str">
        <f>IF(H9&gt;$H$2,"",3)</f>
        <v/>
      </c>
      <c r="C9" s="25"/>
      <c r="D9" s="25"/>
      <c r="E9" s="25"/>
      <c r="F9" s="25"/>
      <c r="G9" s="8"/>
      <c r="H9" s="171">
        <v>3</v>
      </c>
      <c r="I9" s="172" t="str">
        <f t="shared" si="1"/>
        <v/>
      </c>
      <c r="J9" s="171" t="e">
        <f t="shared" si="5"/>
        <v>#NUM!</v>
      </c>
      <c r="K9" s="171" t="e">
        <f t="shared" si="2"/>
        <v>#NUM!</v>
      </c>
      <c r="L9" s="173">
        <f>K2</f>
        <v>0</v>
      </c>
      <c r="M9" s="173">
        <f t="shared" si="3"/>
        <v>0</v>
      </c>
      <c r="N9" s="156"/>
      <c r="O9" s="156"/>
      <c r="P9" s="156"/>
      <c r="Q9" s="156"/>
      <c r="R9" s="156"/>
      <c r="V9" s="174"/>
      <c r="Z9" s="175"/>
      <c r="AA9" s="175"/>
      <c r="AG9" s="176"/>
      <c r="AH9" s="161" t="s">
        <v>99</v>
      </c>
      <c r="AI9" s="161">
        <v>23</v>
      </c>
    </row>
    <row r="10" spans="1:36" ht="14.45" customHeight="1">
      <c r="A10" s="86">
        <f t="shared" si="4"/>
        <v>0</v>
      </c>
      <c r="B10" s="36" t="str">
        <f t="shared" si="0"/>
        <v/>
      </c>
      <c r="C10" s="24"/>
      <c r="D10" s="24"/>
      <c r="E10" s="24"/>
      <c r="F10" s="24"/>
      <c r="G10" s="8"/>
      <c r="H10" s="168">
        <v>5</v>
      </c>
      <c r="I10" s="169" t="str">
        <f t="shared" si="1"/>
        <v/>
      </c>
      <c r="J10" s="168" t="e">
        <f t="shared" si="5"/>
        <v>#NUM!</v>
      </c>
      <c r="K10" s="168" t="e">
        <f t="shared" si="2"/>
        <v>#NUM!</v>
      </c>
      <c r="L10" s="168"/>
      <c r="M10" s="170">
        <f t="shared" si="3"/>
        <v>0</v>
      </c>
      <c r="V10" s="174"/>
      <c r="Z10" s="175"/>
      <c r="AA10" s="175"/>
      <c r="AG10" s="176"/>
      <c r="AH10" s="161" t="s">
        <v>100</v>
      </c>
      <c r="AI10" s="161">
        <v>45</v>
      </c>
    </row>
    <row r="11" spans="1:36" ht="14.45" customHeight="1">
      <c r="A11" s="90">
        <f t="shared" si="4"/>
        <v>0</v>
      </c>
      <c r="B11" s="35" t="str">
        <f t="shared" si="0"/>
        <v/>
      </c>
      <c r="C11" s="25"/>
      <c r="D11" s="25"/>
      <c r="E11" s="25"/>
      <c r="F11" s="25"/>
      <c r="G11" s="8"/>
      <c r="H11" s="171">
        <v>6</v>
      </c>
      <c r="I11" s="172" t="str">
        <f t="shared" si="1"/>
        <v/>
      </c>
      <c r="J11" s="171" t="e">
        <f t="shared" si="5"/>
        <v>#NUM!</v>
      </c>
      <c r="K11" s="171" t="e">
        <f t="shared" si="2"/>
        <v>#NUM!</v>
      </c>
      <c r="L11" s="171"/>
      <c r="M11" s="173">
        <f t="shared" si="3"/>
        <v>0</v>
      </c>
      <c r="V11" s="177"/>
      <c r="Z11" s="175"/>
      <c r="AA11" s="175"/>
      <c r="AG11" s="176"/>
      <c r="AH11" s="161" t="s">
        <v>101</v>
      </c>
      <c r="AI11" s="161">
        <v>50</v>
      </c>
    </row>
    <row r="12" spans="1:36" ht="14.45" customHeight="1">
      <c r="A12" s="86">
        <f t="shared" si="4"/>
        <v>0</v>
      </c>
      <c r="B12" s="36" t="str">
        <f t="shared" si="0"/>
        <v/>
      </c>
      <c r="C12" s="24"/>
      <c r="D12" s="24"/>
      <c r="E12" s="24"/>
      <c r="F12" s="24"/>
      <c r="G12" s="8"/>
      <c r="H12" s="168">
        <v>7</v>
      </c>
      <c r="I12" s="169" t="str">
        <f t="shared" si="1"/>
        <v/>
      </c>
      <c r="J12" s="168" t="e">
        <f t="shared" si="5"/>
        <v>#NUM!</v>
      </c>
      <c r="K12" s="168" t="e">
        <f t="shared" si="2"/>
        <v>#NUM!</v>
      </c>
      <c r="L12" s="168"/>
      <c r="M12" s="170">
        <f t="shared" si="3"/>
        <v>0</v>
      </c>
      <c r="Z12" s="175"/>
      <c r="AA12" s="175"/>
      <c r="AG12" s="176"/>
      <c r="AH12" s="161" t="s">
        <v>102</v>
      </c>
      <c r="AI12" s="161">
        <f>AI11-1</f>
        <v>49</v>
      </c>
    </row>
    <row r="13" spans="1:36" ht="14.45" customHeight="1">
      <c r="A13" s="90">
        <f t="shared" si="4"/>
        <v>0</v>
      </c>
      <c r="B13" s="35" t="str">
        <f t="shared" si="0"/>
        <v/>
      </c>
      <c r="C13" s="25"/>
      <c r="D13" s="25"/>
      <c r="E13" s="25"/>
      <c r="F13" s="25"/>
      <c r="G13" s="8"/>
      <c r="H13" s="171">
        <v>8</v>
      </c>
      <c r="I13" s="172" t="str">
        <f t="shared" si="1"/>
        <v/>
      </c>
      <c r="J13" s="171" t="e">
        <f t="shared" si="5"/>
        <v>#NUM!</v>
      </c>
      <c r="K13" s="171" t="e">
        <f t="shared" si="2"/>
        <v>#NUM!</v>
      </c>
      <c r="L13" s="171"/>
      <c r="M13" s="173">
        <f t="shared" si="3"/>
        <v>0</v>
      </c>
      <c r="X13" s="174"/>
      <c r="AG13" s="176"/>
      <c r="AH13" s="161" t="s">
        <v>104</v>
      </c>
      <c r="AI13" s="161">
        <f>LOG(AI9)</f>
        <v>1.3617278360175928</v>
      </c>
    </row>
    <row r="14" spans="1:36">
      <c r="A14" s="86">
        <f t="shared" si="4"/>
        <v>0</v>
      </c>
      <c r="B14" s="36" t="str">
        <f t="shared" si="0"/>
        <v/>
      </c>
      <c r="C14" s="24"/>
      <c r="D14" s="24"/>
      <c r="E14" s="24"/>
      <c r="F14" s="24"/>
      <c r="G14" s="8"/>
      <c r="H14" s="168">
        <v>9</v>
      </c>
      <c r="I14" s="169" t="str">
        <f t="shared" si="1"/>
        <v/>
      </c>
      <c r="J14" s="168" t="e">
        <f t="shared" si="5"/>
        <v>#NUM!</v>
      </c>
      <c r="K14" s="168" t="e">
        <f t="shared" si="2"/>
        <v>#NUM!</v>
      </c>
      <c r="L14" s="168"/>
      <c r="M14" s="170">
        <f t="shared" si="3"/>
        <v>0</v>
      </c>
      <c r="X14" s="178"/>
      <c r="Z14" s="175"/>
      <c r="AA14" s="175"/>
      <c r="AG14" s="176"/>
      <c r="AH14" s="161" t="s">
        <v>105</v>
      </c>
      <c r="AI14" s="161">
        <f>LOG(AI10)</f>
        <v>1.6532125137753437</v>
      </c>
    </row>
    <row r="15" spans="1:36">
      <c r="A15" s="90">
        <f t="shared" si="4"/>
        <v>0</v>
      </c>
      <c r="B15" s="35" t="str">
        <f t="shared" si="0"/>
        <v/>
      </c>
      <c r="C15" s="25"/>
      <c r="D15" s="25"/>
      <c r="E15" s="25"/>
      <c r="F15" s="25"/>
      <c r="G15" s="8"/>
      <c r="H15" s="171">
        <v>10</v>
      </c>
      <c r="I15" s="172" t="str">
        <f t="shared" si="1"/>
        <v/>
      </c>
      <c r="J15" s="171" t="e">
        <f t="shared" si="5"/>
        <v>#NUM!</v>
      </c>
      <c r="K15" s="171" t="e">
        <f t="shared" si="2"/>
        <v>#NUM!</v>
      </c>
      <c r="L15" s="171"/>
      <c r="M15" s="173">
        <f t="shared" si="3"/>
        <v>0</v>
      </c>
      <c r="X15" s="174"/>
      <c r="Z15" s="175"/>
      <c r="AA15" s="175"/>
    </row>
    <row r="16" spans="1:36">
      <c r="A16" s="86">
        <f t="shared" si="4"/>
        <v>0</v>
      </c>
      <c r="B16" s="36" t="str">
        <f t="shared" si="0"/>
        <v/>
      </c>
      <c r="C16" s="24"/>
      <c r="D16" s="24"/>
      <c r="E16" s="24"/>
      <c r="F16" s="24"/>
      <c r="G16" s="8"/>
      <c r="H16" s="168">
        <v>11</v>
      </c>
      <c r="I16" s="169" t="str">
        <f t="shared" si="1"/>
        <v/>
      </c>
      <c r="J16" s="168" t="e">
        <f t="shared" si="5"/>
        <v>#NUM!</v>
      </c>
      <c r="K16" s="168" t="e">
        <f t="shared" si="2"/>
        <v>#NUM!</v>
      </c>
      <c r="L16" s="168"/>
      <c r="M16" s="170">
        <f t="shared" si="3"/>
        <v>0</v>
      </c>
      <c r="R16" s="179"/>
      <c r="Z16" s="175"/>
      <c r="AA16" s="175"/>
      <c r="AH16" s="180" t="s">
        <v>107</v>
      </c>
      <c r="AI16" s="161">
        <f>AI11-AI12*AI13/AI14</f>
        <v>9.6393909380186855</v>
      </c>
      <c r="AJ16" s="161" t="s">
        <v>108</v>
      </c>
    </row>
    <row r="17" spans="1:19">
      <c r="A17" s="90">
        <f t="shared" si="4"/>
        <v>0</v>
      </c>
      <c r="B17" s="35" t="str">
        <f t="shared" si="0"/>
        <v/>
      </c>
      <c r="C17" s="25"/>
      <c r="D17" s="25"/>
      <c r="E17" s="25"/>
      <c r="F17" s="25"/>
      <c r="G17" s="8"/>
      <c r="H17" s="171">
        <v>12</v>
      </c>
      <c r="I17" s="172" t="str">
        <f t="shared" si="1"/>
        <v/>
      </c>
      <c r="J17" s="171" t="e">
        <f t="shared" si="5"/>
        <v>#NUM!</v>
      </c>
      <c r="K17" s="171" t="e">
        <f t="shared" si="2"/>
        <v>#NUM!</v>
      </c>
      <c r="L17" s="171"/>
      <c r="M17" s="173">
        <f t="shared" si="3"/>
        <v>0</v>
      </c>
    </row>
    <row r="18" spans="1:19">
      <c r="A18" s="86">
        <f t="shared" si="4"/>
        <v>0</v>
      </c>
      <c r="B18" s="36" t="str">
        <f t="shared" si="0"/>
        <v/>
      </c>
      <c r="C18" s="24"/>
      <c r="D18" s="24"/>
      <c r="E18" s="24"/>
      <c r="F18" s="24"/>
      <c r="G18" s="8"/>
      <c r="H18" s="168">
        <v>13</v>
      </c>
      <c r="I18" s="169" t="str">
        <f t="shared" si="1"/>
        <v/>
      </c>
      <c r="J18" s="168" t="e">
        <f t="shared" si="5"/>
        <v>#NUM!</v>
      </c>
      <c r="K18" s="168" t="e">
        <f t="shared" si="2"/>
        <v>#NUM!</v>
      </c>
      <c r="L18" s="168"/>
      <c r="M18" s="170">
        <f t="shared" si="3"/>
        <v>0</v>
      </c>
    </row>
    <row r="19" spans="1:19">
      <c r="A19" s="90">
        <f t="shared" si="4"/>
        <v>0</v>
      </c>
      <c r="B19" s="35" t="str">
        <f t="shared" si="0"/>
        <v/>
      </c>
      <c r="C19" s="25"/>
      <c r="D19" s="25"/>
      <c r="E19" s="25"/>
      <c r="F19" s="25"/>
      <c r="G19" s="8"/>
      <c r="H19" s="171">
        <v>14</v>
      </c>
      <c r="I19" s="172" t="str">
        <f t="shared" si="1"/>
        <v/>
      </c>
      <c r="J19" s="171" t="e">
        <f t="shared" si="5"/>
        <v>#NUM!</v>
      </c>
      <c r="K19" s="171" t="e">
        <f t="shared" si="2"/>
        <v>#NUM!</v>
      </c>
      <c r="L19" s="171"/>
      <c r="M19" s="173">
        <f t="shared" si="3"/>
        <v>0</v>
      </c>
    </row>
    <row r="20" spans="1:19">
      <c r="A20" s="86">
        <f t="shared" si="4"/>
        <v>0</v>
      </c>
      <c r="B20" s="36" t="str">
        <f t="shared" si="0"/>
        <v/>
      </c>
      <c r="C20" s="24"/>
      <c r="D20" s="24"/>
      <c r="E20" s="24"/>
      <c r="F20" s="24"/>
      <c r="G20" s="8"/>
      <c r="H20" s="168">
        <v>15</v>
      </c>
      <c r="I20" s="169" t="str">
        <f t="shared" si="1"/>
        <v/>
      </c>
      <c r="J20" s="168" t="e">
        <f t="shared" si="5"/>
        <v>#NUM!</v>
      </c>
      <c r="K20" s="168" t="e">
        <f t="shared" si="2"/>
        <v>#NUM!</v>
      </c>
      <c r="L20" s="168"/>
      <c r="M20" s="170">
        <f t="shared" si="3"/>
        <v>0</v>
      </c>
      <c r="R20" s="181"/>
      <c r="S20" s="182"/>
    </row>
    <row r="21" spans="1:19">
      <c r="A21" s="90">
        <f t="shared" si="4"/>
        <v>0</v>
      </c>
      <c r="B21" s="35" t="str">
        <f t="shared" si="0"/>
        <v/>
      </c>
      <c r="C21" s="25"/>
      <c r="D21" s="25"/>
      <c r="E21" s="25"/>
      <c r="F21" s="25"/>
      <c r="G21" s="8"/>
      <c r="H21" s="171">
        <v>16</v>
      </c>
      <c r="I21" s="172" t="str">
        <f t="shared" si="1"/>
        <v/>
      </c>
      <c r="J21" s="171" t="e">
        <f t="shared" si="5"/>
        <v>#NUM!</v>
      </c>
      <c r="K21" s="171" t="e">
        <f t="shared" si="2"/>
        <v>#NUM!</v>
      </c>
      <c r="L21" s="171"/>
      <c r="M21" s="173">
        <f t="shared" si="3"/>
        <v>0</v>
      </c>
    </row>
    <row r="22" spans="1:19">
      <c r="A22" s="86">
        <f t="shared" si="4"/>
        <v>0</v>
      </c>
      <c r="B22" s="36" t="str">
        <f t="shared" si="0"/>
        <v/>
      </c>
      <c r="C22" s="24"/>
      <c r="D22" s="24"/>
      <c r="E22" s="24"/>
      <c r="F22" s="24"/>
      <c r="G22" s="8"/>
      <c r="H22" s="168">
        <v>17</v>
      </c>
      <c r="I22" s="169" t="str">
        <f t="shared" si="1"/>
        <v/>
      </c>
      <c r="J22" s="168" t="e">
        <f t="shared" si="5"/>
        <v>#NUM!</v>
      </c>
      <c r="K22" s="168" t="e">
        <f t="shared" si="2"/>
        <v>#NUM!</v>
      </c>
      <c r="L22" s="168"/>
      <c r="M22" s="170">
        <f t="shared" si="3"/>
        <v>0</v>
      </c>
    </row>
    <row r="23" spans="1:19">
      <c r="A23" s="90">
        <f t="shared" si="4"/>
        <v>0</v>
      </c>
      <c r="B23" s="35" t="str">
        <f t="shared" si="0"/>
        <v/>
      </c>
      <c r="C23" s="25"/>
      <c r="D23" s="25"/>
      <c r="E23" s="25"/>
      <c r="F23" s="25"/>
      <c r="G23" s="8"/>
      <c r="H23" s="171">
        <v>18</v>
      </c>
      <c r="I23" s="172" t="str">
        <f t="shared" si="1"/>
        <v/>
      </c>
      <c r="J23" s="171" t="e">
        <f t="shared" si="5"/>
        <v>#NUM!</v>
      </c>
      <c r="K23" s="171" t="e">
        <f t="shared" si="2"/>
        <v>#NUM!</v>
      </c>
      <c r="L23" s="171"/>
      <c r="M23" s="173">
        <f t="shared" si="3"/>
        <v>0</v>
      </c>
    </row>
    <row r="24" spans="1:19">
      <c r="A24" s="86">
        <f t="shared" si="4"/>
        <v>0</v>
      </c>
      <c r="B24" s="36" t="str">
        <f t="shared" si="0"/>
        <v/>
      </c>
      <c r="C24" s="24"/>
      <c r="D24" s="24"/>
      <c r="E24" s="24"/>
      <c r="F24" s="24"/>
      <c r="G24" s="8"/>
      <c r="H24" s="168">
        <v>19</v>
      </c>
      <c r="I24" s="169" t="str">
        <f t="shared" si="1"/>
        <v/>
      </c>
      <c r="J24" s="168" t="e">
        <f t="shared" si="5"/>
        <v>#NUM!</v>
      </c>
      <c r="K24" s="168" t="e">
        <f t="shared" si="2"/>
        <v>#NUM!</v>
      </c>
      <c r="L24" s="168"/>
      <c r="M24" s="170">
        <f t="shared" si="3"/>
        <v>0</v>
      </c>
      <c r="R24" s="181"/>
      <c r="S24" s="182"/>
    </row>
    <row r="25" spans="1:19">
      <c r="A25" s="90">
        <f t="shared" si="4"/>
        <v>0</v>
      </c>
      <c r="B25" s="35" t="str">
        <f t="shared" si="0"/>
        <v/>
      </c>
      <c r="C25" s="25"/>
      <c r="D25" s="25"/>
      <c r="E25" s="25"/>
      <c r="F25" s="25"/>
      <c r="G25" s="8"/>
      <c r="H25" s="171">
        <v>20</v>
      </c>
      <c r="I25" s="172" t="str">
        <f t="shared" si="1"/>
        <v/>
      </c>
      <c r="J25" s="171" t="e">
        <f t="shared" si="5"/>
        <v>#NUM!</v>
      </c>
      <c r="K25" s="171" t="e">
        <f t="shared" si="2"/>
        <v>#NUM!</v>
      </c>
      <c r="L25" s="171"/>
      <c r="M25" s="173">
        <f t="shared" si="3"/>
        <v>0</v>
      </c>
    </row>
    <row r="26" spans="1:19">
      <c r="A26" s="86">
        <f t="shared" si="4"/>
        <v>0</v>
      </c>
      <c r="B26" s="36" t="str">
        <f t="shared" si="0"/>
        <v/>
      </c>
      <c r="C26" s="24"/>
      <c r="D26" s="24"/>
      <c r="E26" s="24"/>
      <c r="F26" s="24"/>
      <c r="G26" s="8"/>
      <c r="H26" s="168">
        <v>21</v>
      </c>
      <c r="I26" s="169" t="str">
        <f t="shared" si="1"/>
        <v/>
      </c>
      <c r="J26" s="168" t="e">
        <f t="shared" si="5"/>
        <v>#NUM!</v>
      </c>
      <c r="K26" s="168" t="e">
        <f t="shared" si="2"/>
        <v>#NUM!</v>
      </c>
      <c r="L26" s="168"/>
      <c r="M26" s="170">
        <f t="shared" si="3"/>
        <v>0</v>
      </c>
    </row>
    <row r="27" spans="1:19">
      <c r="A27" s="90">
        <f t="shared" si="4"/>
        <v>0</v>
      </c>
      <c r="B27" s="35" t="str">
        <f t="shared" si="0"/>
        <v/>
      </c>
      <c r="C27" s="25"/>
      <c r="D27" s="25"/>
      <c r="E27" s="25"/>
      <c r="F27" s="25"/>
      <c r="G27" s="8"/>
      <c r="H27" s="171">
        <v>22</v>
      </c>
      <c r="I27" s="172" t="str">
        <f t="shared" si="1"/>
        <v/>
      </c>
      <c r="J27" s="171" t="e">
        <f t="shared" si="5"/>
        <v>#NUM!</v>
      </c>
      <c r="K27" s="171" t="e">
        <f t="shared" si="2"/>
        <v>#NUM!</v>
      </c>
      <c r="L27" s="171"/>
      <c r="M27" s="173">
        <f t="shared" si="3"/>
        <v>0</v>
      </c>
    </row>
    <row r="28" spans="1:19">
      <c r="A28" s="86">
        <f t="shared" si="4"/>
        <v>0</v>
      </c>
      <c r="B28" s="36" t="str">
        <f t="shared" si="0"/>
        <v/>
      </c>
      <c r="C28" s="24"/>
      <c r="D28" s="24"/>
      <c r="E28" s="24"/>
      <c r="F28" s="24"/>
      <c r="G28" s="8"/>
      <c r="H28" s="168">
        <v>23</v>
      </c>
      <c r="I28" s="169" t="str">
        <f t="shared" si="1"/>
        <v/>
      </c>
      <c r="J28" s="168" t="e">
        <f t="shared" si="5"/>
        <v>#NUM!</v>
      </c>
      <c r="K28" s="168" t="e">
        <f t="shared" si="2"/>
        <v>#NUM!</v>
      </c>
      <c r="L28" s="168"/>
      <c r="M28" s="170">
        <f t="shared" si="3"/>
        <v>0</v>
      </c>
      <c r="R28" s="181"/>
      <c r="S28" s="182"/>
    </row>
    <row r="29" spans="1:19">
      <c r="A29" s="90">
        <f t="shared" si="4"/>
        <v>0</v>
      </c>
      <c r="B29" s="35" t="str">
        <f t="shared" si="0"/>
        <v/>
      </c>
      <c r="C29" s="25"/>
      <c r="D29" s="25"/>
      <c r="E29" s="25"/>
      <c r="F29" s="25"/>
      <c r="G29" s="156"/>
      <c r="H29" s="171">
        <v>24</v>
      </c>
      <c r="I29" s="172" t="str">
        <f t="shared" si="1"/>
        <v/>
      </c>
      <c r="J29" s="171" t="e">
        <f t="shared" si="5"/>
        <v>#NUM!</v>
      </c>
      <c r="K29" s="171" t="e">
        <f t="shared" si="2"/>
        <v>#NUM!</v>
      </c>
      <c r="L29" s="171"/>
      <c r="M29" s="173">
        <f t="shared" si="3"/>
        <v>0</v>
      </c>
    </row>
    <row r="30" spans="1:19">
      <c r="A30" s="86">
        <f t="shared" si="4"/>
        <v>0</v>
      </c>
      <c r="B30" s="36" t="str">
        <f t="shared" si="0"/>
        <v/>
      </c>
      <c r="C30" s="24"/>
      <c r="D30" s="24"/>
      <c r="E30" s="24"/>
      <c r="F30" s="24"/>
      <c r="G30" s="156"/>
      <c r="H30" s="168">
        <v>25</v>
      </c>
      <c r="I30" s="169" t="str">
        <f t="shared" si="1"/>
        <v/>
      </c>
      <c r="J30" s="168" t="e">
        <f t="shared" si="5"/>
        <v>#NUM!</v>
      </c>
      <c r="K30" s="168" t="e">
        <f t="shared" si="2"/>
        <v>#NUM!</v>
      </c>
      <c r="L30" s="168"/>
      <c r="M30" s="170">
        <f t="shared" si="3"/>
        <v>0</v>
      </c>
    </row>
    <row r="31" spans="1:19">
      <c r="A31" s="90">
        <f t="shared" si="4"/>
        <v>0</v>
      </c>
      <c r="B31" s="35" t="str">
        <f t="shared" si="0"/>
        <v/>
      </c>
      <c r="C31" s="25"/>
      <c r="D31" s="25"/>
      <c r="E31" s="25"/>
      <c r="F31" s="25"/>
      <c r="G31" s="156"/>
      <c r="H31" s="171">
        <v>26</v>
      </c>
      <c r="I31" s="172" t="str">
        <f t="shared" si="1"/>
        <v/>
      </c>
      <c r="J31" s="171" t="e">
        <f t="shared" si="5"/>
        <v>#NUM!</v>
      </c>
      <c r="K31" s="171" t="e">
        <f t="shared" si="2"/>
        <v>#NUM!</v>
      </c>
      <c r="L31" s="171"/>
      <c r="M31" s="173">
        <f t="shared" si="3"/>
        <v>0</v>
      </c>
    </row>
    <row r="32" spans="1:19">
      <c r="A32" s="86">
        <f t="shared" ref="A32" si="8">M32</f>
        <v>0</v>
      </c>
      <c r="B32" s="36" t="str">
        <f t="shared" ref="B32" si="9">IF(H32&gt;$H$2,"",(ROW()-5))</f>
        <v/>
      </c>
      <c r="C32" s="24"/>
      <c r="D32" s="24"/>
      <c r="E32" s="24"/>
      <c r="F32" s="24"/>
      <c r="G32" s="156"/>
      <c r="H32" s="168">
        <v>27</v>
      </c>
      <c r="I32" s="169" t="str">
        <f t="shared" si="1"/>
        <v/>
      </c>
      <c r="J32" s="168" t="e">
        <f t="shared" si="5"/>
        <v>#NUM!</v>
      </c>
      <c r="K32" s="168" t="e">
        <f t="shared" si="2"/>
        <v>#NUM!</v>
      </c>
      <c r="L32" s="168"/>
      <c r="M32" s="170">
        <f t="shared" si="3"/>
        <v>0</v>
      </c>
      <c r="R32" s="181"/>
      <c r="S32" s="182"/>
    </row>
    <row r="33" spans="1:19">
      <c r="A33" s="90">
        <f t="shared" si="4"/>
        <v>0</v>
      </c>
      <c r="B33" s="35" t="str">
        <f t="shared" si="0"/>
        <v/>
      </c>
      <c r="C33" s="25"/>
      <c r="D33" s="25"/>
      <c r="E33" s="25"/>
      <c r="F33" s="25"/>
      <c r="G33" s="156"/>
      <c r="H33" s="171">
        <v>28</v>
      </c>
      <c r="I33" s="172" t="str">
        <f t="shared" si="1"/>
        <v/>
      </c>
      <c r="J33" s="171" t="e">
        <f t="shared" si="5"/>
        <v>#NUM!</v>
      </c>
      <c r="K33" s="171" t="e">
        <f t="shared" si="2"/>
        <v>#NUM!</v>
      </c>
      <c r="L33" s="171"/>
      <c r="M33" s="173">
        <f t="shared" si="3"/>
        <v>0</v>
      </c>
    </row>
    <row r="34" spans="1:19">
      <c r="A34" s="86">
        <f t="shared" si="4"/>
        <v>0</v>
      </c>
      <c r="B34" s="36" t="str">
        <f t="shared" si="0"/>
        <v/>
      </c>
      <c r="C34" s="24"/>
      <c r="D34" s="24"/>
      <c r="E34" s="24"/>
      <c r="F34" s="24"/>
      <c r="G34" s="156"/>
      <c r="H34" s="168">
        <v>29</v>
      </c>
      <c r="I34" s="169" t="str">
        <f t="shared" si="1"/>
        <v/>
      </c>
      <c r="J34" s="168" t="e">
        <f t="shared" si="5"/>
        <v>#NUM!</v>
      </c>
      <c r="K34" s="168" t="e">
        <f t="shared" si="2"/>
        <v>#NUM!</v>
      </c>
      <c r="L34" s="168"/>
      <c r="M34" s="170">
        <f t="shared" si="3"/>
        <v>0</v>
      </c>
    </row>
    <row r="35" spans="1:19">
      <c r="A35" s="90">
        <f t="shared" si="4"/>
        <v>0</v>
      </c>
      <c r="B35" s="35" t="str">
        <f t="shared" si="0"/>
        <v/>
      </c>
      <c r="C35" s="25"/>
      <c r="D35" s="25"/>
      <c r="E35" s="25"/>
      <c r="F35" s="25"/>
      <c r="G35" s="156"/>
      <c r="H35" s="171">
        <v>30</v>
      </c>
      <c r="I35" s="172" t="str">
        <f t="shared" si="1"/>
        <v/>
      </c>
      <c r="J35" s="171" t="e">
        <f t="shared" si="5"/>
        <v>#NUM!</v>
      </c>
      <c r="K35" s="171" t="e">
        <f t="shared" si="2"/>
        <v>#NUM!</v>
      </c>
      <c r="L35" s="171"/>
      <c r="M35" s="173">
        <f t="shared" si="3"/>
        <v>0</v>
      </c>
    </row>
    <row r="36" spans="1:19">
      <c r="A36" s="86">
        <f t="shared" si="4"/>
        <v>0</v>
      </c>
      <c r="B36" s="36" t="str">
        <f t="shared" si="0"/>
        <v/>
      </c>
      <c r="C36" s="24"/>
      <c r="D36" s="24"/>
      <c r="E36" s="24"/>
      <c r="F36" s="24"/>
      <c r="G36" s="156"/>
      <c r="H36" s="168">
        <v>31</v>
      </c>
      <c r="I36" s="169" t="str">
        <f t="shared" si="1"/>
        <v/>
      </c>
      <c r="J36" s="168" t="e">
        <f t="shared" si="5"/>
        <v>#NUM!</v>
      </c>
      <c r="K36" s="168" t="e">
        <f t="shared" si="2"/>
        <v>#NUM!</v>
      </c>
      <c r="L36" s="168"/>
      <c r="M36" s="170">
        <f t="shared" si="3"/>
        <v>0</v>
      </c>
      <c r="R36" s="181"/>
      <c r="S36" s="182"/>
    </row>
    <row r="37" spans="1:19">
      <c r="A37" s="90">
        <f t="shared" si="4"/>
        <v>0</v>
      </c>
      <c r="B37" s="35" t="str">
        <f t="shared" si="0"/>
        <v/>
      </c>
      <c r="C37" s="25"/>
      <c r="D37" s="25"/>
      <c r="E37" s="25"/>
      <c r="F37" s="25"/>
      <c r="G37" s="156"/>
      <c r="H37" s="171">
        <v>32</v>
      </c>
      <c r="I37" s="172" t="str">
        <f t="shared" si="1"/>
        <v/>
      </c>
      <c r="J37" s="171" t="e">
        <f t="shared" si="5"/>
        <v>#NUM!</v>
      </c>
      <c r="K37" s="171" t="e">
        <f t="shared" si="2"/>
        <v>#NUM!</v>
      </c>
      <c r="L37" s="171"/>
      <c r="M37" s="173">
        <f t="shared" si="3"/>
        <v>0</v>
      </c>
    </row>
    <row r="38" spans="1:19">
      <c r="A38" s="86">
        <f t="shared" si="4"/>
        <v>0</v>
      </c>
      <c r="B38" s="36" t="str">
        <f t="shared" si="0"/>
        <v/>
      </c>
      <c r="C38" s="24"/>
      <c r="D38" s="24"/>
      <c r="E38" s="24"/>
      <c r="F38" s="24"/>
      <c r="G38" s="156"/>
      <c r="H38" s="168">
        <v>33</v>
      </c>
      <c r="I38" s="169" t="str">
        <f t="shared" si="1"/>
        <v/>
      </c>
      <c r="J38" s="168" t="e">
        <f t="shared" si="5"/>
        <v>#NUM!</v>
      </c>
      <c r="K38" s="168" t="e">
        <f t="shared" si="2"/>
        <v>#NUM!</v>
      </c>
      <c r="L38" s="168"/>
      <c r="M38" s="170">
        <f t="shared" si="3"/>
        <v>0</v>
      </c>
    </row>
    <row r="39" spans="1:19">
      <c r="A39" s="90">
        <f t="shared" si="4"/>
        <v>0</v>
      </c>
      <c r="B39" s="35" t="str">
        <f t="shared" si="0"/>
        <v/>
      </c>
      <c r="C39" s="25"/>
      <c r="D39" s="25"/>
      <c r="E39" s="25"/>
      <c r="F39" s="25"/>
      <c r="G39" s="156"/>
      <c r="H39" s="171">
        <v>34</v>
      </c>
      <c r="I39" s="172" t="str">
        <f t="shared" si="1"/>
        <v/>
      </c>
      <c r="J39" s="171" t="e">
        <f t="shared" si="5"/>
        <v>#NUM!</v>
      </c>
      <c r="K39" s="171" t="e">
        <f t="shared" si="2"/>
        <v>#NUM!</v>
      </c>
      <c r="L39" s="171"/>
      <c r="M39" s="173">
        <f t="shared" si="3"/>
        <v>0</v>
      </c>
    </row>
    <row r="40" spans="1:19">
      <c r="A40" s="86">
        <f t="shared" si="4"/>
        <v>0</v>
      </c>
      <c r="B40" s="36" t="str">
        <f t="shared" si="0"/>
        <v/>
      </c>
      <c r="C40" s="24"/>
      <c r="D40" s="24"/>
      <c r="E40" s="24"/>
      <c r="F40" s="24"/>
      <c r="G40" s="156"/>
      <c r="H40" s="168">
        <v>35</v>
      </c>
      <c r="I40" s="169" t="str">
        <f t="shared" si="1"/>
        <v/>
      </c>
      <c r="J40" s="168" t="e">
        <f t="shared" si="5"/>
        <v>#NUM!</v>
      </c>
      <c r="K40" s="168" t="e">
        <f t="shared" si="2"/>
        <v>#NUM!</v>
      </c>
      <c r="L40" s="168"/>
      <c r="M40" s="170">
        <f t="shared" si="3"/>
        <v>0</v>
      </c>
    </row>
    <row r="41" spans="1:19">
      <c r="A41" s="90">
        <f t="shared" si="4"/>
        <v>0</v>
      </c>
      <c r="B41" s="35" t="str">
        <f t="shared" si="0"/>
        <v/>
      </c>
      <c r="C41" s="25"/>
      <c r="D41" s="25"/>
      <c r="E41" s="25"/>
      <c r="F41" s="25"/>
      <c r="G41" s="156"/>
      <c r="H41" s="171">
        <v>36</v>
      </c>
      <c r="I41" s="172" t="str">
        <f t="shared" si="1"/>
        <v/>
      </c>
      <c r="J41" s="171" t="e">
        <f t="shared" si="5"/>
        <v>#NUM!</v>
      </c>
      <c r="K41" s="171" t="e">
        <f t="shared" si="2"/>
        <v>#NUM!</v>
      </c>
      <c r="L41" s="171"/>
      <c r="M41" s="173">
        <f t="shared" si="3"/>
        <v>0</v>
      </c>
      <c r="S41" s="183"/>
    </row>
    <row r="42" spans="1:19">
      <c r="A42" s="86">
        <f t="shared" si="4"/>
        <v>0</v>
      </c>
      <c r="B42" s="36" t="str">
        <f t="shared" si="0"/>
        <v/>
      </c>
      <c r="C42" s="24"/>
      <c r="D42" s="24"/>
      <c r="E42" s="24"/>
      <c r="F42" s="24"/>
      <c r="G42" s="156"/>
      <c r="H42" s="168">
        <v>37</v>
      </c>
      <c r="I42" s="169" t="str">
        <f t="shared" si="1"/>
        <v/>
      </c>
      <c r="J42" s="168" t="e">
        <f t="shared" si="5"/>
        <v>#NUM!</v>
      </c>
      <c r="K42" s="168" t="e">
        <f t="shared" si="2"/>
        <v>#NUM!</v>
      </c>
      <c r="L42" s="168"/>
      <c r="M42" s="170">
        <f t="shared" si="3"/>
        <v>0</v>
      </c>
    </row>
    <row r="43" spans="1:19">
      <c r="A43" s="90">
        <f t="shared" si="4"/>
        <v>0</v>
      </c>
      <c r="B43" s="35" t="str">
        <f t="shared" si="0"/>
        <v/>
      </c>
      <c r="C43" s="25"/>
      <c r="D43" s="25"/>
      <c r="E43" s="25"/>
      <c r="F43" s="25"/>
      <c r="G43" s="156"/>
      <c r="H43" s="171">
        <v>38</v>
      </c>
      <c r="I43" s="172" t="str">
        <f t="shared" si="1"/>
        <v/>
      </c>
      <c r="J43" s="171" t="e">
        <f t="shared" si="5"/>
        <v>#NUM!</v>
      </c>
      <c r="K43" s="171" t="e">
        <f t="shared" si="2"/>
        <v>#NUM!</v>
      </c>
      <c r="L43" s="171"/>
      <c r="M43" s="173">
        <f t="shared" si="3"/>
        <v>0</v>
      </c>
    </row>
    <row r="44" spans="1:19">
      <c r="A44" s="86">
        <f t="shared" si="4"/>
        <v>0</v>
      </c>
      <c r="B44" s="36" t="str">
        <f t="shared" si="0"/>
        <v/>
      </c>
      <c r="C44" s="24"/>
      <c r="D44" s="24"/>
      <c r="E44" s="24"/>
      <c r="F44" s="24"/>
      <c r="G44" s="156"/>
      <c r="H44" s="168">
        <v>39</v>
      </c>
      <c r="I44" s="169" t="str">
        <f t="shared" si="1"/>
        <v/>
      </c>
      <c r="J44" s="168" t="e">
        <f t="shared" si="5"/>
        <v>#NUM!</v>
      </c>
      <c r="K44" s="168" t="e">
        <f t="shared" si="2"/>
        <v>#NUM!</v>
      </c>
      <c r="L44" s="168"/>
      <c r="M44" s="170">
        <f t="shared" si="3"/>
        <v>0</v>
      </c>
    </row>
    <row r="45" spans="1:19">
      <c r="A45" s="90">
        <f t="shared" si="4"/>
        <v>0</v>
      </c>
      <c r="B45" s="35" t="str">
        <f t="shared" si="0"/>
        <v/>
      </c>
      <c r="C45" s="25"/>
      <c r="D45" s="25"/>
      <c r="E45" s="25"/>
      <c r="F45" s="25"/>
      <c r="G45" s="156"/>
      <c r="H45" s="171">
        <v>40</v>
      </c>
      <c r="I45" s="172" t="str">
        <f t="shared" si="1"/>
        <v/>
      </c>
      <c r="J45" s="171" t="e">
        <f t="shared" si="5"/>
        <v>#NUM!</v>
      </c>
      <c r="K45" s="171" t="e">
        <f t="shared" si="2"/>
        <v>#NUM!</v>
      </c>
      <c r="L45" s="171"/>
      <c r="M45" s="173">
        <f t="shared" si="3"/>
        <v>0</v>
      </c>
    </row>
    <row r="46" spans="1:19">
      <c r="A46" s="86">
        <f t="shared" si="4"/>
        <v>0</v>
      </c>
      <c r="B46" s="36" t="str">
        <f t="shared" si="0"/>
        <v/>
      </c>
      <c r="C46" s="24"/>
      <c r="D46" s="24"/>
      <c r="E46" s="24"/>
      <c r="F46" s="24"/>
      <c r="G46" s="156"/>
      <c r="H46" s="168">
        <v>41</v>
      </c>
      <c r="I46" s="169" t="str">
        <f t="shared" si="1"/>
        <v/>
      </c>
      <c r="J46" s="168" t="e">
        <f t="shared" si="5"/>
        <v>#NUM!</v>
      </c>
      <c r="K46" s="168" t="e">
        <f t="shared" si="2"/>
        <v>#NUM!</v>
      </c>
      <c r="L46" s="168"/>
      <c r="M46" s="170">
        <f t="shared" si="3"/>
        <v>0</v>
      </c>
    </row>
    <row r="47" spans="1:19">
      <c r="A47" s="90">
        <f t="shared" si="4"/>
        <v>0</v>
      </c>
      <c r="B47" s="35" t="str">
        <f t="shared" si="0"/>
        <v/>
      </c>
      <c r="C47" s="25"/>
      <c r="D47" s="25"/>
      <c r="E47" s="25"/>
      <c r="F47" s="25"/>
      <c r="G47" s="156"/>
      <c r="H47" s="171">
        <v>42</v>
      </c>
      <c r="I47" s="172" t="str">
        <f t="shared" si="1"/>
        <v/>
      </c>
      <c r="J47" s="171" t="e">
        <f t="shared" si="5"/>
        <v>#NUM!</v>
      </c>
      <c r="K47" s="171" t="e">
        <f t="shared" si="2"/>
        <v>#NUM!</v>
      </c>
      <c r="L47" s="171"/>
      <c r="M47" s="173">
        <f t="shared" si="3"/>
        <v>0</v>
      </c>
    </row>
    <row r="48" spans="1:19">
      <c r="A48" s="86">
        <f t="shared" si="4"/>
        <v>0</v>
      </c>
      <c r="B48" s="36" t="str">
        <f t="shared" si="0"/>
        <v/>
      </c>
      <c r="C48" s="24"/>
      <c r="D48" s="24"/>
      <c r="E48" s="24"/>
      <c r="F48" s="24"/>
      <c r="G48" s="156"/>
      <c r="H48" s="168">
        <v>43</v>
      </c>
      <c r="I48" s="169" t="str">
        <f t="shared" si="1"/>
        <v/>
      </c>
      <c r="J48" s="168" t="e">
        <f t="shared" si="5"/>
        <v>#NUM!</v>
      </c>
      <c r="K48" s="168" t="e">
        <f t="shared" si="2"/>
        <v>#NUM!</v>
      </c>
      <c r="L48" s="168"/>
      <c r="M48" s="170">
        <f t="shared" si="3"/>
        <v>0</v>
      </c>
    </row>
    <row r="49" spans="1:38">
      <c r="A49" s="90">
        <f t="shared" si="4"/>
        <v>0</v>
      </c>
      <c r="B49" s="35" t="str">
        <f t="shared" si="0"/>
        <v/>
      </c>
      <c r="C49" s="25"/>
      <c r="D49" s="25"/>
      <c r="E49" s="25"/>
      <c r="F49" s="25"/>
      <c r="G49" s="156"/>
      <c r="H49" s="171">
        <v>44</v>
      </c>
      <c r="I49" s="172" t="str">
        <f t="shared" si="1"/>
        <v/>
      </c>
      <c r="J49" s="171" t="e">
        <f t="shared" si="5"/>
        <v>#NUM!</v>
      </c>
      <c r="K49" s="171" t="e">
        <f t="shared" si="2"/>
        <v>#NUM!</v>
      </c>
      <c r="L49" s="171"/>
      <c r="M49" s="173">
        <f t="shared" si="3"/>
        <v>0</v>
      </c>
    </row>
    <row r="50" spans="1:38">
      <c r="A50" s="86">
        <f t="shared" si="4"/>
        <v>0</v>
      </c>
      <c r="B50" s="36" t="str">
        <f t="shared" si="0"/>
        <v/>
      </c>
      <c r="C50" s="24"/>
      <c r="D50" s="24"/>
      <c r="E50" s="24"/>
      <c r="F50" s="24"/>
      <c r="G50" s="156"/>
      <c r="H50" s="168">
        <v>45</v>
      </c>
      <c r="I50" s="169" t="str">
        <f t="shared" si="1"/>
        <v/>
      </c>
      <c r="J50" s="168" t="e">
        <f t="shared" si="5"/>
        <v>#NUM!</v>
      </c>
      <c r="K50" s="168" t="e">
        <f t="shared" si="2"/>
        <v>#NUM!</v>
      </c>
      <c r="L50" s="168"/>
      <c r="M50" s="170">
        <f t="shared" si="3"/>
        <v>0</v>
      </c>
    </row>
    <row r="51" spans="1:38">
      <c r="A51" s="90">
        <f t="shared" si="4"/>
        <v>0</v>
      </c>
      <c r="B51" s="35" t="str">
        <f t="shared" si="0"/>
        <v/>
      </c>
      <c r="C51" s="25"/>
      <c r="D51" s="25"/>
      <c r="E51" s="25"/>
      <c r="F51" s="25"/>
      <c r="G51" s="156"/>
      <c r="H51" s="171">
        <v>46</v>
      </c>
      <c r="I51" s="172" t="str">
        <f t="shared" si="1"/>
        <v/>
      </c>
      <c r="J51" s="171" t="e">
        <f t="shared" si="5"/>
        <v>#NUM!</v>
      </c>
      <c r="K51" s="171" t="e">
        <f t="shared" si="2"/>
        <v>#NUM!</v>
      </c>
      <c r="L51" s="171"/>
      <c r="M51" s="173">
        <f t="shared" si="3"/>
        <v>0</v>
      </c>
    </row>
    <row r="52" spans="1:38">
      <c r="A52" s="86">
        <f t="shared" si="4"/>
        <v>0</v>
      </c>
      <c r="B52" s="36" t="str">
        <f t="shared" si="0"/>
        <v/>
      </c>
      <c r="C52" s="24"/>
      <c r="D52" s="24"/>
      <c r="E52" s="24"/>
      <c r="F52" s="24"/>
      <c r="G52" s="156"/>
      <c r="H52" s="168">
        <v>47</v>
      </c>
      <c r="I52" s="169" t="str">
        <f t="shared" si="1"/>
        <v/>
      </c>
      <c r="J52" s="168" t="e">
        <f t="shared" si="5"/>
        <v>#NUM!</v>
      </c>
      <c r="K52" s="168" t="e">
        <f t="shared" si="2"/>
        <v>#NUM!</v>
      </c>
      <c r="L52" s="168"/>
      <c r="M52" s="170">
        <f t="shared" si="3"/>
        <v>0</v>
      </c>
    </row>
    <row r="53" spans="1:38">
      <c r="A53" s="90">
        <f t="shared" si="4"/>
        <v>0</v>
      </c>
      <c r="B53" s="35" t="str">
        <f t="shared" si="0"/>
        <v/>
      </c>
      <c r="C53" s="25"/>
      <c r="D53" s="25"/>
      <c r="E53" s="25"/>
      <c r="F53" s="25"/>
      <c r="G53" s="156"/>
      <c r="H53" s="171">
        <v>48</v>
      </c>
      <c r="I53" s="172" t="str">
        <f t="shared" si="1"/>
        <v/>
      </c>
      <c r="J53" s="171" t="e">
        <f t="shared" si="5"/>
        <v>#NUM!</v>
      </c>
      <c r="K53" s="171" t="e">
        <f t="shared" si="2"/>
        <v>#NUM!</v>
      </c>
      <c r="L53" s="171"/>
      <c r="M53" s="173">
        <f t="shared" si="3"/>
        <v>0</v>
      </c>
    </row>
    <row r="54" spans="1:38">
      <c r="A54" s="86">
        <f t="shared" si="4"/>
        <v>0</v>
      </c>
      <c r="B54" s="36" t="str">
        <f t="shared" si="0"/>
        <v/>
      </c>
      <c r="C54" s="24"/>
      <c r="D54" s="24"/>
      <c r="E54" s="24"/>
      <c r="F54" s="24"/>
      <c r="G54" s="156"/>
      <c r="H54" s="168">
        <v>49</v>
      </c>
      <c r="I54" s="169" t="str">
        <f t="shared" si="1"/>
        <v/>
      </c>
      <c r="J54" s="168" t="e">
        <f t="shared" si="5"/>
        <v>#NUM!</v>
      </c>
      <c r="K54" s="168" t="e">
        <f t="shared" si="2"/>
        <v>#NUM!</v>
      </c>
      <c r="L54" s="168"/>
      <c r="M54" s="170">
        <f t="shared" si="3"/>
        <v>0</v>
      </c>
    </row>
    <row r="55" spans="1:38">
      <c r="A55" s="90">
        <f t="shared" si="4"/>
        <v>0</v>
      </c>
      <c r="B55" s="35" t="str">
        <f t="shared" si="0"/>
        <v/>
      </c>
      <c r="C55" s="25"/>
      <c r="D55" s="25"/>
      <c r="E55" s="25"/>
      <c r="F55" s="25"/>
      <c r="G55" s="156"/>
      <c r="H55" s="171">
        <v>50</v>
      </c>
      <c r="I55" s="172" t="str">
        <f t="shared" si="1"/>
        <v/>
      </c>
      <c r="J55" s="171" t="e">
        <f t="shared" si="5"/>
        <v>#NUM!</v>
      </c>
      <c r="K55" s="171" t="e">
        <f t="shared" si="2"/>
        <v>#NUM!</v>
      </c>
      <c r="L55" s="171"/>
      <c r="M55" s="173">
        <f t="shared" si="3"/>
        <v>0</v>
      </c>
    </row>
    <row r="56" spans="1:38">
      <c r="A56" s="86">
        <f t="shared" si="4"/>
        <v>0</v>
      </c>
      <c r="B56" s="36" t="str">
        <f t="shared" si="0"/>
        <v/>
      </c>
      <c r="C56" s="24"/>
      <c r="D56" s="24"/>
      <c r="E56" s="24"/>
      <c r="F56" s="24"/>
      <c r="G56" s="156"/>
      <c r="H56" s="168">
        <v>51</v>
      </c>
      <c r="I56" s="169" t="str">
        <f t="shared" si="1"/>
        <v/>
      </c>
      <c r="J56" s="168" t="e">
        <f t="shared" si="5"/>
        <v>#NUM!</v>
      </c>
      <c r="K56" s="168" t="e">
        <f t="shared" si="2"/>
        <v>#NUM!</v>
      </c>
      <c r="L56" s="168"/>
      <c r="M56" s="170">
        <f t="shared" si="3"/>
        <v>0</v>
      </c>
    </row>
    <row r="57" spans="1:38" s="156" customFormat="1">
      <c r="A57" s="90">
        <f t="shared" si="4"/>
        <v>0</v>
      </c>
      <c r="B57" s="35" t="str">
        <f t="shared" si="0"/>
        <v/>
      </c>
      <c r="C57" s="25"/>
      <c r="D57" s="25"/>
      <c r="E57" s="25"/>
      <c r="F57" s="25"/>
      <c r="H57" s="171">
        <v>52</v>
      </c>
      <c r="I57" s="172" t="str">
        <f t="shared" si="1"/>
        <v/>
      </c>
      <c r="J57" s="171" t="e">
        <f t="shared" si="5"/>
        <v>#NUM!</v>
      </c>
      <c r="K57" s="171" t="e">
        <f t="shared" si="2"/>
        <v>#NUM!</v>
      </c>
      <c r="L57" s="171"/>
      <c r="M57" s="173">
        <f t="shared" si="3"/>
        <v>0</v>
      </c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</row>
    <row r="58" spans="1:38" s="156" customFormat="1">
      <c r="A58" s="86">
        <f t="shared" si="4"/>
        <v>0</v>
      </c>
      <c r="B58" s="36" t="str">
        <f t="shared" si="0"/>
        <v/>
      </c>
      <c r="C58" s="24"/>
      <c r="D58" s="24"/>
      <c r="E58" s="24"/>
      <c r="F58" s="24"/>
      <c r="H58" s="168">
        <v>53</v>
      </c>
      <c r="I58" s="169" t="str">
        <f t="shared" si="1"/>
        <v/>
      </c>
      <c r="J58" s="168" t="e">
        <f t="shared" si="5"/>
        <v>#NUM!</v>
      </c>
      <c r="K58" s="168" t="e">
        <f t="shared" si="2"/>
        <v>#NUM!</v>
      </c>
      <c r="L58" s="168"/>
      <c r="M58" s="170">
        <f t="shared" si="3"/>
        <v>0</v>
      </c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</row>
    <row r="59" spans="1:38" s="156" customFormat="1">
      <c r="A59" s="90">
        <f t="shared" si="4"/>
        <v>0</v>
      </c>
      <c r="B59" s="35" t="str">
        <f t="shared" si="0"/>
        <v/>
      </c>
      <c r="C59" s="25"/>
      <c r="D59" s="25"/>
      <c r="E59" s="25"/>
      <c r="F59" s="25"/>
      <c r="H59" s="171">
        <v>54</v>
      </c>
      <c r="I59" s="172" t="str">
        <f t="shared" si="1"/>
        <v/>
      </c>
      <c r="J59" s="171" t="e">
        <f t="shared" si="5"/>
        <v>#NUM!</v>
      </c>
      <c r="K59" s="171" t="e">
        <f t="shared" si="2"/>
        <v>#NUM!</v>
      </c>
      <c r="L59" s="171"/>
      <c r="M59" s="173">
        <f t="shared" si="3"/>
        <v>0</v>
      </c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</row>
    <row r="60" spans="1:38" s="156" customFormat="1">
      <c r="A60" s="86">
        <f t="shared" si="4"/>
        <v>0</v>
      </c>
      <c r="B60" s="36" t="str">
        <f t="shared" si="0"/>
        <v/>
      </c>
      <c r="C60" s="24"/>
      <c r="D60" s="24"/>
      <c r="E60" s="24"/>
      <c r="F60" s="24"/>
      <c r="H60" s="168">
        <v>55</v>
      </c>
      <c r="I60" s="169" t="str">
        <f t="shared" si="1"/>
        <v/>
      </c>
      <c r="J60" s="168" t="e">
        <f t="shared" si="5"/>
        <v>#NUM!</v>
      </c>
      <c r="K60" s="168" t="e">
        <f t="shared" si="2"/>
        <v>#NUM!</v>
      </c>
      <c r="L60" s="168"/>
      <c r="M60" s="170">
        <f t="shared" si="3"/>
        <v>0</v>
      </c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</row>
    <row r="61" spans="1:38" s="156" customFormat="1">
      <c r="A61" s="90">
        <f t="shared" si="4"/>
        <v>0</v>
      </c>
      <c r="B61" s="35" t="str">
        <f t="shared" si="0"/>
        <v/>
      </c>
      <c r="C61" s="25"/>
      <c r="D61" s="25"/>
      <c r="E61" s="25"/>
      <c r="F61" s="25"/>
      <c r="H61" s="171">
        <v>56</v>
      </c>
      <c r="I61" s="172" t="str">
        <f t="shared" si="1"/>
        <v/>
      </c>
      <c r="J61" s="171" t="e">
        <f t="shared" si="5"/>
        <v>#NUM!</v>
      </c>
      <c r="K61" s="171" t="e">
        <f t="shared" si="2"/>
        <v>#NUM!</v>
      </c>
      <c r="L61" s="171"/>
      <c r="M61" s="173">
        <f t="shared" si="3"/>
        <v>0</v>
      </c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</row>
    <row r="62" spans="1:38" s="156" customFormat="1">
      <c r="A62" s="86">
        <f t="shared" si="4"/>
        <v>0</v>
      </c>
      <c r="B62" s="36" t="str">
        <f t="shared" si="0"/>
        <v/>
      </c>
      <c r="C62" s="24"/>
      <c r="D62" s="24"/>
      <c r="E62" s="24"/>
      <c r="F62" s="24"/>
      <c r="H62" s="168">
        <v>57</v>
      </c>
      <c r="I62" s="169" t="str">
        <f t="shared" si="1"/>
        <v/>
      </c>
      <c r="J62" s="168" t="e">
        <f t="shared" si="5"/>
        <v>#NUM!</v>
      </c>
      <c r="K62" s="168" t="e">
        <f t="shared" si="2"/>
        <v>#NUM!</v>
      </c>
      <c r="L62" s="168"/>
      <c r="M62" s="170">
        <f t="shared" si="3"/>
        <v>0</v>
      </c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</row>
    <row r="63" spans="1:38" s="156" customFormat="1">
      <c r="A63" s="90">
        <f t="shared" si="4"/>
        <v>0</v>
      </c>
      <c r="B63" s="35" t="str">
        <f t="shared" si="0"/>
        <v/>
      </c>
      <c r="C63" s="25"/>
      <c r="D63" s="25"/>
      <c r="E63" s="25"/>
      <c r="F63" s="25"/>
      <c r="H63" s="171">
        <v>58</v>
      </c>
      <c r="I63" s="172" t="str">
        <f t="shared" si="1"/>
        <v/>
      </c>
      <c r="J63" s="171" t="e">
        <f t="shared" si="5"/>
        <v>#NUM!</v>
      </c>
      <c r="K63" s="171" t="e">
        <f t="shared" si="2"/>
        <v>#NUM!</v>
      </c>
      <c r="L63" s="171"/>
      <c r="M63" s="173">
        <f t="shared" si="3"/>
        <v>0</v>
      </c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</row>
    <row r="64" spans="1:38" s="156" customFormat="1">
      <c r="A64" s="86">
        <f t="shared" si="4"/>
        <v>0</v>
      </c>
      <c r="B64" s="36" t="str">
        <f t="shared" si="0"/>
        <v/>
      </c>
      <c r="C64" s="24"/>
      <c r="D64" s="24"/>
      <c r="E64" s="24"/>
      <c r="F64" s="24"/>
      <c r="H64" s="168">
        <v>59</v>
      </c>
      <c r="I64" s="169" t="str">
        <f t="shared" si="1"/>
        <v/>
      </c>
      <c r="J64" s="168" t="e">
        <f t="shared" si="5"/>
        <v>#NUM!</v>
      </c>
      <c r="K64" s="168" t="e">
        <f t="shared" si="2"/>
        <v>#NUM!</v>
      </c>
      <c r="L64" s="168"/>
      <c r="M64" s="170">
        <f t="shared" si="3"/>
        <v>0</v>
      </c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</row>
    <row r="65" spans="1:38" s="156" customFormat="1">
      <c r="A65" s="90">
        <f t="shared" si="4"/>
        <v>0</v>
      </c>
      <c r="B65" s="35" t="str">
        <f t="shared" si="0"/>
        <v/>
      </c>
      <c r="C65" s="25"/>
      <c r="D65" s="25"/>
      <c r="E65" s="25"/>
      <c r="F65" s="25"/>
      <c r="H65" s="171">
        <v>60</v>
      </c>
      <c r="I65" s="172" t="str">
        <f t="shared" si="1"/>
        <v/>
      </c>
      <c r="J65" s="171" t="e">
        <f t="shared" si="5"/>
        <v>#NUM!</v>
      </c>
      <c r="K65" s="171" t="e">
        <f t="shared" si="2"/>
        <v>#NUM!</v>
      </c>
      <c r="L65" s="171"/>
      <c r="M65" s="173">
        <f t="shared" si="3"/>
        <v>0</v>
      </c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</row>
    <row r="66" spans="1:38" s="156" customFormat="1">
      <c r="A66" s="86">
        <f t="shared" si="4"/>
        <v>0</v>
      </c>
      <c r="B66" s="36" t="str">
        <f t="shared" si="0"/>
        <v/>
      </c>
      <c r="C66" s="24"/>
      <c r="D66" s="24"/>
      <c r="E66" s="24"/>
      <c r="F66" s="24"/>
      <c r="H66" s="168">
        <v>61</v>
      </c>
      <c r="I66" s="169" t="str">
        <f t="shared" si="1"/>
        <v/>
      </c>
      <c r="J66" s="168" t="e">
        <f t="shared" si="5"/>
        <v>#NUM!</v>
      </c>
      <c r="K66" s="168" t="e">
        <f t="shared" si="2"/>
        <v>#NUM!</v>
      </c>
      <c r="L66" s="168"/>
      <c r="M66" s="170">
        <f t="shared" si="3"/>
        <v>0</v>
      </c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</row>
    <row r="67" spans="1:38" s="156" customFormat="1">
      <c r="A67" s="90">
        <f t="shared" si="4"/>
        <v>0</v>
      </c>
      <c r="B67" s="35" t="str">
        <f t="shared" si="0"/>
        <v/>
      </c>
      <c r="C67" s="25"/>
      <c r="D67" s="25"/>
      <c r="E67" s="25"/>
      <c r="F67" s="25"/>
      <c r="H67" s="171">
        <v>62</v>
      </c>
      <c r="I67" s="172" t="str">
        <f t="shared" si="1"/>
        <v/>
      </c>
      <c r="J67" s="171" t="e">
        <f t="shared" si="5"/>
        <v>#NUM!</v>
      </c>
      <c r="K67" s="171" t="e">
        <f t="shared" si="2"/>
        <v>#NUM!</v>
      </c>
      <c r="L67" s="171"/>
      <c r="M67" s="173">
        <f t="shared" si="3"/>
        <v>0</v>
      </c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</row>
    <row r="68" spans="1:38" s="156" customFormat="1">
      <c r="A68" s="86">
        <f t="shared" si="4"/>
        <v>0</v>
      </c>
      <c r="B68" s="36" t="str">
        <f t="shared" si="0"/>
        <v/>
      </c>
      <c r="C68" s="24"/>
      <c r="D68" s="24"/>
      <c r="E68" s="24"/>
      <c r="F68" s="24"/>
      <c r="H68" s="168">
        <v>63</v>
      </c>
      <c r="I68" s="169" t="str">
        <f t="shared" si="1"/>
        <v/>
      </c>
      <c r="J68" s="168" t="e">
        <f t="shared" si="5"/>
        <v>#NUM!</v>
      </c>
      <c r="K68" s="168" t="e">
        <f t="shared" si="2"/>
        <v>#NUM!</v>
      </c>
      <c r="L68" s="168"/>
      <c r="M68" s="170">
        <f t="shared" si="3"/>
        <v>0</v>
      </c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</row>
    <row r="69" spans="1:38" s="156" customFormat="1">
      <c r="A69" s="90">
        <f t="shared" si="4"/>
        <v>0</v>
      </c>
      <c r="B69" s="35" t="str">
        <f t="shared" si="0"/>
        <v/>
      </c>
      <c r="C69" s="25"/>
      <c r="D69" s="25"/>
      <c r="E69" s="25"/>
      <c r="F69" s="25"/>
      <c r="H69" s="171">
        <v>64</v>
      </c>
      <c r="I69" s="172" t="str">
        <f t="shared" si="1"/>
        <v/>
      </c>
      <c r="J69" s="171" t="e">
        <f t="shared" si="5"/>
        <v>#NUM!</v>
      </c>
      <c r="K69" s="171" t="e">
        <f t="shared" si="2"/>
        <v>#NUM!</v>
      </c>
      <c r="L69" s="171"/>
      <c r="M69" s="173">
        <f t="shared" si="3"/>
        <v>0</v>
      </c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</row>
    <row r="70" spans="1:38" s="156" customFormat="1">
      <c r="A70" s="86">
        <f t="shared" si="4"/>
        <v>0</v>
      </c>
      <c r="B70" s="36" t="str">
        <f t="shared" ref="B70:B133" si="10">IF(H70&gt;$H$2,"",(ROW()-5))</f>
        <v/>
      </c>
      <c r="C70" s="24"/>
      <c r="D70" s="24"/>
      <c r="E70" s="24"/>
      <c r="F70" s="24"/>
      <c r="H70" s="168">
        <v>65</v>
      </c>
      <c r="I70" s="169" t="str">
        <f t="shared" ref="I70:I133" si="11">IF(H70&lt;$H$2+1,($I$2-($I$2-1)*(LOG(H70)/LOG($H$2))),"")</f>
        <v/>
      </c>
      <c r="J70" s="168" t="e">
        <f t="shared" si="5"/>
        <v>#NUM!</v>
      </c>
      <c r="K70" s="168" t="e">
        <f t="shared" ref="K70:K133" si="12">J70*$J$2</f>
        <v>#NUM!</v>
      </c>
      <c r="L70" s="168"/>
      <c r="M70" s="170">
        <f t="shared" ref="M70:M133" si="13">IF(I70&lt;&gt;"",K70+I70+L70,0)</f>
        <v>0</v>
      </c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</row>
    <row r="71" spans="1:38" s="156" customFormat="1">
      <c r="A71" s="90">
        <f t="shared" ref="A71:A134" si="14">M71</f>
        <v>0</v>
      </c>
      <c r="B71" s="35" t="str">
        <f t="shared" si="10"/>
        <v/>
      </c>
      <c r="C71" s="25"/>
      <c r="D71" s="25"/>
      <c r="E71" s="25"/>
      <c r="F71" s="25"/>
      <c r="H71" s="171">
        <v>66</v>
      </c>
      <c r="I71" s="172" t="str">
        <f t="shared" si="11"/>
        <v/>
      </c>
      <c r="J71" s="171" t="e">
        <f t="shared" ref="J71:J134" si="15">INT(LOG($H$2,2))-ROUNDUP(LOG(H71,2),0)+IF(OR($H$2=1,$H$2=2,$H$2=4,$H$2=8,$H$2=16,$H$2=32,$H$2=64,$H$2=128,$H$2=256),0,1)</f>
        <v>#NUM!</v>
      </c>
      <c r="K71" s="171" t="e">
        <f t="shared" si="12"/>
        <v>#NUM!</v>
      </c>
      <c r="L71" s="171"/>
      <c r="M71" s="173">
        <f t="shared" si="13"/>
        <v>0</v>
      </c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</row>
    <row r="72" spans="1:38" s="156" customFormat="1">
      <c r="A72" s="86">
        <f t="shared" si="14"/>
        <v>0</v>
      </c>
      <c r="B72" s="36" t="str">
        <f t="shared" si="10"/>
        <v/>
      </c>
      <c r="C72" s="24"/>
      <c r="D72" s="24"/>
      <c r="E72" s="24"/>
      <c r="F72" s="24"/>
      <c r="H72" s="168">
        <v>67</v>
      </c>
      <c r="I72" s="169" t="str">
        <f t="shared" si="11"/>
        <v/>
      </c>
      <c r="J72" s="168" t="e">
        <f t="shared" si="15"/>
        <v>#NUM!</v>
      </c>
      <c r="K72" s="168" t="e">
        <f t="shared" si="12"/>
        <v>#NUM!</v>
      </c>
      <c r="L72" s="168"/>
      <c r="M72" s="170">
        <f t="shared" si="13"/>
        <v>0</v>
      </c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</row>
    <row r="73" spans="1:38" s="156" customFormat="1">
      <c r="A73" s="90">
        <f t="shared" si="14"/>
        <v>0</v>
      </c>
      <c r="B73" s="35" t="str">
        <f t="shared" si="10"/>
        <v/>
      </c>
      <c r="C73" s="25"/>
      <c r="D73" s="25"/>
      <c r="E73" s="25"/>
      <c r="F73" s="25"/>
      <c r="H73" s="171">
        <v>68</v>
      </c>
      <c r="I73" s="172" t="str">
        <f t="shared" si="11"/>
        <v/>
      </c>
      <c r="J73" s="171" t="e">
        <f t="shared" si="15"/>
        <v>#NUM!</v>
      </c>
      <c r="K73" s="171" t="e">
        <f t="shared" si="12"/>
        <v>#NUM!</v>
      </c>
      <c r="L73" s="171"/>
      <c r="M73" s="173">
        <f t="shared" si="13"/>
        <v>0</v>
      </c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</row>
    <row r="74" spans="1:38" s="156" customFormat="1">
      <c r="A74" s="86">
        <f t="shared" si="14"/>
        <v>0</v>
      </c>
      <c r="B74" s="36" t="str">
        <f t="shared" si="10"/>
        <v/>
      </c>
      <c r="C74" s="24"/>
      <c r="D74" s="24"/>
      <c r="E74" s="24"/>
      <c r="F74" s="24"/>
      <c r="H74" s="168">
        <v>69</v>
      </c>
      <c r="I74" s="169" t="str">
        <f t="shared" si="11"/>
        <v/>
      </c>
      <c r="J74" s="168" t="e">
        <f t="shared" si="15"/>
        <v>#NUM!</v>
      </c>
      <c r="K74" s="168" t="e">
        <f t="shared" si="12"/>
        <v>#NUM!</v>
      </c>
      <c r="L74" s="168"/>
      <c r="M74" s="170">
        <f t="shared" si="13"/>
        <v>0</v>
      </c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</row>
    <row r="75" spans="1:38" s="156" customFormat="1">
      <c r="A75" s="90">
        <f t="shared" si="14"/>
        <v>0</v>
      </c>
      <c r="B75" s="35" t="str">
        <f t="shared" si="10"/>
        <v/>
      </c>
      <c r="C75" s="25"/>
      <c r="D75" s="25"/>
      <c r="E75" s="25"/>
      <c r="F75" s="25"/>
      <c r="H75" s="171">
        <v>70</v>
      </c>
      <c r="I75" s="172" t="str">
        <f t="shared" si="11"/>
        <v/>
      </c>
      <c r="J75" s="171" t="e">
        <f t="shared" si="15"/>
        <v>#NUM!</v>
      </c>
      <c r="K75" s="171" t="e">
        <f t="shared" si="12"/>
        <v>#NUM!</v>
      </c>
      <c r="L75" s="171"/>
      <c r="M75" s="173">
        <f t="shared" si="13"/>
        <v>0</v>
      </c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</row>
    <row r="76" spans="1:38" s="156" customFormat="1">
      <c r="A76" s="86">
        <f t="shared" si="14"/>
        <v>0</v>
      </c>
      <c r="B76" s="36" t="str">
        <f t="shared" si="10"/>
        <v/>
      </c>
      <c r="C76" s="24"/>
      <c r="D76" s="24"/>
      <c r="E76" s="24"/>
      <c r="F76" s="24"/>
      <c r="H76" s="168">
        <v>71</v>
      </c>
      <c r="I76" s="169" t="str">
        <f t="shared" si="11"/>
        <v/>
      </c>
      <c r="J76" s="168" t="e">
        <f t="shared" si="15"/>
        <v>#NUM!</v>
      </c>
      <c r="K76" s="168" t="e">
        <f t="shared" si="12"/>
        <v>#NUM!</v>
      </c>
      <c r="L76" s="168"/>
      <c r="M76" s="170">
        <f t="shared" si="13"/>
        <v>0</v>
      </c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</row>
    <row r="77" spans="1:38" s="156" customFormat="1">
      <c r="A77" s="90">
        <f t="shared" si="14"/>
        <v>0</v>
      </c>
      <c r="B77" s="35" t="str">
        <f t="shared" si="10"/>
        <v/>
      </c>
      <c r="C77" s="25"/>
      <c r="D77" s="25"/>
      <c r="E77" s="25"/>
      <c r="F77" s="25"/>
      <c r="H77" s="171">
        <v>72</v>
      </c>
      <c r="I77" s="172" t="str">
        <f t="shared" si="11"/>
        <v/>
      </c>
      <c r="J77" s="171" t="e">
        <f t="shared" si="15"/>
        <v>#NUM!</v>
      </c>
      <c r="K77" s="171" t="e">
        <f t="shared" si="12"/>
        <v>#NUM!</v>
      </c>
      <c r="L77" s="171"/>
      <c r="M77" s="173">
        <f t="shared" si="13"/>
        <v>0</v>
      </c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</row>
    <row r="78" spans="1:38" s="156" customFormat="1">
      <c r="A78" s="86">
        <f t="shared" si="14"/>
        <v>0</v>
      </c>
      <c r="B78" s="36" t="str">
        <f t="shared" si="10"/>
        <v/>
      </c>
      <c r="C78" s="24"/>
      <c r="D78" s="24"/>
      <c r="E78" s="24"/>
      <c r="F78" s="24"/>
      <c r="H78" s="168">
        <v>73</v>
      </c>
      <c r="I78" s="169" t="str">
        <f t="shared" si="11"/>
        <v/>
      </c>
      <c r="J78" s="168" t="e">
        <f t="shared" si="15"/>
        <v>#NUM!</v>
      </c>
      <c r="K78" s="168" t="e">
        <f t="shared" si="12"/>
        <v>#NUM!</v>
      </c>
      <c r="L78" s="168"/>
      <c r="M78" s="170">
        <f t="shared" si="13"/>
        <v>0</v>
      </c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</row>
    <row r="79" spans="1:38" s="156" customFormat="1">
      <c r="A79" s="90">
        <f t="shared" si="14"/>
        <v>0</v>
      </c>
      <c r="B79" s="35" t="str">
        <f t="shared" si="10"/>
        <v/>
      </c>
      <c r="C79" s="25"/>
      <c r="D79" s="25"/>
      <c r="E79" s="25"/>
      <c r="F79" s="25"/>
      <c r="H79" s="171">
        <v>74</v>
      </c>
      <c r="I79" s="172" t="str">
        <f t="shared" si="11"/>
        <v/>
      </c>
      <c r="J79" s="171" t="e">
        <f t="shared" si="15"/>
        <v>#NUM!</v>
      </c>
      <c r="K79" s="171" t="e">
        <f t="shared" si="12"/>
        <v>#NUM!</v>
      </c>
      <c r="L79" s="171"/>
      <c r="M79" s="173">
        <f t="shared" si="13"/>
        <v>0</v>
      </c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</row>
    <row r="80" spans="1:38" s="156" customFormat="1">
      <c r="A80" s="86">
        <f t="shared" si="14"/>
        <v>0</v>
      </c>
      <c r="B80" s="36" t="str">
        <f t="shared" si="10"/>
        <v/>
      </c>
      <c r="C80" s="24"/>
      <c r="D80" s="24"/>
      <c r="E80" s="24"/>
      <c r="F80" s="24"/>
      <c r="H80" s="168">
        <v>75</v>
      </c>
      <c r="I80" s="169" t="str">
        <f t="shared" si="11"/>
        <v/>
      </c>
      <c r="J80" s="168" t="e">
        <f t="shared" si="15"/>
        <v>#NUM!</v>
      </c>
      <c r="K80" s="168" t="e">
        <f t="shared" si="12"/>
        <v>#NUM!</v>
      </c>
      <c r="L80" s="168"/>
      <c r="M80" s="170">
        <f t="shared" si="13"/>
        <v>0</v>
      </c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</row>
    <row r="81" spans="1:38" s="156" customFormat="1">
      <c r="A81" s="90">
        <f t="shared" si="14"/>
        <v>0</v>
      </c>
      <c r="B81" s="35" t="str">
        <f t="shared" si="10"/>
        <v/>
      </c>
      <c r="C81" s="25"/>
      <c r="D81" s="25"/>
      <c r="E81" s="25"/>
      <c r="F81" s="25"/>
      <c r="H81" s="171">
        <v>76</v>
      </c>
      <c r="I81" s="172" t="str">
        <f t="shared" si="11"/>
        <v/>
      </c>
      <c r="J81" s="171" t="e">
        <f t="shared" si="15"/>
        <v>#NUM!</v>
      </c>
      <c r="K81" s="171" t="e">
        <f t="shared" si="12"/>
        <v>#NUM!</v>
      </c>
      <c r="L81" s="171"/>
      <c r="M81" s="173">
        <f t="shared" si="13"/>
        <v>0</v>
      </c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</row>
    <row r="82" spans="1:38" s="156" customFormat="1">
      <c r="A82" s="86">
        <f t="shared" si="14"/>
        <v>0</v>
      </c>
      <c r="B82" s="36" t="str">
        <f t="shared" si="10"/>
        <v/>
      </c>
      <c r="C82" s="24"/>
      <c r="D82" s="24"/>
      <c r="E82" s="24"/>
      <c r="F82" s="24"/>
      <c r="H82" s="168">
        <v>77</v>
      </c>
      <c r="I82" s="169" t="str">
        <f t="shared" si="11"/>
        <v/>
      </c>
      <c r="J82" s="168" t="e">
        <f t="shared" si="15"/>
        <v>#NUM!</v>
      </c>
      <c r="K82" s="168" t="e">
        <f t="shared" si="12"/>
        <v>#NUM!</v>
      </c>
      <c r="L82" s="168"/>
      <c r="M82" s="170">
        <f t="shared" si="13"/>
        <v>0</v>
      </c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</row>
    <row r="83" spans="1:38" s="156" customFormat="1">
      <c r="A83" s="90">
        <f t="shared" si="14"/>
        <v>0</v>
      </c>
      <c r="B83" s="35" t="str">
        <f t="shared" si="10"/>
        <v/>
      </c>
      <c r="C83" s="25"/>
      <c r="D83" s="25"/>
      <c r="E83" s="25"/>
      <c r="F83" s="25"/>
      <c r="H83" s="171">
        <v>78</v>
      </c>
      <c r="I83" s="172" t="str">
        <f t="shared" si="11"/>
        <v/>
      </c>
      <c r="J83" s="171" t="e">
        <f t="shared" si="15"/>
        <v>#NUM!</v>
      </c>
      <c r="K83" s="171" t="e">
        <f t="shared" si="12"/>
        <v>#NUM!</v>
      </c>
      <c r="L83" s="171"/>
      <c r="M83" s="173">
        <f t="shared" si="13"/>
        <v>0</v>
      </c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</row>
    <row r="84" spans="1:38" s="156" customFormat="1">
      <c r="A84" s="86">
        <f t="shared" si="14"/>
        <v>0</v>
      </c>
      <c r="B84" s="36" t="str">
        <f t="shared" si="10"/>
        <v/>
      </c>
      <c r="C84" s="24"/>
      <c r="D84" s="24"/>
      <c r="E84" s="24"/>
      <c r="F84" s="24"/>
      <c r="H84" s="168">
        <v>79</v>
      </c>
      <c r="I84" s="169" t="str">
        <f t="shared" si="11"/>
        <v/>
      </c>
      <c r="J84" s="168" t="e">
        <f t="shared" si="15"/>
        <v>#NUM!</v>
      </c>
      <c r="K84" s="168" t="e">
        <f t="shared" si="12"/>
        <v>#NUM!</v>
      </c>
      <c r="L84" s="168"/>
      <c r="M84" s="170">
        <f t="shared" si="13"/>
        <v>0</v>
      </c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</row>
    <row r="85" spans="1:38" s="156" customFormat="1">
      <c r="A85" s="90">
        <f t="shared" si="14"/>
        <v>0</v>
      </c>
      <c r="B85" s="35" t="str">
        <f t="shared" si="10"/>
        <v/>
      </c>
      <c r="C85" s="25"/>
      <c r="D85" s="25"/>
      <c r="E85" s="25"/>
      <c r="F85" s="25"/>
      <c r="H85" s="171">
        <v>80</v>
      </c>
      <c r="I85" s="172" t="str">
        <f t="shared" si="11"/>
        <v/>
      </c>
      <c r="J85" s="171" t="e">
        <f t="shared" si="15"/>
        <v>#NUM!</v>
      </c>
      <c r="K85" s="171" t="e">
        <f t="shared" si="12"/>
        <v>#NUM!</v>
      </c>
      <c r="L85" s="171"/>
      <c r="M85" s="173">
        <f t="shared" si="13"/>
        <v>0</v>
      </c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</row>
    <row r="86" spans="1:38" s="156" customFormat="1">
      <c r="A86" s="86">
        <f t="shared" si="14"/>
        <v>0</v>
      </c>
      <c r="B86" s="36" t="str">
        <f t="shared" si="10"/>
        <v/>
      </c>
      <c r="C86" s="24"/>
      <c r="D86" s="24"/>
      <c r="E86" s="24"/>
      <c r="F86" s="24"/>
      <c r="H86" s="168">
        <v>81</v>
      </c>
      <c r="I86" s="169" t="str">
        <f t="shared" si="11"/>
        <v/>
      </c>
      <c r="J86" s="168" t="e">
        <f t="shared" si="15"/>
        <v>#NUM!</v>
      </c>
      <c r="K86" s="168" t="e">
        <f t="shared" si="12"/>
        <v>#NUM!</v>
      </c>
      <c r="L86" s="168"/>
      <c r="M86" s="170">
        <f t="shared" si="13"/>
        <v>0</v>
      </c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</row>
    <row r="87" spans="1:38" s="156" customFormat="1">
      <c r="A87" s="90">
        <f t="shared" si="14"/>
        <v>0</v>
      </c>
      <c r="B87" s="35" t="str">
        <f t="shared" si="10"/>
        <v/>
      </c>
      <c r="C87" s="25"/>
      <c r="D87" s="25"/>
      <c r="E87" s="25"/>
      <c r="F87" s="25"/>
      <c r="H87" s="171">
        <v>82</v>
      </c>
      <c r="I87" s="172" t="str">
        <f t="shared" si="11"/>
        <v/>
      </c>
      <c r="J87" s="171" t="e">
        <f t="shared" si="15"/>
        <v>#NUM!</v>
      </c>
      <c r="K87" s="171" t="e">
        <f t="shared" si="12"/>
        <v>#NUM!</v>
      </c>
      <c r="L87" s="171"/>
      <c r="M87" s="173">
        <f t="shared" si="13"/>
        <v>0</v>
      </c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</row>
    <row r="88" spans="1:38" s="156" customFormat="1">
      <c r="A88" s="86">
        <f t="shared" si="14"/>
        <v>0</v>
      </c>
      <c r="B88" s="36" t="str">
        <f t="shared" si="10"/>
        <v/>
      </c>
      <c r="C88" s="24"/>
      <c r="D88" s="24"/>
      <c r="E88" s="24"/>
      <c r="F88" s="24"/>
      <c r="H88" s="168">
        <v>83</v>
      </c>
      <c r="I88" s="169" t="str">
        <f t="shared" si="11"/>
        <v/>
      </c>
      <c r="J88" s="168" t="e">
        <f t="shared" si="15"/>
        <v>#NUM!</v>
      </c>
      <c r="K88" s="168" t="e">
        <f t="shared" si="12"/>
        <v>#NUM!</v>
      </c>
      <c r="L88" s="168"/>
      <c r="M88" s="170">
        <f t="shared" si="13"/>
        <v>0</v>
      </c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</row>
    <row r="89" spans="1:38" s="156" customFormat="1">
      <c r="A89" s="90">
        <f t="shared" si="14"/>
        <v>0</v>
      </c>
      <c r="B89" s="35" t="str">
        <f t="shared" si="10"/>
        <v/>
      </c>
      <c r="C89" s="25"/>
      <c r="D89" s="25"/>
      <c r="E89" s="25"/>
      <c r="F89" s="25"/>
      <c r="H89" s="171">
        <v>84</v>
      </c>
      <c r="I89" s="172" t="str">
        <f t="shared" si="11"/>
        <v/>
      </c>
      <c r="J89" s="171" t="e">
        <f t="shared" si="15"/>
        <v>#NUM!</v>
      </c>
      <c r="K89" s="171" t="e">
        <f t="shared" si="12"/>
        <v>#NUM!</v>
      </c>
      <c r="L89" s="171"/>
      <c r="M89" s="173">
        <f t="shared" si="13"/>
        <v>0</v>
      </c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</row>
    <row r="90" spans="1:38" s="156" customFormat="1">
      <c r="A90" s="86">
        <f t="shared" si="14"/>
        <v>0</v>
      </c>
      <c r="B90" s="36" t="str">
        <f t="shared" si="10"/>
        <v/>
      </c>
      <c r="C90" s="24"/>
      <c r="D90" s="24"/>
      <c r="E90" s="24"/>
      <c r="F90" s="24"/>
      <c r="H90" s="168">
        <v>85</v>
      </c>
      <c r="I90" s="169" t="str">
        <f t="shared" si="11"/>
        <v/>
      </c>
      <c r="J90" s="168" t="e">
        <f t="shared" si="15"/>
        <v>#NUM!</v>
      </c>
      <c r="K90" s="168" t="e">
        <f t="shared" si="12"/>
        <v>#NUM!</v>
      </c>
      <c r="L90" s="168"/>
      <c r="M90" s="170">
        <f t="shared" si="13"/>
        <v>0</v>
      </c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</row>
    <row r="91" spans="1:38" s="156" customFormat="1">
      <c r="A91" s="90">
        <f t="shared" si="14"/>
        <v>0</v>
      </c>
      <c r="B91" s="35" t="str">
        <f t="shared" si="10"/>
        <v/>
      </c>
      <c r="C91" s="25"/>
      <c r="D91" s="25"/>
      <c r="E91" s="25"/>
      <c r="F91" s="25"/>
      <c r="H91" s="171">
        <v>86</v>
      </c>
      <c r="I91" s="172" t="str">
        <f t="shared" si="11"/>
        <v/>
      </c>
      <c r="J91" s="171" t="e">
        <f t="shared" si="15"/>
        <v>#NUM!</v>
      </c>
      <c r="K91" s="171" t="e">
        <f t="shared" si="12"/>
        <v>#NUM!</v>
      </c>
      <c r="L91" s="171"/>
      <c r="M91" s="173">
        <f t="shared" si="13"/>
        <v>0</v>
      </c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</row>
    <row r="92" spans="1:38" s="156" customFormat="1">
      <c r="A92" s="86">
        <f t="shared" si="14"/>
        <v>0</v>
      </c>
      <c r="B92" s="36" t="str">
        <f t="shared" si="10"/>
        <v/>
      </c>
      <c r="C92" s="24"/>
      <c r="D92" s="24"/>
      <c r="E92" s="24"/>
      <c r="F92" s="24"/>
      <c r="H92" s="168">
        <v>87</v>
      </c>
      <c r="I92" s="169" t="str">
        <f t="shared" si="11"/>
        <v/>
      </c>
      <c r="J92" s="168" t="e">
        <f t="shared" si="15"/>
        <v>#NUM!</v>
      </c>
      <c r="K92" s="168" t="e">
        <f t="shared" si="12"/>
        <v>#NUM!</v>
      </c>
      <c r="L92" s="168"/>
      <c r="M92" s="170">
        <f t="shared" si="13"/>
        <v>0</v>
      </c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</row>
    <row r="93" spans="1:38" s="156" customFormat="1">
      <c r="A93" s="90">
        <f t="shared" si="14"/>
        <v>0</v>
      </c>
      <c r="B93" s="35" t="str">
        <f t="shared" si="10"/>
        <v/>
      </c>
      <c r="C93" s="25"/>
      <c r="D93" s="25"/>
      <c r="E93" s="25"/>
      <c r="F93" s="25"/>
      <c r="H93" s="171">
        <v>88</v>
      </c>
      <c r="I93" s="172" t="str">
        <f t="shared" si="11"/>
        <v/>
      </c>
      <c r="J93" s="171" t="e">
        <f t="shared" si="15"/>
        <v>#NUM!</v>
      </c>
      <c r="K93" s="171" t="e">
        <f t="shared" si="12"/>
        <v>#NUM!</v>
      </c>
      <c r="L93" s="171"/>
      <c r="M93" s="173">
        <f t="shared" si="13"/>
        <v>0</v>
      </c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</row>
    <row r="94" spans="1:38" s="156" customFormat="1">
      <c r="A94" s="86">
        <f t="shared" si="14"/>
        <v>0</v>
      </c>
      <c r="B94" s="36" t="str">
        <f t="shared" si="10"/>
        <v/>
      </c>
      <c r="C94" s="24"/>
      <c r="D94" s="24"/>
      <c r="E94" s="24"/>
      <c r="F94" s="24"/>
      <c r="H94" s="168">
        <v>89</v>
      </c>
      <c r="I94" s="169" t="str">
        <f t="shared" si="11"/>
        <v/>
      </c>
      <c r="J94" s="168" t="e">
        <f t="shared" si="15"/>
        <v>#NUM!</v>
      </c>
      <c r="K94" s="168" t="e">
        <f t="shared" si="12"/>
        <v>#NUM!</v>
      </c>
      <c r="L94" s="168"/>
      <c r="M94" s="170">
        <f t="shared" si="13"/>
        <v>0</v>
      </c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</row>
    <row r="95" spans="1:38" s="156" customFormat="1">
      <c r="A95" s="90">
        <f t="shared" si="14"/>
        <v>0</v>
      </c>
      <c r="B95" s="35" t="str">
        <f t="shared" si="10"/>
        <v/>
      </c>
      <c r="C95" s="25"/>
      <c r="D95" s="25"/>
      <c r="E95" s="25"/>
      <c r="F95" s="25"/>
      <c r="H95" s="171">
        <v>90</v>
      </c>
      <c r="I95" s="172" t="str">
        <f t="shared" si="11"/>
        <v/>
      </c>
      <c r="J95" s="171" t="e">
        <f t="shared" si="15"/>
        <v>#NUM!</v>
      </c>
      <c r="K95" s="171" t="e">
        <f t="shared" si="12"/>
        <v>#NUM!</v>
      </c>
      <c r="L95" s="171"/>
      <c r="M95" s="173">
        <f t="shared" si="13"/>
        <v>0</v>
      </c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</row>
    <row r="96" spans="1:38" s="156" customFormat="1">
      <c r="A96" s="86">
        <f t="shared" si="14"/>
        <v>0</v>
      </c>
      <c r="B96" s="36" t="str">
        <f t="shared" si="10"/>
        <v/>
      </c>
      <c r="C96" s="24"/>
      <c r="D96" s="24"/>
      <c r="E96" s="24"/>
      <c r="F96" s="24"/>
      <c r="H96" s="168">
        <v>91</v>
      </c>
      <c r="I96" s="169" t="str">
        <f t="shared" si="11"/>
        <v/>
      </c>
      <c r="J96" s="168" t="e">
        <f t="shared" si="15"/>
        <v>#NUM!</v>
      </c>
      <c r="K96" s="168" t="e">
        <f t="shared" si="12"/>
        <v>#NUM!</v>
      </c>
      <c r="L96" s="168"/>
      <c r="M96" s="170">
        <f t="shared" si="13"/>
        <v>0</v>
      </c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</row>
    <row r="97" spans="1:38" s="156" customFormat="1">
      <c r="A97" s="90">
        <f t="shared" si="14"/>
        <v>0</v>
      </c>
      <c r="B97" s="35" t="str">
        <f t="shared" si="10"/>
        <v/>
      </c>
      <c r="C97" s="25"/>
      <c r="D97" s="25"/>
      <c r="E97" s="25"/>
      <c r="F97" s="25"/>
      <c r="H97" s="171">
        <v>92</v>
      </c>
      <c r="I97" s="172" t="str">
        <f t="shared" si="11"/>
        <v/>
      </c>
      <c r="J97" s="171" t="e">
        <f t="shared" si="15"/>
        <v>#NUM!</v>
      </c>
      <c r="K97" s="171" t="e">
        <f t="shared" si="12"/>
        <v>#NUM!</v>
      </c>
      <c r="L97" s="171"/>
      <c r="M97" s="173">
        <f t="shared" si="13"/>
        <v>0</v>
      </c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</row>
    <row r="98" spans="1:38" s="156" customFormat="1">
      <c r="A98" s="86">
        <f t="shared" si="14"/>
        <v>0</v>
      </c>
      <c r="B98" s="36" t="str">
        <f t="shared" si="10"/>
        <v/>
      </c>
      <c r="C98" s="24"/>
      <c r="D98" s="24"/>
      <c r="E98" s="24"/>
      <c r="F98" s="24"/>
      <c r="H98" s="168">
        <v>93</v>
      </c>
      <c r="I98" s="169" t="str">
        <f t="shared" si="11"/>
        <v/>
      </c>
      <c r="J98" s="168" t="e">
        <f t="shared" si="15"/>
        <v>#NUM!</v>
      </c>
      <c r="K98" s="168" t="e">
        <f t="shared" si="12"/>
        <v>#NUM!</v>
      </c>
      <c r="L98" s="168"/>
      <c r="M98" s="170">
        <f t="shared" si="13"/>
        <v>0</v>
      </c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</row>
    <row r="99" spans="1:38" s="156" customFormat="1">
      <c r="A99" s="90">
        <f t="shared" si="14"/>
        <v>0</v>
      </c>
      <c r="B99" s="35" t="str">
        <f t="shared" si="10"/>
        <v/>
      </c>
      <c r="C99" s="25"/>
      <c r="D99" s="25"/>
      <c r="E99" s="25"/>
      <c r="F99" s="25"/>
      <c r="H99" s="171">
        <v>94</v>
      </c>
      <c r="I99" s="172" t="str">
        <f t="shared" si="11"/>
        <v/>
      </c>
      <c r="J99" s="171" t="e">
        <f t="shared" si="15"/>
        <v>#NUM!</v>
      </c>
      <c r="K99" s="171" t="e">
        <f t="shared" si="12"/>
        <v>#NUM!</v>
      </c>
      <c r="L99" s="171"/>
      <c r="M99" s="173">
        <f t="shared" si="13"/>
        <v>0</v>
      </c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</row>
    <row r="100" spans="1:38" s="156" customFormat="1">
      <c r="A100" s="86">
        <f t="shared" si="14"/>
        <v>0</v>
      </c>
      <c r="B100" s="36" t="str">
        <f t="shared" si="10"/>
        <v/>
      </c>
      <c r="C100" s="24"/>
      <c r="D100" s="24"/>
      <c r="E100" s="24"/>
      <c r="F100" s="24"/>
      <c r="H100" s="168">
        <v>95</v>
      </c>
      <c r="I100" s="169" t="str">
        <f t="shared" si="11"/>
        <v/>
      </c>
      <c r="J100" s="168" t="e">
        <f t="shared" si="15"/>
        <v>#NUM!</v>
      </c>
      <c r="K100" s="168" t="e">
        <f t="shared" si="12"/>
        <v>#NUM!</v>
      </c>
      <c r="L100" s="168"/>
      <c r="M100" s="170">
        <f t="shared" si="13"/>
        <v>0</v>
      </c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</row>
    <row r="101" spans="1:38" s="156" customFormat="1">
      <c r="A101" s="90">
        <f t="shared" si="14"/>
        <v>0</v>
      </c>
      <c r="B101" s="35" t="str">
        <f t="shared" si="10"/>
        <v/>
      </c>
      <c r="C101" s="25"/>
      <c r="D101" s="25"/>
      <c r="E101" s="25"/>
      <c r="F101" s="25"/>
      <c r="H101" s="171">
        <v>96</v>
      </c>
      <c r="I101" s="172" t="str">
        <f t="shared" si="11"/>
        <v/>
      </c>
      <c r="J101" s="171" t="e">
        <f t="shared" si="15"/>
        <v>#NUM!</v>
      </c>
      <c r="K101" s="171" t="e">
        <f t="shared" si="12"/>
        <v>#NUM!</v>
      </c>
      <c r="L101" s="171"/>
      <c r="M101" s="173">
        <f t="shared" si="13"/>
        <v>0</v>
      </c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</row>
    <row r="102" spans="1:38" s="156" customFormat="1">
      <c r="A102" s="86">
        <f t="shared" si="14"/>
        <v>0</v>
      </c>
      <c r="B102" s="36" t="str">
        <f t="shared" si="10"/>
        <v/>
      </c>
      <c r="C102" s="24"/>
      <c r="D102" s="24"/>
      <c r="E102" s="24"/>
      <c r="F102" s="24"/>
      <c r="H102" s="168">
        <v>97</v>
      </c>
      <c r="I102" s="169" t="str">
        <f t="shared" si="11"/>
        <v/>
      </c>
      <c r="J102" s="168" t="e">
        <f t="shared" si="15"/>
        <v>#NUM!</v>
      </c>
      <c r="K102" s="168" t="e">
        <f t="shared" si="12"/>
        <v>#NUM!</v>
      </c>
      <c r="L102" s="168"/>
      <c r="M102" s="170">
        <f t="shared" si="13"/>
        <v>0</v>
      </c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</row>
    <row r="103" spans="1:38" s="156" customFormat="1">
      <c r="A103" s="90">
        <f t="shared" si="14"/>
        <v>0</v>
      </c>
      <c r="B103" s="35" t="str">
        <f t="shared" si="10"/>
        <v/>
      </c>
      <c r="C103" s="25"/>
      <c r="D103" s="25"/>
      <c r="E103" s="25"/>
      <c r="F103" s="25"/>
      <c r="H103" s="171">
        <v>98</v>
      </c>
      <c r="I103" s="172" t="str">
        <f t="shared" si="11"/>
        <v/>
      </c>
      <c r="J103" s="171" t="e">
        <f t="shared" si="15"/>
        <v>#NUM!</v>
      </c>
      <c r="K103" s="171" t="e">
        <f t="shared" si="12"/>
        <v>#NUM!</v>
      </c>
      <c r="L103" s="171"/>
      <c r="M103" s="173">
        <f t="shared" si="13"/>
        <v>0</v>
      </c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</row>
    <row r="104" spans="1:38" s="156" customFormat="1">
      <c r="A104" s="86">
        <f t="shared" si="14"/>
        <v>0</v>
      </c>
      <c r="B104" s="36" t="str">
        <f t="shared" si="10"/>
        <v/>
      </c>
      <c r="C104" s="24"/>
      <c r="D104" s="24"/>
      <c r="E104" s="24"/>
      <c r="F104" s="24"/>
      <c r="H104" s="168">
        <v>99</v>
      </c>
      <c r="I104" s="169" t="str">
        <f t="shared" si="11"/>
        <v/>
      </c>
      <c r="J104" s="168" t="e">
        <f t="shared" si="15"/>
        <v>#NUM!</v>
      </c>
      <c r="K104" s="168" t="e">
        <f t="shared" si="12"/>
        <v>#NUM!</v>
      </c>
      <c r="L104" s="168"/>
      <c r="M104" s="170">
        <f t="shared" si="13"/>
        <v>0</v>
      </c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</row>
    <row r="105" spans="1:38" s="156" customFormat="1">
      <c r="A105" s="90">
        <f t="shared" si="14"/>
        <v>0</v>
      </c>
      <c r="B105" s="35" t="str">
        <f t="shared" si="10"/>
        <v/>
      </c>
      <c r="C105" s="25"/>
      <c r="D105" s="25"/>
      <c r="E105" s="25"/>
      <c r="F105" s="25"/>
      <c r="H105" s="171">
        <v>100</v>
      </c>
      <c r="I105" s="172" t="str">
        <f t="shared" si="11"/>
        <v/>
      </c>
      <c r="J105" s="171" t="e">
        <f t="shared" si="15"/>
        <v>#NUM!</v>
      </c>
      <c r="K105" s="171" t="e">
        <f t="shared" si="12"/>
        <v>#NUM!</v>
      </c>
      <c r="L105" s="171"/>
      <c r="M105" s="173">
        <f t="shared" si="13"/>
        <v>0</v>
      </c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</row>
    <row r="106" spans="1:38" s="156" customFormat="1">
      <c r="A106" s="86">
        <f t="shared" si="14"/>
        <v>0</v>
      </c>
      <c r="B106" s="36" t="str">
        <f t="shared" si="10"/>
        <v/>
      </c>
      <c r="C106" s="24"/>
      <c r="D106" s="24"/>
      <c r="E106" s="24"/>
      <c r="F106" s="24"/>
      <c r="H106" s="168">
        <v>101</v>
      </c>
      <c r="I106" s="169" t="str">
        <f t="shared" si="11"/>
        <v/>
      </c>
      <c r="J106" s="168" t="e">
        <f t="shared" si="15"/>
        <v>#NUM!</v>
      </c>
      <c r="K106" s="168" t="e">
        <f t="shared" si="12"/>
        <v>#NUM!</v>
      </c>
      <c r="L106" s="168"/>
      <c r="M106" s="170">
        <f t="shared" si="13"/>
        <v>0</v>
      </c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</row>
    <row r="107" spans="1:38" s="156" customFormat="1">
      <c r="A107" s="90">
        <f t="shared" si="14"/>
        <v>0</v>
      </c>
      <c r="B107" s="35" t="str">
        <f t="shared" si="10"/>
        <v/>
      </c>
      <c r="C107" s="25"/>
      <c r="D107" s="25"/>
      <c r="E107" s="25"/>
      <c r="F107" s="25"/>
      <c r="H107" s="171">
        <v>102</v>
      </c>
      <c r="I107" s="172" t="str">
        <f t="shared" si="11"/>
        <v/>
      </c>
      <c r="J107" s="171" t="e">
        <f t="shared" si="15"/>
        <v>#NUM!</v>
      </c>
      <c r="K107" s="171" t="e">
        <f t="shared" si="12"/>
        <v>#NUM!</v>
      </c>
      <c r="L107" s="171"/>
      <c r="M107" s="173">
        <f t="shared" si="13"/>
        <v>0</v>
      </c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</row>
    <row r="108" spans="1:38" s="156" customFormat="1">
      <c r="A108" s="86">
        <f t="shared" si="14"/>
        <v>0</v>
      </c>
      <c r="B108" s="36" t="str">
        <f t="shared" si="10"/>
        <v/>
      </c>
      <c r="C108" s="24"/>
      <c r="D108" s="24"/>
      <c r="E108" s="24"/>
      <c r="F108" s="24"/>
      <c r="H108" s="168">
        <v>103</v>
      </c>
      <c r="I108" s="169" t="str">
        <f t="shared" si="11"/>
        <v/>
      </c>
      <c r="J108" s="168" t="e">
        <f t="shared" si="15"/>
        <v>#NUM!</v>
      </c>
      <c r="K108" s="168" t="e">
        <f t="shared" si="12"/>
        <v>#NUM!</v>
      </c>
      <c r="L108" s="168"/>
      <c r="M108" s="170">
        <f t="shared" si="13"/>
        <v>0</v>
      </c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</row>
    <row r="109" spans="1:38" s="156" customFormat="1">
      <c r="A109" s="90">
        <f t="shared" si="14"/>
        <v>0</v>
      </c>
      <c r="B109" s="35" t="str">
        <f t="shared" si="10"/>
        <v/>
      </c>
      <c r="C109" s="25"/>
      <c r="D109" s="25"/>
      <c r="E109" s="25"/>
      <c r="F109" s="25"/>
      <c r="H109" s="171">
        <v>104</v>
      </c>
      <c r="I109" s="172" t="str">
        <f t="shared" si="11"/>
        <v/>
      </c>
      <c r="J109" s="171" t="e">
        <f t="shared" si="15"/>
        <v>#NUM!</v>
      </c>
      <c r="K109" s="171" t="e">
        <f t="shared" si="12"/>
        <v>#NUM!</v>
      </c>
      <c r="L109" s="171"/>
      <c r="M109" s="173">
        <f t="shared" si="13"/>
        <v>0</v>
      </c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</row>
    <row r="110" spans="1:38" s="156" customFormat="1">
      <c r="A110" s="86">
        <f t="shared" si="14"/>
        <v>0</v>
      </c>
      <c r="B110" s="36" t="str">
        <f t="shared" si="10"/>
        <v/>
      </c>
      <c r="C110" s="24"/>
      <c r="D110" s="24"/>
      <c r="E110" s="24"/>
      <c r="F110" s="24"/>
      <c r="H110" s="168">
        <v>105</v>
      </c>
      <c r="I110" s="169" t="str">
        <f t="shared" si="11"/>
        <v/>
      </c>
      <c r="J110" s="168" t="e">
        <f t="shared" si="15"/>
        <v>#NUM!</v>
      </c>
      <c r="K110" s="168" t="e">
        <f t="shared" si="12"/>
        <v>#NUM!</v>
      </c>
      <c r="L110" s="168"/>
      <c r="M110" s="170">
        <f t="shared" si="13"/>
        <v>0</v>
      </c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</row>
    <row r="111" spans="1:38" s="156" customFormat="1">
      <c r="A111" s="90">
        <f t="shared" si="14"/>
        <v>0</v>
      </c>
      <c r="B111" s="35" t="str">
        <f t="shared" si="10"/>
        <v/>
      </c>
      <c r="C111" s="25"/>
      <c r="D111" s="25"/>
      <c r="E111" s="25"/>
      <c r="F111" s="25"/>
      <c r="H111" s="171">
        <v>106</v>
      </c>
      <c r="I111" s="172" t="str">
        <f t="shared" si="11"/>
        <v/>
      </c>
      <c r="J111" s="171" t="e">
        <f t="shared" si="15"/>
        <v>#NUM!</v>
      </c>
      <c r="K111" s="171" t="e">
        <f t="shared" si="12"/>
        <v>#NUM!</v>
      </c>
      <c r="L111" s="171"/>
      <c r="M111" s="173">
        <f t="shared" si="13"/>
        <v>0</v>
      </c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</row>
    <row r="112" spans="1:38" s="156" customFormat="1">
      <c r="A112" s="86">
        <f t="shared" si="14"/>
        <v>0</v>
      </c>
      <c r="B112" s="36" t="str">
        <f t="shared" si="10"/>
        <v/>
      </c>
      <c r="C112" s="24"/>
      <c r="D112" s="24"/>
      <c r="E112" s="24"/>
      <c r="F112" s="24"/>
      <c r="H112" s="168">
        <v>107</v>
      </c>
      <c r="I112" s="169" t="str">
        <f t="shared" si="11"/>
        <v/>
      </c>
      <c r="J112" s="168" t="e">
        <f t="shared" si="15"/>
        <v>#NUM!</v>
      </c>
      <c r="K112" s="168" t="e">
        <f t="shared" si="12"/>
        <v>#NUM!</v>
      </c>
      <c r="L112" s="168"/>
      <c r="M112" s="170">
        <f t="shared" si="13"/>
        <v>0</v>
      </c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</row>
    <row r="113" spans="1:38" s="156" customFormat="1">
      <c r="A113" s="90">
        <f t="shared" si="14"/>
        <v>0</v>
      </c>
      <c r="B113" s="35" t="str">
        <f t="shared" si="10"/>
        <v/>
      </c>
      <c r="C113" s="25"/>
      <c r="D113" s="25"/>
      <c r="E113" s="25"/>
      <c r="F113" s="25"/>
      <c r="H113" s="171">
        <v>108</v>
      </c>
      <c r="I113" s="172" t="str">
        <f t="shared" si="11"/>
        <v/>
      </c>
      <c r="J113" s="171" t="e">
        <f t="shared" si="15"/>
        <v>#NUM!</v>
      </c>
      <c r="K113" s="171" t="e">
        <f t="shared" si="12"/>
        <v>#NUM!</v>
      </c>
      <c r="L113" s="171"/>
      <c r="M113" s="173">
        <f t="shared" si="13"/>
        <v>0</v>
      </c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</row>
    <row r="114" spans="1:38" s="156" customFormat="1">
      <c r="A114" s="86">
        <f t="shared" si="14"/>
        <v>0</v>
      </c>
      <c r="B114" s="36" t="str">
        <f t="shared" si="10"/>
        <v/>
      </c>
      <c r="C114" s="24"/>
      <c r="D114" s="24"/>
      <c r="E114" s="24"/>
      <c r="F114" s="24"/>
      <c r="H114" s="168">
        <v>109</v>
      </c>
      <c r="I114" s="169" t="str">
        <f t="shared" si="11"/>
        <v/>
      </c>
      <c r="J114" s="168" t="e">
        <f t="shared" si="15"/>
        <v>#NUM!</v>
      </c>
      <c r="K114" s="168" t="e">
        <f t="shared" si="12"/>
        <v>#NUM!</v>
      </c>
      <c r="L114" s="168"/>
      <c r="M114" s="170">
        <f t="shared" si="13"/>
        <v>0</v>
      </c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</row>
    <row r="115" spans="1:38" s="156" customFormat="1">
      <c r="A115" s="90">
        <f t="shared" si="14"/>
        <v>0</v>
      </c>
      <c r="B115" s="35" t="str">
        <f t="shared" si="10"/>
        <v/>
      </c>
      <c r="C115" s="25"/>
      <c r="D115" s="25"/>
      <c r="E115" s="25"/>
      <c r="F115" s="25"/>
      <c r="H115" s="171">
        <v>110</v>
      </c>
      <c r="I115" s="172" t="str">
        <f t="shared" si="11"/>
        <v/>
      </c>
      <c r="J115" s="171" t="e">
        <f t="shared" si="15"/>
        <v>#NUM!</v>
      </c>
      <c r="K115" s="171" t="e">
        <f t="shared" si="12"/>
        <v>#NUM!</v>
      </c>
      <c r="L115" s="171"/>
      <c r="M115" s="173">
        <f t="shared" si="13"/>
        <v>0</v>
      </c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</row>
    <row r="116" spans="1:38" s="156" customFormat="1">
      <c r="A116" s="86">
        <f t="shared" si="14"/>
        <v>0</v>
      </c>
      <c r="B116" s="36" t="str">
        <f t="shared" si="10"/>
        <v/>
      </c>
      <c r="C116" s="24"/>
      <c r="D116" s="24"/>
      <c r="E116" s="24"/>
      <c r="F116" s="24"/>
      <c r="H116" s="168">
        <v>111</v>
      </c>
      <c r="I116" s="169" t="str">
        <f t="shared" si="11"/>
        <v/>
      </c>
      <c r="J116" s="168" t="e">
        <f t="shared" si="15"/>
        <v>#NUM!</v>
      </c>
      <c r="K116" s="168" t="e">
        <f t="shared" si="12"/>
        <v>#NUM!</v>
      </c>
      <c r="L116" s="168"/>
      <c r="M116" s="170">
        <f t="shared" si="13"/>
        <v>0</v>
      </c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</row>
    <row r="117" spans="1:38" s="156" customFormat="1">
      <c r="A117" s="90">
        <f t="shared" si="14"/>
        <v>0</v>
      </c>
      <c r="B117" s="35" t="str">
        <f t="shared" si="10"/>
        <v/>
      </c>
      <c r="C117" s="25"/>
      <c r="D117" s="25"/>
      <c r="E117" s="25"/>
      <c r="F117" s="25"/>
      <c r="H117" s="171">
        <v>112</v>
      </c>
      <c r="I117" s="172" t="str">
        <f t="shared" si="11"/>
        <v/>
      </c>
      <c r="J117" s="171" t="e">
        <f t="shared" si="15"/>
        <v>#NUM!</v>
      </c>
      <c r="K117" s="171" t="e">
        <f t="shared" si="12"/>
        <v>#NUM!</v>
      </c>
      <c r="L117" s="171"/>
      <c r="M117" s="173">
        <f t="shared" si="13"/>
        <v>0</v>
      </c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</row>
    <row r="118" spans="1:38" s="156" customFormat="1">
      <c r="A118" s="86">
        <f t="shared" si="14"/>
        <v>0</v>
      </c>
      <c r="B118" s="36" t="str">
        <f t="shared" si="10"/>
        <v/>
      </c>
      <c r="C118" s="24"/>
      <c r="D118" s="24"/>
      <c r="E118" s="24"/>
      <c r="F118" s="24"/>
      <c r="H118" s="168">
        <v>113</v>
      </c>
      <c r="I118" s="169" t="str">
        <f t="shared" si="11"/>
        <v/>
      </c>
      <c r="J118" s="168" t="e">
        <f t="shared" si="15"/>
        <v>#NUM!</v>
      </c>
      <c r="K118" s="168" t="e">
        <f t="shared" si="12"/>
        <v>#NUM!</v>
      </c>
      <c r="L118" s="168"/>
      <c r="M118" s="170">
        <f t="shared" si="13"/>
        <v>0</v>
      </c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</row>
    <row r="119" spans="1:38" s="156" customFormat="1">
      <c r="A119" s="90">
        <f t="shared" si="14"/>
        <v>0</v>
      </c>
      <c r="B119" s="35" t="str">
        <f t="shared" si="10"/>
        <v/>
      </c>
      <c r="C119" s="25"/>
      <c r="D119" s="25"/>
      <c r="E119" s="25"/>
      <c r="F119" s="25"/>
      <c r="H119" s="171">
        <v>114</v>
      </c>
      <c r="I119" s="172" t="str">
        <f t="shared" si="11"/>
        <v/>
      </c>
      <c r="J119" s="171" t="e">
        <f t="shared" si="15"/>
        <v>#NUM!</v>
      </c>
      <c r="K119" s="171" t="e">
        <f t="shared" si="12"/>
        <v>#NUM!</v>
      </c>
      <c r="L119" s="171"/>
      <c r="M119" s="173">
        <f t="shared" si="13"/>
        <v>0</v>
      </c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</row>
    <row r="120" spans="1:38" s="156" customFormat="1">
      <c r="A120" s="86">
        <f t="shared" si="14"/>
        <v>0</v>
      </c>
      <c r="B120" s="36" t="str">
        <f t="shared" si="10"/>
        <v/>
      </c>
      <c r="C120" s="24"/>
      <c r="D120" s="24"/>
      <c r="E120" s="24"/>
      <c r="F120" s="24"/>
      <c r="H120" s="168">
        <v>115</v>
      </c>
      <c r="I120" s="169" t="str">
        <f t="shared" si="11"/>
        <v/>
      </c>
      <c r="J120" s="168" t="e">
        <f t="shared" si="15"/>
        <v>#NUM!</v>
      </c>
      <c r="K120" s="168" t="e">
        <f t="shared" si="12"/>
        <v>#NUM!</v>
      </c>
      <c r="L120" s="168"/>
      <c r="M120" s="170">
        <f t="shared" si="13"/>
        <v>0</v>
      </c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</row>
    <row r="121" spans="1:38" s="156" customFormat="1">
      <c r="A121" s="90">
        <f t="shared" si="14"/>
        <v>0</v>
      </c>
      <c r="B121" s="35" t="str">
        <f t="shared" si="10"/>
        <v/>
      </c>
      <c r="C121" s="25"/>
      <c r="D121" s="25"/>
      <c r="E121" s="25"/>
      <c r="F121" s="25"/>
      <c r="H121" s="171">
        <v>116</v>
      </c>
      <c r="I121" s="172" t="str">
        <f t="shared" si="11"/>
        <v/>
      </c>
      <c r="J121" s="171" t="e">
        <f t="shared" si="15"/>
        <v>#NUM!</v>
      </c>
      <c r="K121" s="171" t="e">
        <f t="shared" si="12"/>
        <v>#NUM!</v>
      </c>
      <c r="L121" s="171"/>
      <c r="M121" s="173">
        <f t="shared" si="13"/>
        <v>0</v>
      </c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</row>
    <row r="122" spans="1:38" s="156" customFormat="1">
      <c r="A122" s="86">
        <f t="shared" si="14"/>
        <v>0</v>
      </c>
      <c r="B122" s="36" t="str">
        <f t="shared" si="10"/>
        <v/>
      </c>
      <c r="C122" s="24"/>
      <c r="D122" s="24"/>
      <c r="E122" s="24"/>
      <c r="F122" s="24"/>
      <c r="H122" s="168">
        <v>117</v>
      </c>
      <c r="I122" s="169" t="str">
        <f t="shared" si="11"/>
        <v/>
      </c>
      <c r="J122" s="168" t="e">
        <f t="shared" si="15"/>
        <v>#NUM!</v>
      </c>
      <c r="K122" s="168" t="e">
        <f t="shared" si="12"/>
        <v>#NUM!</v>
      </c>
      <c r="L122" s="168"/>
      <c r="M122" s="170">
        <f t="shared" si="13"/>
        <v>0</v>
      </c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</row>
    <row r="123" spans="1:38" s="156" customFormat="1">
      <c r="A123" s="90">
        <f t="shared" si="14"/>
        <v>0</v>
      </c>
      <c r="B123" s="35" t="str">
        <f t="shared" si="10"/>
        <v/>
      </c>
      <c r="C123" s="25"/>
      <c r="D123" s="25"/>
      <c r="E123" s="25"/>
      <c r="F123" s="25"/>
      <c r="H123" s="171">
        <v>118</v>
      </c>
      <c r="I123" s="172" t="str">
        <f t="shared" si="11"/>
        <v/>
      </c>
      <c r="J123" s="171" t="e">
        <f t="shared" si="15"/>
        <v>#NUM!</v>
      </c>
      <c r="K123" s="171" t="e">
        <f t="shared" si="12"/>
        <v>#NUM!</v>
      </c>
      <c r="L123" s="171"/>
      <c r="M123" s="173">
        <f t="shared" si="13"/>
        <v>0</v>
      </c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</row>
    <row r="124" spans="1:38" s="156" customFormat="1">
      <c r="A124" s="86">
        <f t="shared" si="14"/>
        <v>0</v>
      </c>
      <c r="B124" s="36" t="str">
        <f t="shared" si="10"/>
        <v/>
      </c>
      <c r="C124" s="24"/>
      <c r="D124" s="24"/>
      <c r="E124" s="24"/>
      <c r="F124" s="24"/>
      <c r="H124" s="168">
        <v>119</v>
      </c>
      <c r="I124" s="169" t="str">
        <f t="shared" si="11"/>
        <v/>
      </c>
      <c r="J124" s="168" t="e">
        <f t="shared" si="15"/>
        <v>#NUM!</v>
      </c>
      <c r="K124" s="168" t="e">
        <f t="shared" si="12"/>
        <v>#NUM!</v>
      </c>
      <c r="L124" s="168"/>
      <c r="M124" s="170">
        <f t="shared" si="13"/>
        <v>0</v>
      </c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</row>
    <row r="125" spans="1:38" s="156" customFormat="1">
      <c r="A125" s="90">
        <f t="shared" si="14"/>
        <v>0</v>
      </c>
      <c r="B125" s="35" t="str">
        <f t="shared" si="10"/>
        <v/>
      </c>
      <c r="C125" s="25"/>
      <c r="D125" s="25"/>
      <c r="E125" s="25"/>
      <c r="F125" s="25"/>
      <c r="H125" s="171">
        <v>120</v>
      </c>
      <c r="I125" s="172" t="str">
        <f t="shared" si="11"/>
        <v/>
      </c>
      <c r="J125" s="171" t="e">
        <f t="shared" si="15"/>
        <v>#NUM!</v>
      </c>
      <c r="K125" s="171" t="e">
        <f t="shared" si="12"/>
        <v>#NUM!</v>
      </c>
      <c r="L125" s="171"/>
      <c r="M125" s="173">
        <f t="shared" si="13"/>
        <v>0</v>
      </c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</row>
    <row r="126" spans="1:38" s="156" customFormat="1">
      <c r="A126" s="86">
        <f t="shared" si="14"/>
        <v>0</v>
      </c>
      <c r="B126" s="36" t="str">
        <f t="shared" si="10"/>
        <v/>
      </c>
      <c r="C126" s="24"/>
      <c r="D126" s="24"/>
      <c r="E126" s="24"/>
      <c r="F126" s="24"/>
      <c r="H126" s="168">
        <v>121</v>
      </c>
      <c r="I126" s="169" t="str">
        <f t="shared" si="11"/>
        <v/>
      </c>
      <c r="J126" s="168" t="e">
        <f t="shared" si="15"/>
        <v>#NUM!</v>
      </c>
      <c r="K126" s="168" t="e">
        <f t="shared" si="12"/>
        <v>#NUM!</v>
      </c>
      <c r="L126" s="168"/>
      <c r="M126" s="170">
        <f t="shared" si="13"/>
        <v>0</v>
      </c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</row>
    <row r="127" spans="1:38" s="156" customFormat="1">
      <c r="A127" s="90">
        <f t="shared" si="14"/>
        <v>0</v>
      </c>
      <c r="B127" s="35" t="str">
        <f t="shared" si="10"/>
        <v/>
      </c>
      <c r="C127" s="25"/>
      <c r="D127" s="25"/>
      <c r="E127" s="25"/>
      <c r="F127" s="25"/>
      <c r="H127" s="171">
        <v>122</v>
      </c>
      <c r="I127" s="172" t="str">
        <f t="shared" si="11"/>
        <v/>
      </c>
      <c r="J127" s="171" t="e">
        <f t="shared" si="15"/>
        <v>#NUM!</v>
      </c>
      <c r="K127" s="171" t="e">
        <f t="shared" si="12"/>
        <v>#NUM!</v>
      </c>
      <c r="L127" s="171"/>
      <c r="M127" s="173">
        <f t="shared" si="13"/>
        <v>0</v>
      </c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</row>
    <row r="128" spans="1:38" s="156" customFormat="1">
      <c r="A128" s="86">
        <f t="shared" si="14"/>
        <v>0</v>
      </c>
      <c r="B128" s="36" t="str">
        <f t="shared" si="10"/>
        <v/>
      </c>
      <c r="C128" s="24"/>
      <c r="D128" s="24"/>
      <c r="E128" s="24"/>
      <c r="F128" s="24"/>
      <c r="H128" s="168">
        <v>123</v>
      </c>
      <c r="I128" s="169" t="str">
        <f t="shared" si="11"/>
        <v/>
      </c>
      <c r="J128" s="168" t="e">
        <f t="shared" si="15"/>
        <v>#NUM!</v>
      </c>
      <c r="K128" s="168" t="e">
        <f t="shared" si="12"/>
        <v>#NUM!</v>
      </c>
      <c r="L128" s="168"/>
      <c r="M128" s="170">
        <f t="shared" si="13"/>
        <v>0</v>
      </c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</row>
    <row r="129" spans="1:38" s="156" customFormat="1">
      <c r="A129" s="90">
        <f t="shared" si="14"/>
        <v>0</v>
      </c>
      <c r="B129" s="35" t="str">
        <f t="shared" si="10"/>
        <v/>
      </c>
      <c r="C129" s="25"/>
      <c r="D129" s="25"/>
      <c r="E129" s="25"/>
      <c r="F129" s="25"/>
      <c r="H129" s="171">
        <v>124</v>
      </c>
      <c r="I129" s="172" t="str">
        <f t="shared" si="11"/>
        <v/>
      </c>
      <c r="J129" s="171" t="e">
        <f t="shared" si="15"/>
        <v>#NUM!</v>
      </c>
      <c r="K129" s="171" t="e">
        <f t="shared" si="12"/>
        <v>#NUM!</v>
      </c>
      <c r="L129" s="171"/>
      <c r="M129" s="173">
        <f t="shared" si="13"/>
        <v>0</v>
      </c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</row>
    <row r="130" spans="1:38" s="156" customFormat="1">
      <c r="A130" s="86">
        <f t="shared" si="14"/>
        <v>0</v>
      </c>
      <c r="B130" s="36" t="str">
        <f t="shared" si="10"/>
        <v/>
      </c>
      <c r="C130" s="24"/>
      <c r="D130" s="24"/>
      <c r="E130" s="24"/>
      <c r="F130" s="24"/>
      <c r="H130" s="168">
        <v>125</v>
      </c>
      <c r="I130" s="169" t="str">
        <f t="shared" si="11"/>
        <v/>
      </c>
      <c r="J130" s="168" t="e">
        <f t="shared" si="15"/>
        <v>#NUM!</v>
      </c>
      <c r="K130" s="168" t="e">
        <f t="shared" si="12"/>
        <v>#NUM!</v>
      </c>
      <c r="L130" s="168"/>
      <c r="M130" s="170">
        <f t="shared" si="13"/>
        <v>0</v>
      </c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</row>
    <row r="131" spans="1:38" s="156" customFormat="1">
      <c r="A131" s="90">
        <f t="shared" si="14"/>
        <v>0</v>
      </c>
      <c r="B131" s="35" t="str">
        <f t="shared" si="10"/>
        <v/>
      </c>
      <c r="C131" s="25"/>
      <c r="D131" s="25"/>
      <c r="E131" s="25"/>
      <c r="F131" s="25"/>
      <c r="H131" s="171">
        <v>126</v>
      </c>
      <c r="I131" s="172" t="str">
        <f t="shared" si="11"/>
        <v/>
      </c>
      <c r="J131" s="171" t="e">
        <f t="shared" si="15"/>
        <v>#NUM!</v>
      </c>
      <c r="K131" s="171" t="e">
        <f t="shared" si="12"/>
        <v>#NUM!</v>
      </c>
      <c r="L131" s="171"/>
      <c r="M131" s="173">
        <f t="shared" si="13"/>
        <v>0</v>
      </c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</row>
    <row r="132" spans="1:38" s="156" customFormat="1">
      <c r="A132" s="86">
        <f t="shared" si="14"/>
        <v>0</v>
      </c>
      <c r="B132" s="36" t="str">
        <f t="shared" si="10"/>
        <v/>
      </c>
      <c r="C132" s="24"/>
      <c r="D132" s="24"/>
      <c r="E132" s="24"/>
      <c r="F132" s="24"/>
      <c r="H132" s="168">
        <v>127</v>
      </c>
      <c r="I132" s="169" t="str">
        <f t="shared" si="11"/>
        <v/>
      </c>
      <c r="J132" s="168" t="e">
        <f t="shared" si="15"/>
        <v>#NUM!</v>
      </c>
      <c r="K132" s="168" t="e">
        <f t="shared" si="12"/>
        <v>#NUM!</v>
      </c>
      <c r="L132" s="168"/>
      <c r="M132" s="170">
        <f t="shared" si="13"/>
        <v>0</v>
      </c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</row>
    <row r="133" spans="1:38" s="156" customFormat="1">
      <c r="A133" s="90">
        <f t="shared" si="14"/>
        <v>0</v>
      </c>
      <c r="B133" s="35" t="str">
        <f t="shared" si="10"/>
        <v/>
      </c>
      <c r="C133" s="25"/>
      <c r="D133" s="25"/>
      <c r="E133" s="25"/>
      <c r="F133" s="25"/>
      <c r="H133" s="171">
        <v>128</v>
      </c>
      <c r="I133" s="172" t="str">
        <f t="shared" si="11"/>
        <v/>
      </c>
      <c r="J133" s="171" t="e">
        <f t="shared" si="15"/>
        <v>#NUM!</v>
      </c>
      <c r="K133" s="171" t="e">
        <f t="shared" si="12"/>
        <v>#NUM!</v>
      </c>
      <c r="L133" s="171"/>
      <c r="M133" s="173">
        <f t="shared" si="13"/>
        <v>0</v>
      </c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</row>
    <row r="134" spans="1:38" s="156" customFormat="1">
      <c r="A134" s="86">
        <f t="shared" si="14"/>
        <v>0</v>
      </c>
      <c r="B134" s="36" t="str">
        <f t="shared" ref="B134:B140" si="16">IF(H134&gt;$H$2,"",(ROW()-5))</f>
        <v/>
      </c>
      <c r="C134" s="24"/>
      <c r="D134" s="24"/>
      <c r="E134" s="24"/>
      <c r="F134" s="24"/>
      <c r="H134" s="168">
        <v>129</v>
      </c>
      <c r="I134" s="169" t="str">
        <f t="shared" ref="I134:I197" si="17">IF(H134&lt;$H$2+1,($I$2-($I$2-1)*(LOG(H134)/LOG($H$2))),"")</f>
        <v/>
      </c>
      <c r="J134" s="168" t="e">
        <f t="shared" si="15"/>
        <v>#NUM!</v>
      </c>
      <c r="K134" s="168" t="e">
        <f t="shared" ref="K134:K197" si="18">J134*$J$2</f>
        <v>#NUM!</v>
      </c>
      <c r="L134" s="168"/>
      <c r="M134" s="170">
        <f t="shared" ref="M134:M197" si="19">IF(I134&lt;&gt;"",K134+I134+L134,0)</f>
        <v>0</v>
      </c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</row>
    <row r="135" spans="1:38" s="156" customFormat="1">
      <c r="A135" s="90">
        <f t="shared" ref="A135:A140" si="20">M135</f>
        <v>0</v>
      </c>
      <c r="B135" s="35" t="str">
        <f t="shared" si="16"/>
        <v/>
      </c>
      <c r="C135" s="25"/>
      <c r="D135" s="25"/>
      <c r="E135" s="25"/>
      <c r="F135" s="25"/>
      <c r="H135" s="171">
        <v>130</v>
      </c>
      <c r="I135" s="172" t="str">
        <f t="shared" si="17"/>
        <v/>
      </c>
      <c r="J135" s="171" t="e">
        <f t="shared" ref="J135:J198" si="21">INT(LOG($H$2,2))-ROUNDUP(LOG(H135,2),0)+IF(OR($H$2=1,$H$2=2,$H$2=4,$H$2=8,$H$2=16,$H$2=32,$H$2=64,$H$2=128,$H$2=256),0,1)</f>
        <v>#NUM!</v>
      </c>
      <c r="K135" s="171" t="e">
        <f t="shared" si="18"/>
        <v>#NUM!</v>
      </c>
      <c r="L135" s="171"/>
      <c r="M135" s="173">
        <f t="shared" si="19"/>
        <v>0</v>
      </c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</row>
    <row r="136" spans="1:38" s="156" customFormat="1">
      <c r="A136" s="86">
        <f t="shared" si="20"/>
        <v>0</v>
      </c>
      <c r="B136" s="36" t="str">
        <f t="shared" si="16"/>
        <v/>
      </c>
      <c r="C136" s="24"/>
      <c r="D136" s="24"/>
      <c r="E136" s="24"/>
      <c r="F136" s="24"/>
      <c r="H136" s="168">
        <v>131</v>
      </c>
      <c r="I136" s="169" t="str">
        <f t="shared" si="17"/>
        <v/>
      </c>
      <c r="J136" s="168" t="e">
        <f t="shared" si="21"/>
        <v>#NUM!</v>
      </c>
      <c r="K136" s="168" t="e">
        <f t="shared" si="18"/>
        <v>#NUM!</v>
      </c>
      <c r="L136" s="168"/>
      <c r="M136" s="170">
        <f t="shared" si="19"/>
        <v>0</v>
      </c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</row>
    <row r="137" spans="1:38" s="156" customFormat="1">
      <c r="A137" s="90">
        <f t="shared" si="20"/>
        <v>0</v>
      </c>
      <c r="B137" s="35" t="str">
        <f t="shared" si="16"/>
        <v/>
      </c>
      <c r="C137" s="25"/>
      <c r="D137" s="25"/>
      <c r="E137" s="25"/>
      <c r="F137" s="25"/>
      <c r="H137" s="171">
        <v>132</v>
      </c>
      <c r="I137" s="172" t="str">
        <f t="shared" si="17"/>
        <v/>
      </c>
      <c r="J137" s="171" t="e">
        <f t="shared" si="21"/>
        <v>#NUM!</v>
      </c>
      <c r="K137" s="171" t="e">
        <f t="shared" si="18"/>
        <v>#NUM!</v>
      </c>
      <c r="L137" s="171"/>
      <c r="M137" s="173">
        <f t="shared" si="19"/>
        <v>0</v>
      </c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</row>
    <row r="138" spans="1:38" s="156" customFormat="1">
      <c r="A138" s="86">
        <f t="shared" si="20"/>
        <v>0</v>
      </c>
      <c r="B138" s="36" t="str">
        <f t="shared" si="16"/>
        <v/>
      </c>
      <c r="C138" s="24"/>
      <c r="D138" s="24"/>
      <c r="E138" s="24"/>
      <c r="F138" s="24"/>
      <c r="H138" s="168">
        <v>133</v>
      </c>
      <c r="I138" s="169" t="str">
        <f t="shared" si="17"/>
        <v/>
      </c>
      <c r="J138" s="168" t="e">
        <f t="shared" si="21"/>
        <v>#NUM!</v>
      </c>
      <c r="K138" s="168" t="e">
        <f t="shared" si="18"/>
        <v>#NUM!</v>
      </c>
      <c r="L138" s="168"/>
      <c r="M138" s="170">
        <f t="shared" si="19"/>
        <v>0</v>
      </c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</row>
    <row r="139" spans="1:38" s="156" customFormat="1">
      <c r="A139" s="90">
        <f t="shared" si="20"/>
        <v>0</v>
      </c>
      <c r="B139" s="35" t="str">
        <f t="shared" si="16"/>
        <v/>
      </c>
      <c r="C139" s="25"/>
      <c r="D139" s="25"/>
      <c r="E139" s="25"/>
      <c r="F139" s="25"/>
      <c r="H139" s="171">
        <v>134</v>
      </c>
      <c r="I139" s="172" t="str">
        <f t="shared" si="17"/>
        <v/>
      </c>
      <c r="J139" s="171" t="e">
        <f t="shared" si="21"/>
        <v>#NUM!</v>
      </c>
      <c r="K139" s="171" t="e">
        <f t="shared" si="18"/>
        <v>#NUM!</v>
      </c>
      <c r="L139" s="171"/>
      <c r="M139" s="173">
        <f t="shared" si="19"/>
        <v>0</v>
      </c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</row>
    <row r="140" spans="1:38" s="156" customFormat="1">
      <c r="A140" s="86">
        <f t="shared" si="20"/>
        <v>0</v>
      </c>
      <c r="B140" s="36" t="str">
        <f t="shared" si="16"/>
        <v/>
      </c>
      <c r="C140" s="24"/>
      <c r="D140" s="24"/>
      <c r="E140" s="24"/>
      <c r="F140" s="24"/>
      <c r="H140" s="168">
        <v>135</v>
      </c>
      <c r="I140" s="169" t="str">
        <f t="shared" si="17"/>
        <v/>
      </c>
      <c r="J140" s="168" t="e">
        <f t="shared" si="21"/>
        <v>#NUM!</v>
      </c>
      <c r="K140" s="168" t="e">
        <f t="shared" si="18"/>
        <v>#NUM!</v>
      </c>
      <c r="L140" s="168"/>
      <c r="M140" s="170">
        <f t="shared" si="19"/>
        <v>0</v>
      </c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</row>
    <row r="141" spans="1:38">
      <c r="A141" s="185"/>
      <c r="G141" s="156"/>
      <c r="H141" s="171">
        <v>136</v>
      </c>
      <c r="I141" s="169" t="str">
        <f t="shared" si="17"/>
        <v/>
      </c>
      <c r="J141" s="168" t="e">
        <f t="shared" si="21"/>
        <v>#NUM!</v>
      </c>
      <c r="K141" s="168" t="e">
        <f t="shared" si="18"/>
        <v>#NUM!</v>
      </c>
      <c r="L141" s="168"/>
      <c r="M141" s="170">
        <f t="shared" si="19"/>
        <v>0</v>
      </c>
    </row>
    <row r="142" spans="1:38">
      <c r="A142" s="185"/>
      <c r="G142" s="156"/>
      <c r="H142" s="168">
        <v>137</v>
      </c>
      <c r="I142" s="169" t="str">
        <f t="shared" si="17"/>
        <v/>
      </c>
      <c r="J142" s="168" t="e">
        <f t="shared" si="21"/>
        <v>#NUM!</v>
      </c>
      <c r="K142" s="168" t="e">
        <f t="shared" si="18"/>
        <v>#NUM!</v>
      </c>
      <c r="L142" s="168"/>
      <c r="M142" s="170">
        <f t="shared" si="19"/>
        <v>0</v>
      </c>
    </row>
    <row r="143" spans="1:38">
      <c r="A143" s="185"/>
      <c r="G143" s="156"/>
      <c r="H143" s="171">
        <v>138</v>
      </c>
      <c r="I143" s="169" t="str">
        <f t="shared" si="17"/>
        <v/>
      </c>
      <c r="J143" s="168" t="e">
        <f t="shared" si="21"/>
        <v>#NUM!</v>
      </c>
      <c r="K143" s="168" t="e">
        <f t="shared" si="18"/>
        <v>#NUM!</v>
      </c>
      <c r="L143" s="168"/>
      <c r="M143" s="170">
        <f t="shared" si="19"/>
        <v>0</v>
      </c>
    </row>
    <row r="144" spans="1:38">
      <c r="A144" s="185"/>
      <c r="G144" s="156"/>
      <c r="H144" s="168">
        <v>139</v>
      </c>
      <c r="I144" s="169" t="str">
        <f t="shared" si="17"/>
        <v/>
      </c>
      <c r="J144" s="168" t="e">
        <f t="shared" si="21"/>
        <v>#NUM!</v>
      </c>
      <c r="K144" s="168" t="e">
        <f t="shared" si="18"/>
        <v>#NUM!</v>
      </c>
      <c r="L144" s="168"/>
      <c r="M144" s="170">
        <f t="shared" si="19"/>
        <v>0</v>
      </c>
    </row>
    <row r="145" spans="1:13">
      <c r="A145" s="185"/>
      <c r="G145" s="156"/>
      <c r="H145" s="171">
        <v>140</v>
      </c>
      <c r="I145" s="169" t="str">
        <f t="shared" si="17"/>
        <v/>
      </c>
      <c r="J145" s="168" t="e">
        <f t="shared" si="21"/>
        <v>#NUM!</v>
      </c>
      <c r="K145" s="168" t="e">
        <f t="shared" si="18"/>
        <v>#NUM!</v>
      </c>
      <c r="L145" s="168"/>
      <c r="M145" s="170">
        <f t="shared" si="19"/>
        <v>0</v>
      </c>
    </row>
    <row r="146" spans="1:13">
      <c r="A146" s="185"/>
      <c r="G146" s="156"/>
      <c r="H146" s="168">
        <v>141</v>
      </c>
      <c r="I146" s="169" t="str">
        <f t="shared" si="17"/>
        <v/>
      </c>
      <c r="J146" s="168" t="e">
        <f t="shared" si="21"/>
        <v>#NUM!</v>
      </c>
      <c r="K146" s="168" t="e">
        <f t="shared" si="18"/>
        <v>#NUM!</v>
      </c>
      <c r="L146" s="168"/>
      <c r="M146" s="170">
        <f t="shared" si="19"/>
        <v>0</v>
      </c>
    </row>
    <row r="147" spans="1:13">
      <c r="A147" s="185"/>
      <c r="G147" s="156"/>
      <c r="H147" s="171">
        <v>142</v>
      </c>
      <c r="I147" s="169" t="str">
        <f t="shared" si="17"/>
        <v/>
      </c>
      <c r="J147" s="168" t="e">
        <f t="shared" si="21"/>
        <v>#NUM!</v>
      </c>
      <c r="K147" s="168" t="e">
        <f t="shared" si="18"/>
        <v>#NUM!</v>
      </c>
      <c r="L147" s="168"/>
      <c r="M147" s="170">
        <f t="shared" si="19"/>
        <v>0</v>
      </c>
    </row>
    <row r="148" spans="1:13">
      <c r="A148" s="185"/>
      <c r="G148" s="156"/>
      <c r="H148" s="168">
        <v>143</v>
      </c>
      <c r="I148" s="169" t="str">
        <f t="shared" si="17"/>
        <v/>
      </c>
      <c r="J148" s="168" t="e">
        <f t="shared" si="21"/>
        <v>#NUM!</v>
      </c>
      <c r="K148" s="168" t="e">
        <f t="shared" si="18"/>
        <v>#NUM!</v>
      </c>
      <c r="L148" s="168"/>
      <c r="M148" s="170">
        <f t="shared" si="19"/>
        <v>0</v>
      </c>
    </row>
    <row r="149" spans="1:13">
      <c r="A149" s="185"/>
      <c r="G149" s="156"/>
      <c r="H149" s="171">
        <v>144</v>
      </c>
      <c r="I149" s="169" t="str">
        <f t="shared" si="17"/>
        <v/>
      </c>
      <c r="J149" s="168" t="e">
        <f t="shared" si="21"/>
        <v>#NUM!</v>
      </c>
      <c r="K149" s="168" t="e">
        <f t="shared" si="18"/>
        <v>#NUM!</v>
      </c>
      <c r="L149" s="168"/>
      <c r="M149" s="170">
        <f t="shared" si="19"/>
        <v>0</v>
      </c>
    </row>
    <row r="150" spans="1:13">
      <c r="A150" s="185"/>
      <c r="G150" s="156"/>
      <c r="H150" s="168">
        <v>145</v>
      </c>
      <c r="I150" s="169" t="str">
        <f t="shared" si="17"/>
        <v/>
      </c>
      <c r="J150" s="168" t="e">
        <f t="shared" si="21"/>
        <v>#NUM!</v>
      </c>
      <c r="K150" s="168" t="e">
        <f t="shared" si="18"/>
        <v>#NUM!</v>
      </c>
      <c r="L150" s="168"/>
      <c r="M150" s="170">
        <f t="shared" si="19"/>
        <v>0</v>
      </c>
    </row>
    <row r="151" spans="1:13">
      <c r="A151" s="185"/>
      <c r="G151" s="156"/>
      <c r="H151" s="171">
        <v>146</v>
      </c>
      <c r="I151" s="169" t="str">
        <f t="shared" si="17"/>
        <v/>
      </c>
      <c r="J151" s="168" t="e">
        <f t="shared" si="21"/>
        <v>#NUM!</v>
      </c>
      <c r="K151" s="168" t="e">
        <f t="shared" si="18"/>
        <v>#NUM!</v>
      </c>
      <c r="L151" s="168"/>
      <c r="M151" s="170">
        <f t="shared" si="19"/>
        <v>0</v>
      </c>
    </row>
    <row r="152" spans="1:13">
      <c r="A152" s="185"/>
      <c r="G152" s="156"/>
      <c r="H152" s="168">
        <v>147</v>
      </c>
      <c r="I152" s="169" t="str">
        <f t="shared" si="17"/>
        <v/>
      </c>
      <c r="J152" s="168" t="e">
        <f t="shared" si="21"/>
        <v>#NUM!</v>
      </c>
      <c r="K152" s="168" t="e">
        <f t="shared" si="18"/>
        <v>#NUM!</v>
      </c>
      <c r="L152" s="168"/>
      <c r="M152" s="170">
        <f t="shared" si="19"/>
        <v>0</v>
      </c>
    </row>
    <row r="153" spans="1:13">
      <c r="A153" s="185"/>
      <c r="G153" s="156"/>
      <c r="H153" s="171">
        <v>148</v>
      </c>
      <c r="I153" s="169" t="str">
        <f t="shared" si="17"/>
        <v/>
      </c>
      <c r="J153" s="168" t="e">
        <f t="shared" si="21"/>
        <v>#NUM!</v>
      </c>
      <c r="K153" s="168" t="e">
        <f t="shared" si="18"/>
        <v>#NUM!</v>
      </c>
      <c r="L153" s="168"/>
      <c r="M153" s="170">
        <f t="shared" si="19"/>
        <v>0</v>
      </c>
    </row>
    <row r="154" spans="1:13">
      <c r="A154" s="185"/>
      <c r="G154" s="156"/>
      <c r="H154" s="168">
        <v>149</v>
      </c>
      <c r="I154" s="169" t="str">
        <f t="shared" si="17"/>
        <v/>
      </c>
      <c r="J154" s="168" t="e">
        <f t="shared" si="21"/>
        <v>#NUM!</v>
      </c>
      <c r="K154" s="168" t="e">
        <f t="shared" si="18"/>
        <v>#NUM!</v>
      </c>
      <c r="L154" s="168"/>
      <c r="M154" s="170">
        <f t="shared" si="19"/>
        <v>0</v>
      </c>
    </row>
    <row r="155" spans="1:13">
      <c r="A155" s="185"/>
      <c r="G155" s="156"/>
      <c r="H155" s="171">
        <v>150</v>
      </c>
      <c r="I155" s="169" t="str">
        <f t="shared" si="17"/>
        <v/>
      </c>
      <c r="J155" s="168" t="e">
        <f t="shared" si="21"/>
        <v>#NUM!</v>
      </c>
      <c r="K155" s="168" t="e">
        <f t="shared" si="18"/>
        <v>#NUM!</v>
      </c>
      <c r="L155" s="168"/>
      <c r="M155" s="170">
        <f t="shared" si="19"/>
        <v>0</v>
      </c>
    </row>
    <row r="156" spans="1:13">
      <c r="A156" s="185"/>
      <c r="G156" s="156"/>
      <c r="H156" s="168">
        <v>151</v>
      </c>
      <c r="I156" s="169" t="str">
        <f t="shared" si="17"/>
        <v/>
      </c>
      <c r="J156" s="168" t="e">
        <f t="shared" si="21"/>
        <v>#NUM!</v>
      </c>
      <c r="K156" s="168" t="e">
        <f t="shared" si="18"/>
        <v>#NUM!</v>
      </c>
      <c r="L156" s="168"/>
      <c r="M156" s="170">
        <f t="shared" si="19"/>
        <v>0</v>
      </c>
    </row>
    <row r="157" spans="1:13">
      <c r="A157" s="185"/>
      <c r="G157" s="156"/>
      <c r="H157" s="171">
        <v>152</v>
      </c>
      <c r="I157" s="169" t="str">
        <f t="shared" si="17"/>
        <v/>
      </c>
      <c r="J157" s="168" t="e">
        <f t="shared" si="21"/>
        <v>#NUM!</v>
      </c>
      <c r="K157" s="168" t="e">
        <f t="shared" si="18"/>
        <v>#NUM!</v>
      </c>
      <c r="L157" s="168"/>
      <c r="M157" s="170">
        <f t="shared" si="19"/>
        <v>0</v>
      </c>
    </row>
    <row r="158" spans="1:13">
      <c r="A158" s="185"/>
      <c r="G158" s="156"/>
      <c r="H158" s="168">
        <v>153</v>
      </c>
      <c r="I158" s="169" t="str">
        <f t="shared" si="17"/>
        <v/>
      </c>
      <c r="J158" s="168" t="e">
        <f t="shared" si="21"/>
        <v>#NUM!</v>
      </c>
      <c r="K158" s="168" t="e">
        <f t="shared" si="18"/>
        <v>#NUM!</v>
      </c>
      <c r="L158" s="168"/>
      <c r="M158" s="170">
        <f t="shared" si="19"/>
        <v>0</v>
      </c>
    </row>
    <row r="159" spans="1:13">
      <c r="A159" s="185"/>
      <c r="G159" s="156"/>
      <c r="H159" s="171">
        <v>154</v>
      </c>
      <c r="I159" s="169" t="str">
        <f t="shared" si="17"/>
        <v/>
      </c>
      <c r="J159" s="168" t="e">
        <f t="shared" si="21"/>
        <v>#NUM!</v>
      </c>
      <c r="K159" s="168" t="e">
        <f t="shared" si="18"/>
        <v>#NUM!</v>
      </c>
      <c r="L159" s="168"/>
      <c r="M159" s="170">
        <f t="shared" si="19"/>
        <v>0</v>
      </c>
    </row>
    <row r="160" spans="1:13">
      <c r="A160" s="185"/>
      <c r="G160" s="156"/>
      <c r="H160" s="168">
        <v>155</v>
      </c>
      <c r="I160" s="169" t="str">
        <f t="shared" si="17"/>
        <v/>
      </c>
      <c r="J160" s="168" t="e">
        <f t="shared" si="21"/>
        <v>#NUM!</v>
      </c>
      <c r="K160" s="168" t="e">
        <f t="shared" si="18"/>
        <v>#NUM!</v>
      </c>
      <c r="L160" s="168"/>
      <c r="M160" s="170">
        <f t="shared" si="19"/>
        <v>0</v>
      </c>
    </row>
    <row r="161" spans="1:13">
      <c r="A161" s="185"/>
      <c r="G161" s="156"/>
      <c r="H161" s="171">
        <v>156</v>
      </c>
      <c r="I161" s="169" t="str">
        <f t="shared" si="17"/>
        <v/>
      </c>
      <c r="J161" s="168" t="e">
        <f t="shared" si="21"/>
        <v>#NUM!</v>
      </c>
      <c r="K161" s="168" t="e">
        <f t="shared" si="18"/>
        <v>#NUM!</v>
      </c>
      <c r="L161" s="168"/>
      <c r="M161" s="170">
        <f t="shared" si="19"/>
        <v>0</v>
      </c>
    </row>
    <row r="162" spans="1:13">
      <c r="A162" s="185"/>
      <c r="G162" s="156"/>
      <c r="H162" s="168">
        <v>157</v>
      </c>
      <c r="I162" s="169" t="str">
        <f t="shared" si="17"/>
        <v/>
      </c>
      <c r="J162" s="168" t="e">
        <f t="shared" si="21"/>
        <v>#NUM!</v>
      </c>
      <c r="K162" s="168" t="e">
        <f t="shared" si="18"/>
        <v>#NUM!</v>
      </c>
      <c r="L162" s="168"/>
      <c r="M162" s="170">
        <f t="shared" si="19"/>
        <v>0</v>
      </c>
    </row>
    <row r="163" spans="1:13">
      <c r="A163" s="185"/>
      <c r="G163" s="156"/>
      <c r="H163" s="171">
        <v>158</v>
      </c>
      <c r="I163" s="169" t="str">
        <f t="shared" si="17"/>
        <v/>
      </c>
      <c r="J163" s="168" t="e">
        <f t="shared" si="21"/>
        <v>#NUM!</v>
      </c>
      <c r="K163" s="168" t="e">
        <f t="shared" si="18"/>
        <v>#NUM!</v>
      </c>
      <c r="L163" s="168"/>
      <c r="M163" s="170">
        <f t="shared" si="19"/>
        <v>0</v>
      </c>
    </row>
    <row r="164" spans="1:13">
      <c r="A164" s="185"/>
      <c r="G164" s="156"/>
      <c r="H164" s="168">
        <v>159</v>
      </c>
      <c r="I164" s="169" t="str">
        <f t="shared" si="17"/>
        <v/>
      </c>
      <c r="J164" s="168" t="e">
        <f t="shared" si="21"/>
        <v>#NUM!</v>
      </c>
      <c r="K164" s="168" t="e">
        <f t="shared" si="18"/>
        <v>#NUM!</v>
      </c>
      <c r="L164" s="168"/>
      <c r="M164" s="170">
        <f t="shared" si="19"/>
        <v>0</v>
      </c>
    </row>
    <row r="165" spans="1:13">
      <c r="A165" s="185"/>
      <c r="G165" s="156"/>
      <c r="H165" s="171">
        <v>160</v>
      </c>
      <c r="I165" s="169" t="str">
        <f t="shared" si="17"/>
        <v/>
      </c>
      <c r="J165" s="168" t="e">
        <f t="shared" si="21"/>
        <v>#NUM!</v>
      </c>
      <c r="K165" s="168" t="e">
        <f t="shared" si="18"/>
        <v>#NUM!</v>
      </c>
      <c r="L165" s="168"/>
      <c r="M165" s="170">
        <f t="shared" si="19"/>
        <v>0</v>
      </c>
    </row>
    <row r="166" spans="1:13">
      <c r="A166" s="185"/>
      <c r="G166" s="156"/>
      <c r="H166" s="168">
        <v>161</v>
      </c>
      <c r="I166" s="169" t="str">
        <f t="shared" si="17"/>
        <v/>
      </c>
      <c r="J166" s="168" t="e">
        <f t="shared" si="21"/>
        <v>#NUM!</v>
      </c>
      <c r="K166" s="168" t="e">
        <f t="shared" si="18"/>
        <v>#NUM!</v>
      </c>
      <c r="L166" s="168"/>
      <c r="M166" s="170">
        <f t="shared" si="19"/>
        <v>0</v>
      </c>
    </row>
    <row r="167" spans="1:13">
      <c r="A167" s="185"/>
      <c r="G167" s="156"/>
      <c r="H167" s="171">
        <v>162</v>
      </c>
      <c r="I167" s="169" t="str">
        <f t="shared" si="17"/>
        <v/>
      </c>
      <c r="J167" s="168" t="e">
        <f t="shared" si="21"/>
        <v>#NUM!</v>
      </c>
      <c r="K167" s="168" t="e">
        <f t="shared" si="18"/>
        <v>#NUM!</v>
      </c>
      <c r="L167" s="168"/>
      <c r="M167" s="170">
        <f t="shared" si="19"/>
        <v>0</v>
      </c>
    </row>
    <row r="168" spans="1:13">
      <c r="A168" s="185"/>
      <c r="G168" s="156"/>
      <c r="H168" s="168">
        <v>163</v>
      </c>
      <c r="I168" s="169" t="str">
        <f t="shared" si="17"/>
        <v/>
      </c>
      <c r="J168" s="168" t="e">
        <f t="shared" si="21"/>
        <v>#NUM!</v>
      </c>
      <c r="K168" s="168" t="e">
        <f t="shared" si="18"/>
        <v>#NUM!</v>
      </c>
      <c r="L168" s="168"/>
      <c r="M168" s="170">
        <f t="shared" si="19"/>
        <v>0</v>
      </c>
    </row>
    <row r="169" spans="1:13">
      <c r="A169" s="185"/>
      <c r="C169" s="184" t="s">
        <v>99</v>
      </c>
      <c r="G169" s="156"/>
      <c r="H169" s="171">
        <v>164</v>
      </c>
      <c r="I169" s="169" t="str">
        <f t="shared" si="17"/>
        <v/>
      </c>
      <c r="J169" s="168" t="e">
        <f t="shared" si="21"/>
        <v>#NUM!</v>
      </c>
      <c r="K169" s="168" t="e">
        <f t="shared" si="18"/>
        <v>#NUM!</v>
      </c>
      <c r="L169" s="168"/>
      <c r="M169" s="170">
        <f t="shared" si="19"/>
        <v>0</v>
      </c>
    </row>
    <row r="170" spans="1:13">
      <c r="A170" s="185"/>
      <c r="G170" s="156"/>
      <c r="H170" s="168">
        <v>165</v>
      </c>
      <c r="I170" s="169" t="str">
        <f t="shared" si="17"/>
        <v/>
      </c>
      <c r="J170" s="168" t="e">
        <f t="shared" si="21"/>
        <v>#NUM!</v>
      </c>
      <c r="K170" s="168" t="e">
        <f t="shared" si="18"/>
        <v>#NUM!</v>
      </c>
      <c r="L170" s="168"/>
      <c r="M170" s="170">
        <f t="shared" si="19"/>
        <v>0</v>
      </c>
    </row>
    <row r="171" spans="1:13">
      <c r="A171" s="185"/>
      <c r="G171" s="156"/>
      <c r="H171" s="171">
        <v>166</v>
      </c>
      <c r="I171" s="169" t="str">
        <f t="shared" si="17"/>
        <v/>
      </c>
      <c r="J171" s="168" t="e">
        <f t="shared" si="21"/>
        <v>#NUM!</v>
      </c>
      <c r="K171" s="168" t="e">
        <f t="shared" si="18"/>
        <v>#NUM!</v>
      </c>
      <c r="L171" s="168"/>
      <c r="M171" s="170">
        <f t="shared" si="19"/>
        <v>0</v>
      </c>
    </row>
    <row r="172" spans="1:13">
      <c r="A172" s="185"/>
      <c r="G172" s="156"/>
      <c r="H172" s="168">
        <v>167</v>
      </c>
      <c r="I172" s="169" t="str">
        <f t="shared" si="17"/>
        <v/>
      </c>
      <c r="J172" s="168" t="e">
        <f t="shared" si="21"/>
        <v>#NUM!</v>
      </c>
      <c r="K172" s="168" t="e">
        <f t="shared" si="18"/>
        <v>#NUM!</v>
      </c>
      <c r="L172" s="168"/>
      <c r="M172" s="170">
        <f t="shared" si="19"/>
        <v>0</v>
      </c>
    </row>
    <row r="173" spans="1:13">
      <c r="A173" s="185"/>
      <c r="G173" s="156"/>
      <c r="H173" s="171">
        <v>168</v>
      </c>
      <c r="I173" s="169" t="str">
        <f t="shared" si="17"/>
        <v/>
      </c>
      <c r="J173" s="168" t="e">
        <f t="shared" si="21"/>
        <v>#NUM!</v>
      </c>
      <c r="K173" s="168" t="e">
        <f t="shared" si="18"/>
        <v>#NUM!</v>
      </c>
      <c r="L173" s="168"/>
      <c r="M173" s="170">
        <f t="shared" si="19"/>
        <v>0</v>
      </c>
    </row>
    <row r="174" spans="1:13">
      <c r="A174" s="185"/>
      <c r="G174" s="156"/>
      <c r="H174" s="168">
        <v>169</v>
      </c>
      <c r="I174" s="169" t="str">
        <f t="shared" si="17"/>
        <v/>
      </c>
      <c r="J174" s="168" t="e">
        <f t="shared" si="21"/>
        <v>#NUM!</v>
      </c>
      <c r="K174" s="168" t="e">
        <f t="shared" si="18"/>
        <v>#NUM!</v>
      </c>
      <c r="L174" s="168"/>
      <c r="M174" s="170">
        <f t="shared" si="19"/>
        <v>0</v>
      </c>
    </row>
    <row r="175" spans="1:13">
      <c r="A175" s="185"/>
      <c r="G175" s="156"/>
      <c r="H175" s="171">
        <v>170</v>
      </c>
      <c r="I175" s="169" t="str">
        <f t="shared" si="17"/>
        <v/>
      </c>
      <c r="J175" s="168" t="e">
        <f t="shared" si="21"/>
        <v>#NUM!</v>
      </c>
      <c r="K175" s="168" t="e">
        <f t="shared" si="18"/>
        <v>#NUM!</v>
      </c>
      <c r="L175" s="168"/>
      <c r="M175" s="170">
        <f t="shared" si="19"/>
        <v>0</v>
      </c>
    </row>
    <row r="176" spans="1:13">
      <c r="A176" s="185"/>
      <c r="G176" s="156"/>
      <c r="H176" s="168">
        <v>171</v>
      </c>
      <c r="I176" s="169" t="str">
        <f t="shared" si="17"/>
        <v/>
      </c>
      <c r="J176" s="168" t="e">
        <f t="shared" si="21"/>
        <v>#NUM!</v>
      </c>
      <c r="K176" s="168" t="e">
        <f t="shared" si="18"/>
        <v>#NUM!</v>
      </c>
      <c r="L176" s="168"/>
      <c r="M176" s="170">
        <f t="shared" si="19"/>
        <v>0</v>
      </c>
    </row>
    <row r="177" spans="1:13">
      <c r="A177" s="185"/>
      <c r="G177" s="156"/>
      <c r="H177" s="171">
        <v>172</v>
      </c>
      <c r="I177" s="169" t="str">
        <f t="shared" si="17"/>
        <v/>
      </c>
      <c r="J177" s="168" t="e">
        <f t="shared" si="21"/>
        <v>#NUM!</v>
      </c>
      <c r="K177" s="168" t="e">
        <f t="shared" si="18"/>
        <v>#NUM!</v>
      </c>
      <c r="L177" s="168"/>
      <c r="M177" s="170">
        <f t="shared" si="19"/>
        <v>0</v>
      </c>
    </row>
    <row r="178" spans="1:13">
      <c r="A178" s="185"/>
      <c r="G178" s="156"/>
      <c r="H178" s="168">
        <v>173</v>
      </c>
      <c r="I178" s="169" t="str">
        <f t="shared" si="17"/>
        <v/>
      </c>
      <c r="J178" s="168" t="e">
        <f t="shared" si="21"/>
        <v>#NUM!</v>
      </c>
      <c r="K178" s="168" t="e">
        <f t="shared" si="18"/>
        <v>#NUM!</v>
      </c>
      <c r="L178" s="168"/>
      <c r="M178" s="170">
        <f t="shared" si="19"/>
        <v>0</v>
      </c>
    </row>
    <row r="179" spans="1:13">
      <c r="A179" s="185"/>
      <c r="G179" s="156"/>
      <c r="H179" s="171">
        <v>174</v>
      </c>
      <c r="I179" s="169" t="str">
        <f t="shared" si="17"/>
        <v/>
      </c>
      <c r="J179" s="168" t="e">
        <f t="shared" si="21"/>
        <v>#NUM!</v>
      </c>
      <c r="K179" s="168" t="e">
        <f t="shared" si="18"/>
        <v>#NUM!</v>
      </c>
      <c r="L179" s="168"/>
      <c r="M179" s="170">
        <f t="shared" si="19"/>
        <v>0</v>
      </c>
    </row>
    <row r="180" spans="1:13">
      <c r="A180" s="185"/>
      <c r="G180" s="156"/>
      <c r="H180" s="168">
        <v>175</v>
      </c>
      <c r="I180" s="169" t="str">
        <f t="shared" si="17"/>
        <v/>
      </c>
      <c r="J180" s="168" t="e">
        <f t="shared" si="21"/>
        <v>#NUM!</v>
      </c>
      <c r="K180" s="168" t="e">
        <f t="shared" si="18"/>
        <v>#NUM!</v>
      </c>
      <c r="L180" s="168"/>
      <c r="M180" s="170">
        <f t="shared" si="19"/>
        <v>0</v>
      </c>
    </row>
    <row r="181" spans="1:13">
      <c r="A181" s="185"/>
      <c r="G181" s="156"/>
      <c r="H181" s="171">
        <v>176</v>
      </c>
      <c r="I181" s="169" t="str">
        <f t="shared" si="17"/>
        <v/>
      </c>
      <c r="J181" s="168" t="e">
        <f t="shared" si="21"/>
        <v>#NUM!</v>
      </c>
      <c r="K181" s="168" t="e">
        <f t="shared" si="18"/>
        <v>#NUM!</v>
      </c>
      <c r="L181" s="168"/>
      <c r="M181" s="170">
        <f t="shared" si="19"/>
        <v>0</v>
      </c>
    </row>
    <row r="182" spans="1:13">
      <c r="A182" s="185"/>
      <c r="G182" s="156"/>
      <c r="H182" s="168">
        <v>177</v>
      </c>
      <c r="I182" s="169" t="str">
        <f t="shared" si="17"/>
        <v/>
      </c>
      <c r="J182" s="168" t="e">
        <f t="shared" si="21"/>
        <v>#NUM!</v>
      </c>
      <c r="K182" s="168" t="e">
        <f t="shared" si="18"/>
        <v>#NUM!</v>
      </c>
      <c r="L182" s="168"/>
      <c r="M182" s="170">
        <f t="shared" si="19"/>
        <v>0</v>
      </c>
    </row>
    <row r="183" spans="1:13">
      <c r="A183" s="185"/>
      <c r="G183" s="156"/>
      <c r="H183" s="171">
        <v>178</v>
      </c>
      <c r="I183" s="169" t="str">
        <f t="shared" si="17"/>
        <v/>
      </c>
      <c r="J183" s="168" t="e">
        <f t="shared" si="21"/>
        <v>#NUM!</v>
      </c>
      <c r="K183" s="168" t="e">
        <f t="shared" si="18"/>
        <v>#NUM!</v>
      </c>
      <c r="L183" s="168"/>
      <c r="M183" s="170">
        <f t="shared" si="19"/>
        <v>0</v>
      </c>
    </row>
    <row r="184" spans="1:13">
      <c r="A184" s="185"/>
      <c r="G184" s="156"/>
      <c r="H184" s="168">
        <v>179</v>
      </c>
      <c r="I184" s="169" t="str">
        <f t="shared" si="17"/>
        <v/>
      </c>
      <c r="J184" s="168" t="e">
        <f t="shared" si="21"/>
        <v>#NUM!</v>
      </c>
      <c r="K184" s="168" t="e">
        <f t="shared" si="18"/>
        <v>#NUM!</v>
      </c>
      <c r="L184" s="168"/>
      <c r="M184" s="170">
        <f t="shared" si="19"/>
        <v>0</v>
      </c>
    </row>
    <row r="185" spans="1:13">
      <c r="A185" s="185"/>
      <c r="G185" s="156"/>
      <c r="H185" s="171">
        <v>180</v>
      </c>
      <c r="I185" s="169" t="str">
        <f t="shared" si="17"/>
        <v/>
      </c>
      <c r="J185" s="168" t="e">
        <f t="shared" si="21"/>
        <v>#NUM!</v>
      </c>
      <c r="K185" s="168" t="e">
        <f t="shared" si="18"/>
        <v>#NUM!</v>
      </c>
      <c r="L185" s="168"/>
      <c r="M185" s="170">
        <f t="shared" si="19"/>
        <v>0</v>
      </c>
    </row>
    <row r="186" spans="1:13">
      <c r="A186" s="185"/>
      <c r="G186" s="156"/>
      <c r="H186" s="168">
        <v>181</v>
      </c>
      <c r="I186" s="169" t="str">
        <f t="shared" si="17"/>
        <v/>
      </c>
      <c r="J186" s="168" t="e">
        <f t="shared" si="21"/>
        <v>#NUM!</v>
      </c>
      <c r="K186" s="168" t="e">
        <f t="shared" si="18"/>
        <v>#NUM!</v>
      </c>
      <c r="L186" s="168"/>
      <c r="M186" s="170">
        <f t="shared" si="19"/>
        <v>0</v>
      </c>
    </row>
    <row r="187" spans="1:13">
      <c r="A187" s="185"/>
      <c r="G187" s="156"/>
      <c r="H187" s="171">
        <v>182</v>
      </c>
      <c r="I187" s="169" t="str">
        <f t="shared" si="17"/>
        <v/>
      </c>
      <c r="J187" s="168" t="e">
        <f t="shared" si="21"/>
        <v>#NUM!</v>
      </c>
      <c r="K187" s="168" t="e">
        <f t="shared" si="18"/>
        <v>#NUM!</v>
      </c>
      <c r="L187" s="168"/>
      <c r="M187" s="170">
        <f t="shared" si="19"/>
        <v>0</v>
      </c>
    </row>
    <row r="188" spans="1:13">
      <c r="A188" s="185"/>
      <c r="G188" s="156"/>
      <c r="H188" s="168">
        <v>183</v>
      </c>
      <c r="I188" s="169" t="str">
        <f t="shared" si="17"/>
        <v/>
      </c>
      <c r="J188" s="168" t="e">
        <f t="shared" si="21"/>
        <v>#NUM!</v>
      </c>
      <c r="K188" s="168" t="e">
        <f t="shared" si="18"/>
        <v>#NUM!</v>
      </c>
      <c r="L188" s="168"/>
      <c r="M188" s="170">
        <f t="shared" si="19"/>
        <v>0</v>
      </c>
    </row>
    <row r="189" spans="1:13">
      <c r="A189" s="185"/>
      <c r="G189" s="156"/>
      <c r="H189" s="171">
        <v>184</v>
      </c>
      <c r="I189" s="169" t="str">
        <f t="shared" si="17"/>
        <v/>
      </c>
      <c r="J189" s="168" t="e">
        <f t="shared" si="21"/>
        <v>#NUM!</v>
      </c>
      <c r="K189" s="168" t="e">
        <f t="shared" si="18"/>
        <v>#NUM!</v>
      </c>
      <c r="L189" s="168"/>
      <c r="M189" s="170">
        <f t="shared" si="19"/>
        <v>0</v>
      </c>
    </row>
    <row r="190" spans="1:13">
      <c r="A190" s="185"/>
      <c r="G190" s="156"/>
      <c r="H190" s="168">
        <v>185</v>
      </c>
      <c r="I190" s="169" t="str">
        <f t="shared" si="17"/>
        <v/>
      </c>
      <c r="J190" s="168" t="e">
        <f t="shared" si="21"/>
        <v>#NUM!</v>
      </c>
      <c r="K190" s="168" t="e">
        <f t="shared" si="18"/>
        <v>#NUM!</v>
      </c>
      <c r="L190" s="168"/>
      <c r="M190" s="170">
        <f t="shared" si="19"/>
        <v>0</v>
      </c>
    </row>
    <row r="191" spans="1:13">
      <c r="A191" s="185"/>
      <c r="G191" s="156"/>
      <c r="H191" s="171">
        <v>186</v>
      </c>
      <c r="I191" s="169" t="str">
        <f t="shared" si="17"/>
        <v/>
      </c>
      <c r="J191" s="168" t="e">
        <f t="shared" si="21"/>
        <v>#NUM!</v>
      </c>
      <c r="K191" s="168" t="e">
        <f t="shared" si="18"/>
        <v>#NUM!</v>
      </c>
      <c r="L191" s="168"/>
      <c r="M191" s="170">
        <f t="shared" si="19"/>
        <v>0</v>
      </c>
    </row>
    <row r="192" spans="1:13">
      <c r="A192" s="185"/>
      <c r="G192" s="156"/>
      <c r="H192" s="168">
        <v>187</v>
      </c>
      <c r="I192" s="169" t="str">
        <f t="shared" si="17"/>
        <v/>
      </c>
      <c r="J192" s="168" t="e">
        <f t="shared" si="21"/>
        <v>#NUM!</v>
      </c>
      <c r="K192" s="168" t="e">
        <f t="shared" si="18"/>
        <v>#NUM!</v>
      </c>
      <c r="L192" s="168"/>
      <c r="M192" s="170">
        <f t="shared" si="19"/>
        <v>0</v>
      </c>
    </row>
    <row r="193" spans="1:13">
      <c r="A193" s="185"/>
      <c r="G193" s="156"/>
      <c r="H193" s="171">
        <v>188</v>
      </c>
      <c r="I193" s="169" t="str">
        <f t="shared" si="17"/>
        <v/>
      </c>
      <c r="J193" s="168" t="e">
        <f t="shared" si="21"/>
        <v>#NUM!</v>
      </c>
      <c r="K193" s="168" t="e">
        <f t="shared" si="18"/>
        <v>#NUM!</v>
      </c>
      <c r="L193" s="168"/>
      <c r="M193" s="170">
        <f t="shared" si="19"/>
        <v>0</v>
      </c>
    </row>
    <row r="194" spans="1:13">
      <c r="A194" s="185"/>
      <c r="G194" s="156"/>
      <c r="H194" s="168">
        <v>189</v>
      </c>
      <c r="I194" s="169" t="str">
        <f t="shared" si="17"/>
        <v/>
      </c>
      <c r="J194" s="168" t="e">
        <f t="shared" si="21"/>
        <v>#NUM!</v>
      </c>
      <c r="K194" s="168" t="e">
        <f t="shared" si="18"/>
        <v>#NUM!</v>
      </c>
      <c r="L194" s="168"/>
      <c r="M194" s="170">
        <f t="shared" si="19"/>
        <v>0</v>
      </c>
    </row>
    <row r="195" spans="1:13">
      <c r="A195" s="185"/>
      <c r="G195" s="156"/>
      <c r="H195" s="171">
        <v>190</v>
      </c>
      <c r="I195" s="169" t="str">
        <f t="shared" si="17"/>
        <v/>
      </c>
      <c r="J195" s="168" t="e">
        <f t="shared" si="21"/>
        <v>#NUM!</v>
      </c>
      <c r="K195" s="168" t="e">
        <f t="shared" si="18"/>
        <v>#NUM!</v>
      </c>
      <c r="L195" s="168"/>
      <c r="M195" s="170">
        <f t="shared" si="19"/>
        <v>0</v>
      </c>
    </row>
    <row r="196" spans="1:13">
      <c r="A196" s="185"/>
      <c r="G196" s="156"/>
      <c r="H196" s="168">
        <v>191</v>
      </c>
      <c r="I196" s="169" t="str">
        <f t="shared" si="17"/>
        <v/>
      </c>
      <c r="J196" s="168" t="e">
        <f t="shared" si="21"/>
        <v>#NUM!</v>
      </c>
      <c r="K196" s="168" t="e">
        <f t="shared" si="18"/>
        <v>#NUM!</v>
      </c>
      <c r="L196" s="168"/>
      <c r="M196" s="170">
        <f t="shared" si="19"/>
        <v>0</v>
      </c>
    </row>
    <row r="197" spans="1:13">
      <c r="A197" s="185"/>
      <c r="G197" s="156"/>
      <c r="H197" s="171">
        <v>192</v>
      </c>
      <c r="I197" s="169" t="str">
        <f t="shared" si="17"/>
        <v/>
      </c>
      <c r="J197" s="168" t="e">
        <f t="shared" si="21"/>
        <v>#NUM!</v>
      </c>
      <c r="K197" s="168" t="e">
        <f t="shared" si="18"/>
        <v>#NUM!</v>
      </c>
      <c r="L197" s="168"/>
      <c r="M197" s="170">
        <f t="shared" si="19"/>
        <v>0</v>
      </c>
    </row>
    <row r="198" spans="1:13">
      <c r="A198" s="185"/>
      <c r="G198" s="156"/>
      <c r="H198" s="168">
        <v>193</v>
      </c>
      <c r="I198" s="169" t="str">
        <f t="shared" ref="I198:I261" si="22">IF(H198&lt;$H$2+1,($I$2-($I$2-1)*(LOG(H198)/LOG($H$2))),"")</f>
        <v/>
      </c>
      <c r="J198" s="168" t="e">
        <f t="shared" si="21"/>
        <v>#NUM!</v>
      </c>
      <c r="K198" s="168" t="e">
        <f t="shared" ref="K198:K261" si="23">J198*$J$2</f>
        <v>#NUM!</v>
      </c>
      <c r="L198" s="168"/>
      <c r="M198" s="170">
        <f t="shared" ref="M198:M261" si="24">IF(I198&lt;&gt;"",K198+I198+L198,0)</f>
        <v>0</v>
      </c>
    </row>
    <row r="199" spans="1:13">
      <c r="A199" s="185"/>
      <c r="G199" s="156"/>
      <c r="H199" s="171">
        <v>194</v>
      </c>
      <c r="I199" s="169" t="str">
        <f t="shared" si="22"/>
        <v/>
      </c>
      <c r="J199" s="168" t="e">
        <f t="shared" ref="J199:J262" si="25">INT(LOG($H$2,2))-ROUNDUP(LOG(H199,2),0)+IF(OR($H$2=1,$H$2=2,$H$2=4,$H$2=8,$H$2=16,$H$2=32,$H$2=64,$H$2=128,$H$2=256),0,1)</f>
        <v>#NUM!</v>
      </c>
      <c r="K199" s="168" t="e">
        <f t="shared" si="23"/>
        <v>#NUM!</v>
      </c>
      <c r="L199" s="168"/>
      <c r="M199" s="170">
        <f t="shared" si="24"/>
        <v>0</v>
      </c>
    </row>
    <row r="200" spans="1:13">
      <c r="A200" s="185"/>
      <c r="G200" s="156"/>
      <c r="H200" s="168">
        <v>195</v>
      </c>
      <c r="I200" s="169" t="str">
        <f t="shared" si="22"/>
        <v/>
      </c>
      <c r="J200" s="168" t="e">
        <f t="shared" si="25"/>
        <v>#NUM!</v>
      </c>
      <c r="K200" s="168" t="e">
        <f t="shared" si="23"/>
        <v>#NUM!</v>
      </c>
      <c r="L200" s="168"/>
      <c r="M200" s="170">
        <f t="shared" si="24"/>
        <v>0</v>
      </c>
    </row>
    <row r="201" spans="1:13">
      <c r="A201" s="185"/>
      <c r="G201" s="156"/>
      <c r="H201" s="171">
        <v>196</v>
      </c>
      <c r="I201" s="169" t="str">
        <f t="shared" si="22"/>
        <v/>
      </c>
      <c r="J201" s="168" t="e">
        <f t="shared" si="25"/>
        <v>#NUM!</v>
      </c>
      <c r="K201" s="168" t="e">
        <f t="shared" si="23"/>
        <v>#NUM!</v>
      </c>
      <c r="L201" s="168"/>
      <c r="M201" s="170">
        <f t="shared" si="24"/>
        <v>0</v>
      </c>
    </row>
    <row r="202" spans="1:13">
      <c r="A202" s="185"/>
      <c r="G202" s="156"/>
      <c r="H202" s="168">
        <v>197</v>
      </c>
      <c r="I202" s="169" t="str">
        <f t="shared" si="22"/>
        <v/>
      </c>
      <c r="J202" s="168" t="e">
        <f t="shared" si="25"/>
        <v>#NUM!</v>
      </c>
      <c r="K202" s="168" t="e">
        <f t="shared" si="23"/>
        <v>#NUM!</v>
      </c>
      <c r="L202" s="168"/>
      <c r="M202" s="170">
        <f t="shared" si="24"/>
        <v>0</v>
      </c>
    </row>
    <row r="203" spans="1:13">
      <c r="A203" s="185"/>
      <c r="G203" s="156"/>
      <c r="H203" s="171">
        <v>198</v>
      </c>
      <c r="I203" s="169" t="str">
        <f t="shared" si="22"/>
        <v/>
      </c>
      <c r="J203" s="168" t="e">
        <f t="shared" si="25"/>
        <v>#NUM!</v>
      </c>
      <c r="K203" s="168" t="e">
        <f t="shared" si="23"/>
        <v>#NUM!</v>
      </c>
      <c r="L203" s="168"/>
      <c r="M203" s="170">
        <f t="shared" si="24"/>
        <v>0</v>
      </c>
    </row>
    <row r="204" spans="1:13">
      <c r="A204" s="185"/>
      <c r="G204" s="156"/>
      <c r="H204" s="168">
        <v>199</v>
      </c>
      <c r="I204" s="169" t="str">
        <f t="shared" si="22"/>
        <v/>
      </c>
      <c r="J204" s="168" t="e">
        <f t="shared" si="25"/>
        <v>#NUM!</v>
      </c>
      <c r="K204" s="168" t="e">
        <f t="shared" si="23"/>
        <v>#NUM!</v>
      </c>
      <c r="L204" s="168"/>
      <c r="M204" s="170">
        <f t="shared" si="24"/>
        <v>0</v>
      </c>
    </row>
    <row r="205" spans="1:13">
      <c r="A205" s="185"/>
      <c r="G205" s="156"/>
      <c r="H205" s="171">
        <v>200</v>
      </c>
      <c r="I205" s="169" t="str">
        <f t="shared" si="22"/>
        <v/>
      </c>
      <c r="J205" s="168" t="e">
        <f t="shared" si="25"/>
        <v>#NUM!</v>
      </c>
      <c r="K205" s="168" t="e">
        <f t="shared" si="23"/>
        <v>#NUM!</v>
      </c>
      <c r="L205" s="168"/>
      <c r="M205" s="170">
        <f t="shared" si="24"/>
        <v>0</v>
      </c>
    </row>
    <row r="206" spans="1:13">
      <c r="A206" s="185"/>
      <c r="G206" s="156"/>
      <c r="H206" s="168">
        <v>201</v>
      </c>
      <c r="I206" s="169" t="str">
        <f t="shared" si="22"/>
        <v/>
      </c>
      <c r="J206" s="168" t="e">
        <f t="shared" si="25"/>
        <v>#NUM!</v>
      </c>
      <c r="K206" s="168" t="e">
        <f t="shared" si="23"/>
        <v>#NUM!</v>
      </c>
      <c r="L206" s="168"/>
      <c r="M206" s="170">
        <f t="shared" si="24"/>
        <v>0</v>
      </c>
    </row>
    <row r="207" spans="1:13">
      <c r="A207" s="185"/>
      <c r="G207" s="156"/>
      <c r="H207" s="171">
        <v>202</v>
      </c>
      <c r="I207" s="169" t="str">
        <f t="shared" si="22"/>
        <v/>
      </c>
      <c r="J207" s="168" t="e">
        <f t="shared" si="25"/>
        <v>#NUM!</v>
      </c>
      <c r="K207" s="168" t="e">
        <f t="shared" si="23"/>
        <v>#NUM!</v>
      </c>
      <c r="L207" s="168"/>
      <c r="M207" s="170">
        <f t="shared" si="24"/>
        <v>0</v>
      </c>
    </row>
    <row r="208" spans="1:13">
      <c r="A208" s="185"/>
      <c r="G208" s="156"/>
      <c r="H208" s="168">
        <v>203</v>
      </c>
      <c r="I208" s="169" t="str">
        <f t="shared" si="22"/>
        <v/>
      </c>
      <c r="J208" s="168" t="e">
        <f t="shared" si="25"/>
        <v>#NUM!</v>
      </c>
      <c r="K208" s="168" t="e">
        <f t="shared" si="23"/>
        <v>#NUM!</v>
      </c>
      <c r="L208" s="168"/>
      <c r="M208" s="170">
        <f t="shared" si="24"/>
        <v>0</v>
      </c>
    </row>
    <row r="209" spans="1:13">
      <c r="A209" s="185"/>
      <c r="G209" s="156"/>
      <c r="H209" s="171">
        <v>204</v>
      </c>
      <c r="I209" s="169" t="str">
        <f t="shared" si="22"/>
        <v/>
      </c>
      <c r="J209" s="168" t="e">
        <f t="shared" si="25"/>
        <v>#NUM!</v>
      </c>
      <c r="K209" s="168" t="e">
        <f t="shared" si="23"/>
        <v>#NUM!</v>
      </c>
      <c r="L209" s="168"/>
      <c r="M209" s="170">
        <f t="shared" si="24"/>
        <v>0</v>
      </c>
    </row>
    <row r="210" spans="1:13">
      <c r="A210" s="185"/>
      <c r="G210" s="156"/>
      <c r="H210" s="168">
        <v>205</v>
      </c>
      <c r="I210" s="169" t="str">
        <f t="shared" si="22"/>
        <v/>
      </c>
      <c r="J210" s="168" t="e">
        <f t="shared" si="25"/>
        <v>#NUM!</v>
      </c>
      <c r="K210" s="168" t="e">
        <f t="shared" si="23"/>
        <v>#NUM!</v>
      </c>
      <c r="L210" s="168"/>
      <c r="M210" s="170">
        <f t="shared" si="24"/>
        <v>0</v>
      </c>
    </row>
    <row r="211" spans="1:13">
      <c r="A211" s="185"/>
      <c r="G211" s="156"/>
      <c r="H211" s="171">
        <v>206</v>
      </c>
      <c r="I211" s="169" t="str">
        <f t="shared" si="22"/>
        <v/>
      </c>
      <c r="J211" s="168" t="e">
        <f t="shared" si="25"/>
        <v>#NUM!</v>
      </c>
      <c r="K211" s="168" t="e">
        <f t="shared" si="23"/>
        <v>#NUM!</v>
      </c>
      <c r="L211" s="168"/>
      <c r="M211" s="170">
        <f t="shared" si="24"/>
        <v>0</v>
      </c>
    </row>
    <row r="212" spans="1:13">
      <c r="A212" s="185"/>
      <c r="G212" s="156"/>
      <c r="H212" s="168">
        <v>207</v>
      </c>
      <c r="I212" s="169" t="str">
        <f t="shared" si="22"/>
        <v/>
      </c>
      <c r="J212" s="168" t="e">
        <f t="shared" si="25"/>
        <v>#NUM!</v>
      </c>
      <c r="K212" s="168" t="e">
        <f t="shared" si="23"/>
        <v>#NUM!</v>
      </c>
      <c r="L212" s="168"/>
      <c r="M212" s="170">
        <f t="shared" si="24"/>
        <v>0</v>
      </c>
    </row>
    <row r="213" spans="1:13">
      <c r="A213" s="185"/>
      <c r="G213" s="156"/>
      <c r="H213" s="171">
        <v>208</v>
      </c>
      <c r="I213" s="169" t="str">
        <f t="shared" si="22"/>
        <v/>
      </c>
      <c r="J213" s="168" t="e">
        <f t="shared" si="25"/>
        <v>#NUM!</v>
      </c>
      <c r="K213" s="168" t="e">
        <f t="shared" si="23"/>
        <v>#NUM!</v>
      </c>
      <c r="L213" s="168"/>
      <c r="M213" s="170">
        <f t="shared" si="24"/>
        <v>0</v>
      </c>
    </row>
    <row r="214" spans="1:13">
      <c r="A214" s="185"/>
      <c r="G214" s="156"/>
      <c r="H214" s="168">
        <v>209</v>
      </c>
      <c r="I214" s="169" t="str">
        <f t="shared" si="22"/>
        <v/>
      </c>
      <c r="J214" s="168" t="e">
        <f t="shared" si="25"/>
        <v>#NUM!</v>
      </c>
      <c r="K214" s="168" t="e">
        <f t="shared" si="23"/>
        <v>#NUM!</v>
      </c>
      <c r="L214" s="168"/>
      <c r="M214" s="170">
        <f t="shared" si="24"/>
        <v>0</v>
      </c>
    </row>
    <row r="215" spans="1:13">
      <c r="A215" s="185"/>
      <c r="G215" s="156"/>
      <c r="H215" s="171">
        <v>210</v>
      </c>
      <c r="I215" s="169" t="str">
        <f t="shared" si="22"/>
        <v/>
      </c>
      <c r="J215" s="168" t="e">
        <f t="shared" si="25"/>
        <v>#NUM!</v>
      </c>
      <c r="K215" s="168" t="e">
        <f t="shared" si="23"/>
        <v>#NUM!</v>
      </c>
      <c r="L215" s="168"/>
      <c r="M215" s="170">
        <f t="shared" si="24"/>
        <v>0</v>
      </c>
    </row>
    <row r="216" spans="1:13">
      <c r="A216" s="185"/>
      <c r="G216" s="156"/>
      <c r="H216" s="168">
        <v>211</v>
      </c>
      <c r="I216" s="169" t="str">
        <f t="shared" si="22"/>
        <v/>
      </c>
      <c r="J216" s="168" t="e">
        <f t="shared" si="25"/>
        <v>#NUM!</v>
      </c>
      <c r="K216" s="168" t="e">
        <f t="shared" si="23"/>
        <v>#NUM!</v>
      </c>
      <c r="L216" s="168"/>
      <c r="M216" s="170">
        <f t="shared" si="24"/>
        <v>0</v>
      </c>
    </row>
    <row r="217" spans="1:13">
      <c r="A217" s="185"/>
      <c r="G217" s="156"/>
      <c r="H217" s="171">
        <v>212</v>
      </c>
      <c r="I217" s="169" t="str">
        <f t="shared" si="22"/>
        <v/>
      </c>
      <c r="J217" s="168" t="e">
        <f t="shared" si="25"/>
        <v>#NUM!</v>
      </c>
      <c r="K217" s="168" t="e">
        <f t="shared" si="23"/>
        <v>#NUM!</v>
      </c>
      <c r="L217" s="168"/>
      <c r="M217" s="170">
        <f t="shared" si="24"/>
        <v>0</v>
      </c>
    </row>
    <row r="218" spans="1:13">
      <c r="A218" s="185"/>
      <c r="G218" s="156"/>
      <c r="H218" s="168">
        <v>213</v>
      </c>
      <c r="I218" s="169" t="str">
        <f t="shared" si="22"/>
        <v/>
      </c>
      <c r="J218" s="168" t="e">
        <f t="shared" si="25"/>
        <v>#NUM!</v>
      </c>
      <c r="K218" s="168" t="e">
        <f t="shared" si="23"/>
        <v>#NUM!</v>
      </c>
      <c r="L218" s="168"/>
      <c r="M218" s="170">
        <f t="shared" si="24"/>
        <v>0</v>
      </c>
    </row>
    <row r="219" spans="1:13">
      <c r="A219" s="185"/>
      <c r="G219" s="156"/>
      <c r="H219" s="171">
        <v>214</v>
      </c>
      <c r="I219" s="169" t="str">
        <f t="shared" si="22"/>
        <v/>
      </c>
      <c r="J219" s="168" t="e">
        <f t="shared" si="25"/>
        <v>#NUM!</v>
      </c>
      <c r="K219" s="168" t="e">
        <f t="shared" si="23"/>
        <v>#NUM!</v>
      </c>
      <c r="L219" s="168"/>
      <c r="M219" s="170">
        <f t="shared" si="24"/>
        <v>0</v>
      </c>
    </row>
    <row r="220" spans="1:13">
      <c r="A220" s="185"/>
      <c r="G220" s="156"/>
      <c r="H220" s="168">
        <v>215</v>
      </c>
      <c r="I220" s="169" t="str">
        <f t="shared" si="22"/>
        <v/>
      </c>
      <c r="J220" s="168" t="e">
        <f t="shared" si="25"/>
        <v>#NUM!</v>
      </c>
      <c r="K220" s="168" t="e">
        <f t="shared" si="23"/>
        <v>#NUM!</v>
      </c>
      <c r="L220" s="168"/>
      <c r="M220" s="170">
        <f t="shared" si="24"/>
        <v>0</v>
      </c>
    </row>
    <row r="221" spans="1:13">
      <c r="A221" s="185"/>
      <c r="G221" s="156"/>
      <c r="H221" s="171">
        <v>216</v>
      </c>
      <c r="I221" s="169" t="str">
        <f t="shared" si="22"/>
        <v/>
      </c>
      <c r="J221" s="168" t="e">
        <f t="shared" si="25"/>
        <v>#NUM!</v>
      </c>
      <c r="K221" s="168" t="e">
        <f t="shared" si="23"/>
        <v>#NUM!</v>
      </c>
      <c r="L221" s="168"/>
      <c r="M221" s="170">
        <f t="shared" si="24"/>
        <v>0</v>
      </c>
    </row>
    <row r="222" spans="1:13">
      <c r="A222" s="185"/>
      <c r="G222" s="156"/>
      <c r="H222" s="168">
        <v>217</v>
      </c>
      <c r="I222" s="169" t="str">
        <f t="shared" si="22"/>
        <v/>
      </c>
      <c r="J222" s="168" t="e">
        <f t="shared" si="25"/>
        <v>#NUM!</v>
      </c>
      <c r="K222" s="168" t="e">
        <f t="shared" si="23"/>
        <v>#NUM!</v>
      </c>
      <c r="L222" s="168"/>
      <c r="M222" s="170">
        <f t="shared" si="24"/>
        <v>0</v>
      </c>
    </row>
    <row r="223" spans="1:13">
      <c r="A223" s="185"/>
      <c r="G223" s="156"/>
      <c r="H223" s="171">
        <v>218</v>
      </c>
      <c r="I223" s="169" t="str">
        <f t="shared" si="22"/>
        <v/>
      </c>
      <c r="J223" s="168" t="e">
        <f t="shared" si="25"/>
        <v>#NUM!</v>
      </c>
      <c r="K223" s="168" t="e">
        <f t="shared" si="23"/>
        <v>#NUM!</v>
      </c>
      <c r="L223" s="168"/>
      <c r="M223" s="170">
        <f t="shared" si="24"/>
        <v>0</v>
      </c>
    </row>
    <row r="224" spans="1:13">
      <c r="A224" s="185"/>
      <c r="G224" s="156"/>
      <c r="H224" s="168">
        <v>219</v>
      </c>
      <c r="I224" s="169" t="str">
        <f t="shared" si="22"/>
        <v/>
      </c>
      <c r="J224" s="168" t="e">
        <f t="shared" si="25"/>
        <v>#NUM!</v>
      </c>
      <c r="K224" s="168" t="e">
        <f t="shared" si="23"/>
        <v>#NUM!</v>
      </c>
      <c r="L224" s="168"/>
      <c r="M224" s="170">
        <f t="shared" si="24"/>
        <v>0</v>
      </c>
    </row>
    <row r="225" spans="1:13">
      <c r="A225" s="185"/>
      <c r="G225" s="156"/>
      <c r="H225" s="171">
        <v>220</v>
      </c>
      <c r="I225" s="169" t="str">
        <f t="shared" si="22"/>
        <v/>
      </c>
      <c r="J225" s="168" t="e">
        <f t="shared" si="25"/>
        <v>#NUM!</v>
      </c>
      <c r="K225" s="168" t="e">
        <f t="shared" si="23"/>
        <v>#NUM!</v>
      </c>
      <c r="L225" s="168"/>
      <c r="M225" s="170">
        <f t="shared" si="24"/>
        <v>0</v>
      </c>
    </row>
    <row r="226" spans="1:13">
      <c r="A226" s="185"/>
      <c r="G226" s="156"/>
      <c r="H226" s="168">
        <v>221</v>
      </c>
      <c r="I226" s="169" t="str">
        <f t="shared" si="22"/>
        <v/>
      </c>
      <c r="J226" s="168" t="e">
        <f t="shared" si="25"/>
        <v>#NUM!</v>
      </c>
      <c r="K226" s="168" t="e">
        <f t="shared" si="23"/>
        <v>#NUM!</v>
      </c>
      <c r="L226" s="168"/>
      <c r="M226" s="170">
        <f t="shared" si="24"/>
        <v>0</v>
      </c>
    </row>
    <row r="227" spans="1:13">
      <c r="A227" s="185"/>
      <c r="G227" s="156"/>
      <c r="H227" s="171">
        <v>222</v>
      </c>
      <c r="I227" s="169" t="str">
        <f t="shared" si="22"/>
        <v/>
      </c>
      <c r="J227" s="168" t="e">
        <f t="shared" si="25"/>
        <v>#NUM!</v>
      </c>
      <c r="K227" s="168" t="e">
        <f t="shared" si="23"/>
        <v>#NUM!</v>
      </c>
      <c r="L227" s="168"/>
      <c r="M227" s="170">
        <f t="shared" si="24"/>
        <v>0</v>
      </c>
    </row>
    <row r="228" spans="1:13">
      <c r="A228" s="185"/>
      <c r="G228" s="156"/>
      <c r="H228" s="168">
        <v>223</v>
      </c>
      <c r="I228" s="169" t="str">
        <f t="shared" si="22"/>
        <v/>
      </c>
      <c r="J228" s="168" t="e">
        <f t="shared" si="25"/>
        <v>#NUM!</v>
      </c>
      <c r="K228" s="168" t="e">
        <f t="shared" si="23"/>
        <v>#NUM!</v>
      </c>
      <c r="L228" s="168"/>
      <c r="M228" s="170">
        <f t="shared" si="24"/>
        <v>0</v>
      </c>
    </row>
    <row r="229" spans="1:13">
      <c r="A229" s="185"/>
      <c r="G229" s="156"/>
      <c r="H229" s="171">
        <v>224</v>
      </c>
      <c r="I229" s="169" t="str">
        <f t="shared" si="22"/>
        <v/>
      </c>
      <c r="J229" s="168" t="e">
        <f t="shared" si="25"/>
        <v>#NUM!</v>
      </c>
      <c r="K229" s="168" t="e">
        <f t="shared" si="23"/>
        <v>#NUM!</v>
      </c>
      <c r="L229" s="168"/>
      <c r="M229" s="170">
        <f t="shared" si="24"/>
        <v>0</v>
      </c>
    </row>
    <row r="230" spans="1:13">
      <c r="A230" s="185"/>
      <c r="G230" s="156"/>
      <c r="H230" s="168">
        <v>225</v>
      </c>
      <c r="I230" s="169" t="str">
        <f t="shared" si="22"/>
        <v/>
      </c>
      <c r="J230" s="168" t="e">
        <f t="shared" si="25"/>
        <v>#NUM!</v>
      </c>
      <c r="K230" s="168" t="e">
        <f t="shared" si="23"/>
        <v>#NUM!</v>
      </c>
      <c r="L230" s="168"/>
      <c r="M230" s="170">
        <f t="shared" si="24"/>
        <v>0</v>
      </c>
    </row>
    <row r="231" spans="1:13">
      <c r="A231" s="185"/>
      <c r="G231" s="156"/>
      <c r="H231" s="171">
        <v>226</v>
      </c>
      <c r="I231" s="169" t="str">
        <f t="shared" si="22"/>
        <v/>
      </c>
      <c r="J231" s="168" t="e">
        <f t="shared" si="25"/>
        <v>#NUM!</v>
      </c>
      <c r="K231" s="168" t="e">
        <f t="shared" si="23"/>
        <v>#NUM!</v>
      </c>
      <c r="L231" s="168"/>
      <c r="M231" s="170">
        <f t="shared" si="24"/>
        <v>0</v>
      </c>
    </row>
    <row r="232" spans="1:13">
      <c r="A232" s="185"/>
      <c r="G232" s="156"/>
      <c r="H232" s="168">
        <v>227</v>
      </c>
      <c r="I232" s="169" t="str">
        <f t="shared" si="22"/>
        <v/>
      </c>
      <c r="J232" s="168" t="e">
        <f t="shared" si="25"/>
        <v>#NUM!</v>
      </c>
      <c r="K232" s="168" t="e">
        <f t="shared" si="23"/>
        <v>#NUM!</v>
      </c>
      <c r="L232" s="168"/>
      <c r="M232" s="170">
        <f t="shared" si="24"/>
        <v>0</v>
      </c>
    </row>
    <row r="233" spans="1:13">
      <c r="A233" s="185"/>
      <c r="G233" s="156"/>
      <c r="H233" s="171">
        <v>228</v>
      </c>
      <c r="I233" s="169" t="str">
        <f t="shared" si="22"/>
        <v/>
      </c>
      <c r="J233" s="168" t="e">
        <f t="shared" si="25"/>
        <v>#NUM!</v>
      </c>
      <c r="K233" s="168" t="e">
        <f t="shared" si="23"/>
        <v>#NUM!</v>
      </c>
      <c r="L233" s="168"/>
      <c r="M233" s="170">
        <f t="shared" si="24"/>
        <v>0</v>
      </c>
    </row>
    <row r="234" spans="1:13">
      <c r="A234" s="185"/>
      <c r="G234" s="156"/>
      <c r="H234" s="168">
        <v>229</v>
      </c>
      <c r="I234" s="169" t="str">
        <f t="shared" si="22"/>
        <v/>
      </c>
      <c r="J234" s="168" t="e">
        <f t="shared" si="25"/>
        <v>#NUM!</v>
      </c>
      <c r="K234" s="168" t="e">
        <f t="shared" si="23"/>
        <v>#NUM!</v>
      </c>
      <c r="L234" s="168"/>
      <c r="M234" s="170">
        <f t="shared" si="24"/>
        <v>0</v>
      </c>
    </row>
    <row r="235" spans="1:13">
      <c r="A235" s="185"/>
      <c r="G235" s="156"/>
      <c r="H235" s="171">
        <v>230</v>
      </c>
      <c r="I235" s="169" t="str">
        <f t="shared" si="22"/>
        <v/>
      </c>
      <c r="J235" s="168" t="e">
        <f t="shared" si="25"/>
        <v>#NUM!</v>
      </c>
      <c r="K235" s="168" t="e">
        <f t="shared" si="23"/>
        <v>#NUM!</v>
      </c>
      <c r="L235" s="168"/>
      <c r="M235" s="170">
        <f t="shared" si="24"/>
        <v>0</v>
      </c>
    </row>
    <row r="236" spans="1:13">
      <c r="A236" s="185"/>
      <c r="G236" s="156"/>
      <c r="H236" s="168">
        <v>231</v>
      </c>
      <c r="I236" s="169" t="str">
        <f t="shared" si="22"/>
        <v/>
      </c>
      <c r="J236" s="168" t="e">
        <f t="shared" si="25"/>
        <v>#NUM!</v>
      </c>
      <c r="K236" s="168" t="e">
        <f t="shared" si="23"/>
        <v>#NUM!</v>
      </c>
      <c r="L236" s="168"/>
      <c r="M236" s="170">
        <f t="shared" si="24"/>
        <v>0</v>
      </c>
    </row>
    <row r="237" spans="1:13">
      <c r="A237" s="185"/>
      <c r="G237" s="156"/>
      <c r="H237" s="171">
        <v>232</v>
      </c>
      <c r="I237" s="169" t="str">
        <f t="shared" si="22"/>
        <v/>
      </c>
      <c r="J237" s="168" t="e">
        <f t="shared" si="25"/>
        <v>#NUM!</v>
      </c>
      <c r="K237" s="168" t="e">
        <f t="shared" si="23"/>
        <v>#NUM!</v>
      </c>
      <c r="L237" s="168"/>
      <c r="M237" s="170">
        <f t="shared" si="24"/>
        <v>0</v>
      </c>
    </row>
    <row r="238" spans="1:13">
      <c r="A238" s="185"/>
      <c r="G238" s="156"/>
      <c r="H238" s="168">
        <v>233</v>
      </c>
      <c r="I238" s="169" t="str">
        <f t="shared" si="22"/>
        <v/>
      </c>
      <c r="J238" s="168" t="e">
        <f t="shared" si="25"/>
        <v>#NUM!</v>
      </c>
      <c r="K238" s="168" t="e">
        <f t="shared" si="23"/>
        <v>#NUM!</v>
      </c>
      <c r="L238" s="168"/>
      <c r="M238" s="170">
        <f t="shared" si="24"/>
        <v>0</v>
      </c>
    </row>
    <row r="239" spans="1:13">
      <c r="A239" s="185"/>
      <c r="G239" s="156"/>
      <c r="H239" s="171">
        <v>234</v>
      </c>
      <c r="I239" s="169" t="str">
        <f t="shared" si="22"/>
        <v/>
      </c>
      <c r="J239" s="168" t="e">
        <f t="shared" si="25"/>
        <v>#NUM!</v>
      </c>
      <c r="K239" s="168" t="e">
        <f t="shared" si="23"/>
        <v>#NUM!</v>
      </c>
      <c r="L239" s="168"/>
      <c r="M239" s="170">
        <f t="shared" si="24"/>
        <v>0</v>
      </c>
    </row>
    <row r="240" spans="1:13">
      <c r="A240" s="185"/>
      <c r="G240" s="156"/>
      <c r="H240" s="168">
        <v>235</v>
      </c>
      <c r="I240" s="169" t="str">
        <f t="shared" si="22"/>
        <v/>
      </c>
      <c r="J240" s="168" t="e">
        <f t="shared" si="25"/>
        <v>#NUM!</v>
      </c>
      <c r="K240" s="168" t="e">
        <f t="shared" si="23"/>
        <v>#NUM!</v>
      </c>
      <c r="L240" s="168"/>
      <c r="M240" s="170">
        <f t="shared" si="24"/>
        <v>0</v>
      </c>
    </row>
    <row r="241" spans="1:13">
      <c r="A241" s="185"/>
      <c r="G241" s="156"/>
      <c r="H241" s="171">
        <v>236</v>
      </c>
      <c r="I241" s="169" t="str">
        <f t="shared" si="22"/>
        <v/>
      </c>
      <c r="J241" s="168" t="e">
        <f t="shared" si="25"/>
        <v>#NUM!</v>
      </c>
      <c r="K241" s="168" t="e">
        <f t="shared" si="23"/>
        <v>#NUM!</v>
      </c>
      <c r="L241" s="168"/>
      <c r="M241" s="170">
        <f t="shared" si="24"/>
        <v>0</v>
      </c>
    </row>
    <row r="242" spans="1:13">
      <c r="A242" s="185"/>
      <c r="G242" s="156"/>
      <c r="H242" s="168">
        <v>237</v>
      </c>
      <c r="I242" s="169" t="str">
        <f t="shared" si="22"/>
        <v/>
      </c>
      <c r="J242" s="168" t="e">
        <f t="shared" si="25"/>
        <v>#NUM!</v>
      </c>
      <c r="K242" s="168" t="e">
        <f t="shared" si="23"/>
        <v>#NUM!</v>
      </c>
      <c r="L242" s="168"/>
      <c r="M242" s="170">
        <f t="shared" si="24"/>
        <v>0</v>
      </c>
    </row>
    <row r="243" spans="1:13">
      <c r="A243" s="185"/>
      <c r="G243" s="156"/>
      <c r="H243" s="171">
        <v>238</v>
      </c>
      <c r="I243" s="169" t="str">
        <f t="shared" si="22"/>
        <v/>
      </c>
      <c r="J243" s="168" t="e">
        <f t="shared" si="25"/>
        <v>#NUM!</v>
      </c>
      <c r="K243" s="168" t="e">
        <f t="shared" si="23"/>
        <v>#NUM!</v>
      </c>
      <c r="L243" s="168"/>
      <c r="M243" s="170">
        <f t="shared" si="24"/>
        <v>0</v>
      </c>
    </row>
    <row r="244" spans="1:13">
      <c r="A244" s="185"/>
      <c r="G244" s="156"/>
      <c r="H244" s="168">
        <v>239</v>
      </c>
      <c r="I244" s="169" t="str">
        <f t="shared" si="22"/>
        <v/>
      </c>
      <c r="J244" s="168" t="e">
        <f t="shared" si="25"/>
        <v>#NUM!</v>
      </c>
      <c r="K244" s="168" t="e">
        <f t="shared" si="23"/>
        <v>#NUM!</v>
      </c>
      <c r="L244" s="168"/>
      <c r="M244" s="170">
        <f t="shared" si="24"/>
        <v>0</v>
      </c>
    </row>
    <row r="245" spans="1:13">
      <c r="A245" s="185"/>
      <c r="G245" s="156"/>
      <c r="H245" s="171">
        <v>240</v>
      </c>
      <c r="I245" s="169" t="str">
        <f t="shared" si="22"/>
        <v/>
      </c>
      <c r="J245" s="168" t="e">
        <f t="shared" si="25"/>
        <v>#NUM!</v>
      </c>
      <c r="K245" s="168" t="e">
        <f t="shared" si="23"/>
        <v>#NUM!</v>
      </c>
      <c r="L245" s="168"/>
      <c r="M245" s="170">
        <f t="shared" si="24"/>
        <v>0</v>
      </c>
    </row>
    <row r="246" spans="1:13">
      <c r="A246" s="185"/>
      <c r="G246" s="156"/>
      <c r="H246" s="168">
        <v>241</v>
      </c>
      <c r="I246" s="169" t="str">
        <f t="shared" si="22"/>
        <v/>
      </c>
      <c r="J246" s="168" t="e">
        <f t="shared" si="25"/>
        <v>#NUM!</v>
      </c>
      <c r="K246" s="168" t="e">
        <f t="shared" si="23"/>
        <v>#NUM!</v>
      </c>
      <c r="L246" s="168"/>
      <c r="M246" s="170">
        <f t="shared" si="24"/>
        <v>0</v>
      </c>
    </row>
    <row r="247" spans="1:13">
      <c r="A247" s="185"/>
      <c r="G247" s="156"/>
      <c r="H247" s="171">
        <v>242</v>
      </c>
      <c r="I247" s="169" t="str">
        <f t="shared" si="22"/>
        <v/>
      </c>
      <c r="J247" s="168" t="e">
        <f t="shared" si="25"/>
        <v>#NUM!</v>
      </c>
      <c r="K247" s="168" t="e">
        <f t="shared" si="23"/>
        <v>#NUM!</v>
      </c>
      <c r="L247" s="168"/>
      <c r="M247" s="170">
        <f t="shared" si="24"/>
        <v>0</v>
      </c>
    </row>
    <row r="248" spans="1:13">
      <c r="A248" s="185"/>
      <c r="G248" s="156"/>
      <c r="H248" s="168">
        <v>243</v>
      </c>
      <c r="I248" s="169" t="str">
        <f t="shared" si="22"/>
        <v/>
      </c>
      <c r="J248" s="168" t="e">
        <f t="shared" si="25"/>
        <v>#NUM!</v>
      </c>
      <c r="K248" s="168" t="e">
        <f t="shared" si="23"/>
        <v>#NUM!</v>
      </c>
      <c r="L248" s="168"/>
      <c r="M248" s="170">
        <f t="shared" si="24"/>
        <v>0</v>
      </c>
    </row>
    <row r="249" spans="1:13">
      <c r="A249" s="185"/>
      <c r="G249" s="156"/>
      <c r="H249" s="171">
        <v>244</v>
      </c>
      <c r="I249" s="169" t="str">
        <f t="shared" si="22"/>
        <v/>
      </c>
      <c r="J249" s="168" t="e">
        <f t="shared" si="25"/>
        <v>#NUM!</v>
      </c>
      <c r="K249" s="168" t="e">
        <f t="shared" si="23"/>
        <v>#NUM!</v>
      </c>
      <c r="L249" s="168"/>
      <c r="M249" s="170">
        <f t="shared" si="24"/>
        <v>0</v>
      </c>
    </row>
    <row r="250" spans="1:13">
      <c r="A250" s="185"/>
      <c r="G250" s="156"/>
      <c r="H250" s="168">
        <v>245</v>
      </c>
      <c r="I250" s="169" t="str">
        <f t="shared" si="22"/>
        <v/>
      </c>
      <c r="J250" s="168" t="e">
        <f t="shared" si="25"/>
        <v>#NUM!</v>
      </c>
      <c r="K250" s="168" t="e">
        <f t="shared" si="23"/>
        <v>#NUM!</v>
      </c>
      <c r="L250" s="168"/>
      <c r="M250" s="170">
        <f t="shared" si="24"/>
        <v>0</v>
      </c>
    </row>
    <row r="251" spans="1:13">
      <c r="A251" s="185"/>
      <c r="G251" s="156"/>
      <c r="H251" s="171">
        <v>246</v>
      </c>
      <c r="I251" s="169" t="str">
        <f t="shared" si="22"/>
        <v/>
      </c>
      <c r="J251" s="168" t="e">
        <f t="shared" si="25"/>
        <v>#NUM!</v>
      </c>
      <c r="K251" s="168" t="e">
        <f t="shared" si="23"/>
        <v>#NUM!</v>
      </c>
      <c r="L251" s="168"/>
      <c r="M251" s="170">
        <f t="shared" si="24"/>
        <v>0</v>
      </c>
    </row>
    <row r="252" spans="1:13">
      <c r="A252" s="185"/>
      <c r="G252" s="156"/>
      <c r="H252" s="168">
        <v>247</v>
      </c>
      <c r="I252" s="169" t="str">
        <f t="shared" si="22"/>
        <v/>
      </c>
      <c r="J252" s="168" t="e">
        <f t="shared" si="25"/>
        <v>#NUM!</v>
      </c>
      <c r="K252" s="168" t="e">
        <f t="shared" si="23"/>
        <v>#NUM!</v>
      </c>
      <c r="L252" s="168"/>
      <c r="M252" s="170">
        <f t="shared" si="24"/>
        <v>0</v>
      </c>
    </row>
    <row r="253" spans="1:13">
      <c r="A253" s="185"/>
      <c r="G253" s="156"/>
      <c r="H253" s="171">
        <v>248</v>
      </c>
      <c r="I253" s="169" t="str">
        <f t="shared" si="22"/>
        <v/>
      </c>
      <c r="J253" s="168" t="e">
        <f t="shared" si="25"/>
        <v>#NUM!</v>
      </c>
      <c r="K253" s="168" t="e">
        <f t="shared" si="23"/>
        <v>#NUM!</v>
      </c>
      <c r="L253" s="168"/>
      <c r="M253" s="170">
        <f t="shared" si="24"/>
        <v>0</v>
      </c>
    </row>
    <row r="254" spans="1:13">
      <c r="A254" s="185"/>
      <c r="G254" s="156"/>
      <c r="H254" s="168">
        <v>249</v>
      </c>
      <c r="I254" s="169" t="str">
        <f t="shared" si="22"/>
        <v/>
      </c>
      <c r="J254" s="168" t="e">
        <f t="shared" si="25"/>
        <v>#NUM!</v>
      </c>
      <c r="K254" s="168" t="e">
        <f t="shared" si="23"/>
        <v>#NUM!</v>
      </c>
      <c r="L254" s="168"/>
      <c r="M254" s="170">
        <f t="shared" si="24"/>
        <v>0</v>
      </c>
    </row>
    <row r="255" spans="1:13">
      <c r="A255" s="185"/>
      <c r="G255" s="156"/>
      <c r="H255" s="171">
        <v>250</v>
      </c>
      <c r="I255" s="169" t="str">
        <f t="shared" si="22"/>
        <v/>
      </c>
      <c r="J255" s="168" t="e">
        <f t="shared" si="25"/>
        <v>#NUM!</v>
      </c>
      <c r="K255" s="168" t="e">
        <f t="shared" si="23"/>
        <v>#NUM!</v>
      </c>
      <c r="L255" s="168"/>
      <c r="M255" s="170">
        <f t="shared" si="24"/>
        <v>0</v>
      </c>
    </row>
    <row r="256" spans="1:13">
      <c r="A256" s="185"/>
      <c r="G256" s="156"/>
      <c r="H256" s="168">
        <v>251</v>
      </c>
      <c r="I256" s="169" t="str">
        <f t="shared" si="22"/>
        <v/>
      </c>
      <c r="J256" s="168" t="e">
        <f t="shared" si="25"/>
        <v>#NUM!</v>
      </c>
      <c r="K256" s="168" t="e">
        <f t="shared" si="23"/>
        <v>#NUM!</v>
      </c>
      <c r="L256" s="168"/>
      <c r="M256" s="170">
        <f t="shared" si="24"/>
        <v>0</v>
      </c>
    </row>
    <row r="257" spans="1:13">
      <c r="A257" s="185"/>
      <c r="G257" s="156"/>
      <c r="H257" s="171">
        <v>252</v>
      </c>
      <c r="I257" s="169" t="str">
        <f t="shared" si="22"/>
        <v/>
      </c>
      <c r="J257" s="168" t="e">
        <f t="shared" si="25"/>
        <v>#NUM!</v>
      </c>
      <c r="K257" s="168" t="e">
        <f t="shared" si="23"/>
        <v>#NUM!</v>
      </c>
      <c r="L257" s="168"/>
      <c r="M257" s="170">
        <f t="shared" si="24"/>
        <v>0</v>
      </c>
    </row>
    <row r="258" spans="1:13">
      <c r="A258" s="185"/>
      <c r="G258" s="156"/>
      <c r="H258" s="168">
        <v>253</v>
      </c>
      <c r="I258" s="169" t="str">
        <f t="shared" si="22"/>
        <v/>
      </c>
      <c r="J258" s="168" t="e">
        <f t="shared" si="25"/>
        <v>#NUM!</v>
      </c>
      <c r="K258" s="168" t="e">
        <f t="shared" si="23"/>
        <v>#NUM!</v>
      </c>
      <c r="L258" s="168"/>
      <c r="M258" s="170">
        <f t="shared" si="24"/>
        <v>0</v>
      </c>
    </row>
    <row r="259" spans="1:13">
      <c r="A259" s="185"/>
      <c r="G259" s="156"/>
      <c r="H259" s="171">
        <v>254</v>
      </c>
      <c r="I259" s="169" t="str">
        <f t="shared" si="22"/>
        <v/>
      </c>
      <c r="J259" s="168" t="e">
        <f t="shared" si="25"/>
        <v>#NUM!</v>
      </c>
      <c r="K259" s="168" t="e">
        <f t="shared" si="23"/>
        <v>#NUM!</v>
      </c>
      <c r="L259" s="168"/>
      <c r="M259" s="170">
        <f t="shared" si="24"/>
        <v>0</v>
      </c>
    </row>
    <row r="260" spans="1:13">
      <c r="A260" s="185"/>
      <c r="G260" s="156"/>
      <c r="H260" s="168">
        <v>255</v>
      </c>
      <c r="I260" s="169" t="str">
        <f t="shared" si="22"/>
        <v/>
      </c>
      <c r="J260" s="168" t="e">
        <f t="shared" si="25"/>
        <v>#NUM!</v>
      </c>
      <c r="K260" s="168" t="e">
        <f t="shared" si="23"/>
        <v>#NUM!</v>
      </c>
      <c r="L260" s="168"/>
      <c r="M260" s="170">
        <f t="shared" si="24"/>
        <v>0</v>
      </c>
    </row>
    <row r="261" spans="1:13">
      <c r="A261" s="185"/>
      <c r="G261" s="156"/>
      <c r="H261" s="171">
        <v>256</v>
      </c>
      <c r="I261" s="169" t="str">
        <f t="shared" si="22"/>
        <v/>
      </c>
      <c r="J261" s="168" t="e">
        <f t="shared" si="25"/>
        <v>#NUM!</v>
      </c>
      <c r="K261" s="168" t="e">
        <f t="shared" si="23"/>
        <v>#NUM!</v>
      </c>
      <c r="L261" s="168"/>
      <c r="M261" s="170">
        <f t="shared" si="24"/>
        <v>0</v>
      </c>
    </row>
    <row r="262" spans="1:13">
      <c r="A262" s="185"/>
      <c r="G262" s="156"/>
      <c r="H262" s="168">
        <v>257</v>
      </c>
      <c r="I262" s="169" t="str">
        <f t="shared" ref="I262:I305" si="26">IF(H262&lt;$H$2+1,($I$2-($I$2-1)*(LOG(H262)/LOG($H$2))),"")</f>
        <v/>
      </c>
      <c r="J262" s="168" t="e">
        <f t="shared" si="25"/>
        <v>#NUM!</v>
      </c>
      <c r="K262" s="168" t="e">
        <f t="shared" ref="K262:K305" si="27">J262*$J$2</f>
        <v>#NUM!</v>
      </c>
      <c r="L262" s="168"/>
      <c r="M262" s="170">
        <f t="shared" ref="M262:M305" si="28">IF(I262&lt;&gt;"",K262+I262+L262,0)</f>
        <v>0</v>
      </c>
    </row>
    <row r="263" spans="1:13">
      <c r="A263" s="185"/>
      <c r="G263" s="156"/>
      <c r="H263" s="171">
        <v>258</v>
      </c>
      <c r="I263" s="169" t="str">
        <f t="shared" si="26"/>
        <v/>
      </c>
      <c r="J263" s="168" t="e">
        <f t="shared" ref="J263:J305" si="29">INT(LOG($H$2,2))-ROUNDUP(LOG(H263,2),0)+IF(OR($H$2=1,$H$2=2,$H$2=4,$H$2=8,$H$2=16,$H$2=32,$H$2=64,$H$2=128,$H$2=256),0,1)</f>
        <v>#NUM!</v>
      </c>
      <c r="K263" s="168" t="e">
        <f t="shared" si="27"/>
        <v>#NUM!</v>
      </c>
      <c r="L263" s="168"/>
      <c r="M263" s="170">
        <f t="shared" si="28"/>
        <v>0</v>
      </c>
    </row>
    <row r="264" spans="1:13">
      <c r="A264" s="185"/>
      <c r="G264" s="156"/>
      <c r="H264" s="168">
        <v>259</v>
      </c>
      <c r="I264" s="169" t="str">
        <f t="shared" si="26"/>
        <v/>
      </c>
      <c r="J264" s="168" t="e">
        <f t="shared" si="29"/>
        <v>#NUM!</v>
      </c>
      <c r="K264" s="168" t="e">
        <f t="shared" si="27"/>
        <v>#NUM!</v>
      </c>
      <c r="L264" s="168"/>
      <c r="M264" s="170">
        <f t="shared" si="28"/>
        <v>0</v>
      </c>
    </row>
    <row r="265" spans="1:13">
      <c r="A265" s="185"/>
      <c r="G265" s="156"/>
      <c r="H265" s="171">
        <v>260</v>
      </c>
      <c r="I265" s="169" t="str">
        <f t="shared" si="26"/>
        <v/>
      </c>
      <c r="J265" s="168" t="e">
        <f t="shared" si="29"/>
        <v>#NUM!</v>
      </c>
      <c r="K265" s="168" t="e">
        <f t="shared" si="27"/>
        <v>#NUM!</v>
      </c>
      <c r="L265" s="168"/>
      <c r="M265" s="170">
        <f t="shared" si="28"/>
        <v>0</v>
      </c>
    </row>
    <row r="266" spans="1:13">
      <c r="A266" s="185"/>
      <c r="G266" s="156"/>
      <c r="H266" s="168">
        <v>261</v>
      </c>
      <c r="I266" s="169" t="str">
        <f t="shared" si="26"/>
        <v/>
      </c>
      <c r="J266" s="168" t="e">
        <f t="shared" si="29"/>
        <v>#NUM!</v>
      </c>
      <c r="K266" s="168" t="e">
        <f t="shared" si="27"/>
        <v>#NUM!</v>
      </c>
      <c r="L266" s="168"/>
      <c r="M266" s="170">
        <f t="shared" si="28"/>
        <v>0</v>
      </c>
    </row>
    <row r="267" spans="1:13">
      <c r="A267" s="185"/>
      <c r="G267" s="156"/>
      <c r="H267" s="171">
        <v>262</v>
      </c>
      <c r="I267" s="169" t="str">
        <f t="shared" si="26"/>
        <v/>
      </c>
      <c r="J267" s="168" t="e">
        <f t="shared" si="29"/>
        <v>#NUM!</v>
      </c>
      <c r="K267" s="168" t="e">
        <f t="shared" si="27"/>
        <v>#NUM!</v>
      </c>
      <c r="L267" s="168"/>
      <c r="M267" s="170">
        <f t="shared" si="28"/>
        <v>0</v>
      </c>
    </row>
    <row r="268" spans="1:13">
      <c r="A268" s="185"/>
      <c r="G268" s="156"/>
      <c r="H268" s="168">
        <v>263</v>
      </c>
      <c r="I268" s="169" t="str">
        <f t="shared" si="26"/>
        <v/>
      </c>
      <c r="J268" s="168" t="e">
        <f t="shared" si="29"/>
        <v>#NUM!</v>
      </c>
      <c r="K268" s="168" t="e">
        <f t="shared" si="27"/>
        <v>#NUM!</v>
      </c>
      <c r="L268" s="168"/>
      <c r="M268" s="170">
        <f t="shared" si="28"/>
        <v>0</v>
      </c>
    </row>
    <row r="269" spans="1:13">
      <c r="A269" s="185"/>
      <c r="G269" s="156"/>
      <c r="H269" s="171">
        <v>264</v>
      </c>
      <c r="I269" s="169" t="str">
        <f t="shared" si="26"/>
        <v/>
      </c>
      <c r="J269" s="168" t="e">
        <f t="shared" si="29"/>
        <v>#NUM!</v>
      </c>
      <c r="K269" s="168" t="e">
        <f t="shared" si="27"/>
        <v>#NUM!</v>
      </c>
      <c r="L269" s="168"/>
      <c r="M269" s="170">
        <f t="shared" si="28"/>
        <v>0</v>
      </c>
    </row>
    <row r="270" spans="1:13">
      <c r="A270" s="185"/>
      <c r="G270" s="156"/>
      <c r="H270" s="168">
        <v>265</v>
      </c>
      <c r="I270" s="169" t="str">
        <f t="shared" si="26"/>
        <v/>
      </c>
      <c r="J270" s="168" t="e">
        <f t="shared" si="29"/>
        <v>#NUM!</v>
      </c>
      <c r="K270" s="168" t="e">
        <f t="shared" si="27"/>
        <v>#NUM!</v>
      </c>
      <c r="L270" s="168"/>
      <c r="M270" s="170">
        <f t="shared" si="28"/>
        <v>0</v>
      </c>
    </row>
    <row r="271" spans="1:13">
      <c r="A271" s="185"/>
      <c r="G271" s="156"/>
      <c r="H271" s="171">
        <v>266</v>
      </c>
      <c r="I271" s="169" t="str">
        <f t="shared" si="26"/>
        <v/>
      </c>
      <c r="J271" s="168" t="e">
        <f t="shared" si="29"/>
        <v>#NUM!</v>
      </c>
      <c r="K271" s="168" t="e">
        <f t="shared" si="27"/>
        <v>#NUM!</v>
      </c>
      <c r="L271" s="168"/>
      <c r="M271" s="170">
        <f t="shared" si="28"/>
        <v>0</v>
      </c>
    </row>
    <row r="272" spans="1:13">
      <c r="A272" s="185"/>
      <c r="G272" s="156"/>
      <c r="H272" s="168">
        <v>267</v>
      </c>
      <c r="I272" s="169" t="str">
        <f t="shared" si="26"/>
        <v/>
      </c>
      <c r="J272" s="168" t="e">
        <f t="shared" si="29"/>
        <v>#NUM!</v>
      </c>
      <c r="K272" s="168" t="e">
        <f t="shared" si="27"/>
        <v>#NUM!</v>
      </c>
      <c r="L272" s="168"/>
      <c r="M272" s="170">
        <f t="shared" si="28"/>
        <v>0</v>
      </c>
    </row>
    <row r="273" spans="1:13">
      <c r="A273" s="185"/>
      <c r="G273" s="156"/>
      <c r="H273" s="171">
        <v>268</v>
      </c>
      <c r="I273" s="169" t="str">
        <f t="shared" si="26"/>
        <v/>
      </c>
      <c r="J273" s="168" t="e">
        <f t="shared" si="29"/>
        <v>#NUM!</v>
      </c>
      <c r="K273" s="168" t="e">
        <f t="shared" si="27"/>
        <v>#NUM!</v>
      </c>
      <c r="L273" s="168"/>
      <c r="M273" s="170">
        <f t="shared" si="28"/>
        <v>0</v>
      </c>
    </row>
    <row r="274" spans="1:13">
      <c r="A274" s="185"/>
      <c r="G274" s="156"/>
      <c r="H274" s="168">
        <v>269</v>
      </c>
      <c r="I274" s="169" t="str">
        <f t="shared" si="26"/>
        <v/>
      </c>
      <c r="J274" s="168" t="e">
        <f t="shared" si="29"/>
        <v>#NUM!</v>
      </c>
      <c r="K274" s="168" t="e">
        <f t="shared" si="27"/>
        <v>#NUM!</v>
      </c>
      <c r="L274" s="168"/>
      <c r="M274" s="170">
        <f t="shared" si="28"/>
        <v>0</v>
      </c>
    </row>
    <row r="275" spans="1:13">
      <c r="A275" s="185"/>
      <c r="G275" s="156"/>
      <c r="H275" s="171">
        <v>270</v>
      </c>
      <c r="I275" s="169" t="str">
        <f t="shared" si="26"/>
        <v/>
      </c>
      <c r="J275" s="168" t="e">
        <f t="shared" si="29"/>
        <v>#NUM!</v>
      </c>
      <c r="K275" s="168" t="e">
        <f t="shared" si="27"/>
        <v>#NUM!</v>
      </c>
      <c r="L275" s="168"/>
      <c r="M275" s="170">
        <f t="shared" si="28"/>
        <v>0</v>
      </c>
    </row>
    <row r="276" spans="1:13">
      <c r="A276" s="185"/>
      <c r="G276" s="156"/>
      <c r="H276" s="168">
        <v>271</v>
      </c>
      <c r="I276" s="169" t="str">
        <f t="shared" si="26"/>
        <v/>
      </c>
      <c r="J276" s="168" t="e">
        <f t="shared" si="29"/>
        <v>#NUM!</v>
      </c>
      <c r="K276" s="168" t="e">
        <f t="shared" si="27"/>
        <v>#NUM!</v>
      </c>
      <c r="L276" s="168"/>
      <c r="M276" s="170">
        <f t="shared" si="28"/>
        <v>0</v>
      </c>
    </row>
    <row r="277" spans="1:13">
      <c r="A277" s="185"/>
      <c r="G277" s="156"/>
      <c r="H277" s="171">
        <v>272</v>
      </c>
      <c r="I277" s="169" t="str">
        <f t="shared" si="26"/>
        <v/>
      </c>
      <c r="J277" s="168" t="e">
        <f t="shared" si="29"/>
        <v>#NUM!</v>
      </c>
      <c r="K277" s="168" t="e">
        <f t="shared" si="27"/>
        <v>#NUM!</v>
      </c>
      <c r="L277" s="168"/>
      <c r="M277" s="170">
        <f t="shared" si="28"/>
        <v>0</v>
      </c>
    </row>
    <row r="278" spans="1:13">
      <c r="A278" s="185"/>
      <c r="G278" s="156"/>
      <c r="H278" s="168">
        <v>273</v>
      </c>
      <c r="I278" s="169" t="str">
        <f t="shared" si="26"/>
        <v/>
      </c>
      <c r="J278" s="168" t="e">
        <f t="shared" si="29"/>
        <v>#NUM!</v>
      </c>
      <c r="K278" s="168" t="e">
        <f t="shared" si="27"/>
        <v>#NUM!</v>
      </c>
      <c r="L278" s="168"/>
      <c r="M278" s="170">
        <f t="shared" si="28"/>
        <v>0</v>
      </c>
    </row>
    <row r="279" spans="1:13">
      <c r="A279" s="185"/>
      <c r="G279" s="156"/>
      <c r="H279" s="171">
        <v>274</v>
      </c>
      <c r="I279" s="169" t="str">
        <f t="shared" si="26"/>
        <v/>
      </c>
      <c r="J279" s="168" t="e">
        <f t="shared" si="29"/>
        <v>#NUM!</v>
      </c>
      <c r="K279" s="168" t="e">
        <f t="shared" si="27"/>
        <v>#NUM!</v>
      </c>
      <c r="L279" s="168"/>
      <c r="M279" s="170">
        <f t="shared" si="28"/>
        <v>0</v>
      </c>
    </row>
    <row r="280" spans="1:13">
      <c r="A280" s="185"/>
      <c r="G280" s="156"/>
      <c r="H280" s="168">
        <v>275</v>
      </c>
      <c r="I280" s="169" t="str">
        <f t="shared" si="26"/>
        <v/>
      </c>
      <c r="J280" s="168" t="e">
        <f t="shared" si="29"/>
        <v>#NUM!</v>
      </c>
      <c r="K280" s="168" t="e">
        <f t="shared" si="27"/>
        <v>#NUM!</v>
      </c>
      <c r="L280" s="168"/>
      <c r="M280" s="170">
        <f t="shared" si="28"/>
        <v>0</v>
      </c>
    </row>
    <row r="281" spans="1:13">
      <c r="A281" s="185"/>
      <c r="G281" s="156"/>
      <c r="H281" s="171">
        <v>276</v>
      </c>
      <c r="I281" s="169" t="str">
        <f t="shared" si="26"/>
        <v/>
      </c>
      <c r="J281" s="168" t="e">
        <f t="shared" si="29"/>
        <v>#NUM!</v>
      </c>
      <c r="K281" s="168" t="e">
        <f t="shared" si="27"/>
        <v>#NUM!</v>
      </c>
      <c r="L281" s="168"/>
      <c r="M281" s="170">
        <f t="shared" si="28"/>
        <v>0</v>
      </c>
    </row>
    <row r="282" spans="1:13">
      <c r="A282" s="185"/>
      <c r="G282" s="156"/>
      <c r="H282" s="168">
        <v>277</v>
      </c>
      <c r="I282" s="169" t="str">
        <f t="shared" si="26"/>
        <v/>
      </c>
      <c r="J282" s="168" t="e">
        <f t="shared" si="29"/>
        <v>#NUM!</v>
      </c>
      <c r="K282" s="168" t="e">
        <f t="shared" si="27"/>
        <v>#NUM!</v>
      </c>
      <c r="L282" s="168"/>
      <c r="M282" s="170">
        <f t="shared" si="28"/>
        <v>0</v>
      </c>
    </row>
    <row r="283" spans="1:13">
      <c r="A283" s="185"/>
      <c r="G283" s="156"/>
      <c r="H283" s="171">
        <v>278</v>
      </c>
      <c r="I283" s="169" t="str">
        <f t="shared" si="26"/>
        <v/>
      </c>
      <c r="J283" s="168" t="e">
        <f t="shared" si="29"/>
        <v>#NUM!</v>
      </c>
      <c r="K283" s="168" t="e">
        <f t="shared" si="27"/>
        <v>#NUM!</v>
      </c>
      <c r="L283" s="168"/>
      <c r="M283" s="170">
        <f t="shared" si="28"/>
        <v>0</v>
      </c>
    </row>
    <row r="284" spans="1:13">
      <c r="A284" s="185"/>
      <c r="G284" s="156"/>
      <c r="H284" s="168">
        <v>279</v>
      </c>
      <c r="I284" s="169" t="str">
        <f t="shared" si="26"/>
        <v/>
      </c>
      <c r="J284" s="168" t="e">
        <f t="shared" si="29"/>
        <v>#NUM!</v>
      </c>
      <c r="K284" s="168" t="e">
        <f t="shared" si="27"/>
        <v>#NUM!</v>
      </c>
      <c r="L284" s="168"/>
      <c r="M284" s="170">
        <f t="shared" si="28"/>
        <v>0</v>
      </c>
    </row>
    <row r="285" spans="1:13">
      <c r="A285" s="185"/>
      <c r="G285" s="156"/>
      <c r="H285" s="171">
        <v>280</v>
      </c>
      <c r="I285" s="169" t="str">
        <f t="shared" si="26"/>
        <v/>
      </c>
      <c r="J285" s="168" t="e">
        <f t="shared" si="29"/>
        <v>#NUM!</v>
      </c>
      <c r="K285" s="168" t="e">
        <f t="shared" si="27"/>
        <v>#NUM!</v>
      </c>
      <c r="L285" s="168"/>
      <c r="M285" s="170">
        <f t="shared" si="28"/>
        <v>0</v>
      </c>
    </row>
    <row r="286" spans="1:13">
      <c r="A286" s="185"/>
      <c r="G286" s="156"/>
      <c r="H286" s="168">
        <v>281</v>
      </c>
      <c r="I286" s="169" t="str">
        <f t="shared" si="26"/>
        <v/>
      </c>
      <c r="J286" s="168" t="e">
        <f t="shared" si="29"/>
        <v>#NUM!</v>
      </c>
      <c r="K286" s="168" t="e">
        <f t="shared" si="27"/>
        <v>#NUM!</v>
      </c>
      <c r="L286" s="168"/>
      <c r="M286" s="170">
        <f t="shared" si="28"/>
        <v>0</v>
      </c>
    </row>
    <row r="287" spans="1:13">
      <c r="A287" s="185"/>
      <c r="G287" s="156"/>
      <c r="H287" s="171">
        <v>282</v>
      </c>
      <c r="I287" s="169" t="str">
        <f t="shared" si="26"/>
        <v/>
      </c>
      <c r="J287" s="168" t="e">
        <f t="shared" si="29"/>
        <v>#NUM!</v>
      </c>
      <c r="K287" s="168" t="e">
        <f t="shared" si="27"/>
        <v>#NUM!</v>
      </c>
      <c r="L287" s="168"/>
      <c r="M287" s="170">
        <f t="shared" si="28"/>
        <v>0</v>
      </c>
    </row>
    <row r="288" spans="1:13">
      <c r="A288" s="185"/>
      <c r="G288" s="156"/>
      <c r="H288" s="168">
        <v>283</v>
      </c>
      <c r="I288" s="169" t="str">
        <f t="shared" si="26"/>
        <v/>
      </c>
      <c r="J288" s="168" t="e">
        <f t="shared" si="29"/>
        <v>#NUM!</v>
      </c>
      <c r="K288" s="168" t="e">
        <f t="shared" si="27"/>
        <v>#NUM!</v>
      </c>
      <c r="L288" s="168"/>
      <c r="M288" s="170">
        <f t="shared" si="28"/>
        <v>0</v>
      </c>
    </row>
    <row r="289" spans="1:13">
      <c r="A289" s="185"/>
      <c r="G289" s="156"/>
      <c r="H289" s="171">
        <v>284</v>
      </c>
      <c r="I289" s="169" t="str">
        <f t="shared" si="26"/>
        <v/>
      </c>
      <c r="J289" s="168" t="e">
        <f t="shared" si="29"/>
        <v>#NUM!</v>
      </c>
      <c r="K289" s="168" t="e">
        <f t="shared" si="27"/>
        <v>#NUM!</v>
      </c>
      <c r="L289" s="168"/>
      <c r="M289" s="170">
        <f t="shared" si="28"/>
        <v>0</v>
      </c>
    </row>
    <row r="290" spans="1:13">
      <c r="A290" s="185"/>
      <c r="G290" s="156"/>
      <c r="H290" s="168">
        <v>285</v>
      </c>
      <c r="I290" s="169" t="str">
        <f t="shared" si="26"/>
        <v/>
      </c>
      <c r="J290" s="168" t="e">
        <f t="shared" si="29"/>
        <v>#NUM!</v>
      </c>
      <c r="K290" s="168" t="e">
        <f t="shared" si="27"/>
        <v>#NUM!</v>
      </c>
      <c r="L290" s="168"/>
      <c r="M290" s="170">
        <f t="shared" si="28"/>
        <v>0</v>
      </c>
    </row>
    <row r="291" spans="1:13">
      <c r="A291" s="185"/>
      <c r="G291" s="156"/>
      <c r="H291" s="171">
        <v>286</v>
      </c>
      <c r="I291" s="169" t="str">
        <f t="shared" si="26"/>
        <v/>
      </c>
      <c r="J291" s="168" t="e">
        <f t="shared" si="29"/>
        <v>#NUM!</v>
      </c>
      <c r="K291" s="168" t="e">
        <f t="shared" si="27"/>
        <v>#NUM!</v>
      </c>
      <c r="L291" s="168"/>
      <c r="M291" s="170">
        <f t="shared" si="28"/>
        <v>0</v>
      </c>
    </row>
    <row r="292" spans="1:13">
      <c r="A292" s="185"/>
      <c r="G292" s="156"/>
      <c r="H292" s="168">
        <v>287</v>
      </c>
      <c r="I292" s="169" t="str">
        <f t="shared" si="26"/>
        <v/>
      </c>
      <c r="J292" s="168" t="e">
        <f t="shared" si="29"/>
        <v>#NUM!</v>
      </c>
      <c r="K292" s="168" t="e">
        <f t="shared" si="27"/>
        <v>#NUM!</v>
      </c>
      <c r="L292" s="168"/>
      <c r="M292" s="170">
        <f t="shared" si="28"/>
        <v>0</v>
      </c>
    </row>
    <row r="293" spans="1:13">
      <c r="A293" s="185"/>
      <c r="G293" s="156"/>
      <c r="H293" s="168">
        <v>288</v>
      </c>
      <c r="I293" s="169" t="str">
        <f t="shared" si="26"/>
        <v/>
      </c>
      <c r="J293" s="168" t="e">
        <f t="shared" si="29"/>
        <v>#NUM!</v>
      </c>
      <c r="K293" s="168" t="e">
        <f t="shared" si="27"/>
        <v>#NUM!</v>
      </c>
      <c r="L293" s="168"/>
      <c r="M293" s="170">
        <f t="shared" si="28"/>
        <v>0</v>
      </c>
    </row>
    <row r="294" spans="1:13">
      <c r="A294" s="185"/>
      <c r="G294" s="156"/>
      <c r="H294" s="168">
        <v>289</v>
      </c>
      <c r="I294" s="169" t="str">
        <f t="shared" si="26"/>
        <v/>
      </c>
      <c r="J294" s="168" t="e">
        <f t="shared" si="29"/>
        <v>#NUM!</v>
      </c>
      <c r="K294" s="168" t="e">
        <f t="shared" si="27"/>
        <v>#NUM!</v>
      </c>
      <c r="L294" s="168"/>
      <c r="M294" s="170">
        <f t="shared" si="28"/>
        <v>0</v>
      </c>
    </row>
    <row r="295" spans="1:13">
      <c r="A295" s="185"/>
      <c r="G295" s="156"/>
      <c r="H295" s="168">
        <v>290</v>
      </c>
      <c r="I295" s="169" t="str">
        <f t="shared" si="26"/>
        <v/>
      </c>
      <c r="J295" s="168" t="e">
        <f t="shared" si="29"/>
        <v>#NUM!</v>
      </c>
      <c r="K295" s="168" t="e">
        <f t="shared" si="27"/>
        <v>#NUM!</v>
      </c>
      <c r="L295" s="168"/>
      <c r="M295" s="170">
        <f t="shared" si="28"/>
        <v>0</v>
      </c>
    </row>
    <row r="296" spans="1:13">
      <c r="A296" s="185"/>
      <c r="G296" s="156"/>
      <c r="H296" s="168">
        <v>291</v>
      </c>
      <c r="I296" s="169" t="str">
        <f t="shared" si="26"/>
        <v/>
      </c>
      <c r="J296" s="168" t="e">
        <f t="shared" si="29"/>
        <v>#NUM!</v>
      </c>
      <c r="K296" s="168" t="e">
        <f t="shared" si="27"/>
        <v>#NUM!</v>
      </c>
      <c r="L296" s="168"/>
      <c r="M296" s="170">
        <f t="shared" si="28"/>
        <v>0</v>
      </c>
    </row>
    <row r="297" spans="1:13">
      <c r="A297" s="185"/>
      <c r="G297" s="156"/>
      <c r="H297" s="168">
        <v>292</v>
      </c>
      <c r="I297" s="169" t="str">
        <f t="shared" si="26"/>
        <v/>
      </c>
      <c r="J297" s="168" t="e">
        <f t="shared" si="29"/>
        <v>#NUM!</v>
      </c>
      <c r="K297" s="168" t="e">
        <f t="shared" si="27"/>
        <v>#NUM!</v>
      </c>
      <c r="L297" s="168"/>
      <c r="M297" s="170">
        <f t="shared" si="28"/>
        <v>0</v>
      </c>
    </row>
    <row r="298" spans="1:13">
      <c r="A298" s="185"/>
      <c r="G298" s="156"/>
      <c r="H298" s="168">
        <v>293</v>
      </c>
      <c r="I298" s="169" t="str">
        <f t="shared" si="26"/>
        <v/>
      </c>
      <c r="J298" s="168" t="e">
        <f t="shared" si="29"/>
        <v>#NUM!</v>
      </c>
      <c r="K298" s="168" t="e">
        <f t="shared" si="27"/>
        <v>#NUM!</v>
      </c>
      <c r="L298" s="168"/>
      <c r="M298" s="170">
        <f t="shared" si="28"/>
        <v>0</v>
      </c>
    </row>
    <row r="299" spans="1:13">
      <c r="A299" s="185"/>
      <c r="G299" s="156"/>
      <c r="H299" s="168">
        <v>294</v>
      </c>
      <c r="I299" s="169" t="str">
        <f t="shared" si="26"/>
        <v/>
      </c>
      <c r="J299" s="168" t="e">
        <f t="shared" si="29"/>
        <v>#NUM!</v>
      </c>
      <c r="K299" s="168" t="e">
        <f t="shared" si="27"/>
        <v>#NUM!</v>
      </c>
      <c r="L299" s="168"/>
      <c r="M299" s="170">
        <f t="shared" si="28"/>
        <v>0</v>
      </c>
    </row>
    <row r="300" spans="1:13">
      <c r="A300" s="185"/>
      <c r="G300" s="156"/>
      <c r="H300" s="168">
        <v>295</v>
      </c>
      <c r="I300" s="169" t="str">
        <f t="shared" si="26"/>
        <v/>
      </c>
      <c r="J300" s="168" t="e">
        <f t="shared" si="29"/>
        <v>#NUM!</v>
      </c>
      <c r="K300" s="168" t="e">
        <f t="shared" si="27"/>
        <v>#NUM!</v>
      </c>
      <c r="L300" s="168"/>
      <c r="M300" s="170">
        <f t="shared" si="28"/>
        <v>0</v>
      </c>
    </row>
    <row r="301" spans="1:13">
      <c r="A301" s="185"/>
      <c r="G301" s="156"/>
      <c r="H301" s="168">
        <v>296</v>
      </c>
      <c r="I301" s="169" t="str">
        <f t="shared" si="26"/>
        <v/>
      </c>
      <c r="J301" s="168" t="e">
        <f t="shared" si="29"/>
        <v>#NUM!</v>
      </c>
      <c r="K301" s="168" t="e">
        <f t="shared" si="27"/>
        <v>#NUM!</v>
      </c>
      <c r="L301" s="168"/>
      <c r="M301" s="170">
        <f t="shared" si="28"/>
        <v>0</v>
      </c>
    </row>
    <row r="302" spans="1:13">
      <c r="A302" s="185"/>
      <c r="G302" s="156"/>
      <c r="H302" s="168">
        <v>297</v>
      </c>
      <c r="I302" s="169" t="str">
        <f t="shared" si="26"/>
        <v/>
      </c>
      <c r="J302" s="168" t="e">
        <f t="shared" si="29"/>
        <v>#NUM!</v>
      </c>
      <c r="K302" s="168" t="e">
        <f t="shared" si="27"/>
        <v>#NUM!</v>
      </c>
      <c r="L302" s="168"/>
      <c r="M302" s="170">
        <f t="shared" si="28"/>
        <v>0</v>
      </c>
    </row>
    <row r="303" spans="1:13">
      <c r="A303" s="185"/>
      <c r="G303" s="156"/>
      <c r="H303" s="168">
        <v>298</v>
      </c>
      <c r="I303" s="169" t="str">
        <f t="shared" si="26"/>
        <v/>
      </c>
      <c r="J303" s="168" t="e">
        <f t="shared" si="29"/>
        <v>#NUM!</v>
      </c>
      <c r="K303" s="168" t="e">
        <f t="shared" si="27"/>
        <v>#NUM!</v>
      </c>
      <c r="L303" s="168"/>
      <c r="M303" s="170">
        <f t="shared" si="28"/>
        <v>0</v>
      </c>
    </row>
    <row r="304" spans="1:13">
      <c r="A304" s="185"/>
      <c r="G304" s="156"/>
      <c r="H304" s="168">
        <v>299</v>
      </c>
      <c r="I304" s="169" t="str">
        <f t="shared" si="26"/>
        <v/>
      </c>
      <c r="J304" s="168" t="e">
        <f t="shared" si="29"/>
        <v>#NUM!</v>
      </c>
      <c r="K304" s="168" t="e">
        <f t="shared" si="27"/>
        <v>#NUM!</v>
      </c>
      <c r="L304" s="168"/>
      <c r="M304" s="170">
        <f t="shared" si="28"/>
        <v>0</v>
      </c>
    </row>
    <row r="305" spans="1:16">
      <c r="A305" s="185"/>
      <c r="G305" s="156"/>
      <c r="H305" s="168">
        <v>300</v>
      </c>
      <c r="I305" s="169" t="str">
        <f t="shared" si="26"/>
        <v/>
      </c>
      <c r="J305" s="168" t="e">
        <f t="shared" si="29"/>
        <v>#NUM!</v>
      </c>
      <c r="K305" s="168" t="e">
        <f t="shared" si="27"/>
        <v>#NUM!</v>
      </c>
      <c r="L305" s="168"/>
      <c r="M305" s="170">
        <f t="shared" si="28"/>
        <v>0</v>
      </c>
    </row>
    <row r="306" spans="1:16">
      <c r="A306" s="186"/>
    </row>
    <row r="314" spans="1:16">
      <c r="L314" s="189"/>
      <c r="P314" s="179"/>
    </row>
    <row r="315" spans="1:16">
      <c r="L315" s="189"/>
      <c r="P315" s="179"/>
    </row>
    <row r="316" spans="1:16">
      <c r="L316" s="189"/>
      <c r="P316" s="179"/>
    </row>
    <row r="317" spans="1:16">
      <c r="L317" s="189"/>
      <c r="P317" s="179"/>
    </row>
  </sheetData>
  <conditionalFormatting sqref="J6:K305">
    <cfRule type="cellIs" dxfId="6" priority="1" operator="lessThanOrEqual">
      <formula>0</formula>
    </cfRule>
  </conditionalFormatting>
  <hyperlinks>
    <hyperlink ref="C2" r:id="rId1" xr:uid="{D5CD8398-9E64-41C7-A786-910D267A91BF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9558-5928-4752-AF04-0E8CA3CBC104}">
  <sheetPr>
    <tabColor theme="7" tint="0.79998168889431442"/>
  </sheetPr>
  <dimension ref="A1:AL317"/>
  <sheetViews>
    <sheetView workbookViewId="0">
      <selection activeCell="B83" sqref="B83"/>
    </sheetView>
  </sheetViews>
  <sheetFormatPr defaultColWidth="8.85546875" defaultRowHeight="15"/>
  <cols>
    <col min="1" max="1" width="8" style="233" customWidth="1"/>
    <col min="2" max="2" width="8.28515625" style="233" customWidth="1"/>
    <col min="3" max="3" width="34.7109375" style="233" customWidth="1"/>
    <col min="4" max="4" width="11.28515625" style="233" customWidth="1"/>
    <col min="5" max="6" width="8.85546875" style="233"/>
    <col min="7" max="7" width="0.85546875" style="233" customWidth="1"/>
    <col min="8" max="8" width="8.85546875" style="236"/>
    <col min="9" max="9" width="11" style="236" customWidth="1"/>
    <col min="10" max="10" width="15.28515625" style="236" customWidth="1"/>
    <col min="11" max="11" width="8.7109375" style="236" customWidth="1"/>
    <col min="12" max="12" width="11" style="236" customWidth="1"/>
    <col min="13" max="13" width="12.28515625" style="237" customWidth="1"/>
    <col min="14" max="15" width="13.85546875" style="203" customWidth="1"/>
    <col min="16" max="18" width="8.85546875" style="203"/>
    <col min="19" max="20" width="8.85546875" style="208"/>
    <col min="21" max="21" width="12.140625" style="208" customWidth="1"/>
    <col min="22" max="22" width="27.42578125" style="208" customWidth="1"/>
    <col min="23" max="38" width="8.85546875" style="208"/>
    <col min="39" max="16384" width="8.85546875" style="233"/>
  </cols>
  <sheetData>
    <row r="1" spans="1:36">
      <c r="A1" s="203"/>
      <c r="B1" s="203"/>
      <c r="C1" s="203"/>
      <c r="D1" s="203"/>
      <c r="E1" s="203"/>
      <c r="F1" s="203"/>
      <c r="G1" s="203"/>
      <c r="H1" s="204" t="s">
        <v>40</v>
      </c>
      <c r="I1" s="205" t="s">
        <v>41</v>
      </c>
      <c r="J1" s="205" t="s">
        <v>42</v>
      </c>
      <c r="K1" s="206" t="s">
        <v>272</v>
      </c>
      <c r="L1" s="207"/>
      <c r="M1" s="207"/>
    </row>
    <row r="2" spans="1:36">
      <c r="A2" s="203"/>
      <c r="B2" s="47" t="s">
        <v>44</v>
      </c>
      <c r="C2" s="194" t="s">
        <v>316</v>
      </c>
      <c r="D2" s="200"/>
      <c r="E2" s="6"/>
      <c r="F2" s="6"/>
      <c r="G2" s="6"/>
      <c r="H2" s="209">
        <v>75</v>
      </c>
      <c r="I2" s="210">
        <v>50</v>
      </c>
      <c r="J2" s="210">
        <v>10</v>
      </c>
      <c r="K2" s="211">
        <f>3*H2^(1/3)</f>
        <v>12.651489979526236</v>
      </c>
      <c r="L2" s="207"/>
      <c r="M2" s="207"/>
    </row>
    <row r="3" spans="1:36">
      <c r="A3" s="203"/>
      <c r="B3" s="212" t="s">
        <v>46</v>
      </c>
      <c r="C3" s="201" t="s">
        <v>317</v>
      </c>
      <c r="D3" s="201"/>
      <c r="E3" s="7"/>
      <c r="F3" s="7"/>
      <c r="G3" s="7"/>
      <c r="H3" s="207"/>
      <c r="I3" s="207"/>
      <c r="J3" s="213"/>
      <c r="K3" s="207"/>
      <c r="L3" s="207"/>
      <c r="M3" s="207"/>
    </row>
    <row r="4" spans="1:36" ht="10.15" customHeight="1">
      <c r="A4" s="8"/>
      <c r="B4" s="7"/>
      <c r="C4" s="8"/>
      <c r="D4" s="8"/>
      <c r="E4" s="8"/>
      <c r="F4" s="8"/>
      <c r="G4" s="8"/>
      <c r="H4" s="207"/>
      <c r="I4" s="207"/>
      <c r="J4" s="213"/>
      <c r="K4" s="207"/>
      <c r="L4" s="207"/>
      <c r="M4" s="207"/>
    </row>
    <row r="5" spans="1:36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214" t="s">
        <v>54</v>
      </c>
      <c r="I5" s="215" t="s">
        <v>55</v>
      </c>
      <c r="J5" s="216" t="s">
        <v>96</v>
      </c>
      <c r="K5" s="215" t="s">
        <v>97</v>
      </c>
      <c r="L5" s="215" t="s">
        <v>58</v>
      </c>
      <c r="M5" s="214" t="s">
        <v>59</v>
      </c>
    </row>
    <row r="6" spans="1:36" ht="14.45" customHeight="1">
      <c r="A6" s="86">
        <f>M6</f>
        <v>157.95446993857871</v>
      </c>
      <c r="B6" s="36">
        <f t="shared" ref="B6:B69" si="0">IF(H6&gt;$H$2,"",(ROW()-5))</f>
        <v>1</v>
      </c>
      <c r="C6" s="24" t="s">
        <v>99</v>
      </c>
      <c r="D6" s="24"/>
      <c r="E6" s="24"/>
      <c r="F6" s="24"/>
      <c r="G6" s="8"/>
      <c r="H6" s="217">
        <v>1</v>
      </c>
      <c r="I6" s="218">
        <f t="shared" ref="I6:I69" si="1">IF(H6&lt;$H$2+1,($I$2-($I$2-1)*(LOG(H6)/LOG($H$2))),"")</f>
        <v>50</v>
      </c>
      <c r="J6" s="217">
        <f>INT(LOG($H$2,2))-ROUNDUP(LOG(H6,2),0)+IF(OR($H$2=1,$H$2=2,$H$2=4,$H$2=8,$H$2=16,$H$2=32,$H$2=64,$H$2=128,$H$2=256),0,1)</f>
        <v>7</v>
      </c>
      <c r="K6" s="217">
        <f t="shared" ref="K6:K69" si="2">J6*$J$2</f>
        <v>70</v>
      </c>
      <c r="L6" s="219">
        <f>3*K2</f>
        <v>37.954469938578711</v>
      </c>
      <c r="M6" s="219">
        <f t="shared" ref="M6:M69" si="3">IF(I6&lt;&gt;"",K6+I6+L6,0)</f>
        <v>157.95446993857871</v>
      </c>
    </row>
    <row r="7" spans="1:36" ht="14.45" customHeight="1">
      <c r="A7" s="90">
        <f t="shared" ref="A7:A70" si="4">M7</f>
        <v>127.43631977278542</v>
      </c>
      <c r="B7" s="35">
        <f t="shared" si="0"/>
        <v>2</v>
      </c>
      <c r="C7" s="25" t="s">
        <v>99</v>
      </c>
      <c r="D7" s="25"/>
      <c r="E7" s="25"/>
      <c r="F7" s="25"/>
      <c r="G7" s="8"/>
      <c r="H7" s="220">
        <v>2</v>
      </c>
      <c r="I7" s="221">
        <f t="shared" si="1"/>
        <v>42.133339813732952</v>
      </c>
      <c r="J7" s="220">
        <f t="shared" ref="J7:J70" si="5">INT(LOG($H$2,2))-ROUNDUP(LOG(H7,2),0)+IF(OR($H$2=1,$H$2=2,$H$2=4,$H$2=8,$H$2=16,$H$2=32,$H$2=64,$H$2=128,$H$2=256),0,1)</f>
        <v>6</v>
      </c>
      <c r="K7" s="220">
        <f t="shared" si="2"/>
        <v>60</v>
      </c>
      <c r="L7" s="222">
        <f>2*K2</f>
        <v>25.302979959052472</v>
      </c>
      <c r="M7" s="222">
        <f t="shared" si="3"/>
        <v>127.43631977278542</v>
      </c>
    </row>
    <row r="8" spans="1:36" ht="14.45" customHeight="1">
      <c r="A8" s="86">
        <f t="shared" si="4"/>
        <v>100.18312857837685</v>
      </c>
      <c r="B8" s="36">
        <f t="shared" si="0"/>
        <v>3</v>
      </c>
      <c r="C8" s="24" t="s">
        <v>99</v>
      </c>
      <c r="D8" s="24"/>
      <c r="E8" s="24"/>
      <c r="F8" s="24"/>
      <c r="G8" s="8"/>
      <c r="H8" s="217">
        <v>3</v>
      </c>
      <c r="I8" s="218">
        <f t="shared" si="1"/>
        <v>37.53163859885062</v>
      </c>
      <c r="J8" s="217">
        <f t="shared" si="5"/>
        <v>5</v>
      </c>
      <c r="K8" s="217">
        <f t="shared" si="2"/>
        <v>50</v>
      </c>
      <c r="L8" s="219">
        <f>K2</f>
        <v>12.651489979526236</v>
      </c>
      <c r="M8" s="219">
        <f t="shared" si="3"/>
        <v>100.18312857837685</v>
      </c>
    </row>
    <row r="9" spans="1:36" s="208" customFormat="1" ht="14.45" customHeight="1">
      <c r="A9" s="90">
        <f t="shared" si="4"/>
        <v>100.18312857837685</v>
      </c>
      <c r="B9" s="35">
        <f t="shared" si="0"/>
        <v>4</v>
      </c>
      <c r="C9" s="25" t="s">
        <v>99</v>
      </c>
      <c r="D9" s="25"/>
      <c r="E9" s="25"/>
      <c r="F9" s="25"/>
      <c r="G9" s="8"/>
      <c r="H9" s="220">
        <v>3</v>
      </c>
      <c r="I9" s="221">
        <f t="shared" si="1"/>
        <v>37.53163859885062</v>
      </c>
      <c r="J9" s="220">
        <f t="shared" si="5"/>
        <v>5</v>
      </c>
      <c r="K9" s="220">
        <f t="shared" si="2"/>
        <v>50</v>
      </c>
      <c r="L9" s="222">
        <f>K2</f>
        <v>12.651489979526236</v>
      </c>
      <c r="M9" s="222">
        <f t="shared" si="3"/>
        <v>100.18312857837685</v>
      </c>
      <c r="N9" s="203"/>
      <c r="O9" s="203"/>
      <c r="P9" s="203"/>
      <c r="Q9" s="203"/>
      <c r="R9" s="203"/>
      <c r="V9" s="223"/>
      <c r="Z9" s="224"/>
      <c r="AA9" s="224"/>
      <c r="AG9" s="225"/>
      <c r="AH9" s="208" t="s">
        <v>99</v>
      </c>
      <c r="AI9" s="208">
        <v>23</v>
      </c>
    </row>
    <row r="10" spans="1:36" ht="14.45" customHeight="1">
      <c r="A10" s="86">
        <f t="shared" si="4"/>
        <v>71.734180700574683</v>
      </c>
      <c r="B10" s="36">
        <f t="shared" si="0"/>
        <v>5</v>
      </c>
      <c r="C10" s="24" t="s">
        <v>99</v>
      </c>
      <c r="D10" s="24"/>
      <c r="E10" s="24"/>
      <c r="F10" s="24"/>
      <c r="G10" s="8"/>
      <c r="H10" s="217">
        <v>5</v>
      </c>
      <c r="I10" s="218">
        <f t="shared" si="1"/>
        <v>31.734180700574687</v>
      </c>
      <c r="J10" s="217">
        <f t="shared" si="5"/>
        <v>4</v>
      </c>
      <c r="K10" s="217">
        <f t="shared" si="2"/>
        <v>40</v>
      </c>
      <c r="L10" s="217"/>
      <c r="M10" s="219">
        <f t="shared" si="3"/>
        <v>71.734180700574683</v>
      </c>
      <c r="V10" s="223"/>
      <c r="Z10" s="224"/>
      <c r="AA10" s="224"/>
      <c r="AG10" s="225"/>
      <c r="AH10" s="208" t="s">
        <v>100</v>
      </c>
      <c r="AI10" s="208">
        <v>45</v>
      </c>
    </row>
    <row r="11" spans="1:36" ht="14.45" customHeight="1">
      <c r="A11" s="90">
        <f t="shared" si="4"/>
        <v>69.664978412583565</v>
      </c>
      <c r="B11" s="35">
        <f t="shared" si="0"/>
        <v>6</v>
      </c>
      <c r="C11" s="25" t="s">
        <v>99</v>
      </c>
      <c r="D11" s="25"/>
      <c r="E11" s="25"/>
      <c r="F11" s="25"/>
      <c r="G11" s="8"/>
      <c r="H11" s="220">
        <v>6</v>
      </c>
      <c r="I11" s="221">
        <f t="shared" si="1"/>
        <v>29.664978412583572</v>
      </c>
      <c r="J11" s="220">
        <f t="shared" si="5"/>
        <v>4</v>
      </c>
      <c r="K11" s="220">
        <f t="shared" si="2"/>
        <v>40</v>
      </c>
      <c r="L11" s="220"/>
      <c r="M11" s="222">
        <f t="shared" si="3"/>
        <v>69.664978412583565</v>
      </c>
      <c r="V11" s="226"/>
      <c r="Z11" s="224"/>
      <c r="AA11" s="224"/>
      <c r="AG11" s="225"/>
      <c r="AH11" s="208" t="s">
        <v>101</v>
      </c>
      <c r="AI11" s="208">
        <v>50</v>
      </c>
    </row>
    <row r="12" spans="1:36" ht="14.45" customHeight="1">
      <c r="A12" s="86">
        <f t="shared" si="4"/>
        <v>67.915492805928608</v>
      </c>
      <c r="B12" s="36">
        <f t="shared" si="0"/>
        <v>7</v>
      </c>
      <c r="C12" s="24" t="s">
        <v>99</v>
      </c>
      <c r="D12" s="24"/>
      <c r="E12" s="24"/>
      <c r="F12" s="24"/>
      <c r="G12" s="8"/>
      <c r="H12" s="217">
        <v>7</v>
      </c>
      <c r="I12" s="218">
        <f t="shared" si="1"/>
        <v>27.915492805928615</v>
      </c>
      <c r="J12" s="217">
        <f t="shared" si="5"/>
        <v>4</v>
      </c>
      <c r="K12" s="217">
        <f t="shared" si="2"/>
        <v>40</v>
      </c>
      <c r="L12" s="217"/>
      <c r="M12" s="219">
        <f t="shared" si="3"/>
        <v>67.915492805928608</v>
      </c>
      <c r="Z12" s="224"/>
      <c r="AA12" s="224"/>
      <c r="AG12" s="225"/>
      <c r="AH12" s="208" t="s">
        <v>102</v>
      </c>
      <c r="AI12" s="208">
        <f>AI11-1</f>
        <v>49</v>
      </c>
    </row>
    <row r="13" spans="1:36" ht="14.45" customHeight="1">
      <c r="A13" s="90">
        <f t="shared" si="4"/>
        <v>66.40001944119885</v>
      </c>
      <c r="B13" s="35">
        <f t="shared" si="0"/>
        <v>8</v>
      </c>
      <c r="C13" s="25" t="s">
        <v>99</v>
      </c>
      <c r="D13" s="25"/>
      <c r="E13" s="25"/>
      <c r="F13" s="25"/>
      <c r="G13" s="8"/>
      <c r="H13" s="220">
        <v>8</v>
      </c>
      <c r="I13" s="221">
        <f t="shared" si="1"/>
        <v>26.400019441198854</v>
      </c>
      <c r="J13" s="220">
        <f t="shared" si="5"/>
        <v>4</v>
      </c>
      <c r="K13" s="220">
        <f t="shared" si="2"/>
        <v>40</v>
      </c>
      <c r="L13" s="220"/>
      <c r="M13" s="222">
        <f t="shared" si="3"/>
        <v>66.40001944119885</v>
      </c>
      <c r="X13" s="223"/>
      <c r="AG13" s="225"/>
      <c r="AH13" s="208" t="s">
        <v>104</v>
      </c>
      <c r="AI13" s="208">
        <f>LOG(AI9)</f>
        <v>1.3617278360175928</v>
      </c>
    </row>
    <row r="14" spans="1:36">
      <c r="A14" s="86">
        <f t="shared" si="4"/>
        <v>55.063277197701247</v>
      </c>
      <c r="B14" s="36">
        <f t="shared" si="0"/>
        <v>9</v>
      </c>
      <c r="C14" s="24" t="s">
        <v>99</v>
      </c>
      <c r="D14" s="24"/>
      <c r="E14" s="24"/>
      <c r="F14" s="24"/>
      <c r="G14" s="8"/>
      <c r="H14" s="217">
        <v>9</v>
      </c>
      <c r="I14" s="218">
        <f t="shared" si="1"/>
        <v>25.063277197701247</v>
      </c>
      <c r="J14" s="217">
        <f t="shared" si="5"/>
        <v>3</v>
      </c>
      <c r="K14" s="217">
        <f t="shared" si="2"/>
        <v>30</v>
      </c>
      <c r="L14" s="217"/>
      <c r="M14" s="219">
        <f t="shared" si="3"/>
        <v>55.063277197701247</v>
      </c>
      <c r="X14" s="227"/>
      <c r="Z14" s="224"/>
      <c r="AA14" s="224"/>
      <c r="AG14" s="225"/>
      <c r="AH14" s="208" t="s">
        <v>105</v>
      </c>
      <c r="AI14" s="208">
        <f>LOG(AI10)</f>
        <v>1.6532125137753437</v>
      </c>
    </row>
    <row r="15" spans="1:36">
      <c r="A15" s="90">
        <f t="shared" si="4"/>
        <v>53.867520514307643</v>
      </c>
      <c r="B15" s="35">
        <f t="shared" si="0"/>
        <v>10</v>
      </c>
      <c r="C15" s="25" t="s">
        <v>99</v>
      </c>
      <c r="D15" s="25"/>
      <c r="E15" s="25"/>
      <c r="F15" s="25"/>
      <c r="G15" s="8"/>
      <c r="H15" s="220">
        <v>10</v>
      </c>
      <c r="I15" s="221">
        <f t="shared" si="1"/>
        <v>23.867520514307643</v>
      </c>
      <c r="J15" s="220">
        <f t="shared" si="5"/>
        <v>3</v>
      </c>
      <c r="K15" s="220">
        <f t="shared" si="2"/>
        <v>30</v>
      </c>
      <c r="L15" s="220"/>
      <c r="M15" s="222">
        <f t="shared" si="3"/>
        <v>53.867520514307643</v>
      </c>
      <c r="X15" s="223"/>
      <c r="Z15" s="224"/>
      <c r="AA15" s="224"/>
    </row>
    <row r="16" spans="1:36">
      <c r="A16" s="86">
        <f t="shared" si="4"/>
        <v>52.785827018552602</v>
      </c>
      <c r="B16" s="36">
        <f t="shared" si="0"/>
        <v>11</v>
      </c>
      <c r="C16" s="24" t="s">
        <v>99</v>
      </c>
      <c r="D16" s="24"/>
      <c r="E16" s="24"/>
      <c r="F16" s="24"/>
      <c r="G16" s="8"/>
      <c r="H16" s="217">
        <v>11</v>
      </c>
      <c r="I16" s="218">
        <f t="shared" si="1"/>
        <v>22.785827018552602</v>
      </c>
      <c r="J16" s="217">
        <f t="shared" si="5"/>
        <v>3</v>
      </c>
      <c r="K16" s="217">
        <f t="shared" si="2"/>
        <v>30</v>
      </c>
      <c r="L16" s="217"/>
      <c r="M16" s="219">
        <f t="shared" si="3"/>
        <v>52.785827018552602</v>
      </c>
      <c r="R16" s="228"/>
      <c r="Z16" s="224"/>
      <c r="AA16" s="224"/>
      <c r="AH16" s="229" t="s">
        <v>107</v>
      </c>
      <c r="AI16" s="208">
        <f>AI11-AI12*AI13/AI14</f>
        <v>9.6393909380186855</v>
      </c>
      <c r="AJ16" s="208" t="s">
        <v>108</v>
      </c>
    </row>
    <row r="17" spans="1:19">
      <c r="A17" s="90">
        <f t="shared" si="4"/>
        <v>51.798318226316525</v>
      </c>
      <c r="B17" s="35">
        <f t="shared" si="0"/>
        <v>12</v>
      </c>
      <c r="C17" s="25" t="s">
        <v>99</v>
      </c>
      <c r="D17" s="25"/>
      <c r="E17" s="25"/>
      <c r="F17" s="25"/>
      <c r="G17" s="8"/>
      <c r="H17" s="220">
        <v>12</v>
      </c>
      <c r="I17" s="221">
        <f t="shared" si="1"/>
        <v>21.798318226316525</v>
      </c>
      <c r="J17" s="220">
        <f t="shared" si="5"/>
        <v>3</v>
      </c>
      <c r="K17" s="220">
        <f t="shared" si="2"/>
        <v>30</v>
      </c>
      <c r="L17" s="220"/>
      <c r="M17" s="222">
        <f t="shared" si="3"/>
        <v>51.798318226316525</v>
      </c>
    </row>
    <row r="18" spans="1:19">
      <c r="A18" s="86">
        <f t="shared" si="4"/>
        <v>50.889898197618209</v>
      </c>
      <c r="B18" s="36">
        <f t="shared" si="0"/>
        <v>13</v>
      </c>
      <c r="C18" s="24" t="s">
        <v>99</v>
      </c>
      <c r="D18" s="24"/>
      <c r="E18" s="24"/>
      <c r="F18" s="24"/>
      <c r="G18" s="8"/>
      <c r="H18" s="217">
        <v>13</v>
      </c>
      <c r="I18" s="218">
        <f t="shared" si="1"/>
        <v>20.889898197618212</v>
      </c>
      <c r="J18" s="217">
        <f t="shared" si="5"/>
        <v>3</v>
      </c>
      <c r="K18" s="217">
        <f t="shared" si="2"/>
        <v>30</v>
      </c>
      <c r="L18" s="217"/>
      <c r="M18" s="219">
        <f t="shared" si="3"/>
        <v>50.889898197618209</v>
      </c>
    </row>
    <row r="19" spans="1:19">
      <c r="A19" s="90">
        <f t="shared" si="4"/>
        <v>50.048832619661567</v>
      </c>
      <c r="B19" s="35">
        <f t="shared" si="0"/>
        <v>14</v>
      </c>
      <c r="C19" s="25" t="s">
        <v>99</v>
      </c>
      <c r="D19" s="25"/>
      <c r="E19" s="25"/>
      <c r="F19" s="25"/>
      <c r="G19" s="8"/>
      <c r="H19" s="220">
        <v>14</v>
      </c>
      <c r="I19" s="221">
        <f t="shared" si="1"/>
        <v>20.048832619661564</v>
      </c>
      <c r="J19" s="220">
        <f t="shared" si="5"/>
        <v>3</v>
      </c>
      <c r="K19" s="220">
        <f t="shared" si="2"/>
        <v>30</v>
      </c>
      <c r="L19" s="220"/>
      <c r="M19" s="222">
        <f t="shared" si="3"/>
        <v>50.048832619661567</v>
      </c>
    </row>
    <row r="20" spans="1:19">
      <c r="A20" s="86">
        <f t="shared" si="4"/>
        <v>49.265819299425303</v>
      </c>
      <c r="B20" s="36">
        <f t="shared" si="0"/>
        <v>15</v>
      </c>
      <c r="C20" s="24" t="s">
        <v>99</v>
      </c>
      <c r="D20" s="24"/>
      <c r="E20" s="24"/>
      <c r="F20" s="24"/>
      <c r="G20" s="8"/>
      <c r="H20" s="217">
        <v>15</v>
      </c>
      <c r="I20" s="218">
        <f t="shared" si="1"/>
        <v>19.265819299425306</v>
      </c>
      <c r="J20" s="217">
        <f t="shared" si="5"/>
        <v>3</v>
      </c>
      <c r="K20" s="217">
        <f t="shared" si="2"/>
        <v>30</v>
      </c>
      <c r="L20" s="217"/>
      <c r="M20" s="219">
        <f t="shared" si="3"/>
        <v>49.265819299425303</v>
      </c>
      <c r="R20" s="230"/>
      <c r="S20" s="231"/>
    </row>
    <row r="21" spans="1:19">
      <c r="A21" s="90">
        <f t="shared" si="4"/>
        <v>48.53335925493181</v>
      </c>
      <c r="B21" s="35">
        <f t="shared" si="0"/>
        <v>16</v>
      </c>
      <c r="C21" s="25" t="s">
        <v>99</v>
      </c>
      <c r="D21" s="25"/>
      <c r="E21" s="25"/>
      <c r="F21" s="25"/>
      <c r="G21" s="8"/>
      <c r="H21" s="220">
        <v>16</v>
      </c>
      <c r="I21" s="221">
        <f t="shared" si="1"/>
        <v>18.533359254931806</v>
      </c>
      <c r="J21" s="220">
        <f t="shared" si="5"/>
        <v>3</v>
      </c>
      <c r="K21" s="220">
        <f t="shared" si="2"/>
        <v>30</v>
      </c>
      <c r="L21" s="220"/>
      <c r="M21" s="222">
        <f t="shared" si="3"/>
        <v>48.53335925493181</v>
      </c>
    </row>
    <row r="22" spans="1:19">
      <c r="A22" s="86">
        <f t="shared" si="4"/>
        <v>37.845318803889967</v>
      </c>
      <c r="B22" s="36">
        <f t="shared" si="0"/>
        <v>17</v>
      </c>
      <c r="C22" s="24" t="s">
        <v>99</v>
      </c>
      <c r="D22" s="24"/>
      <c r="E22" s="24"/>
      <c r="F22" s="24"/>
      <c r="G22" s="8"/>
      <c r="H22" s="217">
        <v>17</v>
      </c>
      <c r="I22" s="218">
        <f t="shared" si="1"/>
        <v>17.845318803889967</v>
      </c>
      <c r="J22" s="217">
        <f t="shared" si="5"/>
        <v>2</v>
      </c>
      <c r="K22" s="217">
        <f t="shared" si="2"/>
        <v>20</v>
      </c>
      <c r="L22" s="217"/>
      <c r="M22" s="219">
        <f t="shared" si="3"/>
        <v>37.845318803889967</v>
      </c>
    </row>
    <row r="23" spans="1:19">
      <c r="A23" s="90">
        <f t="shared" si="4"/>
        <v>37.196617011434199</v>
      </c>
      <c r="B23" s="35">
        <f t="shared" si="0"/>
        <v>18</v>
      </c>
      <c r="C23" s="25" t="s">
        <v>99</v>
      </c>
      <c r="D23" s="25"/>
      <c r="E23" s="25"/>
      <c r="F23" s="25"/>
      <c r="G23" s="8"/>
      <c r="H23" s="220">
        <v>18</v>
      </c>
      <c r="I23" s="221">
        <f t="shared" si="1"/>
        <v>17.196617011434199</v>
      </c>
      <c r="J23" s="220">
        <f t="shared" si="5"/>
        <v>2</v>
      </c>
      <c r="K23" s="220">
        <f t="shared" si="2"/>
        <v>20</v>
      </c>
      <c r="L23" s="220"/>
      <c r="M23" s="222">
        <f t="shared" si="3"/>
        <v>37.196617011434199</v>
      </c>
    </row>
    <row r="24" spans="1:19">
      <c r="A24" s="86">
        <f t="shared" si="4"/>
        <v>36.582997755844964</v>
      </c>
      <c r="B24" s="36">
        <f t="shared" si="0"/>
        <v>19</v>
      </c>
      <c r="C24" s="24" t="s">
        <v>99</v>
      </c>
      <c r="D24" s="24"/>
      <c r="E24" s="24"/>
      <c r="F24" s="24"/>
      <c r="G24" s="8"/>
      <c r="H24" s="217">
        <v>19</v>
      </c>
      <c r="I24" s="218">
        <f t="shared" si="1"/>
        <v>16.582997755844964</v>
      </c>
      <c r="J24" s="217">
        <f t="shared" si="5"/>
        <v>2</v>
      </c>
      <c r="K24" s="217">
        <f t="shared" si="2"/>
        <v>20</v>
      </c>
      <c r="L24" s="217"/>
      <c r="M24" s="219">
        <f t="shared" si="3"/>
        <v>36.582997755844964</v>
      </c>
      <c r="R24" s="230"/>
      <c r="S24" s="231"/>
    </row>
    <row r="25" spans="1:19">
      <c r="A25" s="90">
        <f t="shared" si="4"/>
        <v>36.000860328040595</v>
      </c>
      <c r="B25" s="35">
        <f t="shared" si="0"/>
        <v>20</v>
      </c>
      <c r="C25" s="25" t="s">
        <v>99</v>
      </c>
      <c r="D25" s="25"/>
      <c r="E25" s="25"/>
      <c r="F25" s="25"/>
      <c r="G25" s="8"/>
      <c r="H25" s="220">
        <v>20</v>
      </c>
      <c r="I25" s="221">
        <f t="shared" si="1"/>
        <v>16.000860328040595</v>
      </c>
      <c r="J25" s="220">
        <f t="shared" si="5"/>
        <v>2</v>
      </c>
      <c r="K25" s="220">
        <f t="shared" si="2"/>
        <v>20</v>
      </c>
      <c r="L25" s="220"/>
      <c r="M25" s="222">
        <f t="shared" si="3"/>
        <v>36.000860328040595</v>
      </c>
    </row>
    <row r="26" spans="1:19">
      <c r="A26" s="86">
        <f t="shared" si="4"/>
        <v>35.447131404779235</v>
      </c>
      <c r="B26" s="36">
        <f t="shared" si="0"/>
        <v>21</v>
      </c>
      <c r="C26" s="24" t="s">
        <v>99</v>
      </c>
      <c r="D26" s="24"/>
      <c r="E26" s="24"/>
      <c r="F26" s="24"/>
      <c r="G26" s="8"/>
      <c r="H26" s="217">
        <v>21</v>
      </c>
      <c r="I26" s="218">
        <f t="shared" si="1"/>
        <v>15.447131404779235</v>
      </c>
      <c r="J26" s="217">
        <f t="shared" si="5"/>
        <v>2</v>
      </c>
      <c r="K26" s="217">
        <f t="shared" si="2"/>
        <v>20</v>
      </c>
      <c r="L26" s="217"/>
      <c r="M26" s="219">
        <f t="shared" si="3"/>
        <v>35.447131404779235</v>
      </c>
    </row>
    <row r="27" spans="1:19">
      <c r="A27" s="90">
        <f t="shared" si="4"/>
        <v>34.919166832285555</v>
      </c>
      <c r="B27" s="35">
        <f t="shared" si="0"/>
        <v>22</v>
      </c>
      <c r="C27" s="25" t="s">
        <v>99</v>
      </c>
      <c r="D27" s="25"/>
      <c r="E27" s="25"/>
      <c r="F27" s="25"/>
      <c r="G27" s="8"/>
      <c r="H27" s="220">
        <v>22</v>
      </c>
      <c r="I27" s="221">
        <f t="shared" si="1"/>
        <v>14.919166832285555</v>
      </c>
      <c r="J27" s="220">
        <f t="shared" si="5"/>
        <v>2</v>
      </c>
      <c r="K27" s="220">
        <f t="shared" si="2"/>
        <v>20</v>
      </c>
      <c r="L27" s="220"/>
      <c r="M27" s="222">
        <f t="shared" si="3"/>
        <v>34.919166832285555</v>
      </c>
    </row>
    <row r="28" spans="1:19">
      <c r="A28" s="86">
        <f t="shared" si="4"/>
        <v>34.414675260174008</v>
      </c>
      <c r="B28" s="36">
        <f t="shared" si="0"/>
        <v>23</v>
      </c>
      <c r="C28" s="24" t="s">
        <v>99</v>
      </c>
      <c r="D28" s="24"/>
      <c r="E28" s="24"/>
      <c r="F28" s="24"/>
      <c r="G28" s="8"/>
      <c r="H28" s="217">
        <v>23</v>
      </c>
      <c r="I28" s="218">
        <f t="shared" si="1"/>
        <v>14.414675260174008</v>
      </c>
      <c r="J28" s="217">
        <f t="shared" si="5"/>
        <v>2</v>
      </c>
      <c r="K28" s="217">
        <f t="shared" si="2"/>
        <v>20</v>
      </c>
      <c r="L28" s="217"/>
      <c r="M28" s="219">
        <f t="shared" si="3"/>
        <v>34.414675260174008</v>
      </c>
      <c r="R28" s="230"/>
      <c r="S28" s="231"/>
    </row>
    <row r="29" spans="1:19">
      <c r="A29" s="90">
        <f t="shared" si="4"/>
        <v>33.931658040049477</v>
      </c>
      <c r="B29" s="35">
        <f t="shared" si="0"/>
        <v>24</v>
      </c>
      <c r="C29" s="25" t="s">
        <v>99</v>
      </c>
      <c r="D29" s="25"/>
      <c r="E29" s="25"/>
      <c r="F29" s="25"/>
      <c r="G29" s="203"/>
      <c r="H29" s="220">
        <v>24</v>
      </c>
      <c r="I29" s="221">
        <f t="shared" si="1"/>
        <v>13.931658040049477</v>
      </c>
      <c r="J29" s="220">
        <f t="shared" si="5"/>
        <v>2</v>
      </c>
      <c r="K29" s="220">
        <f t="shared" si="2"/>
        <v>20</v>
      </c>
      <c r="L29" s="220"/>
      <c r="M29" s="222">
        <f t="shared" si="3"/>
        <v>33.931658040049477</v>
      </c>
    </row>
    <row r="30" spans="1:19">
      <c r="A30" s="86">
        <f t="shared" si="4"/>
        <v>33.468361401149373</v>
      </c>
      <c r="B30" s="36">
        <f t="shared" si="0"/>
        <v>25</v>
      </c>
      <c r="C30" s="24" t="s">
        <v>99</v>
      </c>
      <c r="D30" s="24"/>
      <c r="E30" s="24"/>
      <c r="F30" s="24"/>
      <c r="G30" s="203"/>
      <c r="H30" s="217">
        <v>25</v>
      </c>
      <c r="I30" s="218">
        <f t="shared" si="1"/>
        <v>13.468361401149373</v>
      </c>
      <c r="J30" s="217">
        <f t="shared" si="5"/>
        <v>2</v>
      </c>
      <c r="K30" s="217">
        <f t="shared" si="2"/>
        <v>20</v>
      </c>
      <c r="L30" s="217"/>
      <c r="M30" s="219">
        <f t="shared" si="3"/>
        <v>33.468361401149373</v>
      </c>
    </row>
    <row r="31" spans="1:19">
      <c r="A31" s="90">
        <f t="shared" si="4"/>
        <v>33.023238011351168</v>
      </c>
      <c r="B31" s="35">
        <f t="shared" si="0"/>
        <v>26</v>
      </c>
      <c r="C31" s="25" t="s">
        <v>99</v>
      </c>
      <c r="D31" s="25"/>
      <c r="E31" s="25"/>
      <c r="F31" s="25"/>
      <c r="G31" s="203"/>
      <c r="H31" s="220">
        <v>26</v>
      </c>
      <c r="I31" s="221">
        <f t="shared" si="1"/>
        <v>13.023238011351168</v>
      </c>
      <c r="J31" s="220">
        <f t="shared" si="5"/>
        <v>2</v>
      </c>
      <c r="K31" s="220">
        <f t="shared" si="2"/>
        <v>20</v>
      </c>
      <c r="L31" s="220"/>
      <c r="M31" s="222">
        <f t="shared" si="3"/>
        <v>33.023238011351168</v>
      </c>
    </row>
    <row r="32" spans="1:19">
      <c r="A32" s="86">
        <f t="shared" si="4"/>
        <v>32.594915796551867</v>
      </c>
      <c r="B32" s="36">
        <f t="shared" si="0"/>
        <v>27</v>
      </c>
      <c r="C32" s="24" t="s">
        <v>99</v>
      </c>
      <c r="D32" s="24"/>
      <c r="E32" s="24"/>
      <c r="F32" s="24"/>
      <c r="G32" s="203"/>
      <c r="H32" s="217">
        <v>27</v>
      </c>
      <c r="I32" s="218">
        <f t="shared" si="1"/>
        <v>12.594915796551867</v>
      </c>
      <c r="J32" s="217">
        <f t="shared" si="5"/>
        <v>2</v>
      </c>
      <c r="K32" s="217">
        <f t="shared" si="2"/>
        <v>20</v>
      </c>
      <c r="L32" s="217"/>
      <c r="M32" s="219">
        <f t="shared" si="3"/>
        <v>32.594915796551867</v>
      </c>
      <c r="R32" s="230"/>
      <c r="S32" s="231"/>
    </row>
    <row r="33" spans="1:19">
      <c r="A33" s="90">
        <f t="shared" si="4"/>
        <v>32.18217243339452</v>
      </c>
      <c r="B33" s="35">
        <f t="shared" si="0"/>
        <v>28</v>
      </c>
      <c r="C33" s="25" t="s">
        <v>99</v>
      </c>
      <c r="D33" s="25"/>
      <c r="E33" s="25"/>
      <c r="F33" s="25"/>
      <c r="G33" s="203"/>
      <c r="H33" s="220">
        <v>28</v>
      </c>
      <c r="I33" s="221">
        <f t="shared" si="1"/>
        <v>12.18217243339452</v>
      </c>
      <c r="J33" s="220">
        <f t="shared" si="5"/>
        <v>2</v>
      </c>
      <c r="K33" s="220">
        <f t="shared" si="2"/>
        <v>20</v>
      </c>
      <c r="L33" s="220"/>
      <c r="M33" s="222">
        <f t="shared" si="3"/>
        <v>32.18217243339452</v>
      </c>
    </row>
    <row r="34" spans="1:19">
      <c r="A34" s="86">
        <f t="shared" si="4"/>
        <v>31.78391431998795</v>
      </c>
      <c r="B34" s="36">
        <f t="shared" si="0"/>
        <v>29</v>
      </c>
      <c r="C34" s="24" t="s">
        <v>99</v>
      </c>
      <c r="D34" s="24"/>
      <c r="E34" s="24"/>
      <c r="F34" s="24"/>
      <c r="G34" s="203"/>
      <c r="H34" s="217">
        <v>29</v>
      </c>
      <c r="I34" s="218">
        <f t="shared" si="1"/>
        <v>11.78391431998795</v>
      </c>
      <c r="J34" s="217">
        <f t="shared" si="5"/>
        <v>2</v>
      </c>
      <c r="K34" s="217">
        <f t="shared" si="2"/>
        <v>20</v>
      </c>
      <c r="L34" s="217"/>
      <c r="M34" s="219">
        <f t="shared" si="3"/>
        <v>31.78391431998795</v>
      </c>
    </row>
    <row r="35" spans="1:19">
      <c r="A35" s="90">
        <f t="shared" si="4"/>
        <v>31.399159113158269</v>
      </c>
      <c r="B35" s="35">
        <f t="shared" si="0"/>
        <v>30</v>
      </c>
      <c r="C35" s="25" t="s">
        <v>99</v>
      </c>
      <c r="D35" s="25"/>
      <c r="E35" s="25"/>
      <c r="F35" s="25"/>
      <c r="G35" s="203"/>
      <c r="H35" s="220">
        <v>30</v>
      </c>
      <c r="I35" s="221">
        <f t="shared" si="1"/>
        <v>11.399159113158269</v>
      </c>
      <c r="J35" s="220">
        <f t="shared" si="5"/>
        <v>2</v>
      </c>
      <c r="K35" s="220">
        <f t="shared" si="2"/>
        <v>20</v>
      </c>
      <c r="L35" s="220"/>
      <c r="M35" s="222">
        <f t="shared" si="3"/>
        <v>31.399159113158269</v>
      </c>
    </row>
    <row r="36" spans="1:19">
      <c r="A36" s="86">
        <f t="shared" si="4"/>
        <v>31.02702113012846</v>
      </c>
      <c r="B36" s="36">
        <f t="shared" si="0"/>
        <v>31</v>
      </c>
      <c r="C36" s="24" t="s">
        <v>99</v>
      </c>
      <c r="D36" s="24"/>
      <c r="E36" s="24"/>
      <c r="F36" s="24"/>
      <c r="G36" s="203"/>
      <c r="H36" s="217">
        <v>31</v>
      </c>
      <c r="I36" s="218">
        <f t="shared" si="1"/>
        <v>11.02702113012846</v>
      </c>
      <c r="J36" s="217">
        <f t="shared" si="5"/>
        <v>2</v>
      </c>
      <c r="K36" s="217">
        <f t="shared" si="2"/>
        <v>20</v>
      </c>
      <c r="L36" s="217"/>
      <c r="M36" s="219">
        <f t="shared" si="3"/>
        <v>31.02702113012846</v>
      </c>
      <c r="R36" s="230"/>
      <c r="S36" s="231"/>
    </row>
    <row r="37" spans="1:19">
      <c r="A37" s="90">
        <f t="shared" si="4"/>
        <v>30.666699068664755</v>
      </c>
      <c r="B37" s="35">
        <f t="shared" si="0"/>
        <v>32</v>
      </c>
      <c r="C37" s="25" t="s">
        <v>99</v>
      </c>
      <c r="D37" s="25"/>
      <c r="E37" s="25"/>
      <c r="F37" s="25"/>
      <c r="G37" s="203"/>
      <c r="H37" s="220">
        <v>32</v>
      </c>
      <c r="I37" s="221">
        <f t="shared" si="1"/>
        <v>10.666699068664755</v>
      </c>
      <c r="J37" s="220">
        <f t="shared" si="5"/>
        <v>2</v>
      </c>
      <c r="K37" s="220">
        <f t="shared" si="2"/>
        <v>20</v>
      </c>
      <c r="L37" s="220"/>
      <c r="M37" s="222">
        <f t="shared" si="3"/>
        <v>30.666699068664755</v>
      </c>
    </row>
    <row r="38" spans="1:19">
      <c r="A38" s="86">
        <f t="shared" si="4"/>
        <v>20.317465617403229</v>
      </c>
      <c r="B38" s="36">
        <f t="shared" si="0"/>
        <v>33</v>
      </c>
      <c r="C38" s="24" t="s">
        <v>99</v>
      </c>
      <c r="D38" s="24"/>
      <c r="E38" s="24"/>
      <c r="F38" s="24"/>
      <c r="G38" s="203"/>
      <c r="H38" s="217">
        <v>33</v>
      </c>
      <c r="I38" s="218">
        <f t="shared" si="1"/>
        <v>10.317465617403229</v>
      </c>
      <c r="J38" s="217">
        <f t="shared" si="5"/>
        <v>1</v>
      </c>
      <c r="K38" s="217">
        <f t="shared" si="2"/>
        <v>10</v>
      </c>
      <c r="L38" s="217"/>
      <c r="M38" s="219">
        <f t="shared" si="3"/>
        <v>20.317465617403229</v>
      </c>
    </row>
    <row r="39" spans="1:19">
      <c r="A39" s="90">
        <f t="shared" si="4"/>
        <v>19.978658617622912</v>
      </c>
      <c r="B39" s="35">
        <f t="shared" si="0"/>
        <v>34</v>
      </c>
      <c r="C39" s="25" t="s">
        <v>99</v>
      </c>
      <c r="D39" s="25"/>
      <c r="E39" s="25"/>
      <c r="F39" s="25"/>
      <c r="G39" s="203"/>
      <c r="H39" s="220">
        <v>34</v>
      </c>
      <c r="I39" s="221">
        <f t="shared" si="1"/>
        <v>9.9786586176229122</v>
      </c>
      <c r="J39" s="220">
        <f t="shared" si="5"/>
        <v>1</v>
      </c>
      <c r="K39" s="220">
        <f t="shared" si="2"/>
        <v>10</v>
      </c>
      <c r="L39" s="220"/>
      <c r="M39" s="222">
        <f t="shared" si="3"/>
        <v>19.978658617622912</v>
      </c>
    </row>
    <row r="40" spans="1:19">
      <c r="A40" s="86">
        <f t="shared" si="4"/>
        <v>19.649673506503305</v>
      </c>
      <c r="B40" s="36">
        <f t="shared" si="0"/>
        <v>35</v>
      </c>
      <c r="C40" s="24" t="s">
        <v>99</v>
      </c>
      <c r="D40" s="24"/>
      <c r="E40" s="24"/>
      <c r="F40" s="24"/>
      <c r="G40" s="203"/>
      <c r="H40" s="217">
        <v>35</v>
      </c>
      <c r="I40" s="218">
        <f t="shared" si="1"/>
        <v>9.649673506503305</v>
      </c>
      <c r="J40" s="217">
        <f t="shared" si="5"/>
        <v>1</v>
      </c>
      <c r="K40" s="217">
        <f t="shared" si="2"/>
        <v>10</v>
      </c>
      <c r="L40" s="217"/>
      <c r="M40" s="219">
        <f t="shared" si="3"/>
        <v>19.649673506503305</v>
      </c>
    </row>
    <row r="41" spans="1:19">
      <c r="A41" s="90">
        <f t="shared" si="4"/>
        <v>19.329956825167145</v>
      </c>
      <c r="B41" s="35">
        <f t="shared" si="0"/>
        <v>36</v>
      </c>
      <c r="C41" s="25" t="s">
        <v>99</v>
      </c>
      <c r="D41" s="25"/>
      <c r="E41" s="25"/>
      <c r="F41" s="25"/>
      <c r="G41" s="203"/>
      <c r="H41" s="220">
        <v>36</v>
      </c>
      <c r="I41" s="221">
        <f t="shared" si="1"/>
        <v>9.3299568251671445</v>
      </c>
      <c r="J41" s="220">
        <f t="shared" si="5"/>
        <v>1</v>
      </c>
      <c r="K41" s="220">
        <f t="shared" si="2"/>
        <v>10</v>
      </c>
      <c r="L41" s="220"/>
      <c r="M41" s="222">
        <f t="shared" si="3"/>
        <v>19.329956825167145</v>
      </c>
      <c r="S41" s="232"/>
    </row>
    <row r="42" spans="1:19">
      <c r="A42" s="86">
        <f t="shared" si="4"/>
        <v>19.019000616391864</v>
      </c>
      <c r="B42" s="36">
        <f t="shared" si="0"/>
        <v>37</v>
      </c>
      <c r="C42" s="24" t="s">
        <v>99</v>
      </c>
      <c r="D42" s="24"/>
      <c r="E42" s="24"/>
      <c r="F42" s="24"/>
      <c r="G42" s="203"/>
      <c r="H42" s="217">
        <v>37</v>
      </c>
      <c r="I42" s="218">
        <f t="shared" si="1"/>
        <v>9.0190006163918639</v>
      </c>
      <c r="J42" s="217">
        <f t="shared" si="5"/>
        <v>1</v>
      </c>
      <c r="K42" s="217">
        <f t="shared" si="2"/>
        <v>10</v>
      </c>
      <c r="L42" s="217"/>
      <c r="M42" s="219">
        <f t="shared" si="3"/>
        <v>19.019000616391864</v>
      </c>
    </row>
    <row r="43" spans="1:19">
      <c r="A43" s="90">
        <f t="shared" si="4"/>
        <v>18.716337569577917</v>
      </c>
      <c r="B43" s="35">
        <f t="shared" si="0"/>
        <v>38</v>
      </c>
      <c r="C43" s="25" t="s">
        <v>99</v>
      </c>
      <c r="D43" s="25"/>
      <c r="E43" s="25"/>
      <c r="F43" s="25"/>
      <c r="G43" s="203"/>
      <c r="H43" s="220">
        <v>38</v>
      </c>
      <c r="I43" s="221">
        <f t="shared" si="1"/>
        <v>8.7163375695779166</v>
      </c>
      <c r="J43" s="220">
        <f t="shared" si="5"/>
        <v>1</v>
      </c>
      <c r="K43" s="220">
        <f t="shared" si="2"/>
        <v>10</v>
      </c>
      <c r="L43" s="220"/>
      <c r="M43" s="222">
        <f t="shared" si="3"/>
        <v>18.716337569577917</v>
      </c>
    </row>
    <row r="44" spans="1:19">
      <c r="A44" s="86">
        <f t="shared" si="4"/>
        <v>18.421536796468835</v>
      </c>
      <c r="B44" s="36">
        <f t="shared" si="0"/>
        <v>39</v>
      </c>
      <c r="C44" s="24" t="s">
        <v>99</v>
      </c>
      <c r="D44" s="24"/>
      <c r="E44" s="24"/>
      <c r="F44" s="24"/>
      <c r="G44" s="203"/>
      <c r="H44" s="217">
        <v>39</v>
      </c>
      <c r="I44" s="218">
        <f t="shared" si="1"/>
        <v>8.4215367964688355</v>
      </c>
      <c r="J44" s="217">
        <f t="shared" si="5"/>
        <v>1</v>
      </c>
      <c r="K44" s="217">
        <f t="shared" si="2"/>
        <v>10</v>
      </c>
      <c r="L44" s="217"/>
      <c r="M44" s="219">
        <f t="shared" si="3"/>
        <v>18.421536796468835</v>
      </c>
    </row>
    <row r="45" spans="1:19">
      <c r="A45" s="90">
        <f t="shared" si="4"/>
        <v>18.134200141773547</v>
      </c>
      <c r="B45" s="35">
        <f t="shared" si="0"/>
        <v>40</v>
      </c>
      <c r="C45" s="25" t="s">
        <v>99</v>
      </c>
      <c r="D45" s="25"/>
      <c r="E45" s="25"/>
      <c r="F45" s="25"/>
      <c r="G45" s="203"/>
      <c r="H45" s="220">
        <v>40</v>
      </c>
      <c r="I45" s="221">
        <f t="shared" si="1"/>
        <v>8.1342001417735474</v>
      </c>
      <c r="J45" s="220">
        <f t="shared" si="5"/>
        <v>1</v>
      </c>
      <c r="K45" s="220">
        <f t="shared" si="2"/>
        <v>10</v>
      </c>
      <c r="L45" s="220"/>
      <c r="M45" s="222">
        <f t="shared" si="3"/>
        <v>18.134200141773547</v>
      </c>
    </row>
    <row r="46" spans="1:19">
      <c r="A46" s="86">
        <f t="shared" si="4"/>
        <v>17.853958949415706</v>
      </c>
      <c r="B46" s="36">
        <f t="shared" si="0"/>
        <v>41</v>
      </c>
      <c r="C46" s="24" t="s">
        <v>28</v>
      </c>
      <c r="D46" s="24"/>
      <c r="E46" s="24"/>
      <c r="F46" s="24"/>
      <c r="G46" s="203"/>
      <c r="H46" s="217">
        <v>41</v>
      </c>
      <c r="I46" s="218">
        <f t="shared" si="1"/>
        <v>7.8539589494157056</v>
      </c>
      <c r="J46" s="217">
        <f t="shared" si="5"/>
        <v>1</v>
      </c>
      <c r="K46" s="217">
        <f t="shared" si="2"/>
        <v>10</v>
      </c>
      <c r="L46" s="217"/>
      <c r="M46" s="219">
        <f t="shared" si="3"/>
        <v>17.853958949415706</v>
      </c>
    </row>
    <row r="47" spans="1:19">
      <c r="A47" s="90">
        <f t="shared" si="4"/>
        <v>17.58047121851218</v>
      </c>
      <c r="B47" s="35">
        <f t="shared" si="0"/>
        <v>42</v>
      </c>
      <c r="C47" s="25" t="s">
        <v>99</v>
      </c>
      <c r="D47" s="25"/>
      <c r="E47" s="25"/>
      <c r="F47" s="25"/>
      <c r="G47" s="203"/>
      <c r="H47" s="220">
        <v>42</v>
      </c>
      <c r="I47" s="221">
        <f t="shared" si="1"/>
        <v>7.5804712185121801</v>
      </c>
      <c r="J47" s="220">
        <f t="shared" si="5"/>
        <v>1</v>
      </c>
      <c r="K47" s="220">
        <f t="shared" si="2"/>
        <v>10</v>
      </c>
      <c r="L47" s="220"/>
      <c r="M47" s="222">
        <f t="shared" si="3"/>
        <v>17.58047121851218</v>
      </c>
    </row>
    <row r="48" spans="1:19">
      <c r="A48" s="86">
        <f t="shared" si="4"/>
        <v>17.313419094040874</v>
      </c>
      <c r="B48" s="36">
        <f t="shared" si="0"/>
        <v>43</v>
      </c>
      <c r="C48" s="24" t="s">
        <v>99</v>
      </c>
      <c r="D48" s="24"/>
      <c r="E48" s="24"/>
      <c r="F48" s="24"/>
      <c r="G48" s="203"/>
      <c r="H48" s="217">
        <v>43</v>
      </c>
      <c r="I48" s="218">
        <f t="shared" si="1"/>
        <v>7.3134190940408743</v>
      </c>
      <c r="J48" s="217">
        <f t="shared" si="5"/>
        <v>1</v>
      </c>
      <c r="K48" s="217">
        <f t="shared" si="2"/>
        <v>10</v>
      </c>
      <c r="L48" s="217"/>
      <c r="M48" s="219">
        <f t="shared" si="3"/>
        <v>17.313419094040874</v>
      </c>
    </row>
    <row r="49" spans="1:38">
      <c r="A49" s="90">
        <f t="shared" si="4"/>
        <v>17.052506646018507</v>
      </c>
      <c r="B49" s="35">
        <f t="shared" si="0"/>
        <v>44</v>
      </c>
      <c r="C49" s="25" t="s">
        <v>99</v>
      </c>
      <c r="D49" s="25"/>
      <c r="E49" s="25"/>
      <c r="F49" s="25"/>
      <c r="G49" s="203"/>
      <c r="H49" s="220">
        <v>44</v>
      </c>
      <c r="I49" s="221">
        <f t="shared" si="1"/>
        <v>7.0525066460185073</v>
      </c>
      <c r="J49" s="220">
        <f t="shared" si="5"/>
        <v>1</v>
      </c>
      <c r="K49" s="220">
        <f t="shared" si="2"/>
        <v>10</v>
      </c>
      <c r="L49" s="220"/>
      <c r="M49" s="222">
        <f t="shared" si="3"/>
        <v>17.052506646018507</v>
      </c>
    </row>
    <row r="50" spans="1:38">
      <c r="A50" s="86">
        <f t="shared" si="4"/>
        <v>16.797457898275937</v>
      </c>
      <c r="B50" s="36">
        <f t="shared" si="0"/>
        <v>45</v>
      </c>
      <c r="C50" s="24" t="s">
        <v>99</v>
      </c>
      <c r="D50" s="24"/>
      <c r="E50" s="24"/>
      <c r="F50" s="24"/>
      <c r="G50" s="203"/>
      <c r="H50" s="217">
        <v>45</v>
      </c>
      <c r="I50" s="218">
        <f t="shared" si="1"/>
        <v>6.7974578982759368</v>
      </c>
      <c r="J50" s="217">
        <f t="shared" si="5"/>
        <v>1</v>
      </c>
      <c r="K50" s="217">
        <f t="shared" si="2"/>
        <v>10</v>
      </c>
      <c r="L50" s="217"/>
      <c r="M50" s="219">
        <f t="shared" si="3"/>
        <v>16.797457898275937</v>
      </c>
    </row>
    <row r="51" spans="1:38">
      <c r="A51" s="90">
        <f t="shared" si="4"/>
        <v>16.548015073906953</v>
      </c>
      <c r="B51" s="35">
        <f t="shared" si="0"/>
        <v>46</v>
      </c>
      <c r="C51" s="25" t="s">
        <v>99</v>
      </c>
      <c r="D51" s="25"/>
      <c r="E51" s="25"/>
      <c r="F51" s="25"/>
      <c r="G51" s="203"/>
      <c r="H51" s="220">
        <v>46</v>
      </c>
      <c r="I51" s="221">
        <f t="shared" si="1"/>
        <v>6.5480150739069529</v>
      </c>
      <c r="J51" s="220">
        <f t="shared" si="5"/>
        <v>1</v>
      </c>
      <c r="K51" s="220">
        <f t="shared" si="2"/>
        <v>10</v>
      </c>
      <c r="L51" s="220"/>
      <c r="M51" s="222">
        <f t="shared" si="3"/>
        <v>16.548015073906953</v>
      </c>
    </row>
    <row r="52" spans="1:38">
      <c r="A52" s="86">
        <f t="shared" si="4"/>
        <v>16.303937029424723</v>
      </c>
      <c r="B52" s="36">
        <f t="shared" si="0"/>
        <v>47</v>
      </c>
      <c r="C52" s="24" t="s">
        <v>99</v>
      </c>
      <c r="D52" s="24"/>
      <c r="E52" s="24"/>
      <c r="F52" s="24"/>
      <c r="G52" s="203"/>
      <c r="H52" s="217">
        <v>47</v>
      </c>
      <c r="I52" s="218">
        <f t="shared" si="1"/>
        <v>6.3039370294247234</v>
      </c>
      <c r="J52" s="217">
        <f t="shared" si="5"/>
        <v>1</v>
      </c>
      <c r="K52" s="217">
        <f t="shared" si="2"/>
        <v>10</v>
      </c>
      <c r="L52" s="217"/>
      <c r="M52" s="219">
        <f t="shared" si="3"/>
        <v>16.303937029424723</v>
      </c>
    </row>
    <row r="53" spans="1:38">
      <c r="A53" s="90">
        <f t="shared" si="4"/>
        <v>16.06499785378243</v>
      </c>
      <c r="B53" s="35">
        <f t="shared" si="0"/>
        <v>48</v>
      </c>
      <c r="C53" s="25" t="s">
        <v>99</v>
      </c>
      <c r="D53" s="25"/>
      <c r="E53" s="25"/>
      <c r="F53" s="25"/>
      <c r="G53" s="203"/>
      <c r="H53" s="220">
        <v>48</v>
      </c>
      <c r="I53" s="221">
        <f t="shared" si="1"/>
        <v>6.0649978537824296</v>
      </c>
      <c r="J53" s="220">
        <f t="shared" si="5"/>
        <v>1</v>
      </c>
      <c r="K53" s="220">
        <f t="shared" si="2"/>
        <v>10</v>
      </c>
      <c r="L53" s="220"/>
      <c r="M53" s="222">
        <f t="shared" si="3"/>
        <v>16.06499785378243</v>
      </c>
    </row>
    <row r="54" spans="1:38">
      <c r="A54" s="86">
        <f t="shared" si="4"/>
        <v>15.83098561185723</v>
      </c>
      <c r="B54" s="36">
        <f t="shared" si="0"/>
        <v>49</v>
      </c>
      <c r="C54" s="24" t="s">
        <v>99</v>
      </c>
      <c r="D54" s="24"/>
      <c r="E54" s="24"/>
      <c r="F54" s="24"/>
      <c r="G54" s="203"/>
      <c r="H54" s="217">
        <v>49</v>
      </c>
      <c r="I54" s="218">
        <f t="shared" si="1"/>
        <v>5.8309856118572299</v>
      </c>
      <c r="J54" s="217">
        <f t="shared" si="5"/>
        <v>1</v>
      </c>
      <c r="K54" s="217">
        <f t="shared" si="2"/>
        <v>10</v>
      </c>
      <c r="L54" s="217"/>
      <c r="M54" s="219">
        <f t="shared" si="3"/>
        <v>15.83098561185723</v>
      </c>
    </row>
    <row r="55" spans="1:38">
      <c r="A55" s="90">
        <f t="shared" si="4"/>
        <v>15.601701214882333</v>
      </c>
      <c r="B55" s="35">
        <f t="shared" si="0"/>
        <v>50</v>
      </c>
      <c r="C55" s="25" t="s">
        <v>99</v>
      </c>
      <c r="D55" s="25"/>
      <c r="E55" s="25"/>
      <c r="F55" s="25"/>
      <c r="G55" s="203"/>
      <c r="H55" s="220">
        <v>50</v>
      </c>
      <c r="I55" s="221">
        <f t="shared" si="1"/>
        <v>5.6017012148823326</v>
      </c>
      <c r="J55" s="220">
        <f t="shared" si="5"/>
        <v>1</v>
      </c>
      <c r="K55" s="220">
        <f t="shared" si="2"/>
        <v>10</v>
      </c>
      <c r="L55" s="220"/>
      <c r="M55" s="222">
        <f t="shared" si="3"/>
        <v>15.601701214882333</v>
      </c>
    </row>
    <row r="56" spans="1:38">
      <c r="A56" s="86">
        <f t="shared" si="4"/>
        <v>15.376957402740587</v>
      </c>
      <c r="B56" s="36">
        <f t="shared" si="0"/>
        <v>51</v>
      </c>
      <c r="C56" s="24" t="s">
        <v>99</v>
      </c>
      <c r="D56" s="24"/>
      <c r="E56" s="24"/>
      <c r="F56" s="24"/>
      <c r="G56" s="203"/>
      <c r="H56" s="217">
        <v>51</v>
      </c>
      <c r="I56" s="218">
        <f t="shared" si="1"/>
        <v>5.3769574027405866</v>
      </c>
      <c r="J56" s="217">
        <f t="shared" si="5"/>
        <v>1</v>
      </c>
      <c r="K56" s="217">
        <f t="shared" si="2"/>
        <v>10</v>
      </c>
      <c r="L56" s="217"/>
      <c r="M56" s="219">
        <f t="shared" si="3"/>
        <v>15.376957402740587</v>
      </c>
    </row>
    <row r="57" spans="1:38" s="203" customFormat="1">
      <c r="A57" s="90">
        <f t="shared" si="4"/>
        <v>15.156577825084113</v>
      </c>
      <c r="B57" s="35">
        <f t="shared" si="0"/>
        <v>52</v>
      </c>
      <c r="C57" s="25" t="s">
        <v>99</v>
      </c>
      <c r="D57" s="25"/>
      <c r="E57" s="25"/>
      <c r="F57" s="25"/>
      <c r="H57" s="220">
        <v>52</v>
      </c>
      <c r="I57" s="221">
        <f t="shared" si="1"/>
        <v>5.1565778250841134</v>
      </c>
      <c r="J57" s="220">
        <f t="shared" si="5"/>
        <v>1</v>
      </c>
      <c r="K57" s="220">
        <f t="shared" si="2"/>
        <v>10</v>
      </c>
      <c r="L57" s="220"/>
      <c r="M57" s="222">
        <f t="shared" si="3"/>
        <v>15.156577825084113</v>
      </c>
      <c r="S57" s="208"/>
      <c r="T57" s="208"/>
      <c r="U57" s="208"/>
      <c r="V57" s="208"/>
      <c r="W57" s="208"/>
      <c r="X57" s="208"/>
      <c r="Y57" s="208"/>
      <c r="Z57" s="208"/>
      <c r="AA57" s="208"/>
      <c r="AB57" s="208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</row>
    <row r="58" spans="1:38" s="203" customFormat="1">
      <c r="A58" s="86">
        <f t="shared" si="4"/>
        <v>14.940396209983028</v>
      </c>
      <c r="B58" s="36">
        <f t="shared" si="0"/>
        <v>53</v>
      </c>
      <c r="C58" s="24" t="s">
        <v>99</v>
      </c>
      <c r="D58" s="24"/>
      <c r="E58" s="24"/>
      <c r="F58" s="24"/>
      <c r="H58" s="217">
        <v>53</v>
      </c>
      <c r="I58" s="218">
        <f t="shared" si="1"/>
        <v>4.9403962099830281</v>
      </c>
      <c r="J58" s="217">
        <f t="shared" si="5"/>
        <v>1</v>
      </c>
      <c r="K58" s="217">
        <f t="shared" si="2"/>
        <v>10</v>
      </c>
      <c r="L58" s="217"/>
      <c r="M58" s="219">
        <f t="shared" si="3"/>
        <v>14.940396209983028</v>
      </c>
      <c r="S58" s="208"/>
      <c r="T58" s="208"/>
      <c r="U58" s="208"/>
      <c r="V58" s="208"/>
      <c r="W58" s="208"/>
      <c r="X58" s="208"/>
      <c r="Y58" s="208"/>
      <c r="Z58" s="208"/>
      <c r="AA58" s="208"/>
      <c r="AB58" s="208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</row>
    <row r="59" spans="1:38" s="203" customFormat="1">
      <c r="A59" s="90">
        <f t="shared" si="4"/>
        <v>14.728255610284819</v>
      </c>
      <c r="B59" s="35">
        <f t="shared" si="0"/>
        <v>54</v>
      </c>
      <c r="C59" s="25" t="s">
        <v>99</v>
      </c>
      <c r="D59" s="25"/>
      <c r="E59" s="25"/>
      <c r="F59" s="25"/>
      <c r="H59" s="220">
        <v>54</v>
      </c>
      <c r="I59" s="221">
        <f t="shared" si="1"/>
        <v>4.728255610284819</v>
      </c>
      <c r="J59" s="220">
        <f t="shared" si="5"/>
        <v>1</v>
      </c>
      <c r="K59" s="220">
        <f t="shared" si="2"/>
        <v>10</v>
      </c>
      <c r="L59" s="220"/>
      <c r="M59" s="222">
        <f t="shared" si="3"/>
        <v>14.728255610284819</v>
      </c>
      <c r="S59" s="208"/>
      <c r="T59" s="208"/>
      <c r="U59" s="208"/>
      <c r="V59" s="208"/>
      <c r="W59" s="208"/>
      <c r="X59" s="208"/>
      <c r="Y59" s="208"/>
      <c r="Z59" s="208"/>
      <c r="AA59" s="208"/>
      <c r="AB59" s="208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</row>
    <row r="60" spans="1:38" s="203" customFormat="1">
      <c r="A60" s="86">
        <f t="shared" si="4"/>
        <v>14.520007719127292</v>
      </c>
      <c r="B60" s="36">
        <f t="shared" si="0"/>
        <v>55</v>
      </c>
      <c r="C60" s="24" t="s">
        <v>99</v>
      </c>
      <c r="D60" s="24"/>
      <c r="E60" s="24"/>
      <c r="F60" s="24"/>
      <c r="H60" s="217">
        <v>55</v>
      </c>
      <c r="I60" s="218">
        <f t="shared" si="1"/>
        <v>4.5200077191272925</v>
      </c>
      <c r="J60" s="217">
        <f t="shared" si="5"/>
        <v>1</v>
      </c>
      <c r="K60" s="217">
        <f t="shared" si="2"/>
        <v>10</v>
      </c>
      <c r="L60" s="217"/>
      <c r="M60" s="219">
        <f t="shared" si="3"/>
        <v>14.520007719127292</v>
      </c>
      <c r="S60" s="208"/>
      <c r="T60" s="208"/>
      <c r="U60" s="208"/>
      <c r="V60" s="208"/>
      <c r="W60" s="208"/>
      <c r="X60" s="208"/>
      <c r="Y60" s="208"/>
      <c r="Z60" s="208"/>
      <c r="AA60" s="208"/>
      <c r="AB60" s="208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</row>
    <row r="61" spans="1:38" s="203" customFormat="1">
      <c r="A61" s="90">
        <f t="shared" si="4"/>
        <v>14.315512247127472</v>
      </c>
      <c r="B61" s="35">
        <f t="shared" si="0"/>
        <v>56</v>
      </c>
      <c r="C61" s="25" t="s">
        <v>99</v>
      </c>
      <c r="D61" s="25"/>
      <c r="E61" s="25"/>
      <c r="F61" s="25"/>
      <c r="H61" s="220">
        <v>56</v>
      </c>
      <c r="I61" s="221">
        <f t="shared" si="1"/>
        <v>4.3155122471274723</v>
      </c>
      <c r="J61" s="220">
        <f t="shared" si="5"/>
        <v>1</v>
      </c>
      <c r="K61" s="220">
        <f t="shared" si="2"/>
        <v>10</v>
      </c>
      <c r="L61" s="220"/>
      <c r="M61" s="222">
        <f t="shared" si="3"/>
        <v>14.315512247127472</v>
      </c>
      <c r="S61" s="208"/>
      <c r="T61" s="208"/>
      <c r="U61" s="208"/>
      <c r="V61" s="208"/>
      <c r="W61" s="208"/>
      <c r="X61" s="208"/>
      <c r="Y61" s="208"/>
      <c r="Z61" s="208"/>
      <c r="AA61" s="208"/>
      <c r="AB61" s="208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</row>
    <row r="62" spans="1:38" s="203" customFormat="1">
      <c r="A62" s="86">
        <f t="shared" si="4"/>
        <v>14.114636354695584</v>
      </c>
      <c r="B62" s="36">
        <f t="shared" si="0"/>
        <v>57</v>
      </c>
      <c r="C62" s="24" t="s">
        <v>99</v>
      </c>
      <c r="D62" s="24"/>
      <c r="E62" s="24"/>
      <c r="F62" s="24"/>
      <c r="H62" s="217">
        <v>57</v>
      </c>
      <c r="I62" s="218">
        <f t="shared" si="1"/>
        <v>4.114636354695584</v>
      </c>
      <c r="J62" s="217">
        <f t="shared" si="5"/>
        <v>1</v>
      </c>
      <c r="K62" s="217">
        <f t="shared" si="2"/>
        <v>10</v>
      </c>
      <c r="L62" s="217"/>
      <c r="M62" s="219">
        <f t="shared" si="3"/>
        <v>14.114636354695584</v>
      </c>
      <c r="S62" s="208"/>
      <c r="T62" s="208"/>
      <c r="U62" s="208"/>
      <c r="V62" s="208"/>
      <c r="W62" s="208"/>
      <c r="X62" s="208"/>
      <c r="Y62" s="208"/>
      <c r="Z62" s="208"/>
      <c r="AA62" s="208"/>
      <c r="AB62" s="208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</row>
    <row r="63" spans="1:38" s="203" customFormat="1">
      <c r="A63" s="90">
        <f t="shared" si="4"/>
        <v>13.917254133720903</v>
      </c>
      <c r="B63" s="35">
        <f t="shared" si="0"/>
        <v>58</v>
      </c>
      <c r="C63" s="25" t="s">
        <v>99</v>
      </c>
      <c r="D63" s="25"/>
      <c r="E63" s="25"/>
      <c r="F63" s="25"/>
      <c r="H63" s="220">
        <v>58</v>
      </c>
      <c r="I63" s="221">
        <f t="shared" si="1"/>
        <v>3.9172541337209026</v>
      </c>
      <c r="J63" s="220">
        <f t="shared" si="5"/>
        <v>1</v>
      </c>
      <c r="K63" s="220">
        <f t="shared" si="2"/>
        <v>10</v>
      </c>
      <c r="L63" s="220"/>
      <c r="M63" s="222">
        <f t="shared" si="3"/>
        <v>13.917254133720903</v>
      </c>
      <c r="S63" s="208"/>
      <c r="T63" s="208"/>
      <c r="U63" s="208"/>
      <c r="V63" s="208"/>
      <c r="W63" s="208"/>
      <c r="X63" s="208"/>
      <c r="Y63" s="208"/>
      <c r="Z63" s="208"/>
      <c r="AA63" s="208"/>
      <c r="AB63" s="20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</row>
    <row r="64" spans="1:38" s="203" customFormat="1">
      <c r="A64" s="86">
        <f t="shared" si="4"/>
        <v>13.723246133564615</v>
      </c>
      <c r="B64" s="36">
        <f t="shared" si="0"/>
        <v>59</v>
      </c>
      <c r="C64" s="24" t="s">
        <v>99</v>
      </c>
      <c r="D64" s="24"/>
      <c r="E64" s="24"/>
      <c r="F64" s="24"/>
      <c r="H64" s="217">
        <v>59</v>
      </c>
      <c r="I64" s="218">
        <f t="shared" si="1"/>
        <v>3.723246133564615</v>
      </c>
      <c r="J64" s="217">
        <f t="shared" si="5"/>
        <v>1</v>
      </c>
      <c r="K64" s="217">
        <f t="shared" si="2"/>
        <v>10</v>
      </c>
      <c r="L64" s="217"/>
      <c r="M64" s="219">
        <f t="shared" si="3"/>
        <v>13.723246133564615</v>
      </c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</row>
    <row r="65" spans="1:38" s="203" customFormat="1">
      <c r="A65" s="90">
        <f t="shared" si="4"/>
        <v>13.532498926891215</v>
      </c>
      <c r="B65" s="35">
        <f t="shared" si="0"/>
        <v>60</v>
      </c>
      <c r="C65" s="25" t="s">
        <v>99</v>
      </c>
      <c r="D65" s="25"/>
      <c r="E65" s="25"/>
      <c r="F65" s="25"/>
      <c r="H65" s="220">
        <v>60</v>
      </c>
      <c r="I65" s="221">
        <f t="shared" si="1"/>
        <v>3.5324989268912148</v>
      </c>
      <c r="J65" s="220">
        <f t="shared" si="5"/>
        <v>1</v>
      </c>
      <c r="K65" s="220">
        <f t="shared" si="2"/>
        <v>10</v>
      </c>
      <c r="L65" s="220"/>
      <c r="M65" s="222">
        <f t="shared" si="3"/>
        <v>13.532498926891215</v>
      </c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</row>
    <row r="66" spans="1:38" s="203" customFormat="1">
      <c r="A66" s="86">
        <f t="shared" si="4"/>
        <v>13.344904711386604</v>
      </c>
      <c r="B66" s="36">
        <f t="shared" si="0"/>
        <v>61</v>
      </c>
      <c r="C66" s="24" t="s">
        <v>99</v>
      </c>
      <c r="D66" s="24"/>
      <c r="E66" s="24"/>
      <c r="F66" s="24"/>
      <c r="H66" s="217">
        <v>61</v>
      </c>
      <c r="I66" s="218">
        <f t="shared" si="1"/>
        <v>3.3449047113866044</v>
      </c>
      <c r="J66" s="217">
        <f t="shared" si="5"/>
        <v>1</v>
      </c>
      <c r="K66" s="217">
        <f t="shared" si="2"/>
        <v>10</v>
      </c>
      <c r="L66" s="217"/>
      <c r="M66" s="219">
        <f t="shared" si="3"/>
        <v>13.344904711386604</v>
      </c>
      <c r="S66" s="208"/>
      <c r="T66" s="208"/>
      <c r="U66" s="208"/>
      <c r="V66" s="208"/>
      <c r="W66" s="208"/>
      <c r="X66" s="208"/>
      <c r="Y66" s="208"/>
      <c r="Z66" s="208"/>
      <c r="AA66" s="208"/>
      <c r="AB66" s="208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</row>
    <row r="67" spans="1:38" s="203" customFormat="1">
      <c r="A67" s="90">
        <f t="shared" si="4"/>
        <v>13.160360943861413</v>
      </c>
      <c r="B67" s="35">
        <f t="shared" si="0"/>
        <v>62</v>
      </c>
      <c r="C67" s="25" t="s">
        <v>99</v>
      </c>
      <c r="D67" s="25"/>
      <c r="E67" s="25"/>
      <c r="F67" s="25"/>
      <c r="H67" s="220">
        <v>62</v>
      </c>
      <c r="I67" s="221">
        <f t="shared" si="1"/>
        <v>3.1603609438614129</v>
      </c>
      <c r="J67" s="220">
        <f t="shared" si="5"/>
        <v>1</v>
      </c>
      <c r="K67" s="220">
        <f t="shared" si="2"/>
        <v>10</v>
      </c>
      <c r="L67" s="220"/>
      <c r="M67" s="222">
        <f t="shared" si="3"/>
        <v>13.160360943861413</v>
      </c>
      <c r="S67" s="208"/>
      <c r="T67" s="208"/>
      <c r="U67" s="208"/>
      <c r="V67" s="208"/>
      <c r="W67" s="208"/>
      <c r="X67" s="208"/>
      <c r="Y67" s="208"/>
      <c r="Z67" s="208"/>
      <c r="AA67" s="208"/>
      <c r="AB67" s="208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</row>
    <row r="68" spans="1:38" s="203" customFormat="1">
      <c r="A68" s="86">
        <f t="shared" si="4"/>
        <v>12.978770003629855</v>
      </c>
      <c r="B68" s="36">
        <f t="shared" si="0"/>
        <v>63</v>
      </c>
      <c r="C68" s="24" t="s">
        <v>99</v>
      </c>
      <c r="D68" s="24"/>
      <c r="E68" s="24"/>
      <c r="F68" s="24"/>
      <c r="H68" s="217">
        <v>63</v>
      </c>
      <c r="I68" s="218">
        <f t="shared" si="1"/>
        <v>2.9787700036298546</v>
      </c>
      <c r="J68" s="217">
        <f t="shared" si="5"/>
        <v>1</v>
      </c>
      <c r="K68" s="217">
        <f t="shared" si="2"/>
        <v>10</v>
      </c>
      <c r="L68" s="217"/>
      <c r="M68" s="219">
        <f t="shared" si="3"/>
        <v>12.978770003629855</v>
      </c>
      <c r="S68" s="208"/>
      <c r="T68" s="208"/>
      <c r="U68" s="208"/>
      <c r="V68" s="208"/>
      <c r="W68" s="208"/>
      <c r="X68" s="208"/>
      <c r="Y68" s="208"/>
      <c r="Z68" s="208"/>
      <c r="AA68" s="208"/>
      <c r="AB68" s="208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</row>
    <row r="69" spans="1:38" s="203" customFormat="1">
      <c r="A69" s="90">
        <f t="shared" si="4"/>
        <v>12.800038882397708</v>
      </c>
      <c r="B69" s="35">
        <f t="shared" si="0"/>
        <v>64</v>
      </c>
      <c r="C69" s="25" t="s">
        <v>99</v>
      </c>
      <c r="D69" s="25"/>
      <c r="E69" s="25"/>
      <c r="F69" s="25"/>
      <c r="H69" s="220">
        <v>64</v>
      </c>
      <c r="I69" s="221">
        <f t="shared" si="1"/>
        <v>2.8000388823977076</v>
      </c>
      <c r="J69" s="220">
        <f t="shared" si="5"/>
        <v>1</v>
      </c>
      <c r="K69" s="220">
        <f t="shared" si="2"/>
        <v>10</v>
      </c>
      <c r="L69" s="220"/>
      <c r="M69" s="222">
        <f t="shared" si="3"/>
        <v>12.800038882397708</v>
      </c>
      <c r="S69" s="208"/>
      <c r="T69" s="208"/>
      <c r="U69" s="208"/>
      <c r="V69" s="208"/>
      <c r="W69" s="208"/>
      <c r="X69" s="208"/>
      <c r="Y69" s="208"/>
      <c r="Z69" s="208"/>
      <c r="AA69" s="208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</row>
    <row r="70" spans="1:38" s="203" customFormat="1">
      <c r="A70" s="86">
        <f t="shared" si="4"/>
        <v>2.6240788981929057</v>
      </c>
      <c r="B70" s="36">
        <f t="shared" ref="B70:B133" si="6">IF(H70&gt;$H$2,"",(ROW()-5))</f>
        <v>65</v>
      </c>
      <c r="C70" s="24" t="s">
        <v>99</v>
      </c>
      <c r="D70" s="24"/>
      <c r="E70" s="24"/>
      <c r="F70" s="24"/>
      <c r="H70" s="217">
        <v>65</v>
      </c>
      <c r="I70" s="218">
        <f t="shared" ref="I70:I133" si="7">IF(H70&lt;$H$2+1,($I$2-($I$2-1)*(LOG(H70)/LOG($H$2))),"")</f>
        <v>2.6240788981929057</v>
      </c>
      <c r="J70" s="217">
        <f t="shared" si="5"/>
        <v>0</v>
      </c>
      <c r="K70" s="217">
        <f t="shared" ref="K70:K133" si="8">J70*$J$2</f>
        <v>0</v>
      </c>
      <c r="L70" s="217"/>
      <c r="M70" s="219">
        <f t="shared" ref="M70:M133" si="9">IF(I70&lt;&gt;"",K70+I70+L70,0)</f>
        <v>2.6240788981929057</v>
      </c>
      <c r="S70" s="208"/>
      <c r="T70" s="208"/>
      <c r="U70" s="208"/>
      <c r="V70" s="208"/>
      <c r="W70" s="208"/>
      <c r="X70" s="208"/>
      <c r="Y70" s="208"/>
      <c r="Z70" s="208"/>
      <c r="AA70" s="208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</row>
    <row r="71" spans="1:38" s="203" customFormat="1">
      <c r="A71" s="90">
        <f t="shared" ref="A71:A134" si="10">M71</f>
        <v>2.4508054311361747</v>
      </c>
      <c r="B71" s="35">
        <f t="shared" si="6"/>
        <v>66</v>
      </c>
      <c r="C71" s="25" t="s">
        <v>99</v>
      </c>
      <c r="D71" s="25"/>
      <c r="E71" s="25"/>
      <c r="F71" s="25"/>
      <c r="H71" s="220">
        <v>66</v>
      </c>
      <c r="I71" s="221">
        <f t="shared" si="7"/>
        <v>2.4508054311361747</v>
      </c>
      <c r="J71" s="220">
        <f t="shared" ref="J71:J134" si="11">INT(LOG($H$2,2))-ROUNDUP(LOG(H71,2),0)+IF(OR($H$2=1,$H$2=2,$H$2=4,$H$2=8,$H$2=16,$H$2=32,$H$2=64,$H$2=128,$H$2=256),0,1)</f>
        <v>0</v>
      </c>
      <c r="K71" s="220">
        <f t="shared" si="8"/>
        <v>0</v>
      </c>
      <c r="L71" s="220"/>
      <c r="M71" s="222">
        <f t="shared" si="9"/>
        <v>2.4508054311361747</v>
      </c>
      <c r="S71" s="208"/>
      <c r="T71" s="208"/>
      <c r="U71" s="208"/>
      <c r="V71" s="208"/>
      <c r="W71" s="208"/>
      <c r="X71" s="208"/>
      <c r="Y71" s="208"/>
      <c r="Z71" s="208"/>
      <c r="AA71" s="208"/>
      <c r="AB71" s="208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</row>
    <row r="72" spans="1:38" s="203" customFormat="1">
      <c r="A72" s="86">
        <f t="shared" si="10"/>
        <v>2.28013767908093</v>
      </c>
      <c r="B72" s="36">
        <f t="shared" si="6"/>
        <v>67</v>
      </c>
      <c r="C72" s="24" t="s">
        <v>99</v>
      </c>
      <c r="D72" s="24"/>
      <c r="E72" s="24"/>
      <c r="F72" s="24"/>
      <c r="H72" s="217">
        <v>67</v>
      </c>
      <c r="I72" s="218">
        <f t="shared" si="7"/>
        <v>2.28013767908093</v>
      </c>
      <c r="J72" s="217">
        <f t="shared" si="11"/>
        <v>0</v>
      </c>
      <c r="K72" s="217">
        <f t="shared" si="8"/>
        <v>0</v>
      </c>
      <c r="L72" s="217"/>
      <c r="M72" s="219">
        <f t="shared" si="9"/>
        <v>2.28013767908093</v>
      </c>
      <c r="S72" s="208"/>
      <c r="T72" s="208"/>
      <c r="U72" s="208"/>
      <c r="V72" s="208"/>
      <c r="W72" s="208"/>
      <c r="X72" s="208"/>
      <c r="Y72" s="208"/>
      <c r="Z72" s="208"/>
      <c r="AA72" s="208"/>
      <c r="AB72" s="208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</row>
    <row r="73" spans="1:38" s="203" customFormat="1">
      <c r="A73" s="90">
        <f t="shared" si="10"/>
        <v>2.1119984313558646</v>
      </c>
      <c r="B73" s="35">
        <f t="shared" si="6"/>
        <v>68</v>
      </c>
      <c r="C73" s="25" t="s">
        <v>99</v>
      </c>
      <c r="D73" s="25"/>
      <c r="E73" s="25"/>
      <c r="F73" s="25"/>
      <c r="H73" s="220">
        <v>68</v>
      </c>
      <c r="I73" s="221">
        <f t="shared" si="7"/>
        <v>2.1119984313558646</v>
      </c>
      <c r="J73" s="220">
        <f t="shared" si="11"/>
        <v>0</v>
      </c>
      <c r="K73" s="220">
        <f t="shared" si="8"/>
        <v>0</v>
      </c>
      <c r="L73" s="220"/>
      <c r="M73" s="222">
        <f t="shared" si="9"/>
        <v>2.1119984313558646</v>
      </c>
      <c r="S73" s="208"/>
      <c r="T73" s="208"/>
      <c r="U73" s="208"/>
      <c r="V73" s="208"/>
      <c r="W73" s="208"/>
      <c r="X73" s="208"/>
      <c r="Y73" s="208"/>
      <c r="Z73" s="208"/>
      <c r="AA73" s="208"/>
      <c r="AB73" s="208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</row>
    <row r="74" spans="1:38" s="203" customFormat="1">
      <c r="A74" s="86">
        <f t="shared" si="10"/>
        <v>1.9463138590246274</v>
      </c>
      <c r="B74" s="36">
        <f t="shared" si="6"/>
        <v>69</v>
      </c>
      <c r="C74" s="24" t="s">
        <v>99</v>
      </c>
      <c r="D74" s="24"/>
      <c r="E74" s="24"/>
      <c r="F74" s="24"/>
      <c r="H74" s="217">
        <v>69</v>
      </c>
      <c r="I74" s="218">
        <f t="shared" si="7"/>
        <v>1.9463138590246274</v>
      </c>
      <c r="J74" s="217">
        <f t="shared" si="11"/>
        <v>0</v>
      </c>
      <c r="K74" s="217">
        <f t="shared" si="8"/>
        <v>0</v>
      </c>
      <c r="L74" s="217"/>
      <c r="M74" s="219">
        <f t="shared" si="9"/>
        <v>1.9463138590246274</v>
      </c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</row>
    <row r="75" spans="1:38" s="203" customFormat="1">
      <c r="A75" s="90">
        <f t="shared" si="10"/>
        <v>1.7830133202362504</v>
      </c>
      <c r="B75" s="35">
        <f t="shared" si="6"/>
        <v>70</v>
      </c>
      <c r="C75" s="25" t="s">
        <v>99</v>
      </c>
      <c r="D75" s="25"/>
      <c r="E75" s="25"/>
      <c r="F75" s="25"/>
      <c r="H75" s="220">
        <v>70</v>
      </c>
      <c r="I75" s="221">
        <f t="shared" si="7"/>
        <v>1.7830133202362504</v>
      </c>
      <c r="J75" s="220">
        <f t="shared" si="11"/>
        <v>0</v>
      </c>
      <c r="K75" s="220">
        <f t="shared" si="8"/>
        <v>0</v>
      </c>
      <c r="L75" s="220"/>
      <c r="M75" s="222">
        <f t="shared" si="9"/>
        <v>1.7830133202362504</v>
      </c>
      <c r="S75" s="208"/>
      <c r="T75" s="208"/>
      <c r="U75" s="208"/>
      <c r="V75" s="208"/>
      <c r="W75" s="208"/>
      <c r="X75" s="208"/>
      <c r="Y75" s="208"/>
      <c r="Z75" s="208"/>
      <c r="AA75" s="208"/>
      <c r="AB75" s="208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</row>
    <row r="76" spans="1:38" s="203" customFormat="1">
      <c r="A76" s="86">
        <f t="shared" si="10"/>
        <v>1.6220291793820536</v>
      </c>
      <c r="B76" s="36">
        <f t="shared" si="6"/>
        <v>71</v>
      </c>
      <c r="C76" s="24" t="s">
        <v>99</v>
      </c>
      <c r="D76" s="24"/>
      <c r="E76" s="24"/>
      <c r="F76" s="24"/>
      <c r="H76" s="217">
        <v>71</v>
      </c>
      <c r="I76" s="218">
        <f t="shared" si="7"/>
        <v>1.6220291793820536</v>
      </c>
      <c r="J76" s="217">
        <f t="shared" si="11"/>
        <v>0</v>
      </c>
      <c r="K76" s="217">
        <f t="shared" si="8"/>
        <v>0</v>
      </c>
      <c r="L76" s="217"/>
      <c r="M76" s="219">
        <f t="shared" si="9"/>
        <v>1.6220291793820536</v>
      </c>
      <c r="S76" s="208"/>
      <c r="T76" s="208"/>
      <c r="U76" s="208"/>
      <c r="V76" s="208"/>
      <c r="W76" s="208"/>
      <c r="X76" s="208"/>
      <c r="Y76" s="208"/>
      <c r="Z76" s="208"/>
      <c r="AA76" s="208"/>
      <c r="AB76" s="208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</row>
    <row r="77" spans="1:38" s="203" customFormat="1">
      <c r="A77" s="90">
        <f t="shared" si="10"/>
        <v>1.463296638900097</v>
      </c>
      <c r="B77" s="35">
        <f t="shared" si="6"/>
        <v>72</v>
      </c>
      <c r="C77" s="25" t="s">
        <v>99</v>
      </c>
      <c r="D77" s="25"/>
      <c r="E77" s="25"/>
      <c r="F77" s="25"/>
      <c r="H77" s="220">
        <v>72</v>
      </c>
      <c r="I77" s="221">
        <f t="shared" si="7"/>
        <v>1.463296638900097</v>
      </c>
      <c r="J77" s="220">
        <f t="shared" si="11"/>
        <v>0</v>
      </c>
      <c r="K77" s="220">
        <f t="shared" si="8"/>
        <v>0</v>
      </c>
      <c r="L77" s="220"/>
      <c r="M77" s="222">
        <f t="shared" si="9"/>
        <v>1.463296638900097</v>
      </c>
      <c r="S77" s="208"/>
      <c r="T77" s="208"/>
      <c r="U77" s="208"/>
      <c r="V77" s="208"/>
      <c r="W77" s="208"/>
      <c r="X77" s="208"/>
      <c r="Y77" s="208"/>
      <c r="Z77" s="208"/>
      <c r="AA77" s="208"/>
      <c r="AB77" s="208"/>
      <c r="AC77" s="208"/>
      <c r="AD77" s="208"/>
      <c r="AE77" s="208"/>
      <c r="AF77" s="208"/>
      <c r="AG77" s="208"/>
      <c r="AH77" s="208"/>
      <c r="AI77" s="208"/>
      <c r="AJ77" s="208"/>
      <c r="AK77" s="208"/>
      <c r="AL77" s="208"/>
    </row>
    <row r="78" spans="1:38" s="203" customFormat="1">
      <c r="A78" s="86">
        <f t="shared" si="10"/>
        <v>1.306753582680571</v>
      </c>
      <c r="B78" s="36">
        <f t="shared" si="6"/>
        <v>73</v>
      </c>
      <c r="C78" s="24" t="s">
        <v>99</v>
      </c>
      <c r="D78" s="24"/>
      <c r="E78" s="24"/>
      <c r="F78" s="24"/>
      <c r="H78" s="217">
        <v>73</v>
      </c>
      <c r="I78" s="218">
        <f t="shared" si="7"/>
        <v>1.306753582680571</v>
      </c>
      <c r="J78" s="217">
        <f t="shared" si="11"/>
        <v>0</v>
      </c>
      <c r="K78" s="217">
        <f t="shared" si="8"/>
        <v>0</v>
      </c>
      <c r="L78" s="217"/>
      <c r="M78" s="219">
        <f t="shared" si="9"/>
        <v>1.306753582680571</v>
      </c>
      <c r="S78" s="208"/>
      <c r="T78" s="208"/>
      <c r="U78" s="208"/>
      <c r="V78" s="208"/>
      <c r="W78" s="208"/>
      <c r="X78" s="208"/>
      <c r="Y78" s="208"/>
      <c r="Z78" s="208"/>
      <c r="AA78" s="208"/>
      <c r="AB78" s="208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</row>
    <row r="79" spans="1:38" s="203" customFormat="1">
      <c r="A79" s="90">
        <f t="shared" si="10"/>
        <v>1.1523404301248164</v>
      </c>
      <c r="B79" s="35">
        <f t="shared" si="6"/>
        <v>74</v>
      </c>
      <c r="C79" s="25" t="s">
        <v>99</v>
      </c>
      <c r="D79" s="25"/>
      <c r="E79" s="25"/>
      <c r="F79" s="25"/>
      <c r="H79" s="220">
        <v>74</v>
      </c>
      <c r="I79" s="221">
        <f t="shared" si="7"/>
        <v>1.1523404301248164</v>
      </c>
      <c r="J79" s="220">
        <f t="shared" si="11"/>
        <v>0</v>
      </c>
      <c r="K79" s="220">
        <f t="shared" si="8"/>
        <v>0</v>
      </c>
      <c r="L79" s="220"/>
      <c r="M79" s="222">
        <f t="shared" si="9"/>
        <v>1.1523404301248164</v>
      </c>
      <c r="S79" s="208"/>
      <c r="T79" s="208"/>
      <c r="U79" s="208"/>
      <c r="V79" s="208"/>
      <c r="W79" s="208"/>
      <c r="X79" s="208"/>
      <c r="Y79" s="208"/>
      <c r="Z79" s="208"/>
      <c r="AA79" s="208"/>
      <c r="AB79" s="208"/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</row>
    <row r="80" spans="1:38" s="203" customFormat="1">
      <c r="A80" s="86">
        <f t="shared" si="10"/>
        <v>1</v>
      </c>
      <c r="B80" s="36">
        <f t="shared" si="6"/>
        <v>75</v>
      </c>
      <c r="C80" s="24" t="s">
        <v>99</v>
      </c>
      <c r="D80" s="24"/>
      <c r="E80" s="24"/>
      <c r="F80" s="24"/>
      <c r="H80" s="217">
        <v>75</v>
      </c>
      <c r="I80" s="218">
        <f t="shared" si="7"/>
        <v>1</v>
      </c>
      <c r="J80" s="217">
        <f t="shared" si="11"/>
        <v>0</v>
      </c>
      <c r="K80" s="217">
        <f t="shared" si="8"/>
        <v>0</v>
      </c>
      <c r="L80" s="217"/>
      <c r="M80" s="219">
        <f t="shared" si="9"/>
        <v>1</v>
      </c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</row>
    <row r="81" spans="1:38" s="203" customFormat="1">
      <c r="A81" s="90">
        <f t="shared" si="10"/>
        <v>0</v>
      </c>
      <c r="B81" s="35" t="str">
        <f t="shared" si="6"/>
        <v/>
      </c>
      <c r="C81" s="25"/>
      <c r="D81" s="25"/>
      <c r="E81" s="25"/>
      <c r="F81" s="25"/>
      <c r="H81" s="220">
        <v>76</v>
      </c>
      <c r="I81" s="221" t="str">
        <f t="shared" si="7"/>
        <v/>
      </c>
      <c r="J81" s="220">
        <f t="shared" si="11"/>
        <v>0</v>
      </c>
      <c r="K81" s="220">
        <f t="shared" si="8"/>
        <v>0</v>
      </c>
      <c r="L81" s="220"/>
      <c r="M81" s="222">
        <f t="shared" si="9"/>
        <v>0</v>
      </c>
      <c r="S81" s="208"/>
      <c r="T81" s="208"/>
      <c r="U81" s="208"/>
      <c r="V81" s="208"/>
      <c r="W81" s="208"/>
      <c r="X81" s="208"/>
      <c r="Y81" s="208"/>
      <c r="Z81" s="208"/>
      <c r="AA81" s="208"/>
      <c r="AB81" s="208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</row>
    <row r="82" spans="1:38" s="203" customFormat="1">
      <c r="A82" s="245">
        <v>40.328184272431322</v>
      </c>
      <c r="B82" s="241" t="s">
        <v>318</v>
      </c>
      <c r="C82" s="242" t="s">
        <v>18</v>
      </c>
      <c r="D82" s="24"/>
      <c r="E82" s="24"/>
      <c r="F82" s="24"/>
      <c r="H82" s="217">
        <v>77</v>
      </c>
      <c r="I82" s="218" t="str">
        <f t="shared" si="7"/>
        <v/>
      </c>
      <c r="J82" s="217">
        <f t="shared" si="11"/>
        <v>0</v>
      </c>
      <c r="K82" s="217">
        <f t="shared" si="8"/>
        <v>0</v>
      </c>
      <c r="L82" s="217"/>
      <c r="M82" s="219">
        <f t="shared" si="9"/>
        <v>0</v>
      </c>
      <c r="S82" s="208"/>
      <c r="T82" s="208"/>
      <c r="U82" s="208"/>
      <c r="V82" s="208"/>
      <c r="W82" s="208"/>
      <c r="X82" s="208"/>
      <c r="Y82" s="208"/>
      <c r="Z82" s="208"/>
      <c r="AA82" s="208"/>
      <c r="AB82" s="208"/>
      <c r="AC82" s="208"/>
      <c r="AD82" s="208"/>
      <c r="AE82" s="208"/>
      <c r="AF82" s="208"/>
      <c r="AG82" s="208"/>
      <c r="AH82" s="208"/>
      <c r="AI82" s="208"/>
      <c r="AJ82" s="208"/>
      <c r="AK82" s="208"/>
      <c r="AL82" s="208"/>
    </row>
    <row r="83" spans="1:38" s="203" customFormat="1">
      <c r="A83" s="90">
        <f t="shared" si="10"/>
        <v>0</v>
      </c>
      <c r="B83" s="35" t="str">
        <f t="shared" si="6"/>
        <v/>
      </c>
      <c r="C83" s="25"/>
      <c r="D83" s="25"/>
      <c r="E83" s="25"/>
      <c r="F83" s="25"/>
      <c r="H83" s="220">
        <v>78</v>
      </c>
      <c r="I83" s="221" t="str">
        <f t="shared" si="7"/>
        <v/>
      </c>
      <c r="J83" s="220">
        <f t="shared" si="11"/>
        <v>0</v>
      </c>
      <c r="K83" s="220">
        <f t="shared" si="8"/>
        <v>0</v>
      </c>
      <c r="L83" s="220"/>
      <c r="M83" s="222">
        <f t="shared" si="9"/>
        <v>0</v>
      </c>
      <c r="S83" s="208"/>
      <c r="T83" s="208"/>
      <c r="U83" s="208"/>
      <c r="V83" s="208"/>
      <c r="W83" s="208"/>
      <c r="X83" s="208"/>
      <c r="Y83" s="208"/>
      <c r="Z83" s="208"/>
      <c r="AA83" s="208"/>
      <c r="AB83" s="208"/>
      <c r="AC83" s="208"/>
      <c r="AD83" s="208"/>
      <c r="AE83" s="208"/>
      <c r="AF83" s="208"/>
      <c r="AG83" s="208"/>
      <c r="AH83" s="208"/>
      <c r="AI83" s="208"/>
      <c r="AJ83" s="208"/>
      <c r="AK83" s="208"/>
      <c r="AL83" s="208"/>
    </row>
    <row r="84" spans="1:38" s="203" customFormat="1">
      <c r="A84" s="86">
        <f t="shared" si="10"/>
        <v>0</v>
      </c>
      <c r="B84" s="36" t="str">
        <f t="shared" si="6"/>
        <v/>
      </c>
      <c r="C84" s="24"/>
      <c r="D84" s="24"/>
      <c r="E84" s="24"/>
      <c r="F84" s="24"/>
      <c r="H84" s="217">
        <v>79</v>
      </c>
      <c r="I84" s="218" t="str">
        <f t="shared" si="7"/>
        <v/>
      </c>
      <c r="J84" s="217">
        <f t="shared" si="11"/>
        <v>0</v>
      </c>
      <c r="K84" s="217">
        <f t="shared" si="8"/>
        <v>0</v>
      </c>
      <c r="L84" s="217"/>
      <c r="M84" s="219">
        <f t="shared" si="9"/>
        <v>0</v>
      </c>
      <c r="S84" s="208"/>
      <c r="T84" s="208"/>
      <c r="U84" s="208"/>
      <c r="V84" s="208"/>
      <c r="W84" s="208"/>
      <c r="X84" s="208"/>
      <c r="Y84" s="208"/>
      <c r="Z84" s="208"/>
      <c r="AA84" s="208"/>
      <c r="AB84" s="208"/>
      <c r="AC84" s="208"/>
      <c r="AD84" s="208"/>
      <c r="AE84" s="208"/>
      <c r="AF84" s="208"/>
      <c r="AG84" s="208"/>
      <c r="AH84" s="208"/>
      <c r="AI84" s="208"/>
      <c r="AJ84" s="208"/>
      <c r="AK84" s="208"/>
      <c r="AL84" s="208"/>
    </row>
    <row r="85" spans="1:38" s="203" customFormat="1">
      <c r="A85" s="90">
        <f t="shared" si="10"/>
        <v>0</v>
      </c>
      <c r="B85" s="35" t="str">
        <f t="shared" si="6"/>
        <v/>
      </c>
      <c r="C85" s="25"/>
      <c r="D85" s="25"/>
      <c r="E85" s="25"/>
      <c r="F85" s="25"/>
      <c r="H85" s="220">
        <v>80</v>
      </c>
      <c r="I85" s="221" t="str">
        <f t="shared" si="7"/>
        <v/>
      </c>
      <c r="J85" s="220">
        <f t="shared" si="11"/>
        <v>0</v>
      </c>
      <c r="K85" s="220">
        <f t="shared" si="8"/>
        <v>0</v>
      </c>
      <c r="L85" s="220"/>
      <c r="M85" s="222">
        <f t="shared" si="9"/>
        <v>0</v>
      </c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  <c r="AE85" s="208"/>
      <c r="AF85" s="208"/>
      <c r="AG85" s="208"/>
      <c r="AH85" s="208"/>
      <c r="AI85" s="208"/>
      <c r="AJ85" s="208"/>
      <c r="AK85" s="208"/>
      <c r="AL85" s="208"/>
    </row>
    <row r="86" spans="1:38" s="203" customFormat="1">
      <c r="A86" s="86">
        <f t="shared" si="10"/>
        <v>0</v>
      </c>
      <c r="B86" s="36" t="str">
        <f t="shared" si="6"/>
        <v/>
      </c>
      <c r="C86" s="24"/>
      <c r="D86" s="24"/>
      <c r="E86" s="24"/>
      <c r="F86" s="24"/>
      <c r="H86" s="217">
        <v>81</v>
      </c>
      <c r="I86" s="218" t="str">
        <f t="shared" si="7"/>
        <v/>
      </c>
      <c r="J86" s="217">
        <f t="shared" si="11"/>
        <v>0</v>
      </c>
      <c r="K86" s="217">
        <f t="shared" si="8"/>
        <v>0</v>
      </c>
      <c r="L86" s="217"/>
      <c r="M86" s="219">
        <f t="shared" si="9"/>
        <v>0</v>
      </c>
      <c r="S86" s="208"/>
      <c r="T86" s="208"/>
      <c r="U86" s="208"/>
      <c r="V86" s="208"/>
      <c r="W86" s="208"/>
      <c r="X86" s="208"/>
      <c r="Y86" s="208"/>
      <c r="Z86" s="208"/>
      <c r="AA86" s="208"/>
      <c r="AB86" s="208"/>
      <c r="AC86" s="208"/>
      <c r="AD86" s="208"/>
      <c r="AE86" s="208"/>
      <c r="AF86" s="208"/>
      <c r="AG86" s="208"/>
      <c r="AH86" s="208"/>
      <c r="AI86" s="208"/>
      <c r="AJ86" s="208"/>
      <c r="AK86" s="208"/>
      <c r="AL86" s="208"/>
    </row>
    <row r="87" spans="1:38" s="203" customFormat="1">
      <c r="A87" s="90">
        <f t="shared" si="10"/>
        <v>0</v>
      </c>
      <c r="B87" s="35" t="str">
        <f t="shared" si="6"/>
        <v/>
      </c>
      <c r="C87" s="25"/>
      <c r="D87" s="25"/>
      <c r="E87" s="25"/>
      <c r="F87" s="25"/>
      <c r="H87" s="220">
        <v>82</v>
      </c>
      <c r="I87" s="221" t="str">
        <f t="shared" si="7"/>
        <v/>
      </c>
      <c r="J87" s="220">
        <f t="shared" si="11"/>
        <v>0</v>
      </c>
      <c r="K87" s="220">
        <f t="shared" si="8"/>
        <v>0</v>
      </c>
      <c r="L87" s="220"/>
      <c r="M87" s="222">
        <f t="shared" si="9"/>
        <v>0</v>
      </c>
      <c r="S87" s="208"/>
      <c r="T87" s="208"/>
      <c r="U87" s="208"/>
      <c r="V87" s="208"/>
      <c r="W87" s="208"/>
      <c r="X87" s="208"/>
      <c r="Y87" s="208"/>
      <c r="Z87" s="208"/>
      <c r="AA87" s="208"/>
      <c r="AB87" s="208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</row>
    <row r="88" spans="1:38" s="203" customFormat="1">
      <c r="A88" s="86">
        <f t="shared" si="10"/>
        <v>0</v>
      </c>
      <c r="B88" s="36" t="str">
        <f t="shared" si="6"/>
        <v/>
      </c>
      <c r="C88" s="24"/>
      <c r="D88" s="24"/>
      <c r="E88" s="24"/>
      <c r="F88" s="24"/>
      <c r="H88" s="217">
        <v>83</v>
      </c>
      <c r="I88" s="218" t="str">
        <f t="shared" si="7"/>
        <v/>
      </c>
      <c r="J88" s="217">
        <f t="shared" si="11"/>
        <v>0</v>
      </c>
      <c r="K88" s="217">
        <f t="shared" si="8"/>
        <v>0</v>
      </c>
      <c r="L88" s="217"/>
      <c r="M88" s="219">
        <f t="shared" si="9"/>
        <v>0</v>
      </c>
      <c r="S88" s="208"/>
      <c r="T88" s="208"/>
      <c r="U88" s="208"/>
      <c r="V88" s="208"/>
      <c r="W88" s="208"/>
      <c r="X88" s="208"/>
      <c r="Y88" s="208"/>
      <c r="Z88" s="208"/>
      <c r="AA88" s="208"/>
      <c r="AB88" s="208"/>
      <c r="AC88" s="208"/>
      <c r="AD88" s="208"/>
      <c r="AE88" s="208"/>
      <c r="AF88" s="208"/>
      <c r="AG88" s="208"/>
      <c r="AH88" s="208"/>
      <c r="AI88" s="208"/>
      <c r="AJ88" s="208"/>
      <c r="AK88" s="208"/>
      <c r="AL88" s="208"/>
    </row>
    <row r="89" spans="1:38" s="203" customFormat="1">
      <c r="A89" s="90">
        <f t="shared" si="10"/>
        <v>0</v>
      </c>
      <c r="B89" s="35" t="str">
        <f t="shared" si="6"/>
        <v/>
      </c>
      <c r="C89" s="25"/>
      <c r="D89" s="25"/>
      <c r="E89" s="25"/>
      <c r="F89" s="25"/>
      <c r="H89" s="220">
        <v>84</v>
      </c>
      <c r="I89" s="221" t="str">
        <f t="shared" si="7"/>
        <v/>
      </c>
      <c r="J89" s="220">
        <f t="shared" si="11"/>
        <v>0</v>
      </c>
      <c r="K89" s="220">
        <f t="shared" si="8"/>
        <v>0</v>
      </c>
      <c r="L89" s="220"/>
      <c r="M89" s="222">
        <f t="shared" si="9"/>
        <v>0</v>
      </c>
      <c r="S89" s="208"/>
      <c r="T89" s="208"/>
      <c r="U89" s="208"/>
      <c r="V89" s="208"/>
      <c r="W89" s="208"/>
      <c r="X89" s="208"/>
      <c r="Y89" s="208"/>
      <c r="Z89" s="208"/>
      <c r="AA89" s="208"/>
      <c r="AB89" s="208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</row>
    <row r="90" spans="1:38" s="203" customFormat="1">
      <c r="A90" s="86">
        <f t="shared" si="10"/>
        <v>0</v>
      </c>
      <c r="B90" s="36" t="str">
        <f t="shared" si="6"/>
        <v/>
      </c>
      <c r="C90" s="24"/>
      <c r="D90" s="24"/>
      <c r="E90" s="24"/>
      <c r="F90" s="24"/>
      <c r="H90" s="217">
        <v>85</v>
      </c>
      <c r="I90" s="218" t="str">
        <f t="shared" si="7"/>
        <v/>
      </c>
      <c r="J90" s="217">
        <f t="shared" si="11"/>
        <v>0</v>
      </c>
      <c r="K90" s="217">
        <f t="shared" si="8"/>
        <v>0</v>
      </c>
      <c r="L90" s="217"/>
      <c r="M90" s="219">
        <f t="shared" si="9"/>
        <v>0</v>
      </c>
      <c r="S90" s="208"/>
      <c r="T90" s="208"/>
      <c r="U90" s="208"/>
      <c r="V90" s="208"/>
      <c r="W90" s="208"/>
      <c r="X90" s="208"/>
      <c r="Y90" s="208"/>
      <c r="Z90" s="208"/>
      <c r="AA90" s="208"/>
      <c r="AB90" s="208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</row>
    <row r="91" spans="1:38" s="203" customFormat="1">
      <c r="A91" s="90">
        <f t="shared" si="10"/>
        <v>0</v>
      </c>
      <c r="B91" s="35" t="str">
        <f t="shared" si="6"/>
        <v/>
      </c>
      <c r="C91" s="25"/>
      <c r="D91" s="25"/>
      <c r="E91" s="25"/>
      <c r="F91" s="25"/>
      <c r="H91" s="220">
        <v>86</v>
      </c>
      <c r="I91" s="221" t="str">
        <f t="shared" si="7"/>
        <v/>
      </c>
      <c r="J91" s="220">
        <f t="shared" si="11"/>
        <v>0</v>
      </c>
      <c r="K91" s="220">
        <f t="shared" si="8"/>
        <v>0</v>
      </c>
      <c r="L91" s="220"/>
      <c r="M91" s="222">
        <f t="shared" si="9"/>
        <v>0</v>
      </c>
      <c r="S91" s="208"/>
      <c r="T91" s="208"/>
      <c r="U91" s="208"/>
      <c r="V91" s="208"/>
      <c r="W91" s="208"/>
      <c r="X91" s="208"/>
      <c r="Y91" s="208"/>
      <c r="Z91" s="208"/>
      <c r="AA91" s="208"/>
      <c r="AB91" s="208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</row>
    <row r="92" spans="1:38" s="203" customFormat="1">
      <c r="A92" s="86">
        <f t="shared" si="10"/>
        <v>0</v>
      </c>
      <c r="B92" s="36" t="str">
        <f t="shared" si="6"/>
        <v/>
      </c>
      <c r="C92" s="24"/>
      <c r="D92" s="24"/>
      <c r="E92" s="24"/>
      <c r="F92" s="24"/>
      <c r="H92" s="217">
        <v>87</v>
      </c>
      <c r="I92" s="218" t="str">
        <f t="shared" si="7"/>
        <v/>
      </c>
      <c r="J92" s="217">
        <f t="shared" si="11"/>
        <v>0</v>
      </c>
      <c r="K92" s="217">
        <f t="shared" si="8"/>
        <v>0</v>
      </c>
      <c r="L92" s="217"/>
      <c r="M92" s="219">
        <f t="shared" si="9"/>
        <v>0</v>
      </c>
      <c r="S92" s="208"/>
      <c r="T92" s="208"/>
      <c r="U92" s="208"/>
      <c r="V92" s="208"/>
      <c r="W92" s="208"/>
      <c r="X92" s="208"/>
      <c r="Y92" s="208"/>
      <c r="Z92" s="208"/>
      <c r="AA92" s="208"/>
      <c r="AB92" s="208"/>
      <c r="AC92" s="208"/>
      <c r="AD92" s="208"/>
      <c r="AE92" s="208"/>
      <c r="AF92" s="208"/>
      <c r="AG92" s="208"/>
      <c r="AH92" s="208"/>
      <c r="AI92" s="208"/>
      <c r="AJ92" s="208"/>
      <c r="AK92" s="208"/>
      <c r="AL92" s="208"/>
    </row>
    <row r="93" spans="1:38" s="203" customFormat="1">
      <c r="A93" s="90">
        <f t="shared" si="10"/>
        <v>0</v>
      </c>
      <c r="B93" s="35" t="str">
        <f t="shared" si="6"/>
        <v/>
      </c>
      <c r="C93" s="25"/>
      <c r="D93" s="25"/>
      <c r="E93" s="25"/>
      <c r="F93" s="25"/>
      <c r="H93" s="220">
        <v>88</v>
      </c>
      <c r="I93" s="221" t="str">
        <f t="shared" si="7"/>
        <v/>
      </c>
      <c r="J93" s="220">
        <f t="shared" si="11"/>
        <v>0</v>
      </c>
      <c r="K93" s="220">
        <f t="shared" si="8"/>
        <v>0</v>
      </c>
      <c r="L93" s="220"/>
      <c r="M93" s="222">
        <f t="shared" si="9"/>
        <v>0</v>
      </c>
      <c r="S93" s="208"/>
      <c r="T93" s="208"/>
      <c r="U93" s="208"/>
      <c r="V93" s="208"/>
      <c r="W93" s="208"/>
      <c r="X93" s="208"/>
      <c r="Y93" s="208"/>
      <c r="Z93" s="208"/>
      <c r="AA93" s="208"/>
      <c r="AB93" s="208"/>
      <c r="AC93" s="208"/>
      <c r="AD93" s="208"/>
      <c r="AE93" s="208"/>
      <c r="AF93" s="208"/>
      <c r="AG93" s="208"/>
      <c r="AH93" s="208"/>
      <c r="AI93" s="208"/>
      <c r="AJ93" s="208"/>
      <c r="AK93" s="208"/>
      <c r="AL93" s="208"/>
    </row>
    <row r="94" spans="1:38" s="203" customFormat="1">
      <c r="A94" s="86">
        <f t="shared" si="10"/>
        <v>0</v>
      </c>
      <c r="B94" s="36" t="str">
        <f t="shared" si="6"/>
        <v/>
      </c>
      <c r="C94" s="24"/>
      <c r="D94" s="24"/>
      <c r="E94" s="24"/>
      <c r="F94" s="24"/>
      <c r="H94" s="217">
        <v>89</v>
      </c>
      <c r="I94" s="218" t="str">
        <f t="shared" si="7"/>
        <v/>
      </c>
      <c r="J94" s="217">
        <f t="shared" si="11"/>
        <v>0</v>
      </c>
      <c r="K94" s="217">
        <f t="shared" si="8"/>
        <v>0</v>
      </c>
      <c r="L94" s="217"/>
      <c r="M94" s="219">
        <f t="shared" si="9"/>
        <v>0</v>
      </c>
      <c r="S94" s="208"/>
      <c r="T94" s="208"/>
      <c r="U94" s="208"/>
      <c r="V94" s="208"/>
      <c r="W94" s="208"/>
      <c r="X94" s="208"/>
      <c r="Y94" s="208"/>
      <c r="Z94" s="208"/>
      <c r="AA94" s="208"/>
      <c r="AB94" s="208"/>
      <c r="AC94" s="208"/>
      <c r="AD94" s="208"/>
      <c r="AE94" s="208"/>
      <c r="AF94" s="208"/>
      <c r="AG94" s="208"/>
      <c r="AH94" s="208"/>
      <c r="AI94" s="208"/>
      <c r="AJ94" s="208"/>
      <c r="AK94" s="208"/>
      <c r="AL94" s="208"/>
    </row>
    <row r="95" spans="1:38" s="203" customFormat="1">
      <c r="A95" s="90">
        <f t="shared" si="10"/>
        <v>0</v>
      </c>
      <c r="B95" s="35" t="str">
        <f t="shared" si="6"/>
        <v/>
      </c>
      <c r="C95" s="25"/>
      <c r="D95" s="25"/>
      <c r="E95" s="25"/>
      <c r="F95" s="25"/>
      <c r="H95" s="220">
        <v>90</v>
      </c>
      <c r="I95" s="221" t="str">
        <f t="shared" si="7"/>
        <v/>
      </c>
      <c r="J95" s="220">
        <f t="shared" si="11"/>
        <v>0</v>
      </c>
      <c r="K95" s="220">
        <f t="shared" si="8"/>
        <v>0</v>
      </c>
      <c r="L95" s="220"/>
      <c r="M95" s="222">
        <f t="shared" si="9"/>
        <v>0</v>
      </c>
      <c r="S95" s="208"/>
      <c r="T95" s="208"/>
      <c r="U95" s="208"/>
      <c r="V95" s="208"/>
      <c r="W95" s="208"/>
      <c r="X95" s="208"/>
      <c r="Y95" s="208"/>
      <c r="Z95" s="208"/>
      <c r="AA95" s="208"/>
      <c r="AB95" s="208"/>
      <c r="AC95" s="208"/>
      <c r="AD95" s="208"/>
      <c r="AE95" s="208"/>
      <c r="AF95" s="208"/>
      <c r="AG95" s="208"/>
      <c r="AH95" s="208"/>
      <c r="AI95" s="208"/>
      <c r="AJ95" s="208"/>
      <c r="AK95" s="208"/>
      <c r="AL95" s="208"/>
    </row>
    <row r="96" spans="1:38" s="203" customFormat="1">
      <c r="A96" s="86">
        <f t="shared" si="10"/>
        <v>0</v>
      </c>
      <c r="B96" s="36" t="str">
        <f t="shared" si="6"/>
        <v/>
      </c>
      <c r="C96" s="24"/>
      <c r="D96" s="24"/>
      <c r="E96" s="24"/>
      <c r="F96" s="24"/>
      <c r="H96" s="217">
        <v>91</v>
      </c>
      <c r="I96" s="218" t="str">
        <f t="shared" si="7"/>
        <v/>
      </c>
      <c r="J96" s="217">
        <f t="shared" si="11"/>
        <v>0</v>
      </c>
      <c r="K96" s="217">
        <f t="shared" si="8"/>
        <v>0</v>
      </c>
      <c r="L96" s="217"/>
      <c r="M96" s="219">
        <f t="shared" si="9"/>
        <v>0</v>
      </c>
      <c r="S96" s="208"/>
      <c r="T96" s="208"/>
      <c r="U96" s="208"/>
      <c r="V96" s="208"/>
      <c r="W96" s="208"/>
      <c r="X96" s="208"/>
      <c r="Y96" s="208"/>
      <c r="Z96" s="208"/>
      <c r="AA96" s="208"/>
      <c r="AB96" s="208"/>
      <c r="AC96" s="208"/>
      <c r="AD96" s="208"/>
      <c r="AE96" s="208"/>
      <c r="AF96" s="208"/>
      <c r="AG96" s="208"/>
      <c r="AH96" s="208"/>
      <c r="AI96" s="208"/>
      <c r="AJ96" s="208"/>
      <c r="AK96" s="208"/>
      <c r="AL96" s="208"/>
    </row>
    <row r="97" spans="1:38" s="203" customFormat="1">
      <c r="A97" s="90">
        <f t="shared" si="10"/>
        <v>0</v>
      </c>
      <c r="B97" s="35" t="str">
        <f t="shared" si="6"/>
        <v/>
      </c>
      <c r="C97" s="25"/>
      <c r="D97" s="25"/>
      <c r="E97" s="25"/>
      <c r="F97" s="25"/>
      <c r="H97" s="220">
        <v>92</v>
      </c>
      <c r="I97" s="221" t="str">
        <f t="shared" si="7"/>
        <v/>
      </c>
      <c r="J97" s="220">
        <f t="shared" si="11"/>
        <v>0</v>
      </c>
      <c r="K97" s="220">
        <f t="shared" si="8"/>
        <v>0</v>
      </c>
      <c r="L97" s="220"/>
      <c r="M97" s="222">
        <f t="shared" si="9"/>
        <v>0</v>
      </c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</row>
    <row r="98" spans="1:38" s="203" customFormat="1">
      <c r="A98" s="86">
        <f t="shared" si="10"/>
        <v>0</v>
      </c>
      <c r="B98" s="36" t="str">
        <f t="shared" si="6"/>
        <v/>
      </c>
      <c r="C98" s="24"/>
      <c r="D98" s="24"/>
      <c r="E98" s="24"/>
      <c r="F98" s="24"/>
      <c r="H98" s="217">
        <v>93</v>
      </c>
      <c r="I98" s="218" t="str">
        <f t="shared" si="7"/>
        <v/>
      </c>
      <c r="J98" s="217">
        <f t="shared" si="11"/>
        <v>0</v>
      </c>
      <c r="K98" s="217">
        <f t="shared" si="8"/>
        <v>0</v>
      </c>
      <c r="L98" s="217"/>
      <c r="M98" s="219">
        <f t="shared" si="9"/>
        <v>0</v>
      </c>
      <c r="S98" s="208"/>
      <c r="T98" s="208"/>
      <c r="U98" s="208"/>
      <c r="V98" s="208"/>
      <c r="W98" s="208"/>
      <c r="X98" s="208"/>
      <c r="Y98" s="208"/>
      <c r="Z98" s="208"/>
      <c r="AA98" s="208"/>
      <c r="AB98" s="208"/>
      <c r="AC98" s="208"/>
      <c r="AD98" s="208"/>
      <c r="AE98" s="208"/>
      <c r="AF98" s="208"/>
      <c r="AG98" s="208"/>
      <c r="AH98" s="208"/>
      <c r="AI98" s="208"/>
      <c r="AJ98" s="208"/>
      <c r="AK98" s="208"/>
      <c r="AL98" s="208"/>
    </row>
    <row r="99" spans="1:38" s="203" customFormat="1">
      <c r="A99" s="90">
        <f t="shared" si="10"/>
        <v>0</v>
      </c>
      <c r="B99" s="35" t="str">
        <f t="shared" si="6"/>
        <v/>
      </c>
      <c r="C99" s="25"/>
      <c r="D99" s="25"/>
      <c r="E99" s="25"/>
      <c r="F99" s="25"/>
      <c r="H99" s="220">
        <v>94</v>
      </c>
      <c r="I99" s="221" t="str">
        <f t="shared" si="7"/>
        <v/>
      </c>
      <c r="J99" s="220">
        <f t="shared" si="11"/>
        <v>0</v>
      </c>
      <c r="K99" s="220">
        <f t="shared" si="8"/>
        <v>0</v>
      </c>
      <c r="L99" s="220"/>
      <c r="M99" s="222">
        <f t="shared" si="9"/>
        <v>0</v>
      </c>
      <c r="S99" s="208"/>
      <c r="T99" s="208"/>
      <c r="U99" s="208"/>
      <c r="V99" s="208"/>
      <c r="W99" s="208"/>
      <c r="X99" s="208"/>
      <c r="Y99" s="208"/>
      <c r="Z99" s="208"/>
      <c r="AA99" s="208"/>
      <c r="AB99" s="208"/>
      <c r="AC99" s="208"/>
      <c r="AD99" s="208"/>
      <c r="AE99" s="208"/>
      <c r="AF99" s="208"/>
      <c r="AG99" s="208"/>
      <c r="AH99" s="208"/>
      <c r="AI99" s="208"/>
      <c r="AJ99" s="208"/>
      <c r="AK99" s="208"/>
      <c r="AL99" s="208"/>
    </row>
    <row r="100" spans="1:38" s="203" customFormat="1">
      <c r="A100" s="86">
        <f t="shared" si="10"/>
        <v>0</v>
      </c>
      <c r="B100" s="36" t="str">
        <f t="shared" si="6"/>
        <v/>
      </c>
      <c r="C100" s="24"/>
      <c r="D100" s="24"/>
      <c r="E100" s="24"/>
      <c r="F100" s="24"/>
      <c r="H100" s="217">
        <v>95</v>
      </c>
      <c r="I100" s="218" t="str">
        <f t="shared" si="7"/>
        <v/>
      </c>
      <c r="J100" s="217">
        <f t="shared" si="11"/>
        <v>0</v>
      </c>
      <c r="K100" s="217">
        <f t="shared" si="8"/>
        <v>0</v>
      </c>
      <c r="L100" s="217"/>
      <c r="M100" s="219">
        <f t="shared" si="9"/>
        <v>0</v>
      </c>
      <c r="S100" s="208"/>
      <c r="T100" s="208"/>
      <c r="U100" s="208"/>
      <c r="V100" s="208"/>
      <c r="W100" s="208"/>
      <c r="X100" s="208"/>
      <c r="Y100" s="208"/>
      <c r="Z100" s="208"/>
      <c r="AA100" s="208"/>
      <c r="AB100" s="208"/>
      <c r="AC100" s="208"/>
      <c r="AD100" s="208"/>
      <c r="AE100" s="208"/>
      <c r="AF100" s="208"/>
      <c r="AG100" s="208"/>
      <c r="AH100" s="208"/>
      <c r="AI100" s="208"/>
      <c r="AJ100" s="208"/>
      <c r="AK100" s="208"/>
      <c r="AL100" s="208"/>
    </row>
    <row r="101" spans="1:38" s="203" customFormat="1">
      <c r="A101" s="90">
        <f t="shared" si="10"/>
        <v>0</v>
      </c>
      <c r="B101" s="35" t="str">
        <f t="shared" si="6"/>
        <v/>
      </c>
      <c r="C101" s="25"/>
      <c r="D101" s="25"/>
      <c r="E101" s="25"/>
      <c r="F101" s="25"/>
      <c r="H101" s="220">
        <v>96</v>
      </c>
      <c r="I101" s="221" t="str">
        <f t="shared" si="7"/>
        <v/>
      </c>
      <c r="J101" s="220">
        <f t="shared" si="11"/>
        <v>0</v>
      </c>
      <c r="K101" s="220">
        <f t="shared" si="8"/>
        <v>0</v>
      </c>
      <c r="L101" s="220"/>
      <c r="M101" s="222">
        <f t="shared" si="9"/>
        <v>0</v>
      </c>
      <c r="S101" s="208"/>
      <c r="T101" s="208"/>
      <c r="U101" s="208"/>
      <c r="V101" s="208"/>
      <c r="W101" s="208"/>
      <c r="X101" s="208"/>
      <c r="Y101" s="208"/>
      <c r="Z101" s="208"/>
      <c r="AA101" s="208"/>
      <c r="AB101" s="208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</row>
    <row r="102" spans="1:38" s="203" customFormat="1">
      <c r="A102" s="86">
        <f t="shared" si="10"/>
        <v>0</v>
      </c>
      <c r="B102" s="36" t="str">
        <f t="shared" si="6"/>
        <v/>
      </c>
      <c r="C102" s="24"/>
      <c r="D102" s="24"/>
      <c r="E102" s="24"/>
      <c r="F102" s="24"/>
      <c r="H102" s="217">
        <v>97</v>
      </c>
      <c r="I102" s="218" t="str">
        <f t="shared" si="7"/>
        <v/>
      </c>
      <c r="J102" s="217">
        <f t="shared" si="11"/>
        <v>0</v>
      </c>
      <c r="K102" s="217">
        <f t="shared" si="8"/>
        <v>0</v>
      </c>
      <c r="L102" s="217"/>
      <c r="M102" s="219">
        <f t="shared" si="9"/>
        <v>0</v>
      </c>
      <c r="S102" s="208"/>
      <c r="T102" s="208"/>
      <c r="U102" s="208"/>
      <c r="V102" s="208"/>
      <c r="W102" s="208"/>
      <c r="X102" s="208"/>
      <c r="Y102" s="208"/>
      <c r="Z102" s="208"/>
      <c r="AA102" s="208"/>
      <c r="AB102" s="208"/>
      <c r="AC102" s="208"/>
      <c r="AD102" s="208"/>
      <c r="AE102" s="208"/>
      <c r="AF102" s="208"/>
      <c r="AG102" s="208"/>
      <c r="AH102" s="208"/>
      <c r="AI102" s="208"/>
      <c r="AJ102" s="208"/>
      <c r="AK102" s="208"/>
      <c r="AL102" s="208"/>
    </row>
    <row r="103" spans="1:38" s="203" customFormat="1">
      <c r="A103" s="90">
        <f t="shared" si="10"/>
        <v>0</v>
      </c>
      <c r="B103" s="35" t="str">
        <f t="shared" si="6"/>
        <v/>
      </c>
      <c r="C103" s="25"/>
      <c r="D103" s="25"/>
      <c r="E103" s="25"/>
      <c r="F103" s="25"/>
      <c r="H103" s="220">
        <v>98</v>
      </c>
      <c r="I103" s="221" t="str">
        <f t="shared" si="7"/>
        <v/>
      </c>
      <c r="J103" s="220">
        <f t="shared" si="11"/>
        <v>0</v>
      </c>
      <c r="K103" s="220">
        <f t="shared" si="8"/>
        <v>0</v>
      </c>
      <c r="L103" s="220"/>
      <c r="M103" s="222">
        <f t="shared" si="9"/>
        <v>0</v>
      </c>
      <c r="S103" s="208"/>
      <c r="T103" s="208"/>
      <c r="U103" s="208"/>
      <c r="V103" s="208"/>
      <c r="W103" s="208"/>
      <c r="X103" s="208"/>
      <c r="Y103" s="208"/>
      <c r="Z103" s="208"/>
      <c r="AA103" s="208"/>
      <c r="AB103" s="208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08"/>
    </row>
    <row r="104" spans="1:38" s="203" customFormat="1">
      <c r="A104" s="86">
        <f t="shared" si="10"/>
        <v>0</v>
      </c>
      <c r="B104" s="36" t="str">
        <f t="shared" si="6"/>
        <v/>
      </c>
      <c r="C104" s="24"/>
      <c r="D104" s="24"/>
      <c r="E104" s="24"/>
      <c r="F104" s="24"/>
      <c r="H104" s="217">
        <v>99</v>
      </c>
      <c r="I104" s="218" t="str">
        <f t="shared" si="7"/>
        <v/>
      </c>
      <c r="J104" s="217">
        <f t="shared" si="11"/>
        <v>0</v>
      </c>
      <c r="K104" s="217">
        <f t="shared" si="8"/>
        <v>0</v>
      </c>
      <c r="L104" s="217"/>
      <c r="M104" s="219">
        <f t="shared" si="9"/>
        <v>0</v>
      </c>
      <c r="S104" s="208"/>
      <c r="T104" s="208"/>
      <c r="U104" s="208"/>
      <c r="V104" s="208"/>
      <c r="W104" s="208"/>
      <c r="X104" s="208"/>
      <c r="Y104" s="208"/>
      <c r="Z104" s="208"/>
      <c r="AA104" s="208"/>
      <c r="AB104" s="208"/>
      <c r="AC104" s="208"/>
      <c r="AD104" s="208"/>
      <c r="AE104" s="208"/>
      <c r="AF104" s="208"/>
      <c r="AG104" s="208"/>
      <c r="AH104" s="208"/>
      <c r="AI104" s="208"/>
      <c r="AJ104" s="208"/>
      <c r="AK104" s="208"/>
      <c r="AL104" s="208"/>
    </row>
    <row r="105" spans="1:38" s="203" customFormat="1">
      <c r="A105" s="90">
        <f t="shared" si="10"/>
        <v>0</v>
      </c>
      <c r="B105" s="35" t="str">
        <f t="shared" si="6"/>
        <v/>
      </c>
      <c r="C105" s="25"/>
      <c r="D105" s="25"/>
      <c r="E105" s="25"/>
      <c r="F105" s="25"/>
      <c r="H105" s="220">
        <v>100</v>
      </c>
      <c r="I105" s="221" t="str">
        <f t="shared" si="7"/>
        <v/>
      </c>
      <c r="J105" s="220">
        <f t="shared" si="11"/>
        <v>0</v>
      </c>
      <c r="K105" s="220">
        <f t="shared" si="8"/>
        <v>0</v>
      </c>
      <c r="L105" s="220"/>
      <c r="M105" s="222">
        <f t="shared" si="9"/>
        <v>0</v>
      </c>
      <c r="S105" s="208"/>
      <c r="T105" s="208"/>
      <c r="U105" s="208"/>
      <c r="V105" s="208"/>
      <c r="W105" s="208"/>
      <c r="X105" s="208"/>
      <c r="Y105" s="208"/>
      <c r="Z105" s="208"/>
      <c r="AA105" s="208"/>
      <c r="AB105" s="208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</row>
    <row r="106" spans="1:38" s="203" customFormat="1">
      <c r="A106" s="86">
        <f t="shared" si="10"/>
        <v>0</v>
      </c>
      <c r="B106" s="36" t="str">
        <f t="shared" si="6"/>
        <v/>
      </c>
      <c r="C106" s="24"/>
      <c r="D106" s="24"/>
      <c r="E106" s="24"/>
      <c r="F106" s="24"/>
      <c r="H106" s="217">
        <v>101</v>
      </c>
      <c r="I106" s="218" t="str">
        <f t="shared" si="7"/>
        <v/>
      </c>
      <c r="J106" s="217">
        <f t="shared" si="11"/>
        <v>0</v>
      </c>
      <c r="K106" s="217">
        <f t="shared" si="8"/>
        <v>0</v>
      </c>
      <c r="L106" s="217"/>
      <c r="M106" s="219">
        <f t="shared" si="9"/>
        <v>0</v>
      </c>
      <c r="S106" s="208"/>
      <c r="T106" s="208"/>
      <c r="U106" s="208"/>
      <c r="V106" s="208"/>
      <c r="W106" s="208"/>
      <c r="X106" s="208"/>
      <c r="Y106" s="208"/>
      <c r="Z106" s="208"/>
      <c r="AA106" s="208"/>
      <c r="AB106" s="208"/>
      <c r="AC106" s="208"/>
      <c r="AD106" s="208"/>
      <c r="AE106" s="208"/>
      <c r="AF106" s="208"/>
      <c r="AG106" s="208"/>
      <c r="AH106" s="208"/>
      <c r="AI106" s="208"/>
      <c r="AJ106" s="208"/>
      <c r="AK106" s="208"/>
      <c r="AL106" s="208"/>
    </row>
    <row r="107" spans="1:38" s="203" customFormat="1">
      <c r="A107" s="90">
        <f t="shared" si="10"/>
        <v>0</v>
      </c>
      <c r="B107" s="35" t="str">
        <f t="shared" si="6"/>
        <v/>
      </c>
      <c r="C107" s="25"/>
      <c r="D107" s="25"/>
      <c r="E107" s="25"/>
      <c r="F107" s="25"/>
      <c r="H107" s="220">
        <v>102</v>
      </c>
      <c r="I107" s="221" t="str">
        <f t="shared" si="7"/>
        <v/>
      </c>
      <c r="J107" s="220">
        <f t="shared" si="11"/>
        <v>0</v>
      </c>
      <c r="K107" s="220">
        <f t="shared" si="8"/>
        <v>0</v>
      </c>
      <c r="L107" s="220"/>
      <c r="M107" s="222">
        <f t="shared" si="9"/>
        <v>0</v>
      </c>
      <c r="S107" s="208"/>
      <c r="T107" s="208"/>
      <c r="U107" s="208"/>
      <c r="V107" s="208"/>
      <c r="W107" s="208"/>
      <c r="X107" s="208"/>
      <c r="Y107" s="208"/>
      <c r="Z107" s="208"/>
      <c r="AA107" s="208"/>
      <c r="AB107" s="208"/>
      <c r="AC107" s="208"/>
      <c r="AD107" s="208"/>
      <c r="AE107" s="208"/>
      <c r="AF107" s="208"/>
      <c r="AG107" s="208"/>
      <c r="AH107" s="208"/>
      <c r="AI107" s="208"/>
      <c r="AJ107" s="208"/>
      <c r="AK107" s="208"/>
      <c r="AL107" s="208"/>
    </row>
    <row r="108" spans="1:38" s="203" customFormat="1">
      <c r="A108" s="86">
        <f t="shared" si="10"/>
        <v>0</v>
      </c>
      <c r="B108" s="36" t="str">
        <f t="shared" si="6"/>
        <v/>
      </c>
      <c r="C108" s="24"/>
      <c r="D108" s="24"/>
      <c r="E108" s="24"/>
      <c r="F108" s="24"/>
      <c r="H108" s="217">
        <v>103</v>
      </c>
      <c r="I108" s="218" t="str">
        <f t="shared" si="7"/>
        <v/>
      </c>
      <c r="J108" s="217">
        <f t="shared" si="11"/>
        <v>0</v>
      </c>
      <c r="K108" s="217">
        <f t="shared" si="8"/>
        <v>0</v>
      </c>
      <c r="L108" s="217"/>
      <c r="M108" s="219">
        <f t="shared" si="9"/>
        <v>0</v>
      </c>
      <c r="S108" s="208"/>
      <c r="T108" s="208"/>
      <c r="U108" s="208"/>
      <c r="V108" s="208"/>
      <c r="W108" s="208"/>
      <c r="X108" s="208"/>
      <c r="Y108" s="208"/>
      <c r="Z108" s="208"/>
      <c r="AA108" s="208"/>
      <c r="AB108" s="208"/>
      <c r="AC108" s="208"/>
      <c r="AD108" s="208"/>
      <c r="AE108" s="208"/>
      <c r="AF108" s="208"/>
      <c r="AG108" s="208"/>
      <c r="AH108" s="208"/>
      <c r="AI108" s="208"/>
      <c r="AJ108" s="208"/>
      <c r="AK108" s="208"/>
      <c r="AL108" s="208"/>
    </row>
    <row r="109" spans="1:38" s="203" customFormat="1">
      <c r="A109" s="90">
        <f t="shared" si="10"/>
        <v>0</v>
      </c>
      <c r="B109" s="35" t="str">
        <f t="shared" si="6"/>
        <v/>
      </c>
      <c r="C109" s="25"/>
      <c r="D109" s="25"/>
      <c r="E109" s="25"/>
      <c r="F109" s="25"/>
      <c r="H109" s="220">
        <v>104</v>
      </c>
      <c r="I109" s="221" t="str">
        <f t="shared" si="7"/>
        <v/>
      </c>
      <c r="J109" s="220">
        <f t="shared" si="11"/>
        <v>0</v>
      </c>
      <c r="K109" s="220">
        <f t="shared" si="8"/>
        <v>0</v>
      </c>
      <c r="L109" s="220"/>
      <c r="M109" s="222">
        <f t="shared" si="9"/>
        <v>0</v>
      </c>
      <c r="S109" s="208"/>
      <c r="T109" s="208"/>
      <c r="U109" s="208"/>
      <c r="V109" s="208"/>
      <c r="W109" s="208"/>
      <c r="X109" s="208"/>
      <c r="Y109" s="208"/>
      <c r="Z109" s="208"/>
      <c r="AA109" s="208"/>
      <c r="AB109" s="208"/>
      <c r="AC109" s="208"/>
      <c r="AD109" s="208"/>
      <c r="AE109" s="208"/>
      <c r="AF109" s="208"/>
      <c r="AG109" s="208"/>
      <c r="AH109" s="208"/>
      <c r="AI109" s="208"/>
      <c r="AJ109" s="208"/>
      <c r="AK109" s="208"/>
      <c r="AL109" s="208"/>
    </row>
    <row r="110" spans="1:38" s="203" customFormat="1">
      <c r="A110" s="86">
        <f t="shared" si="10"/>
        <v>0</v>
      </c>
      <c r="B110" s="36" t="str">
        <f t="shared" si="6"/>
        <v/>
      </c>
      <c r="C110" s="24"/>
      <c r="D110" s="24"/>
      <c r="E110" s="24"/>
      <c r="F110" s="24"/>
      <c r="H110" s="217">
        <v>105</v>
      </c>
      <c r="I110" s="218" t="str">
        <f t="shared" si="7"/>
        <v/>
      </c>
      <c r="J110" s="217">
        <f t="shared" si="11"/>
        <v>0</v>
      </c>
      <c r="K110" s="217">
        <f t="shared" si="8"/>
        <v>0</v>
      </c>
      <c r="L110" s="217"/>
      <c r="M110" s="219">
        <f t="shared" si="9"/>
        <v>0</v>
      </c>
      <c r="S110" s="208"/>
      <c r="T110" s="208"/>
      <c r="U110" s="208"/>
      <c r="V110" s="208"/>
      <c r="W110" s="208"/>
      <c r="X110" s="208"/>
      <c r="Y110" s="208"/>
      <c r="Z110" s="208"/>
      <c r="AA110" s="208"/>
      <c r="AB110" s="208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</row>
    <row r="111" spans="1:38" s="203" customFormat="1">
      <c r="A111" s="90">
        <f t="shared" si="10"/>
        <v>0</v>
      </c>
      <c r="B111" s="35" t="str">
        <f t="shared" si="6"/>
        <v/>
      </c>
      <c r="C111" s="25"/>
      <c r="D111" s="25"/>
      <c r="E111" s="25"/>
      <c r="F111" s="25"/>
      <c r="H111" s="220">
        <v>106</v>
      </c>
      <c r="I111" s="221" t="str">
        <f t="shared" si="7"/>
        <v/>
      </c>
      <c r="J111" s="220">
        <f t="shared" si="11"/>
        <v>0</v>
      </c>
      <c r="K111" s="220">
        <f t="shared" si="8"/>
        <v>0</v>
      </c>
      <c r="L111" s="220"/>
      <c r="M111" s="222">
        <f t="shared" si="9"/>
        <v>0</v>
      </c>
      <c r="S111" s="208"/>
      <c r="T111" s="208"/>
      <c r="U111" s="208"/>
      <c r="V111" s="208"/>
      <c r="W111" s="208"/>
      <c r="X111" s="208"/>
      <c r="Y111" s="208"/>
      <c r="Z111" s="208"/>
      <c r="AA111" s="208"/>
      <c r="AB111" s="208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</row>
    <row r="112" spans="1:38" s="203" customFormat="1">
      <c r="A112" s="86">
        <f t="shared" si="10"/>
        <v>0</v>
      </c>
      <c r="B112" s="36" t="str">
        <f t="shared" si="6"/>
        <v/>
      </c>
      <c r="C112" s="24"/>
      <c r="D112" s="24"/>
      <c r="E112" s="24"/>
      <c r="F112" s="24"/>
      <c r="H112" s="217">
        <v>107</v>
      </c>
      <c r="I112" s="218" t="str">
        <f t="shared" si="7"/>
        <v/>
      </c>
      <c r="J112" s="217">
        <f t="shared" si="11"/>
        <v>0</v>
      </c>
      <c r="K112" s="217">
        <f t="shared" si="8"/>
        <v>0</v>
      </c>
      <c r="L112" s="217"/>
      <c r="M112" s="219">
        <f t="shared" si="9"/>
        <v>0</v>
      </c>
      <c r="S112" s="208"/>
      <c r="T112" s="208"/>
      <c r="U112" s="208"/>
      <c r="V112" s="208"/>
      <c r="W112" s="208"/>
      <c r="X112" s="208"/>
      <c r="Y112" s="208"/>
      <c r="Z112" s="208"/>
      <c r="AA112" s="208"/>
      <c r="AB112" s="208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</row>
    <row r="113" spans="1:38" s="203" customFormat="1">
      <c r="A113" s="90">
        <f t="shared" si="10"/>
        <v>0</v>
      </c>
      <c r="B113" s="35" t="str">
        <f t="shared" si="6"/>
        <v/>
      </c>
      <c r="C113" s="25"/>
      <c r="D113" s="25"/>
      <c r="E113" s="25"/>
      <c r="F113" s="25"/>
      <c r="H113" s="220">
        <v>108</v>
      </c>
      <c r="I113" s="221" t="str">
        <f t="shared" si="7"/>
        <v/>
      </c>
      <c r="J113" s="220">
        <f t="shared" si="11"/>
        <v>0</v>
      </c>
      <c r="K113" s="220">
        <f t="shared" si="8"/>
        <v>0</v>
      </c>
      <c r="L113" s="220"/>
      <c r="M113" s="222">
        <f t="shared" si="9"/>
        <v>0</v>
      </c>
      <c r="S113" s="208"/>
      <c r="T113" s="208"/>
      <c r="U113" s="208"/>
      <c r="V113" s="208"/>
      <c r="W113" s="208"/>
      <c r="X113" s="208"/>
      <c r="Y113" s="208"/>
      <c r="Z113" s="208"/>
      <c r="AA113" s="208"/>
      <c r="AB113" s="208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</row>
    <row r="114" spans="1:38" s="203" customFormat="1">
      <c r="A114" s="86">
        <f t="shared" si="10"/>
        <v>0</v>
      </c>
      <c r="B114" s="36" t="str">
        <f t="shared" si="6"/>
        <v/>
      </c>
      <c r="C114" s="24"/>
      <c r="D114" s="24"/>
      <c r="E114" s="24"/>
      <c r="F114" s="24"/>
      <c r="H114" s="217">
        <v>109</v>
      </c>
      <c r="I114" s="218" t="str">
        <f t="shared" si="7"/>
        <v/>
      </c>
      <c r="J114" s="217">
        <f t="shared" si="11"/>
        <v>0</v>
      </c>
      <c r="K114" s="217">
        <f t="shared" si="8"/>
        <v>0</v>
      </c>
      <c r="L114" s="217"/>
      <c r="M114" s="219">
        <f t="shared" si="9"/>
        <v>0</v>
      </c>
      <c r="S114" s="208"/>
      <c r="T114" s="208"/>
      <c r="U114" s="208"/>
      <c r="V114" s="208"/>
      <c r="W114" s="208"/>
      <c r="X114" s="208"/>
      <c r="Y114" s="208"/>
      <c r="Z114" s="208"/>
      <c r="AA114" s="208"/>
      <c r="AB114" s="208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</row>
    <row r="115" spans="1:38" s="203" customFormat="1">
      <c r="A115" s="90">
        <f t="shared" si="10"/>
        <v>0</v>
      </c>
      <c r="B115" s="35" t="str">
        <f t="shared" si="6"/>
        <v/>
      </c>
      <c r="C115" s="25"/>
      <c r="D115" s="25"/>
      <c r="E115" s="25"/>
      <c r="F115" s="25"/>
      <c r="H115" s="220">
        <v>110</v>
      </c>
      <c r="I115" s="221" t="str">
        <f t="shared" si="7"/>
        <v/>
      </c>
      <c r="J115" s="220">
        <f t="shared" si="11"/>
        <v>0</v>
      </c>
      <c r="K115" s="220">
        <f t="shared" si="8"/>
        <v>0</v>
      </c>
      <c r="L115" s="220"/>
      <c r="M115" s="222">
        <f t="shared" si="9"/>
        <v>0</v>
      </c>
      <c r="S115" s="208"/>
      <c r="T115" s="208"/>
      <c r="U115" s="208"/>
      <c r="V115" s="208"/>
      <c r="W115" s="208"/>
      <c r="X115" s="208"/>
      <c r="Y115" s="208"/>
      <c r="Z115" s="208"/>
      <c r="AA115" s="208"/>
      <c r="AB115" s="208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</row>
    <row r="116" spans="1:38" s="203" customFormat="1">
      <c r="A116" s="86">
        <f t="shared" si="10"/>
        <v>0</v>
      </c>
      <c r="B116" s="36" t="str">
        <f t="shared" si="6"/>
        <v/>
      </c>
      <c r="C116" s="24"/>
      <c r="D116" s="24"/>
      <c r="E116" s="24"/>
      <c r="F116" s="24"/>
      <c r="H116" s="217">
        <v>111</v>
      </c>
      <c r="I116" s="218" t="str">
        <f t="shared" si="7"/>
        <v/>
      </c>
      <c r="J116" s="217">
        <f t="shared" si="11"/>
        <v>0</v>
      </c>
      <c r="K116" s="217">
        <f t="shared" si="8"/>
        <v>0</v>
      </c>
      <c r="L116" s="217"/>
      <c r="M116" s="219">
        <f t="shared" si="9"/>
        <v>0</v>
      </c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</row>
    <row r="117" spans="1:38" s="203" customFormat="1">
      <c r="A117" s="90">
        <f t="shared" si="10"/>
        <v>0</v>
      </c>
      <c r="B117" s="35" t="str">
        <f t="shared" si="6"/>
        <v/>
      </c>
      <c r="C117" s="25"/>
      <c r="D117" s="25"/>
      <c r="E117" s="25"/>
      <c r="F117" s="25"/>
      <c r="H117" s="220">
        <v>112</v>
      </c>
      <c r="I117" s="221" t="str">
        <f t="shared" si="7"/>
        <v/>
      </c>
      <c r="J117" s="220">
        <f t="shared" si="11"/>
        <v>0</v>
      </c>
      <c r="K117" s="220">
        <f t="shared" si="8"/>
        <v>0</v>
      </c>
      <c r="L117" s="220"/>
      <c r="M117" s="222">
        <f t="shared" si="9"/>
        <v>0</v>
      </c>
      <c r="S117" s="208"/>
      <c r="T117" s="208"/>
      <c r="U117" s="208"/>
      <c r="V117" s="208"/>
      <c r="W117" s="208"/>
      <c r="X117" s="208"/>
      <c r="Y117" s="208"/>
      <c r="Z117" s="208"/>
      <c r="AA117" s="208"/>
      <c r="AB117" s="208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08"/>
    </row>
    <row r="118" spans="1:38" s="203" customFormat="1">
      <c r="A118" s="86">
        <f t="shared" si="10"/>
        <v>0</v>
      </c>
      <c r="B118" s="36" t="str">
        <f t="shared" si="6"/>
        <v/>
      </c>
      <c r="C118" s="24"/>
      <c r="D118" s="24"/>
      <c r="E118" s="24"/>
      <c r="F118" s="24"/>
      <c r="H118" s="217">
        <v>113</v>
      </c>
      <c r="I118" s="218" t="str">
        <f t="shared" si="7"/>
        <v/>
      </c>
      <c r="J118" s="217">
        <f t="shared" si="11"/>
        <v>0</v>
      </c>
      <c r="K118" s="217">
        <f t="shared" si="8"/>
        <v>0</v>
      </c>
      <c r="L118" s="217"/>
      <c r="M118" s="219">
        <f t="shared" si="9"/>
        <v>0</v>
      </c>
      <c r="S118" s="208"/>
      <c r="T118" s="208"/>
      <c r="U118" s="208"/>
      <c r="V118" s="208"/>
      <c r="W118" s="208"/>
      <c r="X118" s="208"/>
      <c r="Y118" s="208"/>
      <c r="Z118" s="208"/>
      <c r="AA118" s="208"/>
      <c r="AB118" s="208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</row>
    <row r="119" spans="1:38" s="203" customFormat="1">
      <c r="A119" s="90">
        <f t="shared" si="10"/>
        <v>0</v>
      </c>
      <c r="B119" s="35" t="str">
        <f t="shared" si="6"/>
        <v/>
      </c>
      <c r="C119" s="25"/>
      <c r="D119" s="25"/>
      <c r="E119" s="25"/>
      <c r="F119" s="25"/>
      <c r="H119" s="220">
        <v>114</v>
      </c>
      <c r="I119" s="221" t="str">
        <f t="shared" si="7"/>
        <v/>
      </c>
      <c r="J119" s="220">
        <f t="shared" si="11"/>
        <v>0</v>
      </c>
      <c r="K119" s="220">
        <f t="shared" si="8"/>
        <v>0</v>
      </c>
      <c r="L119" s="220"/>
      <c r="M119" s="222">
        <f t="shared" si="9"/>
        <v>0</v>
      </c>
      <c r="S119" s="208"/>
      <c r="T119" s="208"/>
      <c r="U119" s="208"/>
      <c r="V119" s="208"/>
      <c r="W119" s="208"/>
      <c r="X119" s="208"/>
      <c r="Y119" s="208"/>
      <c r="Z119" s="208"/>
      <c r="AA119" s="208"/>
      <c r="AB119" s="208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08"/>
    </row>
    <row r="120" spans="1:38" s="203" customFormat="1">
      <c r="A120" s="86">
        <f t="shared" si="10"/>
        <v>0</v>
      </c>
      <c r="B120" s="36" t="str">
        <f t="shared" si="6"/>
        <v/>
      </c>
      <c r="C120" s="24"/>
      <c r="D120" s="24"/>
      <c r="E120" s="24"/>
      <c r="F120" s="24"/>
      <c r="H120" s="217">
        <v>115</v>
      </c>
      <c r="I120" s="218" t="str">
        <f t="shared" si="7"/>
        <v/>
      </c>
      <c r="J120" s="217">
        <f t="shared" si="11"/>
        <v>0</v>
      </c>
      <c r="K120" s="217">
        <f t="shared" si="8"/>
        <v>0</v>
      </c>
      <c r="L120" s="217"/>
      <c r="M120" s="219">
        <f t="shared" si="9"/>
        <v>0</v>
      </c>
      <c r="S120" s="208"/>
      <c r="T120" s="208"/>
      <c r="U120" s="208"/>
      <c r="V120" s="208"/>
      <c r="W120" s="208"/>
      <c r="X120" s="208"/>
      <c r="Y120" s="208"/>
      <c r="Z120" s="208"/>
      <c r="AA120" s="208"/>
      <c r="AB120" s="208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</row>
    <row r="121" spans="1:38" s="203" customFormat="1">
      <c r="A121" s="90">
        <f t="shared" si="10"/>
        <v>0</v>
      </c>
      <c r="B121" s="35" t="str">
        <f t="shared" si="6"/>
        <v/>
      </c>
      <c r="C121" s="25"/>
      <c r="D121" s="25"/>
      <c r="E121" s="25"/>
      <c r="F121" s="25"/>
      <c r="H121" s="220">
        <v>116</v>
      </c>
      <c r="I121" s="221" t="str">
        <f t="shared" si="7"/>
        <v/>
      </c>
      <c r="J121" s="220">
        <f t="shared" si="11"/>
        <v>0</v>
      </c>
      <c r="K121" s="220">
        <f t="shared" si="8"/>
        <v>0</v>
      </c>
      <c r="L121" s="220"/>
      <c r="M121" s="222">
        <f t="shared" si="9"/>
        <v>0</v>
      </c>
      <c r="S121" s="208"/>
      <c r="T121" s="208"/>
      <c r="U121" s="208"/>
      <c r="V121" s="208"/>
      <c r="W121" s="208"/>
      <c r="X121" s="208"/>
      <c r="Y121" s="208"/>
      <c r="Z121" s="208"/>
      <c r="AA121" s="208"/>
      <c r="AB121" s="208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</row>
    <row r="122" spans="1:38" s="203" customFormat="1">
      <c r="A122" s="86">
        <f t="shared" si="10"/>
        <v>0</v>
      </c>
      <c r="B122" s="36" t="str">
        <f t="shared" si="6"/>
        <v/>
      </c>
      <c r="C122" s="24"/>
      <c r="D122" s="24"/>
      <c r="E122" s="24"/>
      <c r="F122" s="24"/>
      <c r="H122" s="217">
        <v>117</v>
      </c>
      <c r="I122" s="218" t="str">
        <f t="shared" si="7"/>
        <v/>
      </c>
      <c r="J122" s="217">
        <f t="shared" si="11"/>
        <v>0</v>
      </c>
      <c r="K122" s="217">
        <f t="shared" si="8"/>
        <v>0</v>
      </c>
      <c r="L122" s="217"/>
      <c r="M122" s="219">
        <f t="shared" si="9"/>
        <v>0</v>
      </c>
      <c r="S122" s="208"/>
      <c r="T122" s="208"/>
      <c r="U122" s="208"/>
      <c r="V122" s="208"/>
      <c r="W122" s="208"/>
      <c r="X122" s="208"/>
      <c r="Y122" s="208"/>
      <c r="Z122" s="208"/>
      <c r="AA122" s="208"/>
      <c r="AB122" s="208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08"/>
    </row>
    <row r="123" spans="1:38" s="203" customFormat="1">
      <c r="A123" s="90">
        <f t="shared" si="10"/>
        <v>0</v>
      </c>
      <c r="B123" s="35" t="str">
        <f t="shared" si="6"/>
        <v/>
      </c>
      <c r="C123" s="25"/>
      <c r="D123" s="25"/>
      <c r="E123" s="25"/>
      <c r="F123" s="25"/>
      <c r="H123" s="220">
        <v>118</v>
      </c>
      <c r="I123" s="221" t="str">
        <f t="shared" si="7"/>
        <v/>
      </c>
      <c r="J123" s="220">
        <f t="shared" si="11"/>
        <v>0</v>
      </c>
      <c r="K123" s="220">
        <f t="shared" si="8"/>
        <v>0</v>
      </c>
      <c r="L123" s="220"/>
      <c r="M123" s="222">
        <f t="shared" si="9"/>
        <v>0</v>
      </c>
      <c r="S123" s="208"/>
      <c r="T123" s="208"/>
      <c r="U123" s="208"/>
      <c r="V123" s="208"/>
      <c r="W123" s="208"/>
      <c r="X123" s="208"/>
      <c r="Y123" s="208"/>
      <c r="Z123" s="208"/>
      <c r="AA123" s="208"/>
      <c r="AB123" s="208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</row>
    <row r="124" spans="1:38" s="203" customFormat="1">
      <c r="A124" s="86">
        <f t="shared" si="10"/>
        <v>0</v>
      </c>
      <c r="B124" s="36" t="str">
        <f t="shared" si="6"/>
        <v/>
      </c>
      <c r="C124" s="24"/>
      <c r="D124" s="24"/>
      <c r="E124" s="24"/>
      <c r="F124" s="24"/>
      <c r="H124" s="217">
        <v>119</v>
      </c>
      <c r="I124" s="218" t="str">
        <f t="shared" si="7"/>
        <v/>
      </c>
      <c r="J124" s="217">
        <f t="shared" si="11"/>
        <v>0</v>
      </c>
      <c r="K124" s="217">
        <f t="shared" si="8"/>
        <v>0</v>
      </c>
      <c r="L124" s="217"/>
      <c r="M124" s="219">
        <f t="shared" si="9"/>
        <v>0</v>
      </c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</row>
    <row r="125" spans="1:38" s="203" customFormat="1">
      <c r="A125" s="90">
        <f t="shared" si="10"/>
        <v>0</v>
      </c>
      <c r="B125" s="35" t="str">
        <f t="shared" si="6"/>
        <v/>
      </c>
      <c r="C125" s="25"/>
      <c r="D125" s="25"/>
      <c r="E125" s="25"/>
      <c r="F125" s="25"/>
      <c r="H125" s="220">
        <v>120</v>
      </c>
      <c r="I125" s="221" t="str">
        <f t="shared" si="7"/>
        <v/>
      </c>
      <c r="J125" s="220">
        <f t="shared" si="11"/>
        <v>0</v>
      </c>
      <c r="K125" s="220">
        <f t="shared" si="8"/>
        <v>0</v>
      </c>
      <c r="L125" s="220"/>
      <c r="M125" s="222">
        <f t="shared" si="9"/>
        <v>0</v>
      </c>
      <c r="S125" s="208"/>
      <c r="T125" s="208"/>
      <c r="U125" s="208"/>
      <c r="V125" s="208"/>
      <c r="W125" s="208"/>
      <c r="X125" s="208"/>
      <c r="Y125" s="208"/>
      <c r="Z125" s="208"/>
      <c r="AA125" s="208"/>
      <c r="AB125" s="208"/>
      <c r="AC125" s="208"/>
      <c r="AD125" s="208"/>
      <c r="AE125" s="208"/>
      <c r="AF125" s="208"/>
      <c r="AG125" s="208"/>
      <c r="AH125" s="208"/>
      <c r="AI125" s="208"/>
      <c r="AJ125" s="208"/>
      <c r="AK125" s="208"/>
      <c r="AL125" s="208"/>
    </row>
    <row r="126" spans="1:38" s="203" customFormat="1">
      <c r="A126" s="86">
        <f t="shared" si="10"/>
        <v>0</v>
      </c>
      <c r="B126" s="36" t="str">
        <f t="shared" si="6"/>
        <v/>
      </c>
      <c r="C126" s="24"/>
      <c r="D126" s="24"/>
      <c r="E126" s="24"/>
      <c r="F126" s="24"/>
      <c r="H126" s="217">
        <v>121</v>
      </c>
      <c r="I126" s="218" t="str">
        <f t="shared" si="7"/>
        <v/>
      </c>
      <c r="J126" s="217">
        <f t="shared" si="11"/>
        <v>0</v>
      </c>
      <c r="K126" s="217">
        <f t="shared" si="8"/>
        <v>0</v>
      </c>
      <c r="L126" s="217"/>
      <c r="M126" s="219">
        <f t="shared" si="9"/>
        <v>0</v>
      </c>
      <c r="S126" s="208"/>
      <c r="T126" s="208"/>
      <c r="U126" s="208"/>
      <c r="V126" s="208"/>
      <c r="W126" s="208"/>
      <c r="X126" s="208"/>
      <c r="Y126" s="208"/>
      <c r="Z126" s="208"/>
      <c r="AA126" s="208"/>
      <c r="AB126" s="208"/>
      <c r="AC126" s="208"/>
      <c r="AD126" s="208"/>
      <c r="AE126" s="208"/>
      <c r="AF126" s="208"/>
      <c r="AG126" s="208"/>
      <c r="AH126" s="208"/>
      <c r="AI126" s="208"/>
      <c r="AJ126" s="208"/>
      <c r="AK126" s="208"/>
      <c r="AL126" s="208"/>
    </row>
    <row r="127" spans="1:38" s="203" customFormat="1">
      <c r="A127" s="90">
        <f t="shared" si="10"/>
        <v>0</v>
      </c>
      <c r="B127" s="35" t="str">
        <f t="shared" si="6"/>
        <v/>
      </c>
      <c r="C127" s="25"/>
      <c r="D127" s="25"/>
      <c r="E127" s="25"/>
      <c r="F127" s="25"/>
      <c r="H127" s="220">
        <v>122</v>
      </c>
      <c r="I127" s="221" t="str">
        <f t="shared" si="7"/>
        <v/>
      </c>
      <c r="J127" s="220">
        <f t="shared" si="11"/>
        <v>0</v>
      </c>
      <c r="K127" s="220">
        <f t="shared" si="8"/>
        <v>0</v>
      </c>
      <c r="L127" s="220"/>
      <c r="M127" s="222">
        <f t="shared" si="9"/>
        <v>0</v>
      </c>
      <c r="S127" s="208"/>
      <c r="T127" s="208"/>
      <c r="U127" s="208"/>
      <c r="V127" s="208"/>
      <c r="W127" s="208"/>
      <c r="X127" s="208"/>
      <c r="Y127" s="208"/>
      <c r="Z127" s="208"/>
      <c r="AA127" s="208"/>
      <c r="AB127" s="208"/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08"/>
    </row>
    <row r="128" spans="1:38" s="203" customFormat="1">
      <c r="A128" s="86">
        <f t="shared" si="10"/>
        <v>0</v>
      </c>
      <c r="B128" s="36" t="str">
        <f t="shared" si="6"/>
        <v/>
      </c>
      <c r="C128" s="24"/>
      <c r="D128" s="24"/>
      <c r="E128" s="24"/>
      <c r="F128" s="24"/>
      <c r="H128" s="217">
        <v>123</v>
      </c>
      <c r="I128" s="218" t="str">
        <f t="shared" si="7"/>
        <v/>
      </c>
      <c r="J128" s="217">
        <f t="shared" si="11"/>
        <v>0</v>
      </c>
      <c r="K128" s="217">
        <f t="shared" si="8"/>
        <v>0</v>
      </c>
      <c r="L128" s="217"/>
      <c r="M128" s="219">
        <f t="shared" si="9"/>
        <v>0</v>
      </c>
      <c r="S128" s="208"/>
      <c r="T128" s="208"/>
      <c r="U128" s="208"/>
      <c r="V128" s="208"/>
      <c r="W128" s="208"/>
      <c r="X128" s="208"/>
      <c r="Y128" s="208"/>
      <c r="Z128" s="208"/>
      <c r="AA128" s="208"/>
      <c r="AB128" s="208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</row>
    <row r="129" spans="1:38" s="203" customFormat="1">
      <c r="A129" s="90">
        <f t="shared" si="10"/>
        <v>0</v>
      </c>
      <c r="B129" s="35" t="str">
        <f t="shared" si="6"/>
        <v/>
      </c>
      <c r="C129" s="25"/>
      <c r="D129" s="25"/>
      <c r="E129" s="25"/>
      <c r="F129" s="25"/>
      <c r="H129" s="220">
        <v>124</v>
      </c>
      <c r="I129" s="221" t="str">
        <f t="shared" si="7"/>
        <v/>
      </c>
      <c r="J129" s="220">
        <f t="shared" si="11"/>
        <v>0</v>
      </c>
      <c r="K129" s="220">
        <f t="shared" si="8"/>
        <v>0</v>
      </c>
      <c r="L129" s="220"/>
      <c r="M129" s="222">
        <f t="shared" si="9"/>
        <v>0</v>
      </c>
      <c r="S129" s="208"/>
      <c r="T129" s="208"/>
      <c r="U129" s="208"/>
      <c r="V129" s="208"/>
      <c r="W129" s="208"/>
      <c r="X129" s="208"/>
      <c r="Y129" s="208"/>
      <c r="Z129" s="208"/>
      <c r="AA129" s="208"/>
      <c r="AB129" s="208"/>
      <c r="AC129" s="208"/>
      <c r="AD129" s="208"/>
      <c r="AE129" s="208"/>
      <c r="AF129" s="208"/>
      <c r="AG129" s="208"/>
      <c r="AH129" s="208"/>
      <c r="AI129" s="208"/>
      <c r="AJ129" s="208"/>
      <c r="AK129" s="208"/>
      <c r="AL129" s="208"/>
    </row>
    <row r="130" spans="1:38" s="203" customFormat="1">
      <c r="A130" s="86">
        <f t="shared" si="10"/>
        <v>0</v>
      </c>
      <c r="B130" s="36" t="str">
        <f t="shared" si="6"/>
        <v/>
      </c>
      <c r="C130" s="24"/>
      <c r="D130" s="24"/>
      <c r="E130" s="24"/>
      <c r="F130" s="24"/>
      <c r="H130" s="217">
        <v>125</v>
      </c>
      <c r="I130" s="218" t="str">
        <f t="shared" si="7"/>
        <v/>
      </c>
      <c r="J130" s="217">
        <f t="shared" si="11"/>
        <v>0</v>
      </c>
      <c r="K130" s="217">
        <f t="shared" si="8"/>
        <v>0</v>
      </c>
      <c r="L130" s="217"/>
      <c r="M130" s="219">
        <f t="shared" si="9"/>
        <v>0</v>
      </c>
      <c r="S130" s="208"/>
      <c r="T130" s="208"/>
      <c r="U130" s="208"/>
      <c r="V130" s="208"/>
      <c r="W130" s="208"/>
      <c r="X130" s="208"/>
      <c r="Y130" s="208"/>
      <c r="Z130" s="208"/>
      <c r="AA130" s="208"/>
      <c r="AB130" s="208"/>
      <c r="AC130" s="208"/>
      <c r="AD130" s="208"/>
      <c r="AE130" s="208"/>
      <c r="AF130" s="208"/>
      <c r="AG130" s="208"/>
      <c r="AH130" s="208"/>
      <c r="AI130" s="208"/>
      <c r="AJ130" s="208"/>
      <c r="AK130" s="208"/>
      <c r="AL130" s="208"/>
    </row>
    <row r="131" spans="1:38" s="203" customFormat="1">
      <c r="A131" s="90">
        <f t="shared" si="10"/>
        <v>0</v>
      </c>
      <c r="B131" s="35" t="str">
        <f t="shared" si="6"/>
        <v/>
      </c>
      <c r="C131" s="25"/>
      <c r="D131" s="25"/>
      <c r="E131" s="25"/>
      <c r="F131" s="25"/>
      <c r="H131" s="220">
        <v>126</v>
      </c>
      <c r="I131" s="221" t="str">
        <f t="shared" si="7"/>
        <v/>
      </c>
      <c r="J131" s="220">
        <f t="shared" si="11"/>
        <v>0</v>
      </c>
      <c r="K131" s="220">
        <f t="shared" si="8"/>
        <v>0</v>
      </c>
      <c r="L131" s="220"/>
      <c r="M131" s="222">
        <f t="shared" si="9"/>
        <v>0</v>
      </c>
      <c r="S131" s="208"/>
      <c r="T131" s="208"/>
      <c r="U131" s="208"/>
      <c r="V131" s="208"/>
      <c r="W131" s="208"/>
      <c r="X131" s="208"/>
      <c r="Y131" s="208"/>
      <c r="Z131" s="208"/>
      <c r="AA131" s="208"/>
      <c r="AB131" s="208"/>
      <c r="AC131" s="208"/>
      <c r="AD131" s="208"/>
      <c r="AE131" s="208"/>
      <c r="AF131" s="208"/>
      <c r="AG131" s="208"/>
      <c r="AH131" s="208"/>
      <c r="AI131" s="208"/>
      <c r="AJ131" s="208"/>
      <c r="AK131" s="208"/>
      <c r="AL131" s="208"/>
    </row>
    <row r="132" spans="1:38" s="203" customFormat="1">
      <c r="A132" s="86">
        <f t="shared" si="10"/>
        <v>0</v>
      </c>
      <c r="B132" s="36" t="str">
        <f t="shared" si="6"/>
        <v/>
      </c>
      <c r="C132" s="24"/>
      <c r="D132" s="24"/>
      <c r="E132" s="24"/>
      <c r="F132" s="24"/>
      <c r="H132" s="217">
        <v>127</v>
      </c>
      <c r="I132" s="218" t="str">
        <f t="shared" si="7"/>
        <v/>
      </c>
      <c r="J132" s="217">
        <f t="shared" si="11"/>
        <v>0</v>
      </c>
      <c r="K132" s="217">
        <f t="shared" si="8"/>
        <v>0</v>
      </c>
      <c r="L132" s="217"/>
      <c r="M132" s="219">
        <f t="shared" si="9"/>
        <v>0</v>
      </c>
      <c r="S132" s="208"/>
      <c r="T132" s="208"/>
      <c r="U132" s="208"/>
      <c r="V132" s="208"/>
      <c r="W132" s="208"/>
      <c r="X132" s="208"/>
      <c r="Y132" s="208"/>
      <c r="Z132" s="208"/>
      <c r="AA132" s="208"/>
      <c r="AB132" s="208"/>
      <c r="AC132" s="208"/>
      <c r="AD132" s="208"/>
      <c r="AE132" s="208"/>
      <c r="AF132" s="208"/>
      <c r="AG132" s="208"/>
      <c r="AH132" s="208"/>
      <c r="AI132" s="208"/>
      <c r="AJ132" s="208"/>
      <c r="AK132" s="208"/>
      <c r="AL132" s="208"/>
    </row>
    <row r="133" spans="1:38" s="203" customFormat="1">
      <c r="A133" s="90">
        <f t="shared" si="10"/>
        <v>0</v>
      </c>
      <c r="B133" s="35" t="str">
        <f t="shared" si="6"/>
        <v/>
      </c>
      <c r="C133" s="25"/>
      <c r="D133" s="25"/>
      <c r="E133" s="25"/>
      <c r="F133" s="25"/>
      <c r="H133" s="220">
        <v>128</v>
      </c>
      <c r="I133" s="221" t="str">
        <f t="shared" si="7"/>
        <v/>
      </c>
      <c r="J133" s="220">
        <f t="shared" si="11"/>
        <v>0</v>
      </c>
      <c r="K133" s="220">
        <f t="shared" si="8"/>
        <v>0</v>
      </c>
      <c r="L133" s="220"/>
      <c r="M133" s="222">
        <f t="shared" si="9"/>
        <v>0</v>
      </c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08"/>
    </row>
    <row r="134" spans="1:38" s="203" customFormat="1">
      <c r="A134" s="86">
        <f t="shared" si="10"/>
        <v>0</v>
      </c>
      <c r="B134" s="36" t="str">
        <f t="shared" ref="B134:B140" si="12">IF(H134&gt;$H$2,"",(ROW()-5))</f>
        <v/>
      </c>
      <c r="C134" s="24"/>
      <c r="D134" s="24"/>
      <c r="E134" s="24"/>
      <c r="F134" s="24"/>
      <c r="H134" s="217">
        <v>129</v>
      </c>
      <c r="I134" s="218" t="str">
        <f t="shared" ref="I134:I197" si="13">IF(H134&lt;$H$2+1,($I$2-($I$2-1)*(LOG(H134)/LOG($H$2))),"")</f>
        <v/>
      </c>
      <c r="J134" s="217">
        <f t="shared" si="11"/>
        <v>-1</v>
      </c>
      <c r="K134" s="217">
        <f t="shared" ref="K134:K197" si="14">J134*$J$2</f>
        <v>-10</v>
      </c>
      <c r="L134" s="217"/>
      <c r="M134" s="219">
        <f t="shared" ref="M134:M197" si="15">IF(I134&lt;&gt;"",K134+I134+L134,0)</f>
        <v>0</v>
      </c>
      <c r="S134" s="208"/>
      <c r="T134" s="208"/>
      <c r="U134" s="208"/>
      <c r="V134" s="208"/>
      <c r="W134" s="208"/>
      <c r="X134" s="208"/>
      <c r="Y134" s="208"/>
      <c r="Z134" s="208"/>
      <c r="AA134" s="208"/>
      <c r="AB134" s="208"/>
      <c r="AC134" s="208"/>
      <c r="AD134" s="208"/>
      <c r="AE134" s="208"/>
      <c r="AF134" s="208"/>
      <c r="AG134" s="208"/>
      <c r="AH134" s="208"/>
      <c r="AI134" s="208"/>
      <c r="AJ134" s="208"/>
      <c r="AK134" s="208"/>
      <c r="AL134" s="208"/>
    </row>
    <row r="135" spans="1:38" s="203" customFormat="1">
      <c r="A135" s="90">
        <f t="shared" ref="A135:A140" si="16">M135</f>
        <v>0</v>
      </c>
      <c r="B135" s="35" t="str">
        <f t="shared" si="12"/>
        <v/>
      </c>
      <c r="C135" s="25"/>
      <c r="D135" s="25"/>
      <c r="E135" s="25"/>
      <c r="F135" s="25"/>
      <c r="H135" s="220">
        <v>130</v>
      </c>
      <c r="I135" s="221" t="str">
        <f t="shared" si="13"/>
        <v/>
      </c>
      <c r="J135" s="220">
        <f t="shared" ref="J135:J198" si="17">INT(LOG($H$2,2))-ROUNDUP(LOG(H135,2),0)+IF(OR($H$2=1,$H$2=2,$H$2=4,$H$2=8,$H$2=16,$H$2=32,$H$2=64,$H$2=128,$H$2=256),0,1)</f>
        <v>-1</v>
      </c>
      <c r="K135" s="220">
        <f t="shared" si="14"/>
        <v>-10</v>
      </c>
      <c r="L135" s="220"/>
      <c r="M135" s="222">
        <f t="shared" si="15"/>
        <v>0</v>
      </c>
      <c r="S135" s="208"/>
      <c r="T135" s="208"/>
      <c r="U135" s="208"/>
      <c r="V135" s="208"/>
      <c r="W135" s="208"/>
      <c r="X135" s="208"/>
      <c r="Y135" s="208"/>
      <c r="Z135" s="208"/>
      <c r="AA135" s="208"/>
      <c r="AB135" s="208"/>
      <c r="AC135" s="208"/>
      <c r="AD135" s="208"/>
      <c r="AE135" s="208"/>
      <c r="AF135" s="208"/>
      <c r="AG135" s="208"/>
      <c r="AH135" s="208"/>
      <c r="AI135" s="208"/>
      <c r="AJ135" s="208"/>
      <c r="AK135" s="208"/>
      <c r="AL135" s="208"/>
    </row>
    <row r="136" spans="1:38" s="203" customFormat="1">
      <c r="A136" s="86">
        <f t="shared" si="16"/>
        <v>0</v>
      </c>
      <c r="B136" s="36" t="str">
        <f t="shared" si="12"/>
        <v/>
      </c>
      <c r="C136" s="24"/>
      <c r="D136" s="24"/>
      <c r="E136" s="24"/>
      <c r="F136" s="24"/>
      <c r="H136" s="217">
        <v>131</v>
      </c>
      <c r="I136" s="218" t="str">
        <f t="shared" si="13"/>
        <v/>
      </c>
      <c r="J136" s="217">
        <f t="shared" si="17"/>
        <v>-1</v>
      </c>
      <c r="K136" s="217">
        <f t="shared" si="14"/>
        <v>-10</v>
      </c>
      <c r="L136" s="217"/>
      <c r="M136" s="219">
        <f t="shared" si="15"/>
        <v>0</v>
      </c>
      <c r="S136" s="208"/>
      <c r="T136" s="208"/>
      <c r="U136" s="208"/>
      <c r="V136" s="208"/>
      <c r="W136" s="208"/>
      <c r="X136" s="208"/>
      <c r="Y136" s="208"/>
      <c r="Z136" s="208"/>
      <c r="AA136" s="208"/>
      <c r="AB136" s="208"/>
      <c r="AC136" s="208"/>
      <c r="AD136" s="208"/>
      <c r="AE136" s="208"/>
      <c r="AF136" s="208"/>
      <c r="AG136" s="208"/>
      <c r="AH136" s="208"/>
      <c r="AI136" s="208"/>
      <c r="AJ136" s="208"/>
      <c r="AK136" s="208"/>
      <c r="AL136" s="208"/>
    </row>
    <row r="137" spans="1:38" s="203" customFormat="1">
      <c r="A137" s="90">
        <f t="shared" si="16"/>
        <v>0</v>
      </c>
      <c r="B137" s="35" t="str">
        <f t="shared" si="12"/>
        <v/>
      </c>
      <c r="C137" s="25"/>
      <c r="D137" s="25"/>
      <c r="E137" s="25"/>
      <c r="F137" s="25"/>
      <c r="H137" s="220">
        <v>132</v>
      </c>
      <c r="I137" s="221" t="str">
        <f t="shared" si="13"/>
        <v/>
      </c>
      <c r="J137" s="220">
        <f t="shared" si="17"/>
        <v>-1</v>
      </c>
      <c r="K137" s="220">
        <f t="shared" si="14"/>
        <v>-10</v>
      </c>
      <c r="L137" s="220"/>
      <c r="M137" s="222">
        <f t="shared" si="15"/>
        <v>0</v>
      </c>
      <c r="S137" s="208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08"/>
    </row>
    <row r="138" spans="1:38" s="203" customFormat="1">
      <c r="A138" s="86">
        <f t="shared" si="16"/>
        <v>0</v>
      </c>
      <c r="B138" s="36" t="str">
        <f t="shared" si="12"/>
        <v/>
      </c>
      <c r="C138" s="24"/>
      <c r="D138" s="24"/>
      <c r="E138" s="24"/>
      <c r="F138" s="24"/>
      <c r="H138" s="217">
        <v>133</v>
      </c>
      <c r="I138" s="218" t="str">
        <f t="shared" si="13"/>
        <v/>
      </c>
      <c r="J138" s="217">
        <f t="shared" si="17"/>
        <v>-1</v>
      </c>
      <c r="K138" s="217">
        <f t="shared" si="14"/>
        <v>-10</v>
      </c>
      <c r="L138" s="217"/>
      <c r="M138" s="219">
        <f t="shared" si="15"/>
        <v>0</v>
      </c>
      <c r="S138" s="208"/>
      <c r="T138" s="208"/>
      <c r="U138" s="208"/>
      <c r="V138" s="208"/>
      <c r="W138" s="208"/>
      <c r="X138" s="208"/>
      <c r="Y138" s="208"/>
      <c r="Z138" s="208"/>
      <c r="AA138" s="208"/>
      <c r="AB138" s="208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</row>
    <row r="139" spans="1:38" s="203" customFormat="1">
      <c r="A139" s="90">
        <f t="shared" si="16"/>
        <v>0</v>
      </c>
      <c r="B139" s="35" t="str">
        <f t="shared" si="12"/>
        <v/>
      </c>
      <c r="C139" s="25"/>
      <c r="D139" s="25"/>
      <c r="E139" s="25"/>
      <c r="F139" s="25"/>
      <c r="H139" s="220">
        <v>134</v>
      </c>
      <c r="I139" s="221" t="str">
        <f t="shared" si="13"/>
        <v/>
      </c>
      <c r="J139" s="220">
        <f t="shared" si="17"/>
        <v>-1</v>
      </c>
      <c r="K139" s="220">
        <f t="shared" si="14"/>
        <v>-10</v>
      </c>
      <c r="L139" s="220"/>
      <c r="M139" s="222">
        <f t="shared" si="15"/>
        <v>0</v>
      </c>
      <c r="S139" s="208"/>
      <c r="T139" s="208"/>
      <c r="U139" s="208"/>
      <c r="V139" s="208"/>
      <c r="W139" s="208"/>
      <c r="X139" s="208"/>
      <c r="Y139" s="208"/>
      <c r="Z139" s="208"/>
      <c r="AA139" s="208"/>
      <c r="AB139" s="208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208"/>
    </row>
    <row r="140" spans="1:38" s="203" customFormat="1">
      <c r="A140" s="86">
        <f t="shared" si="16"/>
        <v>0</v>
      </c>
      <c r="B140" s="36" t="str">
        <f t="shared" si="12"/>
        <v/>
      </c>
      <c r="C140" s="24"/>
      <c r="D140" s="24"/>
      <c r="E140" s="24"/>
      <c r="F140" s="24"/>
      <c r="H140" s="217">
        <v>135</v>
      </c>
      <c r="I140" s="218" t="str">
        <f t="shared" si="13"/>
        <v/>
      </c>
      <c r="J140" s="217">
        <f t="shared" si="17"/>
        <v>-1</v>
      </c>
      <c r="K140" s="217">
        <f t="shared" si="14"/>
        <v>-10</v>
      </c>
      <c r="L140" s="217"/>
      <c r="M140" s="219">
        <f t="shared" si="15"/>
        <v>0</v>
      </c>
      <c r="S140" s="208"/>
      <c r="T140" s="208"/>
      <c r="U140" s="208"/>
      <c r="V140" s="208"/>
      <c r="W140" s="208"/>
      <c r="X140" s="208"/>
      <c r="Y140" s="208"/>
      <c r="Z140" s="208"/>
      <c r="AA140" s="208"/>
      <c r="AB140" s="208"/>
      <c r="AC140" s="208"/>
      <c r="AD140" s="208"/>
      <c r="AE140" s="208"/>
      <c r="AF140" s="208"/>
      <c r="AG140" s="208"/>
      <c r="AH140" s="208"/>
      <c r="AI140" s="208"/>
      <c r="AJ140" s="208"/>
      <c r="AK140" s="208"/>
      <c r="AL140" s="208"/>
    </row>
    <row r="141" spans="1:38">
      <c r="A141" s="234"/>
      <c r="G141" s="203"/>
      <c r="H141" s="220">
        <v>136</v>
      </c>
      <c r="I141" s="218" t="str">
        <f t="shared" si="13"/>
        <v/>
      </c>
      <c r="J141" s="217">
        <f t="shared" si="17"/>
        <v>-1</v>
      </c>
      <c r="K141" s="217">
        <f t="shared" si="14"/>
        <v>-10</v>
      </c>
      <c r="L141" s="217"/>
      <c r="M141" s="219">
        <f t="shared" si="15"/>
        <v>0</v>
      </c>
    </row>
    <row r="142" spans="1:38">
      <c r="A142" s="234"/>
      <c r="G142" s="203"/>
      <c r="H142" s="217">
        <v>137</v>
      </c>
      <c r="I142" s="218" t="str">
        <f t="shared" si="13"/>
        <v/>
      </c>
      <c r="J142" s="217">
        <f t="shared" si="17"/>
        <v>-1</v>
      </c>
      <c r="K142" s="217">
        <f t="shared" si="14"/>
        <v>-10</v>
      </c>
      <c r="L142" s="217"/>
      <c r="M142" s="219">
        <f t="shared" si="15"/>
        <v>0</v>
      </c>
    </row>
    <row r="143" spans="1:38">
      <c r="A143" s="234"/>
      <c r="G143" s="203"/>
      <c r="H143" s="220">
        <v>138</v>
      </c>
      <c r="I143" s="218" t="str">
        <f t="shared" si="13"/>
        <v/>
      </c>
      <c r="J143" s="217">
        <f t="shared" si="17"/>
        <v>-1</v>
      </c>
      <c r="K143" s="217">
        <f t="shared" si="14"/>
        <v>-10</v>
      </c>
      <c r="L143" s="217"/>
      <c r="M143" s="219">
        <f t="shared" si="15"/>
        <v>0</v>
      </c>
    </row>
    <row r="144" spans="1:38">
      <c r="A144" s="234"/>
      <c r="G144" s="203"/>
      <c r="H144" s="217">
        <v>139</v>
      </c>
      <c r="I144" s="218" t="str">
        <f t="shared" si="13"/>
        <v/>
      </c>
      <c r="J144" s="217">
        <f t="shared" si="17"/>
        <v>-1</v>
      </c>
      <c r="K144" s="217">
        <f t="shared" si="14"/>
        <v>-10</v>
      </c>
      <c r="L144" s="217"/>
      <c r="M144" s="219">
        <f t="shared" si="15"/>
        <v>0</v>
      </c>
    </row>
    <row r="145" spans="1:13">
      <c r="A145" s="234"/>
      <c r="G145" s="203"/>
      <c r="H145" s="220">
        <v>140</v>
      </c>
      <c r="I145" s="218" t="str">
        <f t="shared" si="13"/>
        <v/>
      </c>
      <c r="J145" s="217">
        <f t="shared" si="17"/>
        <v>-1</v>
      </c>
      <c r="K145" s="217">
        <f t="shared" si="14"/>
        <v>-10</v>
      </c>
      <c r="L145" s="217"/>
      <c r="M145" s="219">
        <f t="shared" si="15"/>
        <v>0</v>
      </c>
    </row>
    <row r="146" spans="1:13">
      <c r="A146" s="234"/>
      <c r="G146" s="203"/>
      <c r="H146" s="217">
        <v>141</v>
      </c>
      <c r="I146" s="218" t="str">
        <f t="shared" si="13"/>
        <v/>
      </c>
      <c r="J146" s="217">
        <f t="shared" si="17"/>
        <v>-1</v>
      </c>
      <c r="K146" s="217">
        <f t="shared" si="14"/>
        <v>-10</v>
      </c>
      <c r="L146" s="217"/>
      <c r="M146" s="219">
        <f t="shared" si="15"/>
        <v>0</v>
      </c>
    </row>
    <row r="147" spans="1:13">
      <c r="A147" s="234"/>
      <c r="G147" s="203"/>
      <c r="H147" s="220">
        <v>142</v>
      </c>
      <c r="I147" s="218" t="str">
        <f t="shared" si="13"/>
        <v/>
      </c>
      <c r="J147" s="217">
        <f t="shared" si="17"/>
        <v>-1</v>
      </c>
      <c r="K147" s="217">
        <f t="shared" si="14"/>
        <v>-10</v>
      </c>
      <c r="L147" s="217"/>
      <c r="M147" s="219">
        <f t="shared" si="15"/>
        <v>0</v>
      </c>
    </row>
    <row r="148" spans="1:13">
      <c r="A148" s="234"/>
      <c r="G148" s="203"/>
      <c r="H148" s="217">
        <v>143</v>
      </c>
      <c r="I148" s="218" t="str">
        <f t="shared" si="13"/>
        <v/>
      </c>
      <c r="J148" s="217">
        <f t="shared" si="17"/>
        <v>-1</v>
      </c>
      <c r="K148" s="217">
        <f t="shared" si="14"/>
        <v>-10</v>
      </c>
      <c r="L148" s="217"/>
      <c r="M148" s="219">
        <f t="shared" si="15"/>
        <v>0</v>
      </c>
    </row>
    <row r="149" spans="1:13">
      <c r="A149" s="234"/>
      <c r="G149" s="203"/>
      <c r="H149" s="220">
        <v>144</v>
      </c>
      <c r="I149" s="218" t="str">
        <f t="shared" si="13"/>
        <v/>
      </c>
      <c r="J149" s="217">
        <f t="shared" si="17"/>
        <v>-1</v>
      </c>
      <c r="K149" s="217">
        <f t="shared" si="14"/>
        <v>-10</v>
      </c>
      <c r="L149" s="217"/>
      <c r="M149" s="219">
        <f t="shared" si="15"/>
        <v>0</v>
      </c>
    </row>
    <row r="150" spans="1:13">
      <c r="A150" s="234"/>
      <c r="G150" s="203"/>
      <c r="H150" s="217">
        <v>145</v>
      </c>
      <c r="I150" s="218" t="str">
        <f t="shared" si="13"/>
        <v/>
      </c>
      <c r="J150" s="217">
        <f t="shared" si="17"/>
        <v>-1</v>
      </c>
      <c r="K150" s="217">
        <f t="shared" si="14"/>
        <v>-10</v>
      </c>
      <c r="L150" s="217"/>
      <c r="M150" s="219">
        <f t="shared" si="15"/>
        <v>0</v>
      </c>
    </row>
    <row r="151" spans="1:13">
      <c r="A151" s="234"/>
      <c r="G151" s="203"/>
      <c r="H151" s="220">
        <v>146</v>
      </c>
      <c r="I151" s="218" t="str">
        <f t="shared" si="13"/>
        <v/>
      </c>
      <c r="J151" s="217">
        <f t="shared" si="17"/>
        <v>-1</v>
      </c>
      <c r="K151" s="217">
        <f t="shared" si="14"/>
        <v>-10</v>
      </c>
      <c r="L151" s="217"/>
      <c r="M151" s="219">
        <f t="shared" si="15"/>
        <v>0</v>
      </c>
    </row>
    <row r="152" spans="1:13">
      <c r="A152" s="234"/>
      <c r="G152" s="203"/>
      <c r="H152" s="217">
        <v>147</v>
      </c>
      <c r="I152" s="218" t="str">
        <f t="shared" si="13"/>
        <v/>
      </c>
      <c r="J152" s="217">
        <f t="shared" si="17"/>
        <v>-1</v>
      </c>
      <c r="K152" s="217">
        <f t="shared" si="14"/>
        <v>-10</v>
      </c>
      <c r="L152" s="217"/>
      <c r="M152" s="219">
        <f t="shared" si="15"/>
        <v>0</v>
      </c>
    </row>
    <row r="153" spans="1:13">
      <c r="A153" s="234"/>
      <c r="G153" s="203"/>
      <c r="H153" s="220">
        <v>148</v>
      </c>
      <c r="I153" s="218" t="str">
        <f t="shared" si="13"/>
        <v/>
      </c>
      <c r="J153" s="217">
        <f t="shared" si="17"/>
        <v>-1</v>
      </c>
      <c r="K153" s="217">
        <f t="shared" si="14"/>
        <v>-10</v>
      </c>
      <c r="L153" s="217"/>
      <c r="M153" s="219">
        <f t="shared" si="15"/>
        <v>0</v>
      </c>
    </row>
    <row r="154" spans="1:13">
      <c r="A154" s="234"/>
      <c r="G154" s="203"/>
      <c r="H154" s="217">
        <v>149</v>
      </c>
      <c r="I154" s="218" t="str">
        <f t="shared" si="13"/>
        <v/>
      </c>
      <c r="J154" s="217">
        <f t="shared" si="17"/>
        <v>-1</v>
      </c>
      <c r="K154" s="217">
        <f t="shared" si="14"/>
        <v>-10</v>
      </c>
      <c r="L154" s="217"/>
      <c r="M154" s="219">
        <f t="shared" si="15"/>
        <v>0</v>
      </c>
    </row>
    <row r="155" spans="1:13">
      <c r="A155" s="234"/>
      <c r="G155" s="203"/>
      <c r="H155" s="220">
        <v>150</v>
      </c>
      <c r="I155" s="218" t="str">
        <f t="shared" si="13"/>
        <v/>
      </c>
      <c r="J155" s="217">
        <f t="shared" si="17"/>
        <v>-1</v>
      </c>
      <c r="K155" s="217">
        <f t="shared" si="14"/>
        <v>-10</v>
      </c>
      <c r="L155" s="217"/>
      <c r="M155" s="219">
        <f t="shared" si="15"/>
        <v>0</v>
      </c>
    </row>
    <row r="156" spans="1:13">
      <c r="A156" s="234"/>
      <c r="G156" s="203"/>
      <c r="H156" s="217">
        <v>151</v>
      </c>
      <c r="I156" s="218" t="str">
        <f t="shared" si="13"/>
        <v/>
      </c>
      <c r="J156" s="217">
        <f t="shared" si="17"/>
        <v>-1</v>
      </c>
      <c r="K156" s="217">
        <f t="shared" si="14"/>
        <v>-10</v>
      </c>
      <c r="L156" s="217"/>
      <c r="M156" s="219">
        <f t="shared" si="15"/>
        <v>0</v>
      </c>
    </row>
    <row r="157" spans="1:13">
      <c r="A157" s="234"/>
      <c r="G157" s="203"/>
      <c r="H157" s="220">
        <v>152</v>
      </c>
      <c r="I157" s="218" t="str">
        <f t="shared" si="13"/>
        <v/>
      </c>
      <c r="J157" s="217">
        <f t="shared" si="17"/>
        <v>-1</v>
      </c>
      <c r="K157" s="217">
        <f t="shared" si="14"/>
        <v>-10</v>
      </c>
      <c r="L157" s="217"/>
      <c r="M157" s="219">
        <f t="shared" si="15"/>
        <v>0</v>
      </c>
    </row>
    <row r="158" spans="1:13">
      <c r="A158" s="234"/>
      <c r="G158" s="203"/>
      <c r="H158" s="217">
        <v>153</v>
      </c>
      <c r="I158" s="218" t="str">
        <f t="shared" si="13"/>
        <v/>
      </c>
      <c r="J158" s="217">
        <f t="shared" si="17"/>
        <v>-1</v>
      </c>
      <c r="K158" s="217">
        <f t="shared" si="14"/>
        <v>-10</v>
      </c>
      <c r="L158" s="217"/>
      <c r="M158" s="219">
        <f t="shared" si="15"/>
        <v>0</v>
      </c>
    </row>
    <row r="159" spans="1:13">
      <c r="A159" s="234"/>
      <c r="G159" s="203"/>
      <c r="H159" s="220">
        <v>154</v>
      </c>
      <c r="I159" s="218" t="str">
        <f t="shared" si="13"/>
        <v/>
      </c>
      <c r="J159" s="217">
        <f t="shared" si="17"/>
        <v>-1</v>
      </c>
      <c r="K159" s="217">
        <f t="shared" si="14"/>
        <v>-10</v>
      </c>
      <c r="L159" s="217"/>
      <c r="M159" s="219">
        <f t="shared" si="15"/>
        <v>0</v>
      </c>
    </row>
    <row r="160" spans="1:13">
      <c r="A160" s="234"/>
      <c r="G160" s="203"/>
      <c r="H160" s="217">
        <v>155</v>
      </c>
      <c r="I160" s="218" t="str">
        <f t="shared" si="13"/>
        <v/>
      </c>
      <c r="J160" s="217">
        <f t="shared" si="17"/>
        <v>-1</v>
      </c>
      <c r="K160" s="217">
        <f t="shared" si="14"/>
        <v>-10</v>
      </c>
      <c r="L160" s="217"/>
      <c r="M160" s="219">
        <f t="shared" si="15"/>
        <v>0</v>
      </c>
    </row>
    <row r="161" spans="1:13">
      <c r="A161" s="234"/>
      <c r="G161" s="203"/>
      <c r="H161" s="220">
        <v>156</v>
      </c>
      <c r="I161" s="218" t="str">
        <f t="shared" si="13"/>
        <v/>
      </c>
      <c r="J161" s="217">
        <f t="shared" si="17"/>
        <v>-1</v>
      </c>
      <c r="K161" s="217">
        <f t="shared" si="14"/>
        <v>-10</v>
      </c>
      <c r="L161" s="217"/>
      <c r="M161" s="219">
        <f t="shared" si="15"/>
        <v>0</v>
      </c>
    </row>
    <row r="162" spans="1:13">
      <c r="A162" s="234"/>
      <c r="G162" s="203"/>
      <c r="H162" s="217">
        <v>157</v>
      </c>
      <c r="I162" s="218" t="str">
        <f t="shared" si="13"/>
        <v/>
      </c>
      <c r="J162" s="217">
        <f t="shared" si="17"/>
        <v>-1</v>
      </c>
      <c r="K162" s="217">
        <f t="shared" si="14"/>
        <v>-10</v>
      </c>
      <c r="L162" s="217"/>
      <c r="M162" s="219">
        <f t="shared" si="15"/>
        <v>0</v>
      </c>
    </row>
    <row r="163" spans="1:13">
      <c r="A163" s="234"/>
      <c r="G163" s="203"/>
      <c r="H163" s="220">
        <v>158</v>
      </c>
      <c r="I163" s="218" t="str">
        <f t="shared" si="13"/>
        <v/>
      </c>
      <c r="J163" s="217">
        <f t="shared" si="17"/>
        <v>-1</v>
      </c>
      <c r="K163" s="217">
        <f t="shared" si="14"/>
        <v>-10</v>
      </c>
      <c r="L163" s="217"/>
      <c r="M163" s="219">
        <f t="shared" si="15"/>
        <v>0</v>
      </c>
    </row>
    <row r="164" spans="1:13">
      <c r="A164" s="234"/>
      <c r="G164" s="203"/>
      <c r="H164" s="217">
        <v>159</v>
      </c>
      <c r="I164" s="218" t="str">
        <f t="shared" si="13"/>
        <v/>
      </c>
      <c r="J164" s="217">
        <f t="shared" si="17"/>
        <v>-1</v>
      </c>
      <c r="K164" s="217">
        <f t="shared" si="14"/>
        <v>-10</v>
      </c>
      <c r="L164" s="217"/>
      <c r="M164" s="219">
        <f t="shared" si="15"/>
        <v>0</v>
      </c>
    </row>
    <row r="165" spans="1:13">
      <c r="A165" s="234"/>
      <c r="G165" s="203"/>
      <c r="H165" s="220">
        <v>160</v>
      </c>
      <c r="I165" s="218" t="str">
        <f t="shared" si="13"/>
        <v/>
      </c>
      <c r="J165" s="217">
        <f t="shared" si="17"/>
        <v>-1</v>
      </c>
      <c r="K165" s="217">
        <f t="shared" si="14"/>
        <v>-10</v>
      </c>
      <c r="L165" s="217"/>
      <c r="M165" s="219">
        <f t="shared" si="15"/>
        <v>0</v>
      </c>
    </row>
    <row r="166" spans="1:13">
      <c r="A166" s="234"/>
      <c r="G166" s="203"/>
      <c r="H166" s="217">
        <v>161</v>
      </c>
      <c r="I166" s="218" t="str">
        <f t="shared" si="13"/>
        <v/>
      </c>
      <c r="J166" s="217">
        <f t="shared" si="17"/>
        <v>-1</v>
      </c>
      <c r="K166" s="217">
        <f t="shared" si="14"/>
        <v>-10</v>
      </c>
      <c r="L166" s="217"/>
      <c r="M166" s="219">
        <f t="shared" si="15"/>
        <v>0</v>
      </c>
    </row>
    <row r="167" spans="1:13">
      <c r="A167" s="234"/>
      <c r="G167" s="203"/>
      <c r="H167" s="220">
        <v>162</v>
      </c>
      <c r="I167" s="218" t="str">
        <f t="shared" si="13"/>
        <v/>
      </c>
      <c r="J167" s="217">
        <f t="shared" si="17"/>
        <v>-1</v>
      </c>
      <c r="K167" s="217">
        <f t="shared" si="14"/>
        <v>-10</v>
      </c>
      <c r="L167" s="217"/>
      <c r="M167" s="219">
        <f t="shared" si="15"/>
        <v>0</v>
      </c>
    </row>
    <row r="168" spans="1:13">
      <c r="A168" s="234"/>
      <c r="G168" s="203"/>
      <c r="H168" s="217">
        <v>163</v>
      </c>
      <c r="I168" s="218" t="str">
        <f t="shared" si="13"/>
        <v/>
      </c>
      <c r="J168" s="217">
        <f t="shared" si="17"/>
        <v>-1</v>
      </c>
      <c r="K168" s="217">
        <f t="shared" si="14"/>
        <v>-10</v>
      </c>
      <c r="L168" s="217"/>
      <c r="M168" s="219">
        <f t="shared" si="15"/>
        <v>0</v>
      </c>
    </row>
    <row r="169" spans="1:13">
      <c r="A169" s="234"/>
      <c r="C169" s="233" t="s">
        <v>99</v>
      </c>
      <c r="G169" s="203"/>
      <c r="H169" s="220">
        <v>164</v>
      </c>
      <c r="I169" s="218" t="str">
        <f t="shared" si="13"/>
        <v/>
      </c>
      <c r="J169" s="217">
        <f t="shared" si="17"/>
        <v>-1</v>
      </c>
      <c r="K169" s="217">
        <f t="shared" si="14"/>
        <v>-10</v>
      </c>
      <c r="L169" s="217"/>
      <c r="M169" s="219">
        <f t="shared" si="15"/>
        <v>0</v>
      </c>
    </row>
    <row r="170" spans="1:13">
      <c r="A170" s="234"/>
      <c r="G170" s="203"/>
      <c r="H170" s="217">
        <v>165</v>
      </c>
      <c r="I170" s="218" t="str">
        <f t="shared" si="13"/>
        <v/>
      </c>
      <c r="J170" s="217">
        <f t="shared" si="17"/>
        <v>-1</v>
      </c>
      <c r="K170" s="217">
        <f t="shared" si="14"/>
        <v>-10</v>
      </c>
      <c r="L170" s="217"/>
      <c r="M170" s="219">
        <f t="shared" si="15"/>
        <v>0</v>
      </c>
    </row>
    <row r="171" spans="1:13">
      <c r="A171" s="234"/>
      <c r="G171" s="203"/>
      <c r="H171" s="220">
        <v>166</v>
      </c>
      <c r="I171" s="218" t="str">
        <f t="shared" si="13"/>
        <v/>
      </c>
      <c r="J171" s="217">
        <f t="shared" si="17"/>
        <v>-1</v>
      </c>
      <c r="K171" s="217">
        <f t="shared" si="14"/>
        <v>-10</v>
      </c>
      <c r="L171" s="217"/>
      <c r="M171" s="219">
        <f t="shared" si="15"/>
        <v>0</v>
      </c>
    </row>
    <row r="172" spans="1:13">
      <c r="A172" s="234"/>
      <c r="G172" s="203"/>
      <c r="H172" s="217">
        <v>167</v>
      </c>
      <c r="I172" s="218" t="str">
        <f t="shared" si="13"/>
        <v/>
      </c>
      <c r="J172" s="217">
        <f t="shared" si="17"/>
        <v>-1</v>
      </c>
      <c r="K172" s="217">
        <f t="shared" si="14"/>
        <v>-10</v>
      </c>
      <c r="L172" s="217"/>
      <c r="M172" s="219">
        <f t="shared" si="15"/>
        <v>0</v>
      </c>
    </row>
    <row r="173" spans="1:13">
      <c r="A173" s="234"/>
      <c r="G173" s="203"/>
      <c r="H173" s="220">
        <v>168</v>
      </c>
      <c r="I173" s="218" t="str">
        <f t="shared" si="13"/>
        <v/>
      </c>
      <c r="J173" s="217">
        <f t="shared" si="17"/>
        <v>-1</v>
      </c>
      <c r="K173" s="217">
        <f t="shared" si="14"/>
        <v>-10</v>
      </c>
      <c r="L173" s="217"/>
      <c r="M173" s="219">
        <f t="shared" si="15"/>
        <v>0</v>
      </c>
    </row>
    <row r="174" spans="1:13">
      <c r="A174" s="234"/>
      <c r="G174" s="203"/>
      <c r="H174" s="217">
        <v>169</v>
      </c>
      <c r="I174" s="218" t="str">
        <f t="shared" si="13"/>
        <v/>
      </c>
      <c r="J174" s="217">
        <f t="shared" si="17"/>
        <v>-1</v>
      </c>
      <c r="K174" s="217">
        <f t="shared" si="14"/>
        <v>-10</v>
      </c>
      <c r="L174" s="217"/>
      <c r="M174" s="219">
        <f t="shared" si="15"/>
        <v>0</v>
      </c>
    </row>
    <row r="175" spans="1:13">
      <c r="A175" s="234"/>
      <c r="G175" s="203"/>
      <c r="H175" s="220">
        <v>170</v>
      </c>
      <c r="I175" s="218" t="str">
        <f t="shared" si="13"/>
        <v/>
      </c>
      <c r="J175" s="217">
        <f t="shared" si="17"/>
        <v>-1</v>
      </c>
      <c r="K175" s="217">
        <f t="shared" si="14"/>
        <v>-10</v>
      </c>
      <c r="L175" s="217"/>
      <c r="M175" s="219">
        <f t="shared" si="15"/>
        <v>0</v>
      </c>
    </row>
    <row r="176" spans="1:13">
      <c r="A176" s="234"/>
      <c r="G176" s="203"/>
      <c r="H176" s="217">
        <v>171</v>
      </c>
      <c r="I176" s="218" t="str">
        <f t="shared" si="13"/>
        <v/>
      </c>
      <c r="J176" s="217">
        <f t="shared" si="17"/>
        <v>-1</v>
      </c>
      <c r="K176" s="217">
        <f t="shared" si="14"/>
        <v>-10</v>
      </c>
      <c r="L176" s="217"/>
      <c r="M176" s="219">
        <f t="shared" si="15"/>
        <v>0</v>
      </c>
    </row>
    <row r="177" spans="1:13">
      <c r="A177" s="234"/>
      <c r="G177" s="203"/>
      <c r="H177" s="220">
        <v>172</v>
      </c>
      <c r="I177" s="218" t="str">
        <f t="shared" si="13"/>
        <v/>
      </c>
      <c r="J177" s="217">
        <f t="shared" si="17"/>
        <v>-1</v>
      </c>
      <c r="K177" s="217">
        <f t="shared" si="14"/>
        <v>-10</v>
      </c>
      <c r="L177" s="217"/>
      <c r="M177" s="219">
        <f t="shared" si="15"/>
        <v>0</v>
      </c>
    </row>
    <row r="178" spans="1:13">
      <c r="A178" s="234"/>
      <c r="G178" s="203"/>
      <c r="H178" s="217">
        <v>173</v>
      </c>
      <c r="I178" s="218" t="str">
        <f t="shared" si="13"/>
        <v/>
      </c>
      <c r="J178" s="217">
        <f t="shared" si="17"/>
        <v>-1</v>
      </c>
      <c r="K178" s="217">
        <f t="shared" si="14"/>
        <v>-10</v>
      </c>
      <c r="L178" s="217"/>
      <c r="M178" s="219">
        <f t="shared" si="15"/>
        <v>0</v>
      </c>
    </row>
    <row r="179" spans="1:13">
      <c r="A179" s="234"/>
      <c r="G179" s="203"/>
      <c r="H179" s="220">
        <v>174</v>
      </c>
      <c r="I179" s="218" t="str">
        <f t="shared" si="13"/>
        <v/>
      </c>
      <c r="J179" s="217">
        <f t="shared" si="17"/>
        <v>-1</v>
      </c>
      <c r="K179" s="217">
        <f t="shared" si="14"/>
        <v>-10</v>
      </c>
      <c r="L179" s="217"/>
      <c r="M179" s="219">
        <f t="shared" si="15"/>
        <v>0</v>
      </c>
    </row>
    <row r="180" spans="1:13">
      <c r="A180" s="234"/>
      <c r="G180" s="203"/>
      <c r="H180" s="217">
        <v>175</v>
      </c>
      <c r="I180" s="218" t="str">
        <f t="shared" si="13"/>
        <v/>
      </c>
      <c r="J180" s="217">
        <f t="shared" si="17"/>
        <v>-1</v>
      </c>
      <c r="K180" s="217">
        <f t="shared" si="14"/>
        <v>-10</v>
      </c>
      <c r="L180" s="217"/>
      <c r="M180" s="219">
        <f t="shared" si="15"/>
        <v>0</v>
      </c>
    </row>
    <row r="181" spans="1:13">
      <c r="A181" s="234"/>
      <c r="G181" s="203"/>
      <c r="H181" s="220">
        <v>176</v>
      </c>
      <c r="I181" s="218" t="str">
        <f t="shared" si="13"/>
        <v/>
      </c>
      <c r="J181" s="217">
        <f t="shared" si="17"/>
        <v>-1</v>
      </c>
      <c r="K181" s="217">
        <f t="shared" si="14"/>
        <v>-10</v>
      </c>
      <c r="L181" s="217"/>
      <c r="M181" s="219">
        <f t="shared" si="15"/>
        <v>0</v>
      </c>
    </row>
    <row r="182" spans="1:13">
      <c r="A182" s="234"/>
      <c r="G182" s="203"/>
      <c r="H182" s="217">
        <v>177</v>
      </c>
      <c r="I182" s="218" t="str">
        <f t="shared" si="13"/>
        <v/>
      </c>
      <c r="J182" s="217">
        <f t="shared" si="17"/>
        <v>-1</v>
      </c>
      <c r="K182" s="217">
        <f t="shared" si="14"/>
        <v>-10</v>
      </c>
      <c r="L182" s="217"/>
      <c r="M182" s="219">
        <f t="shared" si="15"/>
        <v>0</v>
      </c>
    </row>
    <row r="183" spans="1:13">
      <c r="A183" s="234"/>
      <c r="G183" s="203"/>
      <c r="H183" s="220">
        <v>178</v>
      </c>
      <c r="I183" s="218" t="str">
        <f t="shared" si="13"/>
        <v/>
      </c>
      <c r="J183" s="217">
        <f t="shared" si="17"/>
        <v>-1</v>
      </c>
      <c r="K183" s="217">
        <f t="shared" si="14"/>
        <v>-10</v>
      </c>
      <c r="L183" s="217"/>
      <c r="M183" s="219">
        <f t="shared" si="15"/>
        <v>0</v>
      </c>
    </row>
    <row r="184" spans="1:13">
      <c r="A184" s="234"/>
      <c r="G184" s="203"/>
      <c r="H184" s="217">
        <v>179</v>
      </c>
      <c r="I184" s="218" t="str">
        <f t="shared" si="13"/>
        <v/>
      </c>
      <c r="J184" s="217">
        <f t="shared" si="17"/>
        <v>-1</v>
      </c>
      <c r="K184" s="217">
        <f t="shared" si="14"/>
        <v>-10</v>
      </c>
      <c r="L184" s="217"/>
      <c r="M184" s="219">
        <f t="shared" si="15"/>
        <v>0</v>
      </c>
    </row>
    <row r="185" spans="1:13">
      <c r="A185" s="234"/>
      <c r="G185" s="203"/>
      <c r="H185" s="220">
        <v>180</v>
      </c>
      <c r="I185" s="218" t="str">
        <f t="shared" si="13"/>
        <v/>
      </c>
      <c r="J185" s="217">
        <f t="shared" si="17"/>
        <v>-1</v>
      </c>
      <c r="K185" s="217">
        <f t="shared" si="14"/>
        <v>-10</v>
      </c>
      <c r="L185" s="217"/>
      <c r="M185" s="219">
        <f t="shared" si="15"/>
        <v>0</v>
      </c>
    </row>
    <row r="186" spans="1:13">
      <c r="A186" s="234"/>
      <c r="G186" s="203"/>
      <c r="H186" s="217">
        <v>181</v>
      </c>
      <c r="I186" s="218" t="str">
        <f t="shared" si="13"/>
        <v/>
      </c>
      <c r="J186" s="217">
        <f t="shared" si="17"/>
        <v>-1</v>
      </c>
      <c r="K186" s="217">
        <f t="shared" si="14"/>
        <v>-10</v>
      </c>
      <c r="L186" s="217"/>
      <c r="M186" s="219">
        <f t="shared" si="15"/>
        <v>0</v>
      </c>
    </row>
    <row r="187" spans="1:13">
      <c r="A187" s="234"/>
      <c r="G187" s="203"/>
      <c r="H187" s="220">
        <v>182</v>
      </c>
      <c r="I187" s="218" t="str">
        <f t="shared" si="13"/>
        <v/>
      </c>
      <c r="J187" s="217">
        <f t="shared" si="17"/>
        <v>-1</v>
      </c>
      <c r="K187" s="217">
        <f t="shared" si="14"/>
        <v>-10</v>
      </c>
      <c r="L187" s="217"/>
      <c r="M187" s="219">
        <f t="shared" si="15"/>
        <v>0</v>
      </c>
    </row>
    <row r="188" spans="1:13">
      <c r="A188" s="234"/>
      <c r="G188" s="203"/>
      <c r="H188" s="217">
        <v>183</v>
      </c>
      <c r="I188" s="218" t="str">
        <f t="shared" si="13"/>
        <v/>
      </c>
      <c r="J188" s="217">
        <f t="shared" si="17"/>
        <v>-1</v>
      </c>
      <c r="K188" s="217">
        <f t="shared" si="14"/>
        <v>-10</v>
      </c>
      <c r="L188" s="217"/>
      <c r="M188" s="219">
        <f t="shared" si="15"/>
        <v>0</v>
      </c>
    </row>
    <row r="189" spans="1:13">
      <c r="A189" s="234"/>
      <c r="G189" s="203"/>
      <c r="H189" s="220">
        <v>184</v>
      </c>
      <c r="I189" s="218" t="str">
        <f t="shared" si="13"/>
        <v/>
      </c>
      <c r="J189" s="217">
        <f t="shared" si="17"/>
        <v>-1</v>
      </c>
      <c r="K189" s="217">
        <f t="shared" si="14"/>
        <v>-10</v>
      </c>
      <c r="L189" s="217"/>
      <c r="M189" s="219">
        <f t="shared" si="15"/>
        <v>0</v>
      </c>
    </row>
    <row r="190" spans="1:13">
      <c r="A190" s="234"/>
      <c r="G190" s="203"/>
      <c r="H190" s="217">
        <v>185</v>
      </c>
      <c r="I190" s="218" t="str">
        <f t="shared" si="13"/>
        <v/>
      </c>
      <c r="J190" s="217">
        <f t="shared" si="17"/>
        <v>-1</v>
      </c>
      <c r="K190" s="217">
        <f t="shared" si="14"/>
        <v>-10</v>
      </c>
      <c r="L190" s="217"/>
      <c r="M190" s="219">
        <f t="shared" si="15"/>
        <v>0</v>
      </c>
    </row>
    <row r="191" spans="1:13">
      <c r="A191" s="234"/>
      <c r="G191" s="203"/>
      <c r="H191" s="220">
        <v>186</v>
      </c>
      <c r="I191" s="218" t="str">
        <f t="shared" si="13"/>
        <v/>
      </c>
      <c r="J191" s="217">
        <f t="shared" si="17"/>
        <v>-1</v>
      </c>
      <c r="K191" s="217">
        <f t="shared" si="14"/>
        <v>-10</v>
      </c>
      <c r="L191" s="217"/>
      <c r="M191" s="219">
        <f t="shared" si="15"/>
        <v>0</v>
      </c>
    </row>
    <row r="192" spans="1:13">
      <c r="A192" s="234"/>
      <c r="G192" s="203"/>
      <c r="H192" s="217">
        <v>187</v>
      </c>
      <c r="I192" s="218" t="str">
        <f t="shared" si="13"/>
        <v/>
      </c>
      <c r="J192" s="217">
        <f t="shared" si="17"/>
        <v>-1</v>
      </c>
      <c r="K192" s="217">
        <f t="shared" si="14"/>
        <v>-10</v>
      </c>
      <c r="L192" s="217"/>
      <c r="M192" s="219">
        <f t="shared" si="15"/>
        <v>0</v>
      </c>
    </row>
    <row r="193" spans="1:13">
      <c r="A193" s="234"/>
      <c r="G193" s="203"/>
      <c r="H193" s="220">
        <v>188</v>
      </c>
      <c r="I193" s="218" t="str">
        <f t="shared" si="13"/>
        <v/>
      </c>
      <c r="J193" s="217">
        <f t="shared" si="17"/>
        <v>-1</v>
      </c>
      <c r="K193" s="217">
        <f t="shared" si="14"/>
        <v>-10</v>
      </c>
      <c r="L193" s="217"/>
      <c r="M193" s="219">
        <f t="shared" si="15"/>
        <v>0</v>
      </c>
    </row>
    <row r="194" spans="1:13">
      <c r="A194" s="234"/>
      <c r="G194" s="203"/>
      <c r="H194" s="217">
        <v>189</v>
      </c>
      <c r="I194" s="218" t="str">
        <f t="shared" si="13"/>
        <v/>
      </c>
      <c r="J194" s="217">
        <f t="shared" si="17"/>
        <v>-1</v>
      </c>
      <c r="K194" s="217">
        <f t="shared" si="14"/>
        <v>-10</v>
      </c>
      <c r="L194" s="217"/>
      <c r="M194" s="219">
        <f t="shared" si="15"/>
        <v>0</v>
      </c>
    </row>
    <row r="195" spans="1:13">
      <c r="A195" s="234"/>
      <c r="G195" s="203"/>
      <c r="H195" s="220">
        <v>190</v>
      </c>
      <c r="I195" s="218" t="str">
        <f t="shared" si="13"/>
        <v/>
      </c>
      <c r="J195" s="217">
        <f t="shared" si="17"/>
        <v>-1</v>
      </c>
      <c r="K195" s="217">
        <f t="shared" si="14"/>
        <v>-10</v>
      </c>
      <c r="L195" s="217"/>
      <c r="M195" s="219">
        <f t="shared" si="15"/>
        <v>0</v>
      </c>
    </row>
    <row r="196" spans="1:13">
      <c r="A196" s="234"/>
      <c r="G196" s="203"/>
      <c r="H196" s="217">
        <v>191</v>
      </c>
      <c r="I196" s="218" t="str">
        <f t="shared" si="13"/>
        <v/>
      </c>
      <c r="J196" s="217">
        <f t="shared" si="17"/>
        <v>-1</v>
      </c>
      <c r="K196" s="217">
        <f t="shared" si="14"/>
        <v>-10</v>
      </c>
      <c r="L196" s="217"/>
      <c r="M196" s="219">
        <f t="shared" si="15"/>
        <v>0</v>
      </c>
    </row>
    <row r="197" spans="1:13">
      <c r="A197" s="234"/>
      <c r="G197" s="203"/>
      <c r="H197" s="220">
        <v>192</v>
      </c>
      <c r="I197" s="218" t="str">
        <f t="shared" si="13"/>
        <v/>
      </c>
      <c r="J197" s="217">
        <f t="shared" si="17"/>
        <v>-1</v>
      </c>
      <c r="K197" s="217">
        <f t="shared" si="14"/>
        <v>-10</v>
      </c>
      <c r="L197" s="217"/>
      <c r="M197" s="219">
        <f t="shared" si="15"/>
        <v>0</v>
      </c>
    </row>
    <row r="198" spans="1:13">
      <c r="A198" s="234"/>
      <c r="G198" s="203"/>
      <c r="H198" s="217">
        <v>193</v>
      </c>
      <c r="I198" s="218" t="str">
        <f t="shared" ref="I198:I261" si="18">IF(H198&lt;$H$2+1,($I$2-($I$2-1)*(LOG(H198)/LOG($H$2))),"")</f>
        <v/>
      </c>
      <c r="J198" s="217">
        <f t="shared" si="17"/>
        <v>-1</v>
      </c>
      <c r="K198" s="217">
        <f t="shared" ref="K198:K261" si="19">J198*$J$2</f>
        <v>-10</v>
      </c>
      <c r="L198" s="217"/>
      <c r="M198" s="219">
        <f t="shared" ref="M198:M261" si="20">IF(I198&lt;&gt;"",K198+I198+L198,0)</f>
        <v>0</v>
      </c>
    </row>
    <row r="199" spans="1:13">
      <c r="A199" s="234"/>
      <c r="G199" s="203"/>
      <c r="H199" s="220">
        <v>194</v>
      </c>
      <c r="I199" s="218" t="str">
        <f t="shared" si="18"/>
        <v/>
      </c>
      <c r="J199" s="217">
        <f t="shared" ref="J199:J262" si="21">INT(LOG($H$2,2))-ROUNDUP(LOG(H199,2),0)+IF(OR($H$2=1,$H$2=2,$H$2=4,$H$2=8,$H$2=16,$H$2=32,$H$2=64,$H$2=128,$H$2=256),0,1)</f>
        <v>-1</v>
      </c>
      <c r="K199" s="217">
        <f t="shared" si="19"/>
        <v>-10</v>
      </c>
      <c r="L199" s="217"/>
      <c r="M199" s="219">
        <f t="shared" si="20"/>
        <v>0</v>
      </c>
    </row>
    <row r="200" spans="1:13">
      <c r="A200" s="234"/>
      <c r="G200" s="203"/>
      <c r="H200" s="217">
        <v>195</v>
      </c>
      <c r="I200" s="218" t="str">
        <f t="shared" si="18"/>
        <v/>
      </c>
      <c r="J200" s="217">
        <f t="shared" si="21"/>
        <v>-1</v>
      </c>
      <c r="K200" s="217">
        <f t="shared" si="19"/>
        <v>-10</v>
      </c>
      <c r="L200" s="217"/>
      <c r="M200" s="219">
        <f t="shared" si="20"/>
        <v>0</v>
      </c>
    </row>
    <row r="201" spans="1:13">
      <c r="A201" s="234"/>
      <c r="G201" s="203"/>
      <c r="H201" s="220">
        <v>196</v>
      </c>
      <c r="I201" s="218" t="str">
        <f t="shared" si="18"/>
        <v/>
      </c>
      <c r="J201" s="217">
        <f t="shared" si="21"/>
        <v>-1</v>
      </c>
      <c r="K201" s="217">
        <f t="shared" si="19"/>
        <v>-10</v>
      </c>
      <c r="L201" s="217"/>
      <c r="M201" s="219">
        <f t="shared" si="20"/>
        <v>0</v>
      </c>
    </row>
    <row r="202" spans="1:13">
      <c r="A202" s="234"/>
      <c r="G202" s="203"/>
      <c r="H202" s="217">
        <v>197</v>
      </c>
      <c r="I202" s="218" t="str">
        <f t="shared" si="18"/>
        <v/>
      </c>
      <c r="J202" s="217">
        <f t="shared" si="21"/>
        <v>-1</v>
      </c>
      <c r="K202" s="217">
        <f t="shared" si="19"/>
        <v>-10</v>
      </c>
      <c r="L202" s="217"/>
      <c r="M202" s="219">
        <f t="shared" si="20"/>
        <v>0</v>
      </c>
    </row>
    <row r="203" spans="1:13">
      <c r="A203" s="234"/>
      <c r="G203" s="203"/>
      <c r="H203" s="220">
        <v>198</v>
      </c>
      <c r="I203" s="218" t="str">
        <f t="shared" si="18"/>
        <v/>
      </c>
      <c r="J203" s="217">
        <f t="shared" si="21"/>
        <v>-1</v>
      </c>
      <c r="K203" s="217">
        <f t="shared" si="19"/>
        <v>-10</v>
      </c>
      <c r="L203" s="217"/>
      <c r="M203" s="219">
        <f t="shared" si="20"/>
        <v>0</v>
      </c>
    </row>
    <row r="204" spans="1:13">
      <c r="A204" s="234"/>
      <c r="G204" s="203"/>
      <c r="H204" s="217">
        <v>199</v>
      </c>
      <c r="I204" s="218" t="str">
        <f t="shared" si="18"/>
        <v/>
      </c>
      <c r="J204" s="217">
        <f t="shared" si="21"/>
        <v>-1</v>
      </c>
      <c r="K204" s="217">
        <f t="shared" si="19"/>
        <v>-10</v>
      </c>
      <c r="L204" s="217"/>
      <c r="M204" s="219">
        <f t="shared" si="20"/>
        <v>0</v>
      </c>
    </row>
    <row r="205" spans="1:13">
      <c r="A205" s="234"/>
      <c r="G205" s="203"/>
      <c r="H205" s="220">
        <v>200</v>
      </c>
      <c r="I205" s="218" t="str">
        <f t="shared" si="18"/>
        <v/>
      </c>
      <c r="J205" s="217">
        <f t="shared" si="21"/>
        <v>-1</v>
      </c>
      <c r="K205" s="217">
        <f t="shared" si="19"/>
        <v>-10</v>
      </c>
      <c r="L205" s="217"/>
      <c r="M205" s="219">
        <f t="shared" si="20"/>
        <v>0</v>
      </c>
    </row>
    <row r="206" spans="1:13">
      <c r="A206" s="234"/>
      <c r="G206" s="203"/>
      <c r="H206" s="217">
        <v>201</v>
      </c>
      <c r="I206" s="218" t="str">
        <f t="shared" si="18"/>
        <v/>
      </c>
      <c r="J206" s="217">
        <f t="shared" si="21"/>
        <v>-1</v>
      </c>
      <c r="K206" s="217">
        <f t="shared" si="19"/>
        <v>-10</v>
      </c>
      <c r="L206" s="217"/>
      <c r="M206" s="219">
        <f t="shared" si="20"/>
        <v>0</v>
      </c>
    </row>
    <row r="207" spans="1:13">
      <c r="A207" s="234"/>
      <c r="G207" s="203"/>
      <c r="H207" s="220">
        <v>202</v>
      </c>
      <c r="I207" s="218" t="str">
        <f t="shared" si="18"/>
        <v/>
      </c>
      <c r="J207" s="217">
        <f t="shared" si="21"/>
        <v>-1</v>
      </c>
      <c r="K207" s="217">
        <f t="shared" si="19"/>
        <v>-10</v>
      </c>
      <c r="L207" s="217"/>
      <c r="M207" s="219">
        <f t="shared" si="20"/>
        <v>0</v>
      </c>
    </row>
    <row r="208" spans="1:13">
      <c r="A208" s="234"/>
      <c r="G208" s="203"/>
      <c r="H208" s="217">
        <v>203</v>
      </c>
      <c r="I208" s="218" t="str">
        <f t="shared" si="18"/>
        <v/>
      </c>
      <c r="J208" s="217">
        <f t="shared" si="21"/>
        <v>-1</v>
      </c>
      <c r="K208" s="217">
        <f t="shared" si="19"/>
        <v>-10</v>
      </c>
      <c r="L208" s="217"/>
      <c r="M208" s="219">
        <f t="shared" si="20"/>
        <v>0</v>
      </c>
    </row>
    <row r="209" spans="1:13">
      <c r="A209" s="234"/>
      <c r="G209" s="203"/>
      <c r="H209" s="220">
        <v>204</v>
      </c>
      <c r="I209" s="218" t="str">
        <f t="shared" si="18"/>
        <v/>
      </c>
      <c r="J209" s="217">
        <f t="shared" si="21"/>
        <v>-1</v>
      </c>
      <c r="K209" s="217">
        <f t="shared" si="19"/>
        <v>-10</v>
      </c>
      <c r="L209" s="217"/>
      <c r="M209" s="219">
        <f t="shared" si="20"/>
        <v>0</v>
      </c>
    </row>
    <row r="210" spans="1:13">
      <c r="A210" s="234"/>
      <c r="G210" s="203"/>
      <c r="H210" s="217">
        <v>205</v>
      </c>
      <c r="I210" s="218" t="str">
        <f t="shared" si="18"/>
        <v/>
      </c>
      <c r="J210" s="217">
        <f t="shared" si="21"/>
        <v>-1</v>
      </c>
      <c r="K210" s="217">
        <f t="shared" si="19"/>
        <v>-10</v>
      </c>
      <c r="L210" s="217"/>
      <c r="M210" s="219">
        <f t="shared" si="20"/>
        <v>0</v>
      </c>
    </row>
    <row r="211" spans="1:13">
      <c r="A211" s="234"/>
      <c r="G211" s="203"/>
      <c r="H211" s="220">
        <v>206</v>
      </c>
      <c r="I211" s="218" t="str">
        <f t="shared" si="18"/>
        <v/>
      </c>
      <c r="J211" s="217">
        <f t="shared" si="21"/>
        <v>-1</v>
      </c>
      <c r="K211" s="217">
        <f t="shared" si="19"/>
        <v>-10</v>
      </c>
      <c r="L211" s="217"/>
      <c r="M211" s="219">
        <f t="shared" si="20"/>
        <v>0</v>
      </c>
    </row>
    <row r="212" spans="1:13">
      <c r="A212" s="234"/>
      <c r="G212" s="203"/>
      <c r="H212" s="217">
        <v>207</v>
      </c>
      <c r="I212" s="218" t="str">
        <f t="shared" si="18"/>
        <v/>
      </c>
      <c r="J212" s="217">
        <f t="shared" si="21"/>
        <v>-1</v>
      </c>
      <c r="K212" s="217">
        <f t="shared" si="19"/>
        <v>-10</v>
      </c>
      <c r="L212" s="217"/>
      <c r="M212" s="219">
        <f t="shared" si="20"/>
        <v>0</v>
      </c>
    </row>
    <row r="213" spans="1:13">
      <c r="A213" s="234"/>
      <c r="G213" s="203"/>
      <c r="H213" s="220">
        <v>208</v>
      </c>
      <c r="I213" s="218" t="str">
        <f t="shared" si="18"/>
        <v/>
      </c>
      <c r="J213" s="217">
        <f t="shared" si="21"/>
        <v>-1</v>
      </c>
      <c r="K213" s="217">
        <f t="shared" si="19"/>
        <v>-10</v>
      </c>
      <c r="L213" s="217"/>
      <c r="M213" s="219">
        <f t="shared" si="20"/>
        <v>0</v>
      </c>
    </row>
    <row r="214" spans="1:13">
      <c r="A214" s="234"/>
      <c r="G214" s="203"/>
      <c r="H214" s="217">
        <v>209</v>
      </c>
      <c r="I214" s="218" t="str">
        <f t="shared" si="18"/>
        <v/>
      </c>
      <c r="J214" s="217">
        <f t="shared" si="21"/>
        <v>-1</v>
      </c>
      <c r="K214" s="217">
        <f t="shared" si="19"/>
        <v>-10</v>
      </c>
      <c r="L214" s="217"/>
      <c r="M214" s="219">
        <f t="shared" si="20"/>
        <v>0</v>
      </c>
    </row>
    <row r="215" spans="1:13">
      <c r="A215" s="234"/>
      <c r="G215" s="203"/>
      <c r="H215" s="220">
        <v>210</v>
      </c>
      <c r="I215" s="218" t="str">
        <f t="shared" si="18"/>
        <v/>
      </c>
      <c r="J215" s="217">
        <f t="shared" si="21"/>
        <v>-1</v>
      </c>
      <c r="K215" s="217">
        <f t="shared" si="19"/>
        <v>-10</v>
      </c>
      <c r="L215" s="217"/>
      <c r="M215" s="219">
        <f t="shared" si="20"/>
        <v>0</v>
      </c>
    </row>
    <row r="216" spans="1:13">
      <c r="A216" s="234"/>
      <c r="G216" s="203"/>
      <c r="H216" s="217">
        <v>211</v>
      </c>
      <c r="I216" s="218" t="str">
        <f t="shared" si="18"/>
        <v/>
      </c>
      <c r="J216" s="217">
        <f t="shared" si="21"/>
        <v>-1</v>
      </c>
      <c r="K216" s="217">
        <f t="shared" si="19"/>
        <v>-10</v>
      </c>
      <c r="L216" s="217"/>
      <c r="M216" s="219">
        <f t="shared" si="20"/>
        <v>0</v>
      </c>
    </row>
    <row r="217" spans="1:13">
      <c r="A217" s="234"/>
      <c r="G217" s="203"/>
      <c r="H217" s="220">
        <v>212</v>
      </c>
      <c r="I217" s="218" t="str">
        <f t="shared" si="18"/>
        <v/>
      </c>
      <c r="J217" s="217">
        <f t="shared" si="21"/>
        <v>-1</v>
      </c>
      <c r="K217" s="217">
        <f t="shared" si="19"/>
        <v>-10</v>
      </c>
      <c r="L217" s="217"/>
      <c r="M217" s="219">
        <f t="shared" si="20"/>
        <v>0</v>
      </c>
    </row>
    <row r="218" spans="1:13">
      <c r="A218" s="234"/>
      <c r="G218" s="203"/>
      <c r="H218" s="217">
        <v>213</v>
      </c>
      <c r="I218" s="218" t="str">
        <f t="shared" si="18"/>
        <v/>
      </c>
      <c r="J218" s="217">
        <f t="shared" si="21"/>
        <v>-1</v>
      </c>
      <c r="K218" s="217">
        <f t="shared" si="19"/>
        <v>-10</v>
      </c>
      <c r="L218" s="217"/>
      <c r="M218" s="219">
        <f t="shared" si="20"/>
        <v>0</v>
      </c>
    </row>
    <row r="219" spans="1:13">
      <c r="A219" s="234"/>
      <c r="G219" s="203"/>
      <c r="H219" s="220">
        <v>214</v>
      </c>
      <c r="I219" s="218" t="str">
        <f t="shared" si="18"/>
        <v/>
      </c>
      <c r="J219" s="217">
        <f t="shared" si="21"/>
        <v>-1</v>
      </c>
      <c r="K219" s="217">
        <f t="shared" si="19"/>
        <v>-10</v>
      </c>
      <c r="L219" s="217"/>
      <c r="M219" s="219">
        <f t="shared" si="20"/>
        <v>0</v>
      </c>
    </row>
    <row r="220" spans="1:13">
      <c r="A220" s="234"/>
      <c r="G220" s="203"/>
      <c r="H220" s="217">
        <v>215</v>
      </c>
      <c r="I220" s="218" t="str">
        <f t="shared" si="18"/>
        <v/>
      </c>
      <c r="J220" s="217">
        <f t="shared" si="21"/>
        <v>-1</v>
      </c>
      <c r="K220" s="217">
        <f t="shared" si="19"/>
        <v>-10</v>
      </c>
      <c r="L220" s="217"/>
      <c r="M220" s="219">
        <f t="shared" si="20"/>
        <v>0</v>
      </c>
    </row>
    <row r="221" spans="1:13">
      <c r="A221" s="234"/>
      <c r="G221" s="203"/>
      <c r="H221" s="220">
        <v>216</v>
      </c>
      <c r="I221" s="218" t="str">
        <f t="shared" si="18"/>
        <v/>
      </c>
      <c r="J221" s="217">
        <f t="shared" si="21"/>
        <v>-1</v>
      </c>
      <c r="K221" s="217">
        <f t="shared" si="19"/>
        <v>-10</v>
      </c>
      <c r="L221" s="217"/>
      <c r="M221" s="219">
        <f t="shared" si="20"/>
        <v>0</v>
      </c>
    </row>
    <row r="222" spans="1:13">
      <c r="A222" s="234"/>
      <c r="G222" s="203"/>
      <c r="H222" s="217">
        <v>217</v>
      </c>
      <c r="I222" s="218" t="str">
        <f t="shared" si="18"/>
        <v/>
      </c>
      <c r="J222" s="217">
        <f t="shared" si="21"/>
        <v>-1</v>
      </c>
      <c r="K222" s="217">
        <f t="shared" si="19"/>
        <v>-10</v>
      </c>
      <c r="L222" s="217"/>
      <c r="M222" s="219">
        <f t="shared" si="20"/>
        <v>0</v>
      </c>
    </row>
    <row r="223" spans="1:13">
      <c r="A223" s="234"/>
      <c r="G223" s="203"/>
      <c r="H223" s="220">
        <v>218</v>
      </c>
      <c r="I223" s="218" t="str">
        <f t="shared" si="18"/>
        <v/>
      </c>
      <c r="J223" s="217">
        <f t="shared" si="21"/>
        <v>-1</v>
      </c>
      <c r="K223" s="217">
        <f t="shared" si="19"/>
        <v>-10</v>
      </c>
      <c r="L223" s="217"/>
      <c r="M223" s="219">
        <f t="shared" si="20"/>
        <v>0</v>
      </c>
    </row>
    <row r="224" spans="1:13">
      <c r="A224" s="234"/>
      <c r="G224" s="203"/>
      <c r="H224" s="217">
        <v>219</v>
      </c>
      <c r="I224" s="218" t="str">
        <f t="shared" si="18"/>
        <v/>
      </c>
      <c r="J224" s="217">
        <f t="shared" si="21"/>
        <v>-1</v>
      </c>
      <c r="K224" s="217">
        <f t="shared" si="19"/>
        <v>-10</v>
      </c>
      <c r="L224" s="217"/>
      <c r="M224" s="219">
        <f t="shared" si="20"/>
        <v>0</v>
      </c>
    </row>
    <row r="225" spans="1:13">
      <c r="A225" s="234"/>
      <c r="G225" s="203"/>
      <c r="H225" s="220">
        <v>220</v>
      </c>
      <c r="I225" s="218" t="str">
        <f t="shared" si="18"/>
        <v/>
      </c>
      <c r="J225" s="217">
        <f t="shared" si="21"/>
        <v>-1</v>
      </c>
      <c r="K225" s="217">
        <f t="shared" si="19"/>
        <v>-10</v>
      </c>
      <c r="L225" s="217"/>
      <c r="M225" s="219">
        <f t="shared" si="20"/>
        <v>0</v>
      </c>
    </row>
    <row r="226" spans="1:13">
      <c r="A226" s="234"/>
      <c r="G226" s="203"/>
      <c r="H226" s="217">
        <v>221</v>
      </c>
      <c r="I226" s="218" t="str">
        <f t="shared" si="18"/>
        <v/>
      </c>
      <c r="J226" s="217">
        <f t="shared" si="21"/>
        <v>-1</v>
      </c>
      <c r="K226" s="217">
        <f t="shared" si="19"/>
        <v>-10</v>
      </c>
      <c r="L226" s="217"/>
      <c r="M226" s="219">
        <f t="shared" si="20"/>
        <v>0</v>
      </c>
    </row>
    <row r="227" spans="1:13">
      <c r="A227" s="234"/>
      <c r="G227" s="203"/>
      <c r="H227" s="220">
        <v>222</v>
      </c>
      <c r="I227" s="218" t="str">
        <f t="shared" si="18"/>
        <v/>
      </c>
      <c r="J227" s="217">
        <f t="shared" si="21"/>
        <v>-1</v>
      </c>
      <c r="K227" s="217">
        <f t="shared" si="19"/>
        <v>-10</v>
      </c>
      <c r="L227" s="217"/>
      <c r="M227" s="219">
        <f t="shared" si="20"/>
        <v>0</v>
      </c>
    </row>
    <row r="228" spans="1:13">
      <c r="A228" s="234"/>
      <c r="G228" s="203"/>
      <c r="H228" s="217">
        <v>223</v>
      </c>
      <c r="I228" s="218" t="str">
        <f t="shared" si="18"/>
        <v/>
      </c>
      <c r="J228" s="217">
        <f t="shared" si="21"/>
        <v>-1</v>
      </c>
      <c r="K228" s="217">
        <f t="shared" si="19"/>
        <v>-10</v>
      </c>
      <c r="L228" s="217"/>
      <c r="M228" s="219">
        <f t="shared" si="20"/>
        <v>0</v>
      </c>
    </row>
    <row r="229" spans="1:13">
      <c r="A229" s="234"/>
      <c r="G229" s="203"/>
      <c r="H229" s="220">
        <v>224</v>
      </c>
      <c r="I229" s="218" t="str">
        <f t="shared" si="18"/>
        <v/>
      </c>
      <c r="J229" s="217">
        <f t="shared" si="21"/>
        <v>-1</v>
      </c>
      <c r="K229" s="217">
        <f t="shared" si="19"/>
        <v>-10</v>
      </c>
      <c r="L229" s="217"/>
      <c r="M229" s="219">
        <f t="shared" si="20"/>
        <v>0</v>
      </c>
    </row>
    <row r="230" spans="1:13">
      <c r="A230" s="234"/>
      <c r="G230" s="203"/>
      <c r="H230" s="217">
        <v>225</v>
      </c>
      <c r="I230" s="218" t="str">
        <f t="shared" si="18"/>
        <v/>
      </c>
      <c r="J230" s="217">
        <f t="shared" si="21"/>
        <v>-1</v>
      </c>
      <c r="K230" s="217">
        <f t="shared" si="19"/>
        <v>-10</v>
      </c>
      <c r="L230" s="217"/>
      <c r="M230" s="219">
        <f t="shared" si="20"/>
        <v>0</v>
      </c>
    </row>
    <row r="231" spans="1:13">
      <c r="A231" s="234"/>
      <c r="G231" s="203"/>
      <c r="H231" s="220">
        <v>226</v>
      </c>
      <c r="I231" s="218" t="str">
        <f t="shared" si="18"/>
        <v/>
      </c>
      <c r="J231" s="217">
        <f t="shared" si="21"/>
        <v>-1</v>
      </c>
      <c r="K231" s="217">
        <f t="shared" si="19"/>
        <v>-10</v>
      </c>
      <c r="L231" s="217"/>
      <c r="M231" s="219">
        <f t="shared" si="20"/>
        <v>0</v>
      </c>
    </row>
    <row r="232" spans="1:13">
      <c r="A232" s="234"/>
      <c r="G232" s="203"/>
      <c r="H232" s="217">
        <v>227</v>
      </c>
      <c r="I232" s="218" t="str">
        <f t="shared" si="18"/>
        <v/>
      </c>
      <c r="J232" s="217">
        <f t="shared" si="21"/>
        <v>-1</v>
      </c>
      <c r="K232" s="217">
        <f t="shared" si="19"/>
        <v>-10</v>
      </c>
      <c r="L232" s="217"/>
      <c r="M232" s="219">
        <f t="shared" si="20"/>
        <v>0</v>
      </c>
    </row>
    <row r="233" spans="1:13">
      <c r="A233" s="234"/>
      <c r="G233" s="203"/>
      <c r="H233" s="220">
        <v>228</v>
      </c>
      <c r="I233" s="218" t="str">
        <f t="shared" si="18"/>
        <v/>
      </c>
      <c r="J233" s="217">
        <f t="shared" si="21"/>
        <v>-1</v>
      </c>
      <c r="K233" s="217">
        <f t="shared" si="19"/>
        <v>-10</v>
      </c>
      <c r="L233" s="217"/>
      <c r="M233" s="219">
        <f t="shared" si="20"/>
        <v>0</v>
      </c>
    </row>
    <row r="234" spans="1:13">
      <c r="A234" s="234"/>
      <c r="G234" s="203"/>
      <c r="H234" s="217">
        <v>229</v>
      </c>
      <c r="I234" s="218" t="str">
        <f t="shared" si="18"/>
        <v/>
      </c>
      <c r="J234" s="217">
        <f t="shared" si="21"/>
        <v>-1</v>
      </c>
      <c r="K234" s="217">
        <f t="shared" si="19"/>
        <v>-10</v>
      </c>
      <c r="L234" s="217"/>
      <c r="M234" s="219">
        <f t="shared" si="20"/>
        <v>0</v>
      </c>
    </row>
    <row r="235" spans="1:13">
      <c r="A235" s="234"/>
      <c r="G235" s="203"/>
      <c r="H235" s="220">
        <v>230</v>
      </c>
      <c r="I235" s="218" t="str">
        <f t="shared" si="18"/>
        <v/>
      </c>
      <c r="J235" s="217">
        <f t="shared" si="21"/>
        <v>-1</v>
      </c>
      <c r="K235" s="217">
        <f t="shared" si="19"/>
        <v>-10</v>
      </c>
      <c r="L235" s="217"/>
      <c r="M235" s="219">
        <f t="shared" si="20"/>
        <v>0</v>
      </c>
    </row>
    <row r="236" spans="1:13">
      <c r="A236" s="234"/>
      <c r="G236" s="203"/>
      <c r="H236" s="217">
        <v>231</v>
      </c>
      <c r="I236" s="218" t="str">
        <f t="shared" si="18"/>
        <v/>
      </c>
      <c r="J236" s="217">
        <f t="shared" si="21"/>
        <v>-1</v>
      </c>
      <c r="K236" s="217">
        <f t="shared" si="19"/>
        <v>-10</v>
      </c>
      <c r="L236" s="217"/>
      <c r="M236" s="219">
        <f t="shared" si="20"/>
        <v>0</v>
      </c>
    </row>
    <row r="237" spans="1:13">
      <c r="A237" s="234"/>
      <c r="G237" s="203"/>
      <c r="H237" s="220">
        <v>232</v>
      </c>
      <c r="I237" s="218" t="str">
        <f t="shared" si="18"/>
        <v/>
      </c>
      <c r="J237" s="217">
        <f t="shared" si="21"/>
        <v>-1</v>
      </c>
      <c r="K237" s="217">
        <f t="shared" si="19"/>
        <v>-10</v>
      </c>
      <c r="L237" s="217"/>
      <c r="M237" s="219">
        <f t="shared" si="20"/>
        <v>0</v>
      </c>
    </row>
    <row r="238" spans="1:13">
      <c r="A238" s="234"/>
      <c r="G238" s="203"/>
      <c r="H238" s="217">
        <v>233</v>
      </c>
      <c r="I238" s="218" t="str">
        <f t="shared" si="18"/>
        <v/>
      </c>
      <c r="J238" s="217">
        <f t="shared" si="21"/>
        <v>-1</v>
      </c>
      <c r="K238" s="217">
        <f t="shared" si="19"/>
        <v>-10</v>
      </c>
      <c r="L238" s="217"/>
      <c r="M238" s="219">
        <f t="shared" si="20"/>
        <v>0</v>
      </c>
    </row>
    <row r="239" spans="1:13">
      <c r="A239" s="234"/>
      <c r="G239" s="203"/>
      <c r="H239" s="220">
        <v>234</v>
      </c>
      <c r="I239" s="218" t="str">
        <f t="shared" si="18"/>
        <v/>
      </c>
      <c r="J239" s="217">
        <f t="shared" si="21"/>
        <v>-1</v>
      </c>
      <c r="K239" s="217">
        <f t="shared" si="19"/>
        <v>-10</v>
      </c>
      <c r="L239" s="217"/>
      <c r="M239" s="219">
        <f t="shared" si="20"/>
        <v>0</v>
      </c>
    </row>
    <row r="240" spans="1:13">
      <c r="A240" s="234"/>
      <c r="G240" s="203"/>
      <c r="H240" s="217">
        <v>235</v>
      </c>
      <c r="I240" s="218" t="str">
        <f t="shared" si="18"/>
        <v/>
      </c>
      <c r="J240" s="217">
        <f t="shared" si="21"/>
        <v>-1</v>
      </c>
      <c r="K240" s="217">
        <f t="shared" si="19"/>
        <v>-10</v>
      </c>
      <c r="L240" s="217"/>
      <c r="M240" s="219">
        <f t="shared" si="20"/>
        <v>0</v>
      </c>
    </row>
    <row r="241" spans="1:13">
      <c r="A241" s="234"/>
      <c r="G241" s="203"/>
      <c r="H241" s="220">
        <v>236</v>
      </c>
      <c r="I241" s="218" t="str">
        <f t="shared" si="18"/>
        <v/>
      </c>
      <c r="J241" s="217">
        <f t="shared" si="21"/>
        <v>-1</v>
      </c>
      <c r="K241" s="217">
        <f t="shared" si="19"/>
        <v>-10</v>
      </c>
      <c r="L241" s="217"/>
      <c r="M241" s="219">
        <f t="shared" si="20"/>
        <v>0</v>
      </c>
    </row>
    <row r="242" spans="1:13">
      <c r="A242" s="234"/>
      <c r="G242" s="203"/>
      <c r="H242" s="217">
        <v>237</v>
      </c>
      <c r="I242" s="218" t="str">
        <f t="shared" si="18"/>
        <v/>
      </c>
      <c r="J242" s="217">
        <f t="shared" si="21"/>
        <v>-1</v>
      </c>
      <c r="K242" s="217">
        <f t="shared" si="19"/>
        <v>-10</v>
      </c>
      <c r="L242" s="217"/>
      <c r="M242" s="219">
        <f t="shared" si="20"/>
        <v>0</v>
      </c>
    </row>
    <row r="243" spans="1:13">
      <c r="A243" s="234"/>
      <c r="G243" s="203"/>
      <c r="H243" s="220">
        <v>238</v>
      </c>
      <c r="I243" s="218" t="str">
        <f t="shared" si="18"/>
        <v/>
      </c>
      <c r="J243" s="217">
        <f t="shared" si="21"/>
        <v>-1</v>
      </c>
      <c r="K243" s="217">
        <f t="shared" si="19"/>
        <v>-10</v>
      </c>
      <c r="L243" s="217"/>
      <c r="M243" s="219">
        <f t="shared" si="20"/>
        <v>0</v>
      </c>
    </row>
    <row r="244" spans="1:13">
      <c r="A244" s="234"/>
      <c r="G244" s="203"/>
      <c r="H244" s="217">
        <v>239</v>
      </c>
      <c r="I244" s="218" t="str">
        <f t="shared" si="18"/>
        <v/>
      </c>
      <c r="J244" s="217">
        <f t="shared" si="21"/>
        <v>-1</v>
      </c>
      <c r="K244" s="217">
        <f t="shared" si="19"/>
        <v>-10</v>
      </c>
      <c r="L244" s="217"/>
      <c r="M244" s="219">
        <f t="shared" si="20"/>
        <v>0</v>
      </c>
    </row>
    <row r="245" spans="1:13">
      <c r="A245" s="234"/>
      <c r="G245" s="203"/>
      <c r="H245" s="220">
        <v>240</v>
      </c>
      <c r="I245" s="218" t="str">
        <f t="shared" si="18"/>
        <v/>
      </c>
      <c r="J245" s="217">
        <f t="shared" si="21"/>
        <v>-1</v>
      </c>
      <c r="K245" s="217">
        <f t="shared" si="19"/>
        <v>-10</v>
      </c>
      <c r="L245" s="217"/>
      <c r="M245" s="219">
        <f t="shared" si="20"/>
        <v>0</v>
      </c>
    </row>
    <row r="246" spans="1:13">
      <c r="A246" s="234"/>
      <c r="G246" s="203"/>
      <c r="H246" s="217">
        <v>241</v>
      </c>
      <c r="I246" s="218" t="str">
        <f t="shared" si="18"/>
        <v/>
      </c>
      <c r="J246" s="217">
        <f t="shared" si="21"/>
        <v>-1</v>
      </c>
      <c r="K246" s="217">
        <f t="shared" si="19"/>
        <v>-10</v>
      </c>
      <c r="L246" s="217"/>
      <c r="M246" s="219">
        <f t="shared" si="20"/>
        <v>0</v>
      </c>
    </row>
    <row r="247" spans="1:13">
      <c r="A247" s="234"/>
      <c r="G247" s="203"/>
      <c r="H247" s="220">
        <v>242</v>
      </c>
      <c r="I247" s="218" t="str">
        <f t="shared" si="18"/>
        <v/>
      </c>
      <c r="J247" s="217">
        <f t="shared" si="21"/>
        <v>-1</v>
      </c>
      <c r="K247" s="217">
        <f t="shared" si="19"/>
        <v>-10</v>
      </c>
      <c r="L247" s="217"/>
      <c r="M247" s="219">
        <f t="shared" si="20"/>
        <v>0</v>
      </c>
    </row>
    <row r="248" spans="1:13">
      <c r="A248" s="234"/>
      <c r="G248" s="203"/>
      <c r="H248" s="217">
        <v>243</v>
      </c>
      <c r="I248" s="218" t="str">
        <f t="shared" si="18"/>
        <v/>
      </c>
      <c r="J248" s="217">
        <f t="shared" si="21"/>
        <v>-1</v>
      </c>
      <c r="K248" s="217">
        <f t="shared" si="19"/>
        <v>-10</v>
      </c>
      <c r="L248" s="217"/>
      <c r="M248" s="219">
        <f t="shared" si="20"/>
        <v>0</v>
      </c>
    </row>
    <row r="249" spans="1:13">
      <c r="A249" s="234"/>
      <c r="G249" s="203"/>
      <c r="H249" s="220">
        <v>244</v>
      </c>
      <c r="I249" s="218" t="str">
        <f t="shared" si="18"/>
        <v/>
      </c>
      <c r="J249" s="217">
        <f t="shared" si="21"/>
        <v>-1</v>
      </c>
      <c r="K249" s="217">
        <f t="shared" si="19"/>
        <v>-10</v>
      </c>
      <c r="L249" s="217"/>
      <c r="M249" s="219">
        <f t="shared" si="20"/>
        <v>0</v>
      </c>
    </row>
    <row r="250" spans="1:13">
      <c r="A250" s="234"/>
      <c r="G250" s="203"/>
      <c r="H250" s="217">
        <v>245</v>
      </c>
      <c r="I250" s="218" t="str">
        <f t="shared" si="18"/>
        <v/>
      </c>
      <c r="J250" s="217">
        <f t="shared" si="21"/>
        <v>-1</v>
      </c>
      <c r="K250" s="217">
        <f t="shared" si="19"/>
        <v>-10</v>
      </c>
      <c r="L250" s="217"/>
      <c r="M250" s="219">
        <f t="shared" si="20"/>
        <v>0</v>
      </c>
    </row>
    <row r="251" spans="1:13">
      <c r="A251" s="234"/>
      <c r="G251" s="203"/>
      <c r="H251" s="220">
        <v>246</v>
      </c>
      <c r="I251" s="218" t="str">
        <f t="shared" si="18"/>
        <v/>
      </c>
      <c r="J251" s="217">
        <f t="shared" si="21"/>
        <v>-1</v>
      </c>
      <c r="K251" s="217">
        <f t="shared" si="19"/>
        <v>-10</v>
      </c>
      <c r="L251" s="217"/>
      <c r="M251" s="219">
        <f t="shared" si="20"/>
        <v>0</v>
      </c>
    </row>
    <row r="252" spans="1:13">
      <c r="A252" s="234"/>
      <c r="G252" s="203"/>
      <c r="H252" s="217">
        <v>247</v>
      </c>
      <c r="I252" s="218" t="str">
        <f t="shared" si="18"/>
        <v/>
      </c>
      <c r="J252" s="217">
        <f t="shared" si="21"/>
        <v>-1</v>
      </c>
      <c r="K252" s="217">
        <f t="shared" si="19"/>
        <v>-10</v>
      </c>
      <c r="L252" s="217"/>
      <c r="M252" s="219">
        <f t="shared" si="20"/>
        <v>0</v>
      </c>
    </row>
    <row r="253" spans="1:13">
      <c r="A253" s="234"/>
      <c r="G253" s="203"/>
      <c r="H253" s="220">
        <v>248</v>
      </c>
      <c r="I253" s="218" t="str">
        <f t="shared" si="18"/>
        <v/>
      </c>
      <c r="J253" s="217">
        <f t="shared" si="21"/>
        <v>-1</v>
      </c>
      <c r="K253" s="217">
        <f t="shared" si="19"/>
        <v>-10</v>
      </c>
      <c r="L253" s="217"/>
      <c r="M253" s="219">
        <f t="shared" si="20"/>
        <v>0</v>
      </c>
    </row>
    <row r="254" spans="1:13">
      <c r="A254" s="234"/>
      <c r="G254" s="203"/>
      <c r="H254" s="217">
        <v>249</v>
      </c>
      <c r="I254" s="218" t="str">
        <f t="shared" si="18"/>
        <v/>
      </c>
      <c r="J254" s="217">
        <f t="shared" si="21"/>
        <v>-1</v>
      </c>
      <c r="K254" s="217">
        <f t="shared" si="19"/>
        <v>-10</v>
      </c>
      <c r="L254" s="217"/>
      <c r="M254" s="219">
        <f t="shared" si="20"/>
        <v>0</v>
      </c>
    </row>
    <row r="255" spans="1:13">
      <c r="A255" s="234"/>
      <c r="G255" s="203"/>
      <c r="H255" s="220">
        <v>250</v>
      </c>
      <c r="I255" s="218" t="str">
        <f t="shared" si="18"/>
        <v/>
      </c>
      <c r="J255" s="217">
        <f t="shared" si="21"/>
        <v>-1</v>
      </c>
      <c r="K255" s="217">
        <f t="shared" si="19"/>
        <v>-10</v>
      </c>
      <c r="L255" s="217"/>
      <c r="M255" s="219">
        <f t="shared" si="20"/>
        <v>0</v>
      </c>
    </row>
    <row r="256" spans="1:13">
      <c r="A256" s="234"/>
      <c r="G256" s="203"/>
      <c r="H256" s="217">
        <v>251</v>
      </c>
      <c r="I256" s="218" t="str">
        <f t="shared" si="18"/>
        <v/>
      </c>
      <c r="J256" s="217">
        <f t="shared" si="21"/>
        <v>-1</v>
      </c>
      <c r="K256" s="217">
        <f t="shared" si="19"/>
        <v>-10</v>
      </c>
      <c r="L256" s="217"/>
      <c r="M256" s="219">
        <f t="shared" si="20"/>
        <v>0</v>
      </c>
    </row>
    <row r="257" spans="1:13">
      <c r="A257" s="234"/>
      <c r="G257" s="203"/>
      <c r="H257" s="220">
        <v>252</v>
      </c>
      <c r="I257" s="218" t="str">
        <f t="shared" si="18"/>
        <v/>
      </c>
      <c r="J257" s="217">
        <f t="shared" si="21"/>
        <v>-1</v>
      </c>
      <c r="K257" s="217">
        <f t="shared" si="19"/>
        <v>-10</v>
      </c>
      <c r="L257" s="217"/>
      <c r="M257" s="219">
        <f t="shared" si="20"/>
        <v>0</v>
      </c>
    </row>
    <row r="258" spans="1:13">
      <c r="A258" s="234"/>
      <c r="G258" s="203"/>
      <c r="H258" s="217">
        <v>253</v>
      </c>
      <c r="I258" s="218" t="str">
        <f t="shared" si="18"/>
        <v/>
      </c>
      <c r="J258" s="217">
        <f t="shared" si="21"/>
        <v>-1</v>
      </c>
      <c r="K258" s="217">
        <f t="shared" si="19"/>
        <v>-10</v>
      </c>
      <c r="L258" s="217"/>
      <c r="M258" s="219">
        <f t="shared" si="20"/>
        <v>0</v>
      </c>
    </row>
    <row r="259" spans="1:13">
      <c r="A259" s="234"/>
      <c r="G259" s="203"/>
      <c r="H259" s="220">
        <v>254</v>
      </c>
      <c r="I259" s="218" t="str">
        <f t="shared" si="18"/>
        <v/>
      </c>
      <c r="J259" s="217">
        <f t="shared" si="21"/>
        <v>-1</v>
      </c>
      <c r="K259" s="217">
        <f t="shared" si="19"/>
        <v>-10</v>
      </c>
      <c r="L259" s="217"/>
      <c r="M259" s="219">
        <f t="shared" si="20"/>
        <v>0</v>
      </c>
    </row>
    <row r="260" spans="1:13">
      <c r="A260" s="234"/>
      <c r="G260" s="203"/>
      <c r="H260" s="217">
        <v>255</v>
      </c>
      <c r="I260" s="218" t="str">
        <f t="shared" si="18"/>
        <v/>
      </c>
      <c r="J260" s="217">
        <f t="shared" si="21"/>
        <v>-1</v>
      </c>
      <c r="K260" s="217">
        <f t="shared" si="19"/>
        <v>-10</v>
      </c>
      <c r="L260" s="217"/>
      <c r="M260" s="219">
        <f t="shared" si="20"/>
        <v>0</v>
      </c>
    </row>
    <row r="261" spans="1:13">
      <c r="A261" s="234"/>
      <c r="G261" s="203"/>
      <c r="H261" s="220">
        <v>256</v>
      </c>
      <c r="I261" s="218" t="str">
        <f t="shared" si="18"/>
        <v/>
      </c>
      <c r="J261" s="217">
        <f t="shared" si="21"/>
        <v>-1</v>
      </c>
      <c r="K261" s="217">
        <f t="shared" si="19"/>
        <v>-10</v>
      </c>
      <c r="L261" s="217"/>
      <c r="M261" s="219">
        <f t="shared" si="20"/>
        <v>0</v>
      </c>
    </row>
    <row r="262" spans="1:13">
      <c r="A262" s="234"/>
      <c r="G262" s="203"/>
      <c r="H262" s="217">
        <v>257</v>
      </c>
      <c r="I262" s="218" t="str">
        <f t="shared" ref="I262:I305" si="22">IF(H262&lt;$H$2+1,($I$2-($I$2-1)*(LOG(H262)/LOG($H$2))),"")</f>
        <v/>
      </c>
      <c r="J262" s="217">
        <f t="shared" si="21"/>
        <v>-2</v>
      </c>
      <c r="K262" s="217">
        <f t="shared" ref="K262:K305" si="23">J262*$J$2</f>
        <v>-20</v>
      </c>
      <c r="L262" s="217"/>
      <c r="M262" s="219">
        <f t="shared" ref="M262:M305" si="24">IF(I262&lt;&gt;"",K262+I262+L262,0)</f>
        <v>0</v>
      </c>
    </row>
    <row r="263" spans="1:13">
      <c r="A263" s="234"/>
      <c r="G263" s="203"/>
      <c r="H263" s="220">
        <v>258</v>
      </c>
      <c r="I263" s="218" t="str">
        <f t="shared" si="22"/>
        <v/>
      </c>
      <c r="J263" s="217">
        <f t="shared" ref="J263:J305" si="25">INT(LOG($H$2,2))-ROUNDUP(LOG(H263,2),0)+IF(OR($H$2=1,$H$2=2,$H$2=4,$H$2=8,$H$2=16,$H$2=32,$H$2=64,$H$2=128,$H$2=256),0,1)</f>
        <v>-2</v>
      </c>
      <c r="K263" s="217">
        <f t="shared" si="23"/>
        <v>-20</v>
      </c>
      <c r="L263" s="217"/>
      <c r="M263" s="219">
        <f t="shared" si="24"/>
        <v>0</v>
      </c>
    </row>
    <row r="264" spans="1:13">
      <c r="A264" s="234"/>
      <c r="G264" s="203"/>
      <c r="H264" s="217">
        <v>259</v>
      </c>
      <c r="I264" s="218" t="str">
        <f t="shared" si="22"/>
        <v/>
      </c>
      <c r="J264" s="217">
        <f t="shared" si="25"/>
        <v>-2</v>
      </c>
      <c r="K264" s="217">
        <f t="shared" si="23"/>
        <v>-20</v>
      </c>
      <c r="L264" s="217"/>
      <c r="M264" s="219">
        <f t="shared" si="24"/>
        <v>0</v>
      </c>
    </row>
    <row r="265" spans="1:13">
      <c r="A265" s="234"/>
      <c r="G265" s="203"/>
      <c r="H265" s="220">
        <v>260</v>
      </c>
      <c r="I265" s="218" t="str">
        <f t="shared" si="22"/>
        <v/>
      </c>
      <c r="J265" s="217">
        <f t="shared" si="25"/>
        <v>-2</v>
      </c>
      <c r="K265" s="217">
        <f t="shared" si="23"/>
        <v>-20</v>
      </c>
      <c r="L265" s="217"/>
      <c r="M265" s="219">
        <f t="shared" si="24"/>
        <v>0</v>
      </c>
    </row>
    <row r="266" spans="1:13">
      <c r="A266" s="234"/>
      <c r="G266" s="203"/>
      <c r="H266" s="217">
        <v>261</v>
      </c>
      <c r="I266" s="218" t="str">
        <f t="shared" si="22"/>
        <v/>
      </c>
      <c r="J266" s="217">
        <f t="shared" si="25"/>
        <v>-2</v>
      </c>
      <c r="K266" s="217">
        <f t="shared" si="23"/>
        <v>-20</v>
      </c>
      <c r="L266" s="217"/>
      <c r="M266" s="219">
        <f t="shared" si="24"/>
        <v>0</v>
      </c>
    </row>
    <row r="267" spans="1:13">
      <c r="A267" s="234"/>
      <c r="G267" s="203"/>
      <c r="H267" s="220">
        <v>262</v>
      </c>
      <c r="I267" s="218" t="str">
        <f t="shared" si="22"/>
        <v/>
      </c>
      <c r="J267" s="217">
        <f t="shared" si="25"/>
        <v>-2</v>
      </c>
      <c r="K267" s="217">
        <f t="shared" si="23"/>
        <v>-20</v>
      </c>
      <c r="L267" s="217"/>
      <c r="M267" s="219">
        <f t="shared" si="24"/>
        <v>0</v>
      </c>
    </row>
    <row r="268" spans="1:13">
      <c r="A268" s="234"/>
      <c r="G268" s="203"/>
      <c r="H268" s="217">
        <v>263</v>
      </c>
      <c r="I268" s="218" t="str">
        <f t="shared" si="22"/>
        <v/>
      </c>
      <c r="J268" s="217">
        <f t="shared" si="25"/>
        <v>-2</v>
      </c>
      <c r="K268" s="217">
        <f t="shared" si="23"/>
        <v>-20</v>
      </c>
      <c r="L268" s="217"/>
      <c r="M268" s="219">
        <f t="shared" si="24"/>
        <v>0</v>
      </c>
    </row>
    <row r="269" spans="1:13">
      <c r="A269" s="234"/>
      <c r="G269" s="203"/>
      <c r="H269" s="220">
        <v>264</v>
      </c>
      <c r="I269" s="218" t="str">
        <f t="shared" si="22"/>
        <v/>
      </c>
      <c r="J269" s="217">
        <f t="shared" si="25"/>
        <v>-2</v>
      </c>
      <c r="K269" s="217">
        <f t="shared" si="23"/>
        <v>-20</v>
      </c>
      <c r="L269" s="217"/>
      <c r="M269" s="219">
        <f t="shared" si="24"/>
        <v>0</v>
      </c>
    </row>
    <row r="270" spans="1:13">
      <c r="A270" s="234"/>
      <c r="G270" s="203"/>
      <c r="H270" s="217">
        <v>265</v>
      </c>
      <c r="I270" s="218" t="str">
        <f t="shared" si="22"/>
        <v/>
      </c>
      <c r="J270" s="217">
        <f t="shared" si="25"/>
        <v>-2</v>
      </c>
      <c r="K270" s="217">
        <f t="shared" si="23"/>
        <v>-20</v>
      </c>
      <c r="L270" s="217"/>
      <c r="M270" s="219">
        <f t="shared" si="24"/>
        <v>0</v>
      </c>
    </row>
    <row r="271" spans="1:13">
      <c r="A271" s="234"/>
      <c r="G271" s="203"/>
      <c r="H271" s="220">
        <v>266</v>
      </c>
      <c r="I271" s="218" t="str">
        <f t="shared" si="22"/>
        <v/>
      </c>
      <c r="J271" s="217">
        <f t="shared" si="25"/>
        <v>-2</v>
      </c>
      <c r="K271" s="217">
        <f t="shared" si="23"/>
        <v>-20</v>
      </c>
      <c r="L271" s="217"/>
      <c r="M271" s="219">
        <f t="shared" si="24"/>
        <v>0</v>
      </c>
    </row>
    <row r="272" spans="1:13">
      <c r="A272" s="234"/>
      <c r="G272" s="203"/>
      <c r="H272" s="217">
        <v>267</v>
      </c>
      <c r="I272" s="218" t="str">
        <f t="shared" si="22"/>
        <v/>
      </c>
      <c r="J272" s="217">
        <f t="shared" si="25"/>
        <v>-2</v>
      </c>
      <c r="K272" s="217">
        <f t="shared" si="23"/>
        <v>-20</v>
      </c>
      <c r="L272" s="217"/>
      <c r="M272" s="219">
        <f t="shared" si="24"/>
        <v>0</v>
      </c>
    </row>
    <row r="273" spans="1:13">
      <c r="A273" s="234"/>
      <c r="G273" s="203"/>
      <c r="H273" s="220">
        <v>268</v>
      </c>
      <c r="I273" s="218" t="str">
        <f t="shared" si="22"/>
        <v/>
      </c>
      <c r="J273" s="217">
        <f t="shared" si="25"/>
        <v>-2</v>
      </c>
      <c r="K273" s="217">
        <f t="shared" si="23"/>
        <v>-20</v>
      </c>
      <c r="L273" s="217"/>
      <c r="M273" s="219">
        <f t="shared" si="24"/>
        <v>0</v>
      </c>
    </row>
    <row r="274" spans="1:13">
      <c r="A274" s="234"/>
      <c r="G274" s="203"/>
      <c r="H274" s="217">
        <v>269</v>
      </c>
      <c r="I274" s="218" t="str">
        <f t="shared" si="22"/>
        <v/>
      </c>
      <c r="J274" s="217">
        <f t="shared" si="25"/>
        <v>-2</v>
      </c>
      <c r="K274" s="217">
        <f t="shared" si="23"/>
        <v>-20</v>
      </c>
      <c r="L274" s="217"/>
      <c r="M274" s="219">
        <f t="shared" si="24"/>
        <v>0</v>
      </c>
    </row>
    <row r="275" spans="1:13">
      <c r="A275" s="234"/>
      <c r="G275" s="203"/>
      <c r="H275" s="220">
        <v>270</v>
      </c>
      <c r="I275" s="218" t="str">
        <f t="shared" si="22"/>
        <v/>
      </c>
      <c r="J275" s="217">
        <f t="shared" si="25"/>
        <v>-2</v>
      </c>
      <c r="K275" s="217">
        <f t="shared" si="23"/>
        <v>-20</v>
      </c>
      <c r="L275" s="217"/>
      <c r="M275" s="219">
        <f t="shared" si="24"/>
        <v>0</v>
      </c>
    </row>
    <row r="276" spans="1:13">
      <c r="A276" s="234"/>
      <c r="G276" s="203"/>
      <c r="H276" s="217">
        <v>271</v>
      </c>
      <c r="I276" s="218" t="str">
        <f t="shared" si="22"/>
        <v/>
      </c>
      <c r="J276" s="217">
        <f t="shared" si="25"/>
        <v>-2</v>
      </c>
      <c r="K276" s="217">
        <f t="shared" si="23"/>
        <v>-20</v>
      </c>
      <c r="L276" s="217"/>
      <c r="M276" s="219">
        <f t="shared" si="24"/>
        <v>0</v>
      </c>
    </row>
    <row r="277" spans="1:13">
      <c r="A277" s="234"/>
      <c r="G277" s="203"/>
      <c r="H277" s="220">
        <v>272</v>
      </c>
      <c r="I277" s="218" t="str">
        <f t="shared" si="22"/>
        <v/>
      </c>
      <c r="J277" s="217">
        <f t="shared" si="25"/>
        <v>-2</v>
      </c>
      <c r="K277" s="217">
        <f t="shared" si="23"/>
        <v>-20</v>
      </c>
      <c r="L277" s="217"/>
      <c r="M277" s="219">
        <f t="shared" si="24"/>
        <v>0</v>
      </c>
    </row>
    <row r="278" spans="1:13">
      <c r="A278" s="234"/>
      <c r="G278" s="203"/>
      <c r="H278" s="217">
        <v>273</v>
      </c>
      <c r="I278" s="218" t="str">
        <f t="shared" si="22"/>
        <v/>
      </c>
      <c r="J278" s="217">
        <f t="shared" si="25"/>
        <v>-2</v>
      </c>
      <c r="K278" s="217">
        <f t="shared" si="23"/>
        <v>-20</v>
      </c>
      <c r="L278" s="217"/>
      <c r="M278" s="219">
        <f t="shared" si="24"/>
        <v>0</v>
      </c>
    </row>
    <row r="279" spans="1:13">
      <c r="A279" s="234"/>
      <c r="G279" s="203"/>
      <c r="H279" s="220">
        <v>274</v>
      </c>
      <c r="I279" s="218" t="str">
        <f t="shared" si="22"/>
        <v/>
      </c>
      <c r="J279" s="217">
        <f t="shared" si="25"/>
        <v>-2</v>
      </c>
      <c r="K279" s="217">
        <f t="shared" si="23"/>
        <v>-20</v>
      </c>
      <c r="L279" s="217"/>
      <c r="M279" s="219">
        <f t="shared" si="24"/>
        <v>0</v>
      </c>
    </row>
    <row r="280" spans="1:13">
      <c r="A280" s="234"/>
      <c r="G280" s="203"/>
      <c r="H280" s="217">
        <v>275</v>
      </c>
      <c r="I280" s="218" t="str">
        <f t="shared" si="22"/>
        <v/>
      </c>
      <c r="J280" s="217">
        <f t="shared" si="25"/>
        <v>-2</v>
      </c>
      <c r="K280" s="217">
        <f t="shared" si="23"/>
        <v>-20</v>
      </c>
      <c r="L280" s="217"/>
      <c r="M280" s="219">
        <f t="shared" si="24"/>
        <v>0</v>
      </c>
    </row>
    <row r="281" spans="1:13">
      <c r="A281" s="234"/>
      <c r="G281" s="203"/>
      <c r="H281" s="220">
        <v>276</v>
      </c>
      <c r="I281" s="218" t="str">
        <f t="shared" si="22"/>
        <v/>
      </c>
      <c r="J281" s="217">
        <f t="shared" si="25"/>
        <v>-2</v>
      </c>
      <c r="K281" s="217">
        <f t="shared" si="23"/>
        <v>-20</v>
      </c>
      <c r="L281" s="217"/>
      <c r="M281" s="219">
        <f t="shared" si="24"/>
        <v>0</v>
      </c>
    </row>
    <row r="282" spans="1:13">
      <c r="A282" s="234"/>
      <c r="G282" s="203"/>
      <c r="H282" s="217">
        <v>277</v>
      </c>
      <c r="I282" s="218" t="str">
        <f t="shared" si="22"/>
        <v/>
      </c>
      <c r="J282" s="217">
        <f t="shared" si="25"/>
        <v>-2</v>
      </c>
      <c r="K282" s="217">
        <f t="shared" si="23"/>
        <v>-20</v>
      </c>
      <c r="L282" s="217"/>
      <c r="M282" s="219">
        <f t="shared" si="24"/>
        <v>0</v>
      </c>
    </row>
    <row r="283" spans="1:13">
      <c r="A283" s="234"/>
      <c r="G283" s="203"/>
      <c r="H283" s="220">
        <v>278</v>
      </c>
      <c r="I283" s="218" t="str">
        <f t="shared" si="22"/>
        <v/>
      </c>
      <c r="J283" s="217">
        <f t="shared" si="25"/>
        <v>-2</v>
      </c>
      <c r="K283" s="217">
        <f t="shared" si="23"/>
        <v>-20</v>
      </c>
      <c r="L283" s="217"/>
      <c r="M283" s="219">
        <f t="shared" si="24"/>
        <v>0</v>
      </c>
    </row>
    <row r="284" spans="1:13">
      <c r="A284" s="234"/>
      <c r="G284" s="203"/>
      <c r="H284" s="217">
        <v>279</v>
      </c>
      <c r="I284" s="218" t="str">
        <f t="shared" si="22"/>
        <v/>
      </c>
      <c r="J284" s="217">
        <f t="shared" si="25"/>
        <v>-2</v>
      </c>
      <c r="K284" s="217">
        <f t="shared" si="23"/>
        <v>-20</v>
      </c>
      <c r="L284" s="217"/>
      <c r="M284" s="219">
        <f t="shared" si="24"/>
        <v>0</v>
      </c>
    </row>
    <row r="285" spans="1:13">
      <c r="A285" s="234"/>
      <c r="G285" s="203"/>
      <c r="H285" s="220">
        <v>280</v>
      </c>
      <c r="I285" s="218" t="str">
        <f t="shared" si="22"/>
        <v/>
      </c>
      <c r="J285" s="217">
        <f t="shared" si="25"/>
        <v>-2</v>
      </c>
      <c r="K285" s="217">
        <f t="shared" si="23"/>
        <v>-20</v>
      </c>
      <c r="L285" s="217"/>
      <c r="M285" s="219">
        <f t="shared" si="24"/>
        <v>0</v>
      </c>
    </row>
    <row r="286" spans="1:13">
      <c r="A286" s="234"/>
      <c r="G286" s="203"/>
      <c r="H286" s="217">
        <v>281</v>
      </c>
      <c r="I286" s="218" t="str">
        <f t="shared" si="22"/>
        <v/>
      </c>
      <c r="J286" s="217">
        <f t="shared" si="25"/>
        <v>-2</v>
      </c>
      <c r="K286" s="217">
        <f t="shared" si="23"/>
        <v>-20</v>
      </c>
      <c r="L286" s="217"/>
      <c r="M286" s="219">
        <f t="shared" si="24"/>
        <v>0</v>
      </c>
    </row>
    <row r="287" spans="1:13">
      <c r="A287" s="234"/>
      <c r="G287" s="203"/>
      <c r="H287" s="220">
        <v>282</v>
      </c>
      <c r="I287" s="218" t="str">
        <f t="shared" si="22"/>
        <v/>
      </c>
      <c r="J287" s="217">
        <f t="shared" si="25"/>
        <v>-2</v>
      </c>
      <c r="K287" s="217">
        <f t="shared" si="23"/>
        <v>-20</v>
      </c>
      <c r="L287" s="217"/>
      <c r="M287" s="219">
        <f t="shared" si="24"/>
        <v>0</v>
      </c>
    </row>
    <row r="288" spans="1:13">
      <c r="A288" s="234"/>
      <c r="G288" s="203"/>
      <c r="H288" s="217">
        <v>283</v>
      </c>
      <c r="I288" s="218" t="str">
        <f t="shared" si="22"/>
        <v/>
      </c>
      <c r="J288" s="217">
        <f t="shared" si="25"/>
        <v>-2</v>
      </c>
      <c r="K288" s="217">
        <f t="shared" si="23"/>
        <v>-20</v>
      </c>
      <c r="L288" s="217"/>
      <c r="M288" s="219">
        <f t="shared" si="24"/>
        <v>0</v>
      </c>
    </row>
    <row r="289" spans="1:13">
      <c r="A289" s="234"/>
      <c r="G289" s="203"/>
      <c r="H289" s="220">
        <v>284</v>
      </c>
      <c r="I289" s="218" t="str">
        <f t="shared" si="22"/>
        <v/>
      </c>
      <c r="J289" s="217">
        <f t="shared" si="25"/>
        <v>-2</v>
      </c>
      <c r="K289" s="217">
        <f t="shared" si="23"/>
        <v>-20</v>
      </c>
      <c r="L289" s="217"/>
      <c r="M289" s="219">
        <f t="shared" si="24"/>
        <v>0</v>
      </c>
    </row>
    <row r="290" spans="1:13">
      <c r="A290" s="234"/>
      <c r="G290" s="203"/>
      <c r="H290" s="217">
        <v>285</v>
      </c>
      <c r="I290" s="218" t="str">
        <f t="shared" si="22"/>
        <v/>
      </c>
      <c r="J290" s="217">
        <f t="shared" si="25"/>
        <v>-2</v>
      </c>
      <c r="K290" s="217">
        <f t="shared" si="23"/>
        <v>-20</v>
      </c>
      <c r="L290" s="217"/>
      <c r="M290" s="219">
        <f t="shared" si="24"/>
        <v>0</v>
      </c>
    </row>
    <row r="291" spans="1:13">
      <c r="A291" s="234"/>
      <c r="G291" s="203"/>
      <c r="H291" s="220">
        <v>286</v>
      </c>
      <c r="I291" s="218" t="str">
        <f t="shared" si="22"/>
        <v/>
      </c>
      <c r="J291" s="217">
        <f t="shared" si="25"/>
        <v>-2</v>
      </c>
      <c r="K291" s="217">
        <f t="shared" si="23"/>
        <v>-20</v>
      </c>
      <c r="L291" s="217"/>
      <c r="M291" s="219">
        <f t="shared" si="24"/>
        <v>0</v>
      </c>
    </row>
    <row r="292" spans="1:13">
      <c r="A292" s="234"/>
      <c r="G292" s="203"/>
      <c r="H292" s="217">
        <v>287</v>
      </c>
      <c r="I292" s="218" t="str">
        <f t="shared" si="22"/>
        <v/>
      </c>
      <c r="J292" s="217">
        <f t="shared" si="25"/>
        <v>-2</v>
      </c>
      <c r="K292" s="217">
        <f t="shared" si="23"/>
        <v>-20</v>
      </c>
      <c r="L292" s="217"/>
      <c r="M292" s="219">
        <f t="shared" si="24"/>
        <v>0</v>
      </c>
    </row>
    <row r="293" spans="1:13">
      <c r="A293" s="234"/>
      <c r="G293" s="203"/>
      <c r="H293" s="217">
        <v>288</v>
      </c>
      <c r="I293" s="218" t="str">
        <f t="shared" si="22"/>
        <v/>
      </c>
      <c r="J293" s="217">
        <f t="shared" si="25"/>
        <v>-2</v>
      </c>
      <c r="K293" s="217">
        <f t="shared" si="23"/>
        <v>-20</v>
      </c>
      <c r="L293" s="217"/>
      <c r="M293" s="219">
        <f t="shared" si="24"/>
        <v>0</v>
      </c>
    </row>
    <row r="294" spans="1:13">
      <c r="A294" s="234"/>
      <c r="G294" s="203"/>
      <c r="H294" s="217">
        <v>289</v>
      </c>
      <c r="I294" s="218" t="str">
        <f t="shared" si="22"/>
        <v/>
      </c>
      <c r="J294" s="217">
        <f t="shared" si="25"/>
        <v>-2</v>
      </c>
      <c r="K294" s="217">
        <f t="shared" si="23"/>
        <v>-20</v>
      </c>
      <c r="L294" s="217"/>
      <c r="M294" s="219">
        <f t="shared" si="24"/>
        <v>0</v>
      </c>
    </row>
    <row r="295" spans="1:13">
      <c r="A295" s="234"/>
      <c r="G295" s="203"/>
      <c r="H295" s="217">
        <v>290</v>
      </c>
      <c r="I295" s="218" t="str">
        <f t="shared" si="22"/>
        <v/>
      </c>
      <c r="J295" s="217">
        <f t="shared" si="25"/>
        <v>-2</v>
      </c>
      <c r="K295" s="217">
        <f t="shared" si="23"/>
        <v>-20</v>
      </c>
      <c r="L295" s="217"/>
      <c r="M295" s="219">
        <f t="shared" si="24"/>
        <v>0</v>
      </c>
    </row>
    <row r="296" spans="1:13">
      <c r="A296" s="234"/>
      <c r="G296" s="203"/>
      <c r="H296" s="217">
        <v>291</v>
      </c>
      <c r="I296" s="218" t="str">
        <f t="shared" si="22"/>
        <v/>
      </c>
      <c r="J296" s="217">
        <f t="shared" si="25"/>
        <v>-2</v>
      </c>
      <c r="K296" s="217">
        <f t="shared" si="23"/>
        <v>-20</v>
      </c>
      <c r="L296" s="217"/>
      <c r="M296" s="219">
        <f t="shared" si="24"/>
        <v>0</v>
      </c>
    </row>
    <row r="297" spans="1:13">
      <c r="A297" s="234"/>
      <c r="G297" s="203"/>
      <c r="H297" s="217">
        <v>292</v>
      </c>
      <c r="I297" s="218" t="str">
        <f t="shared" si="22"/>
        <v/>
      </c>
      <c r="J297" s="217">
        <f t="shared" si="25"/>
        <v>-2</v>
      </c>
      <c r="K297" s="217">
        <f t="shared" si="23"/>
        <v>-20</v>
      </c>
      <c r="L297" s="217"/>
      <c r="M297" s="219">
        <f t="shared" si="24"/>
        <v>0</v>
      </c>
    </row>
    <row r="298" spans="1:13">
      <c r="A298" s="234"/>
      <c r="G298" s="203"/>
      <c r="H298" s="217">
        <v>293</v>
      </c>
      <c r="I298" s="218" t="str">
        <f t="shared" si="22"/>
        <v/>
      </c>
      <c r="J298" s="217">
        <f t="shared" si="25"/>
        <v>-2</v>
      </c>
      <c r="K298" s="217">
        <f t="shared" si="23"/>
        <v>-20</v>
      </c>
      <c r="L298" s="217"/>
      <c r="M298" s="219">
        <f t="shared" si="24"/>
        <v>0</v>
      </c>
    </row>
    <row r="299" spans="1:13">
      <c r="A299" s="234"/>
      <c r="G299" s="203"/>
      <c r="H299" s="217">
        <v>294</v>
      </c>
      <c r="I299" s="218" t="str">
        <f t="shared" si="22"/>
        <v/>
      </c>
      <c r="J299" s="217">
        <f t="shared" si="25"/>
        <v>-2</v>
      </c>
      <c r="K299" s="217">
        <f t="shared" si="23"/>
        <v>-20</v>
      </c>
      <c r="L299" s="217"/>
      <c r="M299" s="219">
        <f t="shared" si="24"/>
        <v>0</v>
      </c>
    </row>
    <row r="300" spans="1:13">
      <c r="A300" s="234"/>
      <c r="G300" s="203"/>
      <c r="H300" s="217">
        <v>295</v>
      </c>
      <c r="I300" s="218" t="str">
        <f t="shared" si="22"/>
        <v/>
      </c>
      <c r="J300" s="217">
        <f t="shared" si="25"/>
        <v>-2</v>
      </c>
      <c r="K300" s="217">
        <f t="shared" si="23"/>
        <v>-20</v>
      </c>
      <c r="L300" s="217"/>
      <c r="M300" s="219">
        <f t="shared" si="24"/>
        <v>0</v>
      </c>
    </row>
    <row r="301" spans="1:13">
      <c r="A301" s="234"/>
      <c r="G301" s="203"/>
      <c r="H301" s="217">
        <v>296</v>
      </c>
      <c r="I301" s="218" t="str">
        <f t="shared" si="22"/>
        <v/>
      </c>
      <c r="J301" s="217">
        <f t="shared" si="25"/>
        <v>-2</v>
      </c>
      <c r="K301" s="217">
        <f t="shared" si="23"/>
        <v>-20</v>
      </c>
      <c r="L301" s="217"/>
      <c r="M301" s="219">
        <f t="shared" si="24"/>
        <v>0</v>
      </c>
    </row>
    <row r="302" spans="1:13">
      <c r="A302" s="234"/>
      <c r="G302" s="203"/>
      <c r="H302" s="217">
        <v>297</v>
      </c>
      <c r="I302" s="218" t="str">
        <f t="shared" si="22"/>
        <v/>
      </c>
      <c r="J302" s="217">
        <f t="shared" si="25"/>
        <v>-2</v>
      </c>
      <c r="K302" s="217">
        <f t="shared" si="23"/>
        <v>-20</v>
      </c>
      <c r="L302" s="217"/>
      <c r="M302" s="219">
        <f t="shared" si="24"/>
        <v>0</v>
      </c>
    </row>
    <row r="303" spans="1:13">
      <c r="A303" s="234"/>
      <c r="G303" s="203"/>
      <c r="H303" s="217">
        <v>298</v>
      </c>
      <c r="I303" s="218" t="str">
        <f t="shared" si="22"/>
        <v/>
      </c>
      <c r="J303" s="217">
        <f t="shared" si="25"/>
        <v>-2</v>
      </c>
      <c r="K303" s="217">
        <f t="shared" si="23"/>
        <v>-20</v>
      </c>
      <c r="L303" s="217"/>
      <c r="M303" s="219">
        <f t="shared" si="24"/>
        <v>0</v>
      </c>
    </row>
    <row r="304" spans="1:13">
      <c r="A304" s="234"/>
      <c r="G304" s="203"/>
      <c r="H304" s="217">
        <v>299</v>
      </c>
      <c r="I304" s="218" t="str">
        <f t="shared" si="22"/>
        <v/>
      </c>
      <c r="J304" s="217">
        <f t="shared" si="25"/>
        <v>-2</v>
      </c>
      <c r="K304" s="217">
        <f t="shared" si="23"/>
        <v>-20</v>
      </c>
      <c r="L304" s="217"/>
      <c r="M304" s="219">
        <f t="shared" si="24"/>
        <v>0</v>
      </c>
    </row>
    <row r="305" spans="1:16">
      <c r="A305" s="234"/>
      <c r="G305" s="203"/>
      <c r="H305" s="217">
        <v>300</v>
      </c>
      <c r="I305" s="218" t="str">
        <f t="shared" si="22"/>
        <v/>
      </c>
      <c r="J305" s="217">
        <f t="shared" si="25"/>
        <v>-2</v>
      </c>
      <c r="K305" s="217">
        <f t="shared" si="23"/>
        <v>-20</v>
      </c>
      <c r="L305" s="217"/>
      <c r="M305" s="219">
        <f t="shared" si="24"/>
        <v>0</v>
      </c>
    </row>
    <row r="306" spans="1:16">
      <c r="A306" s="235"/>
    </row>
    <row r="314" spans="1:16">
      <c r="L314" s="238"/>
      <c r="P314" s="228"/>
    </row>
    <row r="315" spans="1:16">
      <c r="L315" s="238"/>
      <c r="P315" s="228"/>
    </row>
    <row r="316" spans="1:16">
      <c r="L316" s="238"/>
      <c r="P316" s="228"/>
    </row>
    <row r="317" spans="1:16">
      <c r="L317" s="238"/>
      <c r="P317" s="228"/>
    </row>
  </sheetData>
  <conditionalFormatting sqref="J6:K305">
    <cfRule type="cellIs" dxfId="5" priority="1" operator="lessThanOrEqual">
      <formula>0</formula>
    </cfRule>
  </conditionalFormatting>
  <hyperlinks>
    <hyperlink ref="C2" r:id="rId1" xr:uid="{FDAD4F5C-941E-4DE7-918E-3BE65AA175D5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5693-78AC-42F2-8FED-D097B6AA8BDF}">
  <sheetPr>
    <tabColor theme="7" tint="0.79998168889431442"/>
  </sheetPr>
  <dimension ref="A1:AM317"/>
  <sheetViews>
    <sheetView topLeftCell="A94" workbookViewId="0">
      <selection activeCell="B120" sqref="B120"/>
    </sheetView>
  </sheetViews>
  <sheetFormatPr defaultColWidth="8.85546875" defaultRowHeight="15"/>
  <cols>
    <col min="1" max="1" width="8" style="104" customWidth="1"/>
    <col min="2" max="2" width="8.28515625" style="104" customWidth="1"/>
    <col min="3" max="3" width="34.7109375" style="104" customWidth="1"/>
    <col min="4" max="4" width="11.28515625" style="104" customWidth="1"/>
    <col min="5" max="6" width="8.85546875" style="104"/>
    <col min="7" max="7" width="0.85546875" style="104" customWidth="1"/>
    <col min="8" max="8" width="8.85546875" style="107"/>
    <col min="9" max="9" width="11" style="107" customWidth="1"/>
    <col min="10" max="10" width="15.28515625" style="107" customWidth="1"/>
    <col min="11" max="11" width="8.7109375" style="107" customWidth="1"/>
    <col min="12" max="12" width="11" style="107" customWidth="1"/>
    <col min="13" max="13" width="11.7109375" style="107" customWidth="1"/>
    <col min="14" max="14" width="11.7109375" style="108" customWidth="1"/>
    <col min="15" max="16" width="13.85546875" style="73" customWidth="1"/>
    <col min="17" max="19" width="8.85546875" style="73"/>
    <col min="20" max="21" width="8.85546875" style="78"/>
    <col min="22" max="22" width="12.140625" style="78" customWidth="1"/>
    <col min="23" max="23" width="27.42578125" style="78" customWidth="1"/>
    <col min="24" max="39" width="8.85546875" style="78"/>
    <col min="40" max="16384" width="8.85546875" style="104"/>
  </cols>
  <sheetData>
    <row r="1" spans="1:37">
      <c r="A1" s="73"/>
      <c r="B1" s="73"/>
      <c r="C1" s="73"/>
      <c r="D1" s="73"/>
      <c r="E1" s="73"/>
      <c r="F1" s="73"/>
      <c r="G1" s="73"/>
      <c r="H1" s="74" t="s">
        <v>40</v>
      </c>
      <c r="I1" s="75" t="s">
        <v>41</v>
      </c>
      <c r="J1" s="75" t="s">
        <v>42</v>
      </c>
      <c r="K1" s="76" t="s">
        <v>117</v>
      </c>
      <c r="L1" s="111" t="s">
        <v>118</v>
      </c>
      <c r="M1" s="112"/>
      <c r="N1" s="77"/>
    </row>
    <row r="2" spans="1:37">
      <c r="A2" s="73"/>
      <c r="B2" s="47" t="s">
        <v>44</v>
      </c>
      <c r="C2" s="342" t="s">
        <v>319</v>
      </c>
      <c r="D2" s="342"/>
      <c r="E2" s="6"/>
      <c r="F2" s="6"/>
      <c r="G2" s="6"/>
      <c r="H2" s="79">
        <v>110</v>
      </c>
      <c r="I2" s="80">
        <v>50</v>
      </c>
      <c r="J2" s="80">
        <v>10</v>
      </c>
      <c r="K2" s="110">
        <f>3*H2^(1/3)</f>
        <v>14.37425957118835</v>
      </c>
      <c r="L2" s="113">
        <v>1.2</v>
      </c>
      <c r="M2" s="77"/>
      <c r="N2" s="77"/>
    </row>
    <row r="3" spans="1:37" ht="14.25" customHeight="1">
      <c r="A3" s="73"/>
      <c r="B3" s="81" t="s">
        <v>46</v>
      </c>
      <c r="C3" s="343" t="s">
        <v>320</v>
      </c>
      <c r="D3" s="343"/>
      <c r="E3" s="7"/>
      <c r="F3" s="7"/>
      <c r="G3" s="7"/>
      <c r="H3" s="77"/>
      <c r="I3" s="77"/>
      <c r="J3" s="82"/>
      <c r="K3" s="77"/>
      <c r="L3" s="77"/>
      <c r="M3" s="77"/>
      <c r="N3" s="77"/>
    </row>
    <row r="4" spans="1:37" ht="10.15" customHeight="1">
      <c r="A4" s="8"/>
      <c r="B4" s="7"/>
      <c r="C4" s="8"/>
      <c r="D4" s="8"/>
      <c r="E4" s="8"/>
      <c r="F4" s="8"/>
      <c r="G4" s="8"/>
      <c r="H4" s="77"/>
      <c r="I4" s="77"/>
      <c r="J4" s="82"/>
      <c r="K4" s="77"/>
      <c r="L4" s="77"/>
      <c r="M4" s="77"/>
      <c r="N4" s="77"/>
    </row>
    <row r="5" spans="1:37" ht="36">
      <c r="A5" s="1" t="s">
        <v>48</v>
      </c>
      <c r="B5" s="37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8"/>
      <c r="H5" s="83" t="s">
        <v>54</v>
      </c>
      <c r="I5" s="84" t="s">
        <v>55</v>
      </c>
      <c r="J5" s="85" t="s">
        <v>96</v>
      </c>
      <c r="K5" s="84" t="s">
        <v>97</v>
      </c>
      <c r="L5" s="84" t="s">
        <v>58</v>
      </c>
      <c r="M5" s="83" t="s">
        <v>59</v>
      </c>
      <c r="N5" s="83" t="s">
        <v>121</v>
      </c>
    </row>
    <row r="6" spans="1:37" ht="14.45" customHeight="1">
      <c r="A6" s="86">
        <f>N6</f>
        <v>195.74733445627805</v>
      </c>
      <c r="B6" s="36">
        <f t="shared" ref="B6:B69" si="0">IF(H6&gt;$H$2,"",(ROW()-5))</f>
        <v>1</v>
      </c>
      <c r="C6" s="24" t="s">
        <v>99</v>
      </c>
      <c r="D6" s="24"/>
      <c r="E6" s="24"/>
      <c r="F6" s="24"/>
      <c r="G6" s="8"/>
      <c r="H6" s="87">
        <v>1</v>
      </c>
      <c r="I6" s="88">
        <f t="shared" ref="I6:I69" si="1">IF(H6&lt;$H$2+1,($I$2-($I$2-1)*(LOG(H6)/LOG($H$2))),"")</f>
        <v>50</v>
      </c>
      <c r="J6" s="87">
        <f>INT(LOG($H$2,2))-ROUNDUP(LOG(H6,2),0)+IF(OR($H$2=1,$H$2=2,$H$2=4,$H$2=8,$H$2=16,$H$2=32,$H$2=64,$H$2=128,$H$2=256),0,1)</f>
        <v>7</v>
      </c>
      <c r="K6" s="87">
        <f t="shared" ref="K6:K69" si="2">J6*$J$2</f>
        <v>70</v>
      </c>
      <c r="L6" s="89">
        <f>3*K2</f>
        <v>43.122778713565054</v>
      </c>
      <c r="M6" s="89">
        <f t="shared" ref="M6:M69" si="3">IF(I6&lt;&gt;"",K6+I6+L6,0)</f>
        <v>163.12277871356505</v>
      </c>
      <c r="N6" s="89">
        <f t="shared" ref="N6:N69" si="4">IF(I6&lt;&gt;"",M6*L$2,0)</f>
        <v>195.74733445627805</v>
      </c>
    </row>
    <row r="7" spans="1:37" ht="14.45" customHeight="1">
      <c r="A7" s="90">
        <f t="shared" ref="A7:A70" si="5">N7</f>
        <v>157.82739551382596</v>
      </c>
      <c r="B7" s="35">
        <f t="shared" si="0"/>
        <v>2</v>
      </c>
      <c r="C7" s="25" t="s">
        <v>99</v>
      </c>
      <c r="D7" s="25"/>
      <c r="E7" s="25"/>
      <c r="F7" s="25"/>
      <c r="G7" s="8"/>
      <c r="H7" s="91">
        <v>2</v>
      </c>
      <c r="I7" s="92">
        <f t="shared" si="1"/>
        <v>42.774310452478282</v>
      </c>
      <c r="J7" s="91">
        <f t="shared" ref="J7:J70" si="6">INT(LOG($H$2,2))-ROUNDUP(LOG(H7,2),0)+IF(OR($H$2=1,$H$2=2,$H$2=4,$H$2=8,$H$2=16,$H$2=32,$H$2=64,$H$2=128,$H$2=256),0,1)</f>
        <v>6</v>
      </c>
      <c r="K7" s="91">
        <f t="shared" si="2"/>
        <v>60</v>
      </c>
      <c r="L7" s="93">
        <f>2*K2</f>
        <v>28.748519142376701</v>
      </c>
      <c r="M7" s="93">
        <f t="shared" si="3"/>
        <v>131.52282959485498</v>
      </c>
      <c r="N7" s="93">
        <f t="shared" si="4"/>
        <v>157.82739551382596</v>
      </c>
    </row>
    <row r="8" spans="1:37" ht="14.45" customHeight="1">
      <c r="A8" s="86">
        <f t="shared" si="5"/>
        <v>123.50617511581632</v>
      </c>
      <c r="B8" s="36">
        <f t="shared" si="0"/>
        <v>3</v>
      </c>
      <c r="C8" s="24" t="s">
        <v>99</v>
      </c>
      <c r="D8" s="24"/>
      <c r="E8" s="24"/>
      <c r="F8" s="24"/>
      <c r="G8" s="8"/>
      <c r="H8" s="87">
        <v>3</v>
      </c>
      <c r="I8" s="88">
        <f t="shared" si="1"/>
        <v>38.547553025325257</v>
      </c>
      <c r="J8" s="87">
        <f t="shared" si="6"/>
        <v>5</v>
      </c>
      <c r="K8" s="87">
        <f t="shared" si="2"/>
        <v>50</v>
      </c>
      <c r="L8" s="89">
        <f>K2</f>
        <v>14.37425957118835</v>
      </c>
      <c r="M8" s="89">
        <f t="shared" si="3"/>
        <v>102.9218125965136</v>
      </c>
      <c r="N8" s="89">
        <f t="shared" si="4"/>
        <v>123.50617511581632</v>
      </c>
    </row>
    <row r="9" spans="1:37" s="78" customFormat="1" ht="14.45" customHeight="1">
      <c r="A9" s="90">
        <f>N9</f>
        <v>123.50617511581632</v>
      </c>
      <c r="B9" s="35">
        <f t="shared" si="0"/>
        <v>4</v>
      </c>
      <c r="C9" s="25" t="s">
        <v>99</v>
      </c>
      <c r="D9" s="25"/>
      <c r="E9" s="25"/>
      <c r="F9" s="25"/>
      <c r="G9" s="8"/>
      <c r="H9" s="91">
        <v>3</v>
      </c>
      <c r="I9" s="92">
        <f t="shared" si="1"/>
        <v>38.547553025325257</v>
      </c>
      <c r="J9" s="91">
        <f t="shared" si="6"/>
        <v>5</v>
      </c>
      <c r="K9" s="91">
        <f t="shared" si="2"/>
        <v>50</v>
      </c>
      <c r="L9" s="93">
        <f>K2</f>
        <v>14.37425957118835</v>
      </c>
      <c r="M9" s="93">
        <f t="shared" si="3"/>
        <v>102.9218125965136</v>
      </c>
      <c r="N9" s="93">
        <f t="shared" si="4"/>
        <v>123.50617511581632</v>
      </c>
      <c r="O9" s="73"/>
      <c r="P9" s="73"/>
      <c r="Q9" s="73"/>
      <c r="R9" s="73"/>
      <c r="S9" s="73"/>
      <c r="V9" s="94"/>
      <c r="Z9" s="95"/>
      <c r="AA9" s="95"/>
      <c r="AG9" s="96"/>
      <c r="AH9" s="78" t="s">
        <v>99</v>
      </c>
      <c r="AI9" s="78">
        <v>23</v>
      </c>
    </row>
    <row r="10" spans="1:37" ht="14.45" customHeight="1">
      <c r="A10" s="86">
        <f t="shared" si="5"/>
        <v>87.866962121610428</v>
      </c>
      <c r="B10" s="36">
        <f t="shared" si="0"/>
        <v>5</v>
      </c>
      <c r="C10" s="24" t="s">
        <v>99</v>
      </c>
      <c r="D10" s="24"/>
      <c r="E10" s="24"/>
      <c r="F10" s="24"/>
      <c r="G10" s="8"/>
      <c r="H10" s="87">
        <v>5</v>
      </c>
      <c r="I10" s="88">
        <f t="shared" si="1"/>
        <v>33.22246843467537</v>
      </c>
      <c r="J10" s="87">
        <f t="shared" si="6"/>
        <v>4</v>
      </c>
      <c r="K10" s="87">
        <f t="shared" si="2"/>
        <v>40</v>
      </c>
      <c r="L10" s="87"/>
      <c r="M10" s="89">
        <f t="shared" si="3"/>
        <v>73.222468434675363</v>
      </c>
      <c r="N10" s="89">
        <f t="shared" si="4"/>
        <v>87.866962121610428</v>
      </c>
      <c r="W10" s="94"/>
      <c r="AA10" s="95"/>
      <c r="AB10" s="95"/>
      <c r="AH10" s="96"/>
      <c r="AI10" s="78" t="s">
        <v>100</v>
      </c>
      <c r="AJ10" s="78">
        <v>45</v>
      </c>
    </row>
    <row r="11" spans="1:37" ht="14.45" customHeight="1">
      <c r="A11" s="90">
        <f t="shared" si="5"/>
        <v>85.586236173364256</v>
      </c>
      <c r="B11" s="35">
        <f t="shared" si="0"/>
        <v>6</v>
      </c>
      <c r="C11" s="25" t="s">
        <v>16</v>
      </c>
      <c r="D11" s="25"/>
      <c r="E11" s="25"/>
      <c r="F11" s="25"/>
      <c r="G11" s="8"/>
      <c r="H11" s="91">
        <v>6</v>
      </c>
      <c r="I11" s="92">
        <f t="shared" si="1"/>
        <v>31.321863477803543</v>
      </c>
      <c r="J11" s="91">
        <f t="shared" si="6"/>
        <v>4</v>
      </c>
      <c r="K11" s="91">
        <f t="shared" si="2"/>
        <v>40</v>
      </c>
      <c r="L11" s="91"/>
      <c r="M11" s="93">
        <f t="shared" si="3"/>
        <v>71.321863477803547</v>
      </c>
      <c r="N11" s="93">
        <f t="shared" si="4"/>
        <v>85.586236173364256</v>
      </c>
      <c r="W11" s="97"/>
      <c r="AA11" s="95"/>
      <c r="AB11" s="95"/>
      <c r="AH11" s="96"/>
      <c r="AI11" s="78" t="s">
        <v>101</v>
      </c>
      <c r="AJ11" s="78">
        <v>50</v>
      </c>
    </row>
    <row r="12" spans="1:37" ht="14.45" customHeight="1">
      <c r="A12" s="86">
        <f t="shared" si="5"/>
        <v>83.657909860205663</v>
      </c>
      <c r="B12" s="36">
        <f t="shared" si="0"/>
        <v>7</v>
      </c>
      <c r="C12" s="24" t="s">
        <v>99</v>
      </c>
      <c r="D12" s="24"/>
      <c r="E12" s="24"/>
      <c r="F12" s="24"/>
      <c r="G12" s="8"/>
      <c r="H12" s="87">
        <v>7</v>
      </c>
      <c r="I12" s="88">
        <f t="shared" si="1"/>
        <v>29.714924883504722</v>
      </c>
      <c r="J12" s="87">
        <f t="shared" si="6"/>
        <v>4</v>
      </c>
      <c r="K12" s="87">
        <f t="shared" si="2"/>
        <v>40</v>
      </c>
      <c r="L12" s="87"/>
      <c r="M12" s="89">
        <f t="shared" si="3"/>
        <v>69.714924883504722</v>
      </c>
      <c r="N12" s="89">
        <f t="shared" si="4"/>
        <v>83.657909860205663</v>
      </c>
      <c r="AA12" s="95"/>
      <c r="AB12" s="95"/>
      <c r="AH12" s="96"/>
      <c r="AI12" s="78" t="s">
        <v>102</v>
      </c>
      <c r="AJ12" s="78">
        <f>AJ11-1</f>
        <v>49</v>
      </c>
    </row>
    <row r="13" spans="1:37" ht="14.45" customHeight="1">
      <c r="A13" s="90">
        <f t="shared" si="5"/>
        <v>81.987517628921822</v>
      </c>
      <c r="B13" s="35">
        <f t="shared" si="0"/>
        <v>8</v>
      </c>
      <c r="C13" s="25" t="s">
        <v>99</v>
      </c>
      <c r="D13" s="25"/>
      <c r="E13" s="25"/>
      <c r="F13" s="25"/>
      <c r="G13" s="8"/>
      <c r="H13" s="91">
        <v>8</v>
      </c>
      <c r="I13" s="92">
        <f t="shared" si="1"/>
        <v>28.32293135743485</v>
      </c>
      <c r="J13" s="91">
        <f t="shared" si="6"/>
        <v>4</v>
      </c>
      <c r="K13" s="91">
        <f t="shared" si="2"/>
        <v>40</v>
      </c>
      <c r="L13" s="91"/>
      <c r="M13" s="93">
        <f t="shared" si="3"/>
        <v>68.322931357434854</v>
      </c>
      <c r="N13" s="93">
        <f t="shared" si="4"/>
        <v>81.987517628921822</v>
      </c>
      <c r="Y13" s="94"/>
      <c r="AH13" s="96"/>
      <c r="AI13" s="78" t="s">
        <v>104</v>
      </c>
      <c r="AJ13" s="78" t="e">
        <f>LOG(AJ9)</f>
        <v>#NUM!</v>
      </c>
    </row>
    <row r="14" spans="1:37">
      <c r="A14" s="86">
        <f>N14</f>
        <v>68.514127260780612</v>
      </c>
      <c r="B14" s="36">
        <f t="shared" si="0"/>
        <v>9</v>
      </c>
      <c r="C14" s="24" t="s">
        <v>99</v>
      </c>
      <c r="D14" s="24"/>
      <c r="E14" s="24"/>
      <c r="F14" s="24"/>
      <c r="G14" s="8"/>
      <c r="H14" s="87">
        <v>9</v>
      </c>
      <c r="I14" s="88">
        <f t="shared" si="1"/>
        <v>27.095106050650518</v>
      </c>
      <c r="J14" s="87">
        <f t="shared" si="6"/>
        <v>3</v>
      </c>
      <c r="K14" s="87">
        <f t="shared" si="2"/>
        <v>30</v>
      </c>
      <c r="L14" s="87"/>
      <c r="M14" s="89">
        <f t="shared" si="3"/>
        <v>57.095106050650514</v>
      </c>
      <c r="N14" s="89">
        <f t="shared" si="4"/>
        <v>68.514127260780612</v>
      </c>
      <c r="Y14" s="98"/>
      <c r="AA14" s="95"/>
      <c r="AB14" s="95"/>
      <c r="AH14" s="96"/>
      <c r="AI14" s="78" t="s">
        <v>105</v>
      </c>
      <c r="AJ14" s="78">
        <f>LOG(AJ10)</f>
        <v>1.6532125137753437</v>
      </c>
    </row>
    <row r="15" spans="1:37">
      <c r="A15" s="90">
        <f t="shared" si="5"/>
        <v>67.196134664584378</v>
      </c>
      <c r="B15" s="35">
        <f t="shared" si="0"/>
        <v>10</v>
      </c>
      <c r="C15" s="25" t="s">
        <v>99</v>
      </c>
      <c r="D15" s="25"/>
      <c r="E15" s="25"/>
      <c r="F15" s="25"/>
      <c r="G15" s="8"/>
      <c r="H15" s="91">
        <v>10</v>
      </c>
      <c r="I15" s="92">
        <f t="shared" si="1"/>
        <v>25.996778887153653</v>
      </c>
      <c r="J15" s="91">
        <f t="shared" si="6"/>
        <v>3</v>
      </c>
      <c r="K15" s="91">
        <f t="shared" si="2"/>
        <v>30</v>
      </c>
      <c r="L15" s="91"/>
      <c r="M15" s="93">
        <f t="shared" si="3"/>
        <v>55.996778887153653</v>
      </c>
      <c r="N15" s="93">
        <f t="shared" si="4"/>
        <v>67.196134664584378</v>
      </c>
      <c r="Y15" s="94"/>
      <c r="AA15" s="95"/>
      <c r="AB15" s="95"/>
    </row>
    <row r="16" spans="1:37">
      <c r="A16" s="86">
        <f t="shared" si="5"/>
        <v>66.003865335415611</v>
      </c>
      <c r="B16" s="36">
        <f t="shared" si="0"/>
        <v>11</v>
      </c>
      <c r="C16" s="24" t="s">
        <v>99</v>
      </c>
      <c r="D16" s="24"/>
      <c r="E16" s="24"/>
      <c r="F16" s="24"/>
      <c r="G16" s="8"/>
      <c r="H16" s="87">
        <v>11</v>
      </c>
      <c r="I16" s="88">
        <f t="shared" si="1"/>
        <v>25.00322111284634</v>
      </c>
      <c r="J16" s="87">
        <f t="shared" si="6"/>
        <v>3</v>
      </c>
      <c r="K16" s="87">
        <f t="shared" si="2"/>
        <v>30</v>
      </c>
      <c r="L16" s="87"/>
      <c r="M16" s="89">
        <f t="shared" si="3"/>
        <v>55.00322111284634</v>
      </c>
      <c r="N16" s="89">
        <f t="shared" si="4"/>
        <v>66.003865335415611</v>
      </c>
      <c r="S16" s="99"/>
      <c r="AA16" s="95"/>
      <c r="AB16" s="95"/>
      <c r="AI16" s="100" t="s">
        <v>107</v>
      </c>
      <c r="AJ16" s="78" t="e">
        <f>AJ11-AJ12*AJ13/AJ14</f>
        <v>#NUM!</v>
      </c>
      <c r="AK16" s="78" t="s">
        <v>108</v>
      </c>
    </row>
    <row r="17" spans="1:20">
      <c r="A17" s="90">
        <f t="shared" si="5"/>
        <v>64.915408716338177</v>
      </c>
      <c r="B17" s="35">
        <f t="shared" si="0"/>
        <v>12</v>
      </c>
      <c r="C17" s="25" t="s">
        <v>99</v>
      </c>
      <c r="D17" s="25"/>
      <c r="E17" s="25"/>
      <c r="F17" s="25"/>
      <c r="G17" s="8"/>
      <c r="H17" s="91">
        <v>12</v>
      </c>
      <c r="I17" s="92">
        <f t="shared" si="1"/>
        <v>24.096173930281825</v>
      </c>
      <c r="J17" s="91">
        <f t="shared" si="6"/>
        <v>3</v>
      </c>
      <c r="K17" s="91">
        <f t="shared" si="2"/>
        <v>30</v>
      </c>
      <c r="L17" s="91"/>
      <c r="M17" s="93">
        <f t="shared" si="3"/>
        <v>54.096173930281822</v>
      </c>
      <c r="N17" s="93">
        <f t="shared" si="4"/>
        <v>64.915408716338177</v>
      </c>
    </row>
    <row r="18" spans="1:20">
      <c r="A18" s="86">
        <f t="shared" si="5"/>
        <v>63.914125688872431</v>
      </c>
      <c r="B18" s="36">
        <f t="shared" si="0"/>
        <v>13</v>
      </c>
      <c r="C18" s="24" t="s">
        <v>99</v>
      </c>
      <c r="D18" s="24"/>
      <c r="E18" s="24"/>
      <c r="F18" s="24"/>
      <c r="G18" s="8"/>
      <c r="H18" s="87">
        <v>13</v>
      </c>
      <c r="I18" s="88">
        <f t="shared" si="1"/>
        <v>23.261771407393699</v>
      </c>
      <c r="J18" s="87">
        <f t="shared" si="6"/>
        <v>3</v>
      </c>
      <c r="K18" s="87">
        <f t="shared" si="2"/>
        <v>30</v>
      </c>
      <c r="L18" s="87"/>
      <c r="M18" s="89">
        <f t="shared" si="3"/>
        <v>53.261771407393695</v>
      </c>
      <c r="N18" s="89">
        <f t="shared" si="4"/>
        <v>63.914125688872431</v>
      </c>
    </row>
    <row r="19" spans="1:20">
      <c r="A19" s="90">
        <f t="shared" si="5"/>
        <v>62.987082403179599</v>
      </c>
      <c r="B19" s="35">
        <f t="shared" si="0"/>
        <v>14</v>
      </c>
      <c r="C19" s="25" t="s">
        <v>99</v>
      </c>
      <c r="D19" s="25"/>
      <c r="E19" s="25"/>
      <c r="F19" s="25"/>
      <c r="G19" s="8"/>
      <c r="H19" s="91">
        <v>14</v>
      </c>
      <c r="I19" s="92">
        <f t="shared" si="1"/>
        <v>22.489235335983004</v>
      </c>
      <c r="J19" s="91">
        <f t="shared" si="6"/>
        <v>3</v>
      </c>
      <c r="K19" s="91">
        <f t="shared" si="2"/>
        <v>30</v>
      </c>
      <c r="L19" s="91"/>
      <c r="M19" s="93">
        <f t="shared" si="3"/>
        <v>52.489235335983004</v>
      </c>
      <c r="N19" s="93">
        <f t="shared" si="4"/>
        <v>62.987082403179599</v>
      </c>
    </row>
    <row r="20" spans="1:20">
      <c r="A20" s="86">
        <f t="shared" si="5"/>
        <v>62.12402575200074</v>
      </c>
      <c r="B20" s="36">
        <f t="shared" si="0"/>
        <v>15</v>
      </c>
      <c r="C20" s="24" t="s">
        <v>99</v>
      </c>
      <c r="D20" s="24"/>
      <c r="E20" s="24"/>
      <c r="F20" s="24"/>
      <c r="G20" s="8"/>
      <c r="H20" s="87">
        <v>15</v>
      </c>
      <c r="I20" s="88">
        <f t="shared" si="1"/>
        <v>21.770021460000624</v>
      </c>
      <c r="J20" s="87">
        <f t="shared" si="6"/>
        <v>3</v>
      </c>
      <c r="K20" s="87">
        <f t="shared" si="2"/>
        <v>30</v>
      </c>
      <c r="L20" s="87"/>
      <c r="M20" s="89">
        <f t="shared" si="3"/>
        <v>51.770021460000621</v>
      </c>
      <c r="N20" s="89">
        <f t="shared" si="4"/>
        <v>62.12402575200074</v>
      </c>
      <c r="S20" s="101"/>
      <c r="T20" s="102"/>
    </row>
    <row r="21" spans="1:20">
      <c r="A21" s="90">
        <f t="shared" si="5"/>
        <v>61.31669017189575</v>
      </c>
      <c r="B21" s="35">
        <f t="shared" si="0"/>
        <v>16</v>
      </c>
      <c r="C21" s="25" t="s">
        <v>99</v>
      </c>
      <c r="D21" s="25"/>
      <c r="E21" s="25"/>
      <c r="F21" s="25"/>
      <c r="G21" s="8"/>
      <c r="H21" s="91">
        <v>16</v>
      </c>
      <c r="I21" s="92">
        <f t="shared" si="1"/>
        <v>21.097241809913125</v>
      </c>
      <c r="J21" s="91">
        <f t="shared" si="6"/>
        <v>3</v>
      </c>
      <c r="K21" s="91">
        <f t="shared" si="2"/>
        <v>30</v>
      </c>
      <c r="L21" s="91"/>
      <c r="M21" s="93">
        <f t="shared" si="3"/>
        <v>51.097241809913129</v>
      </c>
      <c r="N21" s="93">
        <f t="shared" si="4"/>
        <v>61.31669017189575</v>
      </c>
    </row>
    <row r="22" spans="1:20">
      <c r="A22" s="86">
        <f t="shared" si="5"/>
        <v>48.558314966512796</v>
      </c>
      <c r="B22" s="36">
        <f t="shared" si="0"/>
        <v>17</v>
      </c>
      <c r="C22" s="24" t="s">
        <v>99</v>
      </c>
      <c r="D22" s="24"/>
      <c r="E22" s="24"/>
      <c r="F22" s="24"/>
      <c r="G22" s="8"/>
      <c r="H22" s="87">
        <v>17</v>
      </c>
      <c r="I22" s="88">
        <f t="shared" si="1"/>
        <v>20.465262472094</v>
      </c>
      <c r="J22" s="87">
        <f t="shared" si="6"/>
        <v>2</v>
      </c>
      <c r="K22" s="87">
        <f t="shared" si="2"/>
        <v>20</v>
      </c>
      <c r="L22" s="87"/>
      <c r="M22" s="89">
        <f t="shared" si="3"/>
        <v>40.465262472093997</v>
      </c>
      <c r="N22" s="89">
        <f t="shared" si="4"/>
        <v>48.558314966512796</v>
      </c>
    </row>
    <row r="23" spans="1:20">
      <c r="A23" s="90">
        <f t="shared" si="5"/>
        <v>47.843299803754562</v>
      </c>
      <c r="B23" s="35">
        <f t="shared" si="0"/>
        <v>18</v>
      </c>
      <c r="C23" s="25" t="s">
        <v>99</v>
      </c>
      <c r="D23" s="25"/>
      <c r="E23" s="25"/>
      <c r="F23" s="25"/>
      <c r="G23" s="8"/>
      <c r="H23" s="91">
        <v>18</v>
      </c>
      <c r="I23" s="92">
        <f t="shared" si="1"/>
        <v>19.8694165031288</v>
      </c>
      <c r="J23" s="91">
        <f t="shared" si="6"/>
        <v>2</v>
      </c>
      <c r="K23" s="91">
        <f t="shared" si="2"/>
        <v>20</v>
      </c>
      <c r="L23" s="91"/>
      <c r="M23" s="93">
        <f t="shared" si="3"/>
        <v>39.869416503128804</v>
      </c>
      <c r="N23" s="93">
        <f t="shared" si="4"/>
        <v>47.843299803754562</v>
      </c>
    </row>
    <row r="24" spans="1:20">
      <c r="A24" s="86">
        <f t="shared" si="5"/>
        <v>47.166953480976922</v>
      </c>
      <c r="B24" s="36">
        <f t="shared" si="0"/>
        <v>19</v>
      </c>
      <c r="C24" s="24" t="s">
        <v>17</v>
      </c>
      <c r="D24" s="24"/>
      <c r="E24" s="24"/>
      <c r="F24" s="24"/>
      <c r="G24" s="8"/>
      <c r="H24" s="87">
        <v>19</v>
      </c>
      <c r="I24" s="88">
        <f t="shared" si="1"/>
        <v>19.305794567480767</v>
      </c>
      <c r="J24" s="87">
        <f t="shared" si="6"/>
        <v>2</v>
      </c>
      <c r="K24" s="87">
        <f t="shared" si="2"/>
        <v>20</v>
      </c>
      <c r="L24" s="87"/>
      <c r="M24" s="89">
        <f t="shared" si="3"/>
        <v>39.305794567480767</v>
      </c>
      <c r="N24" s="89">
        <f t="shared" si="4"/>
        <v>47.166953480976922</v>
      </c>
      <c r="S24" s="101"/>
      <c r="T24" s="102"/>
    </row>
    <row r="25" spans="1:20">
      <c r="A25" s="90">
        <f t="shared" si="5"/>
        <v>46.525307207558313</v>
      </c>
      <c r="B25" s="35">
        <f t="shared" si="0"/>
        <v>20</v>
      </c>
      <c r="C25" s="25" t="s">
        <v>99</v>
      </c>
      <c r="D25" s="25"/>
      <c r="E25" s="25"/>
      <c r="F25" s="25"/>
      <c r="G25" s="8"/>
      <c r="H25" s="91">
        <v>20</v>
      </c>
      <c r="I25" s="92">
        <f t="shared" si="1"/>
        <v>18.771089339631931</v>
      </c>
      <c r="J25" s="91">
        <f t="shared" si="6"/>
        <v>2</v>
      </c>
      <c r="K25" s="91">
        <f t="shared" si="2"/>
        <v>20</v>
      </c>
      <c r="L25" s="91"/>
      <c r="M25" s="93">
        <f t="shared" si="3"/>
        <v>38.771089339631928</v>
      </c>
      <c r="N25" s="93">
        <f t="shared" si="4"/>
        <v>46.525307207558313</v>
      </c>
    </row>
    <row r="26" spans="1:20">
      <c r="A26" s="86">
        <f t="shared" si="5"/>
        <v>45.914973490595976</v>
      </c>
      <c r="B26" s="36">
        <f t="shared" si="0"/>
        <v>21</v>
      </c>
      <c r="C26" s="24" t="s">
        <v>99</v>
      </c>
      <c r="D26" s="24"/>
      <c r="E26" s="24"/>
      <c r="F26" s="24"/>
      <c r="G26" s="8"/>
      <c r="H26" s="87">
        <v>21</v>
      </c>
      <c r="I26" s="88">
        <f t="shared" si="1"/>
        <v>18.262477908829982</v>
      </c>
      <c r="J26" s="87">
        <f t="shared" si="6"/>
        <v>2</v>
      </c>
      <c r="K26" s="87">
        <f t="shared" si="2"/>
        <v>20</v>
      </c>
      <c r="L26" s="87"/>
      <c r="M26" s="89">
        <f t="shared" si="3"/>
        <v>38.262477908829979</v>
      </c>
      <c r="N26" s="89">
        <f t="shared" si="4"/>
        <v>45.914973490595976</v>
      </c>
    </row>
    <row r="27" spans="1:20">
      <c r="A27" s="90">
        <f t="shared" si="5"/>
        <v>45.333037878389554</v>
      </c>
      <c r="B27" s="35">
        <f t="shared" si="0"/>
        <v>22</v>
      </c>
      <c r="C27" s="25" t="s">
        <v>99</v>
      </c>
      <c r="D27" s="25"/>
      <c r="E27" s="25"/>
      <c r="F27" s="25"/>
      <c r="G27" s="8"/>
      <c r="H27" s="91">
        <v>22</v>
      </c>
      <c r="I27" s="92">
        <f t="shared" si="1"/>
        <v>17.77753156532463</v>
      </c>
      <c r="J27" s="91">
        <f t="shared" si="6"/>
        <v>2</v>
      </c>
      <c r="K27" s="91">
        <f t="shared" si="2"/>
        <v>20</v>
      </c>
      <c r="L27" s="91"/>
      <c r="M27" s="93">
        <f t="shared" si="3"/>
        <v>37.77753156532463</v>
      </c>
      <c r="N27" s="93">
        <f t="shared" si="4"/>
        <v>45.333037878389554</v>
      </c>
    </row>
    <row r="28" spans="1:20">
      <c r="A28" s="86">
        <f t="shared" si="5"/>
        <v>44.776974787862336</v>
      </c>
      <c r="B28" s="36">
        <f t="shared" si="0"/>
        <v>23</v>
      </c>
      <c r="C28" s="24" t="s">
        <v>99</v>
      </c>
      <c r="D28" s="24"/>
      <c r="E28" s="24"/>
      <c r="F28" s="24"/>
      <c r="G28" s="73"/>
      <c r="H28" s="87">
        <v>23</v>
      </c>
      <c r="I28" s="88">
        <f t="shared" si="1"/>
        <v>17.31414565655195</v>
      </c>
      <c r="J28" s="87">
        <f t="shared" si="6"/>
        <v>2</v>
      </c>
      <c r="K28" s="87">
        <f t="shared" si="2"/>
        <v>20</v>
      </c>
      <c r="L28" s="87"/>
      <c r="M28" s="89">
        <f t="shared" si="3"/>
        <v>37.31414565655195</v>
      </c>
      <c r="N28" s="89">
        <f t="shared" si="4"/>
        <v>44.776974787862336</v>
      </c>
    </row>
    <row r="29" spans="1:20">
      <c r="A29" s="90">
        <f t="shared" si="5"/>
        <v>44.24458125931212</v>
      </c>
      <c r="B29" s="35">
        <f t="shared" si="0"/>
        <v>24</v>
      </c>
      <c r="C29" s="25" t="s">
        <v>99</v>
      </c>
      <c r="D29" s="25"/>
      <c r="E29" s="25"/>
      <c r="F29" s="25"/>
      <c r="G29" s="73"/>
      <c r="H29" s="91">
        <v>24</v>
      </c>
      <c r="I29" s="92">
        <f t="shared" si="1"/>
        <v>16.870484382760104</v>
      </c>
      <c r="J29" s="91">
        <f t="shared" si="6"/>
        <v>2</v>
      </c>
      <c r="K29" s="91">
        <f t="shared" si="2"/>
        <v>20</v>
      </c>
      <c r="L29" s="91"/>
      <c r="M29" s="93">
        <f t="shared" si="3"/>
        <v>36.870484382760104</v>
      </c>
      <c r="N29" s="93">
        <f t="shared" si="4"/>
        <v>44.24458125931212</v>
      </c>
    </row>
    <row r="30" spans="1:20">
      <c r="A30" s="86">
        <f t="shared" si="5"/>
        <v>43.733924243220891</v>
      </c>
      <c r="B30" s="36">
        <f t="shared" si="0"/>
        <v>25</v>
      </c>
      <c r="C30" s="24" t="s">
        <v>99</v>
      </c>
      <c r="D30" s="24"/>
      <c r="E30" s="24"/>
      <c r="F30" s="24"/>
      <c r="G30" s="73"/>
      <c r="H30" s="87">
        <v>25</v>
      </c>
      <c r="I30" s="88">
        <f t="shared" si="1"/>
        <v>16.444936869350741</v>
      </c>
      <c r="J30" s="87">
        <f t="shared" si="6"/>
        <v>2</v>
      </c>
      <c r="K30" s="87">
        <f t="shared" si="2"/>
        <v>20</v>
      </c>
      <c r="L30" s="87"/>
      <c r="M30" s="89">
        <f t="shared" si="3"/>
        <v>36.444936869350741</v>
      </c>
      <c r="N30" s="89">
        <f t="shared" si="4"/>
        <v>43.733924243220891</v>
      </c>
    </row>
    <row r="31" spans="1:20">
      <c r="A31" s="90">
        <f t="shared" si="5"/>
        <v>43.243298231846381</v>
      </c>
      <c r="B31" s="35">
        <f t="shared" si="0"/>
        <v>26</v>
      </c>
      <c r="C31" s="25" t="s">
        <v>99</v>
      </c>
      <c r="D31" s="25"/>
      <c r="E31" s="25"/>
      <c r="F31" s="25"/>
      <c r="G31" s="73"/>
      <c r="H31" s="91">
        <v>26</v>
      </c>
      <c r="I31" s="92">
        <f t="shared" si="1"/>
        <v>16.036081859871985</v>
      </c>
      <c r="J31" s="91">
        <f t="shared" si="6"/>
        <v>2</v>
      </c>
      <c r="K31" s="91">
        <f t="shared" si="2"/>
        <v>20</v>
      </c>
      <c r="L31" s="91"/>
      <c r="M31" s="93">
        <f t="shared" si="3"/>
        <v>36.036081859871985</v>
      </c>
      <c r="N31" s="93">
        <f t="shared" si="4"/>
        <v>43.243298231846381</v>
      </c>
    </row>
    <row r="32" spans="1:20">
      <c r="A32" s="86">
        <f t="shared" si="5"/>
        <v>42.771190891170932</v>
      </c>
      <c r="B32" s="36">
        <f t="shared" si="0"/>
        <v>27</v>
      </c>
      <c r="C32" s="24" t="s">
        <v>99</v>
      </c>
      <c r="D32" s="24"/>
      <c r="E32" s="24"/>
      <c r="F32" s="24"/>
      <c r="G32" s="73"/>
      <c r="H32" s="87">
        <v>27</v>
      </c>
      <c r="I32" s="88">
        <f t="shared" si="1"/>
        <v>15.642659075975779</v>
      </c>
      <c r="J32" s="87">
        <f t="shared" si="6"/>
        <v>2</v>
      </c>
      <c r="K32" s="87">
        <f t="shared" si="2"/>
        <v>20</v>
      </c>
      <c r="L32" s="87"/>
      <c r="M32" s="89">
        <f t="shared" si="3"/>
        <v>35.642659075975779</v>
      </c>
      <c r="N32" s="89">
        <f t="shared" si="4"/>
        <v>42.771190891170932</v>
      </c>
      <c r="S32" s="101"/>
      <c r="T32" s="102"/>
    </row>
    <row r="33" spans="1:20">
      <c r="A33" s="90">
        <f t="shared" si="5"/>
        <v>42.316254946153542</v>
      </c>
      <c r="B33" s="35">
        <f t="shared" si="0"/>
        <v>28</v>
      </c>
      <c r="C33" s="25" t="s">
        <v>99</v>
      </c>
      <c r="D33" s="25"/>
      <c r="E33" s="25"/>
      <c r="F33" s="25"/>
      <c r="G33" s="73"/>
      <c r="H33" s="91">
        <v>28</v>
      </c>
      <c r="I33" s="92">
        <f t="shared" si="1"/>
        <v>15.263545788461286</v>
      </c>
      <c r="J33" s="91">
        <f t="shared" si="6"/>
        <v>2</v>
      </c>
      <c r="K33" s="91">
        <f t="shared" si="2"/>
        <v>20</v>
      </c>
      <c r="L33" s="91"/>
      <c r="M33" s="93">
        <f t="shared" si="3"/>
        <v>35.263545788461286</v>
      </c>
      <c r="N33" s="93">
        <f t="shared" si="4"/>
        <v>42.316254946153542</v>
      </c>
    </row>
    <row r="34" spans="1:20">
      <c r="A34" s="86">
        <f t="shared" si="5"/>
        <v>41.877285001737057</v>
      </c>
      <c r="B34" s="36">
        <f t="shared" si="0"/>
        <v>29</v>
      </c>
      <c r="C34" s="24" t="s">
        <v>99</v>
      </c>
      <c r="D34" s="24"/>
      <c r="E34" s="24"/>
      <c r="F34" s="24"/>
      <c r="G34" s="73"/>
      <c r="H34" s="87">
        <v>29</v>
      </c>
      <c r="I34" s="88">
        <f t="shared" si="1"/>
        <v>14.897737501447551</v>
      </c>
      <c r="J34" s="87">
        <f t="shared" si="6"/>
        <v>2</v>
      </c>
      <c r="K34" s="87">
        <f t="shared" si="2"/>
        <v>20</v>
      </c>
      <c r="L34" s="87"/>
      <c r="M34" s="89">
        <f t="shared" si="3"/>
        <v>34.897737501447551</v>
      </c>
      <c r="N34" s="89">
        <f t="shared" si="4"/>
        <v>41.877285001737057</v>
      </c>
    </row>
    <row r="35" spans="1:20" s="78" customFormat="1">
      <c r="A35" s="90">
        <f t="shared" si="5"/>
        <v>41.453198294974698</v>
      </c>
      <c r="B35" s="35">
        <f t="shared" si="0"/>
        <v>30</v>
      </c>
      <c r="C35" s="25" t="s">
        <v>99</v>
      </c>
      <c r="D35" s="25"/>
      <c r="E35" s="25"/>
      <c r="F35" s="25"/>
      <c r="G35" s="73"/>
      <c r="H35" s="91">
        <v>30</v>
      </c>
      <c r="I35" s="92">
        <f t="shared" si="1"/>
        <v>14.544331912478917</v>
      </c>
      <c r="J35" s="91">
        <f t="shared" si="6"/>
        <v>2</v>
      </c>
      <c r="K35" s="91">
        <f t="shared" si="2"/>
        <v>20</v>
      </c>
      <c r="L35" s="91"/>
      <c r="M35" s="93">
        <f t="shared" si="3"/>
        <v>34.544331912478917</v>
      </c>
      <c r="N35" s="93">
        <f t="shared" si="4"/>
        <v>41.453198294974698</v>
      </c>
      <c r="O35" s="73"/>
      <c r="P35" s="73"/>
      <c r="Q35" s="73"/>
      <c r="R35" s="73"/>
      <c r="S35" s="73"/>
    </row>
    <row r="36" spans="1:20" s="78" customFormat="1">
      <c r="A36" s="86">
        <f t="shared" si="5"/>
        <v>41.043018604400274</v>
      </c>
      <c r="B36" s="36">
        <f t="shared" si="0"/>
        <v>31</v>
      </c>
      <c r="C36" s="24" t="s">
        <v>99</v>
      </c>
      <c r="D36" s="24"/>
      <c r="E36" s="24"/>
      <c r="F36" s="24"/>
      <c r="G36" s="73"/>
      <c r="H36" s="87">
        <v>31</v>
      </c>
      <c r="I36" s="88">
        <f t="shared" si="1"/>
        <v>14.202515503666895</v>
      </c>
      <c r="J36" s="87">
        <f t="shared" si="6"/>
        <v>2</v>
      </c>
      <c r="K36" s="87">
        <f t="shared" si="2"/>
        <v>20</v>
      </c>
      <c r="L36" s="87"/>
      <c r="M36" s="89">
        <f t="shared" si="3"/>
        <v>34.202515503666895</v>
      </c>
      <c r="N36" s="89">
        <f t="shared" si="4"/>
        <v>41.043018604400274</v>
      </c>
      <c r="O36" s="73"/>
      <c r="P36" s="73"/>
      <c r="Q36" s="73"/>
      <c r="R36" s="73"/>
      <c r="S36" s="101"/>
      <c r="T36" s="102"/>
    </row>
    <row r="37" spans="1:20" s="78" customFormat="1">
      <c r="A37" s="90">
        <f t="shared" si="5"/>
        <v>40.645862714869693</v>
      </c>
      <c r="B37" s="35">
        <f t="shared" si="0"/>
        <v>32</v>
      </c>
      <c r="C37" s="25" t="s">
        <v>99</v>
      </c>
      <c r="D37" s="25"/>
      <c r="E37" s="25"/>
      <c r="F37" s="25"/>
      <c r="G37" s="73"/>
      <c r="H37" s="91">
        <v>32</v>
      </c>
      <c r="I37" s="92">
        <f t="shared" si="1"/>
        <v>13.871552262391411</v>
      </c>
      <c r="J37" s="91">
        <f t="shared" si="6"/>
        <v>2</v>
      </c>
      <c r="K37" s="91">
        <f t="shared" si="2"/>
        <v>20</v>
      </c>
      <c r="L37" s="91"/>
      <c r="M37" s="93">
        <f t="shared" si="3"/>
        <v>33.871552262391411</v>
      </c>
      <c r="N37" s="93">
        <f t="shared" si="4"/>
        <v>40.645862714869693</v>
      </c>
      <c r="O37" s="73"/>
      <c r="P37" s="73"/>
      <c r="Q37" s="73"/>
      <c r="R37" s="73"/>
      <c r="S37" s="73"/>
    </row>
    <row r="38" spans="1:20" s="78" customFormat="1">
      <c r="A38" s="86">
        <f t="shared" si="5"/>
        <v>28.260928965805924</v>
      </c>
      <c r="B38" s="36">
        <f t="shared" si="0"/>
        <v>33</v>
      </c>
      <c r="C38" s="24" t="s">
        <v>99</v>
      </c>
      <c r="D38" s="24"/>
      <c r="E38" s="24"/>
      <c r="F38" s="24"/>
      <c r="G38" s="73"/>
      <c r="H38" s="87">
        <v>33</v>
      </c>
      <c r="I38" s="88">
        <f t="shared" si="1"/>
        <v>13.550774138171604</v>
      </c>
      <c r="J38" s="87">
        <f t="shared" si="6"/>
        <v>1</v>
      </c>
      <c r="K38" s="87">
        <f t="shared" si="2"/>
        <v>10</v>
      </c>
      <c r="L38" s="87"/>
      <c r="M38" s="89">
        <f t="shared" si="3"/>
        <v>23.550774138171604</v>
      </c>
      <c r="N38" s="89">
        <f t="shared" si="4"/>
        <v>28.260928965805924</v>
      </c>
      <c r="O38" s="73"/>
      <c r="P38" s="73"/>
      <c r="Q38" s="73"/>
      <c r="R38" s="73"/>
      <c r="S38" s="101"/>
      <c r="T38" s="102"/>
    </row>
    <row r="39" spans="1:20" s="78" customFormat="1">
      <c r="A39" s="90">
        <f t="shared" si="5"/>
        <v>27.887487509486736</v>
      </c>
      <c r="B39" s="35">
        <f t="shared" si="0"/>
        <v>34</v>
      </c>
      <c r="C39" s="25" t="s">
        <v>99</v>
      </c>
      <c r="D39" s="25"/>
      <c r="E39" s="25"/>
      <c r="F39" s="25"/>
      <c r="G39" s="73"/>
      <c r="H39" s="91">
        <v>34</v>
      </c>
      <c r="I39" s="92">
        <f t="shared" si="1"/>
        <v>13.239572924572279</v>
      </c>
      <c r="J39" s="91">
        <f t="shared" si="6"/>
        <v>1</v>
      </c>
      <c r="K39" s="91">
        <f t="shared" si="2"/>
        <v>10</v>
      </c>
      <c r="L39" s="91"/>
      <c r="M39" s="93">
        <f t="shared" si="3"/>
        <v>23.239572924572279</v>
      </c>
      <c r="N39" s="93">
        <f t="shared" si="4"/>
        <v>27.887487509486736</v>
      </c>
      <c r="O39" s="73"/>
      <c r="P39" s="73"/>
      <c r="Q39" s="73"/>
      <c r="R39" s="73"/>
      <c r="S39" s="73"/>
    </row>
    <row r="40" spans="1:20" s="78" customFormat="1">
      <c r="A40" s="86">
        <f t="shared" si="5"/>
        <v>27.524871981816109</v>
      </c>
      <c r="B40" s="36">
        <f t="shared" si="0"/>
        <v>35</v>
      </c>
      <c r="C40" s="24" t="s">
        <v>99</v>
      </c>
      <c r="D40" s="24"/>
      <c r="E40" s="24"/>
      <c r="F40" s="24"/>
      <c r="G40" s="73"/>
      <c r="H40" s="87">
        <v>35</v>
      </c>
      <c r="I40" s="88">
        <f t="shared" si="1"/>
        <v>12.937393318180092</v>
      </c>
      <c r="J40" s="87">
        <f t="shared" si="6"/>
        <v>1</v>
      </c>
      <c r="K40" s="87">
        <f t="shared" si="2"/>
        <v>10</v>
      </c>
      <c r="L40" s="87"/>
      <c r="M40" s="89">
        <f t="shared" si="3"/>
        <v>22.937393318180092</v>
      </c>
      <c r="N40" s="89">
        <f t="shared" si="4"/>
        <v>27.524871981816109</v>
      </c>
      <c r="O40" s="73"/>
      <c r="P40" s="73"/>
      <c r="Q40" s="73"/>
      <c r="R40" s="73"/>
      <c r="S40" s="101"/>
      <c r="T40" s="102"/>
    </row>
    <row r="41" spans="1:20" s="78" customFormat="1">
      <c r="A41" s="90">
        <f t="shared" si="5"/>
        <v>27.172472346728501</v>
      </c>
      <c r="B41" s="35">
        <f t="shared" si="0"/>
        <v>36</v>
      </c>
      <c r="C41" s="25" t="s">
        <v>99</v>
      </c>
      <c r="D41" s="25"/>
      <c r="E41" s="25"/>
      <c r="F41" s="25"/>
      <c r="G41" s="73"/>
      <c r="H41" s="91">
        <v>36</v>
      </c>
      <c r="I41" s="92">
        <f t="shared" si="1"/>
        <v>12.643726955607086</v>
      </c>
      <c r="J41" s="91">
        <f t="shared" si="6"/>
        <v>1</v>
      </c>
      <c r="K41" s="91">
        <f t="shared" si="2"/>
        <v>10</v>
      </c>
      <c r="L41" s="91"/>
      <c r="M41" s="93">
        <f t="shared" si="3"/>
        <v>22.643726955607086</v>
      </c>
      <c r="N41" s="93">
        <f t="shared" si="4"/>
        <v>27.172472346728501</v>
      </c>
      <c r="O41" s="73"/>
      <c r="P41" s="73"/>
      <c r="Q41" s="73"/>
      <c r="R41" s="73"/>
      <c r="S41" s="73"/>
    </row>
    <row r="42" spans="1:20" s="78" customFormat="1">
      <c r="A42" s="86">
        <f t="shared" si="5"/>
        <v>26.829728721207676</v>
      </c>
      <c r="B42" s="36">
        <f t="shared" si="0"/>
        <v>37</v>
      </c>
      <c r="C42" s="24" t="s">
        <v>99</v>
      </c>
      <c r="D42" s="24"/>
      <c r="E42" s="24"/>
      <c r="F42" s="24"/>
      <c r="G42" s="73"/>
      <c r="H42" s="87">
        <v>37</v>
      </c>
      <c r="I42" s="88">
        <f t="shared" si="1"/>
        <v>12.358107267673063</v>
      </c>
      <c r="J42" s="87">
        <f t="shared" si="6"/>
        <v>1</v>
      </c>
      <c r="K42" s="87">
        <f t="shared" si="2"/>
        <v>10</v>
      </c>
      <c r="L42" s="87"/>
      <c r="M42" s="89">
        <f t="shared" si="3"/>
        <v>22.358107267673063</v>
      </c>
      <c r="N42" s="89">
        <f t="shared" si="4"/>
        <v>26.829728721207676</v>
      </c>
      <c r="O42" s="73"/>
      <c r="P42" s="73"/>
      <c r="Q42" s="73"/>
      <c r="R42" s="73"/>
      <c r="S42" s="101"/>
      <c r="T42" s="102"/>
    </row>
    <row r="43" spans="1:20" s="78" customFormat="1">
      <c r="A43" s="90">
        <f t="shared" si="5"/>
        <v>26.496126023950858</v>
      </c>
      <c r="B43" s="35">
        <f t="shared" si="0"/>
        <v>38</v>
      </c>
      <c r="C43" s="25" t="s">
        <v>99</v>
      </c>
      <c r="D43" s="25"/>
      <c r="E43" s="25"/>
      <c r="F43" s="25"/>
      <c r="G43" s="73"/>
      <c r="H43" s="91">
        <v>38</v>
      </c>
      <c r="I43" s="92">
        <f t="shared" si="1"/>
        <v>12.080105019959049</v>
      </c>
      <c r="J43" s="91">
        <f t="shared" si="6"/>
        <v>1</v>
      </c>
      <c r="K43" s="91">
        <f t="shared" si="2"/>
        <v>10</v>
      </c>
      <c r="L43" s="91"/>
      <c r="M43" s="93">
        <f t="shared" si="3"/>
        <v>22.080105019959049</v>
      </c>
      <c r="N43" s="93">
        <f t="shared" si="4"/>
        <v>26.496126023950858</v>
      </c>
      <c r="O43" s="73"/>
      <c r="P43" s="73"/>
      <c r="Q43" s="73"/>
      <c r="R43" s="73"/>
      <c r="S43" s="73"/>
    </row>
    <row r="44" spans="1:20" s="78" customFormat="1">
      <c r="A44" s="86">
        <f t="shared" si="5"/>
        <v>26.171189319262751</v>
      </c>
      <c r="B44" s="36">
        <f t="shared" si="0"/>
        <v>39</v>
      </c>
      <c r="C44" s="24" t="s">
        <v>99</v>
      </c>
      <c r="D44" s="24"/>
      <c r="E44" s="24"/>
      <c r="F44" s="24"/>
      <c r="G44" s="73"/>
      <c r="H44" s="87">
        <v>39</v>
      </c>
      <c r="I44" s="88">
        <f t="shared" si="1"/>
        <v>11.809324432718959</v>
      </c>
      <c r="J44" s="87">
        <f t="shared" si="6"/>
        <v>1</v>
      </c>
      <c r="K44" s="87">
        <f t="shared" si="2"/>
        <v>10</v>
      </c>
      <c r="L44" s="87"/>
      <c r="M44" s="89">
        <f t="shared" si="3"/>
        <v>21.809324432718959</v>
      </c>
      <c r="N44" s="89">
        <f t="shared" si="4"/>
        <v>26.171189319262751</v>
      </c>
      <c r="O44" s="73"/>
      <c r="P44" s="73"/>
      <c r="Q44" s="73"/>
      <c r="R44" s="73"/>
      <c r="S44" s="101"/>
      <c r="T44" s="102"/>
    </row>
    <row r="45" spans="1:20" s="78" customFormat="1">
      <c r="A45" s="90">
        <f t="shared" si="5"/>
        <v>25.854479750532267</v>
      </c>
      <c r="B45" s="35">
        <f t="shared" si="0"/>
        <v>40</v>
      </c>
      <c r="C45" s="25" t="s">
        <v>99</v>
      </c>
      <c r="D45" s="25"/>
      <c r="E45" s="25"/>
      <c r="F45" s="25"/>
      <c r="G45" s="73"/>
      <c r="H45" s="91">
        <v>40</v>
      </c>
      <c r="I45" s="92">
        <f t="shared" si="1"/>
        <v>11.545399792110224</v>
      </c>
      <c r="J45" s="91">
        <f t="shared" si="6"/>
        <v>1</v>
      </c>
      <c r="K45" s="91">
        <f t="shared" si="2"/>
        <v>10</v>
      </c>
      <c r="L45" s="91"/>
      <c r="M45" s="93">
        <f t="shared" si="3"/>
        <v>21.545399792110224</v>
      </c>
      <c r="N45" s="93">
        <f t="shared" si="4"/>
        <v>25.854479750532267</v>
      </c>
      <c r="O45" s="73"/>
      <c r="P45" s="73"/>
      <c r="Q45" s="73"/>
      <c r="R45" s="73"/>
      <c r="S45" s="73"/>
    </row>
    <row r="46" spans="1:20" s="78" customFormat="1">
      <c r="A46" s="86">
        <f t="shared" si="5"/>
        <v>25.545590975912507</v>
      </c>
      <c r="B46" s="36">
        <f t="shared" si="0"/>
        <v>41</v>
      </c>
      <c r="C46" s="24" t="s">
        <v>99</v>
      </c>
      <c r="D46" s="24"/>
      <c r="E46" s="24"/>
      <c r="F46" s="24"/>
      <c r="G46" s="73"/>
      <c r="H46" s="87">
        <v>41</v>
      </c>
      <c r="I46" s="88">
        <f t="shared" si="1"/>
        <v>11.287992479927091</v>
      </c>
      <c r="J46" s="87">
        <f t="shared" si="6"/>
        <v>1</v>
      </c>
      <c r="K46" s="87">
        <f t="shared" si="2"/>
        <v>10</v>
      </c>
      <c r="L46" s="87"/>
      <c r="M46" s="89">
        <f t="shared" si="3"/>
        <v>21.287992479927091</v>
      </c>
      <c r="N46" s="89">
        <f t="shared" si="4"/>
        <v>25.545590975912507</v>
      </c>
      <c r="O46" s="73"/>
      <c r="P46" s="73"/>
      <c r="Q46" s="73"/>
      <c r="R46" s="73"/>
      <c r="S46" s="101"/>
      <c r="T46" s="102"/>
    </row>
    <row r="47" spans="1:20" s="78" customFormat="1">
      <c r="A47" s="90">
        <f t="shared" si="5"/>
        <v>25.244146033569912</v>
      </c>
      <c r="B47" s="35">
        <f t="shared" si="0"/>
        <v>42</v>
      </c>
      <c r="C47" s="25" t="s">
        <v>99</v>
      </c>
      <c r="D47" s="25"/>
      <c r="E47" s="25"/>
      <c r="F47" s="25"/>
      <c r="G47" s="73"/>
      <c r="H47" s="91">
        <v>42</v>
      </c>
      <c r="I47" s="92">
        <f t="shared" si="1"/>
        <v>11.036788361308261</v>
      </c>
      <c r="J47" s="91">
        <f t="shared" si="6"/>
        <v>1</v>
      </c>
      <c r="K47" s="91">
        <f t="shared" si="2"/>
        <v>10</v>
      </c>
      <c r="L47" s="91"/>
      <c r="M47" s="93">
        <f t="shared" si="3"/>
        <v>21.036788361308261</v>
      </c>
      <c r="N47" s="93">
        <f t="shared" si="4"/>
        <v>25.244146033569912</v>
      </c>
      <c r="O47" s="73"/>
      <c r="P47" s="73"/>
      <c r="Q47" s="73"/>
      <c r="R47" s="73"/>
      <c r="S47" s="73"/>
    </row>
    <row r="48" spans="1:20" s="78" customFormat="1">
      <c r="A48" s="86">
        <f t="shared" si="5"/>
        <v>24.949794575836268</v>
      </c>
      <c r="B48" s="36">
        <f t="shared" si="0"/>
        <v>43</v>
      </c>
      <c r="C48" s="24" t="s">
        <v>99</v>
      </c>
      <c r="D48" s="24"/>
      <c r="E48" s="24"/>
      <c r="F48" s="24"/>
      <c r="G48" s="73"/>
      <c r="H48" s="87">
        <v>43</v>
      </c>
      <c r="I48" s="88">
        <f t="shared" si="1"/>
        <v>10.791495479863556</v>
      </c>
      <c r="J48" s="87">
        <f t="shared" si="6"/>
        <v>1</v>
      </c>
      <c r="K48" s="87">
        <f t="shared" si="2"/>
        <v>10</v>
      </c>
      <c r="L48" s="87"/>
      <c r="M48" s="89">
        <f t="shared" si="3"/>
        <v>20.791495479863556</v>
      </c>
      <c r="N48" s="89">
        <f t="shared" si="4"/>
        <v>24.949794575836268</v>
      </c>
      <c r="O48" s="73"/>
      <c r="P48" s="73"/>
      <c r="Q48" s="73"/>
      <c r="R48" s="73"/>
      <c r="S48" s="101"/>
      <c r="T48" s="102"/>
    </row>
    <row r="49" spans="1:20" s="78" customFormat="1">
      <c r="A49" s="90">
        <f t="shared" si="5"/>
        <v>24.662210421363493</v>
      </c>
      <c r="B49" s="35">
        <f t="shared" si="0"/>
        <v>44</v>
      </c>
      <c r="C49" s="25" t="s">
        <v>99</v>
      </c>
      <c r="D49" s="25"/>
      <c r="E49" s="25"/>
      <c r="F49" s="25"/>
      <c r="G49" s="73"/>
      <c r="H49" s="91">
        <v>44</v>
      </c>
      <c r="I49" s="92">
        <f t="shared" si="1"/>
        <v>10.551842017802912</v>
      </c>
      <c r="J49" s="91">
        <f t="shared" si="6"/>
        <v>1</v>
      </c>
      <c r="K49" s="91">
        <f t="shared" si="2"/>
        <v>10</v>
      </c>
      <c r="L49" s="91"/>
      <c r="M49" s="93">
        <f t="shared" si="3"/>
        <v>20.551842017802912</v>
      </c>
      <c r="N49" s="93">
        <f t="shared" si="4"/>
        <v>24.662210421363493</v>
      </c>
      <c r="O49" s="73"/>
      <c r="P49" s="73"/>
      <c r="Q49" s="73"/>
      <c r="R49" s="73"/>
      <c r="S49" s="73"/>
    </row>
    <row r="50" spans="1:20" s="78" customFormat="1">
      <c r="A50" s="86">
        <f t="shared" si="5"/>
        <v>24.381089382391071</v>
      </c>
      <c r="B50" s="36">
        <f t="shared" si="0"/>
        <v>45</v>
      </c>
      <c r="C50" s="24" t="s">
        <v>99</v>
      </c>
      <c r="D50" s="24"/>
      <c r="E50" s="24"/>
      <c r="F50" s="24"/>
      <c r="G50" s="73"/>
      <c r="H50" s="87">
        <v>45</v>
      </c>
      <c r="I50" s="88">
        <f t="shared" si="1"/>
        <v>10.317574485325892</v>
      </c>
      <c r="J50" s="87">
        <f t="shared" si="6"/>
        <v>1</v>
      </c>
      <c r="K50" s="87">
        <f t="shared" si="2"/>
        <v>10</v>
      </c>
      <c r="L50" s="87"/>
      <c r="M50" s="89">
        <f t="shared" si="3"/>
        <v>20.317574485325892</v>
      </c>
      <c r="N50" s="89">
        <f t="shared" si="4"/>
        <v>24.381089382391071</v>
      </c>
      <c r="O50" s="73"/>
      <c r="P50" s="73"/>
      <c r="Q50" s="73"/>
      <c r="R50" s="73"/>
      <c r="S50" s="101"/>
      <c r="T50" s="102"/>
    </row>
    <row r="51" spans="1:20" s="78" customFormat="1">
      <c r="A51" s="90">
        <f t="shared" si="5"/>
        <v>24.106147330836279</v>
      </c>
      <c r="B51" s="35">
        <f t="shared" si="0"/>
        <v>46</v>
      </c>
      <c r="C51" s="25" t="s">
        <v>99</v>
      </c>
      <c r="D51" s="25"/>
      <c r="E51" s="25"/>
      <c r="F51" s="25"/>
      <c r="G51" s="73"/>
      <c r="H51" s="91">
        <v>46</v>
      </c>
      <c r="I51" s="92">
        <f t="shared" si="1"/>
        <v>10.088456109030233</v>
      </c>
      <c r="J51" s="91">
        <f t="shared" si="6"/>
        <v>1</v>
      </c>
      <c r="K51" s="91">
        <f t="shared" si="2"/>
        <v>10</v>
      </c>
      <c r="L51" s="91"/>
      <c r="M51" s="93">
        <f t="shared" si="3"/>
        <v>20.088456109030233</v>
      </c>
      <c r="N51" s="93">
        <f t="shared" si="4"/>
        <v>24.106147330836279</v>
      </c>
      <c r="O51" s="73"/>
      <c r="P51" s="73"/>
      <c r="Q51" s="73"/>
      <c r="R51" s="73"/>
      <c r="S51" s="73"/>
    </row>
    <row r="52" spans="1:20" s="78" customFormat="1">
      <c r="A52" s="86">
        <f t="shared" si="5"/>
        <v>23.837118472382677</v>
      </c>
      <c r="B52" s="36">
        <f t="shared" si="0"/>
        <v>47</v>
      </c>
      <c r="C52" s="24" t="s">
        <v>99</v>
      </c>
      <c r="D52" s="24"/>
      <c r="E52" s="24"/>
      <c r="F52" s="24"/>
      <c r="G52" s="73"/>
      <c r="H52" s="87">
        <v>47</v>
      </c>
      <c r="I52" s="88">
        <f t="shared" si="1"/>
        <v>9.8642653936522322</v>
      </c>
      <c r="J52" s="87">
        <f t="shared" si="6"/>
        <v>1</v>
      </c>
      <c r="K52" s="87">
        <f t="shared" si="2"/>
        <v>10</v>
      </c>
      <c r="L52" s="87"/>
      <c r="M52" s="89">
        <f t="shared" si="3"/>
        <v>19.864265393652232</v>
      </c>
      <c r="N52" s="89">
        <f t="shared" si="4"/>
        <v>23.837118472382677</v>
      </c>
      <c r="O52" s="73"/>
      <c r="P52" s="73"/>
      <c r="Q52" s="73"/>
      <c r="R52" s="73"/>
      <c r="S52" s="101"/>
      <c r="T52" s="102"/>
    </row>
    <row r="53" spans="1:20" s="78" customFormat="1">
      <c r="A53" s="90">
        <f t="shared" si="5"/>
        <v>23.57375380228607</v>
      </c>
      <c r="B53" s="35">
        <f t="shared" si="0"/>
        <v>48</v>
      </c>
      <c r="C53" s="25" t="s">
        <v>99</v>
      </c>
      <c r="D53" s="25"/>
      <c r="E53" s="25"/>
      <c r="F53" s="25"/>
      <c r="G53" s="73"/>
      <c r="H53" s="91">
        <v>48</v>
      </c>
      <c r="I53" s="92">
        <f t="shared" si="1"/>
        <v>9.6447948352383932</v>
      </c>
      <c r="J53" s="91">
        <f t="shared" si="6"/>
        <v>1</v>
      </c>
      <c r="K53" s="91">
        <f t="shared" si="2"/>
        <v>10</v>
      </c>
      <c r="L53" s="91"/>
      <c r="M53" s="93">
        <f t="shared" si="3"/>
        <v>19.644794835238393</v>
      </c>
      <c r="N53" s="93">
        <f t="shared" si="4"/>
        <v>23.57375380228607</v>
      </c>
      <c r="O53" s="73"/>
      <c r="P53" s="73"/>
      <c r="Q53" s="73"/>
      <c r="R53" s="73"/>
      <c r="S53" s="73"/>
    </row>
    <row r="54" spans="1:20" s="78" customFormat="1">
      <c r="A54" s="86">
        <f t="shared" si="5"/>
        <v>23.31581972041133</v>
      </c>
      <c r="B54" s="36">
        <f t="shared" si="0"/>
        <v>49</v>
      </c>
      <c r="C54" s="24" t="s">
        <v>99</v>
      </c>
      <c r="D54" s="24"/>
      <c r="E54" s="24"/>
      <c r="F54" s="24"/>
      <c r="G54" s="73"/>
      <c r="H54" s="87">
        <v>49</v>
      </c>
      <c r="I54" s="88">
        <f t="shared" si="1"/>
        <v>9.4298497670094434</v>
      </c>
      <c r="J54" s="87">
        <f t="shared" si="6"/>
        <v>1</v>
      </c>
      <c r="K54" s="87">
        <f t="shared" si="2"/>
        <v>10</v>
      </c>
      <c r="L54" s="87"/>
      <c r="M54" s="89">
        <f t="shared" si="3"/>
        <v>19.429849767009443</v>
      </c>
      <c r="N54" s="89">
        <f t="shared" si="4"/>
        <v>23.31581972041133</v>
      </c>
      <c r="O54" s="73"/>
      <c r="P54" s="73"/>
      <c r="Q54" s="73"/>
      <c r="R54" s="73"/>
      <c r="S54" s="101"/>
      <c r="T54" s="102"/>
    </row>
    <row r="55" spans="1:20" s="78" customFormat="1">
      <c r="A55" s="90">
        <f t="shared" si="5"/>
        <v>23.063096786194826</v>
      </c>
      <c r="B55" s="35">
        <f t="shared" si="0"/>
        <v>50</v>
      </c>
      <c r="C55" s="25" t="s">
        <v>99</v>
      </c>
      <c r="D55" s="25"/>
      <c r="E55" s="25"/>
      <c r="F55" s="25"/>
      <c r="G55" s="73"/>
      <c r="H55" s="91">
        <v>50</v>
      </c>
      <c r="I55" s="92">
        <f t="shared" si="1"/>
        <v>9.2192473218290232</v>
      </c>
      <c r="J55" s="91">
        <f t="shared" si="6"/>
        <v>1</v>
      </c>
      <c r="K55" s="91">
        <f t="shared" si="2"/>
        <v>10</v>
      </c>
      <c r="L55" s="91"/>
      <c r="M55" s="93">
        <f t="shared" si="3"/>
        <v>19.219247321829023</v>
      </c>
      <c r="N55" s="93">
        <f t="shared" si="4"/>
        <v>23.063096786194826</v>
      </c>
      <c r="O55" s="73"/>
      <c r="P55" s="73"/>
      <c r="Q55" s="73"/>
      <c r="R55" s="73"/>
      <c r="S55" s="73"/>
    </row>
    <row r="56" spans="1:20" s="78" customFormat="1">
      <c r="A56" s="86">
        <f t="shared" si="5"/>
        <v>22.815378596903113</v>
      </c>
      <c r="B56" s="36">
        <f t="shared" si="0"/>
        <v>51</v>
      </c>
      <c r="C56" s="24" t="s">
        <v>99</v>
      </c>
      <c r="D56" s="24"/>
      <c r="E56" s="24"/>
      <c r="F56" s="24"/>
      <c r="G56" s="73"/>
      <c r="H56" s="87">
        <v>51</v>
      </c>
      <c r="I56" s="88">
        <f t="shared" si="1"/>
        <v>9.0128154974192611</v>
      </c>
      <c r="J56" s="87">
        <f t="shared" si="6"/>
        <v>1</v>
      </c>
      <c r="K56" s="87">
        <f t="shared" si="2"/>
        <v>10</v>
      </c>
      <c r="L56" s="87"/>
      <c r="M56" s="89">
        <f t="shared" si="3"/>
        <v>19.012815497419261</v>
      </c>
      <c r="N56" s="89">
        <f t="shared" si="4"/>
        <v>22.815378596903113</v>
      </c>
      <c r="O56" s="73"/>
      <c r="P56" s="73"/>
      <c r="Q56" s="73"/>
      <c r="R56" s="73"/>
      <c r="S56" s="101"/>
      <c r="T56" s="102"/>
    </row>
    <row r="57" spans="1:20" s="78" customFormat="1">
      <c r="A57" s="90">
        <f t="shared" si="5"/>
        <v>22.572470774820321</v>
      </c>
      <c r="B57" s="35">
        <f t="shared" si="0"/>
        <v>52</v>
      </c>
      <c r="C57" s="25" t="s">
        <v>99</v>
      </c>
      <c r="D57" s="25"/>
      <c r="E57" s="25"/>
      <c r="F57" s="25"/>
      <c r="G57" s="73"/>
      <c r="H57" s="91">
        <v>52</v>
      </c>
      <c r="I57" s="92">
        <f t="shared" si="1"/>
        <v>8.8103923123502668</v>
      </c>
      <c r="J57" s="91">
        <f t="shared" si="6"/>
        <v>1</v>
      </c>
      <c r="K57" s="91">
        <f t="shared" si="2"/>
        <v>10</v>
      </c>
      <c r="L57" s="91"/>
      <c r="M57" s="93">
        <f t="shared" si="3"/>
        <v>18.810392312350267</v>
      </c>
      <c r="N57" s="93">
        <f t="shared" si="4"/>
        <v>22.572470774820321</v>
      </c>
      <c r="O57" s="73"/>
      <c r="P57" s="73"/>
      <c r="Q57" s="73"/>
      <c r="R57" s="73"/>
      <c r="S57" s="73"/>
    </row>
    <row r="58" spans="1:20" s="78" customFormat="1">
      <c r="A58" s="86">
        <f t="shared" si="5"/>
        <v>22.33419005091222</v>
      </c>
      <c r="B58" s="36">
        <f t="shared" si="0"/>
        <v>53</v>
      </c>
      <c r="C58" s="24" t="s">
        <v>99</v>
      </c>
      <c r="D58" s="24"/>
      <c r="E58" s="24"/>
      <c r="F58" s="24"/>
      <c r="G58" s="73"/>
      <c r="H58" s="87">
        <v>53</v>
      </c>
      <c r="I58" s="88">
        <f t="shared" si="1"/>
        <v>8.611825042426851</v>
      </c>
      <c r="J58" s="87">
        <f t="shared" si="6"/>
        <v>1</v>
      </c>
      <c r="K58" s="87">
        <f t="shared" si="2"/>
        <v>10</v>
      </c>
      <c r="L58" s="87"/>
      <c r="M58" s="89">
        <f t="shared" si="3"/>
        <v>18.611825042426851</v>
      </c>
      <c r="N58" s="89">
        <f t="shared" si="4"/>
        <v>22.33419005091222</v>
      </c>
      <c r="O58" s="73"/>
      <c r="P58" s="73"/>
      <c r="Q58" s="73"/>
      <c r="R58" s="73"/>
      <c r="S58" s="101"/>
      <c r="T58" s="102"/>
    </row>
    <row r="59" spans="1:20" s="78" customFormat="1">
      <c r="A59" s="90">
        <f t="shared" si="5"/>
        <v>22.100363434144871</v>
      </c>
      <c r="B59" s="35">
        <f t="shared" si="0"/>
        <v>54</v>
      </c>
      <c r="C59" s="25" t="s">
        <v>99</v>
      </c>
      <c r="D59" s="25"/>
      <c r="E59" s="25"/>
      <c r="F59" s="25"/>
      <c r="G59" s="73"/>
      <c r="H59" s="91">
        <v>54</v>
      </c>
      <c r="I59" s="92">
        <f t="shared" si="1"/>
        <v>8.4169695284540609</v>
      </c>
      <c r="J59" s="91">
        <f t="shared" si="6"/>
        <v>1</v>
      </c>
      <c r="K59" s="91">
        <f t="shared" si="2"/>
        <v>10</v>
      </c>
      <c r="L59" s="91"/>
      <c r="M59" s="93">
        <f t="shared" si="3"/>
        <v>18.416969528454061</v>
      </c>
      <c r="N59" s="93">
        <f t="shared" si="4"/>
        <v>22.100363434144871</v>
      </c>
      <c r="O59" s="73"/>
      <c r="P59" s="73"/>
      <c r="Q59" s="73"/>
      <c r="R59" s="73"/>
      <c r="S59" s="73"/>
    </row>
    <row r="60" spans="1:20" s="78" customFormat="1">
      <c r="A60" s="86">
        <f t="shared" si="5"/>
        <v>21.870827457026053</v>
      </c>
      <c r="B60" s="36">
        <f t="shared" si="0"/>
        <v>55</v>
      </c>
      <c r="C60" s="24" t="s">
        <v>99</v>
      </c>
      <c r="D60" s="24"/>
      <c r="E60" s="24"/>
      <c r="F60" s="24"/>
      <c r="G60" s="73"/>
      <c r="H60" s="87">
        <v>55</v>
      </c>
      <c r="I60" s="88">
        <f t="shared" si="1"/>
        <v>8.2256895475217107</v>
      </c>
      <c r="J60" s="87">
        <f t="shared" si="6"/>
        <v>1</v>
      </c>
      <c r="K60" s="87">
        <f t="shared" si="2"/>
        <v>10</v>
      </c>
      <c r="L60" s="87"/>
      <c r="M60" s="89">
        <f t="shared" si="3"/>
        <v>18.225689547521711</v>
      </c>
      <c r="N60" s="89">
        <f t="shared" si="4"/>
        <v>21.870827457026053</v>
      </c>
      <c r="O60" s="73"/>
      <c r="P60" s="73"/>
      <c r="Q60" s="73"/>
      <c r="R60" s="73"/>
      <c r="S60" s="101"/>
      <c r="T60" s="102"/>
    </row>
    <row r="61" spans="1:20" s="78" customFormat="1">
      <c r="A61" s="90">
        <f t="shared" si="5"/>
        <v>21.645427489127481</v>
      </c>
      <c r="B61" s="35">
        <f t="shared" si="0"/>
        <v>56</v>
      </c>
      <c r="C61" s="25" t="s">
        <v>99</v>
      </c>
      <c r="D61" s="25"/>
      <c r="E61" s="25"/>
      <c r="F61" s="25"/>
      <c r="G61" s="73"/>
      <c r="H61" s="91">
        <v>56</v>
      </c>
      <c r="I61" s="92">
        <f t="shared" si="1"/>
        <v>8.0378562409395684</v>
      </c>
      <c r="J61" s="91">
        <f t="shared" si="6"/>
        <v>1</v>
      </c>
      <c r="K61" s="91">
        <f t="shared" si="2"/>
        <v>10</v>
      </c>
      <c r="L61" s="91"/>
      <c r="M61" s="93">
        <f t="shared" si="3"/>
        <v>18.037856240939568</v>
      </c>
      <c r="N61" s="93">
        <f t="shared" si="4"/>
        <v>21.645427489127481</v>
      </c>
      <c r="O61" s="73"/>
      <c r="P61" s="73"/>
      <c r="Q61" s="73"/>
      <c r="R61" s="73"/>
      <c r="S61" s="73"/>
    </row>
    <row r="62" spans="1:20" s="78" customFormat="1">
      <c r="A62" s="86">
        <f t="shared" si="5"/>
        <v>21.42401711136722</v>
      </c>
      <c r="B62" s="36">
        <f t="shared" si="0"/>
        <v>57</v>
      </c>
      <c r="C62" s="24" t="s">
        <v>99</v>
      </c>
      <c r="D62" s="24"/>
      <c r="E62" s="24"/>
      <c r="F62" s="24"/>
      <c r="G62" s="73"/>
      <c r="H62" s="87">
        <v>57</v>
      </c>
      <c r="I62" s="88">
        <f t="shared" si="1"/>
        <v>7.853347592806017</v>
      </c>
      <c r="J62" s="87">
        <f t="shared" si="6"/>
        <v>1</v>
      </c>
      <c r="K62" s="87">
        <f t="shared" si="2"/>
        <v>10</v>
      </c>
      <c r="L62" s="87"/>
      <c r="M62" s="89">
        <f t="shared" si="3"/>
        <v>17.853347592806017</v>
      </c>
      <c r="N62" s="89">
        <f t="shared" si="4"/>
        <v>21.42401711136722</v>
      </c>
      <c r="O62" s="73"/>
      <c r="P62" s="73"/>
      <c r="Q62" s="73"/>
      <c r="R62" s="73"/>
      <c r="S62" s="101"/>
      <c r="T62" s="102"/>
    </row>
    <row r="63" spans="1:20" s="78" customFormat="1">
      <c r="A63" s="90">
        <f t="shared" si="5"/>
        <v>21.206457544711</v>
      </c>
      <c r="B63" s="35">
        <f t="shared" si="0"/>
        <v>58</v>
      </c>
      <c r="C63" s="25" t="s">
        <v>99</v>
      </c>
      <c r="D63" s="25"/>
      <c r="E63" s="25"/>
      <c r="F63" s="25"/>
      <c r="G63" s="73"/>
      <c r="H63" s="91">
        <v>58</v>
      </c>
      <c r="I63" s="92">
        <f t="shared" si="1"/>
        <v>7.6720479539258335</v>
      </c>
      <c r="J63" s="91">
        <f t="shared" si="6"/>
        <v>1</v>
      </c>
      <c r="K63" s="91">
        <f t="shared" si="2"/>
        <v>10</v>
      </c>
      <c r="L63" s="91"/>
      <c r="M63" s="93">
        <f t="shared" si="3"/>
        <v>17.672047953925833</v>
      </c>
      <c r="N63" s="93">
        <f t="shared" si="4"/>
        <v>21.206457544711</v>
      </c>
      <c r="O63" s="73"/>
      <c r="P63" s="73"/>
      <c r="Q63" s="73"/>
      <c r="R63" s="73"/>
      <c r="S63" s="73"/>
    </row>
    <row r="64" spans="1:20" s="78" customFormat="1">
      <c r="A64" s="86">
        <f t="shared" si="5"/>
        <v>20.992617127709828</v>
      </c>
      <c r="B64" s="36">
        <f t="shared" si="0"/>
        <v>59</v>
      </c>
      <c r="C64" s="24" t="s">
        <v>99</v>
      </c>
      <c r="D64" s="24"/>
      <c r="E64" s="24"/>
      <c r="F64" s="24"/>
      <c r="G64" s="73"/>
      <c r="H64" s="87">
        <v>59</v>
      </c>
      <c r="I64" s="88">
        <f t="shared" si="1"/>
        <v>7.4938476064248576</v>
      </c>
      <c r="J64" s="87">
        <f t="shared" si="6"/>
        <v>1</v>
      </c>
      <c r="K64" s="87">
        <f t="shared" si="2"/>
        <v>10</v>
      </c>
      <c r="L64" s="87"/>
      <c r="M64" s="89">
        <f t="shared" si="3"/>
        <v>17.493847606424858</v>
      </c>
      <c r="N64" s="89">
        <f t="shared" si="4"/>
        <v>20.992617127709828</v>
      </c>
      <c r="O64" s="73"/>
      <c r="P64" s="73"/>
      <c r="Q64" s="73"/>
      <c r="R64" s="73"/>
      <c r="S64" s="101"/>
      <c r="T64" s="102"/>
    </row>
    <row r="65" spans="1:20" s="78" customFormat="1">
      <c r="A65" s="90">
        <f t="shared" si="5"/>
        <v>20.78237083794863</v>
      </c>
      <c r="B65" s="35">
        <f t="shared" si="0"/>
        <v>60</v>
      </c>
      <c r="C65" s="25" t="s">
        <v>99</v>
      </c>
      <c r="D65" s="25"/>
      <c r="E65" s="25"/>
      <c r="F65" s="25"/>
      <c r="G65" s="73"/>
      <c r="H65" s="91">
        <v>60</v>
      </c>
      <c r="I65" s="92">
        <f t="shared" si="1"/>
        <v>7.3186423649571921</v>
      </c>
      <c r="J65" s="91">
        <f t="shared" si="6"/>
        <v>1</v>
      </c>
      <c r="K65" s="91">
        <f t="shared" si="2"/>
        <v>10</v>
      </c>
      <c r="L65" s="91"/>
      <c r="M65" s="93">
        <f t="shared" si="3"/>
        <v>17.318642364957192</v>
      </c>
      <c r="N65" s="93">
        <f t="shared" si="4"/>
        <v>20.78237083794863</v>
      </c>
      <c r="O65" s="73"/>
      <c r="P65" s="73"/>
      <c r="Q65" s="73"/>
      <c r="R65" s="73"/>
      <c r="S65" s="73"/>
    </row>
    <row r="66" spans="1:20" s="78" customFormat="1">
      <c r="A66" s="86">
        <f t="shared" si="5"/>
        <v>20.575599853050083</v>
      </c>
      <c r="B66" s="36">
        <f t="shared" si="0"/>
        <v>61</v>
      </c>
      <c r="C66" s="24" t="s">
        <v>99</v>
      </c>
      <c r="D66" s="24"/>
      <c r="E66" s="24"/>
      <c r="F66" s="24"/>
      <c r="G66" s="73"/>
      <c r="H66" s="87">
        <v>61</v>
      </c>
      <c r="I66" s="88">
        <f t="shared" si="1"/>
        <v>7.1463332108750706</v>
      </c>
      <c r="J66" s="87">
        <f t="shared" si="6"/>
        <v>1</v>
      </c>
      <c r="K66" s="87">
        <f t="shared" si="2"/>
        <v>10</v>
      </c>
      <c r="L66" s="87"/>
      <c r="M66" s="89">
        <f t="shared" si="3"/>
        <v>17.146333210875071</v>
      </c>
      <c r="N66" s="89">
        <f t="shared" si="4"/>
        <v>20.575599853050083</v>
      </c>
      <c r="O66" s="73"/>
      <c r="P66" s="73"/>
      <c r="Q66" s="73"/>
      <c r="R66" s="73"/>
      <c r="S66" s="101"/>
      <c r="T66" s="102"/>
    </row>
    <row r="67" spans="1:20" s="78" customFormat="1">
      <c r="A67" s="90">
        <f t="shared" si="5"/>
        <v>20.372191147374213</v>
      </c>
      <c r="B67" s="35">
        <f t="shared" si="0"/>
        <v>62</v>
      </c>
      <c r="C67" s="25" t="s">
        <v>99</v>
      </c>
      <c r="D67" s="25"/>
      <c r="E67" s="25"/>
      <c r="F67" s="25"/>
      <c r="G67" s="73"/>
      <c r="H67" s="91">
        <v>62</v>
      </c>
      <c r="I67" s="92">
        <f t="shared" si="1"/>
        <v>6.9768259561451771</v>
      </c>
      <c r="J67" s="91">
        <f t="shared" si="6"/>
        <v>1</v>
      </c>
      <c r="K67" s="91">
        <f t="shared" si="2"/>
        <v>10</v>
      </c>
      <c r="L67" s="91"/>
      <c r="M67" s="93">
        <f t="shared" si="3"/>
        <v>16.976825956145177</v>
      </c>
      <c r="N67" s="93">
        <f t="shared" si="4"/>
        <v>20.372191147374213</v>
      </c>
      <c r="O67" s="73"/>
      <c r="P67" s="73"/>
      <c r="Q67" s="73"/>
      <c r="R67" s="73"/>
      <c r="S67" s="73"/>
    </row>
    <row r="68" spans="1:20" s="78" customFormat="1">
      <c r="A68" s="86">
        <f t="shared" si="5"/>
        <v>20.172037120986282</v>
      </c>
      <c r="B68" s="36">
        <f t="shared" si="0"/>
        <v>63</v>
      </c>
      <c r="C68" s="24" t="s">
        <v>99</v>
      </c>
      <c r="D68" s="24"/>
      <c r="E68" s="24"/>
      <c r="F68" s="24"/>
      <c r="G68" s="73"/>
      <c r="H68" s="87">
        <v>63</v>
      </c>
      <c r="I68" s="88">
        <f t="shared" si="1"/>
        <v>6.8100309341552361</v>
      </c>
      <c r="J68" s="87">
        <f t="shared" si="6"/>
        <v>1</v>
      </c>
      <c r="K68" s="87">
        <f t="shared" si="2"/>
        <v>10</v>
      </c>
      <c r="L68" s="87"/>
      <c r="M68" s="89">
        <f t="shared" si="3"/>
        <v>16.810030934155236</v>
      </c>
      <c r="N68" s="89">
        <f t="shared" si="4"/>
        <v>20.172037120986282</v>
      </c>
      <c r="O68" s="73"/>
      <c r="P68" s="73"/>
      <c r="Q68" s="73"/>
      <c r="R68" s="73"/>
      <c r="S68" s="101"/>
      <c r="T68" s="102"/>
    </row>
    <row r="69" spans="1:20" s="78" customFormat="1">
      <c r="A69" s="90">
        <f t="shared" si="5"/>
        <v>19.97503525784364</v>
      </c>
      <c r="B69" s="35">
        <f t="shared" si="0"/>
        <v>64</v>
      </c>
      <c r="C69" s="25" t="s">
        <v>99</v>
      </c>
      <c r="D69" s="25"/>
      <c r="E69" s="25"/>
      <c r="F69" s="25"/>
      <c r="G69" s="73"/>
      <c r="H69" s="91">
        <v>64</v>
      </c>
      <c r="I69" s="92">
        <f t="shared" si="1"/>
        <v>6.6458627148697005</v>
      </c>
      <c r="J69" s="91">
        <f t="shared" si="6"/>
        <v>1</v>
      </c>
      <c r="K69" s="91">
        <f t="shared" si="2"/>
        <v>10</v>
      </c>
      <c r="L69" s="91"/>
      <c r="M69" s="93">
        <f t="shared" si="3"/>
        <v>16.6458627148697</v>
      </c>
      <c r="N69" s="93">
        <f t="shared" si="4"/>
        <v>19.97503525784364</v>
      </c>
      <c r="O69" s="73"/>
      <c r="P69" s="73"/>
      <c r="Q69" s="73"/>
      <c r="R69" s="73"/>
      <c r="S69" s="73"/>
    </row>
    <row r="70" spans="1:20" s="78" customFormat="1">
      <c r="A70" s="86">
        <f t="shared" si="5"/>
        <v>7.7810878104828873</v>
      </c>
      <c r="B70" s="36">
        <f t="shared" ref="B70:B133" si="7">IF(H70&gt;$H$2,"",(ROW()-5))</f>
        <v>65</v>
      </c>
      <c r="C70" s="24" t="s">
        <v>99</v>
      </c>
      <c r="D70" s="24"/>
      <c r="E70" s="24"/>
      <c r="F70" s="24"/>
      <c r="G70" s="73"/>
      <c r="H70" s="87">
        <v>65</v>
      </c>
      <c r="I70" s="88">
        <f t="shared" ref="I70:I133" si="8">IF(H70&lt;$H$2+1,($I$2-($I$2-1)*(LOG(H70)/LOG($H$2))),"")</f>
        <v>6.4842398420690728</v>
      </c>
      <c r="J70" s="87">
        <f t="shared" si="6"/>
        <v>0</v>
      </c>
      <c r="K70" s="87">
        <f t="shared" ref="K70:K133" si="9">J70*$J$2</f>
        <v>0</v>
      </c>
      <c r="L70" s="87"/>
      <c r="M70" s="89">
        <f t="shared" ref="M70:M133" si="10">IF(I70&lt;&gt;"",K70+I70+L70,0)</f>
        <v>6.4842398420690728</v>
      </c>
      <c r="N70" s="89">
        <f t="shared" ref="N70:N133" si="11">IF(I70&lt;&gt;"",M70*L$2,0)</f>
        <v>7.7810878104828873</v>
      </c>
      <c r="O70" s="73"/>
      <c r="P70" s="73"/>
      <c r="Q70" s="73"/>
      <c r="R70" s="73"/>
      <c r="S70" s="101"/>
      <c r="T70" s="102"/>
    </row>
    <row r="71" spans="1:20" s="78" customFormat="1">
      <c r="A71" s="90">
        <f t="shared" ref="A71:A134" si="12">N71</f>
        <v>7.5901015087798553</v>
      </c>
      <c r="B71" s="35">
        <f t="shared" si="7"/>
        <v>66</v>
      </c>
      <c r="C71" s="25" t="s">
        <v>99</v>
      </c>
      <c r="D71" s="25"/>
      <c r="E71" s="25"/>
      <c r="F71" s="25"/>
      <c r="G71" s="73"/>
      <c r="H71" s="91">
        <v>66</v>
      </c>
      <c r="I71" s="92">
        <f t="shared" si="8"/>
        <v>6.3250845906498796</v>
      </c>
      <c r="J71" s="91">
        <f t="shared" ref="J71:J134" si="13">INT(LOG($H$2,2))-ROUNDUP(LOG(H71,2),0)+IF(OR($H$2=1,$H$2=2,$H$2=4,$H$2=8,$H$2=16,$H$2=32,$H$2=64,$H$2=128,$H$2=256),0,1)</f>
        <v>0</v>
      </c>
      <c r="K71" s="91">
        <f t="shared" si="9"/>
        <v>0</v>
      </c>
      <c r="L71" s="91"/>
      <c r="M71" s="93">
        <f t="shared" si="10"/>
        <v>6.3250845906498796</v>
      </c>
      <c r="N71" s="93">
        <f t="shared" si="11"/>
        <v>7.5901015087798553</v>
      </c>
      <c r="O71" s="73"/>
      <c r="P71" s="73"/>
      <c r="Q71" s="73"/>
      <c r="R71" s="73"/>
      <c r="S71" s="73"/>
    </row>
    <row r="72" spans="1:20" s="78" customFormat="1">
      <c r="A72" s="86">
        <f t="shared" si="12"/>
        <v>7.4019872906097532</v>
      </c>
      <c r="B72" s="36">
        <f t="shared" si="7"/>
        <v>67</v>
      </c>
      <c r="C72" s="24" t="s">
        <v>99</v>
      </c>
      <c r="D72" s="24"/>
      <c r="E72" s="24"/>
      <c r="F72" s="24"/>
      <c r="G72" s="73"/>
      <c r="H72" s="87">
        <v>67</v>
      </c>
      <c r="I72" s="88">
        <f t="shared" si="8"/>
        <v>6.1683227421747944</v>
      </c>
      <c r="J72" s="87">
        <f t="shared" si="13"/>
        <v>0</v>
      </c>
      <c r="K72" s="87">
        <f t="shared" si="9"/>
        <v>0</v>
      </c>
      <c r="L72" s="87"/>
      <c r="M72" s="89">
        <f t="shared" si="10"/>
        <v>6.1683227421747944</v>
      </c>
      <c r="N72" s="89">
        <f t="shared" si="11"/>
        <v>7.4019872906097532</v>
      </c>
      <c r="O72" s="73"/>
      <c r="P72" s="73"/>
      <c r="Q72" s="73"/>
      <c r="R72" s="73"/>
      <c r="S72" s="101"/>
      <c r="T72" s="102"/>
    </row>
    <row r="73" spans="1:20" s="78" customFormat="1">
      <c r="A73" s="90">
        <f t="shared" si="12"/>
        <v>7.2166600524606821</v>
      </c>
      <c r="B73" s="35">
        <f t="shared" si="7"/>
        <v>68</v>
      </c>
      <c r="C73" s="25" t="s">
        <v>99</v>
      </c>
      <c r="D73" s="25"/>
      <c r="E73" s="25"/>
      <c r="F73" s="25"/>
      <c r="G73" s="73"/>
      <c r="H73" s="91">
        <v>68</v>
      </c>
      <c r="I73" s="92">
        <f t="shared" si="8"/>
        <v>6.0138833770505684</v>
      </c>
      <c r="J73" s="91">
        <f t="shared" si="13"/>
        <v>0</v>
      </c>
      <c r="K73" s="91">
        <f t="shared" si="9"/>
        <v>0</v>
      </c>
      <c r="L73" s="91"/>
      <c r="M73" s="93">
        <f t="shared" si="10"/>
        <v>6.0138833770505684</v>
      </c>
      <c r="N73" s="93">
        <f t="shared" si="11"/>
        <v>7.2166600524606821</v>
      </c>
      <c r="O73" s="73"/>
      <c r="P73" s="73"/>
      <c r="Q73" s="73"/>
      <c r="R73" s="73"/>
      <c r="S73" s="73"/>
    </row>
    <row r="74" spans="1:20" s="78" customFormat="1">
      <c r="A74" s="86">
        <f t="shared" si="12"/>
        <v>7.0340384182526492</v>
      </c>
      <c r="B74" s="36">
        <f t="shared" si="7"/>
        <v>69</v>
      </c>
      <c r="C74" s="24" t="s">
        <v>99</v>
      </c>
      <c r="D74" s="24"/>
      <c r="E74" s="24"/>
      <c r="F74" s="24"/>
      <c r="G74" s="73"/>
      <c r="H74" s="87">
        <v>69</v>
      </c>
      <c r="I74" s="88">
        <f t="shared" si="8"/>
        <v>5.8616986818772077</v>
      </c>
      <c r="J74" s="87">
        <f t="shared" si="13"/>
        <v>0</v>
      </c>
      <c r="K74" s="87">
        <f t="shared" si="9"/>
        <v>0</v>
      </c>
      <c r="L74" s="87"/>
      <c r="M74" s="89">
        <f t="shared" si="10"/>
        <v>5.8616986818772077</v>
      </c>
      <c r="N74" s="89">
        <f t="shared" si="11"/>
        <v>7.0340384182526492</v>
      </c>
      <c r="O74" s="73"/>
      <c r="P74" s="73"/>
      <c r="Q74" s="73"/>
      <c r="R74" s="73"/>
      <c r="S74" s="101"/>
      <c r="T74" s="102"/>
    </row>
    <row r="75" spans="1:20" s="78" customFormat="1">
      <c r="A75" s="90">
        <f t="shared" si="12"/>
        <v>6.8540445247900488</v>
      </c>
      <c r="B75" s="35">
        <f t="shared" si="7"/>
        <v>70</v>
      </c>
      <c r="C75" s="25" t="s">
        <v>99</v>
      </c>
      <c r="D75" s="25"/>
      <c r="E75" s="25"/>
      <c r="F75" s="25"/>
      <c r="G75" s="73"/>
      <c r="H75" s="91">
        <v>70</v>
      </c>
      <c r="I75" s="92">
        <f t="shared" si="8"/>
        <v>5.7117037706583744</v>
      </c>
      <c r="J75" s="91">
        <f t="shared" si="13"/>
        <v>0</v>
      </c>
      <c r="K75" s="91">
        <f t="shared" si="9"/>
        <v>0</v>
      </c>
      <c r="L75" s="91"/>
      <c r="M75" s="93">
        <f t="shared" si="10"/>
        <v>5.7117037706583744</v>
      </c>
      <c r="N75" s="93">
        <f t="shared" si="11"/>
        <v>6.8540445247900488</v>
      </c>
      <c r="O75" s="73"/>
      <c r="P75" s="73"/>
      <c r="Q75" s="73"/>
      <c r="R75" s="73"/>
      <c r="S75" s="73"/>
    </row>
    <row r="76" spans="1:20" s="78" customFormat="1">
      <c r="A76" s="86">
        <f t="shared" si="12"/>
        <v>6.6766038224318747</v>
      </c>
      <c r="B76" s="36">
        <f t="shared" si="7"/>
        <v>71</v>
      </c>
      <c r="C76" s="24" t="s">
        <v>99</v>
      </c>
      <c r="D76" s="24"/>
      <c r="E76" s="24"/>
      <c r="F76" s="24"/>
      <c r="G76" s="73"/>
      <c r="H76" s="87">
        <v>71</v>
      </c>
      <c r="I76" s="88">
        <f t="shared" si="8"/>
        <v>5.563836518693229</v>
      </c>
      <c r="J76" s="87">
        <f t="shared" si="13"/>
        <v>0</v>
      </c>
      <c r="K76" s="87">
        <f t="shared" si="9"/>
        <v>0</v>
      </c>
      <c r="L76" s="87"/>
      <c r="M76" s="89">
        <f t="shared" si="10"/>
        <v>5.563836518693229</v>
      </c>
      <c r="N76" s="89">
        <f t="shared" si="11"/>
        <v>6.6766038224318747</v>
      </c>
      <c r="O76" s="73"/>
      <c r="P76" s="73"/>
      <c r="Q76" s="73"/>
      <c r="R76" s="73"/>
      <c r="S76" s="101"/>
      <c r="T76" s="102"/>
    </row>
    <row r="77" spans="1:20" s="78" customFormat="1">
      <c r="A77" s="90">
        <f t="shared" si="12"/>
        <v>6.5016448897024413</v>
      </c>
      <c r="B77" s="35">
        <f t="shared" si="7"/>
        <v>72</v>
      </c>
      <c r="C77" s="25" t="s">
        <v>99</v>
      </c>
      <c r="D77" s="25"/>
      <c r="E77" s="25"/>
      <c r="F77" s="25"/>
      <c r="G77" s="73"/>
      <c r="H77" s="91">
        <v>72</v>
      </c>
      <c r="I77" s="92">
        <f t="shared" si="8"/>
        <v>5.4180374080853682</v>
      </c>
      <c r="J77" s="91">
        <f t="shared" si="13"/>
        <v>0</v>
      </c>
      <c r="K77" s="91">
        <f t="shared" si="9"/>
        <v>0</v>
      </c>
      <c r="L77" s="91"/>
      <c r="M77" s="93">
        <f t="shared" si="10"/>
        <v>5.4180374080853682</v>
      </c>
      <c r="N77" s="93">
        <f t="shared" si="11"/>
        <v>6.5016448897024413</v>
      </c>
      <c r="O77" s="73"/>
      <c r="P77" s="73"/>
      <c r="Q77" s="73"/>
      <c r="R77" s="73"/>
      <c r="S77" s="73"/>
    </row>
    <row r="78" spans="1:20" s="78" customFormat="1">
      <c r="A78" s="86">
        <f t="shared" si="12"/>
        <v>6.3290992606889178</v>
      </c>
      <c r="B78" s="36">
        <f t="shared" si="7"/>
        <v>73</v>
      </c>
      <c r="C78" s="24" t="s">
        <v>99</v>
      </c>
      <c r="D78" s="24"/>
      <c r="E78" s="24"/>
      <c r="F78" s="24"/>
      <c r="G78" s="73"/>
      <c r="H78" s="87">
        <v>73</v>
      </c>
      <c r="I78" s="88">
        <f t="shared" si="8"/>
        <v>5.2742493839074314</v>
      </c>
      <c r="J78" s="87">
        <f t="shared" si="13"/>
        <v>0</v>
      </c>
      <c r="K78" s="87">
        <f t="shared" si="9"/>
        <v>0</v>
      </c>
      <c r="L78" s="87"/>
      <c r="M78" s="89">
        <f t="shared" si="10"/>
        <v>5.2742493839074314</v>
      </c>
      <c r="N78" s="89">
        <f t="shared" si="11"/>
        <v>6.3290992606889178</v>
      </c>
      <c r="O78" s="73"/>
      <c r="P78" s="73"/>
      <c r="Q78" s="73"/>
      <c r="R78" s="73"/>
      <c r="S78" s="101"/>
      <c r="T78" s="102"/>
    </row>
    <row r="79" spans="1:20" s="78" customFormat="1">
      <c r="A79" s="90">
        <f t="shared" si="12"/>
        <v>6.1589012641816137</v>
      </c>
      <c r="B79" s="35">
        <f t="shared" si="7"/>
        <v>74</v>
      </c>
      <c r="C79" s="25" t="s">
        <v>99</v>
      </c>
      <c r="D79" s="25"/>
      <c r="E79" s="25"/>
      <c r="F79" s="25"/>
      <c r="G79" s="73"/>
      <c r="H79" s="91">
        <v>74</v>
      </c>
      <c r="I79" s="92">
        <f t="shared" si="8"/>
        <v>5.132417720151345</v>
      </c>
      <c r="J79" s="91">
        <f t="shared" si="13"/>
        <v>0</v>
      </c>
      <c r="K79" s="91">
        <f t="shared" si="9"/>
        <v>0</v>
      </c>
      <c r="L79" s="91"/>
      <c r="M79" s="93">
        <f t="shared" si="10"/>
        <v>5.132417720151345</v>
      </c>
      <c r="N79" s="93">
        <f t="shared" si="11"/>
        <v>6.1589012641816137</v>
      </c>
      <c r="O79" s="73"/>
      <c r="P79" s="73"/>
      <c r="Q79" s="73"/>
      <c r="R79" s="73"/>
      <c r="S79" s="73"/>
    </row>
    <row r="80" spans="1:20" s="78" customFormat="1">
      <c r="A80" s="86">
        <f t="shared" si="12"/>
        <v>5.9909878736111972</v>
      </c>
      <c r="B80" s="36">
        <f t="shared" si="7"/>
        <v>75</v>
      </c>
      <c r="C80" s="24" t="s">
        <v>99</v>
      </c>
      <c r="D80" s="24"/>
      <c r="E80" s="24"/>
      <c r="F80" s="24"/>
      <c r="G80" s="73"/>
      <c r="H80" s="87">
        <v>75</v>
      </c>
      <c r="I80" s="88">
        <f t="shared" si="8"/>
        <v>4.9924898946759981</v>
      </c>
      <c r="J80" s="87">
        <f t="shared" si="13"/>
        <v>0</v>
      </c>
      <c r="K80" s="87">
        <f t="shared" si="9"/>
        <v>0</v>
      </c>
      <c r="L80" s="87"/>
      <c r="M80" s="89">
        <f t="shared" si="10"/>
        <v>4.9924898946759981</v>
      </c>
      <c r="N80" s="89">
        <f t="shared" si="11"/>
        <v>5.9909878736111972</v>
      </c>
      <c r="O80" s="73"/>
      <c r="P80" s="73"/>
      <c r="Q80" s="73"/>
      <c r="R80" s="73"/>
      <c r="S80" s="101"/>
      <c r="T80" s="102"/>
    </row>
    <row r="81" spans="1:20" s="78" customFormat="1">
      <c r="A81" s="90">
        <f t="shared" si="12"/>
        <v>5.825298566924789</v>
      </c>
      <c r="B81" s="35">
        <f t="shared" si="7"/>
        <v>76</v>
      </c>
      <c r="C81" s="25" t="s">
        <v>99</v>
      </c>
      <c r="D81" s="25"/>
      <c r="E81" s="25"/>
      <c r="F81" s="25"/>
      <c r="G81" s="73"/>
      <c r="H81" s="91">
        <v>76</v>
      </c>
      <c r="I81" s="92">
        <f t="shared" si="8"/>
        <v>4.8544154724373243</v>
      </c>
      <c r="J81" s="91">
        <f t="shared" si="13"/>
        <v>0</v>
      </c>
      <c r="K81" s="91">
        <f t="shared" si="9"/>
        <v>0</v>
      </c>
      <c r="L81" s="91"/>
      <c r="M81" s="93">
        <f t="shared" si="10"/>
        <v>4.8544154724373243</v>
      </c>
      <c r="N81" s="93">
        <f t="shared" si="11"/>
        <v>5.825298566924789</v>
      </c>
      <c r="O81" s="73"/>
      <c r="P81" s="73"/>
      <c r="Q81" s="73"/>
      <c r="R81" s="73"/>
      <c r="S81" s="73"/>
    </row>
    <row r="82" spans="1:20" s="78" customFormat="1">
      <c r="A82" s="86">
        <f t="shared" si="12"/>
        <v>5.6617751956212823</v>
      </c>
      <c r="B82" s="36">
        <f t="shared" si="7"/>
        <v>77</v>
      </c>
      <c r="C82" s="24" t="s">
        <v>99</v>
      </c>
      <c r="D82" s="24"/>
      <c r="E82" s="24"/>
      <c r="F82" s="24"/>
      <c r="G82" s="73"/>
      <c r="H82" s="87">
        <v>77</v>
      </c>
      <c r="I82" s="88">
        <f t="shared" si="8"/>
        <v>4.718145996351069</v>
      </c>
      <c r="J82" s="87">
        <f t="shared" si="13"/>
        <v>0</v>
      </c>
      <c r="K82" s="87">
        <f t="shared" si="9"/>
        <v>0</v>
      </c>
      <c r="L82" s="87"/>
      <c r="M82" s="89">
        <f t="shared" si="10"/>
        <v>4.718145996351069</v>
      </c>
      <c r="N82" s="89">
        <f t="shared" si="11"/>
        <v>5.6617751956212823</v>
      </c>
      <c r="O82" s="73"/>
      <c r="P82" s="73"/>
      <c r="Q82" s="73"/>
      <c r="R82" s="73"/>
      <c r="S82" s="101"/>
      <c r="T82" s="102"/>
    </row>
    <row r="83" spans="1:20" s="78" customFormat="1">
      <c r="A83" s="90">
        <f t="shared" si="12"/>
        <v>5.5003618622366899</v>
      </c>
      <c r="B83" s="35">
        <f t="shared" si="7"/>
        <v>78</v>
      </c>
      <c r="C83" s="25" t="s">
        <v>28</v>
      </c>
      <c r="D83" s="25"/>
      <c r="E83" s="25"/>
      <c r="F83" s="25"/>
      <c r="G83" s="73"/>
      <c r="H83" s="91">
        <v>78</v>
      </c>
      <c r="I83" s="92">
        <f t="shared" si="8"/>
        <v>4.5836348851972417</v>
      </c>
      <c r="J83" s="91">
        <f t="shared" si="13"/>
        <v>0</v>
      </c>
      <c r="K83" s="91">
        <f t="shared" si="9"/>
        <v>0</v>
      </c>
      <c r="L83" s="91"/>
      <c r="M83" s="93">
        <f t="shared" si="10"/>
        <v>4.5836348851972417</v>
      </c>
      <c r="N83" s="93">
        <f t="shared" si="11"/>
        <v>5.5003618622366899</v>
      </c>
      <c r="O83" s="73"/>
      <c r="P83" s="73"/>
      <c r="Q83" s="73"/>
      <c r="R83" s="73"/>
      <c r="S83" s="73"/>
    </row>
    <row r="84" spans="1:20" s="78" customFormat="1">
      <c r="A84" s="86">
        <f t="shared" si="12"/>
        <v>5.3410048056336876</v>
      </c>
      <c r="B84" s="36">
        <f t="shared" si="7"/>
        <v>79</v>
      </c>
      <c r="C84" s="24" t="s">
        <v>99</v>
      </c>
      <c r="D84" s="24"/>
      <c r="E84" s="24"/>
      <c r="F84" s="24"/>
      <c r="G84" s="73"/>
      <c r="H84" s="87">
        <v>79</v>
      </c>
      <c r="I84" s="88">
        <f t="shared" si="8"/>
        <v>4.450837338028073</v>
      </c>
      <c r="J84" s="87">
        <f t="shared" si="13"/>
        <v>0</v>
      </c>
      <c r="K84" s="87">
        <f t="shared" si="9"/>
        <v>0</v>
      </c>
      <c r="L84" s="87"/>
      <c r="M84" s="89">
        <f t="shared" si="10"/>
        <v>4.450837338028073</v>
      </c>
      <c r="N84" s="89">
        <f t="shared" si="11"/>
        <v>5.3410048056336876</v>
      </c>
      <c r="O84" s="73"/>
      <c r="P84" s="73"/>
      <c r="Q84" s="73"/>
      <c r="R84" s="73"/>
      <c r="S84" s="101"/>
      <c r="T84" s="102"/>
    </row>
    <row r="85" spans="1:20" s="78" customFormat="1">
      <c r="A85" s="90">
        <f t="shared" si="12"/>
        <v>5.1836522935061993</v>
      </c>
      <c r="B85" s="35">
        <f t="shared" si="7"/>
        <v>80</v>
      </c>
      <c r="C85" s="25" t="s">
        <v>99</v>
      </c>
      <c r="D85" s="25"/>
      <c r="E85" s="25"/>
      <c r="F85" s="25"/>
      <c r="G85" s="73"/>
      <c r="H85" s="91">
        <v>80</v>
      </c>
      <c r="I85" s="92">
        <f t="shared" si="8"/>
        <v>4.3197102445884994</v>
      </c>
      <c r="J85" s="91">
        <f t="shared" si="13"/>
        <v>0</v>
      </c>
      <c r="K85" s="91">
        <f t="shared" si="9"/>
        <v>0</v>
      </c>
      <c r="L85" s="91"/>
      <c r="M85" s="93">
        <f t="shared" si="10"/>
        <v>4.3197102445884994</v>
      </c>
      <c r="N85" s="93">
        <f t="shared" si="11"/>
        <v>5.1836522935061993</v>
      </c>
      <c r="O85" s="73"/>
      <c r="P85" s="73"/>
      <c r="Q85" s="73"/>
      <c r="R85" s="73"/>
      <c r="S85" s="73"/>
    </row>
    <row r="86" spans="1:20" s="78" customFormat="1">
      <c r="A86" s="86">
        <f t="shared" si="12"/>
        <v>5.0282545215612426</v>
      </c>
      <c r="B86" s="36">
        <f t="shared" si="7"/>
        <v>81</v>
      </c>
      <c r="C86" s="24" t="s">
        <v>99</v>
      </c>
      <c r="D86" s="24"/>
      <c r="E86" s="24"/>
      <c r="F86" s="24"/>
      <c r="G86" s="73"/>
      <c r="H86" s="87">
        <v>81</v>
      </c>
      <c r="I86" s="88">
        <f t="shared" si="8"/>
        <v>4.1902121013010358</v>
      </c>
      <c r="J86" s="87">
        <f t="shared" si="13"/>
        <v>0</v>
      </c>
      <c r="K86" s="87">
        <f t="shared" si="9"/>
        <v>0</v>
      </c>
      <c r="L86" s="87"/>
      <c r="M86" s="89">
        <f t="shared" si="10"/>
        <v>4.1902121013010358</v>
      </c>
      <c r="N86" s="89">
        <f t="shared" si="11"/>
        <v>5.0282545215612426</v>
      </c>
      <c r="O86" s="73"/>
      <c r="P86" s="73"/>
      <c r="Q86" s="73"/>
      <c r="R86" s="73"/>
      <c r="S86" s="101"/>
      <c r="T86" s="102"/>
    </row>
    <row r="87" spans="1:20" s="78" customFormat="1">
      <c r="A87" s="90">
        <f t="shared" si="12"/>
        <v>4.8747635188864393</v>
      </c>
      <c r="B87" s="35">
        <f t="shared" si="7"/>
        <v>82</v>
      </c>
      <c r="C87" s="25" t="s">
        <v>99</v>
      </c>
      <c r="D87" s="25"/>
      <c r="E87" s="25"/>
      <c r="F87" s="25"/>
      <c r="G87" s="73"/>
      <c r="H87" s="91">
        <v>82</v>
      </c>
      <c r="I87" s="92">
        <f t="shared" si="8"/>
        <v>4.0623029324053661</v>
      </c>
      <c r="J87" s="91">
        <f t="shared" si="13"/>
        <v>0</v>
      </c>
      <c r="K87" s="91">
        <f t="shared" si="9"/>
        <v>0</v>
      </c>
      <c r="L87" s="91"/>
      <c r="M87" s="93">
        <f t="shared" si="10"/>
        <v>4.0623029324053661</v>
      </c>
      <c r="N87" s="93">
        <f t="shared" si="11"/>
        <v>4.8747635188864393</v>
      </c>
      <c r="O87" s="73"/>
      <c r="P87" s="73"/>
      <c r="Q87" s="73"/>
      <c r="R87" s="73"/>
      <c r="S87" s="73"/>
    </row>
    <row r="88" spans="1:20" s="78" customFormat="1">
      <c r="A88" s="86">
        <f t="shared" si="12"/>
        <v>4.7231330590532794</v>
      </c>
      <c r="B88" s="36">
        <f t="shared" si="7"/>
        <v>83</v>
      </c>
      <c r="C88" s="24" t="s">
        <v>99</v>
      </c>
      <c r="D88" s="24"/>
      <c r="E88" s="24"/>
      <c r="F88" s="24"/>
      <c r="G88" s="73"/>
      <c r="H88" s="87">
        <v>83</v>
      </c>
      <c r="I88" s="88">
        <f t="shared" si="8"/>
        <v>3.9359442158777327</v>
      </c>
      <c r="J88" s="87">
        <f t="shared" si="13"/>
        <v>0</v>
      </c>
      <c r="K88" s="87">
        <f t="shared" si="9"/>
        <v>0</v>
      </c>
      <c r="L88" s="87"/>
      <c r="M88" s="89">
        <f t="shared" si="10"/>
        <v>3.9359442158777327</v>
      </c>
      <c r="N88" s="89">
        <f t="shared" si="11"/>
        <v>4.7231330590532794</v>
      </c>
      <c r="O88" s="73"/>
      <c r="P88" s="73"/>
      <c r="Q88" s="73"/>
      <c r="R88" s="73"/>
      <c r="S88" s="101"/>
      <c r="T88" s="102"/>
    </row>
    <row r="89" spans="1:20" s="78" customFormat="1">
      <c r="A89" s="90">
        <f t="shared" si="12"/>
        <v>4.5733185765438522</v>
      </c>
      <c r="B89" s="35">
        <f t="shared" si="7"/>
        <v>84</v>
      </c>
      <c r="C89" s="25" t="s">
        <v>99</v>
      </c>
      <c r="D89" s="25"/>
      <c r="E89" s="25"/>
      <c r="F89" s="25"/>
      <c r="G89" s="73"/>
      <c r="H89" s="91">
        <v>84</v>
      </c>
      <c r="I89" s="92">
        <f t="shared" si="8"/>
        <v>3.8110988137865434</v>
      </c>
      <c r="J89" s="91">
        <f t="shared" si="13"/>
        <v>0</v>
      </c>
      <c r="K89" s="91">
        <f t="shared" si="9"/>
        <v>0</v>
      </c>
      <c r="L89" s="91"/>
      <c r="M89" s="93">
        <f t="shared" si="10"/>
        <v>3.8110988137865434</v>
      </c>
      <c r="N89" s="93">
        <f t="shared" si="11"/>
        <v>4.5733185765438522</v>
      </c>
      <c r="O89" s="73"/>
      <c r="P89" s="73"/>
      <c r="Q89" s="73"/>
      <c r="R89" s="73"/>
      <c r="S89" s="73"/>
    </row>
    <row r="90" spans="1:20" s="78" customFormat="1">
      <c r="A90" s="86">
        <f t="shared" si="12"/>
        <v>4.4252770881232495</v>
      </c>
      <c r="B90" s="36">
        <f t="shared" si="7"/>
        <v>85</v>
      </c>
      <c r="C90" s="24" t="s">
        <v>99</v>
      </c>
      <c r="D90" s="24"/>
      <c r="E90" s="24"/>
      <c r="F90" s="24"/>
      <c r="G90" s="73"/>
      <c r="H90" s="87">
        <v>85</v>
      </c>
      <c r="I90" s="88">
        <f t="shared" si="8"/>
        <v>3.6877309067693744</v>
      </c>
      <c r="J90" s="87">
        <f t="shared" si="13"/>
        <v>0</v>
      </c>
      <c r="K90" s="87">
        <f t="shared" si="9"/>
        <v>0</v>
      </c>
      <c r="L90" s="87"/>
      <c r="M90" s="89">
        <f t="shared" si="10"/>
        <v>3.6877309067693744</v>
      </c>
      <c r="N90" s="89">
        <f t="shared" si="11"/>
        <v>4.4252770881232495</v>
      </c>
      <c r="O90" s="73"/>
      <c r="P90" s="73"/>
      <c r="Q90" s="73"/>
      <c r="R90" s="73"/>
      <c r="S90" s="101"/>
      <c r="T90" s="102"/>
    </row>
    <row r="91" spans="1:20" s="78" customFormat="1">
      <c r="A91" s="90">
        <f t="shared" si="12"/>
        <v>4.2789671188102059</v>
      </c>
      <c r="B91" s="35">
        <f t="shared" si="7"/>
        <v>86</v>
      </c>
      <c r="C91" s="25" t="s">
        <v>99</v>
      </c>
      <c r="D91" s="25"/>
      <c r="E91" s="25"/>
      <c r="F91" s="25"/>
      <c r="G91" s="73"/>
      <c r="H91" s="91">
        <v>86</v>
      </c>
      <c r="I91" s="92">
        <f t="shared" si="8"/>
        <v>3.5658059323418385</v>
      </c>
      <c r="J91" s="91">
        <f t="shared" si="13"/>
        <v>0</v>
      </c>
      <c r="K91" s="91">
        <f t="shared" si="9"/>
        <v>0</v>
      </c>
      <c r="L91" s="91"/>
      <c r="M91" s="93">
        <f t="shared" si="10"/>
        <v>3.5658059323418385</v>
      </c>
      <c r="N91" s="93">
        <f t="shared" si="11"/>
        <v>4.2789671188102059</v>
      </c>
      <c r="O91" s="73"/>
      <c r="P91" s="73"/>
      <c r="Q91" s="73"/>
      <c r="R91" s="73"/>
      <c r="S91" s="73"/>
    </row>
    <row r="92" spans="1:20" s="78" customFormat="1">
      <c r="A92" s="86">
        <f t="shared" si="12"/>
        <v>4.1343486321273701</v>
      </c>
      <c r="B92" s="36">
        <f t="shared" si="7"/>
        <v>87</v>
      </c>
      <c r="C92" s="24" t="s">
        <v>99</v>
      </c>
      <c r="D92" s="24"/>
      <c r="E92" s="24"/>
      <c r="F92" s="24"/>
      <c r="G92" s="73"/>
      <c r="H92" s="87">
        <v>87</v>
      </c>
      <c r="I92" s="88">
        <f t="shared" si="8"/>
        <v>3.4452905267728084</v>
      </c>
      <c r="J92" s="87">
        <f t="shared" si="13"/>
        <v>0</v>
      </c>
      <c r="K92" s="87">
        <f t="shared" si="9"/>
        <v>0</v>
      </c>
      <c r="L92" s="87"/>
      <c r="M92" s="89">
        <f t="shared" si="10"/>
        <v>3.4452905267728084</v>
      </c>
      <c r="N92" s="89">
        <f t="shared" si="11"/>
        <v>4.1343486321273701</v>
      </c>
      <c r="O92" s="73"/>
      <c r="P92" s="73"/>
      <c r="Q92" s="73"/>
      <c r="R92" s="73"/>
      <c r="S92" s="101"/>
      <c r="T92" s="102"/>
    </row>
    <row r="93" spans="1:20" s="78" customFormat="1">
      <c r="A93" s="90">
        <f t="shared" si="12"/>
        <v>3.9913829643374239</v>
      </c>
      <c r="B93" s="35">
        <f t="shared" si="7"/>
        <v>88</v>
      </c>
      <c r="C93" s="25" t="s">
        <v>99</v>
      </c>
      <c r="D93" s="25"/>
      <c r="E93" s="25"/>
      <c r="F93" s="25"/>
      <c r="G93" s="73"/>
      <c r="H93" s="91">
        <v>88</v>
      </c>
      <c r="I93" s="92">
        <f t="shared" si="8"/>
        <v>3.3261524702811869</v>
      </c>
      <c r="J93" s="91">
        <f t="shared" si="13"/>
        <v>0</v>
      </c>
      <c r="K93" s="91">
        <f t="shared" si="9"/>
        <v>0</v>
      </c>
      <c r="L93" s="91"/>
      <c r="M93" s="93">
        <f t="shared" si="10"/>
        <v>3.3261524702811869</v>
      </c>
      <c r="N93" s="93">
        <f t="shared" si="11"/>
        <v>3.9913829643374239</v>
      </c>
      <c r="O93" s="73"/>
      <c r="P93" s="73"/>
      <c r="Q93" s="73"/>
      <c r="R93" s="73"/>
      <c r="S93" s="73"/>
    </row>
    <row r="94" spans="1:20" s="78" customFormat="1">
      <c r="A94" s="86">
        <f t="shared" si="12"/>
        <v>3.8500327623949713</v>
      </c>
      <c r="B94" s="36">
        <f t="shared" si="7"/>
        <v>89</v>
      </c>
      <c r="C94" s="24" t="s">
        <v>99</v>
      </c>
      <c r="D94" s="24"/>
      <c r="E94" s="24"/>
      <c r="F94" s="24"/>
      <c r="G94" s="73"/>
      <c r="H94" s="87">
        <v>89</v>
      </c>
      <c r="I94" s="88">
        <f t="shared" si="8"/>
        <v>3.208360635329143</v>
      </c>
      <c r="J94" s="87">
        <f t="shared" si="13"/>
        <v>0</v>
      </c>
      <c r="K94" s="87">
        <f t="shared" si="9"/>
        <v>0</v>
      </c>
      <c r="L94" s="87"/>
      <c r="M94" s="89">
        <f t="shared" si="10"/>
        <v>3.208360635329143</v>
      </c>
      <c r="N94" s="89">
        <f t="shared" si="11"/>
        <v>3.8500327623949713</v>
      </c>
      <c r="O94" s="73"/>
      <c r="P94" s="73"/>
      <c r="Q94" s="73"/>
      <c r="R94" s="73"/>
      <c r="S94" s="101"/>
      <c r="T94" s="102"/>
    </row>
    <row r="95" spans="1:20" s="78" customFormat="1">
      <c r="A95" s="90">
        <f t="shared" si="12"/>
        <v>3.7102619253650002</v>
      </c>
      <c r="B95" s="35">
        <f t="shared" si="7"/>
        <v>90</v>
      </c>
      <c r="C95" s="25" t="s">
        <v>99</v>
      </c>
      <c r="D95" s="25"/>
      <c r="E95" s="25"/>
      <c r="F95" s="25"/>
      <c r="G95" s="73"/>
      <c r="H95" s="91">
        <v>90</v>
      </c>
      <c r="I95" s="92">
        <f t="shared" si="8"/>
        <v>3.0918849378041671</v>
      </c>
      <c r="J95" s="91">
        <f t="shared" si="13"/>
        <v>0</v>
      </c>
      <c r="K95" s="91">
        <f t="shared" si="9"/>
        <v>0</v>
      </c>
      <c r="L95" s="91"/>
      <c r="M95" s="93">
        <f t="shared" si="10"/>
        <v>3.0918849378041671</v>
      </c>
      <c r="N95" s="93">
        <f t="shared" si="11"/>
        <v>3.7102619253650002</v>
      </c>
      <c r="O95" s="73"/>
      <c r="P95" s="73"/>
      <c r="Q95" s="73"/>
      <c r="R95" s="73"/>
      <c r="S95" s="73"/>
    </row>
    <row r="96" spans="1:20" s="78" customFormat="1">
      <c r="A96" s="86">
        <f t="shared" si="12"/>
        <v>3.5720355490781088</v>
      </c>
      <c r="B96" s="36">
        <f t="shared" si="7"/>
        <v>91</v>
      </c>
      <c r="C96" s="24" t="s">
        <v>99</v>
      </c>
      <c r="D96" s="24"/>
      <c r="E96" s="24"/>
      <c r="F96" s="24"/>
      <c r="G96" s="73"/>
      <c r="H96" s="87">
        <v>91</v>
      </c>
      <c r="I96" s="88">
        <f t="shared" si="8"/>
        <v>2.976696290898424</v>
      </c>
      <c r="J96" s="87">
        <f t="shared" si="13"/>
        <v>0</v>
      </c>
      <c r="K96" s="87">
        <f t="shared" si="9"/>
        <v>0</v>
      </c>
      <c r="L96" s="87"/>
      <c r="M96" s="89">
        <f t="shared" si="10"/>
        <v>2.976696290898424</v>
      </c>
      <c r="N96" s="89">
        <f t="shared" si="11"/>
        <v>3.5720355490781088</v>
      </c>
      <c r="O96" s="73"/>
      <c r="P96" s="73"/>
      <c r="Q96" s="73"/>
      <c r="R96" s="73"/>
      <c r="S96" s="101"/>
      <c r="T96" s="102"/>
    </row>
    <row r="97" spans="1:20" s="78" customFormat="1">
      <c r="A97" s="90">
        <f t="shared" si="12"/>
        <v>3.4353198738102093</v>
      </c>
      <c r="B97" s="35">
        <f t="shared" si="7"/>
        <v>92</v>
      </c>
      <c r="C97" s="25" t="s">
        <v>99</v>
      </c>
      <c r="D97" s="25"/>
      <c r="E97" s="25"/>
      <c r="F97" s="25"/>
      <c r="G97" s="73"/>
      <c r="H97" s="91">
        <v>92</v>
      </c>
      <c r="I97" s="92">
        <f t="shared" si="8"/>
        <v>2.8627665615085078</v>
      </c>
      <c r="J97" s="91">
        <f t="shared" si="13"/>
        <v>0</v>
      </c>
      <c r="K97" s="91">
        <f t="shared" si="9"/>
        <v>0</v>
      </c>
      <c r="L97" s="91"/>
      <c r="M97" s="93">
        <f t="shared" si="10"/>
        <v>2.8627665615085078</v>
      </c>
      <c r="N97" s="93">
        <f t="shared" si="11"/>
        <v>3.4353198738102093</v>
      </c>
      <c r="O97" s="73"/>
      <c r="P97" s="73"/>
      <c r="Q97" s="73"/>
      <c r="R97" s="73"/>
      <c r="S97" s="73"/>
    </row>
    <row r="98" spans="1:20" s="78" customFormat="1">
      <c r="A98" s="86">
        <f t="shared" si="12"/>
        <v>3.3000822347905907</v>
      </c>
      <c r="B98" s="36">
        <f t="shared" si="7"/>
        <v>93</v>
      </c>
      <c r="C98" s="24" t="s">
        <v>99</v>
      </c>
      <c r="D98" s="24"/>
      <c r="E98" s="24"/>
      <c r="F98" s="24"/>
      <c r="G98" s="73"/>
      <c r="H98" s="87">
        <v>93</v>
      </c>
      <c r="I98" s="88">
        <f t="shared" si="8"/>
        <v>2.7500685289921591</v>
      </c>
      <c r="J98" s="87">
        <f t="shared" si="13"/>
        <v>0</v>
      </c>
      <c r="K98" s="87">
        <f t="shared" si="9"/>
        <v>0</v>
      </c>
      <c r="L98" s="87"/>
      <c r="M98" s="89">
        <f t="shared" si="10"/>
        <v>2.7500685289921591</v>
      </c>
      <c r="N98" s="89">
        <f t="shared" si="11"/>
        <v>3.3000822347905907</v>
      </c>
      <c r="O98" s="73"/>
      <c r="P98" s="73"/>
      <c r="Q98" s="73"/>
      <c r="R98" s="73"/>
      <c r="S98" s="101"/>
      <c r="T98" s="102"/>
    </row>
    <row r="99" spans="1:20" s="78" customFormat="1">
      <c r="A99" s="90">
        <f t="shared" si="12"/>
        <v>3.1662910153566259</v>
      </c>
      <c r="B99" s="35">
        <f t="shared" si="7"/>
        <v>94</v>
      </c>
      <c r="C99" s="25" t="s">
        <v>99</v>
      </c>
      <c r="D99" s="25"/>
      <c r="E99" s="25"/>
      <c r="F99" s="25"/>
      <c r="G99" s="73"/>
      <c r="H99" s="91">
        <v>94</v>
      </c>
      <c r="I99" s="92">
        <f t="shared" si="8"/>
        <v>2.6385758461305215</v>
      </c>
      <c r="J99" s="91">
        <f t="shared" si="13"/>
        <v>0</v>
      </c>
      <c r="K99" s="91">
        <f t="shared" si="9"/>
        <v>0</v>
      </c>
      <c r="L99" s="91"/>
      <c r="M99" s="93">
        <f t="shared" si="10"/>
        <v>2.6385758461305215</v>
      </c>
      <c r="N99" s="93">
        <f t="shared" si="11"/>
        <v>3.1662910153566259</v>
      </c>
      <c r="O99" s="73"/>
      <c r="P99" s="73"/>
      <c r="Q99" s="73"/>
      <c r="R99" s="73"/>
      <c r="S99" s="73"/>
    </row>
    <row r="100" spans="1:20" s="78" customFormat="1">
      <c r="A100" s="86">
        <f t="shared" si="12"/>
        <v>3.0339156025873564</v>
      </c>
      <c r="B100" s="36">
        <f t="shared" si="7"/>
        <v>95</v>
      </c>
      <c r="C100" s="24" t="s">
        <v>99</v>
      </c>
      <c r="D100" s="24"/>
      <c r="E100" s="24"/>
      <c r="F100" s="24"/>
      <c r="G100" s="73"/>
      <c r="H100" s="87">
        <v>95</v>
      </c>
      <c r="I100" s="88">
        <f t="shared" si="8"/>
        <v>2.5282630021561303</v>
      </c>
      <c r="J100" s="87">
        <f t="shared" si="13"/>
        <v>0</v>
      </c>
      <c r="K100" s="87">
        <f t="shared" si="9"/>
        <v>0</v>
      </c>
      <c r="L100" s="87"/>
      <c r="M100" s="89">
        <f t="shared" si="10"/>
        <v>2.5282630021561303</v>
      </c>
      <c r="N100" s="89">
        <f t="shared" si="11"/>
        <v>3.0339156025873564</v>
      </c>
      <c r="O100" s="73"/>
      <c r="P100" s="73"/>
      <c r="Q100" s="73"/>
      <c r="R100" s="73"/>
      <c r="S100" s="101"/>
      <c r="T100" s="102"/>
    </row>
    <row r="101" spans="1:20" s="78" customFormat="1">
      <c r="A101" s="90">
        <f t="shared" si="12"/>
        <v>2.9029263452600018</v>
      </c>
      <c r="B101" s="35">
        <f t="shared" si="7"/>
        <v>96</v>
      </c>
      <c r="C101" s="25" t="s">
        <v>99</v>
      </c>
      <c r="D101" s="25"/>
      <c r="E101" s="25"/>
      <c r="F101" s="25"/>
      <c r="G101" s="73"/>
      <c r="H101" s="91">
        <v>96</v>
      </c>
      <c r="I101" s="92">
        <f t="shared" si="8"/>
        <v>2.4191052877166683</v>
      </c>
      <c r="J101" s="91">
        <f t="shared" si="13"/>
        <v>0</v>
      </c>
      <c r="K101" s="91">
        <f t="shared" si="9"/>
        <v>0</v>
      </c>
      <c r="L101" s="91"/>
      <c r="M101" s="93">
        <f t="shared" si="10"/>
        <v>2.4191052877166683</v>
      </c>
      <c r="N101" s="93">
        <f t="shared" si="11"/>
        <v>2.9029263452600018</v>
      </c>
      <c r="O101" s="73"/>
      <c r="P101" s="73"/>
      <c r="Q101" s="73"/>
      <c r="R101" s="73"/>
      <c r="S101" s="73"/>
    </row>
    <row r="102" spans="1:20" s="78" customFormat="1">
      <c r="A102" s="86">
        <f t="shared" si="12"/>
        <v>2.7732945139849474</v>
      </c>
      <c r="B102" s="36">
        <f t="shared" si="7"/>
        <v>97</v>
      </c>
      <c r="C102" s="24" t="s">
        <v>99</v>
      </c>
      <c r="D102" s="24"/>
      <c r="E102" s="24"/>
      <c r="F102" s="24"/>
      <c r="G102" s="73"/>
      <c r="H102" s="87">
        <v>97</v>
      </c>
      <c r="I102" s="88">
        <f t="shared" si="8"/>
        <v>2.3110787616541231</v>
      </c>
      <c r="J102" s="87">
        <f t="shared" si="13"/>
        <v>0</v>
      </c>
      <c r="K102" s="87">
        <f t="shared" si="9"/>
        <v>0</v>
      </c>
      <c r="L102" s="87"/>
      <c r="M102" s="89">
        <f t="shared" si="10"/>
        <v>2.3110787616541231</v>
      </c>
      <c r="N102" s="89">
        <f t="shared" si="11"/>
        <v>2.7732945139849474</v>
      </c>
      <c r="O102" s="73"/>
      <c r="P102" s="73"/>
      <c r="Q102" s="73"/>
      <c r="R102" s="73"/>
      <c r="S102" s="101"/>
      <c r="T102" s="102"/>
    </row>
    <row r="103" spans="1:20" s="78" customFormat="1">
      <c r="A103" s="90">
        <f t="shared" si="12"/>
        <v>2.6449922633852707</v>
      </c>
      <c r="B103" s="35">
        <f t="shared" si="7"/>
        <v>98</v>
      </c>
      <c r="C103" s="25" t="s">
        <v>99</v>
      </c>
      <c r="D103" s="25"/>
      <c r="E103" s="25"/>
      <c r="F103" s="25"/>
      <c r="G103" s="73"/>
      <c r="H103" s="91">
        <v>98</v>
      </c>
      <c r="I103" s="92">
        <f t="shared" si="8"/>
        <v>2.2041602194877257</v>
      </c>
      <c r="J103" s="91">
        <f t="shared" si="13"/>
        <v>0</v>
      </c>
      <c r="K103" s="91">
        <f t="shared" si="9"/>
        <v>0</v>
      </c>
      <c r="L103" s="91"/>
      <c r="M103" s="93">
        <f t="shared" si="10"/>
        <v>2.2041602194877257</v>
      </c>
      <c r="N103" s="93">
        <f t="shared" si="11"/>
        <v>2.6449922633852707</v>
      </c>
      <c r="O103" s="73"/>
      <c r="P103" s="73"/>
      <c r="Q103" s="73"/>
      <c r="R103" s="73"/>
      <c r="S103" s="73"/>
    </row>
    <row r="104" spans="1:20" s="78" customFormat="1">
      <c r="A104" s="86">
        <f t="shared" si="12"/>
        <v>2.5179925961962337</v>
      </c>
      <c r="B104" s="36">
        <f t="shared" si="7"/>
        <v>99</v>
      </c>
      <c r="C104" s="24" t="s">
        <v>99</v>
      </c>
      <c r="D104" s="24"/>
      <c r="E104" s="24"/>
      <c r="F104" s="24"/>
      <c r="G104" s="73"/>
      <c r="H104" s="87">
        <v>99</v>
      </c>
      <c r="I104" s="88">
        <f t="shared" si="8"/>
        <v>2.0983271634968617</v>
      </c>
      <c r="J104" s="87">
        <f t="shared" si="13"/>
        <v>0</v>
      </c>
      <c r="K104" s="87">
        <f t="shared" si="9"/>
        <v>0</v>
      </c>
      <c r="L104" s="87"/>
      <c r="M104" s="89">
        <f t="shared" si="10"/>
        <v>2.0983271634968617</v>
      </c>
      <c r="N104" s="89">
        <f t="shared" si="11"/>
        <v>2.5179925961962337</v>
      </c>
      <c r="O104" s="73"/>
      <c r="P104" s="73"/>
      <c r="Q104" s="73"/>
      <c r="R104" s="73"/>
      <c r="S104" s="101"/>
      <c r="T104" s="102"/>
    </row>
    <row r="105" spans="1:20" s="78" customFormat="1">
      <c r="A105" s="90">
        <f t="shared" si="12"/>
        <v>2.3922693291687662</v>
      </c>
      <c r="B105" s="35">
        <f t="shared" si="7"/>
        <v>100</v>
      </c>
      <c r="C105" s="25" t="s">
        <v>99</v>
      </c>
      <c r="D105" s="25"/>
      <c r="E105" s="25"/>
      <c r="F105" s="25"/>
      <c r="G105" s="73"/>
      <c r="H105" s="91">
        <v>100</v>
      </c>
      <c r="I105" s="92">
        <f t="shared" si="8"/>
        <v>1.9935577743073054</v>
      </c>
      <c r="J105" s="91">
        <f t="shared" si="13"/>
        <v>0</v>
      </c>
      <c r="K105" s="91">
        <f t="shared" si="9"/>
        <v>0</v>
      </c>
      <c r="L105" s="91"/>
      <c r="M105" s="93">
        <f t="shared" si="10"/>
        <v>1.9935577743073054</v>
      </c>
      <c r="N105" s="93">
        <f t="shared" si="11"/>
        <v>2.3922693291687662</v>
      </c>
      <c r="O105" s="73"/>
      <c r="P105" s="73"/>
      <c r="Q105" s="73"/>
      <c r="R105" s="73"/>
      <c r="S105" s="73"/>
    </row>
    <row r="106" spans="1:20" s="78" customFormat="1">
      <c r="A106" s="86">
        <f t="shared" si="12"/>
        <v>2.2677970606695337</v>
      </c>
      <c r="B106" s="36">
        <f t="shared" si="7"/>
        <v>101</v>
      </c>
      <c r="C106" s="24" t="s">
        <v>99</v>
      </c>
      <c r="D106" s="24"/>
      <c r="E106" s="24"/>
      <c r="F106" s="24"/>
      <c r="G106" s="73"/>
      <c r="H106" s="87">
        <v>101</v>
      </c>
      <c r="I106" s="88">
        <f t="shared" si="8"/>
        <v>1.8898308838912783</v>
      </c>
      <c r="J106" s="87">
        <f t="shared" si="13"/>
        <v>0</v>
      </c>
      <c r="K106" s="87">
        <f t="shared" si="9"/>
        <v>0</v>
      </c>
      <c r="L106" s="87"/>
      <c r="M106" s="89">
        <f t="shared" si="10"/>
        <v>1.8898308838912783</v>
      </c>
      <c r="N106" s="89">
        <f t="shared" si="11"/>
        <v>2.2677970606695337</v>
      </c>
      <c r="O106" s="73"/>
      <c r="P106" s="73"/>
      <c r="Q106" s="73"/>
      <c r="R106" s="73"/>
      <c r="S106" s="101"/>
      <c r="T106" s="102"/>
    </row>
    <row r="107" spans="1:20" s="78" customFormat="1">
      <c r="A107" s="90">
        <f t="shared" si="12"/>
        <v>2.144551139877052</v>
      </c>
      <c r="B107" s="35">
        <f t="shared" si="7"/>
        <v>102</v>
      </c>
      <c r="C107" s="25" t="s">
        <v>99</v>
      </c>
      <c r="D107" s="25"/>
      <c r="E107" s="25"/>
      <c r="F107" s="25"/>
      <c r="G107" s="73"/>
      <c r="H107" s="91">
        <v>102</v>
      </c>
      <c r="I107" s="92">
        <f t="shared" si="8"/>
        <v>1.7871259498975434</v>
      </c>
      <c r="J107" s="91">
        <f t="shared" si="13"/>
        <v>0</v>
      </c>
      <c r="K107" s="91">
        <f t="shared" si="9"/>
        <v>0</v>
      </c>
      <c r="L107" s="91"/>
      <c r="M107" s="93">
        <f t="shared" si="10"/>
        <v>1.7871259498975434</v>
      </c>
      <c r="N107" s="93">
        <f t="shared" si="11"/>
        <v>2.144551139877052</v>
      </c>
      <c r="O107" s="73"/>
      <c r="P107" s="73"/>
      <c r="Q107" s="73"/>
      <c r="R107" s="73"/>
      <c r="S107" s="73"/>
    </row>
    <row r="108" spans="1:20" s="78" customFormat="1">
      <c r="A108" s="86">
        <f t="shared" si="12"/>
        <v>2.0225076374805213</v>
      </c>
      <c r="B108" s="36">
        <f t="shared" si="7"/>
        <v>103</v>
      </c>
      <c r="C108" s="24" t="s">
        <v>99</v>
      </c>
      <c r="D108" s="24"/>
      <c r="E108" s="24"/>
      <c r="F108" s="24"/>
      <c r="G108" s="73"/>
      <c r="H108" s="87">
        <v>103</v>
      </c>
      <c r="I108" s="88">
        <f t="shared" si="8"/>
        <v>1.6854230312337677</v>
      </c>
      <c r="J108" s="87">
        <f t="shared" si="13"/>
        <v>0</v>
      </c>
      <c r="K108" s="87">
        <f t="shared" si="9"/>
        <v>0</v>
      </c>
      <c r="L108" s="87"/>
      <c r="M108" s="89">
        <f t="shared" si="10"/>
        <v>1.6854230312337677</v>
      </c>
      <c r="N108" s="89">
        <f t="shared" si="11"/>
        <v>2.0225076374805213</v>
      </c>
      <c r="O108" s="73"/>
      <c r="P108" s="73"/>
      <c r="Q108" s="73"/>
      <c r="R108" s="73"/>
      <c r="S108" s="101"/>
      <c r="T108" s="102"/>
    </row>
    <row r="109" spans="1:20" s="78" customFormat="1">
      <c r="A109" s="90">
        <f t="shared" si="12"/>
        <v>1.9016433177942587</v>
      </c>
      <c r="B109" s="35">
        <f t="shared" si="7"/>
        <v>104</v>
      </c>
      <c r="C109" s="25" t="s">
        <v>99</v>
      </c>
      <c r="D109" s="25"/>
      <c r="E109" s="25"/>
      <c r="F109" s="25"/>
      <c r="G109" s="73"/>
      <c r="H109" s="91">
        <v>104</v>
      </c>
      <c r="I109" s="92">
        <f t="shared" si="8"/>
        <v>1.584702764828549</v>
      </c>
      <c r="J109" s="91">
        <f t="shared" si="13"/>
        <v>0</v>
      </c>
      <c r="K109" s="91">
        <f t="shared" si="9"/>
        <v>0</v>
      </c>
      <c r="L109" s="91"/>
      <c r="M109" s="93">
        <f t="shared" si="10"/>
        <v>1.584702764828549</v>
      </c>
      <c r="N109" s="93">
        <f t="shared" si="11"/>
        <v>1.9016433177942587</v>
      </c>
      <c r="O109" s="73"/>
      <c r="P109" s="73"/>
      <c r="Q109" s="73"/>
      <c r="R109" s="73"/>
      <c r="S109" s="73"/>
    </row>
    <row r="110" spans="1:20" s="78" customFormat="1">
      <c r="A110" s="86">
        <f t="shared" si="12"/>
        <v>1.7819356122064192</v>
      </c>
      <c r="B110" s="36">
        <f t="shared" si="7"/>
        <v>105</v>
      </c>
      <c r="C110" s="24" t="s">
        <v>99</v>
      </c>
      <c r="D110" s="24"/>
      <c r="E110" s="24"/>
      <c r="F110" s="24"/>
      <c r="G110" s="73"/>
      <c r="H110" s="87">
        <v>105</v>
      </c>
      <c r="I110" s="88">
        <f t="shared" si="8"/>
        <v>1.4849463435053494</v>
      </c>
      <c r="J110" s="87">
        <f t="shared" si="13"/>
        <v>0</v>
      </c>
      <c r="K110" s="87">
        <f t="shared" si="9"/>
        <v>0</v>
      </c>
      <c r="L110" s="87"/>
      <c r="M110" s="89">
        <f t="shared" si="10"/>
        <v>1.4849463435053494</v>
      </c>
      <c r="N110" s="89">
        <f t="shared" si="11"/>
        <v>1.7819356122064192</v>
      </c>
      <c r="O110" s="73"/>
      <c r="P110" s="73"/>
      <c r="Q110" s="73"/>
      <c r="R110" s="73"/>
      <c r="S110" s="101"/>
      <c r="T110" s="102"/>
    </row>
    <row r="111" spans="1:20" s="78" customFormat="1">
      <c r="A111" s="90">
        <f t="shared" si="12"/>
        <v>1.6633625938861514</v>
      </c>
      <c r="B111" s="35">
        <f t="shared" si="7"/>
        <v>106</v>
      </c>
      <c r="C111" s="25" t="s">
        <v>99</v>
      </c>
      <c r="D111" s="25"/>
      <c r="E111" s="25"/>
      <c r="F111" s="25"/>
      <c r="G111" s="73"/>
      <c r="H111" s="91">
        <v>106</v>
      </c>
      <c r="I111" s="92">
        <f t="shared" si="8"/>
        <v>1.3861354949051261</v>
      </c>
      <c r="J111" s="91">
        <f t="shared" si="13"/>
        <v>0</v>
      </c>
      <c r="K111" s="91">
        <f t="shared" si="9"/>
        <v>0</v>
      </c>
      <c r="L111" s="91"/>
      <c r="M111" s="93">
        <f t="shared" si="10"/>
        <v>1.3861354949051261</v>
      </c>
      <c r="N111" s="93">
        <f t="shared" si="11"/>
        <v>1.6633625938861514</v>
      </c>
      <c r="O111" s="73"/>
      <c r="P111" s="73"/>
      <c r="Q111" s="73"/>
      <c r="R111" s="73"/>
      <c r="S111" s="73"/>
    </row>
    <row r="112" spans="1:20" s="78" customFormat="1">
      <c r="A112" s="86">
        <f t="shared" si="12"/>
        <v>1.5459029536781996</v>
      </c>
      <c r="B112" s="36">
        <f t="shared" si="7"/>
        <v>107</v>
      </c>
      <c r="C112" s="24" t="s">
        <v>99</v>
      </c>
      <c r="D112" s="24"/>
      <c r="E112" s="24"/>
      <c r="F112" s="24"/>
      <c r="G112" s="73"/>
      <c r="H112" s="87">
        <v>107</v>
      </c>
      <c r="I112" s="88">
        <f t="shared" si="8"/>
        <v>1.2882524613984998</v>
      </c>
      <c r="J112" s="87">
        <f t="shared" si="13"/>
        <v>0</v>
      </c>
      <c r="K112" s="87">
        <f t="shared" si="9"/>
        <v>0</v>
      </c>
      <c r="L112" s="87"/>
      <c r="M112" s="89">
        <f t="shared" si="10"/>
        <v>1.2882524613984998</v>
      </c>
      <c r="N112" s="89">
        <f t="shared" si="11"/>
        <v>1.5459029536781996</v>
      </c>
      <c r="O112" s="73"/>
      <c r="P112" s="73"/>
      <c r="Q112" s="73"/>
      <c r="R112" s="73"/>
      <c r="S112" s="101"/>
      <c r="T112" s="102"/>
    </row>
    <row r="113" spans="1:20" s="78" customFormat="1">
      <c r="A113" s="90">
        <f t="shared" si="12"/>
        <v>1.4295359771188032</v>
      </c>
      <c r="B113" s="35">
        <f t="shared" si="7"/>
        <v>108</v>
      </c>
      <c r="C113" s="25" t="s">
        <v>99</v>
      </c>
      <c r="D113" s="25"/>
      <c r="E113" s="25"/>
      <c r="F113" s="25"/>
      <c r="G113" s="73"/>
      <c r="H113" s="91">
        <v>108</v>
      </c>
      <c r="I113" s="92">
        <f t="shared" si="8"/>
        <v>1.191279980932336</v>
      </c>
      <c r="J113" s="91">
        <f t="shared" si="13"/>
        <v>0</v>
      </c>
      <c r="K113" s="91">
        <f t="shared" si="9"/>
        <v>0</v>
      </c>
      <c r="L113" s="91"/>
      <c r="M113" s="93">
        <f t="shared" si="10"/>
        <v>1.191279980932336</v>
      </c>
      <c r="N113" s="93">
        <f t="shared" si="11"/>
        <v>1.4295359771188032</v>
      </c>
      <c r="O113" s="73"/>
      <c r="P113" s="73"/>
      <c r="Q113" s="73"/>
      <c r="R113" s="73"/>
      <c r="S113" s="73"/>
    </row>
    <row r="114" spans="1:20" s="78" customFormat="1">
      <c r="A114" s="86">
        <f t="shared" si="12"/>
        <v>1.3142415225108237</v>
      </c>
      <c r="B114" s="36">
        <f t="shared" si="7"/>
        <v>109</v>
      </c>
      <c r="C114" s="24" t="s">
        <v>99</v>
      </c>
      <c r="D114" s="24"/>
      <c r="E114" s="24"/>
      <c r="F114" s="24"/>
      <c r="G114" s="73"/>
      <c r="H114" s="87">
        <v>109</v>
      </c>
      <c r="I114" s="88">
        <f t="shared" si="8"/>
        <v>1.0952012687590198</v>
      </c>
      <c r="J114" s="87">
        <f t="shared" si="13"/>
        <v>0</v>
      </c>
      <c r="K114" s="87">
        <f t="shared" si="9"/>
        <v>0</v>
      </c>
      <c r="L114" s="87"/>
      <c r="M114" s="89">
        <f t="shared" si="10"/>
        <v>1.0952012687590198</v>
      </c>
      <c r="N114" s="89">
        <f t="shared" si="11"/>
        <v>1.3142415225108237</v>
      </c>
      <c r="O114" s="73"/>
      <c r="P114" s="73"/>
      <c r="Q114" s="73"/>
      <c r="R114" s="73"/>
      <c r="S114" s="101"/>
      <c r="T114" s="102"/>
    </row>
    <row r="115" spans="1:20" s="78" customFormat="1">
      <c r="A115" s="90">
        <f t="shared" si="12"/>
        <v>1.2</v>
      </c>
      <c r="B115" s="35">
        <f t="shared" si="7"/>
        <v>110</v>
      </c>
      <c r="C115" s="25" t="s">
        <v>99</v>
      </c>
      <c r="D115" s="25"/>
      <c r="E115" s="25"/>
      <c r="F115" s="25"/>
      <c r="G115" s="73"/>
      <c r="H115" s="91">
        <v>110</v>
      </c>
      <c r="I115" s="92">
        <f t="shared" si="8"/>
        <v>1</v>
      </c>
      <c r="J115" s="91">
        <f t="shared" si="13"/>
        <v>0</v>
      </c>
      <c r="K115" s="91">
        <f t="shared" si="9"/>
        <v>0</v>
      </c>
      <c r="L115" s="91"/>
      <c r="M115" s="93">
        <f t="shared" si="10"/>
        <v>1</v>
      </c>
      <c r="N115" s="93">
        <f t="shared" si="11"/>
        <v>1.2</v>
      </c>
      <c r="O115" s="73"/>
      <c r="P115" s="73"/>
      <c r="Q115" s="73"/>
      <c r="R115" s="73"/>
      <c r="S115" s="73"/>
    </row>
    <row r="116" spans="1:20" s="78" customFormat="1">
      <c r="A116" s="86">
        <f t="shared" si="12"/>
        <v>0</v>
      </c>
      <c r="B116" s="36" t="str">
        <f t="shared" si="7"/>
        <v/>
      </c>
      <c r="C116" s="24"/>
      <c r="D116" s="24"/>
      <c r="E116" s="24"/>
      <c r="F116" s="24"/>
      <c r="G116" s="73"/>
      <c r="H116" s="87">
        <v>111</v>
      </c>
      <c r="I116" s="88" t="str">
        <f t="shared" si="8"/>
        <v/>
      </c>
      <c r="J116" s="87">
        <f t="shared" si="13"/>
        <v>0</v>
      </c>
      <c r="K116" s="87">
        <f t="shared" si="9"/>
        <v>0</v>
      </c>
      <c r="L116" s="87"/>
      <c r="M116" s="89">
        <f t="shared" si="10"/>
        <v>0</v>
      </c>
      <c r="N116" s="89">
        <f t="shared" si="11"/>
        <v>0</v>
      </c>
      <c r="O116" s="73"/>
      <c r="P116" s="73"/>
      <c r="Q116" s="73"/>
      <c r="R116" s="73"/>
      <c r="S116" s="101"/>
      <c r="T116" s="102"/>
    </row>
    <row r="117" spans="1:20" s="78" customFormat="1">
      <c r="A117" s="90">
        <f t="shared" si="12"/>
        <v>0</v>
      </c>
      <c r="B117" s="35" t="str">
        <f t="shared" si="7"/>
        <v/>
      </c>
      <c r="C117" s="25"/>
      <c r="D117" s="25"/>
      <c r="E117" s="25"/>
      <c r="F117" s="25"/>
      <c r="G117" s="73"/>
      <c r="H117" s="91">
        <v>112</v>
      </c>
      <c r="I117" s="92" t="str">
        <f t="shared" si="8"/>
        <v/>
      </c>
      <c r="J117" s="91">
        <f t="shared" si="13"/>
        <v>0</v>
      </c>
      <c r="K117" s="91">
        <f t="shared" si="9"/>
        <v>0</v>
      </c>
      <c r="L117" s="91"/>
      <c r="M117" s="93">
        <f t="shared" si="10"/>
        <v>0</v>
      </c>
      <c r="N117" s="93">
        <f t="shared" si="11"/>
        <v>0</v>
      </c>
      <c r="O117" s="73"/>
      <c r="P117" s="73"/>
      <c r="Q117" s="73"/>
      <c r="R117" s="73"/>
      <c r="S117" s="73"/>
    </row>
    <row r="118" spans="1:20" s="78" customFormat="1">
      <c r="A118" s="86">
        <f t="shared" si="12"/>
        <v>0</v>
      </c>
      <c r="B118" s="36" t="str">
        <f t="shared" si="7"/>
        <v/>
      </c>
      <c r="C118" s="24"/>
      <c r="D118" s="24"/>
      <c r="E118" s="24"/>
      <c r="F118" s="24"/>
      <c r="G118" s="73"/>
      <c r="H118" s="87">
        <v>113</v>
      </c>
      <c r="I118" s="88" t="str">
        <f t="shared" si="8"/>
        <v/>
      </c>
      <c r="J118" s="87">
        <f t="shared" si="13"/>
        <v>0</v>
      </c>
      <c r="K118" s="87">
        <f t="shared" si="9"/>
        <v>0</v>
      </c>
      <c r="L118" s="87"/>
      <c r="M118" s="89">
        <f t="shared" si="10"/>
        <v>0</v>
      </c>
      <c r="N118" s="89">
        <f t="shared" si="11"/>
        <v>0</v>
      </c>
      <c r="O118" s="73"/>
      <c r="P118" s="73"/>
      <c r="Q118" s="73"/>
      <c r="R118" s="73"/>
      <c r="S118" s="101"/>
      <c r="T118" s="102"/>
    </row>
    <row r="119" spans="1:20" s="78" customFormat="1">
      <c r="A119" s="245">
        <v>119.38449406744367</v>
      </c>
      <c r="B119" s="241" t="s">
        <v>275</v>
      </c>
      <c r="C119" s="242" t="s">
        <v>18</v>
      </c>
      <c r="D119" s="25"/>
      <c r="E119" s="25"/>
      <c r="F119" s="25"/>
      <c r="G119" s="73"/>
      <c r="H119" s="91">
        <v>114</v>
      </c>
      <c r="I119" s="92" t="str">
        <f t="shared" si="8"/>
        <v/>
      </c>
      <c r="J119" s="91">
        <f t="shared" si="13"/>
        <v>0</v>
      </c>
      <c r="K119" s="91">
        <f t="shared" si="9"/>
        <v>0</v>
      </c>
      <c r="L119" s="91"/>
      <c r="M119" s="93">
        <f t="shared" si="10"/>
        <v>0</v>
      </c>
      <c r="N119" s="93">
        <f t="shared" si="11"/>
        <v>0</v>
      </c>
      <c r="O119" s="73"/>
      <c r="P119" s="73"/>
      <c r="Q119" s="73"/>
      <c r="R119" s="73"/>
      <c r="S119" s="73"/>
    </row>
    <row r="120" spans="1:20" s="78" customFormat="1">
      <c r="A120" s="86">
        <f t="shared" si="12"/>
        <v>0</v>
      </c>
      <c r="B120" s="36" t="str">
        <f t="shared" si="7"/>
        <v/>
      </c>
      <c r="C120" s="24"/>
      <c r="D120" s="24"/>
      <c r="E120" s="24"/>
      <c r="F120" s="24"/>
      <c r="G120" s="73"/>
      <c r="H120" s="87">
        <v>115</v>
      </c>
      <c r="I120" s="88" t="str">
        <f t="shared" si="8"/>
        <v/>
      </c>
      <c r="J120" s="87">
        <f t="shared" si="13"/>
        <v>0</v>
      </c>
      <c r="K120" s="87">
        <f t="shared" si="9"/>
        <v>0</v>
      </c>
      <c r="L120" s="87"/>
      <c r="M120" s="89">
        <f t="shared" si="10"/>
        <v>0</v>
      </c>
      <c r="N120" s="89">
        <f t="shared" si="11"/>
        <v>0</v>
      </c>
      <c r="O120" s="73"/>
      <c r="P120" s="73"/>
      <c r="Q120" s="73"/>
      <c r="R120" s="73"/>
      <c r="S120" s="101"/>
      <c r="T120" s="102"/>
    </row>
    <row r="121" spans="1:20" s="78" customFormat="1">
      <c r="A121" s="90">
        <f t="shared" si="12"/>
        <v>0</v>
      </c>
      <c r="B121" s="35" t="str">
        <f t="shared" si="7"/>
        <v/>
      </c>
      <c r="C121" s="25"/>
      <c r="D121" s="25"/>
      <c r="E121" s="25"/>
      <c r="F121" s="25"/>
      <c r="G121" s="73"/>
      <c r="H121" s="91">
        <v>116</v>
      </c>
      <c r="I121" s="92" t="str">
        <f t="shared" si="8"/>
        <v/>
      </c>
      <c r="J121" s="91">
        <f t="shared" si="13"/>
        <v>0</v>
      </c>
      <c r="K121" s="91">
        <f t="shared" si="9"/>
        <v>0</v>
      </c>
      <c r="L121" s="91"/>
      <c r="M121" s="93">
        <f t="shared" si="10"/>
        <v>0</v>
      </c>
      <c r="N121" s="93">
        <f t="shared" si="11"/>
        <v>0</v>
      </c>
      <c r="O121" s="73"/>
      <c r="P121" s="73"/>
      <c r="Q121" s="73"/>
      <c r="R121" s="73"/>
      <c r="S121" s="73"/>
    </row>
    <row r="122" spans="1:20" s="78" customFormat="1">
      <c r="A122" s="86">
        <f t="shared" si="12"/>
        <v>0</v>
      </c>
      <c r="B122" s="36" t="str">
        <f t="shared" si="7"/>
        <v/>
      </c>
      <c r="C122" s="24"/>
      <c r="D122" s="24"/>
      <c r="E122" s="24"/>
      <c r="F122" s="24"/>
      <c r="G122" s="73"/>
      <c r="H122" s="87">
        <v>117</v>
      </c>
      <c r="I122" s="88" t="str">
        <f t="shared" si="8"/>
        <v/>
      </c>
      <c r="J122" s="87">
        <f t="shared" si="13"/>
        <v>0</v>
      </c>
      <c r="K122" s="87">
        <f t="shared" si="9"/>
        <v>0</v>
      </c>
      <c r="L122" s="87"/>
      <c r="M122" s="89">
        <f t="shared" si="10"/>
        <v>0</v>
      </c>
      <c r="N122" s="89">
        <f t="shared" si="11"/>
        <v>0</v>
      </c>
      <c r="O122" s="73"/>
      <c r="P122" s="73"/>
      <c r="Q122" s="73"/>
      <c r="R122" s="73"/>
      <c r="S122" s="101"/>
      <c r="T122" s="102"/>
    </row>
    <row r="123" spans="1:20" s="78" customFormat="1">
      <c r="A123" s="90">
        <f t="shared" si="12"/>
        <v>0</v>
      </c>
      <c r="B123" s="35" t="str">
        <f t="shared" si="7"/>
        <v/>
      </c>
      <c r="C123" s="25"/>
      <c r="D123" s="25"/>
      <c r="E123" s="25"/>
      <c r="F123" s="25"/>
      <c r="G123" s="73"/>
      <c r="H123" s="91">
        <v>118</v>
      </c>
      <c r="I123" s="92" t="str">
        <f t="shared" si="8"/>
        <v/>
      </c>
      <c r="J123" s="91">
        <f t="shared" si="13"/>
        <v>0</v>
      </c>
      <c r="K123" s="91">
        <f t="shared" si="9"/>
        <v>0</v>
      </c>
      <c r="L123" s="91"/>
      <c r="M123" s="93">
        <f t="shared" si="10"/>
        <v>0</v>
      </c>
      <c r="N123" s="93">
        <f t="shared" si="11"/>
        <v>0</v>
      </c>
      <c r="O123" s="73"/>
      <c r="P123" s="73"/>
      <c r="Q123" s="73"/>
      <c r="R123" s="73"/>
      <c r="S123" s="73"/>
    </row>
    <row r="124" spans="1:20" s="78" customFormat="1">
      <c r="A124" s="86">
        <f t="shared" si="12"/>
        <v>0</v>
      </c>
      <c r="B124" s="36" t="str">
        <f t="shared" si="7"/>
        <v/>
      </c>
      <c r="C124" s="24"/>
      <c r="D124" s="24"/>
      <c r="E124" s="24"/>
      <c r="F124" s="24"/>
      <c r="G124" s="73"/>
      <c r="H124" s="87">
        <v>119</v>
      </c>
      <c r="I124" s="88" t="str">
        <f t="shared" si="8"/>
        <v/>
      </c>
      <c r="J124" s="87">
        <f t="shared" si="13"/>
        <v>0</v>
      </c>
      <c r="K124" s="87">
        <f t="shared" si="9"/>
        <v>0</v>
      </c>
      <c r="L124" s="87"/>
      <c r="M124" s="89">
        <f t="shared" si="10"/>
        <v>0</v>
      </c>
      <c r="N124" s="89">
        <f t="shared" si="11"/>
        <v>0</v>
      </c>
      <c r="O124" s="73"/>
      <c r="P124" s="73"/>
      <c r="Q124" s="73"/>
      <c r="R124" s="73"/>
      <c r="S124" s="101"/>
      <c r="T124" s="102"/>
    </row>
    <row r="125" spans="1:20" s="78" customFormat="1">
      <c r="A125" s="90">
        <f t="shared" si="12"/>
        <v>0</v>
      </c>
      <c r="B125" s="35" t="str">
        <f t="shared" si="7"/>
        <v/>
      </c>
      <c r="C125" s="25"/>
      <c r="D125" s="25"/>
      <c r="E125" s="25"/>
      <c r="F125" s="25"/>
      <c r="G125" s="73"/>
      <c r="H125" s="91">
        <v>120</v>
      </c>
      <c r="I125" s="92" t="str">
        <f t="shared" si="8"/>
        <v/>
      </c>
      <c r="J125" s="91">
        <f t="shared" si="13"/>
        <v>0</v>
      </c>
      <c r="K125" s="91">
        <f t="shared" si="9"/>
        <v>0</v>
      </c>
      <c r="L125" s="91"/>
      <c r="M125" s="93">
        <f t="shared" si="10"/>
        <v>0</v>
      </c>
      <c r="N125" s="93">
        <f t="shared" si="11"/>
        <v>0</v>
      </c>
      <c r="O125" s="73"/>
      <c r="P125" s="73"/>
      <c r="Q125" s="73"/>
      <c r="R125" s="73"/>
      <c r="S125" s="73"/>
    </row>
    <row r="126" spans="1:20" s="78" customFormat="1">
      <c r="A126" s="86">
        <f t="shared" si="12"/>
        <v>0</v>
      </c>
      <c r="B126" s="36" t="str">
        <f t="shared" si="7"/>
        <v/>
      </c>
      <c r="C126" s="24"/>
      <c r="D126" s="24"/>
      <c r="E126" s="24"/>
      <c r="F126" s="24"/>
      <c r="G126" s="73"/>
      <c r="H126" s="87">
        <v>121</v>
      </c>
      <c r="I126" s="88" t="str">
        <f t="shared" si="8"/>
        <v/>
      </c>
      <c r="J126" s="87">
        <f t="shared" si="13"/>
        <v>0</v>
      </c>
      <c r="K126" s="87">
        <f t="shared" si="9"/>
        <v>0</v>
      </c>
      <c r="L126" s="87"/>
      <c r="M126" s="89">
        <f t="shared" si="10"/>
        <v>0</v>
      </c>
      <c r="N126" s="89">
        <f t="shared" si="11"/>
        <v>0</v>
      </c>
      <c r="O126" s="73"/>
      <c r="P126" s="73"/>
      <c r="Q126" s="73"/>
      <c r="R126" s="73"/>
      <c r="S126" s="101"/>
      <c r="T126" s="102"/>
    </row>
    <row r="127" spans="1:20" s="78" customFormat="1">
      <c r="A127" s="90">
        <f t="shared" si="12"/>
        <v>0</v>
      </c>
      <c r="B127" s="35" t="str">
        <f t="shared" si="7"/>
        <v/>
      </c>
      <c r="C127" s="25"/>
      <c r="D127" s="25"/>
      <c r="E127" s="25"/>
      <c r="F127" s="25"/>
      <c r="G127" s="73"/>
      <c r="H127" s="91">
        <v>122</v>
      </c>
      <c r="I127" s="92" t="str">
        <f t="shared" si="8"/>
        <v/>
      </c>
      <c r="J127" s="91">
        <f t="shared" si="13"/>
        <v>0</v>
      </c>
      <c r="K127" s="91">
        <f t="shared" si="9"/>
        <v>0</v>
      </c>
      <c r="L127" s="91"/>
      <c r="M127" s="93">
        <f t="shared" si="10"/>
        <v>0</v>
      </c>
      <c r="N127" s="93">
        <f t="shared" si="11"/>
        <v>0</v>
      </c>
      <c r="O127" s="73"/>
      <c r="P127" s="73"/>
      <c r="Q127" s="73"/>
      <c r="R127" s="73"/>
      <c r="S127" s="73"/>
    </row>
    <row r="128" spans="1:20" s="78" customFormat="1">
      <c r="A128" s="86">
        <f t="shared" si="12"/>
        <v>0</v>
      </c>
      <c r="B128" s="36" t="str">
        <f t="shared" si="7"/>
        <v/>
      </c>
      <c r="C128" s="24"/>
      <c r="D128" s="24"/>
      <c r="E128" s="24"/>
      <c r="F128" s="24"/>
      <c r="G128" s="73"/>
      <c r="H128" s="87">
        <v>123</v>
      </c>
      <c r="I128" s="88" t="str">
        <f t="shared" si="8"/>
        <v/>
      </c>
      <c r="J128" s="87">
        <f t="shared" si="13"/>
        <v>0</v>
      </c>
      <c r="K128" s="87">
        <f t="shared" si="9"/>
        <v>0</v>
      </c>
      <c r="L128" s="87"/>
      <c r="M128" s="89">
        <f t="shared" si="10"/>
        <v>0</v>
      </c>
      <c r="N128" s="89">
        <f t="shared" si="11"/>
        <v>0</v>
      </c>
      <c r="O128" s="73"/>
      <c r="P128" s="73"/>
      <c r="Q128" s="73"/>
      <c r="R128" s="73"/>
      <c r="S128" s="101"/>
      <c r="T128" s="102"/>
    </row>
    <row r="129" spans="1:20" s="78" customFormat="1">
      <c r="A129" s="90">
        <f t="shared" si="12"/>
        <v>0</v>
      </c>
      <c r="B129" s="35" t="str">
        <f t="shared" si="7"/>
        <v/>
      </c>
      <c r="C129" s="25"/>
      <c r="D129" s="25"/>
      <c r="E129" s="25"/>
      <c r="F129" s="25"/>
      <c r="G129" s="73"/>
      <c r="H129" s="91">
        <v>124</v>
      </c>
      <c r="I129" s="92" t="str">
        <f t="shared" si="8"/>
        <v/>
      </c>
      <c r="J129" s="91">
        <f t="shared" si="13"/>
        <v>0</v>
      </c>
      <c r="K129" s="91">
        <f t="shared" si="9"/>
        <v>0</v>
      </c>
      <c r="L129" s="91"/>
      <c r="M129" s="93">
        <f t="shared" si="10"/>
        <v>0</v>
      </c>
      <c r="N129" s="93">
        <f t="shared" si="11"/>
        <v>0</v>
      </c>
      <c r="O129" s="73"/>
      <c r="P129" s="73"/>
      <c r="Q129" s="73"/>
      <c r="R129" s="73"/>
      <c r="S129" s="73"/>
    </row>
    <row r="130" spans="1:20" s="78" customFormat="1">
      <c r="A130" s="86">
        <f t="shared" si="12"/>
        <v>0</v>
      </c>
      <c r="B130" s="36" t="str">
        <f t="shared" si="7"/>
        <v/>
      </c>
      <c r="C130" s="24"/>
      <c r="D130" s="24"/>
      <c r="E130" s="24"/>
      <c r="F130" s="24"/>
      <c r="G130" s="73"/>
      <c r="H130" s="87">
        <v>125</v>
      </c>
      <c r="I130" s="88" t="str">
        <f t="shared" si="8"/>
        <v/>
      </c>
      <c r="J130" s="87">
        <f t="shared" si="13"/>
        <v>0</v>
      </c>
      <c r="K130" s="87">
        <f t="shared" si="9"/>
        <v>0</v>
      </c>
      <c r="L130" s="87"/>
      <c r="M130" s="89">
        <f t="shared" si="10"/>
        <v>0</v>
      </c>
      <c r="N130" s="89">
        <f t="shared" si="11"/>
        <v>0</v>
      </c>
      <c r="O130" s="73"/>
      <c r="P130" s="73"/>
      <c r="Q130" s="73"/>
      <c r="R130" s="73"/>
      <c r="S130" s="101"/>
      <c r="T130" s="102"/>
    </row>
    <row r="131" spans="1:20" s="78" customFormat="1">
      <c r="A131" s="90">
        <f t="shared" si="12"/>
        <v>0</v>
      </c>
      <c r="B131" s="35" t="str">
        <f t="shared" si="7"/>
        <v/>
      </c>
      <c r="C131" s="25"/>
      <c r="D131" s="25"/>
      <c r="E131" s="25"/>
      <c r="F131" s="25"/>
      <c r="G131" s="73"/>
      <c r="H131" s="91">
        <v>126</v>
      </c>
      <c r="I131" s="92" t="str">
        <f t="shared" si="8"/>
        <v/>
      </c>
      <c r="J131" s="91">
        <f t="shared" si="13"/>
        <v>0</v>
      </c>
      <c r="K131" s="91">
        <f t="shared" si="9"/>
        <v>0</v>
      </c>
      <c r="L131" s="91"/>
      <c r="M131" s="93">
        <f t="shared" si="10"/>
        <v>0</v>
      </c>
      <c r="N131" s="93">
        <f t="shared" si="11"/>
        <v>0</v>
      </c>
      <c r="O131" s="73"/>
      <c r="P131" s="73"/>
      <c r="Q131" s="73"/>
      <c r="R131" s="73"/>
      <c r="S131" s="73"/>
    </row>
    <row r="132" spans="1:20" s="78" customFormat="1">
      <c r="A132" s="86">
        <f t="shared" si="12"/>
        <v>0</v>
      </c>
      <c r="B132" s="36" t="str">
        <f t="shared" si="7"/>
        <v/>
      </c>
      <c r="C132" s="24"/>
      <c r="D132" s="24"/>
      <c r="E132" s="24"/>
      <c r="F132" s="24"/>
      <c r="G132" s="73"/>
      <c r="H132" s="87">
        <v>127</v>
      </c>
      <c r="I132" s="88" t="str">
        <f t="shared" si="8"/>
        <v/>
      </c>
      <c r="J132" s="87">
        <f t="shared" si="13"/>
        <v>0</v>
      </c>
      <c r="K132" s="87">
        <f t="shared" si="9"/>
        <v>0</v>
      </c>
      <c r="L132" s="87"/>
      <c r="M132" s="89">
        <f t="shared" si="10"/>
        <v>0</v>
      </c>
      <c r="N132" s="89">
        <f t="shared" si="11"/>
        <v>0</v>
      </c>
      <c r="O132" s="73"/>
      <c r="P132" s="73"/>
      <c r="Q132" s="73"/>
      <c r="R132" s="73"/>
      <c r="S132" s="101"/>
      <c r="T132" s="102"/>
    </row>
    <row r="133" spans="1:20" s="78" customFormat="1">
      <c r="A133" s="90">
        <f t="shared" si="12"/>
        <v>0</v>
      </c>
      <c r="B133" s="35" t="str">
        <f t="shared" si="7"/>
        <v/>
      </c>
      <c r="C133" s="25"/>
      <c r="D133" s="25"/>
      <c r="E133" s="25"/>
      <c r="F133" s="25"/>
      <c r="G133" s="73"/>
      <c r="H133" s="91">
        <v>128</v>
      </c>
      <c r="I133" s="92" t="str">
        <f t="shared" si="8"/>
        <v/>
      </c>
      <c r="J133" s="91">
        <f t="shared" si="13"/>
        <v>0</v>
      </c>
      <c r="K133" s="91">
        <f t="shared" si="9"/>
        <v>0</v>
      </c>
      <c r="L133" s="91"/>
      <c r="M133" s="93">
        <f t="shared" si="10"/>
        <v>0</v>
      </c>
      <c r="N133" s="93">
        <f t="shared" si="11"/>
        <v>0</v>
      </c>
      <c r="O133" s="73"/>
      <c r="P133" s="73"/>
      <c r="Q133" s="73"/>
      <c r="R133" s="73"/>
      <c r="S133" s="73"/>
    </row>
    <row r="134" spans="1:20" s="78" customFormat="1">
      <c r="A134" s="86">
        <f t="shared" si="12"/>
        <v>0</v>
      </c>
      <c r="B134" s="36" t="str">
        <f t="shared" ref="B134:B197" si="14">IF(H134&gt;$H$2,"",(ROW()-5))</f>
        <v/>
      </c>
      <c r="C134" s="24"/>
      <c r="D134" s="24"/>
      <c r="E134" s="24"/>
      <c r="F134" s="24"/>
      <c r="G134" s="73"/>
      <c r="H134" s="87">
        <v>129</v>
      </c>
      <c r="I134" s="88" t="str">
        <f t="shared" ref="I134:I197" si="15">IF(H134&lt;$H$2+1,($I$2-($I$2-1)*(LOG(H134)/LOG($H$2))),"")</f>
        <v/>
      </c>
      <c r="J134" s="87">
        <f t="shared" si="13"/>
        <v>-1</v>
      </c>
      <c r="K134" s="87">
        <f t="shared" ref="K134:K197" si="16">J134*$J$2</f>
        <v>-10</v>
      </c>
      <c r="L134" s="87"/>
      <c r="M134" s="89">
        <f t="shared" ref="M134:M197" si="17">IF(I134&lt;&gt;"",K134+I134+L134,0)</f>
        <v>0</v>
      </c>
      <c r="N134" s="89">
        <f t="shared" ref="N134:N197" si="18">IF(I134&lt;&gt;"",M134*L$2,0)</f>
        <v>0</v>
      </c>
      <c r="O134" s="73"/>
      <c r="P134" s="73"/>
      <c r="Q134" s="73"/>
      <c r="R134" s="73"/>
      <c r="S134" s="101"/>
      <c r="T134" s="102"/>
    </row>
    <row r="135" spans="1:20" s="78" customFormat="1">
      <c r="A135" s="90">
        <f t="shared" ref="A135:A198" si="19">N135</f>
        <v>0</v>
      </c>
      <c r="B135" s="35" t="str">
        <f t="shared" si="14"/>
        <v/>
      </c>
      <c r="C135" s="25"/>
      <c r="D135" s="25"/>
      <c r="E135" s="25"/>
      <c r="F135" s="25"/>
      <c r="G135" s="73"/>
      <c r="H135" s="91">
        <v>130</v>
      </c>
      <c r="I135" s="92" t="str">
        <f t="shared" si="15"/>
        <v/>
      </c>
      <c r="J135" s="91">
        <f t="shared" ref="J135:J198" si="20">INT(LOG($H$2,2))-ROUNDUP(LOG(H135,2),0)+IF(OR($H$2=1,$H$2=2,$H$2=4,$H$2=8,$H$2=16,$H$2=32,$H$2=64,$H$2=128,$H$2=256),0,1)</f>
        <v>-1</v>
      </c>
      <c r="K135" s="91">
        <f t="shared" si="16"/>
        <v>-10</v>
      </c>
      <c r="L135" s="91"/>
      <c r="M135" s="93">
        <f t="shared" si="17"/>
        <v>0</v>
      </c>
      <c r="N135" s="93">
        <f t="shared" si="18"/>
        <v>0</v>
      </c>
      <c r="O135" s="73"/>
      <c r="P135" s="73"/>
      <c r="Q135" s="73"/>
      <c r="R135" s="73"/>
      <c r="S135" s="73"/>
    </row>
    <row r="136" spans="1:20" s="78" customFormat="1">
      <c r="A136" s="86">
        <f t="shared" si="19"/>
        <v>0</v>
      </c>
      <c r="B136" s="36" t="str">
        <f t="shared" si="14"/>
        <v/>
      </c>
      <c r="C136" s="24"/>
      <c r="D136" s="24"/>
      <c r="E136" s="24"/>
      <c r="F136" s="24"/>
      <c r="G136" s="73"/>
      <c r="H136" s="87">
        <v>131</v>
      </c>
      <c r="I136" s="88" t="str">
        <f t="shared" si="15"/>
        <v/>
      </c>
      <c r="J136" s="87">
        <f t="shared" si="20"/>
        <v>-1</v>
      </c>
      <c r="K136" s="87">
        <f t="shared" si="16"/>
        <v>-10</v>
      </c>
      <c r="L136" s="87"/>
      <c r="M136" s="89">
        <f t="shared" si="17"/>
        <v>0</v>
      </c>
      <c r="N136" s="89">
        <f t="shared" si="18"/>
        <v>0</v>
      </c>
      <c r="O136" s="73"/>
      <c r="P136" s="73"/>
      <c r="Q136" s="73"/>
      <c r="R136" s="73"/>
      <c r="S136" s="101"/>
      <c r="T136" s="102"/>
    </row>
    <row r="137" spans="1:20" s="78" customFormat="1">
      <c r="A137" s="90">
        <f t="shared" si="19"/>
        <v>0</v>
      </c>
      <c r="B137" s="35" t="str">
        <f t="shared" si="14"/>
        <v/>
      </c>
      <c r="C137" s="25"/>
      <c r="D137" s="25"/>
      <c r="E137" s="25"/>
      <c r="F137" s="25"/>
      <c r="G137" s="73"/>
      <c r="H137" s="91">
        <v>132</v>
      </c>
      <c r="I137" s="92" t="str">
        <f t="shared" si="15"/>
        <v/>
      </c>
      <c r="J137" s="91">
        <f t="shared" si="20"/>
        <v>-1</v>
      </c>
      <c r="K137" s="91">
        <f t="shared" si="16"/>
        <v>-10</v>
      </c>
      <c r="L137" s="91"/>
      <c r="M137" s="93">
        <f t="shared" si="17"/>
        <v>0</v>
      </c>
      <c r="N137" s="93">
        <f t="shared" si="18"/>
        <v>0</v>
      </c>
      <c r="O137" s="73"/>
      <c r="P137" s="73"/>
      <c r="Q137" s="73"/>
      <c r="R137" s="73"/>
      <c r="S137" s="73"/>
    </row>
    <row r="138" spans="1:20" s="78" customFormat="1">
      <c r="A138" s="86">
        <f t="shared" si="19"/>
        <v>0</v>
      </c>
      <c r="B138" s="36" t="str">
        <f t="shared" si="14"/>
        <v/>
      </c>
      <c r="C138" s="24"/>
      <c r="D138" s="24"/>
      <c r="E138" s="24"/>
      <c r="F138" s="24"/>
      <c r="G138" s="73"/>
      <c r="H138" s="87">
        <v>133</v>
      </c>
      <c r="I138" s="88" t="str">
        <f t="shared" si="15"/>
        <v/>
      </c>
      <c r="J138" s="87">
        <f t="shared" si="20"/>
        <v>-1</v>
      </c>
      <c r="K138" s="87">
        <f t="shared" si="16"/>
        <v>-10</v>
      </c>
      <c r="L138" s="87"/>
      <c r="M138" s="89">
        <f t="shared" si="17"/>
        <v>0</v>
      </c>
      <c r="N138" s="89">
        <f t="shared" si="18"/>
        <v>0</v>
      </c>
      <c r="O138" s="73"/>
      <c r="P138" s="73"/>
      <c r="Q138" s="73"/>
      <c r="R138" s="73"/>
      <c r="S138" s="101"/>
      <c r="T138" s="102"/>
    </row>
    <row r="139" spans="1:20" s="78" customFormat="1">
      <c r="A139" s="90">
        <f t="shared" si="19"/>
        <v>0</v>
      </c>
      <c r="B139" s="35" t="str">
        <f t="shared" si="14"/>
        <v/>
      </c>
      <c r="C139" s="25"/>
      <c r="D139" s="25"/>
      <c r="E139" s="25"/>
      <c r="F139" s="25"/>
      <c r="G139" s="73"/>
      <c r="H139" s="91">
        <v>134</v>
      </c>
      <c r="I139" s="92" t="str">
        <f t="shared" si="15"/>
        <v/>
      </c>
      <c r="J139" s="91">
        <f t="shared" si="20"/>
        <v>-1</v>
      </c>
      <c r="K139" s="91">
        <f t="shared" si="16"/>
        <v>-10</v>
      </c>
      <c r="L139" s="91"/>
      <c r="M139" s="93">
        <f t="shared" si="17"/>
        <v>0</v>
      </c>
      <c r="N139" s="93">
        <f t="shared" si="18"/>
        <v>0</v>
      </c>
      <c r="O139" s="73"/>
      <c r="P139" s="73"/>
      <c r="Q139" s="73"/>
      <c r="R139" s="73"/>
      <c r="S139" s="73"/>
    </row>
    <row r="140" spans="1:20" s="78" customFormat="1">
      <c r="A140" s="86">
        <f t="shared" si="19"/>
        <v>0</v>
      </c>
      <c r="B140" s="36" t="str">
        <f t="shared" si="14"/>
        <v/>
      </c>
      <c r="C140" s="24"/>
      <c r="D140" s="24"/>
      <c r="E140" s="24"/>
      <c r="F140" s="24"/>
      <c r="G140" s="73"/>
      <c r="H140" s="87">
        <v>135</v>
      </c>
      <c r="I140" s="88" t="str">
        <f t="shared" si="15"/>
        <v/>
      </c>
      <c r="J140" s="87">
        <f t="shared" si="20"/>
        <v>-1</v>
      </c>
      <c r="K140" s="87">
        <f t="shared" si="16"/>
        <v>-10</v>
      </c>
      <c r="L140" s="87"/>
      <c r="M140" s="89">
        <f t="shared" si="17"/>
        <v>0</v>
      </c>
      <c r="N140" s="89">
        <f t="shared" si="18"/>
        <v>0</v>
      </c>
      <c r="O140" s="73"/>
      <c r="P140" s="73"/>
      <c r="Q140" s="73"/>
      <c r="R140" s="73"/>
      <c r="S140" s="101"/>
      <c r="T140" s="102"/>
    </row>
    <row r="141" spans="1:20" s="78" customFormat="1">
      <c r="A141" s="90">
        <f t="shared" si="19"/>
        <v>0</v>
      </c>
      <c r="B141" s="35" t="str">
        <f t="shared" si="14"/>
        <v/>
      </c>
      <c r="C141" s="25"/>
      <c r="D141" s="25"/>
      <c r="E141" s="25"/>
      <c r="F141" s="25"/>
      <c r="G141" s="73"/>
      <c r="H141" s="91">
        <v>136</v>
      </c>
      <c r="I141" s="92" t="str">
        <f t="shared" si="15"/>
        <v/>
      </c>
      <c r="J141" s="91">
        <f t="shared" si="20"/>
        <v>-1</v>
      </c>
      <c r="K141" s="91">
        <f t="shared" si="16"/>
        <v>-10</v>
      </c>
      <c r="L141" s="91"/>
      <c r="M141" s="93">
        <f t="shared" si="17"/>
        <v>0</v>
      </c>
      <c r="N141" s="93">
        <f t="shared" si="18"/>
        <v>0</v>
      </c>
      <c r="O141" s="73"/>
      <c r="P141" s="73"/>
      <c r="Q141" s="73"/>
      <c r="R141" s="73"/>
      <c r="S141" s="73"/>
    </row>
    <row r="142" spans="1:20" s="78" customFormat="1">
      <c r="A142" s="86">
        <f t="shared" si="19"/>
        <v>0</v>
      </c>
      <c r="B142" s="36" t="str">
        <f t="shared" si="14"/>
        <v/>
      </c>
      <c r="C142" s="24"/>
      <c r="D142" s="24"/>
      <c r="E142" s="24"/>
      <c r="F142" s="24"/>
      <c r="G142" s="73"/>
      <c r="H142" s="87">
        <v>137</v>
      </c>
      <c r="I142" s="88" t="str">
        <f t="shared" si="15"/>
        <v/>
      </c>
      <c r="J142" s="87">
        <f t="shared" si="20"/>
        <v>-1</v>
      </c>
      <c r="K142" s="87">
        <f t="shared" si="16"/>
        <v>-10</v>
      </c>
      <c r="L142" s="87"/>
      <c r="M142" s="89">
        <f t="shared" si="17"/>
        <v>0</v>
      </c>
      <c r="N142" s="89">
        <f t="shared" si="18"/>
        <v>0</v>
      </c>
      <c r="O142" s="73"/>
      <c r="P142" s="73"/>
      <c r="Q142" s="73"/>
      <c r="R142" s="73"/>
      <c r="S142" s="101"/>
      <c r="T142" s="102"/>
    </row>
    <row r="143" spans="1:20" s="78" customFormat="1">
      <c r="A143" s="90">
        <f t="shared" si="19"/>
        <v>0</v>
      </c>
      <c r="B143" s="35" t="str">
        <f t="shared" si="14"/>
        <v/>
      </c>
      <c r="C143" s="25"/>
      <c r="D143" s="25"/>
      <c r="E143" s="25"/>
      <c r="F143" s="25"/>
      <c r="G143" s="73"/>
      <c r="H143" s="91">
        <v>138</v>
      </c>
      <c r="I143" s="92" t="str">
        <f t="shared" si="15"/>
        <v/>
      </c>
      <c r="J143" s="91">
        <f t="shared" si="20"/>
        <v>-1</v>
      </c>
      <c r="K143" s="91">
        <f t="shared" si="16"/>
        <v>-10</v>
      </c>
      <c r="L143" s="91"/>
      <c r="M143" s="93">
        <f t="shared" si="17"/>
        <v>0</v>
      </c>
      <c r="N143" s="93">
        <f t="shared" si="18"/>
        <v>0</v>
      </c>
      <c r="O143" s="73"/>
      <c r="P143" s="73"/>
      <c r="Q143" s="73"/>
      <c r="R143" s="73"/>
      <c r="S143" s="73"/>
    </row>
    <row r="144" spans="1:20" s="78" customFormat="1">
      <c r="A144" s="86">
        <f t="shared" si="19"/>
        <v>0</v>
      </c>
      <c r="B144" s="36" t="str">
        <f t="shared" si="14"/>
        <v/>
      </c>
      <c r="C144" s="24"/>
      <c r="D144" s="24"/>
      <c r="E144" s="24"/>
      <c r="F144" s="24"/>
      <c r="G144" s="73"/>
      <c r="H144" s="87">
        <v>139</v>
      </c>
      <c r="I144" s="88" t="str">
        <f t="shared" si="15"/>
        <v/>
      </c>
      <c r="J144" s="87">
        <f t="shared" si="20"/>
        <v>-1</v>
      </c>
      <c r="K144" s="87">
        <f t="shared" si="16"/>
        <v>-10</v>
      </c>
      <c r="L144" s="87"/>
      <c r="M144" s="89">
        <f t="shared" si="17"/>
        <v>0</v>
      </c>
      <c r="N144" s="89">
        <f t="shared" si="18"/>
        <v>0</v>
      </c>
      <c r="O144" s="73"/>
      <c r="P144" s="73"/>
      <c r="Q144" s="73"/>
      <c r="R144" s="73"/>
      <c r="S144" s="101"/>
      <c r="T144" s="102"/>
    </row>
    <row r="145" spans="1:20" s="78" customFormat="1">
      <c r="A145" s="90">
        <f t="shared" si="19"/>
        <v>0</v>
      </c>
      <c r="B145" s="35" t="str">
        <f t="shared" si="14"/>
        <v/>
      </c>
      <c r="C145" s="25"/>
      <c r="D145" s="25"/>
      <c r="E145" s="25"/>
      <c r="F145" s="25"/>
      <c r="G145" s="73"/>
      <c r="H145" s="91">
        <v>140</v>
      </c>
      <c r="I145" s="92" t="str">
        <f t="shared" si="15"/>
        <v/>
      </c>
      <c r="J145" s="91">
        <f t="shared" si="20"/>
        <v>-1</v>
      </c>
      <c r="K145" s="91">
        <f t="shared" si="16"/>
        <v>-10</v>
      </c>
      <c r="L145" s="91"/>
      <c r="M145" s="93">
        <f t="shared" si="17"/>
        <v>0</v>
      </c>
      <c r="N145" s="93">
        <f t="shared" si="18"/>
        <v>0</v>
      </c>
      <c r="O145" s="73"/>
      <c r="P145" s="73"/>
      <c r="Q145" s="73"/>
      <c r="R145" s="73"/>
      <c r="S145" s="73"/>
    </row>
    <row r="146" spans="1:20" s="78" customFormat="1">
      <c r="A146" s="86">
        <f t="shared" si="19"/>
        <v>0</v>
      </c>
      <c r="B146" s="36" t="str">
        <f t="shared" si="14"/>
        <v/>
      </c>
      <c r="C146" s="24"/>
      <c r="D146" s="24"/>
      <c r="E146" s="24"/>
      <c r="F146" s="24"/>
      <c r="G146" s="73"/>
      <c r="H146" s="87">
        <v>141</v>
      </c>
      <c r="I146" s="88" t="str">
        <f t="shared" si="15"/>
        <v/>
      </c>
      <c r="J146" s="87">
        <f t="shared" si="20"/>
        <v>-1</v>
      </c>
      <c r="K146" s="87">
        <f t="shared" si="16"/>
        <v>-10</v>
      </c>
      <c r="L146" s="87"/>
      <c r="M146" s="89">
        <f t="shared" si="17"/>
        <v>0</v>
      </c>
      <c r="N146" s="89">
        <f t="shared" si="18"/>
        <v>0</v>
      </c>
      <c r="O146" s="73"/>
      <c r="P146" s="73"/>
      <c r="Q146" s="73"/>
      <c r="R146" s="73"/>
      <c r="S146" s="101"/>
      <c r="T146" s="102"/>
    </row>
    <row r="147" spans="1:20" s="78" customFormat="1">
      <c r="A147" s="90">
        <f t="shared" si="19"/>
        <v>0</v>
      </c>
      <c r="B147" s="35" t="str">
        <f t="shared" si="14"/>
        <v/>
      </c>
      <c r="C147" s="25"/>
      <c r="D147" s="25"/>
      <c r="E147" s="25"/>
      <c r="F147" s="25"/>
      <c r="G147" s="73"/>
      <c r="H147" s="91">
        <v>142</v>
      </c>
      <c r="I147" s="92" t="str">
        <f t="shared" si="15"/>
        <v/>
      </c>
      <c r="J147" s="91">
        <f t="shared" si="20"/>
        <v>-1</v>
      </c>
      <c r="K147" s="91">
        <f t="shared" si="16"/>
        <v>-10</v>
      </c>
      <c r="L147" s="91"/>
      <c r="M147" s="93">
        <f t="shared" si="17"/>
        <v>0</v>
      </c>
      <c r="N147" s="93">
        <f t="shared" si="18"/>
        <v>0</v>
      </c>
      <c r="O147" s="73"/>
      <c r="P147" s="73"/>
      <c r="Q147" s="73"/>
      <c r="R147" s="73"/>
      <c r="S147" s="73"/>
    </row>
    <row r="148" spans="1:20" s="78" customFormat="1">
      <c r="A148" s="86">
        <f t="shared" si="19"/>
        <v>0</v>
      </c>
      <c r="B148" s="36" t="str">
        <f t="shared" si="14"/>
        <v/>
      </c>
      <c r="C148" s="24"/>
      <c r="D148" s="24"/>
      <c r="E148" s="24"/>
      <c r="F148" s="24"/>
      <c r="G148" s="73"/>
      <c r="H148" s="87">
        <v>143</v>
      </c>
      <c r="I148" s="88" t="str">
        <f t="shared" si="15"/>
        <v/>
      </c>
      <c r="J148" s="87">
        <f t="shared" si="20"/>
        <v>-1</v>
      </c>
      <c r="K148" s="87">
        <f t="shared" si="16"/>
        <v>-10</v>
      </c>
      <c r="L148" s="87"/>
      <c r="M148" s="89">
        <f t="shared" si="17"/>
        <v>0</v>
      </c>
      <c r="N148" s="89">
        <f t="shared" si="18"/>
        <v>0</v>
      </c>
      <c r="O148" s="73"/>
      <c r="P148" s="73"/>
      <c r="Q148" s="73"/>
      <c r="R148" s="73"/>
      <c r="S148" s="101"/>
      <c r="T148" s="102"/>
    </row>
    <row r="149" spans="1:20" s="78" customFormat="1">
      <c r="A149" s="90">
        <f t="shared" si="19"/>
        <v>0</v>
      </c>
      <c r="B149" s="35" t="str">
        <f t="shared" si="14"/>
        <v/>
      </c>
      <c r="C149" s="25"/>
      <c r="D149" s="25"/>
      <c r="E149" s="25"/>
      <c r="F149" s="25"/>
      <c r="G149" s="73"/>
      <c r="H149" s="91">
        <v>144</v>
      </c>
      <c r="I149" s="92" t="str">
        <f t="shared" si="15"/>
        <v/>
      </c>
      <c r="J149" s="91">
        <f t="shared" si="20"/>
        <v>-1</v>
      </c>
      <c r="K149" s="91">
        <f t="shared" si="16"/>
        <v>-10</v>
      </c>
      <c r="L149" s="91"/>
      <c r="M149" s="93">
        <f t="shared" si="17"/>
        <v>0</v>
      </c>
      <c r="N149" s="93">
        <f t="shared" si="18"/>
        <v>0</v>
      </c>
      <c r="O149" s="73"/>
      <c r="P149" s="73"/>
      <c r="Q149" s="73"/>
      <c r="R149" s="73"/>
      <c r="S149" s="73"/>
    </row>
    <row r="150" spans="1:20" s="78" customFormat="1">
      <c r="A150" s="86">
        <f t="shared" si="19"/>
        <v>0</v>
      </c>
      <c r="B150" s="36" t="str">
        <f t="shared" si="14"/>
        <v/>
      </c>
      <c r="C150" s="24"/>
      <c r="D150" s="24"/>
      <c r="E150" s="24"/>
      <c r="F150" s="24"/>
      <c r="G150" s="73"/>
      <c r="H150" s="87">
        <v>145</v>
      </c>
      <c r="I150" s="88" t="str">
        <f t="shared" si="15"/>
        <v/>
      </c>
      <c r="J150" s="87">
        <f t="shared" si="20"/>
        <v>-1</v>
      </c>
      <c r="K150" s="87">
        <f t="shared" si="16"/>
        <v>-10</v>
      </c>
      <c r="L150" s="87"/>
      <c r="M150" s="89">
        <f t="shared" si="17"/>
        <v>0</v>
      </c>
      <c r="N150" s="89">
        <f t="shared" si="18"/>
        <v>0</v>
      </c>
      <c r="O150" s="73"/>
      <c r="P150" s="73"/>
      <c r="Q150" s="73"/>
      <c r="R150" s="73"/>
      <c r="S150" s="101"/>
      <c r="T150" s="102"/>
    </row>
    <row r="151" spans="1:20" s="78" customFormat="1">
      <c r="A151" s="90">
        <f t="shared" si="19"/>
        <v>0</v>
      </c>
      <c r="B151" s="35" t="str">
        <f t="shared" si="14"/>
        <v/>
      </c>
      <c r="C151" s="25"/>
      <c r="D151" s="25"/>
      <c r="E151" s="25"/>
      <c r="F151" s="25"/>
      <c r="G151" s="73"/>
      <c r="H151" s="91">
        <v>146</v>
      </c>
      <c r="I151" s="92" t="str">
        <f t="shared" si="15"/>
        <v/>
      </c>
      <c r="J151" s="91">
        <f t="shared" si="20"/>
        <v>-1</v>
      </c>
      <c r="K151" s="91">
        <f t="shared" si="16"/>
        <v>-10</v>
      </c>
      <c r="L151" s="91"/>
      <c r="M151" s="93">
        <f t="shared" si="17"/>
        <v>0</v>
      </c>
      <c r="N151" s="93">
        <f t="shared" si="18"/>
        <v>0</v>
      </c>
      <c r="O151" s="73"/>
      <c r="P151" s="73"/>
      <c r="Q151" s="73"/>
      <c r="R151" s="73"/>
      <c r="S151" s="73"/>
    </row>
    <row r="152" spans="1:20" s="78" customFormat="1">
      <c r="A152" s="86">
        <f t="shared" si="19"/>
        <v>0</v>
      </c>
      <c r="B152" s="36" t="str">
        <f t="shared" si="14"/>
        <v/>
      </c>
      <c r="C152" s="24"/>
      <c r="D152" s="24"/>
      <c r="E152" s="24"/>
      <c r="F152" s="24"/>
      <c r="G152" s="73"/>
      <c r="H152" s="87">
        <v>147</v>
      </c>
      <c r="I152" s="88" t="str">
        <f t="shared" si="15"/>
        <v/>
      </c>
      <c r="J152" s="87">
        <f t="shared" si="20"/>
        <v>-1</v>
      </c>
      <c r="K152" s="87">
        <f t="shared" si="16"/>
        <v>-10</v>
      </c>
      <c r="L152" s="87"/>
      <c r="M152" s="89">
        <f t="shared" si="17"/>
        <v>0</v>
      </c>
      <c r="N152" s="89">
        <f t="shared" si="18"/>
        <v>0</v>
      </c>
      <c r="O152" s="73"/>
      <c r="P152" s="73"/>
      <c r="Q152" s="73"/>
      <c r="R152" s="73"/>
      <c r="S152" s="101"/>
      <c r="T152" s="102"/>
    </row>
    <row r="153" spans="1:20" s="78" customFormat="1">
      <c r="A153" s="90">
        <f t="shared" si="19"/>
        <v>0</v>
      </c>
      <c r="B153" s="35" t="str">
        <f t="shared" si="14"/>
        <v/>
      </c>
      <c r="C153" s="25"/>
      <c r="D153" s="25"/>
      <c r="E153" s="25"/>
      <c r="F153" s="25"/>
      <c r="G153" s="73"/>
      <c r="H153" s="91">
        <v>148</v>
      </c>
      <c r="I153" s="92" t="str">
        <f t="shared" si="15"/>
        <v/>
      </c>
      <c r="J153" s="91">
        <f t="shared" si="20"/>
        <v>-1</v>
      </c>
      <c r="K153" s="91">
        <f t="shared" si="16"/>
        <v>-10</v>
      </c>
      <c r="L153" s="91"/>
      <c r="M153" s="93">
        <f t="shared" si="17"/>
        <v>0</v>
      </c>
      <c r="N153" s="93">
        <f t="shared" si="18"/>
        <v>0</v>
      </c>
      <c r="O153" s="73"/>
      <c r="P153" s="73"/>
      <c r="Q153" s="73"/>
      <c r="R153" s="73"/>
      <c r="S153" s="73"/>
    </row>
    <row r="154" spans="1:20" s="78" customFormat="1">
      <c r="A154" s="86">
        <f t="shared" si="19"/>
        <v>0</v>
      </c>
      <c r="B154" s="36" t="str">
        <f t="shared" si="14"/>
        <v/>
      </c>
      <c r="C154" s="24"/>
      <c r="D154" s="24"/>
      <c r="E154" s="24"/>
      <c r="F154" s="24"/>
      <c r="G154" s="73"/>
      <c r="H154" s="87">
        <v>149</v>
      </c>
      <c r="I154" s="88" t="str">
        <f t="shared" si="15"/>
        <v/>
      </c>
      <c r="J154" s="87">
        <f t="shared" si="20"/>
        <v>-1</v>
      </c>
      <c r="K154" s="87">
        <f t="shared" si="16"/>
        <v>-10</v>
      </c>
      <c r="L154" s="87"/>
      <c r="M154" s="89">
        <f t="shared" si="17"/>
        <v>0</v>
      </c>
      <c r="N154" s="89">
        <f t="shared" si="18"/>
        <v>0</v>
      </c>
      <c r="O154" s="73"/>
      <c r="P154" s="73"/>
      <c r="Q154" s="73"/>
      <c r="R154" s="73"/>
      <c r="S154" s="101"/>
      <c r="T154" s="102"/>
    </row>
    <row r="155" spans="1:20" s="78" customFormat="1">
      <c r="A155" s="90">
        <f t="shared" si="19"/>
        <v>0</v>
      </c>
      <c r="B155" s="35" t="str">
        <f t="shared" si="14"/>
        <v/>
      </c>
      <c r="C155" s="25"/>
      <c r="D155" s="25"/>
      <c r="E155" s="25"/>
      <c r="F155" s="25"/>
      <c r="G155" s="73"/>
      <c r="H155" s="91">
        <v>150</v>
      </c>
      <c r="I155" s="92" t="str">
        <f t="shared" si="15"/>
        <v/>
      </c>
      <c r="J155" s="91">
        <f t="shared" si="20"/>
        <v>-1</v>
      </c>
      <c r="K155" s="91">
        <f t="shared" si="16"/>
        <v>-10</v>
      </c>
      <c r="L155" s="91"/>
      <c r="M155" s="93">
        <f t="shared" si="17"/>
        <v>0</v>
      </c>
      <c r="N155" s="93">
        <f t="shared" si="18"/>
        <v>0</v>
      </c>
      <c r="O155" s="73"/>
      <c r="P155" s="73"/>
      <c r="Q155" s="73"/>
      <c r="R155" s="73"/>
      <c r="S155" s="73"/>
    </row>
    <row r="156" spans="1:20" s="78" customFormat="1">
      <c r="A156" s="86">
        <f t="shared" si="19"/>
        <v>0</v>
      </c>
      <c r="B156" s="36" t="str">
        <f t="shared" si="14"/>
        <v/>
      </c>
      <c r="C156" s="24"/>
      <c r="D156" s="24"/>
      <c r="E156" s="24"/>
      <c r="F156" s="24"/>
      <c r="G156" s="73"/>
      <c r="H156" s="87">
        <v>151</v>
      </c>
      <c r="I156" s="88" t="str">
        <f t="shared" si="15"/>
        <v/>
      </c>
      <c r="J156" s="87">
        <f t="shared" si="20"/>
        <v>-1</v>
      </c>
      <c r="K156" s="87">
        <f t="shared" si="16"/>
        <v>-10</v>
      </c>
      <c r="L156" s="87"/>
      <c r="M156" s="89">
        <f t="shared" si="17"/>
        <v>0</v>
      </c>
      <c r="N156" s="89">
        <f t="shared" si="18"/>
        <v>0</v>
      </c>
      <c r="O156" s="73"/>
      <c r="P156" s="73"/>
      <c r="Q156" s="73"/>
      <c r="R156" s="73"/>
      <c r="S156" s="101"/>
      <c r="T156" s="102"/>
    </row>
    <row r="157" spans="1:20" s="78" customFormat="1">
      <c r="A157" s="90">
        <f t="shared" si="19"/>
        <v>0</v>
      </c>
      <c r="B157" s="35" t="str">
        <f t="shared" si="14"/>
        <v/>
      </c>
      <c r="C157" s="25"/>
      <c r="D157" s="25"/>
      <c r="E157" s="25"/>
      <c r="F157" s="25"/>
      <c r="G157" s="73"/>
      <c r="H157" s="91">
        <v>152</v>
      </c>
      <c r="I157" s="92" t="str">
        <f t="shared" si="15"/>
        <v/>
      </c>
      <c r="J157" s="91">
        <f t="shared" si="20"/>
        <v>-1</v>
      </c>
      <c r="K157" s="91">
        <f t="shared" si="16"/>
        <v>-10</v>
      </c>
      <c r="L157" s="91"/>
      <c r="M157" s="93">
        <f t="shared" si="17"/>
        <v>0</v>
      </c>
      <c r="N157" s="93">
        <f t="shared" si="18"/>
        <v>0</v>
      </c>
      <c r="O157" s="73"/>
      <c r="P157" s="73"/>
      <c r="Q157" s="73"/>
      <c r="R157" s="73"/>
      <c r="S157" s="73"/>
    </row>
    <row r="158" spans="1:20" s="78" customFormat="1">
      <c r="A158" s="86">
        <f t="shared" si="19"/>
        <v>0</v>
      </c>
      <c r="B158" s="36" t="str">
        <f t="shared" si="14"/>
        <v/>
      </c>
      <c r="C158" s="24"/>
      <c r="D158" s="24"/>
      <c r="E158" s="24"/>
      <c r="F158" s="24"/>
      <c r="G158" s="73"/>
      <c r="H158" s="87">
        <v>153</v>
      </c>
      <c r="I158" s="88" t="str">
        <f t="shared" si="15"/>
        <v/>
      </c>
      <c r="J158" s="87">
        <f t="shared" si="20"/>
        <v>-1</v>
      </c>
      <c r="K158" s="87">
        <f t="shared" si="16"/>
        <v>-10</v>
      </c>
      <c r="L158" s="87"/>
      <c r="M158" s="89">
        <f t="shared" si="17"/>
        <v>0</v>
      </c>
      <c r="N158" s="89">
        <f t="shared" si="18"/>
        <v>0</v>
      </c>
      <c r="O158" s="73"/>
      <c r="P158" s="73"/>
      <c r="Q158" s="73"/>
      <c r="R158" s="73"/>
      <c r="S158" s="101"/>
      <c r="T158" s="102"/>
    </row>
    <row r="159" spans="1:20" s="78" customFormat="1">
      <c r="A159" s="90">
        <f t="shared" si="19"/>
        <v>0</v>
      </c>
      <c r="B159" s="35" t="str">
        <f t="shared" si="14"/>
        <v/>
      </c>
      <c r="C159" s="25"/>
      <c r="D159" s="25"/>
      <c r="E159" s="25"/>
      <c r="F159" s="25"/>
      <c r="G159" s="73"/>
      <c r="H159" s="91">
        <v>154</v>
      </c>
      <c r="I159" s="92" t="str">
        <f t="shared" si="15"/>
        <v/>
      </c>
      <c r="J159" s="91">
        <f t="shared" si="20"/>
        <v>-1</v>
      </c>
      <c r="K159" s="91">
        <f t="shared" si="16"/>
        <v>-10</v>
      </c>
      <c r="L159" s="91"/>
      <c r="M159" s="93">
        <f t="shared" si="17"/>
        <v>0</v>
      </c>
      <c r="N159" s="93">
        <f t="shared" si="18"/>
        <v>0</v>
      </c>
      <c r="O159" s="73"/>
      <c r="P159" s="73"/>
      <c r="Q159" s="73"/>
      <c r="R159" s="73"/>
      <c r="S159" s="73"/>
    </row>
    <row r="160" spans="1:20" s="78" customFormat="1">
      <c r="A160" s="86">
        <f t="shared" si="19"/>
        <v>0</v>
      </c>
      <c r="B160" s="36" t="str">
        <f t="shared" si="14"/>
        <v/>
      </c>
      <c r="C160" s="24"/>
      <c r="D160" s="24"/>
      <c r="E160" s="24"/>
      <c r="F160" s="24"/>
      <c r="G160" s="73"/>
      <c r="H160" s="87">
        <v>155</v>
      </c>
      <c r="I160" s="88" t="str">
        <f t="shared" si="15"/>
        <v/>
      </c>
      <c r="J160" s="87">
        <f t="shared" si="20"/>
        <v>-1</v>
      </c>
      <c r="K160" s="87">
        <f t="shared" si="16"/>
        <v>-10</v>
      </c>
      <c r="L160" s="87"/>
      <c r="M160" s="89">
        <f t="shared" si="17"/>
        <v>0</v>
      </c>
      <c r="N160" s="89">
        <f t="shared" si="18"/>
        <v>0</v>
      </c>
      <c r="O160" s="73"/>
      <c r="P160" s="73"/>
      <c r="Q160" s="73"/>
      <c r="R160" s="73"/>
      <c r="S160" s="101"/>
      <c r="T160" s="102"/>
    </row>
    <row r="161" spans="1:20" s="78" customFormat="1">
      <c r="A161" s="90">
        <f t="shared" si="19"/>
        <v>0</v>
      </c>
      <c r="B161" s="35" t="str">
        <f t="shared" si="14"/>
        <v/>
      </c>
      <c r="C161" s="25"/>
      <c r="D161" s="25"/>
      <c r="E161" s="25"/>
      <c r="F161" s="25"/>
      <c r="G161" s="73"/>
      <c r="H161" s="91">
        <v>156</v>
      </c>
      <c r="I161" s="92" t="str">
        <f t="shared" si="15"/>
        <v/>
      </c>
      <c r="J161" s="91">
        <f t="shared" si="20"/>
        <v>-1</v>
      </c>
      <c r="K161" s="91">
        <f t="shared" si="16"/>
        <v>-10</v>
      </c>
      <c r="L161" s="91"/>
      <c r="M161" s="93">
        <f t="shared" si="17"/>
        <v>0</v>
      </c>
      <c r="N161" s="93">
        <f t="shared" si="18"/>
        <v>0</v>
      </c>
      <c r="O161" s="73"/>
      <c r="P161" s="73"/>
      <c r="Q161" s="73"/>
      <c r="R161" s="73"/>
      <c r="S161" s="73"/>
    </row>
    <row r="162" spans="1:20" s="78" customFormat="1">
      <c r="A162" s="86">
        <f t="shared" si="19"/>
        <v>0</v>
      </c>
      <c r="B162" s="36" t="str">
        <f t="shared" si="14"/>
        <v/>
      </c>
      <c r="C162" s="24"/>
      <c r="D162" s="24"/>
      <c r="E162" s="24"/>
      <c r="F162" s="24"/>
      <c r="G162" s="73"/>
      <c r="H162" s="87">
        <v>157</v>
      </c>
      <c r="I162" s="88" t="str">
        <f t="shared" si="15"/>
        <v/>
      </c>
      <c r="J162" s="87">
        <f t="shared" si="20"/>
        <v>-1</v>
      </c>
      <c r="K162" s="87">
        <f t="shared" si="16"/>
        <v>-10</v>
      </c>
      <c r="L162" s="87"/>
      <c r="M162" s="89">
        <f t="shared" si="17"/>
        <v>0</v>
      </c>
      <c r="N162" s="89">
        <f t="shared" si="18"/>
        <v>0</v>
      </c>
      <c r="O162" s="73"/>
      <c r="P162" s="73"/>
      <c r="Q162" s="73"/>
      <c r="R162" s="73"/>
      <c r="S162" s="101"/>
      <c r="T162" s="102"/>
    </row>
    <row r="163" spans="1:20" s="78" customFormat="1">
      <c r="A163" s="90">
        <f t="shared" si="19"/>
        <v>0</v>
      </c>
      <c r="B163" s="35" t="str">
        <f t="shared" si="14"/>
        <v/>
      </c>
      <c r="C163" s="25"/>
      <c r="D163" s="25"/>
      <c r="E163" s="25"/>
      <c r="F163" s="25"/>
      <c r="G163" s="73"/>
      <c r="H163" s="91">
        <v>158</v>
      </c>
      <c r="I163" s="92" t="str">
        <f t="shared" si="15"/>
        <v/>
      </c>
      <c r="J163" s="91">
        <f t="shared" si="20"/>
        <v>-1</v>
      </c>
      <c r="K163" s="91">
        <f t="shared" si="16"/>
        <v>-10</v>
      </c>
      <c r="L163" s="91"/>
      <c r="M163" s="93">
        <f t="shared" si="17"/>
        <v>0</v>
      </c>
      <c r="N163" s="93">
        <f t="shared" si="18"/>
        <v>0</v>
      </c>
      <c r="O163" s="73"/>
      <c r="P163" s="73"/>
      <c r="Q163" s="73"/>
      <c r="R163" s="73"/>
      <c r="S163" s="73"/>
    </row>
    <row r="164" spans="1:20" s="78" customFormat="1">
      <c r="A164" s="86">
        <f t="shared" si="19"/>
        <v>0</v>
      </c>
      <c r="B164" s="36" t="str">
        <f t="shared" si="14"/>
        <v/>
      </c>
      <c r="C164" s="24"/>
      <c r="D164" s="24"/>
      <c r="E164" s="24"/>
      <c r="F164" s="24"/>
      <c r="G164" s="73"/>
      <c r="H164" s="87">
        <v>159</v>
      </c>
      <c r="I164" s="88" t="str">
        <f t="shared" si="15"/>
        <v/>
      </c>
      <c r="J164" s="87">
        <f t="shared" si="20"/>
        <v>-1</v>
      </c>
      <c r="K164" s="87">
        <f t="shared" si="16"/>
        <v>-10</v>
      </c>
      <c r="L164" s="87"/>
      <c r="M164" s="89">
        <f t="shared" si="17"/>
        <v>0</v>
      </c>
      <c r="N164" s="89">
        <f t="shared" si="18"/>
        <v>0</v>
      </c>
      <c r="O164" s="73"/>
      <c r="P164" s="73"/>
      <c r="Q164" s="73"/>
      <c r="R164" s="73"/>
      <c r="S164" s="101"/>
      <c r="T164" s="102"/>
    </row>
    <row r="165" spans="1:20" s="78" customFormat="1">
      <c r="A165" s="90">
        <f t="shared" si="19"/>
        <v>0</v>
      </c>
      <c r="B165" s="35" t="str">
        <f t="shared" si="14"/>
        <v/>
      </c>
      <c r="C165" s="25"/>
      <c r="D165" s="25"/>
      <c r="E165" s="25"/>
      <c r="F165" s="25"/>
      <c r="G165" s="73"/>
      <c r="H165" s="91">
        <v>160</v>
      </c>
      <c r="I165" s="92" t="str">
        <f t="shared" si="15"/>
        <v/>
      </c>
      <c r="J165" s="91">
        <f t="shared" si="20"/>
        <v>-1</v>
      </c>
      <c r="K165" s="91">
        <f t="shared" si="16"/>
        <v>-10</v>
      </c>
      <c r="L165" s="91"/>
      <c r="M165" s="93">
        <f t="shared" si="17"/>
        <v>0</v>
      </c>
      <c r="N165" s="93">
        <f t="shared" si="18"/>
        <v>0</v>
      </c>
      <c r="O165" s="73"/>
      <c r="P165" s="73"/>
      <c r="Q165" s="73"/>
      <c r="R165" s="73"/>
      <c r="S165" s="73"/>
    </row>
    <row r="166" spans="1:20" s="78" customFormat="1">
      <c r="A166" s="86">
        <f t="shared" si="19"/>
        <v>0</v>
      </c>
      <c r="B166" s="36" t="str">
        <f t="shared" si="14"/>
        <v/>
      </c>
      <c r="C166" s="24"/>
      <c r="D166" s="24"/>
      <c r="E166" s="24"/>
      <c r="F166" s="24"/>
      <c r="G166" s="73"/>
      <c r="H166" s="87">
        <v>161</v>
      </c>
      <c r="I166" s="88" t="str">
        <f t="shared" si="15"/>
        <v/>
      </c>
      <c r="J166" s="87">
        <f t="shared" si="20"/>
        <v>-1</v>
      </c>
      <c r="K166" s="87">
        <f t="shared" si="16"/>
        <v>-10</v>
      </c>
      <c r="L166" s="87"/>
      <c r="M166" s="89">
        <f t="shared" si="17"/>
        <v>0</v>
      </c>
      <c r="N166" s="89">
        <f t="shared" si="18"/>
        <v>0</v>
      </c>
      <c r="O166" s="73"/>
      <c r="P166" s="73"/>
      <c r="Q166" s="73"/>
      <c r="R166" s="73"/>
      <c r="S166" s="101"/>
      <c r="T166" s="102"/>
    </row>
    <row r="167" spans="1:20" s="78" customFormat="1">
      <c r="A167" s="90">
        <f t="shared" si="19"/>
        <v>0</v>
      </c>
      <c r="B167" s="35" t="str">
        <f t="shared" si="14"/>
        <v/>
      </c>
      <c r="C167" s="25"/>
      <c r="D167" s="25"/>
      <c r="E167" s="25"/>
      <c r="F167" s="25"/>
      <c r="G167" s="73"/>
      <c r="H167" s="91">
        <v>162</v>
      </c>
      <c r="I167" s="92" t="str">
        <f t="shared" si="15"/>
        <v/>
      </c>
      <c r="J167" s="91">
        <f t="shared" si="20"/>
        <v>-1</v>
      </c>
      <c r="K167" s="91">
        <f t="shared" si="16"/>
        <v>-10</v>
      </c>
      <c r="L167" s="91"/>
      <c r="M167" s="93">
        <f t="shared" si="17"/>
        <v>0</v>
      </c>
      <c r="N167" s="93">
        <f t="shared" si="18"/>
        <v>0</v>
      </c>
      <c r="O167" s="73"/>
      <c r="P167" s="73"/>
      <c r="Q167" s="73"/>
      <c r="R167" s="73"/>
      <c r="S167" s="73"/>
    </row>
    <row r="168" spans="1:20" s="78" customFormat="1">
      <c r="A168" s="86">
        <f t="shared" si="19"/>
        <v>0</v>
      </c>
      <c r="B168" s="36" t="str">
        <f t="shared" si="14"/>
        <v/>
      </c>
      <c r="C168" s="24"/>
      <c r="D168" s="24"/>
      <c r="E168" s="24"/>
      <c r="F168" s="24"/>
      <c r="G168" s="73"/>
      <c r="H168" s="87">
        <v>163</v>
      </c>
      <c r="I168" s="88" t="str">
        <f t="shared" si="15"/>
        <v/>
      </c>
      <c r="J168" s="87">
        <f t="shared" si="20"/>
        <v>-1</v>
      </c>
      <c r="K168" s="87">
        <f t="shared" si="16"/>
        <v>-10</v>
      </c>
      <c r="L168" s="87"/>
      <c r="M168" s="89">
        <f t="shared" si="17"/>
        <v>0</v>
      </c>
      <c r="N168" s="89">
        <f t="shared" si="18"/>
        <v>0</v>
      </c>
      <c r="O168" s="73"/>
      <c r="P168" s="73"/>
      <c r="Q168" s="73"/>
      <c r="R168" s="73"/>
      <c r="S168" s="101"/>
      <c r="T168" s="102"/>
    </row>
    <row r="169" spans="1:20" s="78" customFormat="1">
      <c r="A169" s="90">
        <f t="shared" si="19"/>
        <v>0</v>
      </c>
      <c r="B169" s="35" t="str">
        <f t="shared" si="14"/>
        <v/>
      </c>
      <c r="C169" s="25"/>
      <c r="D169" s="25"/>
      <c r="E169" s="25"/>
      <c r="F169" s="25"/>
      <c r="G169" s="73"/>
      <c r="H169" s="91">
        <v>164</v>
      </c>
      <c r="I169" s="92" t="str">
        <f t="shared" si="15"/>
        <v/>
      </c>
      <c r="J169" s="91">
        <f t="shared" si="20"/>
        <v>-1</v>
      </c>
      <c r="K169" s="91">
        <f t="shared" si="16"/>
        <v>-10</v>
      </c>
      <c r="L169" s="91"/>
      <c r="M169" s="93">
        <f t="shared" si="17"/>
        <v>0</v>
      </c>
      <c r="N169" s="93">
        <f t="shared" si="18"/>
        <v>0</v>
      </c>
      <c r="O169" s="73"/>
      <c r="P169" s="73"/>
      <c r="Q169" s="73"/>
      <c r="R169" s="73"/>
      <c r="S169" s="73"/>
    </row>
    <row r="170" spans="1:20" s="78" customFormat="1">
      <c r="A170" s="86">
        <f t="shared" si="19"/>
        <v>0</v>
      </c>
      <c r="B170" s="36" t="str">
        <f t="shared" si="14"/>
        <v/>
      </c>
      <c r="C170" s="24"/>
      <c r="D170" s="24"/>
      <c r="E170" s="24"/>
      <c r="F170" s="24"/>
      <c r="G170" s="73"/>
      <c r="H170" s="87">
        <v>165</v>
      </c>
      <c r="I170" s="88" t="str">
        <f t="shared" si="15"/>
        <v/>
      </c>
      <c r="J170" s="87">
        <f t="shared" si="20"/>
        <v>-1</v>
      </c>
      <c r="K170" s="87">
        <f t="shared" si="16"/>
        <v>-10</v>
      </c>
      <c r="L170" s="87"/>
      <c r="M170" s="89">
        <f t="shared" si="17"/>
        <v>0</v>
      </c>
      <c r="N170" s="89">
        <f t="shared" si="18"/>
        <v>0</v>
      </c>
      <c r="O170" s="73"/>
      <c r="P170" s="73"/>
      <c r="Q170" s="73"/>
      <c r="R170" s="73"/>
      <c r="S170" s="101"/>
      <c r="T170" s="102"/>
    </row>
    <row r="171" spans="1:20" s="78" customFormat="1">
      <c r="A171" s="90">
        <f t="shared" si="19"/>
        <v>0</v>
      </c>
      <c r="B171" s="35" t="str">
        <f t="shared" si="14"/>
        <v/>
      </c>
      <c r="C171" s="25"/>
      <c r="D171" s="25"/>
      <c r="E171" s="25"/>
      <c r="F171" s="25"/>
      <c r="G171" s="73"/>
      <c r="H171" s="91">
        <v>166</v>
      </c>
      <c r="I171" s="92" t="str">
        <f t="shared" si="15"/>
        <v/>
      </c>
      <c r="J171" s="91">
        <f t="shared" si="20"/>
        <v>-1</v>
      </c>
      <c r="K171" s="91">
        <f t="shared" si="16"/>
        <v>-10</v>
      </c>
      <c r="L171" s="91"/>
      <c r="M171" s="93">
        <f t="shared" si="17"/>
        <v>0</v>
      </c>
      <c r="N171" s="93">
        <f t="shared" si="18"/>
        <v>0</v>
      </c>
      <c r="O171" s="73"/>
      <c r="P171" s="73"/>
      <c r="Q171" s="73"/>
      <c r="R171" s="73"/>
      <c r="S171" s="73"/>
    </row>
    <row r="172" spans="1:20" s="78" customFormat="1">
      <c r="A172" s="86">
        <f t="shared" si="19"/>
        <v>0</v>
      </c>
      <c r="B172" s="36" t="str">
        <f t="shared" si="14"/>
        <v/>
      </c>
      <c r="C172" s="24"/>
      <c r="D172" s="24"/>
      <c r="E172" s="24"/>
      <c r="F172" s="24"/>
      <c r="G172" s="73"/>
      <c r="H172" s="87">
        <v>167</v>
      </c>
      <c r="I172" s="88" t="str">
        <f t="shared" si="15"/>
        <v/>
      </c>
      <c r="J172" s="87">
        <f t="shared" si="20"/>
        <v>-1</v>
      </c>
      <c r="K172" s="87">
        <f t="shared" si="16"/>
        <v>-10</v>
      </c>
      <c r="L172" s="87"/>
      <c r="M172" s="89">
        <f t="shared" si="17"/>
        <v>0</v>
      </c>
      <c r="N172" s="89">
        <f t="shared" si="18"/>
        <v>0</v>
      </c>
      <c r="O172" s="73"/>
      <c r="P172" s="73"/>
      <c r="Q172" s="73"/>
      <c r="R172" s="73"/>
      <c r="S172" s="101"/>
      <c r="T172" s="102"/>
    </row>
    <row r="173" spans="1:20" s="78" customFormat="1">
      <c r="A173" s="90">
        <f t="shared" si="19"/>
        <v>0</v>
      </c>
      <c r="B173" s="35" t="str">
        <f t="shared" si="14"/>
        <v/>
      </c>
      <c r="C173" s="25"/>
      <c r="D173" s="25"/>
      <c r="E173" s="25"/>
      <c r="F173" s="25"/>
      <c r="G173" s="73"/>
      <c r="H173" s="91">
        <v>168</v>
      </c>
      <c r="I173" s="92" t="str">
        <f t="shared" si="15"/>
        <v/>
      </c>
      <c r="J173" s="91">
        <f t="shared" si="20"/>
        <v>-1</v>
      </c>
      <c r="K173" s="91">
        <f t="shared" si="16"/>
        <v>-10</v>
      </c>
      <c r="L173" s="91"/>
      <c r="M173" s="93">
        <f t="shared" si="17"/>
        <v>0</v>
      </c>
      <c r="N173" s="93">
        <f t="shared" si="18"/>
        <v>0</v>
      </c>
      <c r="O173" s="73"/>
      <c r="P173" s="73"/>
      <c r="Q173" s="73"/>
      <c r="R173" s="73"/>
      <c r="S173" s="73"/>
    </row>
    <row r="174" spans="1:20" s="78" customFormat="1">
      <c r="A174" s="86">
        <f t="shared" si="19"/>
        <v>0</v>
      </c>
      <c r="B174" s="36" t="str">
        <f t="shared" si="14"/>
        <v/>
      </c>
      <c r="C174" s="24"/>
      <c r="D174" s="24"/>
      <c r="E174" s="24"/>
      <c r="F174" s="24"/>
      <c r="G174" s="73"/>
      <c r="H174" s="87">
        <v>169</v>
      </c>
      <c r="I174" s="88" t="str">
        <f t="shared" si="15"/>
        <v/>
      </c>
      <c r="J174" s="87">
        <f t="shared" si="20"/>
        <v>-1</v>
      </c>
      <c r="K174" s="87">
        <f t="shared" si="16"/>
        <v>-10</v>
      </c>
      <c r="L174" s="87"/>
      <c r="M174" s="89">
        <f t="shared" si="17"/>
        <v>0</v>
      </c>
      <c r="N174" s="89">
        <f t="shared" si="18"/>
        <v>0</v>
      </c>
      <c r="O174" s="73"/>
      <c r="P174" s="73"/>
      <c r="Q174" s="73"/>
      <c r="R174" s="73"/>
      <c r="S174" s="101"/>
      <c r="T174" s="102"/>
    </row>
    <row r="175" spans="1:20" s="78" customFormat="1">
      <c r="A175" s="90">
        <f t="shared" si="19"/>
        <v>0</v>
      </c>
      <c r="B175" s="35" t="str">
        <f t="shared" si="14"/>
        <v/>
      </c>
      <c r="C175" s="25"/>
      <c r="D175" s="25"/>
      <c r="E175" s="25"/>
      <c r="F175" s="25"/>
      <c r="G175" s="73"/>
      <c r="H175" s="91">
        <v>170</v>
      </c>
      <c r="I175" s="92" t="str">
        <f t="shared" si="15"/>
        <v/>
      </c>
      <c r="J175" s="91">
        <f t="shared" si="20"/>
        <v>-1</v>
      </c>
      <c r="K175" s="91">
        <f t="shared" si="16"/>
        <v>-10</v>
      </c>
      <c r="L175" s="91"/>
      <c r="M175" s="93">
        <f t="shared" si="17"/>
        <v>0</v>
      </c>
      <c r="N175" s="93">
        <f t="shared" si="18"/>
        <v>0</v>
      </c>
      <c r="O175" s="73"/>
      <c r="P175" s="73"/>
      <c r="Q175" s="73"/>
      <c r="R175" s="73"/>
      <c r="S175" s="73"/>
    </row>
    <row r="176" spans="1:20" s="78" customFormat="1">
      <c r="A176" s="86">
        <f t="shared" si="19"/>
        <v>0</v>
      </c>
      <c r="B176" s="36" t="str">
        <f t="shared" si="14"/>
        <v/>
      </c>
      <c r="C176" s="24"/>
      <c r="D176" s="24"/>
      <c r="E176" s="24"/>
      <c r="F176" s="24"/>
      <c r="G176" s="73"/>
      <c r="H176" s="87">
        <v>171</v>
      </c>
      <c r="I176" s="88" t="str">
        <f t="shared" si="15"/>
        <v/>
      </c>
      <c r="J176" s="87">
        <f t="shared" si="20"/>
        <v>-1</v>
      </c>
      <c r="K176" s="87">
        <f t="shared" si="16"/>
        <v>-10</v>
      </c>
      <c r="L176" s="87"/>
      <c r="M176" s="89">
        <f t="shared" si="17"/>
        <v>0</v>
      </c>
      <c r="N176" s="89">
        <f t="shared" si="18"/>
        <v>0</v>
      </c>
      <c r="O176" s="73"/>
      <c r="P176" s="73"/>
      <c r="Q176" s="73"/>
      <c r="R176" s="73"/>
      <c r="S176" s="101"/>
      <c r="T176" s="102"/>
    </row>
    <row r="177" spans="1:20" s="78" customFormat="1">
      <c r="A177" s="90">
        <f t="shared" si="19"/>
        <v>0</v>
      </c>
      <c r="B177" s="35" t="str">
        <f t="shared" si="14"/>
        <v/>
      </c>
      <c r="C177" s="25"/>
      <c r="D177" s="25"/>
      <c r="E177" s="25"/>
      <c r="F177" s="25"/>
      <c r="G177" s="73"/>
      <c r="H177" s="91">
        <v>172</v>
      </c>
      <c r="I177" s="92" t="str">
        <f t="shared" si="15"/>
        <v/>
      </c>
      <c r="J177" s="91">
        <f t="shared" si="20"/>
        <v>-1</v>
      </c>
      <c r="K177" s="91">
        <f t="shared" si="16"/>
        <v>-10</v>
      </c>
      <c r="L177" s="91"/>
      <c r="M177" s="93">
        <f t="shared" si="17"/>
        <v>0</v>
      </c>
      <c r="N177" s="93">
        <f t="shared" si="18"/>
        <v>0</v>
      </c>
      <c r="O177" s="73"/>
      <c r="P177" s="73"/>
      <c r="Q177" s="73"/>
      <c r="R177" s="73"/>
      <c r="S177" s="73"/>
    </row>
    <row r="178" spans="1:20" s="78" customFormat="1">
      <c r="A178" s="86">
        <f t="shared" si="19"/>
        <v>0</v>
      </c>
      <c r="B178" s="36" t="str">
        <f t="shared" si="14"/>
        <v/>
      </c>
      <c r="C178" s="24"/>
      <c r="D178" s="24"/>
      <c r="E178" s="24"/>
      <c r="F178" s="24"/>
      <c r="G178" s="73"/>
      <c r="H178" s="87">
        <v>173</v>
      </c>
      <c r="I178" s="88" t="str">
        <f t="shared" si="15"/>
        <v/>
      </c>
      <c r="J178" s="87">
        <f t="shared" si="20"/>
        <v>-1</v>
      </c>
      <c r="K178" s="87">
        <f t="shared" si="16"/>
        <v>-10</v>
      </c>
      <c r="L178" s="87"/>
      <c r="M178" s="89">
        <f t="shared" si="17"/>
        <v>0</v>
      </c>
      <c r="N178" s="89">
        <f t="shared" si="18"/>
        <v>0</v>
      </c>
      <c r="O178" s="73"/>
      <c r="P178" s="73"/>
      <c r="Q178" s="73"/>
      <c r="R178" s="73"/>
      <c r="S178" s="101"/>
      <c r="T178" s="102"/>
    </row>
    <row r="179" spans="1:20" s="78" customFormat="1">
      <c r="A179" s="90">
        <f t="shared" si="19"/>
        <v>0</v>
      </c>
      <c r="B179" s="35" t="str">
        <f t="shared" si="14"/>
        <v/>
      </c>
      <c r="C179" s="25"/>
      <c r="D179" s="25"/>
      <c r="E179" s="25"/>
      <c r="F179" s="25"/>
      <c r="G179" s="73"/>
      <c r="H179" s="91">
        <v>174</v>
      </c>
      <c r="I179" s="92" t="str">
        <f t="shared" si="15"/>
        <v/>
      </c>
      <c r="J179" s="91">
        <f t="shared" si="20"/>
        <v>-1</v>
      </c>
      <c r="K179" s="91">
        <f t="shared" si="16"/>
        <v>-10</v>
      </c>
      <c r="L179" s="91"/>
      <c r="M179" s="93">
        <f t="shared" si="17"/>
        <v>0</v>
      </c>
      <c r="N179" s="93">
        <f t="shared" si="18"/>
        <v>0</v>
      </c>
      <c r="O179" s="73"/>
      <c r="P179" s="73"/>
      <c r="Q179" s="73"/>
      <c r="R179" s="73"/>
      <c r="S179" s="73"/>
    </row>
    <row r="180" spans="1:20" s="78" customFormat="1">
      <c r="A180" s="86">
        <f t="shared" si="19"/>
        <v>0</v>
      </c>
      <c r="B180" s="36" t="str">
        <f t="shared" si="14"/>
        <v/>
      </c>
      <c r="C180" s="24"/>
      <c r="D180" s="24"/>
      <c r="E180" s="24"/>
      <c r="F180" s="24"/>
      <c r="G180" s="73"/>
      <c r="H180" s="87">
        <v>175</v>
      </c>
      <c r="I180" s="88" t="str">
        <f t="shared" si="15"/>
        <v/>
      </c>
      <c r="J180" s="87">
        <f t="shared" si="20"/>
        <v>-1</v>
      </c>
      <c r="K180" s="87">
        <f t="shared" si="16"/>
        <v>-10</v>
      </c>
      <c r="L180" s="87"/>
      <c r="M180" s="89">
        <f t="shared" si="17"/>
        <v>0</v>
      </c>
      <c r="N180" s="89">
        <f t="shared" si="18"/>
        <v>0</v>
      </c>
      <c r="O180" s="73"/>
      <c r="P180" s="73"/>
      <c r="Q180" s="73"/>
      <c r="R180" s="73"/>
      <c r="S180" s="101"/>
      <c r="T180" s="102"/>
    </row>
    <row r="181" spans="1:20" s="78" customFormat="1">
      <c r="A181" s="90">
        <f t="shared" si="19"/>
        <v>0</v>
      </c>
      <c r="B181" s="35" t="str">
        <f t="shared" si="14"/>
        <v/>
      </c>
      <c r="C181" s="25"/>
      <c r="D181" s="25"/>
      <c r="E181" s="25"/>
      <c r="F181" s="25"/>
      <c r="G181" s="73"/>
      <c r="H181" s="91">
        <v>176</v>
      </c>
      <c r="I181" s="92" t="str">
        <f t="shared" si="15"/>
        <v/>
      </c>
      <c r="J181" s="91">
        <f t="shared" si="20"/>
        <v>-1</v>
      </c>
      <c r="K181" s="91">
        <f t="shared" si="16"/>
        <v>-10</v>
      </c>
      <c r="L181" s="91"/>
      <c r="M181" s="93">
        <f t="shared" si="17"/>
        <v>0</v>
      </c>
      <c r="N181" s="93">
        <f t="shared" si="18"/>
        <v>0</v>
      </c>
      <c r="O181" s="73"/>
      <c r="P181" s="73"/>
      <c r="Q181" s="73"/>
      <c r="R181" s="73"/>
      <c r="S181" s="73"/>
    </row>
    <row r="182" spans="1:20" s="78" customFormat="1">
      <c r="A182" s="86">
        <f t="shared" si="19"/>
        <v>0</v>
      </c>
      <c r="B182" s="36" t="str">
        <f t="shared" si="14"/>
        <v/>
      </c>
      <c r="C182" s="24"/>
      <c r="D182" s="24"/>
      <c r="E182" s="24"/>
      <c r="F182" s="24"/>
      <c r="G182" s="73"/>
      <c r="H182" s="87">
        <v>177</v>
      </c>
      <c r="I182" s="88" t="str">
        <f t="shared" si="15"/>
        <v/>
      </c>
      <c r="J182" s="87">
        <f t="shared" si="20"/>
        <v>-1</v>
      </c>
      <c r="K182" s="87">
        <f t="shared" si="16"/>
        <v>-10</v>
      </c>
      <c r="L182" s="87"/>
      <c r="M182" s="89">
        <f t="shared" si="17"/>
        <v>0</v>
      </c>
      <c r="N182" s="89">
        <f t="shared" si="18"/>
        <v>0</v>
      </c>
      <c r="O182" s="73"/>
      <c r="P182" s="73"/>
      <c r="Q182" s="73"/>
      <c r="R182" s="73"/>
      <c r="S182" s="101"/>
      <c r="T182" s="102"/>
    </row>
    <row r="183" spans="1:20" s="78" customFormat="1">
      <c r="A183" s="90">
        <f t="shared" si="19"/>
        <v>0</v>
      </c>
      <c r="B183" s="35" t="str">
        <f t="shared" si="14"/>
        <v/>
      </c>
      <c r="C183" s="25"/>
      <c r="D183" s="25"/>
      <c r="E183" s="25"/>
      <c r="F183" s="25"/>
      <c r="G183" s="73"/>
      <c r="H183" s="91">
        <v>178</v>
      </c>
      <c r="I183" s="92" t="str">
        <f t="shared" si="15"/>
        <v/>
      </c>
      <c r="J183" s="91">
        <f t="shared" si="20"/>
        <v>-1</v>
      </c>
      <c r="K183" s="91">
        <f t="shared" si="16"/>
        <v>-10</v>
      </c>
      <c r="L183" s="91"/>
      <c r="M183" s="93">
        <f t="shared" si="17"/>
        <v>0</v>
      </c>
      <c r="N183" s="93">
        <f t="shared" si="18"/>
        <v>0</v>
      </c>
      <c r="O183" s="73"/>
      <c r="P183" s="73"/>
      <c r="Q183" s="73"/>
      <c r="R183" s="73"/>
      <c r="S183" s="73"/>
    </row>
    <row r="184" spans="1:20" s="78" customFormat="1">
      <c r="A184" s="86">
        <f t="shared" si="19"/>
        <v>0</v>
      </c>
      <c r="B184" s="36" t="str">
        <f t="shared" si="14"/>
        <v/>
      </c>
      <c r="C184" s="24"/>
      <c r="D184" s="24"/>
      <c r="E184" s="24"/>
      <c r="F184" s="24"/>
      <c r="G184" s="73"/>
      <c r="H184" s="87">
        <v>179</v>
      </c>
      <c r="I184" s="88" t="str">
        <f t="shared" si="15"/>
        <v/>
      </c>
      <c r="J184" s="87">
        <f t="shared" si="20"/>
        <v>-1</v>
      </c>
      <c r="K184" s="87">
        <f t="shared" si="16"/>
        <v>-10</v>
      </c>
      <c r="L184" s="87"/>
      <c r="M184" s="89">
        <f t="shared" si="17"/>
        <v>0</v>
      </c>
      <c r="N184" s="89">
        <f t="shared" si="18"/>
        <v>0</v>
      </c>
      <c r="O184" s="73"/>
      <c r="P184" s="73"/>
      <c r="Q184" s="73"/>
      <c r="R184" s="73"/>
      <c r="S184" s="101"/>
      <c r="T184" s="102"/>
    </row>
    <row r="185" spans="1:20" s="78" customFormat="1">
      <c r="A185" s="90">
        <f t="shared" si="19"/>
        <v>0</v>
      </c>
      <c r="B185" s="35" t="str">
        <f t="shared" si="14"/>
        <v/>
      </c>
      <c r="C185" s="25"/>
      <c r="D185" s="25"/>
      <c r="E185" s="25"/>
      <c r="F185" s="25"/>
      <c r="G185" s="73"/>
      <c r="H185" s="91">
        <v>180</v>
      </c>
      <c r="I185" s="92" t="str">
        <f t="shared" si="15"/>
        <v/>
      </c>
      <c r="J185" s="91">
        <f t="shared" si="20"/>
        <v>-1</v>
      </c>
      <c r="K185" s="91">
        <f t="shared" si="16"/>
        <v>-10</v>
      </c>
      <c r="L185" s="91"/>
      <c r="M185" s="93">
        <f t="shared" si="17"/>
        <v>0</v>
      </c>
      <c r="N185" s="93">
        <f t="shared" si="18"/>
        <v>0</v>
      </c>
      <c r="O185" s="73"/>
      <c r="P185" s="73"/>
      <c r="Q185" s="73"/>
      <c r="R185" s="73"/>
      <c r="S185" s="73"/>
    </row>
    <row r="186" spans="1:20" s="78" customFormat="1">
      <c r="A186" s="86">
        <f t="shared" si="19"/>
        <v>0</v>
      </c>
      <c r="B186" s="36" t="str">
        <f t="shared" si="14"/>
        <v/>
      </c>
      <c r="C186" s="24"/>
      <c r="D186" s="24"/>
      <c r="E186" s="24"/>
      <c r="F186" s="24"/>
      <c r="G186" s="73"/>
      <c r="H186" s="87">
        <v>181</v>
      </c>
      <c r="I186" s="88" t="str">
        <f t="shared" si="15"/>
        <v/>
      </c>
      <c r="J186" s="87">
        <f t="shared" si="20"/>
        <v>-1</v>
      </c>
      <c r="K186" s="87">
        <f t="shared" si="16"/>
        <v>-10</v>
      </c>
      <c r="L186" s="87"/>
      <c r="M186" s="89">
        <f t="shared" si="17"/>
        <v>0</v>
      </c>
      <c r="N186" s="89">
        <f t="shared" si="18"/>
        <v>0</v>
      </c>
      <c r="O186" s="73"/>
      <c r="P186" s="73"/>
      <c r="Q186" s="73"/>
      <c r="R186" s="73"/>
      <c r="S186" s="101"/>
      <c r="T186" s="102"/>
    </row>
    <row r="187" spans="1:20" s="78" customFormat="1">
      <c r="A187" s="90">
        <f t="shared" si="19"/>
        <v>0</v>
      </c>
      <c r="B187" s="35" t="str">
        <f t="shared" si="14"/>
        <v/>
      </c>
      <c r="C187" s="25"/>
      <c r="D187" s="25"/>
      <c r="E187" s="25"/>
      <c r="F187" s="25"/>
      <c r="G187" s="73"/>
      <c r="H187" s="91">
        <v>182</v>
      </c>
      <c r="I187" s="92" t="str">
        <f t="shared" si="15"/>
        <v/>
      </c>
      <c r="J187" s="91">
        <f t="shared" si="20"/>
        <v>-1</v>
      </c>
      <c r="K187" s="91">
        <f t="shared" si="16"/>
        <v>-10</v>
      </c>
      <c r="L187" s="91"/>
      <c r="M187" s="93">
        <f t="shared" si="17"/>
        <v>0</v>
      </c>
      <c r="N187" s="93">
        <f t="shared" si="18"/>
        <v>0</v>
      </c>
      <c r="O187" s="73"/>
      <c r="P187" s="73"/>
      <c r="Q187" s="73"/>
      <c r="R187" s="73"/>
      <c r="S187" s="73"/>
    </row>
    <row r="188" spans="1:20" s="78" customFormat="1">
      <c r="A188" s="86">
        <f t="shared" si="19"/>
        <v>0</v>
      </c>
      <c r="B188" s="36" t="str">
        <f t="shared" si="14"/>
        <v/>
      </c>
      <c r="C188" s="24"/>
      <c r="D188" s="24"/>
      <c r="E188" s="24"/>
      <c r="F188" s="24"/>
      <c r="G188" s="73"/>
      <c r="H188" s="87">
        <v>183</v>
      </c>
      <c r="I188" s="88" t="str">
        <f t="shared" si="15"/>
        <v/>
      </c>
      <c r="J188" s="87">
        <f t="shared" si="20"/>
        <v>-1</v>
      </c>
      <c r="K188" s="87">
        <f t="shared" si="16"/>
        <v>-10</v>
      </c>
      <c r="L188" s="87"/>
      <c r="M188" s="89">
        <f t="shared" si="17"/>
        <v>0</v>
      </c>
      <c r="N188" s="89">
        <f t="shared" si="18"/>
        <v>0</v>
      </c>
      <c r="O188" s="73"/>
      <c r="P188" s="73"/>
      <c r="Q188" s="73"/>
      <c r="R188" s="73"/>
      <c r="S188" s="101"/>
      <c r="T188" s="102"/>
    </row>
    <row r="189" spans="1:20" s="78" customFormat="1">
      <c r="A189" s="90">
        <f t="shared" si="19"/>
        <v>0</v>
      </c>
      <c r="B189" s="35" t="str">
        <f t="shared" si="14"/>
        <v/>
      </c>
      <c r="C189" s="25"/>
      <c r="D189" s="25"/>
      <c r="E189" s="25"/>
      <c r="F189" s="25"/>
      <c r="G189" s="73"/>
      <c r="H189" s="91">
        <v>184</v>
      </c>
      <c r="I189" s="92" t="str">
        <f t="shared" si="15"/>
        <v/>
      </c>
      <c r="J189" s="91">
        <f t="shared" si="20"/>
        <v>-1</v>
      </c>
      <c r="K189" s="91">
        <f t="shared" si="16"/>
        <v>-10</v>
      </c>
      <c r="L189" s="91"/>
      <c r="M189" s="93">
        <f t="shared" si="17"/>
        <v>0</v>
      </c>
      <c r="N189" s="93">
        <f t="shared" si="18"/>
        <v>0</v>
      </c>
      <c r="O189" s="73"/>
      <c r="P189" s="73"/>
      <c r="Q189" s="73"/>
      <c r="R189" s="73"/>
      <c r="S189" s="73"/>
    </row>
    <row r="190" spans="1:20" s="78" customFormat="1">
      <c r="A190" s="86">
        <f t="shared" si="19"/>
        <v>0</v>
      </c>
      <c r="B190" s="36" t="str">
        <f t="shared" si="14"/>
        <v/>
      </c>
      <c r="C190" s="24"/>
      <c r="D190" s="24"/>
      <c r="E190" s="24"/>
      <c r="F190" s="24"/>
      <c r="G190" s="73"/>
      <c r="H190" s="87">
        <v>185</v>
      </c>
      <c r="I190" s="88" t="str">
        <f t="shared" si="15"/>
        <v/>
      </c>
      <c r="J190" s="87">
        <f t="shared" si="20"/>
        <v>-1</v>
      </c>
      <c r="K190" s="87">
        <f t="shared" si="16"/>
        <v>-10</v>
      </c>
      <c r="L190" s="87"/>
      <c r="M190" s="89">
        <f t="shared" si="17"/>
        <v>0</v>
      </c>
      <c r="N190" s="89">
        <f t="shared" si="18"/>
        <v>0</v>
      </c>
      <c r="O190" s="73"/>
      <c r="P190" s="73"/>
      <c r="Q190" s="73"/>
      <c r="R190" s="73"/>
      <c r="S190" s="101"/>
      <c r="T190" s="102"/>
    </row>
    <row r="191" spans="1:20" s="78" customFormat="1">
      <c r="A191" s="90">
        <f t="shared" si="19"/>
        <v>0</v>
      </c>
      <c r="B191" s="35" t="str">
        <f t="shared" si="14"/>
        <v/>
      </c>
      <c r="C191" s="25"/>
      <c r="D191" s="25"/>
      <c r="E191" s="25"/>
      <c r="F191" s="25"/>
      <c r="G191" s="73"/>
      <c r="H191" s="91">
        <v>186</v>
      </c>
      <c r="I191" s="92" t="str">
        <f t="shared" si="15"/>
        <v/>
      </c>
      <c r="J191" s="91">
        <f t="shared" si="20"/>
        <v>-1</v>
      </c>
      <c r="K191" s="91">
        <f t="shared" si="16"/>
        <v>-10</v>
      </c>
      <c r="L191" s="91"/>
      <c r="M191" s="93">
        <f t="shared" si="17"/>
        <v>0</v>
      </c>
      <c r="N191" s="93">
        <f t="shared" si="18"/>
        <v>0</v>
      </c>
      <c r="O191" s="73"/>
      <c r="P191" s="73"/>
      <c r="Q191" s="73"/>
      <c r="R191" s="73"/>
      <c r="S191" s="73"/>
    </row>
    <row r="192" spans="1:20" s="78" customFormat="1">
      <c r="A192" s="86">
        <f t="shared" si="19"/>
        <v>0</v>
      </c>
      <c r="B192" s="36" t="str">
        <f t="shared" si="14"/>
        <v/>
      </c>
      <c r="C192" s="24"/>
      <c r="D192" s="24"/>
      <c r="E192" s="24"/>
      <c r="F192" s="24"/>
      <c r="G192" s="73"/>
      <c r="H192" s="87">
        <v>187</v>
      </c>
      <c r="I192" s="88" t="str">
        <f t="shared" si="15"/>
        <v/>
      </c>
      <c r="J192" s="87">
        <f t="shared" si="20"/>
        <v>-1</v>
      </c>
      <c r="K192" s="87">
        <f t="shared" si="16"/>
        <v>-10</v>
      </c>
      <c r="L192" s="87"/>
      <c r="M192" s="89">
        <f t="shared" si="17"/>
        <v>0</v>
      </c>
      <c r="N192" s="89">
        <f t="shared" si="18"/>
        <v>0</v>
      </c>
      <c r="O192" s="73"/>
      <c r="P192" s="73"/>
      <c r="Q192" s="73"/>
      <c r="R192" s="73"/>
      <c r="S192" s="101"/>
      <c r="T192" s="102"/>
    </row>
    <row r="193" spans="1:20" s="78" customFormat="1">
      <c r="A193" s="90">
        <f t="shared" si="19"/>
        <v>0</v>
      </c>
      <c r="B193" s="35" t="str">
        <f t="shared" si="14"/>
        <v/>
      </c>
      <c r="C193" s="25"/>
      <c r="D193" s="25"/>
      <c r="E193" s="25"/>
      <c r="F193" s="25"/>
      <c r="G193" s="73"/>
      <c r="H193" s="91">
        <v>188</v>
      </c>
      <c r="I193" s="92" t="str">
        <f t="shared" si="15"/>
        <v/>
      </c>
      <c r="J193" s="91">
        <f t="shared" si="20"/>
        <v>-1</v>
      </c>
      <c r="K193" s="91">
        <f t="shared" si="16"/>
        <v>-10</v>
      </c>
      <c r="L193" s="91"/>
      <c r="M193" s="93">
        <f t="shared" si="17"/>
        <v>0</v>
      </c>
      <c r="N193" s="93">
        <f t="shared" si="18"/>
        <v>0</v>
      </c>
      <c r="O193" s="73"/>
      <c r="P193" s="73"/>
      <c r="Q193" s="73"/>
      <c r="R193" s="73"/>
      <c r="S193" s="73"/>
    </row>
    <row r="194" spans="1:20" s="78" customFormat="1">
      <c r="A194" s="86">
        <f t="shared" si="19"/>
        <v>0</v>
      </c>
      <c r="B194" s="36" t="str">
        <f t="shared" si="14"/>
        <v/>
      </c>
      <c r="C194" s="24"/>
      <c r="D194" s="24"/>
      <c r="E194" s="24"/>
      <c r="F194" s="24"/>
      <c r="G194" s="73"/>
      <c r="H194" s="87">
        <v>189</v>
      </c>
      <c r="I194" s="88" t="str">
        <f t="shared" si="15"/>
        <v/>
      </c>
      <c r="J194" s="87">
        <f t="shared" si="20"/>
        <v>-1</v>
      </c>
      <c r="K194" s="87">
        <f t="shared" si="16"/>
        <v>-10</v>
      </c>
      <c r="L194" s="87"/>
      <c r="M194" s="89">
        <f t="shared" si="17"/>
        <v>0</v>
      </c>
      <c r="N194" s="89">
        <f t="shared" si="18"/>
        <v>0</v>
      </c>
      <c r="O194" s="73"/>
      <c r="P194" s="73"/>
      <c r="Q194" s="73"/>
      <c r="R194" s="73"/>
      <c r="S194" s="101"/>
      <c r="T194" s="102"/>
    </row>
    <row r="195" spans="1:20" s="78" customFormat="1">
      <c r="A195" s="90">
        <f t="shared" si="19"/>
        <v>0</v>
      </c>
      <c r="B195" s="35" t="str">
        <f t="shared" si="14"/>
        <v/>
      </c>
      <c r="C195" s="25"/>
      <c r="D195" s="25"/>
      <c r="E195" s="25"/>
      <c r="F195" s="25"/>
      <c r="G195" s="73"/>
      <c r="H195" s="91">
        <v>190</v>
      </c>
      <c r="I195" s="92" t="str">
        <f t="shared" si="15"/>
        <v/>
      </c>
      <c r="J195" s="91">
        <f t="shared" si="20"/>
        <v>-1</v>
      </c>
      <c r="K195" s="91">
        <f t="shared" si="16"/>
        <v>-10</v>
      </c>
      <c r="L195" s="91"/>
      <c r="M195" s="93">
        <f t="shared" si="17"/>
        <v>0</v>
      </c>
      <c r="N195" s="93">
        <f t="shared" si="18"/>
        <v>0</v>
      </c>
      <c r="O195" s="73"/>
      <c r="P195" s="73"/>
      <c r="Q195" s="73"/>
      <c r="R195" s="73"/>
      <c r="S195" s="73"/>
    </row>
    <row r="196" spans="1:20" s="78" customFormat="1">
      <c r="A196" s="86">
        <f t="shared" si="19"/>
        <v>0</v>
      </c>
      <c r="B196" s="36" t="str">
        <f t="shared" si="14"/>
        <v/>
      </c>
      <c r="C196" s="24"/>
      <c r="D196" s="24"/>
      <c r="E196" s="24"/>
      <c r="F196" s="24"/>
      <c r="G196" s="73"/>
      <c r="H196" s="87">
        <v>191</v>
      </c>
      <c r="I196" s="88" t="str">
        <f t="shared" si="15"/>
        <v/>
      </c>
      <c r="J196" s="87">
        <f t="shared" si="20"/>
        <v>-1</v>
      </c>
      <c r="K196" s="87">
        <f t="shared" si="16"/>
        <v>-10</v>
      </c>
      <c r="L196" s="87"/>
      <c r="M196" s="89">
        <f t="shared" si="17"/>
        <v>0</v>
      </c>
      <c r="N196" s="89">
        <f t="shared" si="18"/>
        <v>0</v>
      </c>
      <c r="O196" s="73"/>
      <c r="P196" s="73"/>
      <c r="Q196" s="73"/>
      <c r="R196" s="73"/>
      <c r="S196" s="101"/>
      <c r="T196" s="102"/>
    </row>
    <row r="197" spans="1:20" s="78" customFormat="1">
      <c r="A197" s="90">
        <f t="shared" si="19"/>
        <v>0</v>
      </c>
      <c r="B197" s="35" t="str">
        <f t="shared" si="14"/>
        <v/>
      </c>
      <c r="C197" s="25"/>
      <c r="D197" s="25"/>
      <c r="E197" s="25"/>
      <c r="F197" s="25"/>
      <c r="G197" s="73"/>
      <c r="H197" s="91">
        <v>192</v>
      </c>
      <c r="I197" s="92" t="str">
        <f t="shared" si="15"/>
        <v/>
      </c>
      <c r="J197" s="91">
        <f t="shared" si="20"/>
        <v>-1</v>
      </c>
      <c r="K197" s="91">
        <f t="shared" si="16"/>
        <v>-10</v>
      </c>
      <c r="L197" s="91"/>
      <c r="M197" s="93">
        <f t="shared" si="17"/>
        <v>0</v>
      </c>
      <c r="N197" s="93">
        <f t="shared" si="18"/>
        <v>0</v>
      </c>
      <c r="O197" s="73"/>
      <c r="P197" s="73"/>
      <c r="Q197" s="73"/>
      <c r="R197" s="73"/>
      <c r="S197" s="73"/>
    </row>
    <row r="198" spans="1:20" s="78" customFormat="1">
      <c r="A198" s="86">
        <f t="shared" si="19"/>
        <v>0</v>
      </c>
      <c r="B198" s="36" t="str">
        <f t="shared" ref="B198:B229" si="21">IF(H198&gt;$H$2,"",(ROW()-5))</f>
        <v/>
      </c>
      <c r="C198" s="24"/>
      <c r="D198" s="24"/>
      <c r="E198" s="24"/>
      <c r="F198" s="24"/>
      <c r="G198" s="73"/>
      <c r="H198" s="87">
        <v>193</v>
      </c>
      <c r="I198" s="88" t="str">
        <f t="shared" ref="I198:I261" si="22">IF(H198&lt;$H$2+1,($I$2-($I$2-1)*(LOG(H198)/LOG($H$2))),"")</f>
        <v/>
      </c>
      <c r="J198" s="87">
        <f t="shared" si="20"/>
        <v>-1</v>
      </c>
      <c r="K198" s="87">
        <f t="shared" ref="K198:K261" si="23">J198*$J$2</f>
        <v>-10</v>
      </c>
      <c r="L198" s="87"/>
      <c r="M198" s="89">
        <f t="shared" ref="M198:M261" si="24">IF(I198&lt;&gt;"",K198+I198+L198,0)</f>
        <v>0</v>
      </c>
      <c r="N198" s="89">
        <f t="shared" ref="N198:N261" si="25">IF(I198&lt;&gt;"",M198*L$2,0)</f>
        <v>0</v>
      </c>
      <c r="O198" s="73"/>
      <c r="P198" s="73"/>
      <c r="Q198" s="73"/>
      <c r="R198" s="73"/>
      <c r="S198" s="101"/>
      <c r="T198" s="102"/>
    </row>
    <row r="199" spans="1:20" s="78" customFormat="1">
      <c r="A199" s="90">
        <f t="shared" ref="A199:A262" si="26">N199</f>
        <v>0</v>
      </c>
      <c r="B199" s="35" t="str">
        <f t="shared" si="21"/>
        <v/>
      </c>
      <c r="C199" s="25"/>
      <c r="D199" s="25"/>
      <c r="E199" s="25"/>
      <c r="F199" s="25"/>
      <c r="G199" s="73"/>
      <c r="H199" s="91">
        <v>194</v>
      </c>
      <c r="I199" s="92" t="str">
        <f t="shared" si="22"/>
        <v/>
      </c>
      <c r="J199" s="91">
        <f t="shared" ref="J199:J262" si="27">INT(LOG($H$2,2))-ROUNDUP(LOG(H199,2),0)+IF(OR($H$2=1,$H$2=2,$H$2=4,$H$2=8,$H$2=16,$H$2=32,$H$2=64,$H$2=128,$H$2=256),0,1)</f>
        <v>-1</v>
      </c>
      <c r="K199" s="91">
        <f t="shared" si="23"/>
        <v>-10</v>
      </c>
      <c r="L199" s="91"/>
      <c r="M199" s="93">
        <f t="shared" si="24"/>
        <v>0</v>
      </c>
      <c r="N199" s="93">
        <f t="shared" si="25"/>
        <v>0</v>
      </c>
      <c r="O199" s="73"/>
      <c r="P199" s="73"/>
      <c r="Q199" s="73"/>
      <c r="R199" s="73"/>
      <c r="S199" s="73"/>
    </row>
    <row r="200" spans="1:20" s="78" customFormat="1">
      <c r="A200" s="86">
        <f t="shared" si="26"/>
        <v>0</v>
      </c>
      <c r="B200" s="36" t="str">
        <f t="shared" si="21"/>
        <v/>
      </c>
      <c r="C200" s="24"/>
      <c r="D200" s="24"/>
      <c r="E200" s="24"/>
      <c r="F200" s="24"/>
      <c r="G200" s="73"/>
      <c r="H200" s="87">
        <v>195</v>
      </c>
      <c r="I200" s="88" t="str">
        <f t="shared" si="22"/>
        <v/>
      </c>
      <c r="J200" s="87">
        <f t="shared" si="27"/>
        <v>-1</v>
      </c>
      <c r="K200" s="87">
        <f t="shared" si="23"/>
        <v>-10</v>
      </c>
      <c r="L200" s="87"/>
      <c r="M200" s="89">
        <f t="shared" si="24"/>
        <v>0</v>
      </c>
      <c r="N200" s="89">
        <f t="shared" si="25"/>
        <v>0</v>
      </c>
      <c r="O200" s="73"/>
      <c r="P200" s="73"/>
      <c r="Q200" s="73"/>
      <c r="R200" s="73"/>
      <c r="S200" s="101"/>
      <c r="T200" s="102"/>
    </row>
    <row r="201" spans="1:20" s="78" customFormat="1">
      <c r="A201" s="90">
        <f t="shared" si="26"/>
        <v>0</v>
      </c>
      <c r="B201" s="35" t="str">
        <f t="shared" si="21"/>
        <v/>
      </c>
      <c r="C201" s="25"/>
      <c r="D201" s="25"/>
      <c r="E201" s="25"/>
      <c r="F201" s="25"/>
      <c r="G201" s="73"/>
      <c r="H201" s="91">
        <v>196</v>
      </c>
      <c r="I201" s="92" t="str">
        <f t="shared" si="22"/>
        <v/>
      </c>
      <c r="J201" s="91">
        <f t="shared" si="27"/>
        <v>-1</v>
      </c>
      <c r="K201" s="91">
        <f t="shared" si="23"/>
        <v>-10</v>
      </c>
      <c r="L201" s="91"/>
      <c r="M201" s="93">
        <f t="shared" si="24"/>
        <v>0</v>
      </c>
      <c r="N201" s="93">
        <f t="shared" si="25"/>
        <v>0</v>
      </c>
      <c r="O201" s="73"/>
      <c r="P201" s="73"/>
      <c r="Q201" s="73"/>
      <c r="R201" s="73"/>
      <c r="S201" s="73"/>
    </row>
    <row r="202" spans="1:20" s="78" customFormat="1">
      <c r="A202" s="86">
        <f t="shared" si="26"/>
        <v>0</v>
      </c>
      <c r="B202" s="36" t="str">
        <f t="shared" si="21"/>
        <v/>
      </c>
      <c r="C202" s="24"/>
      <c r="D202" s="24"/>
      <c r="E202" s="24"/>
      <c r="F202" s="24"/>
      <c r="G202" s="73"/>
      <c r="H202" s="87">
        <v>197</v>
      </c>
      <c r="I202" s="88" t="str">
        <f t="shared" si="22"/>
        <v/>
      </c>
      <c r="J202" s="87">
        <f t="shared" si="27"/>
        <v>-1</v>
      </c>
      <c r="K202" s="87">
        <f t="shared" si="23"/>
        <v>-10</v>
      </c>
      <c r="L202" s="87"/>
      <c r="M202" s="89">
        <f t="shared" si="24"/>
        <v>0</v>
      </c>
      <c r="N202" s="89">
        <f t="shared" si="25"/>
        <v>0</v>
      </c>
      <c r="O202" s="73"/>
      <c r="P202" s="73"/>
      <c r="Q202" s="73"/>
      <c r="R202" s="73"/>
      <c r="S202" s="101"/>
      <c r="T202" s="102"/>
    </row>
    <row r="203" spans="1:20" s="78" customFormat="1">
      <c r="A203" s="90">
        <f t="shared" si="26"/>
        <v>0</v>
      </c>
      <c r="B203" s="35" t="str">
        <f t="shared" si="21"/>
        <v/>
      </c>
      <c r="C203" s="25"/>
      <c r="D203" s="25"/>
      <c r="E203" s="25"/>
      <c r="F203" s="25"/>
      <c r="G203" s="73"/>
      <c r="H203" s="91">
        <v>198</v>
      </c>
      <c r="I203" s="92" t="str">
        <f t="shared" si="22"/>
        <v/>
      </c>
      <c r="J203" s="91">
        <f t="shared" si="27"/>
        <v>-1</v>
      </c>
      <c r="K203" s="91">
        <f t="shared" si="23"/>
        <v>-10</v>
      </c>
      <c r="L203" s="91"/>
      <c r="M203" s="93">
        <f t="shared" si="24"/>
        <v>0</v>
      </c>
      <c r="N203" s="93">
        <f t="shared" si="25"/>
        <v>0</v>
      </c>
      <c r="O203" s="73"/>
      <c r="P203" s="73"/>
      <c r="Q203" s="73"/>
      <c r="R203" s="73"/>
      <c r="S203" s="73"/>
    </row>
    <row r="204" spans="1:20" s="78" customFormat="1">
      <c r="A204" s="86">
        <f t="shared" si="26"/>
        <v>0</v>
      </c>
      <c r="B204" s="36" t="str">
        <f t="shared" si="21"/>
        <v/>
      </c>
      <c r="C204" s="24"/>
      <c r="D204" s="24"/>
      <c r="E204" s="24"/>
      <c r="F204" s="24"/>
      <c r="G204" s="73"/>
      <c r="H204" s="87">
        <v>199</v>
      </c>
      <c r="I204" s="88" t="str">
        <f t="shared" si="22"/>
        <v/>
      </c>
      <c r="J204" s="87">
        <f t="shared" si="27"/>
        <v>-1</v>
      </c>
      <c r="K204" s="87">
        <f t="shared" si="23"/>
        <v>-10</v>
      </c>
      <c r="L204" s="87"/>
      <c r="M204" s="89">
        <f t="shared" si="24"/>
        <v>0</v>
      </c>
      <c r="N204" s="89">
        <f t="shared" si="25"/>
        <v>0</v>
      </c>
      <c r="O204" s="73"/>
      <c r="P204" s="73"/>
      <c r="Q204" s="73"/>
      <c r="R204" s="73"/>
      <c r="S204" s="101"/>
      <c r="T204" s="102"/>
    </row>
    <row r="205" spans="1:20" s="78" customFormat="1">
      <c r="A205" s="90">
        <f t="shared" si="26"/>
        <v>0</v>
      </c>
      <c r="B205" s="35" t="str">
        <f t="shared" si="21"/>
        <v/>
      </c>
      <c r="C205" s="25"/>
      <c r="D205" s="25"/>
      <c r="E205" s="25"/>
      <c r="F205" s="25"/>
      <c r="G205" s="73"/>
      <c r="H205" s="91">
        <v>200</v>
      </c>
      <c r="I205" s="92" t="str">
        <f t="shared" si="22"/>
        <v/>
      </c>
      <c r="J205" s="91">
        <f t="shared" si="27"/>
        <v>-1</v>
      </c>
      <c r="K205" s="91">
        <f t="shared" si="23"/>
        <v>-10</v>
      </c>
      <c r="L205" s="91"/>
      <c r="M205" s="93">
        <f t="shared" si="24"/>
        <v>0</v>
      </c>
      <c r="N205" s="93">
        <f t="shared" si="25"/>
        <v>0</v>
      </c>
      <c r="O205" s="73"/>
      <c r="P205" s="73"/>
      <c r="Q205" s="73"/>
      <c r="R205" s="73"/>
      <c r="S205" s="73"/>
    </row>
    <row r="206" spans="1:20" s="78" customFormat="1">
      <c r="A206" s="86">
        <f t="shared" si="26"/>
        <v>0</v>
      </c>
      <c r="B206" s="36" t="str">
        <f t="shared" si="21"/>
        <v/>
      </c>
      <c r="C206" s="24"/>
      <c r="D206" s="24"/>
      <c r="E206" s="24"/>
      <c r="F206" s="24"/>
      <c r="G206" s="73"/>
      <c r="H206" s="87">
        <v>201</v>
      </c>
      <c r="I206" s="88" t="str">
        <f t="shared" si="22"/>
        <v/>
      </c>
      <c r="J206" s="87">
        <f t="shared" si="27"/>
        <v>-1</v>
      </c>
      <c r="K206" s="87">
        <f t="shared" si="23"/>
        <v>-10</v>
      </c>
      <c r="L206" s="87"/>
      <c r="M206" s="89">
        <f t="shared" si="24"/>
        <v>0</v>
      </c>
      <c r="N206" s="89">
        <f t="shared" si="25"/>
        <v>0</v>
      </c>
      <c r="O206" s="73"/>
      <c r="P206" s="73"/>
      <c r="Q206" s="73"/>
      <c r="R206" s="73"/>
      <c r="S206" s="101"/>
      <c r="T206" s="102"/>
    </row>
    <row r="207" spans="1:20" s="78" customFormat="1">
      <c r="A207" s="90">
        <f t="shared" si="26"/>
        <v>0</v>
      </c>
      <c r="B207" s="35" t="str">
        <f t="shared" si="21"/>
        <v/>
      </c>
      <c r="C207" s="25"/>
      <c r="D207" s="25"/>
      <c r="E207" s="25"/>
      <c r="F207" s="25"/>
      <c r="G207" s="73"/>
      <c r="H207" s="91">
        <v>202</v>
      </c>
      <c r="I207" s="92" t="str">
        <f t="shared" si="22"/>
        <v/>
      </c>
      <c r="J207" s="91">
        <f t="shared" si="27"/>
        <v>-1</v>
      </c>
      <c r="K207" s="91">
        <f t="shared" si="23"/>
        <v>-10</v>
      </c>
      <c r="L207" s="91"/>
      <c r="M207" s="93">
        <f t="shared" si="24"/>
        <v>0</v>
      </c>
      <c r="N207" s="93">
        <f t="shared" si="25"/>
        <v>0</v>
      </c>
      <c r="O207" s="73"/>
      <c r="P207" s="73"/>
      <c r="Q207" s="73"/>
      <c r="R207" s="73"/>
      <c r="S207" s="73"/>
    </row>
    <row r="208" spans="1:20" s="78" customFormat="1">
      <c r="A208" s="86">
        <f t="shared" si="26"/>
        <v>0</v>
      </c>
      <c r="B208" s="36" t="str">
        <f t="shared" si="21"/>
        <v/>
      </c>
      <c r="C208" s="24"/>
      <c r="D208" s="24"/>
      <c r="E208" s="24"/>
      <c r="F208" s="24"/>
      <c r="G208" s="73"/>
      <c r="H208" s="87">
        <v>203</v>
      </c>
      <c r="I208" s="88" t="str">
        <f t="shared" si="22"/>
        <v/>
      </c>
      <c r="J208" s="87">
        <f t="shared" si="27"/>
        <v>-1</v>
      </c>
      <c r="K208" s="87">
        <f t="shared" si="23"/>
        <v>-10</v>
      </c>
      <c r="L208" s="87"/>
      <c r="M208" s="89">
        <f t="shared" si="24"/>
        <v>0</v>
      </c>
      <c r="N208" s="89">
        <f t="shared" si="25"/>
        <v>0</v>
      </c>
      <c r="O208" s="73"/>
      <c r="P208" s="73"/>
      <c r="Q208" s="73"/>
      <c r="R208" s="73"/>
      <c r="S208" s="101"/>
      <c r="T208" s="102"/>
    </row>
    <row r="209" spans="1:20" s="78" customFormat="1">
      <c r="A209" s="90">
        <f t="shared" si="26"/>
        <v>0</v>
      </c>
      <c r="B209" s="35" t="str">
        <f t="shared" si="21"/>
        <v/>
      </c>
      <c r="C209" s="25"/>
      <c r="D209" s="25"/>
      <c r="E209" s="25"/>
      <c r="F209" s="25"/>
      <c r="G209" s="73"/>
      <c r="H209" s="91">
        <v>204</v>
      </c>
      <c r="I209" s="92" t="str">
        <f t="shared" si="22"/>
        <v/>
      </c>
      <c r="J209" s="91">
        <f t="shared" si="27"/>
        <v>-1</v>
      </c>
      <c r="K209" s="91">
        <f t="shared" si="23"/>
        <v>-10</v>
      </c>
      <c r="L209" s="91"/>
      <c r="M209" s="93">
        <f t="shared" si="24"/>
        <v>0</v>
      </c>
      <c r="N209" s="93">
        <f t="shared" si="25"/>
        <v>0</v>
      </c>
      <c r="O209" s="73"/>
      <c r="P209" s="73"/>
      <c r="Q209" s="73"/>
      <c r="R209" s="73"/>
      <c r="S209" s="73"/>
    </row>
    <row r="210" spans="1:20" s="78" customFormat="1">
      <c r="A210" s="86">
        <f t="shared" si="26"/>
        <v>0</v>
      </c>
      <c r="B210" s="36" t="str">
        <f t="shared" si="21"/>
        <v/>
      </c>
      <c r="C210" s="24"/>
      <c r="D210" s="24"/>
      <c r="E210" s="24"/>
      <c r="F210" s="24"/>
      <c r="G210" s="73"/>
      <c r="H210" s="87">
        <v>205</v>
      </c>
      <c r="I210" s="88" t="str">
        <f t="shared" si="22"/>
        <v/>
      </c>
      <c r="J210" s="87">
        <f t="shared" si="27"/>
        <v>-1</v>
      </c>
      <c r="K210" s="87">
        <f t="shared" si="23"/>
        <v>-10</v>
      </c>
      <c r="L210" s="87"/>
      <c r="M210" s="89">
        <f t="shared" si="24"/>
        <v>0</v>
      </c>
      <c r="N210" s="89">
        <f t="shared" si="25"/>
        <v>0</v>
      </c>
      <c r="O210" s="73"/>
      <c r="P210" s="73"/>
      <c r="Q210" s="73"/>
      <c r="R210" s="73"/>
      <c r="S210" s="101"/>
      <c r="T210" s="102"/>
    </row>
    <row r="211" spans="1:20" s="78" customFormat="1">
      <c r="A211" s="90">
        <f t="shared" si="26"/>
        <v>0</v>
      </c>
      <c r="B211" s="35" t="str">
        <f t="shared" si="21"/>
        <v/>
      </c>
      <c r="C211" s="25"/>
      <c r="D211" s="25"/>
      <c r="E211" s="25"/>
      <c r="F211" s="25"/>
      <c r="G211" s="73"/>
      <c r="H211" s="91">
        <v>206</v>
      </c>
      <c r="I211" s="92" t="str">
        <f t="shared" si="22"/>
        <v/>
      </c>
      <c r="J211" s="91">
        <f t="shared" si="27"/>
        <v>-1</v>
      </c>
      <c r="K211" s="91">
        <f t="shared" si="23"/>
        <v>-10</v>
      </c>
      <c r="L211" s="91"/>
      <c r="M211" s="93">
        <f t="shared" si="24"/>
        <v>0</v>
      </c>
      <c r="N211" s="93">
        <f t="shared" si="25"/>
        <v>0</v>
      </c>
      <c r="O211" s="73"/>
      <c r="P211" s="73"/>
      <c r="Q211" s="73"/>
      <c r="R211" s="73"/>
      <c r="S211" s="73"/>
    </row>
    <row r="212" spans="1:20" s="78" customFormat="1">
      <c r="A212" s="86">
        <f t="shared" si="26"/>
        <v>0</v>
      </c>
      <c r="B212" s="36" t="str">
        <f t="shared" si="21"/>
        <v/>
      </c>
      <c r="C212" s="24"/>
      <c r="D212" s="25"/>
      <c r="E212" s="25"/>
      <c r="F212" s="24"/>
      <c r="G212" s="73"/>
      <c r="H212" s="87">
        <v>207</v>
      </c>
      <c r="I212" s="88" t="str">
        <f t="shared" si="22"/>
        <v/>
      </c>
      <c r="J212" s="87">
        <f t="shared" si="27"/>
        <v>-1</v>
      </c>
      <c r="K212" s="87">
        <f t="shared" si="23"/>
        <v>-10</v>
      </c>
      <c r="L212" s="87"/>
      <c r="M212" s="89">
        <f t="shared" si="24"/>
        <v>0</v>
      </c>
      <c r="N212" s="89">
        <f t="shared" si="25"/>
        <v>0</v>
      </c>
      <c r="O212" s="73"/>
      <c r="P212" s="73"/>
      <c r="Q212" s="73"/>
      <c r="R212" s="73"/>
      <c r="S212" s="101"/>
      <c r="T212" s="102"/>
    </row>
    <row r="213" spans="1:20" s="78" customFormat="1">
      <c r="A213" s="90">
        <f t="shared" si="26"/>
        <v>0</v>
      </c>
      <c r="B213" s="35" t="str">
        <f t="shared" si="21"/>
        <v/>
      </c>
      <c r="C213" s="25"/>
      <c r="D213" s="25"/>
      <c r="E213" s="25"/>
      <c r="F213" s="25"/>
      <c r="G213" s="73"/>
      <c r="H213" s="91">
        <v>208</v>
      </c>
      <c r="I213" s="92" t="str">
        <f t="shared" si="22"/>
        <v/>
      </c>
      <c r="J213" s="91">
        <f t="shared" si="27"/>
        <v>-1</v>
      </c>
      <c r="K213" s="91">
        <f t="shared" si="23"/>
        <v>-10</v>
      </c>
      <c r="L213" s="91"/>
      <c r="M213" s="93">
        <f t="shared" si="24"/>
        <v>0</v>
      </c>
      <c r="N213" s="93">
        <f t="shared" si="25"/>
        <v>0</v>
      </c>
      <c r="O213" s="73"/>
      <c r="P213" s="73"/>
      <c r="Q213" s="73"/>
      <c r="R213" s="73"/>
      <c r="S213" s="73"/>
    </row>
    <row r="214" spans="1:20" s="78" customFormat="1">
      <c r="A214" s="86">
        <f t="shared" si="26"/>
        <v>0</v>
      </c>
      <c r="B214" s="36" t="str">
        <f t="shared" si="21"/>
        <v/>
      </c>
      <c r="C214" s="24"/>
      <c r="D214" s="24"/>
      <c r="E214" s="24"/>
      <c r="F214" s="24"/>
      <c r="G214" s="73"/>
      <c r="H214" s="87">
        <v>209</v>
      </c>
      <c r="I214" s="88" t="str">
        <f t="shared" si="22"/>
        <v/>
      </c>
      <c r="J214" s="87">
        <f t="shared" si="27"/>
        <v>-1</v>
      </c>
      <c r="K214" s="87">
        <f t="shared" si="23"/>
        <v>-10</v>
      </c>
      <c r="L214" s="87"/>
      <c r="M214" s="89">
        <f t="shared" si="24"/>
        <v>0</v>
      </c>
      <c r="N214" s="89">
        <f t="shared" si="25"/>
        <v>0</v>
      </c>
      <c r="O214" s="73"/>
      <c r="P214" s="73"/>
      <c r="Q214" s="73"/>
      <c r="R214" s="73"/>
      <c r="S214" s="101"/>
      <c r="T214" s="102"/>
    </row>
    <row r="215" spans="1:20" s="78" customFormat="1">
      <c r="A215" s="90">
        <f t="shared" si="26"/>
        <v>0</v>
      </c>
      <c r="B215" s="35" t="str">
        <f t="shared" si="21"/>
        <v/>
      </c>
      <c r="C215" s="25"/>
      <c r="D215" s="25"/>
      <c r="E215" s="25"/>
      <c r="F215" s="25"/>
      <c r="G215" s="73"/>
      <c r="H215" s="91">
        <v>210</v>
      </c>
      <c r="I215" s="92" t="str">
        <f t="shared" si="22"/>
        <v/>
      </c>
      <c r="J215" s="91">
        <f t="shared" si="27"/>
        <v>-1</v>
      </c>
      <c r="K215" s="91">
        <f t="shared" si="23"/>
        <v>-10</v>
      </c>
      <c r="L215" s="91"/>
      <c r="M215" s="93">
        <f t="shared" si="24"/>
        <v>0</v>
      </c>
      <c r="N215" s="93">
        <f t="shared" si="25"/>
        <v>0</v>
      </c>
      <c r="O215" s="73"/>
      <c r="P215" s="73"/>
      <c r="Q215" s="73"/>
      <c r="R215" s="73"/>
      <c r="S215" s="73"/>
    </row>
    <row r="216" spans="1:20" s="78" customFormat="1">
      <c r="A216" s="86">
        <f t="shared" si="26"/>
        <v>0</v>
      </c>
      <c r="B216" s="36" t="str">
        <f t="shared" si="21"/>
        <v/>
      </c>
      <c r="C216" s="24"/>
      <c r="D216" s="24"/>
      <c r="E216" s="24"/>
      <c r="F216" s="24"/>
      <c r="G216" s="73"/>
      <c r="H216" s="87">
        <v>211</v>
      </c>
      <c r="I216" s="88" t="str">
        <f t="shared" si="22"/>
        <v/>
      </c>
      <c r="J216" s="87">
        <f t="shared" si="27"/>
        <v>-1</v>
      </c>
      <c r="K216" s="87">
        <f t="shared" si="23"/>
        <v>-10</v>
      </c>
      <c r="L216" s="87"/>
      <c r="M216" s="89">
        <f t="shared" si="24"/>
        <v>0</v>
      </c>
      <c r="N216" s="89">
        <f t="shared" si="25"/>
        <v>0</v>
      </c>
      <c r="O216" s="73"/>
      <c r="P216" s="73"/>
      <c r="Q216" s="73"/>
      <c r="R216" s="73"/>
      <c r="S216" s="101"/>
      <c r="T216" s="102"/>
    </row>
    <row r="217" spans="1:20" s="78" customFormat="1">
      <c r="A217" s="90">
        <f t="shared" si="26"/>
        <v>0</v>
      </c>
      <c r="B217" s="35" t="str">
        <f t="shared" si="21"/>
        <v/>
      </c>
      <c r="C217" s="25"/>
      <c r="D217" s="25"/>
      <c r="E217" s="25"/>
      <c r="F217" s="25"/>
      <c r="G217" s="73"/>
      <c r="H217" s="91">
        <v>212</v>
      </c>
      <c r="I217" s="92" t="str">
        <f t="shared" si="22"/>
        <v/>
      </c>
      <c r="J217" s="91">
        <f t="shared" si="27"/>
        <v>-1</v>
      </c>
      <c r="K217" s="91">
        <f t="shared" si="23"/>
        <v>-10</v>
      </c>
      <c r="L217" s="91"/>
      <c r="M217" s="93">
        <f t="shared" si="24"/>
        <v>0</v>
      </c>
      <c r="N217" s="93">
        <f t="shared" si="25"/>
        <v>0</v>
      </c>
      <c r="O217" s="73"/>
      <c r="P217" s="73"/>
      <c r="Q217" s="73"/>
      <c r="R217" s="73"/>
      <c r="S217" s="73"/>
    </row>
    <row r="218" spans="1:20" s="78" customFormat="1">
      <c r="A218" s="86">
        <f t="shared" si="26"/>
        <v>0</v>
      </c>
      <c r="B218" s="36" t="str">
        <f t="shared" si="21"/>
        <v/>
      </c>
      <c r="C218" s="24"/>
      <c r="D218" s="24"/>
      <c r="E218" s="24"/>
      <c r="F218" s="24"/>
      <c r="G218" s="73"/>
      <c r="H218" s="87">
        <v>213</v>
      </c>
      <c r="I218" s="88" t="str">
        <f t="shared" si="22"/>
        <v/>
      </c>
      <c r="J218" s="87">
        <f t="shared" si="27"/>
        <v>-1</v>
      </c>
      <c r="K218" s="87">
        <f t="shared" si="23"/>
        <v>-10</v>
      </c>
      <c r="L218" s="87"/>
      <c r="M218" s="89">
        <f t="shared" si="24"/>
        <v>0</v>
      </c>
      <c r="N218" s="89">
        <f t="shared" si="25"/>
        <v>0</v>
      </c>
      <c r="O218" s="73"/>
      <c r="P218" s="73"/>
      <c r="Q218" s="73"/>
      <c r="R218" s="73"/>
      <c r="S218" s="101"/>
      <c r="T218" s="102"/>
    </row>
    <row r="219" spans="1:20" s="78" customFormat="1">
      <c r="A219" s="90">
        <f t="shared" si="26"/>
        <v>0</v>
      </c>
      <c r="B219" s="35" t="str">
        <f t="shared" si="21"/>
        <v/>
      </c>
      <c r="C219" s="25"/>
      <c r="D219" s="25"/>
      <c r="E219" s="25"/>
      <c r="F219" s="25"/>
      <c r="G219" s="73"/>
      <c r="H219" s="91">
        <v>214</v>
      </c>
      <c r="I219" s="92" t="str">
        <f t="shared" si="22"/>
        <v/>
      </c>
      <c r="J219" s="91">
        <f t="shared" si="27"/>
        <v>-1</v>
      </c>
      <c r="K219" s="91">
        <f t="shared" si="23"/>
        <v>-10</v>
      </c>
      <c r="L219" s="91"/>
      <c r="M219" s="93">
        <f t="shared" si="24"/>
        <v>0</v>
      </c>
      <c r="N219" s="93">
        <f t="shared" si="25"/>
        <v>0</v>
      </c>
      <c r="O219" s="73"/>
      <c r="P219" s="73"/>
      <c r="Q219" s="73"/>
      <c r="R219" s="73"/>
      <c r="S219" s="73"/>
    </row>
    <row r="220" spans="1:20" s="78" customFormat="1">
      <c r="A220" s="86">
        <f t="shared" si="26"/>
        <v>0</v>
      </c>
      <c r="B220" s="36" t="str">
        <f t="shared" si="21"/>
        <v/>
      </c>
      <c r="C220" s="24"/>
      <c r="D220" s="24"/>
      <c r="E220" s="24"/>
      <c r="F220" s="24"/>
      <c r="G220" s="73"/>
      <c r="H220" s="87">
        <v>215</v>
      </c>
      <c r="I220" s="88" t="str">
        <f t="shared" si="22"/>
        <v/>
      </c>
      <c r="J220" s="87">
        <f t="shared" si="27"/>
        <v>-1</v>
      </c>
      <c r="K220" s="87">
        <f t="shared" si="23"/>
        <v>-10</v>
      </c>
      <c r="L220" s="87"/>
      <c r="M220" s="89">
        <f t="shared" si="24"/>
        <v>0</v>
      </c>
      <c r="N220" s="89">
        <f t="shared" si="25"/>
        <v>0</v>
      </c>
      <c r="O220" s="73"/>
      <c r="P220" s="73"/>
      <c r="Q220" s="73"/>
      <c r="R220" s="73"/>
      <c r="S220" s="101"/>
      <c r="T220" s="102"/>
    </row>
    <row r="221" spans="1:20" s="78" customFormat="1">
      <c r="A221" s="90">
        <f t="shared" si="26"/>
        <v>0</v>
      </c>
      <c r="B221" s="35" t="str">
        <f t="shared" si="21"/>
        <v/>
      </c>
      <c r="C221" s="25"/>
      <c r="D221" s="25"/>
      <c r="E221" s="25"/>
      <c r="F221" s="25"/>
      <c r="G221" s="73"/>
      <c r="H221" s="91">
        <v>216</v>
      </c>
      <c r="I221" s="92" t="str">
        <f t="shared" si="22"/>
        <v/>
      </c>
      <c r="J221" s="91">
        <f t="shared" si="27"/>
        <v>-1</v>
      </c>
      <c r="K221" s="91">
        <f t="shared" si="23"/>
        <v>-10</v>
      </c>
      <c r="L221" s="91"/>
      <c r="M221" s="93">
        <f t="shared" si="24"/>
        <v>0</v>
      </c>
      <c r="N221" s="93">
        <f t="shared" si="25"/>
        <v>0</v>
      </c>
      <c r="O221" s="73"/>
      <c r="P221" s="73"/>
      <c r="Q221" s="73"/>
      <c r="R221" s="73"/>
      <c r="S221" s="73"/>
    </row>
    <row r="222" spans="1:20" s="78" customFormat="1">
      <c r="A222" s="86">
        <f t="shared" si="26"/>
        <v>0</v>
      </c>
      <c r="B222" s="36" t="str">
        <f t="shared" si="21"/>
        <v/>
      </c>
      <c r="C222" s="24"/>
      <c r="D222" s="24"/>
      <c r="E222" s="24"/>
      <c r="F222" s="24"/>
      <c r="G222" s="73"/>
      <c r="H222" s="87">
        <v>217</v>
      </c>
      <c r="I222" s="88" t="str">
        <f t="shared" si="22"/>
        <v/>
      </c>
      <c r="J222" s="87">
        <f t="shared" si="27"/>
        <v>-1</v>
      </c>
      <c r="K222" s="87">
        <f t="shared" si="23"/>
        <v>-10</v>
      </c>
      <c r="L222" s="87"/>
      <c r="M222" s="89">
        <f t="shared" si="24"/>
        <v>0</v>
      </c>
      <c r="N222" s="89">
        <f t="shared" si="25"/>
        <v>0</v>
      </c>
      <c r="O222" s="73"/>
      <c r="P222" s="73"/>
      <c r="Q222" s="73"/>
      <c r="R222" s="73"/>
      <c r="S222" s="101"/>
      <c r="T222" s="102"/>
    </row>
    <row r="223" spans="1:20" s="78" customFormat="1">
      <c r="A223" s="90">
        <f t="shared" si="26"/>
        <v>0</v>
      </c>
      <c r="B223" s="35" t="str">
        <f t="shared" si="21"/>
        <v/>
      </c>
      <c r="C223" s="25"/>
      <c r="D223" s="25"/>
      <c r="E223" s="25"/>
      <c r="F223" s="25"/>
      <c r="G223" s="73"/>
      <c r="H223" s="91">
        <v>218</v>
      </c>
      <c r="I223" s="92" t="str">
        <f t="shared" si="22"/>
        <v/>
      </c>
      <c r="J223" s="91">
        <f t="shared" si="27"/>
        <v>-1</v>
      </c>
      <c r="K223" s="91">
        <f t="shared" si="23"/>
        <v>-10</v>
      </c>
      <c r="L223" s="91"/>
      <c r="M223" s="93">
        <f t="shared" si="24"/>
        <v>0</v>
      </c>
      <c r="N223" s="93">
        <f t="shared" si="25"/>
        <v>0</v>
      </c>
      <c r="O223" s="73"/>
      <c r="P223" s="73"/>
      <c r="Q223" s="73"/>
      <c r="R223" s="73"/>
      <c r="S223" s="73"/>
    </row>
    <row r="224" spans="1:20" s="78" customFormat="1">
      <c r="A224" s="86">
        <f t="shared" si="26"/>
        <v>0</v>
      </c>
      <c r="B224" s="36" t="str">
        <f t="shared" si="21"/>
        <v/>
      </c>
      <c r="C224" s="24"/>
      <c r="D224" s="24"/>
      <c r="E224" s="24"/>
      <c r="F224" s="24"/>
      <c r="G224" s="73"/>
      <c r="H224" s="87">
        <v>219</v>
      </c>
      <c r="I224" s="88" t="str">
        <f t="shared" si="22"/>
        <v/>
      </c>
      <c r="J224" s="87">
        <f t="shared" si="27"/>
        <v>-1</v>
      </c>
      <c r="K224" s="87">
        <f t="shared" si="23"/>
        <v>-10</v>
      </c>
      <c r="L224" s="87"/>
      <c r="M224" s="89">
        <f t="shared" si="24"/>
        <v>0</v>
      </c>
      <c r="N224" s="89">
        <f t="shared" si="25"/>
        <v>0</v>
      </c>
      <c r="O224" s="73"/>
      <c r="P224" s="73"/>
      <c r="Q224" s="73"/>
      <c r="R224" s="73"/>
      <c r="S224" s="101"/>
      <c r="T224" s="102"/>
    </row>
    <row r="225" spans="1:20" s="78" customFormat="1">
      <c r="A225" s="90">
        <f t="shared" si="26"/>
        <v>0</v>
      </c>
      <c r="B225" s="35" t="str">
        <f t="shared" si="21"/>
        <v/>
      </c>
      <c r="C225" s="25"/>
      <c r="D225" s="25"/>
      <c r="E225" s="25"/>
      <c r="F225" s="25"/>
      <c r="G225" s="73"/>
      <c r="H225" s="91">
        <v>220</v>
      </c>
      <c r="I225" s="92" t="str">
        <f t="shared" si="22"/>
        <v/>
      </c>
      <c r="J225" s="91">
        <f t="shared" si="27"/>
        <v>-1</v>
      </c>
      <c r="K225" s="91">
        <f t="shared" si="23"/>
        <v>-10</v>
      </c>
      <c r="L225" s="91"/>
      <c r="M225" s="93">
        <f t="shared" si="24"/>
        <v>0</v>
      </c>
      <c r="N225" s="93">
        <f t="shared" si="25"/>
        <v>0</v>
      </c>
      <c r="O225" s="73"/>
      <c r="P225" s="73"/>
      <c r="Q225" s="73"/>
      <c r="R225" s="73"/>
      <c r="S225" s="73"/>
    </row>
    <row r="226" spans="1:20" s="78" customFormat="1">
      <c r="A226" s="86">
        <f t="shared" si="26"/>
        <v>0</v>
      </c>
      <c r="B226" s="36" t="str">
        <f t="shared" si="21"/>
        <v/>
      </c>
      <c r="C226" s="24"/>
      <c r="D226" s="24"/>
      <c r="E226" s="24"/>
      <c r="F226" s="24"/>
      <c r="G226" s="73"/>
      <c r="H226" s="87">
        <v>221</v>
      </c>
      <c r="I226" s="88" t="str">
        <f t="shared" si="22"/>
        <v/>
      </c>
      <c r="J226" s="87">
        <f t="shared" si="27"/>
        <v>-1</v>
      </c>
      <c r="K226" s="87">
        <f t="shared" si="23"/>
        <v>-10</v>
      </c>
      <c r="L226" s="87"/>
      <c r="M226" s="89">
        <f t="shared" si="24"/>
        <v>0</v>
      </c>
      <c r="N226" s="89">
        <f t="shared" si="25"/>
        <v>0</v>
      </c>
      <c r="O226" s="73"/>
      <c r="P226" s="73"/>
      <c r="Q226" s="73"/>
      <c r="R226" s="73"/>
      <c r="S226" s="101"/>
      <c r="T226" s="102"/>
    </row>
    <row r="227" spans="1:20" s="78" customFormat="1">
      <c r="A227" s="90">
        <f t="shared" si="26"/>
        <v>0</v>
      </c>
      <c r="B227" s="35" t="str">
        <f t="shared" si="21"/>
        <v/>
      </c>
      <c r="C227" s="25"/>
      <c r="D227" s="25"/>
      <c r="E227" s="25"/>
      <c r="F227" s="25"/>
      <c r="G227" s="73"/>
      <c r="H227" s="91">
        <v>222</v>
      </c>
      <c r="I227" s="92" t="str">
        <f t="shared" si="22"/>
        <v/>
      </c>
      <c r="J227" s="91">
        <f t="shared" si="27"/>
        <v>-1</v>
      </c>
      <c r="K227" s="91">
        <f t="shared" si="23"/>
        <v>-10</v>
      </c>
      <c r="L227" s="91"/>
      <c r="M227" s="93">
        <f t="shared" si="24"/>
        <v>0</v>
      </c>
      <c r="N227" s="93">
        <f t="shared" si="25"/>
        <v>0</v>
      </c>
      <c r="O227" s="73"/>
      <c r="P227" s="73"/>
      <c r="Q227" s="73"/>
      <c r="R227" s="73"/>
      <c r="S227" s="73"/>
    </row>
    <row r="228" spans="1:20" s="78" customFormat="1">
      <c r="A228" s="86">
        <f t="shared" si="26"/>
        <v>0</v>
      </c>
      <c r="B228" s="36" t="str">
        <f t="shared" si="21"/>
        <v/>
      </c>
      <c r="C228" s="24"/>
      <c r="D228" s="24"/>
      <c r="E228" s="24"/>
      <c r="F228" s="24"/>
      <c r="G228" s="73"/>
      <c r="H228" s="87">
        <v>223</v>
      </c>
      <c r="I228" s="88" t="str">
        <f t="shared" si="22"/>
        <v/>
      </c>
      <c r="J228" s="87">
        <f t="shared" si="27"/>
        <v>-1</v>
      </c>
      <c r="K228" s="87">
        <f t="shared" si="23"/>
        <v>-10</v>
      </c>
      <c r="L228" s="87"/>
      <c r="M228" s="89">
        <f t="shared" si="24"/>
        <v>0</v>
      </c>
      <c r="N228" s="89">
        <f t="shared" si="25"/>
        <v>0</v>
      </c>
      <c r="O228" s="73"/>
      <c r="P228" s="73"/>
      <c r="Q228" s="73"/>
      <c r="R228" s="73"/>
      <c r="S228" s="101"/>
      <c r="T228" s="102"/>
    </row>
    <row r="229" spans="1:20" s="78" customFormat="1">
      <c r="A229" s="90">
        <f t="shared" si="26"/>
        <v>0</v>
      </c>
      <c r="B229" s="35" t="str">
        <f t="shared" si="21"/>
        <v/>
      </c>
      <c r="C229" s="25"/>
      <c r="D229" s="25"/>
      <c r="E229" s="25"/>
      <c r="F229" s="25"/>
      <c r="G229" s="73"/>
      <c r="H229" s="91">
        <v>224</v>
      </c>
      <c r="I229" s="92" t="str">
        <f t="shared" si="22"/>
        <v/>
      </c>
      <c r="J229" s="91">
        <f t="shared" si="27"/>
        <v>-1</v>
      </c>
      <c r="K229" s="91">
        <f t="shared" si="23"/>
        <v>-10</v>
      </c>
      <c r="L229" s="91"/>
      <c r="M229" s="93">
        <f t="shared" si="24"/>
        <v>0</v>
      </c>
      <c r="N229" s="93">
        <f t="shared" si="25"/>
        <v>0</v>
      </c>
      <c r="O229" s="73"/>
      <c r="P229" s="73"/>
      <c r="Q229" s="73"/>
      <c r="R229" s="73"/>
      <c r="S229" s="73"/>
    </row>
    <row r="230" spans="1:20" s="78" customFormat="1">
      <c r="A230" s="86">
        <f t="shared" si="26"/>
        <v>0</v>
      </c>
      <c r="B230" s="36" t="str">
        <f t="shared" ref="B230:B250" si="28">IF(H230&gt;$H$2,"",(ROW()-5))</f>
        <v/>
      </c>
      <c r="C230" s="24"/>
      <c r="D230" s="24"/>
      <c r="E230" s="24"/>
      <c r="F230" s="24"/>
      <c r="G230" s="73"/>
      <c r="H230" s="87">
        <v>225</v>
      </c>
      <c r="I230" s="88" t="str">
        <f t="shared" si="22"/>
        <v/>
      </c>
      <c r="J230" s="87">
        <f t="shared" si="27"/>
        <v>-1</v>
      </c>
      <c r="K230" s="87">
        <f t="shared" si="23"/>
        <v>-10</v>
      </c>
      <c r="L230" s="87"/>
      <c r="M230" s="89">
        <f t="shared" si="24"/>
        <v>0</v>
      </c>
      <c r="N230" s="89">
        <f t="shared" si="25"/>
        <v>0</v>
      </c>
      <c r="O230" s="73"/>
      <c r="P230" s="73"/>
      <c r="Q230" s="73"/>
      <c r="R230" s="73"/>
      <c r="S230" s="101"/>
      <c r="T230" s="102"/>
    </row>
    <row r="231" spans="1:20" s="78" customFormat="1">
      <c r="A231" s="90">
        <f t="shared" si="26"/>
        <v>0</v>
      </c>
      <c r="B231" s="35" t="str">
        <f t="shared" si="28"/>
        <v/>
      </c>
      <c r="C231" s="25"/>
      <c r="D231" s="25"/>
      <c r="E231" s="25"/>
      <c r="F231" s="25"/>
      <c r="G231" s="73"/>
      <c r="H231" s="91">
        <v>226</v>
      </c>
      <c r="I231" s="92" t="str">
        <f t="shared" si="22"/>
        <v/>
      </c>
      <c r="J231" s="91">
        <f t="shared" si="27"/>
        <v>-1</v>
      </c>
      <c r="K231" s="91">
        <f t="shared" si="23"/>
        <v>-10</v>
      </c>
      <c r="L231" s="91"/>
      <c r="M231" s="93">
        <f t="shared" si="24"/>
        <v>0</v>
      </c>
      <c r="N231" s="93">
        <f t="shared" si="25"/>
        <v>0</v>
      </c>
      <c r="O231" s="73"/>
      <c r="P231" s="73"/>
      <c r="Q231" s="73"/>
      <c r="R231" s="73"/>
      <c r="S231" s="73"/>
    </row>
    <row r="232" spans="1:20" s="78" customFormat="1">
      <c r="A232" s="86">
        <f t="shared" si="26"/>
        <v>0</v>
      </c>
      <c r="B232" s="36" t="str">
        <f t="shared" si="28"/>
        <v/>
      </c>
      <c r="C232" s="24"/>
      <c r="D232" s="24"/>
      <c r="E232" s="24"/>
      <c r="F232" s="24"/>
      <c r="G232" s="73"/>
      <c r="H232" s="87">
        <v>227</v>
      </c>
      <c r="I232" s="88" t="str">
        <f t="shared" si="22"/>
        <v/>
      </c>
      <c r="J232" s="87">
        <f t="shared" si="27"/>
        <v>-1</v>
      </c>
      <c r="K232" s="87">
        <f t="shared" si="23"/>
        <v>-10</v>
      </c>
      <c r="L232" s="87"/>
      <c r="M232" s="89">
        <f t="shared" si="24"/>
        <v>0</v>
      </c>
      <c r="N232" s="89">
        <f t="shared" si="25"/>
        <v>0</v>
      </c>
      <c r="O232" s="73"/>
      <c r="P232" s="73"/>
      <c r="Q232" s="73"/>
      <c r="R232" s="73"/>
      <c r="S232" s="101"/>
      <c r="T232" s="102"/>
    </row>
    <row r="233" spans="1:20" s="78" customFormat="1">
      <c r="A233" s="90">
        <f t="shared" si="26"/>
        <v>0</v>
      </c>
      <c r="B233" s="35" t="str">
        <f t="shared" si="28"/>
        <v/>
      </c>
      <c r="C233" s="25"/>
      <c r="D233" s="25"/>
      <c r="E233" s="25"/>
      <c r="F233" s="25"/>
      <c r="G233" s="73"/>
      <c r="H233" s="91">
        <v>228</v>
      </c>
      <c r="I233" s="92" t="str">
        <f t="shared" si="22"/>
        <v/>
      </c>
      <c r="J233" s="91">
        <f t="shared" si="27"/>
        <v>-1</v>
      </c>
      <c r="K233" s="91">
        <f t="shared" si="23"/>
        <v>-10</v>
      </c>
      <c r="L233" s="91"/>
      <c r="M233" s="93">
        <f t="shared" si="24"/>
        <v>0</v>
      </c>
      <c r="N233" s="93">
        <f t="shared" si="25"/>
        <v>0</v>
      </c>
      <c r="O233" s="73"/>
      <c r="P233" s="73"/>
      <c r="Q233" s="73"/>
      <c r="R233" s="73"/>
      <c r="S233" s="73"/>
    </row>
    <row r="234" spans="1:20" s="78" customFormat="1">
      <c r="A234" s="86">
        <f t="shared" si="26"/>
        <v>0</v>
      </c>
      <c r="B234" s="36" t="str">
        <f t="shared" si="28"/>
        <v/>
      </c>
      <c r="C234" s="24"/>
      <c r="D234" s="24"/>
      <c r="E234" s="24"/>
      <c r="F234" s="24"/>
      <c r="G234" s="73"/>
      <c r="H234" s="87">
        <v>229</v>
      </c>
      <c r="I234" s="88" t="str">
        <f t="shared" si="22"/>
        <v/>
      </c>
      <c r="J234" s="87">
        <f t="shared" si="27"/>
        <v>-1</v>
      </c>
      <c r="K234" s="87">
        <f t="shared" si="23"/>
        <v>-10</v>
      </c>
      <c r="L234" s="87"/>
      <c r="M234" s="89">
        <f t="shared" si="24"/>
        <v>0</v>
      </c>
      <c r="N234" s="89">
        <f t="shared" si="25"/>
        <v>0</v>
      </c>
      <c r="O234" s="73"/>
      <c r="P234" s="73"/>
      <c r="Q234" s="73"/>
      <c r="R234" s="73"/>
      <c r="S234" s="101"/>
      <c r="T234" s="102"/>
    </row>
    <row r="235" spans="1:20" s="78" customFormat="1">
      <c r="A235" s="90">
        <f t="shared" si="26"/>
        <v>0</v>
      </c>
      <c r="B235" s="35" t="str">
        <f t="shared" si="28"/>
        <v/>
      </c>
      <c r="C235" s="25"/>
      <c r="D235" s="25"/>
      <c r="E235" s="25"/>
      <c r="F235" s="25"/>
      <c r="G235" s="73"/>
      <c r="H235" s="91">
        <v>230</v>
      </c>
      <c r="I235" s="92" t="str">
        <f t="shared" si="22"/>
        <v/>
      </c>
      <c r="J235" s="91">
        <f t="shared" si="27"/>
        <v>-1</v>
      </c>
      <c r="K235" s="91">
        <f t="shared" si="23"/>
        <v>-10</v>
      </c>
      <c r="L235" s="91"/>
      <c r="M235" s="93">
        <f t="shared" si="24"/>
        <v>0</v>
      </c>
      <c r="N235" s="93">
        <f t="shared" si="25"/>
        <v>0</v>
      </c>
      <c r="O235" s="73"/>
      <c r="P235" s="73"/>
      <c r="Q235" s="73"/>
      <c r="R235" s="73"/>
      <c r="S235" s="73"/>
    </row>
    <row r="236" spans="1:20" s="78" customFormat="1">
      <c r="A236" s="86">
        <f t="shared" si="26"/>
        <v>0</v>
      </c>
      <c r="B236" s="36" t="str">
        <f t="shared" si="28"/>
        <v/>
      </c>
      <c r="C236" s="24"/>
      <c r="D236" s="24"/>
      <c r="E236" s="24"/>
      <c r="F236" s="24"/>
      <c r="G236" s="73"/>
      <c r="H236" s="87">
        <v>231</v>
      </c>
      <c r="I236" s="88" t="str">
        <f t="shared" si="22"/>
        <v/>
      </c>
      <c r="J236" s="87">
        <f t="shared" si="27"/>
        <v>-1</v>
      </c>
      <c r="K236" s="87">
        <f t="shared" si="23"/>
        <v>-10</v>
      </c>
      <c r="L236" s="87"/>
      <c r="M236" s="89">
        <f t="shared" si="24"/>
        <v>0</v>
      </c>
      <c r="N236" s="89">
        <f t="shared" si="25"/>
        <v>0</v>
      </c>
      <c r="O236" s="73"/>
      <c r="P236" s="73"/>
      <c r="Q236" s="73"/>
      <c r="R236" s="73"/>
      <c r="S236" s="101"/>
      <c r="T236" s="102"/>
    </row>
    <row r="237" spans="1:20" s="78" customFormat="1">
      <c r="A237" s="90">
        <f t="shared" si="26"/>
        <v>0</v>
      </c>
      <c r="B237" s="35" t="str">
        <f t="shared" si="28"/>
        <v/>
      </c>
      <c r="C237" s="25"/>
      <c r="D237" s="25"/>
      <c r="E237" s="25"/>
      <c r="F237" s="25"/>
      <c r="G237" s="73"/>
      <c r="H237" s="91">
        <v>232</v>
      </c>
      <c r="I237" s="92" t="str">
        <f t="shared" si="22"/>
        <v/>
      </c>
      <c r="J237" s="91">
        <f t="shared" si="27"/>
        <v>-1</v>
      </c>
      <c r="K237" s="91">
        <f t="shared" si="23"/>
        <v>-10</v>
      </c>
      <c r="L237" s="91"/>
      <c r="M237" s="93">
        <f t="shared" si="24"/>
        <v>0</v>
      </c>
      <c r="N237" s="93">
        <f t="shared" si="25"/>
        <v>0</v>
      </c>
      <c r="O237" s="73"/>
      <c r="P237" s="73"/>
      <c r="Q237" s="73"/>
      <c r="R237" s="73"/>
      <c r="S237" s="73"/>
    </row>
    <row r="238" spans="1:20" s="78" customFormat="1">
      <c r="A238" s="86">
        <f t="shared" si="26"/>
        <v>0</v>
      </c>
      <c r="B238" s="36" t="str">
        <f t="shared" si="28"/>
        <v/>
      </c>
      <c r="C238" s="24"/>
      <c r="D238" s="24"/>
      <c r="E238" s="24"/>
      <c r="F238" s="24"/>
      <c r="G238" s="73"/>
      <c r="H238" s="87">
        <v>233</v>
      </c>
      <c r="I238" s="88" t="str">
        <f t="shared" si="22"/>
        <v/>
      </c>
      <c r="J238" s="87">
        <f t="shared" si="27"/>
        <v>-1</v>
      </c>
      <c r="K238" s="87">
        <f t="shared" si="23"/>
        <v>-10</v>
      </c>
      <c r="L238" s="87"/>
      <c r="M238" s="89">
        <f t="shared" si="24"/>
        <v>0</v>
      </c>
      <c r="N238" s="89">
        <f t="shared" si="25"/>
        <v>0</v>
      </c>
      <c r="O238" s="73"/>
      <c r="P238" s="73"/>
      <c r="Q238" s="73"/>
      <c r="R238" s="73"/>
      <c r="S238" s="101"/>
      <c r="T238" s="102"/>
    </row>
    <row r="239" spans="1:20" s="78" customFormat="1">
      <c r="A239" s="90">
        <f t="shared" si="26"/>
        <v>0</v>
      </c>
      <c r="B239" s="35" t="str">
        <f t="shared" si="28"/>
        <v/>
      </c>
      <c r="C239" s="25"/>
      <c r="D239" s="25"/>
      <c r="E239" s="25"/>
      <c r="F239" s="25"/>
      <c r="G239" s="73"/>
      <c r="H239" s="91">
        <v>234</v>
      </c>
      <c r="I239" s="92" t="str">
        <f t="shared" si="22"/>
        <v/>
      </c>
      <c r="J239" s="91">
        <f t="shared" si="27"/>
        <v>-1</v>
      </c>
      <c r="K239" s="91">
        <f t="shared" si="23"/>
        <v>-10</v>
      </c>
      <c r="L239" s="91"/>
      <c r="M239" s="93">
        <f t="shared" si="24"/>
        <v>0</v>
      </c>
      <c r="N239" s="93">
        <f t="shared" si="25"/>
        <v>0</v>
      </c>
      <c r="O239" s="73"/>
      <c r="P239" s="73"/>
      <c r="Q239" s="73"/>
      <c r="R239" s="73"/>
      <c r="S239" s="73"/>
    </row>
    <row r="240" spans="1:20" s="78" customFormat="1">
      <c r="A240" s="86">
        <f t="shared" si="26"/>
        <v>0</v>
      </c>
      <c r="B240" s="36" t="str">
        <f t="shared" si="28"/>
        <v/>
      </c>
      <c r="C240" s="24"/>
      <c r="D240" s="24"/>
      <c r="E240" s="24"/>
      <c r="F240" s="24"/>
      <c r="G240" s="73"/>
      <c r="H240" s="87">
        <v>235</v>
      </c>
      <c r="I240" s="88" t="str">
        <f t="shared" si="22"/>
        <v/>
      </c>
      <c r="J240" s="87">
        <f t="shared" si="27"/>
        <v>-1</v>
      </c>
      <c r="K240" s="87">
        <f t="shared" si="23"/>
        <v>-10</v>
      </c>
      <c r="L240" s="87"/>
      <c r="M240" s="89">
        <f t="shared" si="24"/>
        <v>0</v>
      </c>
      <c r="N240" s="89">
        <f t="shared" si="25"/>
        <v>0</v>
      </c>
      <c r="O240" s="73"/>
      <c r="P240" s="73"/>
      <c r="Q240" s="73"/>
      <c r="R240" s="73"/>
      <c r="S240" s="101"/>
      <c r="T240" s="102"/>
    </row>
    <row r="241" spans="1:20" s="78" customFormat="1">
      <c r="A241" s="90">
        <f t="shared" si="26"/>
        <v>0</v>
      </c>
      <c r="B241" s="35" t="str">
        <f t="shared" si="28"/>
        <v/>
      </c>
      <c r="C241" s="25"/>
      <c r="D241" s="25"/>
      <c r="E241" s="25"/>
      <c r="F241" s="25"/>
      <c r="G241" s="73"/>
      <c r="H241" s="91">
        <v>236</v>
      </c>
      <c r="I241" s="92" t="str">
        <f t="shared" si="22"/>
        <v/>
      </c>
      <c r="J241" s="91">
        <f t="shared" si="27"/>
        <v>-1</v>
      </c>
      <c r="K241" s="91">
        <f t="shared" si="23"/>
        <v>-10</v>
      </c>
      <c r="L241" s="91"/>
      <c r="M241" s="93">
        <f t="shared" si="24"/>
        <v>0</v>
      </c>
      <c r="N241" s="93">
        <f t="shared" si="25"/>
        <v>0</v>
      </c>
      <c r="O241" s="73"/>
      <c r="P241" s="73"/>
      <c r="Q241" s="73"/>
      <c r="R241" s="73"/>
      <c r="S241" s="73"/>
    </row>
    <row r="242" spans="1:20" s="78" customFormat="1">
      <c r="A242" s="86">
        <f t="shared" si="26"/>
        <v>0</v>
      </c>
      <c r="B242" s="36" t="str">
        <f t="shared" si="28"/>
        <v/>
      </c>
      <c r="C242" s="24"/>
      <c r="D242" s="24"/>
      <c r="E242" s="24"/>
      <c r="F242" s="24"/>
      <c r="G242" s="73"/>
      <c r="H242" s="87">
        <v>237</v>
      </c>
      <c r="I242" s="88" t="str">
        <f t="shared" si="22"/>
        <v/>
      </c>
      <c r="J242" s="87">
        <f t="shared" si="27"/>
        <v>-1</v>
      </c>
      <c r="K242" s="87">
        <f t="shared" si="23"/>
        <v>-10</v>
      </c>
      <c r="L242" s="87"/>
      <c r="M242" s="89">
        <f t="shared" si="24"/>
        <v>0</v>
      </c>
      <c r="N242" s="89">
        <f t="shared" si="25"/>
        <v>0</v>
      </c>
      <c r="O242" s="73"/>
      <c r="P242" s="73"/>
      <c r="Q242" s="73"/>
      <c r="R242" s="73"/>
      <c r="S242" s="101"/>
      <c r="T242" s="102"/>
    </row>
    <row r="243" spans="1:20" s="78" customFormat="1">
      <c r="A243" s="90">
        <f t="shared" si="26"/>
        <v>0</v>
      </c>
      <c r="B243" s="35" t="str">
        <f t="shared" si="28"/>
        <v/>
      </c>
      <c r="C243" s="25"/>
      <c r="D243" s="25"/>
      <c r="E243" s="25"/>
      <c r="F243" s="25"/>
      <c r="G243" s="73"/>
      <c r="H243" s="91">
        <v>238</v>
      </c>
      <c r="I243" s="92" t="str">
        <f t="shared" si="22"/>
        <v/>
      </c>
      <c r="J243" s="91">
        <f t="shared" si="27"/>
        <v>-1</v>
      </c>
      <c r="K243" s="91">
        <f t="shared" si="23"/>
        <v>-10</v>
      </c>
      <c r="L243" s="91"/>
      <c r="M243" s="93">
        <f t="shared" si="24"/>
        <v>0</v>
      </c>
      <c r="N243" s="93">
        <f t="shared" si="25"/>
        <v>0</v>
      </c>
      <c r="O243" s="73"/>
      <c r="P243" s="73"/>
      <c r="Q243" s="73"/>
      <c r="R243" s="73"/>
      <c r="S243" s="73"/>
    </row>
    <row r="244" spans="1:20" s="78" customFormat="1">
      <c r="A244" s="86">
        <f t="shared" si="26"/>
        <v>0</v>
      </c>
      <c r="B244" s="36" t="str">
        <f t="shared" si="28"/>
        <v/>
      </c>
      <c r="C244" s="24"/>
      <c r="D244" s="24"/>
      <c r="E244" s="24"/>
      <c r="F244" s="24"/>
      <c r="G244" s="73"/>
      <c r="H244" s="87">
        <v>239</v>
      </c>
      <c r="I244" s="88" t="str">
        <f t="shared" si="22"/>
        <v/>
      </c>
      <c r="J244" s="87">
        <f t="shared" si="27"/>
        <v>-1</v>
      </c>
      <c r="K244" s="87">
        <f t="shared" si="23"/>
        <v>-10</v>
      </c>
      <c r="L244" s="87"/>
      <c r="M244" s="89">
        <f t="shared" si="24"/>
        <v>0</v>
      </c>
      <c r="N244" s="89">
        <f t="shared" si="25"/>
        <v>0</v>
      </c>
      <c r="O244" s="73"/>
      <c r="P244" s="73"/>
      <c r="Q244" s="73"/>
      <c r="R244" s="73"/>
      <c r="S244" s="101"/>
      <c r="T244" s="102"/>
    </row>
    <row r="245" spans="1:20" s="78" customFormat="1">
      <c r="A245" s="90">
        <f t="shared" si="26"/>
        <v>0</v>
      </c>
      <c r="B245" s="35" t="str">
        <f t="shared" si="28"/>
        <v/>
      </c>
      <c r="C245" s="25"/>
      <c r="D245" s="25"/>
      <c r="E245" s="25"/>
      <c r="F245" s="25"/>
      <c r="G245" s="73"/>
      <c r="H245" s="91">
        <v>240</v>
      </c>
      <c r="I245" s="92" t="str">
        <f t="shared" si="22"/>
        <v/>
      </c>
      <c r="J245" s="91">
        <f t="shared" si="27"/>
        <v>-1</v>
      </c>
      <c r="K245" s="91">
        <f t="shared" si="23"/>
        <v>-10</v>
      </c>
      <c r="L245" s="91"/>
      <c r="M245" s="93">
        <f t="shared" si="24"/>
        <v>0</v>
      </c>
      <c r="N245" s="93">
        <f t="shared" si="25"/>
        <v>0</v>
      </c>
      <c r="O245" s="73"/>
      <c r="P245" s="73"/>
      <c r="Q245" s="73"/>
      <c r="R245" s="73"/>
      <c r="S245" s="73"/>
    </row>
    <row r="246" spans="1:20" s="78" customFormat="1">
      <c r="A246" s="86">
        <f t="shared" si="26"/>
        <v>0</v>
      </c>
      <c r="B246" s="36" t="str">
        <f t="shared" si="28"/>
        <v/>
      </c>
      <c r="C246" s="24"/>
      <c r="D246" s="24"/>
      <c r="E246" s="24"/>
      <c r="F246" s="24"/>
      <c r="G246" s="73"/>
      <c r="H246" s="87">
        <v>241</v>
      </c>
      <c r="I246" s="88" t="str">
        <f t="shared" si="22"/>
        <v/>
      </c>
      <c r="J246" s="87">
        <f t="shared" si="27"/>
        <v>-1</v>
      </c>
      <c r="K246" s="87">
        <f t="shared" si="23"/>
        <v>-10</v>
      </c>
      <c r="L246" s="87"/>
      <c r="M246" s="89">
        <f t="shared" si="24"/>
        <v>0</v>
      </c>
      <c r="N246" s="89">
        <f t="shared" si="25"/>
        <v>0</v>
      </c>
      <c r="O246" s="73"/>
      <c r="P246" s="73"/>
      <c r="Q246" s="73"/>
      <c r="R246" s="73"/>
      <c r="S246" s="101"/>
      <c r="T246" s="102"/>
    </row>
    <row r="247" spans="1:20" s="78" customFormat="1">
      <c r="A247" s="90">
        <f t="shared" si="26"/>
        <v>0</v>
      </c>
      <c r="B247" s="35" t="str">
        <f t="shared" si="28"/>
        <v/>
      </c>
      <c r="C247" s="25"/>
      <c r="D247" s="25"/>
      <c r="E247" s="25"/>
      <c r="F247" s="25"/>
      <c r="G247" s="73"/>
      <c r="H247" s="91">
        <v>242</v>
      </c>
      <c r="I247" s="92" t="str">
        <f t="shared" si="22"/>
        <v/>
      </c>
      <c r="J247" s="91">
        <f t="shared" si="27"/>
        <v>-1</v>
      </c>
      <c r="K247" s="91">
        <f t="shared" si="23"/>
        <v>-10</v>
      </c>
      <c r="L247" s="91"/>
      <c r="M247" s="93">
        <f t="shared" si="24"/>
        <v>0</v>
      </c>
      <c r="N247" s="93">
        <f t="shared" si="25"/>
        <v>0</v>
      </c>
      <c r="O247" s="73"/>
      <c r="P247" s="73"/>
      <c r="Q247" s="73"/>
      <c r="R247" s="73"/>
      <c r="S247" s="73"/>
    </row>
    <row r="248" spans="1:20" s="78" customFormat="1">
      <c r="A248" s="86">
        <f t="shared" si="26"/>
        <v>0</v>
      </c>
      <c r="B248" s="36" t="str">
        <f t="shared" si="28"/>
        <v/>
      </c>
      <c r="C248" s="24"/>
      <c r="D248" s="24"/>
      <c r="E248" s="24"/>
      <c r="F248" s="24"/>
      <c r="G248" s="73"/>
      <c r="H248" s="87">
        <v>243</v>
      </c>
      <c r="I248" s="88" t="str">
        <f t="shared" si="22"/>
        <v/>
      </c>
      <c r="J248" s="87">
        <f t="shared" si="27"/>
        <v>-1</v>
      </c>
      <c r="K248" s="87">
        <f t="shared" si="23"/>
        <v>-10</v>
      </c>
      <c r="L248" s="87"/>
      <c r="M248" s="89">
        <f t="shared" si="24"/>
        <v>0</v>
      </c>
      <c r="N248" s="89">
        <f t="shared" si="25"/>
        <v>0</v>
      </c>
      <c r="O248" s="73"/>
      <c r="P248" s="73"/>
      <c r="Q248" s="73"/>
      <c r="R248" s="73"/>
      <c r="S248" s="101"/>
      <c r="T248" s="102"/>
    </row>
    <row r="249" spans="1:20" s="78" customFormat="1">
      <c r="A249" s="90">
        <f t="shared" si="26"/>
        <v>0</v>
      </c>
      <c r="B249" s="35" t="str">
        <f t="shared" si="28"/>
        <v/>
      </c>
      <c r="C249" s="25"/>
      <c r="D249" s="25"/>
      <c r="E249" s="25"/>
      <c r="F249" s="25"/>
      <c r="G249" s="73"/>
      <c r="H249" s="91">
        <v>244</v>
      </c>
      <c r="I249" s="92" t="str">
        <f t="shared" si="22"/>
        <v/>
      </c>
      <c r="J249" s="91">
        <f t="shared" si="27"/>
        <v>-1</v>
      </c>
      <c r="K249" s="91">
        <f t="shared" si="23"/>
        <v>-10</v>
      </c>
      <c r="L249" s="91"/>
      <c r="M249" s="93">
        <f t="shared" si="24"/>
        <v>0</v>
      </c>
      <c r="N249" s="93">
        <f t="shared" si="25"/>
        <v>0</v>
      </c>
      <c r="O249" s="73"/>
      <c r="P249" s="73"/>
      <c r="Q249" s="73"/>
      <c r="R249" s="73"/>
      <c r="S249" s="73"/>
    </row>
    <row r="250" spans="1:20" s="78" customFormat="1">
      <c r="A250" s="86">
        <f t="shared" si="26"/>
        <v>0</v>
      </c>
      <c r="B250" s="36" t="str">
        <f t="shared" si="28"/>
        <v/>
      </c>
      <c r="C250" s="24"/>
      <c r="D250" s="24"/>
      <c r="E250" s="24"/>
      <c r="F250" s="24"/>
      <c r="G250" s="73"/>
      <c r="H250" s="87">
        <v>245</v>
      </c>
      <c r="I250" s="88" t="str">
        <f t="shared" si="22"/>
        <v/>
      </c>
      <c r="J250" s="87">
        <f t="shared" si="27"/>
        <v>-1</v>
      </c>
      <c r="K250" s="87">
        <f t="shared" si="23"/>
        <v>-10</v>
      </c>
      <c r="L250" s="87"/>
      <c r="M250" s="89">
        <f t="shared" si="24"/>
        <v>0</v>
      </c>
      <c r="N250" s="89">
        <f t="shared" si="25"/>
        <v>0</v>
      </c>
      <c r="O250" s="73"/>
      <c r="P250" s="73"/>
      <c r="Q250" s="73"/>
      <c r="R250" s="73"/>
      <c r="S250" s="101"/>
      <c r="T250" s="102"/>
    </row>
    <row r="251" spans="1:20">
      <c r="A251" s="90">
        <f t="shared" si="26"/>
        <v>0</v>
      </c>
      <c r="G251" s="73"/>
      <c r="H251" s="87">
        <v>246</v>
      </c>
      <c r="I251" s="88" t="str">
        <f t="shared" si="22"/>
        <v/>
      </c>
      <c r="J251" s="87">
        <f t="shared" si="27"/>
        <v>-1</v>
      </c>
      <c r="K251" s="87">
        <f t="shared" si="23"/>
        <v>-10</v>
      </c>
      <c r="L251" s="87"/>
      <c r="M251" s="89">
        <f t="shared" si="24"/>
        <v>0</v>
      </c>
      <c r="N251" s="89">
        <f t="shared" si="25"/>
        <v>0</v>
      </c>
    </row>
    <row r="252" spans="1:20">
      <c r="A252" s="86">
        <f t="shared" si="26"/>
        <v>0</v>
      </c>
      <c r="G252" s="73"/>
      <c r="H252" s="87">
        <v>247</v>
      </c>
      <c r="I252" s="88" t="str">
        <f t="shared" si="22"/>
        <v/>
      </c>
      <c r="J252" s="87">
        <f t="shared" si="27"/>
        <v>-1</v>
      </c>
      <c r="K252" s="87">
        <f t="shared" si="23"/>
        <v>-10</v>
      </c>
      <c r="L252" s="87"/>
      <c r="M252" s="89">
        <f t="shared" si="24"/>
        <v>0</v>
      </c>
      <c r="N252" s="89">
        <f t="shared" si="25"/>
        <v>0</v>
      </c>
    </row>
    <row r="253" spans="1:20">
      <c r="A253" s="90">
        <f t="shared" si="26"/>
        <v>0</v>
      </c>
      <c r="G253" s="73"/>
      <c r="H253" s="87">
        <v>248</v>
      </c>
      <c r="I253" s="88" t="str">
        <f t="shared" si="22"/>
        <v/>
      </c>
      <c r="J253" s="87">
        <f t="shared" si="27"/>
        <v>-1</v>
      </c>
      <c r="K253" s="87">
        <f t="shared" si="23"/>
        <v>-10</v>
      </c>
      <c r="L253" s="87"/>
      <c r="M253" s="89">
        <f t="shared" si="24"/>
        <v>0</v>
      </c>
      <c r="N253" s="89">
        <f t="shared" si="25"/>
        <v>0</v>
      </c>
    </row>
    <row r="254" spans="1:20">
      <c r="A254" s="86">
        <f t="shared" si="26"/>
        <v>0</v>
      </c>
      <c r="G254" s="73"/>
      <c r="H254" s="87">
        <v>249</v>
      </c>
      <c r="I254" s="88" t="str">
        <f t="shared" si="22"/>
        <v/>
      </c>
      <c r="J254" s="87">
        <f t="shared" si="27"/>
        <v>-1</v>
      </c>
      <c r="K254" s="87">
        <f t="shared" si="23"/>
        <v>-10</v>
      </c>
      <c r="L254" s="87"/>
      <c r="M254" s="89">
        <f t="shared" si="24"/>
        <v>0</v>
      </c>
      <c r="N254" s="89">
        <f t="shared" si="25"/>
        <v>0</v>
      </c>
    </row>
    <row r="255" spans="1:20">
      <c r="A255" s="90">
        <f t="shared" si="26"/>
        <v>0</v>
      </c>
      <c r="G255" s="73"/>
      <c r="H255" s="87">
        <v>250</v>
      </c>
      <c r="I255" s="88" t="str">
        <f t="shared" si="22"/>
        <v/>
      </c>
      <c r="J255" s="87">
        <f t="shared" si="27"/>
        <v>-1</v>
      </c>
      <c r="K255" s="87">
        <f t="shared" si="23"/>
        <v>-10</v>
      </c>
      <c r="L255" s="87"/>
      <c r="M255" s="89">
        <f t="shared" si="24"/>
        <v>0</v>
      </c>
      <c r="N255" s="89">
        <f t="shared" si="25"/>
        <v>0</v>
      </c>
    </row>
    <row r="256" spans="1:20">
      <c r="A256" s="86">
        <f t="shared" si="26"/>
        <v>0</v>
      </c>
      <c r="G256" s="73"/>
      <c r="H256" s="87">
        <v>251</v>
      </c>
      <c r="I256" s="88" t="str">
        <f t="shared" si="22"/>
        <v/>
      </c>
      <c r="J256" s="87">
        <f t="shared" si="27"/>
        <v>-1</v>
      </c>
      <c r="K256" s="87">
        <f t="shared" si="23"/>
        <v>-10</v>
      </c>
      <c r="L256" s="87"/>
      <c r="M256" s="89">
        <f t="shared" si="24"/>
        <v>0</v>
      </c>
      <c r="N256" s="89">
        <f t="shared" si="25"/>
        <v>0</v>
      </c>
    </row>
    <row r="257" spans="1:14">
      <c r="A257" s="90">
        <f t="shared" si="26"/>
        <v>0</v>
      </c>
      <c r="G257" s="73"/>
      <c r="H257" s="87">
        <v>252</v>
      </c>
      <c r="I257" s="88" t="str">
        <f t="shared" si="22"/>
        <v/>
      </c>
      <c r="J257" s="87">
        <f t="shared" si="27"/>
        <v>-1</v>
      </c>
      <c r="K257" s="87">
        <f t="shared" si="23"/>
        <v>-10</v>
      </c>
      <c r="L257" s="87"/>
      <c r="M257" s="89">
        <f t="shared" si="24"/>
        <v>0</v>
      </c>
      <c r="N257" s="89">
        <f t="shared" si="25"/>
        <v>0</v>
      </c>
    </row>
    <row r="258" spans="1:14">
      <c r="A258" s="86">
        <f t="shared" si="26"/>
        <v>0</v>
      </c>
      <c r="G258" s="73"/>
      <c r="H258" s="87">
        <v>253</v>
      </c>
      <c r="I258" s="88" t="str">
        <f t="shared" si="22"/>
        <v/>
      </c>
      <c r="J258" s="87">
        <f t="shared" si="27"/>
        <v>-1</v>
      </c>
      <c r="K258" s="87">
        <f t="shared" si="23"/>
        <v>-10</v>
      </c>
      <c r="L258" s="87"/>
      <c r="M258" s="89">
        <f t="shared" si="24"/>
        <v>0</v>
      </c>
      <c r="N258" s="89">
        <f t="shared" si="25"/>
        <v>0</v>
      </c>
    </row>
    <row r="259" spans="1:14">
      <c r="A259" s="90">
        <f t="shared" si="26"/>
        <v>0</v>
      </c>
      <c r="G259" s="73"/>
      <c r="H259" s="87">
        <v>254</v>
      </c>
      <c r="I259" s="88" t="str">
        <f t="shared" si="22"/>
        <v/>
      </c>
      <c r="J259" s="87">
        <f t="shared" si="27"/>
        <v>-1</v>
      </c>
      <c r="K259" s="87">
        <f t="shared" si="23"/>
        <v>-10</v>
      </c>
      <c r="L259" s="87"/>
      <c r="M259" s="89">
        <f t="shared" si="24"/>
        <v>0</v>
      </c>
      <c r="N259" s="89">
        <f t="shared" si="25"/>
        <v>0</v>
      </c>
    </row>
    <row r="260" spans="1:14">
      <c r="A260" s="86">
        <f t="shared" si="26"/>
        <v>0</v>
      </c>
      <c r="G260" s="73"/>
      <c r="H260" s="87">
        <v>255</v>
      </c>
      <c r="I260" s="88" t="str">
        <f t="shared" si="22"/>
        <v/>
      </c>
      <c r="J260" s="87">
        <f t="shared" si="27"/>
        <v>-1</v>
      </c>
      <c r="K260" s="87">
        <f t="shared" si="23"/>
        <v>-10</v>
      </c>
      <c r="L260" s="87"/>
      <c r="M260" s="89">
        <f t="shared" si="24"/>
        <v>0</v>
      </c>
      <c r="N260" s="89">
        <f t="shared" si="25"/>
        <v>0</v>
      </c>
    </row>
    <row r="261" spans="1:14">
      <c r="A261" s="90">
        <f t="shared" si="26"/>
        <v>0</v>
      </c>
      <c r="G261" s="73"/>
      <c r="H261" s="87">
        <v>256</v>
      </c>
      <c r="I261" s="88" t="str">
        <f t="shared" si="22"/>
        <v/>
      </c>
      <c r="J261" s="87">
        <f t="shared" si="27"/>
        <v>-1</v>
      </c>
      <c r="K261" s="87">
        <f t="shared" si="23"/>
        <v>-10</v>
      </c>
      <c r="L261" s="87"/>
      <c r="M261" s="89">
        <f t="shared" si="24"/>
        <v>0</v>
      </c>
      <c r="N261" s="89">
        <f t="shared" si="25"/>
        <v>0</v>
      </c>
    </row>
    <row r="262" spans="1:14">
      <c r="A262" s="86">
        <f t="shared" si="26"/>
        <v>0</v>
      </c>
      <c r="G262" s="73"/>
      <c r="H262" s="87">
        <v>257</v>
      </c>
      <c r="I262" s="88" t="str">
        <f t="shared" ref="I262:I305" si="29">IF(H262&lt;$H$2+1,($I$2-($I$2-1)*(LOG(H262)/LOG($H$2))),"")</f>
        <v/>
      </c>
      <c r="J262" s="87">
        <f t="shared" si="27"/>
        <v>-2</v>
      </c>
      <c r="K262" s="87">
        <f t="shared" ref="K262:K305" si="30">J262*$J$2</f>
        <v>-20</v>
      </c>
      <c r="L262" s="87"/>
      <c r="M262" s="89">
        <f t="shared" ref="M262:M305" si="31">IF(I262&lt;&gt;"",K262+I262+L262,0)</f>
        <v>0</v>
      </c>
      <c r="N262" s="89">
        <f t="shared" ref="N262:N305" si="32">IF(I262&lt;&gt;"",M262*L$2,0)</f>
        <v>0</v>
      </c>
    </row>
    <row r="263" spans="1:14">
      <c r="A263" s="90">
        <f t="shared" ref="A263:A305" si="33">N263</f>
        <v>0</v>
      </c>
      <c r="G263" s="73"/>
      <c r="H263" s="87">
        <v>258</v>
      </c>
      <c r="I263" s="88" t="str">
        <f t="shared" si="29"/>
        <v/>
      </c>
      <c r="J263" s="87">
        <f t="shared" ref="J263:J305" si="34">INT(LOG($H$2,2))-ROUNDUP(LOG(H263,2),0)+IF(OR($H$2=1,$H$2=2,$H$2=4,$H$2=8,$H$2=16,$H$2=32,$H$2=64,$H$2=128,$H$2=256),0,1)</f>
        <v>-2</v>
      </c>
      <c r="K263" s="87">
        <f t="shared" si="30"/>
        <v>-20</v>
      </c>
      <c r="L263" s="87"/>
      <c r="M263" s="89">
        <f t="shared" si="31"/>
        <v>0</v>
      </c>
      <c r="N263" s="89">
        <f t="shared" si="32"/>
        <v>0</v>
      </c>
    </row>
    <row r="264" spans="1:14">
      <c r="A264" s="86">
        <f t="shared" si="33"/>
        <v>0</v>
      </c>
      <c r="G264" s="73"/>
      <c r="H264" s="87">
        <v>259</v>
      </c>
      <c r="I264" s="88" t="str">
        <f t="shared" si="29"/>
        <v/>
      </c>
      <c r="J264" s="87">
        <f t="shared" si="34"/>
        <v>-2</v>
      </c>
      <c r="K264" s="87">
        <f t="shared" si="30"/>
        <v>-20</v>
      </c>
      <c r="L264" s="87"/>
      <c r="M264" s="89">
        <f t="shared" si="31"/>
        <v>0</v>
      </c>
      <c r="N264" s="89">
        <f t="shared" si="32"/>
        <v>0</v>
      </c>
    </row>
    <row r="265" spans="1:14">
      <c r="A265" s="90">
        <f t="shared" si="33"/>
        <v>0</v>
      </c>
      <c r="G265" s="73"/>
      <c r="H265" s="87">
        <v>260</v>
      </c>
      <c r="I265" s="88" t="str">
        <f t="shared" si="29"/>
        <v/>
      </c>
      <c r="J265" s="87">
        <f t="shared" si="34"/>
        <v>-2</v>
      </c>
      <c r="K265" s="87">
        <f t="shared" si="30"/>
        <v>-20</v>
      </c>
      <c r="L265" s="87"/>
      <c r="M265" s="89">
        <f t="shared" si="31"/>
        <v>0</v>
      </c>
      <c r="N265" s="89">
        <f t="shared" si="32"/>
        <v>0</v>
      </c>
    </row>
    <row r="266" spans="1:14">
      <c r="A266" s="86">
        <f t="shared" si="33"/>
        <v>0</v>
      </c>
      <c r="G266" s="73"/>
      <c r="H266" s="87">
        <v>261</v>
      </c>
      <c r="I266" s="88" t="str">
        <f t="shared" si="29"/>
        <v/>
      </c>
      <c r="J266" s="87">
        <f t="shared" si="34"/>
        <v>-2</v>
      </c>
      <c r="K266" s="87">
        <f t="shared" si="30"/>
        <v>-20</v>
      </c>
      <c r="L266" s="87"/>
      <c r="M266" s="89">
        <f t="shared" si="31"/>
        <v>0</v>
      </c>
      <c r="N266" s="89">
        <f t="shared" si="32"/>
        <v>0</v>
      </c>
    </row>
    <row r="267" spans="1:14">
      <c r="A267" s="90">
        <f t="shared" si="33"/>
        <v>0</v>
      </c>
      <c r="G267" s="73"/>
      <c r="H267" s="87">
        <v>262</v>
      </c>
      <c r="I267" s="88" t="str">
        <f t="shared" si="29"/>
        <v/>
      </c>
      <c r="J267" s="87">
        <f t="shared" si="34"/>
        <v>-2</v>
      </c>
      <c r="K267" s="87">
        <f t="shared" si="30"/>
        <v>-20</v>
      </c>
      <c r="L267" s="87"/>
      <c r="M267" s="89">
        <f t="shared" si="31"/>
        <v>0</v>
      </c>
      <c r="N267" s="89">
        <f t="shared" si="32"/>
        <v>0</v>
      </c>
    </row>
    <row r="268" spans="1:14">
      <c r="A268" s="86">
        <f t="shared" si="33"/>
        <v>0</v>
      </c>
      <c r="G268" s="73"/>
      <c r="H268" s="87">
        <v>263</v>
      </c>
      <c r="I268" s="88" t="str">
        <f t="shared" si="29"/>
        <v/>
      </c>
      <c r="J268" s="87">
        <f t="shared" si="34"/>
        <v>-2</v>
      </c>
      <c r="K268" s="87">
        <f t="shared" si="30"/>
        <v>-20</v>
      </c>
      <c r="L268" s="87"/>
      <c r="M268" s="89">
        <f t="shared" si="31"/>
        <v>0</v>
      </c>
      <c r="N268" s="89">
        <f t="shared" si="32"/>
        <v>0</v>
      </c>
    </row>
    <row r="269" spans="1:14">
      <c r="A269" s="90">
        <f t="shared" si="33"/>
        <v>0</v>
      </c>
      <c r="G269" s="73"/>
      <c r="H269" s="87">
        <v>264</v>
      </c>
      <c r="I269" s="88" t="str">
        <f t="shared" si="29"/>
        <v/>
      </c>
      <c r="J269" s="87">
        <f t="shared" si="34"/>
        <v>-2</v>
      </c>
      <c r="K269" s="87">
        <f t="shared" si="30"/>
        <v>-20</v>
      </c>
      <c r="L269" s="87"/>
      <c r="M269" s="89">
        <f t="shared" si="31"/>
        <v>0</v>
      </c>
      <c r="N269" s="89">
        <f t="shared" si="32"/>
        <v>0</v>
      </c>
    </row>
    <row r="270" spans="1:14">
      <c r="A270" s="86">
        <f t="shared" si="33"/>
        <v>0</v>
      </c>
      <c r="G270" s="73"/>
      <c r="H270" s="87">
        <v>265</v>
      </c>
      <c r="I270" s="88" t="str">
        <f t="shared" si="29"/>
        <v/>
      </c>
      <c r="J270" s="87">
        <f t="shared" si="34"/>
        <v>-2</v>
      </c>
      <c r="K270" s="87">
        <f t="shared" si="30"/>
        <v>-20</v>
      </c>
      <c r="L270" s="87"/>
      <c r="M270" s="89">
        <f t="shared" si="31"/>
        <v>0</v>
      </c>
      <c r="N270" s="89">
        <f t="shared" si="32"/>
        <v>0</v>
      </c>
    </row>
    <row r="271" spans="1:14">
      <c r="A271" s="90">
        <f t="shared" si="33"/>
        <v>0</v>
      </c>
      <c r="G271" s="73"/>
      <c r="H271" s="87">
        <v>266</v>
      </c>
      <c r="I271" s="88" t="str">
        <f t="shared" si="29"/>
        <v/>
      </c>
      <c r="J271" s="87">
        <f t="shared" si="34"/>
        <v>-2</v>
      </c>
      <c r="K271" s="87">
        <f t="shared" si="30"/>
        <v>-20</v>
      </c>
      <c r="L271" s="87"/>
      <c r="M271" s="89">
        <f t="shared" si="31"/>
        <v>0</v>
      </c>
      <c r="N271" s="89">
        <f t="shared" si="32"/>
        <v>0</v>
      </c>
    </row>
    <row r="272" spans="1:14">
      <c r="A272" s="86">
        <f t="shared" si="33"/>
        <v>0</v>
      </c>
      <c r="G272" s="73"/>
      <c r="H272" s="87">
        <v>267</v>
      </c>
      <c r="I272" s="88" t="str">
        <f t="shared" si="29"/>
        <v/>
      </c>
      <c r="J272" s="87">
        <f t="shared" si="34"/>
        <v>-2</v>
      </c>
      <c r="K272" s="87">
        <f t="shared" si="30"/>
        <v>-20</v>
      </c>
      <c r="L272" s="87"/>
      <c r="M272" s="89">
        <f t="shared" si="31"/>
        <v>0</v>
      </c>
      <c r="N272" s="89">
        <f t="shared" si="32"/>
        <v>0</v>
      </c>
    </row>
    <row r="273" spans="1:14">
      <c r="A273" s="90">
        <f t="shared" si="33"/>
        <v>0</v>
      </c>
      <c r="G273" s="73"/>
      <c r="H273" s="87">
        <v>268</v>
      </c>
      <c r="I273" s="88" t="str">
        <f t="shared" si="29"/>
        <v/>
      </c>
      <c r="J273" s="87">
        <f t="shared" si="34"/>
        <v>-2</v>
      </c>
      <c r="K273" s="87">
        <f t="shared" si="30"/>
        <v>-20</v>
      </c>
      <c r="L273" s="87"/>
      <c r="M273" s="89">
        <f t="shared" si="31"/>
        <v>0</v>
      </c>
      <c r="N273" s="89">
        <f t="shared" si="32"/>
        <v>0</v>
      </c>
    </row>
    <row r="274" spans="1:14">
      <c r="A274" s="86">
        <f t="shared" si="33"/>
        <v>0</v>
      </c>
      <c r="G274" s="73"/>
      <c r="H274" s="87">
        <v>269</v>
      </c>
      <c r="I274" s="88" t="str">
        <f t="shared" si="29"/>
        <v/>
      </c>
      <c r="J274" s="87">
        <f t="shared" si="34"/>
        <v>-2</v>
      </c>
      <c r="K274" s="87">
        <f t="shared" si="30"/>
        <v>-20</v>
      </c>
      <c r="L274" s="87"/>
      <c r="M274" s="89">
        <f t="shared" si="31"/>
        <v>0</v>
      </c>
      <c r="N274" s="89">
        <f t="shared" si="32"/>
        <v>0</v>
      </c>
    </row>
    <row r="275" spans="1:14">
      <c r="A275" s="90">
        <f t="shared" si="33"/>
        <v>0</v>
      </c>
      <c r="G275" s="73"/>
      <c r="H275" s="87">
        <v>270</v>
      </c>
      <c r="I275" s="88" t="str">
        <f t="shared" si="29"/>
        <v/>
      </c>
      <c r="J275" s="87">
        <f t="shared" si="34"/>
        <v>-2</v>
      </c>
      <c r="K275" s="87">
        <f t="shared" si="30"/>
        <v>-20</v>
      </c>
      <c r="L275" s="87"/>
      <c r="M275" s="89">
        <f t="shared" si="31"/>
        <v>0</v>
      </c>
      <c r="N275" s="89">
        <f t="shared" si="32"/>
        <v>0</v>
      </c>
    </row>
    <row r="276" spans="1:14">
      <c r="A276" s="86">
        <f t="shared" si="33"/>
        <v>0</v>
      </c>
      <c r="G276" s="73"/>
      <c r="H276" s="87">
        <v>271</v>
      </c>
      <c r="I276" s="88" t="str">
        <f t="shared" si="29"/>
        <v/>
      </c>
      <c r="J276" s="87">
        <f t="shared" si="34"/>
        <v>-2</v>
      </c>
      <c r="K276" s="87">
        <f t="shared" si="30"/>
        <v>-20</v>
      </c>
      <c r="L276" s="87"/>
      <c r="M276" s="89">
        <f t="shared" si="31"/>
        <v>0</v>
      </c>
      <c r="N276" s="89">
        <f t="shared" si="32"/>
        <v>0</v>
      </c>
    </row>
    <row r="277" spans="1:14">
      <c r="A277" s="90">
        <f t="shared" si="33"/>
        <v>0</v>
      </c>
      <c r="G277" s="73"/>
      <c r="H277" s="87">
        <v>272</v>
      </c>
      <c r="I277" s="88" t="str">
        <f t="shared" si="29"/>
        <v/>
      </c>
      <c r="J277" s="87">
        <f t="shared" si="34"/>
        <v>-2</v>
      </c>
      <c r="K277" s="87">
        <f t="shared" si="30"/>
        <v>-20</v>
      </c>
      <c r="L277" s="87"/>
      <c r="M277" s="89">
        <f t="shared" si="31"/>
        <v>0</v>
      </c>
      <c r="N277" s="89">
        <f t="shared" si="32"/>
        <v>0</v>
      </c>
    </row>
    <row r="278" spans="1:14">
      <c r="A278" s="86">
        <f t="shared" si="33"/>
        <v>0</v>
      </c>
      <c r="G278" s="73"/>
      <c r="H278" s="87">
        <v>273</v>
      </c>
      <c r="I278" s="88" t="str">
        <f t="shared" si="29"/>
        <v/>
      </c>
      <c r="J278" s="87">
        <f t="shared" si="34"/>
        <v>-2</v>
      </c>
      <c r="K278" s="87">
        <f t="shared" si="30"/>
        <v>-20</v>
      </c>
      <c r="L278" s="87"/>
      <c r="M278" s="89">
        <f t="shared" si="31"/>
        <v>0</v>
      </c>
      <c r="N278" s="89">
        <f t="shared" si="32"/>
        <v>0</v>
      </c>
    </row>
    <row r="279" spans="1:14">
      <c r="A279" s="90">
        <f t="shared" si="33"/>
        <v>0</v>
      </c>
      <c r="G279" s="73"/>
      <c r="H279" s="87">
        <v>274</v>
      </c>
      <c r="I279" s="88" t="str">
        <f t="shared" si="29"/>
        <v/>
      </c>
      <c r="J279" s="87">
        <f t="shared" si="34"/>
        <v>-2</v>
      </c>
      <c r="K279" s="87">
        <f t="shared" si="30"/>
        <v>-20</v>
      </c>
      <c r="L279" s="87"/>
      <c r="M279" s="89">
        <f t="shared" si="31"/>
        <v>0</v>
      </c>
      <c r="N279" s="89">
        <f t="shared" si="32"/>
        <v>0</v>
      </c>
    </row>
    <row r="280" spans="1:14">
      <c r="A280" s="86">
        <f t="shared" si="33"/>
        <v>0</v>
      </c>
      <c r="G280" s="73"/>
      <c r="H280" s="87">
        <v>275</v>
      </c>
      <c r="I280" s="88" t="str">
        <f t="shared" si="29"/>
        <v/>
      </c>
      <c r="J280" s="87">
        <f t="shared" si="34"/>
        <v>-2</v>
      </c>
      <c r="K280" s="87">
        <f t="shared" si="30"/>
        <v>-20</v>
      </c>
      <c r="L280" s="87"/>
      <c r="M280" s="89">
        <f t="shared" si="31"/>
        <v>0</v>
      </c>
      <c r="N280" s="89">
        <f t="shared" si="32"/>
        <v>0</v>
      </c>
    </row>
    <row r="281" spans="1:14">
      <c r="A281" s="90">
        <f t="shared" si="33"/>
        <v>0</v>
      </c>
      <c r="G281" s="73"/>
      <c r="H281" s="87">
        <v>276</v>
      </c>
      <c r="I281" s="88" t="str">
        <f t="shared" si="29"/>
        <v/>
      </c>
      <c r="J281" s="87">
        <f t="shared" si="34"/>
        <v>-2</v>
      </c>
      <c r="K281" s="87">
        <f t="shared" si="30"/>
        <v>-20</v>
      </c>
      <c r="L281" s="87"/>
      <c r="M281" s="89">
        <f t="shared" si="31"/>
        <v>0</v>
      </c>
      <c r="N281" s="89">
        <f t="shared" si="32"/>
        <v>0</v>
      </c>
    </row>
    <row r="282" spans="1:14">
      <c r="A282" s="86">
        <f t="shared" si="33"/>
        <v>0</v>
      </c>
      <c r="G282" s="73"/>
      <c r="H282" s="87">
        <v>277</v>
      </c>
      <c r="I282" s="88" t="str">
        <f t="shared" si="29"/>
        <v/>
      </c>
      <c r="J282" s="87">
        <f t="shared" si="34"/>
        <v>-2</v>
      </c>
      <c r="K282" s="87">
        <f t="shared" si="30"/>
        <v>-20</v>
      </c>
      <c r="L282" s="87"/>
      <c r="M282" s="89">
        <f t="shared" si="31"/>
        <v>0</v>
      </c>
      <c r="N282" s="89">
        <f t="shared" si="32"/>
        <v>0</v>
      </c>
    </row>
    <row r="283" spans="1:14">
      <c r="A283" s="90">
        <f t="shared" si="33"/>
        <v>0</v>
      </c>
      <c r="G283" s="73"/>
      <c r="H283" s="87">
        <v>278</v>
      </c>
      <c r="I283" s="88" t="str">
        <f t="shared" si="29"/>
        <v/>
      </c>
      <c r="J283" s="87">
        <f t="shared" si="34"/>
        <v>-2</v>
      </c>
      <c r="K283" s="87">
        <f t="shared" si="30"/>
        <v>-20</v>
      </c>
      <c r="L283" s="87"/>
      <c r="M283" s="89">
        <f t="shared" si="31"/>
        <v>0</v>
      </c>
      <c r="N283" s="89">
        <f t="shared" si="32"/>
        <v>0</v>
      </c>
    </row>
    <row r="284" spans="1:14">
      <c r="A284" s="86">
        <f t="shared" si="33"/>
        <v>0</v>
      </c>
      <c r="G284" s="73"/>
      <c r="H284" s="87">
        <v>279</v>
      </c>
      <c r="I284" s="88" t="str">
        <f t="shared" si="29"/>
        <v/>
      </c>
      <c r="J284" s="87">
        <f t="shared" si="34"/>
        <v>-2</v>
      </c>
      <c r="K284" s="87">
        <f t="shared" si="30"/>
        <v>-20</v>
      </c>
      <c r="L284" s="87"/>
      <c r="M284" s="89">
        <f t="shared" si="31"/>
        <v>0</v>
      </c>
      <c r="N284" s="89">
        <f t="shared" si="32"/>
        <v>0</v>
      </c>
    </row>
    <row r="285" spans="1:14">
      <c r="A285" s="90">
        <f t="shared" si="33"/>
        <v>0</v>
      </c>
      <c r="G285" s="73"/>
      <c r="H285" s="87">
        <v>280</v>
      </c>
      <c r="I285" s="88" t="str">
        <f t="shared" si="29"/>
        <v/>
      </c>
      <c r="J285" s="87">
        <f t="shared" si="34"/>
        <v>-2</v>
      </c>
      <c r="K285" s="87">
        <f t="shared" si="30"/>
        <v>-20</v>
      </c>
      <c r="L285" s="87"/>
      <c r="M285" s="89">
        <f t="shared" si="31"/>
        <v>0</v>
      </c>
      <c r="N285" s="89">
        <f t="shared" si="32"/>
        <v>0</v>
      </c>
    </row>
    <row r="286" spans="1:14">
      <c r="A286" s="86">
        <f t="shared" si="33"/>
        <v>0</v>
      </c>
      <c r="G286" s="73"/>
      <c r="H286" s="87">
        <v>281</v>
      </c>
      <c r="I286" s="88" t="str">
        <f t="shared" si="29"/>
        <v/>
      </c>
      <c r="J286" s="87">
        <f t="shared" si="34"/>
        <v>-2</v>
      </c>
      <c r="K286" s="87">
        <f t="shared" si="30"/>
        <v>-20</v>
      </c>
      <c r="L286" s="87"/>
      <c r="M286" s="89">
        <f t="shared" si="31"/>
        <v>0</v>
      </c>
      <c r="N286" s="89">
        <f t="shared" si="32"/>
        <v>0</v>
      </c>
    </row>
    <row r="287" spans="1:14">
      <c r="A287" s="90">
        <f t="shared" si="33"/>
        <v>0</v>
      </c>
      <c r="G287" s="73"/>
      <c r="H287" s="87">
        <v>282</v>
      </c>
      <c r="I287" s="88" t="str">
        <f t="shared" si="29"/>
        <v/>
      </c>
      <c r="J287" s="87">
        <f t="shared" si="34"/>
        <v>-2</v>
      </c>
      <c r="K287" s="87">
        <f t="shared" si="30"/>
        <v>-20</v>
      </c>
      <c r="L287" s="87"/>
      <c r="M287" s="89">
        <f t="shared" si="31"/>
        <v>0</v>
      </c>
      <c r="N287" s="89">
        <f t="shared" si="32"/>
        <v>0</v>
      </c>
    </row>
    <row r="288" spans="1:14">
      <c r="A288" s="86">
        <f t="shared" si="33"/>
        <v>0</v>
      </c>
      <c r="G288" s="73"/>
      <c r="H288" s="87">
        <v>283</v>
      </c>
      <c r="I288" s="88" t="str">
        <f t="shared" si="29"/>
        <v/>
      </c>
      <c r="J288" s="87">
        <f t="shared" si="34"/>
        <v>-2</v>
      </c>
      <c r="K288" s="87">
        <f t="shared" si="30"/>
        <v>-20</v>
      </c>
      <c r="L288" s="87"/>
      <c r="M288" s="89">
        <f t="shared" si="31"/>
        <v>0</v>
      </c>
      <c r="N288" s="89">
        <f t="shared" si="32"/>
        <v>0</v>
      </c>
    </row>
    <row r="289" spans="1:14">
      <c r="A289" s="90">
        <f t="shared" si="33"/>
        <v>0</v>
      </c>
      <c r="G289" s="73"/>
      <c r="H289" s="87">
        <v>284</v>
      </c>
      <c r="I289" s="88" t="str">
        <f t="shared" si="29"/>
        <v/>
      </c>
      <c r="J289" s="87">
        <f t="shared" si="34"/>
        <v>-2</v>
      </c>
      <c r="K289" s="87">
        <f t="shared" si="30"/>
        <v>-20</v>
      </c>
      <c r="L289" s="87"/>
      <c r="M289" s="89">
        <f t="shared" si="31"/>
        <v>0</v>
      </c>
      <c r="N289" s="89">
        <f t="shared" si="32"/>
        <v>0</v>
      </c>
    </row>
    <row r="290" spans="1:14">
      <c r="A290" s="86">
        <f t="shared" si="33"/>
        <v>0</v>
      </c>
      <c r="G290" s="73"/>
      <c r="H290" s="87">
        <v>285</v>
      </c>
      <c r="I290" s="88" t="str">
        <f t="shared" si="29"/>
        <v/>
      </c>
      <c r="J290" s="87">
        <f t="shared" si="34"/>
        <v>-2</v>
      </c>
      <c r="K290" s="87">
        <f t="shared" si="30"/>
        <v>-20</v>
      </c>
      <c r="L290" s="87"/>
      <c r="M290" s="89">
        <f t="shared" si="31"/>
        <v>0</v>
      </c>
      <c r="N290" s="89">
        <f t="shared" si="32"/>
        <v>0</v>
      </c>
    </row>
    <row r="291" spans="1:14">
      <c r="A291" s="90">
        <f t="shared" si="33"/>
        <v>0</v>
      </c>
      <c r="G291" s="73"/>
      <c r="H291" s="87">
        <v>286</v>
      </c>
      <c r="I291" s="88" t="str">
        <f t="shared" si="29"/>
        <v/>
      </c>
      <c r="J291" s="87">
        <f t="shared" si="34"/>
        <v>-2</v>
      </c>
      <c r="K291" s="87">
        <f t="shared" si="30"/>
        <v>-20</v>
      </c>
      <c r="L291" s="87"/>
      <c r="M291" s="89">
        <f t="shared" si="31"/>
        <v>0</v>
      </c>
      <c r="N291" s="89">
        <f t="shared" si="32"/>
        <v>0</v>
      </c>
    </row>
    <row r="292" spans="1:14">
      <c r="A292" s="86">
        <f t="shared" si="33"/>
        <v>0</v>
      </c>
      <c r="G292" s="73"/>
      <c r="H292" s="87">
        <v>287</v>
      </c>
      <c r="I292" s="88" t="str">
        <f t="shared" si="29"/>
        <v/>
      </c>
      <c r="J292" s="87">
        <f t="shared" si="34"/>
        <v>-2</v>
      </c>
      <c r="K292" s="87">
        <f t="shared" si="30"/>
        <v>-20</v>
      </c>
      <c r="L292" s="87"/>
      <c r="M292" s="89">
        <f t="shared" si="31"/>
        <v>0</v>
      </c>
      <c r="N292" s="89">
        <f t="shared" si="32"/>
        <v>0</v>
      </c>
    </row>
    <row r="293" spans="1:14">
      <c r="A293" s="90">
        <f t="shared" si="33"/>
        <v>0</v>
      </c>
      <c r="G293" s="73"/>
      <c r="H293" s="87">
        <v>288</v>
      </c>
      <c r="I293" s="88" t="str">
        <f t="shared" si="29"/>
        <v/>
      </c>
      <c r="J293" s="87">
        <f t="shared" si="34"/>
        <v>-2</v>
      </c>
      <c r="K293" s="87">
        <f t="shared" si="30"/>
        <v>-20</v>
      </c>
      <c r="L293" s="87"/>
      <c r="M293" s="89">
        <f t="shared" si="31"/>
        <v>0</v>
      </c>
      <c r="N293" s="89">
        <f t="shared" si="32"/>
        <v>0</v>
      </c>
    </row>
    <row r="294" spans="1:14">
      <c r="A294" s="86">
        <f t="shared" si="33"/>
        <v>0</v>
      </c>
      <c r="G294" s="73"/>
      <c r="H294" s="87">
        <v>289</v>
      </c>
      <c r="I294" s="88" t="str">
        <f t="shared" si="29"/>
        <v/>
      </c>
      <c r="J294" s="87">
        <f t="shared" si="34"/>
        <v>-2</v>
      </c>
      <c r="K294" s="87">
        <f t="shared" si="30"/>
        <v>-20</v>
      </c>
      <c r="L294" s="87"/>
      <c r="M294" s="89">
        <f t="shared" si="31"/>
        <v>0</v>
      </c>
      <c r="N294" s="89">
        <f t="shared" si="32"/>
        <v>0</v>
      </c>
    </row>
    <row r="295" spans="1:14">
      <c r="A295" s="90">
        <f t="shared" si="33"/>
        <v>0</v>
      </c>
      <c r="G295" s="73"/>
      <c r="H295" s="87">
        <v>290</v>
      </c>
      <c r="I295" s="88" t="str">
        <f t="shared" si="29"/>
        <v/>
      </c>
      <c r="J295" s="87">
        <f t="shared" si="34"/>
        <v>-2</v>
      </c>
      <c r="K295" s="87">
        <f t="shared" si="30"/>
        <v>-20</v>
      </c>
      <c r="L295" s="87"/>
      <c r="M295" s="89">
        <f t="shared" si="31"/>
        <v>0</v>
      </c>
      <c r="N295" s="89">
        <f t="shared" si="32"/>
        <v>0</v>
      </c>
    </row>
    <row r="296" spans="1:14">
      <c r="A296" s="86">
        <f t="shared" si="33"/>
        <v>0</v>
      </c>
      <c r="G296" s="73"/>
      <c r="H296" s="87">
        <v>291</v>
      </c>
      <c r="I296" s="88" t="str">
        <f t="shared" si="29"/>
        <v/>
      </c>
      <c r="J296" s="87">
        <f t="shared" si="34"/>
        <v>-2</v>
      </c>
      <c r="K296" s="87">
        <f t="shared" si="30"/>
        <v>-20</v>
      </c>
      <c r="L296" s="87"/>
      <c r="M296" s="89">
        <f t="shared" si="31"/>
        <v>0</v>
      </c>
      <c r="N296" s="89">
        <f t="shared" si="32"/>
        <v>0</v>
      </c>
    </row>
    <row r="297" spans="1:14">
      <c r="A297" s="90">
        <f t="shared" si="33"/>
        <v>0</v>
      </c>
      <c r="G297" s="73"/>
      <c r="H297" s="87">
        <v>292</v>
      </c>
      <c r="I297" s="88" t="str">
        <f t="shared" si="29"/>
        <v/>
      </c>
      <c r="J297" s="87">
        <f t="shared" si="34"/>
        <v>-2</v>
      </c>
      <c r="K297" s="87">
        <f t="shared" si="30"/>
        <v>-20</v>
      </c>
      <c r="L297" s="87"/>
      <c r="M297" s="89">
        <f t="shared" si="31"/>
        <v>0</v>
      </c>
      <c r="N297" s="89">
        <f t="shared" si="32"/>
        <v>0</v>
      </c>
    </row>
    <row r="298" spans="1:14">
      <c r="A298" s="86">
        <f t="shared" si="33"/>
        <v>0</v>
      </c>
      <c r="G298" s="73"/>
      <c r="H298" s="87">
        <v>293</v>
      </c>
      <c r="I298" s="88" t="str">
        <f t="shared" si="29"/>
        <v/>
      </c>
      <c r="J298" s="87">
        <f t="shared" si="34"/>
        <v>-2</v>
      </c>
      <c r="K298" s="87">
        <f t="shared" si="30"/>
        <v>-20</v>
      </c>
      <c r="L298" s="87"/>
      <c r="M298" s="89">
        <f t="shared" si="31"/>
        <v>0</v>
      </c>
      <c r="N298" s="89">
        <f t="shared" si="32"/>
        <v>0</v>
      </c>
    </row>
    <row r="299" spans="1:14">
      <c r="A299" s="90">
        <f t="shared" si="33"/>
        <v>0</v>
      </c>
      <c r="G299" s="73"/>
      <c r="H299" s="87">
        <v>294</v>
      </c>
      <c r="I299" s="88" t="str">
        <f t="shared" si="29"/>
        <v/>
      </c>
      <c r="J299" s="87">
        <f t="shared" si="34"/>
        <v>-2</v>
      </c>
      <c r="K299" s="87">
        <f t="shared" si="30"/>
        <v>-20</v>
      </c>
      <c r="L299" s="87"/>
      <c r="M299" s="89">
        <f t="shared" si="31"/>
        <v>0</v>
      </c>
      <c r="N299" s="89">
        <f t="shared" si="32"/>
        <v>0</v>
      </c>
    </row>
    <row r="300" spans="1:14">
      <c r="A300" s="86">
        <f t="shared" si="33"/>
        <v>0</v>
      </c>
      <c r="G300" s="73"/>
      <c r="H300" s="87">
        <v>295</v>
      </c>
      <c r="I300" s="88" t="str">
        <f t="shared" si="29"/>
        <v/>
      </c>
      <c r="J300" s="87">
        <f t="shared" si="34"/>
        <v>-2</v>
      </c>
      <c r="K300" s="87">
        <f t="shared" si="30"/>
        <v>-20</v>
      </c>
      <c r="L300" s="87"/>
      <c r="M300" s="89">
        <f t="shared" si="31"/>
        <v>0</v>
      </c>
      <c r="N300" s="89">
        <f t="shared" si="32"/>
        <v>0</v>
      </c>
    </row>
    <row r="301" spans="1:14">
      <c r="A301" s="90">
        <f t="shared" si="33"/>
        <v>0</v>
      </c>
      <c r="G301" s="73"/>
      <c r="H301" s="87">
        <v>296</v>
      </c>
      <c r="I301" s="88" t="str">
        <f t="shared" si="29"/>
        <v/>
      </c>
      <c r="J301" s="87">
        <f t="shared" si="34"/>
        <v>-2</v>
      </c>
      <c r="K301" s="87">
        <f t="shared" si="30"/>
        <v>-20</v>
      </c>
      <c r="L301" s="87"/>
      <c r="M301" s="89">
        <f t="shared" si="31"/>
        <v>0</v>
      </c>
      <c r="N301" s="89">
        <f t="shared" si="32"/>
        <v>0</v>
      </c>
    </row>
    <row r="302" spans="1:14">
      <c r="A302" s="86">
        <f t="shared" si="33"/>
        <v>0</v>
      </c>
      <c r="G302" s="73"/>
      <c r="H302" s="87">
        <v>297</v>
      </c>
      <c r="I302" s="88" t="str">
        <f t="shared" si="29"/>
        <v/>
      </c>
      <c r="J302" s="87">
        <f t="shared" si="34"/>
        <v>-2</v>
      </c>
      <c r="K302" s="87">
        <f t="shared" si="30"/>
        <v>-20</v>
      </c>
      <c r="L302" s="87"/>
      <c r="M302" s="89">
        <f t="shared" si="31"/>
        <v>0</v>
      </c>
      <c r="N302" s="89">
        <f t="shared" si="32"/>
        <v>0</v>
      </c>
    </row>
    <row r="303" spans="1:14">
      <c r="A303" s="90">
        <f t="shared" si="33"/>
        <v>0</v>
      </c>
      <c r="G303" s="73"/>
      <c r="H303" s="87">
        <v>298</v>
      </c>
      <c r="I303" s="88" t="str">
        <f t="shared" si="29"/>
        <v/>
      </c>
      <c r="J303" s="87">
        <f t="shared" si="34"/>
        <v>-2</v>
      </c>
      <c r="K303" s="87">
        <f t="shared" si="30"/>
        <v>-20</v>
      </c>
      <c r="L303" s="87"/>
      <c r="M303" s="89">
        <f t="shared" si="31"/>
        <v>0</v>
      </c>
      <c r="N303" s="89">
        <f t="shared" si="32"/>
        <v>0</v>
      </c>
    </row>
    <row r="304" spans="1:14">
      <c r="A304" s="86">
        <f t="shared" si="33"/>
        <v>0</v>
      </c>
      <c r="G304" s="73"/>
      <c r="H304" s="87">
        <v>299</v>
      </c>
      <c r="I304" s="88" t="str">
        <f t="shared" si="29"/>
        <v/>
      </c>
      <c r="J304" s="87">
        <f t="shared" si="34"/>
        <v>-2</v>
      </c>
      <c r="K304" s="87">
        <f t="shared" si="30"/>
        <v>-20</v>
      </c>
      <c r="L304" s="87"/>
      <c r="M304" s="89">
        <f t="shared" si="31"/>
        <v>0</v>
      </c>
      <c r="N304" s="89">
        <f t="shared" si="32"/>
        <v>0</v>
      </c>
    </row>
    <row r="305" spans="1:17">
      <c r="A305" s="90">
        <f t="shared" si="33"/>
        <v>0</v>
      </c>
      <c r="G305" s="73"/>
      <c r="H305" s="87">
        <v>300</v>
      </c>
      <c r="I305" s="88" t="str">
        <f t="shared" si="29"/>
        <v/>
      </c>
      <c r="J305" s="87">
        <f t="shared" si="34"/>
        <v>-2</v>
      </c>
      <c r="K305" s="87">
        <f t="shared" si="30"/>
        <v>-20</v>
      </c>
      <c r="L305" s="87"/>
      <c r="M305" s="89">
        <f t="shared" si="31"/>
        <v>0</v>
      </c>
      <c r="N305" s="89">
        <f t="shared" si="32"/>
        <v>0</v>
      </c>
    </row>
    <row r="306" spans="1:17">
      <c r="A306" s="106"/>
    </row>
    <row r="314" spans="1:17">
      <c r="L314" s="109"/>
      <c r="M314" s="109"/>
      <c r="Q314" s="99"/>
    </row>
    <row r="315" spans="1:17">
      <c r="L315" s="109"/>
      <c r="M315" s="109"/>
      <c r="Q315" s="99"/>
    </row>
    <row r="316" spans="1:17">
      <c r="L316" s="109"/>
      <c r="M316" s="109"/>
      <c r="Q316" s="99"/>
    </row>
    <row r="317" spans="1:17">
      <c r="L317" s="109"/>
      <c r="M317" s="109"/>
      <c r="Q317" s="99"/>
    </row>
  </sheetData>
  <mergeCells count="2">
    <mergeCell ref="C2:D2"/>
    <mergeCell ref="C3:D3"/>
  </mergeCells>
  <conditionalFormatting sqref="J9:K9">
    <cfRule type="cellIs" dxfId="4" priority="2" operator="lessThanOrEqual">
      <formula>0</formula>
    </cfRule>
  </conditionalFormatting>
  <conditionalFormatting sqref="J6:N8 J10:N305">
    <cfRule type="cellIs" dxfId="3" priority="3" operator="lessThanOrEqual">
      <formula>0</formula>
    </cfRule>
  </conditionalFormatting>
  <conditionalFormatting sqref="N9">
    <cfRule type="cellIs" dxfId="2" priority="1" operator="lessThanOrEqual">
      <formula>0</formula>
    </cfRule>
  </conditionalFormatting>
  <hyperlinks>
    <hyperlink ref="C2" r:id="rId1" display="https://www.fencingtimelive.com/events/results/ABAADCA376B1472397749EEA732DC198" xr:uid="{305F3ADA-3360-4321-880A-37FDBD6BA1A7}"/>
    <hyperlink ref="C2:D2" r:id="rId2" display="Płowdiw" xr:uid="{E1BFC77A-CB79-49CD-996E-967848751CE9}"/>
  </hyperlinks>
  <pageMargins left="0.7" right="0.7" top="0.75" bottom="0.75" header="0.3" footer="0.3"/>
  <pageSetup paperSize="9" orientation="portrait"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0C5A-617C-4747-84E8-BB16CCC746BF}">
  <sheetPr>
    <tabColor rgb="FF92D050"/>
  </sheetPr>
  <dimension ref="A1:AL373"/>
  <sheetViews>
    <sheetView topLeftCell="A72" workbookViewId="0">
      <selection activeCell="D85" sqref="D85"/>
    </sheetView>
  </sheetViews>
  <sheetFormatPr defaultColWidth="8.85546875" defaultRowHeight="15"/>
  <cols>
    <col min="1" max="1" width="8" style="315" customWidth="1"/>
    <col min="2" max="2" width="8.28515625" style="315" customWidth="1"/>
    <col min="3" max="3" width="34.7109375" style="315" customWidth="1"/>
    <col min="4" max="4" width="52.140625" style="315" customWidth="1"/>
    <col min="5" max="6" width="8.85546875" style="315"/>
    <col min="7" max="7" width="2.7109375" style="315" customWidth="1"/>
    <col min="8" max="8" width="8.85546875" style="317"/>
    <col min="9" max="9" width="11" style="317" customWidth="1"/>
    <col min="10" max="10" width="15.28515625" style="317" customWidth="1"/>
    <col min="11" max="11" width="8.7109375" style="317" customWidth="1"/>
    <col min="12" max="12" width="11" style="317" customWidth="1"/>
    <col min="13" max="13" width="11.7109375" style="318" customWidth="1"/>
    <col min="14" max="15" width="13.85546875" style="276" customWidth="1"/>
    <col min="16" max="18" width="8.85546875" style="276"/>
    <col min="19" max="20" width="8.85546875" style="282"/>
    <col min="21" max="21" width="12.140625" style="282" customWidth="1"/>
    <col min="22" max="22" width="27.42578125" style="282" customWidth="1"/>
    <col min="23" max="38" width="8.85546875" style="282"/>
    <col min="39" max="16384" width="8.85546875" style="315"/>
  </cols>
  <sheetData>
    <row r="1" spans="1:34" ht="18.75">
      <c r="A1" s="276"/>
      <c r="B1" s="251" t="s">
        <v>44</v>
      </c>
      <c r="C1" s="277" t="s">
        <v>321</v>
      </c>
      <c r="D1" s="253"/>
      <c r="E1" s="276"/>
      <c r="F1" s="276"/>
      <c r="G1" s="276"/>
      <c r="H1" s="278" t="s">
        <v>40</v>
      </c>
      <c r="I1" s="279" t="s">
        <v>41</v>
      </c>
      <c r="J1" s="279" t="s">
        <v>42</v>
      </c>
      <c r="K1" s="280" t="s">
        <v>43</v>
      </c>
      <c r="L1" s="281"/>
      <c r="M1" s="281"/>
    </row>
    <row r="2" spans="1:34">
      <c r="A2" s="194" t="s">
        <v>61</v>
      </c>
      <c r="B2" s="251" t="s">
        <v>62</v>
      </c>
      <c r="C2" s="283" t="s">
        <v>322</v>
      </c>
      <c r="D2" s="255"/>
      <c r="E2" s="256"/>
      <c r="F2" s="256"/>
      <c r="G2" s="256"/>
      <c r="H2" s="284">
        <v>76</v>
      </c>
      <c r="I2" s="285">
        <v>50</v>
      </c>
      <c r="J2" s="285">
        <v>10</v>
      </c>
      <c r="K2" s="286">
        <f>3*H2^(1/3)</f>
        <v>12.70747075276468</v>
      </c>
      <c r="L2" s="281"/>
      <c r="M2" s="281"/>
    </row>
    <row r="3" spans="1:34" ht="14.25" customHeight="1">
      <c r="A3" s="287" t="s">
        <v>64</v>
      </c>
      <c r="B3" s="288" t="s">
        <v>46</v>
      </c>
      <c r="C3" s="254" t="s">
        <v>323</v>
      </c>
      <c r="D3" s="255"/>
      <c r="E3" s="259"/>
      <c r="F3" s="259"/>
      <c r="G3" s="259"/>
      <c r="H3" s="281"/>
      <c r="I3" s="281"/>
      <c r="J3" s="289"/>
      <c r="K3" s="281"/>
      <c r="L3" s="281"/>
      <c r="M3" s="281"/>
    </row>
    <row r="4" spans="1:34" ht="10.35" customHeight="1">
      <c r="A4" s="260"/>
      <c r="B4" s="259"/>
      <c r="C4" s="261" t="s">
        <v>324</v>
      </c>
      <c r="D4" s="260"/>
      <c r="E4" s="260"/>
      <c r="F4" s="260"/>
      <c r="G4" s="260"/>
      <c r="H4" s="281"/>
      <c r="I4" s="281"/>
      <c r="J4" s="289"/>
      <c r="K4" s="281"/>
      <c r="L4" s="281"/>
      <c r="M4" s="281"/>
    </row>
    <row r="5" spans="1:34" ht="48">
      <c r="A5" s="262" t="s">
        <v>48</v>
      </c>
      <c r="B5" s="263" t="s">
        <v>49</v>
      </c>
      <c r="C5" s="262" t="s">
        <v>50</v>
      </c>
      <c r="D5" s="262" t="s">
        <v>51</v>
      </c>
      <c r="E5" s="262" t="s">
        <v>52</v>
      </c>
      <c r="F5" s="262" t="s">
        <v>53</v>
      </c>
      <c r="G5" s="260"/>
      <c r="H5" s="290" t="s">
        <v>54</v>
      </c>
      <c r="I5" s="291" t="s">
        <v>55</v>
      </c>
      <c r="J5" s="292" t="s">
        <v>56</v>
      </c>
      <c r="K5" s="291" t="s">
        <v>57</v>
      </c>
      <c r="L5" s="291" t="s">
        <v>58</v>
      </c>
      <c r="M5" s="290" t="s">
        <v>59</v>
      </c>
      <c r="O5" s="293"/>
      <c r="P5" s="294"/>
      <c r="Q5" s="294"/>
      <c r="R5" s="294"/>
    </row>
    <row r="6" spans="1:34" s="282" customFormat="1" ht="14.45" customHeight="1">
      <c r="A6" s="264">
        <f>M6</f>
        <v>158.12241225829405</v>
      </c>
      <c r="B6" s="265">
        <f t="shared" ref="B6:B69" si="0">IF(H6&gt;$H$2,"",(ROW()-5))</f>
        <v>1</v>
      </c>
      <c r="C6" s="266" t="s">
        <v>17</v>
      </c>
      <c r="D6" s="266"/>
      <c r="E6" s="266"/>
      <c r="F6" s="266" t="s">
        <v>80</v>
      </c>
      <c r="G6" s="260"/>
      <c r="H6" s="295">
        <v>1</v>
      </c>
      <c r="I6" s="296">
        <f>IF(H2=1,50,IF(H6&lt;$H$2+1,($I$2-($I$2-1)*(LOG(H6)/LOG($H$2))),""))</f>
        <v>50</v>
      </c>
      <c r="J6" s="295">
        <f>INT(LOG($H$2,2))-ROUNDUP(LOG(H6,2),0)+IF(OR($H$2=1,$H$2=2,$H$2=4,$H$2=8,$H$2=16,$H$2=32,$H$2=64,$H$2=128,$H$2=256),0,1)</f>
        <v>7</v>
      </c>
      <c r="K6" s="295">
        <f t="shared" ref="K6:K69" si="1">J6*$J$2</f>
        <v>70</v>
      </c>
      <c r="L6" s="297">
        <f>3*K2</f>
        <v>38.122412258294041</v>
      </c>
      <c r="M6" s="297">
        <f t="shared" ref="M6:M69" si="2">IF(I6&lt;&gt;"",K6+I6+L6,0)</f>
        <v>158.12241225829405</v>
      </c>
      <c r="N6" s="276"/>
      <c r="O6" s="298"/>
      <c r="P6" s="299"/>
      <c r="Q6" s="300"/>
      <c r="R6" s="300"/>
    </row>
    <row r="7" spans="1:34" s="282" customFormat="1" ht="14.45" customHeight="1">
      <c r="A7" s="267">
        <f t="shared" ref="A7:A70" si="3">M7</f>
        <v>127.57234091604312</v>
      </c>
      <c r="B7" s="268">
        <f t="shared" si="0"/>
        <v>2</v>
      </c>
      <c r="C7" s="269" t="s">
        <v>325</v>
      </c>
      <c r="D7" s="269"/>
      <c r="E7" s="269"/>
      <c r="F7" s="269" t="s">
        <v>326</v>
      </c>
      <c r="G7" s="260"/>
      <c r="H7" s="301">
        <v>2</v>
      </c>
      <c r="I7" s="302">
        <f t="shared" ref="I7:I70" si="4">IF(H7&lt;$H$2+1,($I$2-($I$2-1)*(LOG(H7)/LOG($H$2))),"")</f>
        <v>42.157399410513754</v>
      </c>
      <c r="J7" s="301">
        <f t="shared" ref="J7:J70" si="5">INT(LOG($H$2,2))-ROUNDUP(LOG(H7,2),0)+IF(OR($H$2=1,$H$2=2,$H$2=4,$H$2=8,$H$2=16,$H$2=32,$H$2=64,$H$2=128,$H$2=256),0,1)</f>
        <v>6</v>
      </c>
      <c r="K7" s="301">
        <f t="shared" si="1"/>
        <v>60</v>
      </c>
      <c r="L7" s="303">
        <f>2*K2</f>
        <v>25.414941505529359</v>
      </c>
      <c r="M7" s="303">
        <f t="shared" si="2"/>
        <v>127.57234091604312</v>
      </c>
      <c r="N7" s="276"/>
      <c r="O7" s="298"/>
      <c r="P7" s="299"/>
      <c r="Q7" s="300"/>
      <c r="R7" s="300"/>
    </row>
    <row r="8" spans="1:34" s="282" customFormat="1" ht="14.45" customHeight="1">
      <c r="A8" s="264">
        <f t="shared" si="3"/>
        <v>100.27724291029534</v>
      </c>
      <c r="B8" s="265">
        <f t="shared" si="0"/>
        <v>3</v>
      </c>
      <c r="C8" s="266" t="s">
        <v>327</v>
      </c>
      <c r="D8" s="266"/>
      <c r="E8" s="266"/>
      <c r="F8" s="266" t="s">
        <v>175</v>
      </c>
      <c r="G8" s="260"/>
      <c r="H8" s="295">
        <v>3</v>
      </c>
      <c r="I8" s="296">
        <f t="shared" si="4"/>
        <v>37.569772157530664</v>
      </c>
      <c r="J8" s="295">
        <f t="shared" si="5"/>
        <v>5</v>
      </c>
      <c r="K8" s="295">
        <f t="shared" si="1"/>
        <v>50</v>
      </c>
      <c r="L8" s="297">
        <f>K2</f>
        <v>12.70747075276468</v>
      </c>
      <c r="M8" s="297">
        <f t="shared" si="2"/>
        <v>100.27724291029534</v>
      </c>
      <c r="N8" s="276"/>
      <c r="O8" s="298"/>
      <c r="P8" s="299"/>
      <c r="Q8" s="300"/>
      <c r="R8" s="300"/>
    </row>
    <row r="9" spans="1:34" s="282" customFormat="1" ht="14.45" customHeight="1">
      <c r="A9" s="267">
        <f t="shared" si="3"/>
        <v>84.314798821027509</v>
      </c>
      <c r="B9" s="268">
        <f t="shared" si="0"/>
        <v>4</v>
      </c>
      <c r="C9" s="269" t="s">
        <v>328</v>
      </c>
      <c r="D9" s="269"/>
      <c r="E9" s="269"/>
      <c r="F9" s="269" t="s">
        <v>329</v>
      </c>
      <c r="G9" s="260"/>
      <c r="H9" s="301">
        <v>4</v>
      </c>
      <c r="I9" s="302">
        <f t="shared" si="4"/>
        <v>34.314798821027509</v>
      </c>
      <c r="J9" s="301">
        <f t="shared" si="5"/>
        <v>5</v>
      </c>
      <c r="K9" s="301">
        <f t="shared" si="1"/>
        <v>50</v>
      </c>
      <c r="L9" s="303"/>
      <c r="M9" s="303">
        <f t="shared" si="2"/>
        <v>84.314798821027509</v>
      </c>
      <c r="N9" s="276"/>
      <c r="O9" s="298"/>
      <c r="P9" s="299"/>
      <c r="Q9" s="300"/>
      <c r="R9" s="300"/>
      <c r="V9" s="304"/>
      <c r="Z9" s="305"/>
      <c r="AA9" s="305"/>
      <c r="AG9" s="306"/>
    </row>
    <row r="10" spans="1:34" s="282" customFormat="1" ht="14.45" customHeight="1">
      <c r="A10" s="264">
        <f t="shared" si="3"/>
        <v>71.790045354291692</v>
      </c>
      <c r="B10" s="265">
        <f t="shared" si="0"/>
        <v>5</v>
      </c>
      <c r="C10" s="266" t="s">
        <v>194</v>
      </c>
      <c r="D10" s="266"/>
      <c r="E10" s="266"/>
      <c r="F10" s="266" t="s">
        <v>171</v>
      </c>
      <c r="G10" s="260"/>
      <c r="H10" s="295">
        <v>5</v>
      </c>
      <c r="I10" s="296">
        <f t="shared" si="4"/>
        <v>31.790045354291696</v>
      </c>
      <c r="J10" s="295">
        <f t="shared" si="5"/>
        <v>4</v>
      </c>
      <c r="K10" s="295">
        <f t="shared" si="1"/>
        <v>40</v>
      </c>
      <c r="L10" s="295"/>
      <c r="M10" s="297">
        <f t="shared" si="2"/>
        <v>71.790045354291692</v>
      </c>
      <c r="N10" s="276"/>
      <c r="O10" s="298"/>
      <c r="P10" s="299"/>
      <c r="Q10" s="300"/>
      <c r="R10" s="300"/>
      <c r="V10" s="304"/>
      <c r="Z10" s="305"/>
      <c r="AA10" s="305"/>
      <c r="AG10" s="306"/>
    </row>
    <row r="11" spans="1:34" s="282" customFormat="1" ht="14.45" customHeight="1">
      <c r="A11" s="267">
        <f t="shared" si="3"/>
        <v>69.727171568044412</v>
      </c>
      <c r="B11" s="268">
        <f t="shared" si="0"/>
        <v>6</v>
      </c>
      <c r="C11" s="269" t="s">
        <v>330</v>
      </c>
      <c r="D11" s="269"/>
      <c r="E11" s="269"/>
      <c r="F11" s="269" t="s">
        <v>175</v>
      </c>
      <c r="G11" s="260"/>
      <c r="H11" s="301">
        <v>6</v>
      </c>
      <c r="I11" s="302">
        <f t="shared" si="4"/>
        <v>29.727171568044419</v>
      </c>
      <c r="J11" s="301">
        <f t="shared" si="5"/>
        <v>4</v>
      </c>
      <c r="K11" s="301">
        <f t="shared" si="1"/>
        <v>40</v>
      </c>
      <c r="L11" s="301"/>
      <c r="M11" s="303">
        <f t="shared" si="2"/>
        <v>69.727171568044412</v>
      </c>
      <c r="N11" s="276"/>
      <c r="O11" s="298"/>
      <c r="P11" s="299"/>
      <c r="Q11" s="300"/>
      <c r="R11" s="300"/>
      <c r="V11" s="307"/>
      <c r="Z11" s="305"/>
      <c r="AA11" s="305"/>
      <c r="AG11" s="306"/>
    </row>
    <row r="12" spans="1:34" s="282" customFormat="1" ht="14.45" customHeight="1">
      <c r="A12" s="264">
        <f t="shared" si="3"/>
        <v>67.983036633373928</v>
      </c>
      <c r="B12" s="265">
        <f t="shared" si="0"/>
        <v>7</v>
      </c>
      <c r="C12" s="266" t="s">
        <v>16</v>
      </c>
      <c r="D12" s="266"/>
      <c r="E12" s="266"/>
      <c r="F12" s="266" t="s">
        <v>80</v>
      </c>
      <c r="G12" s="260"/>
      <c r="H12" s="295">
        <v>7</v>
      </c>
      <c r="I12" s="296">
        <f t="shared" si="4"/>
        <v>27.983036633373921</v>
      </c>
      <c r="J12" s="295">
        <f t="shared" si="5"/>
        <v>4</v>
      </c>
      <c r="K12" s="295">
        <f t="shared" si="1"/>
        <v>40</v>
      </c>
      <c r="L12" s="295"/>
      <c r="M12" s="297">
        <f t="shared" si="2"/>
        <v>67.983036633373928</v>
      </c>
      <c r="N12" s="276"/>
      <c r="O12" s="298"/>
      <c r="P12" s="299"/>
      <c r="Q12" s="300"/>
      <c r="R12" s="300"/>
      <c r="Z12" s="305"/>
      <c r="AA12" s="305"/>
      <c r="AG12" s="306"/>
    </row>
    <row r="13" spans="1:34" s="282" customFormat="1" ht="14.45" customHeight="1">
      <c r="A13" s="270">
        <f t="shared" si="3"/>
        <v>66.472198231541256</v>
      </c>
      <c r="B13" s="268">
        <f t="shared" si="0"/>
        <v>8</v>
      </c>
      <c r="C13" s="269" t="s">
        <v>331</v>
      </c>
      <c r="D13" s="269"/>
      <c r="E13" s="269"/>
      <c r="F13" s="269" t="s">
        <v>175</v>
      </c>
      <c r="G13" s="260"/>
      <c r="H13" s="301">
        <v>8</v>
      </c>
      <c r="I13" s="302">
        <f t="shared" si="4"/>
        <v>26.472198231541263</v>
      </c>
      <c r="J13" s="301">
        <f t="shared" si="5"/>
        <v>4</v>
      </c>
      <c r="K13" s="301">
        <f t="shared" si="1"/>
        <v>40</v>
      </c>
      <c r="L13" s="301"/>
      <c r="M13" s="303">
        <f t="shared" si="2"/>
        <v>66.472198231541256</v>
      </c>
      <c r="N13" s="276"/>
      <c r="O13" s="276"/>
      <c r="P13" s="276"/>
      <c r="Q13" s="276"/>
      <c r="R13" s="276"/>
      <c r="X13" s="304"/>
      <c r="AG13" s="306"/>
    </row>
    <row r="14" spans="1:34" s="282" customFormat="1" ht="15.75" customHeight="1">
      <c r="A14" s="271">
        <f t="shared" si="3"/>
        <v>55.139544315061329</v>
      </c>
      <c r="B14" s="265">
        <f t="shared" si="0"/>
        <v>9</v>
      </c>
      <c r="C14" s="266" t="s">
        <v>332</v>
      </c>
      <c r="D14" s="266"/>
      <c r="E14" s="266"/>
      <c r="F14" s="266" t="s">
        <v>83</v>
      </c>
      <c r="G14" s="260"/>
      <c r="H14" s="295">
        <v>9</v>
      </c>
      <c r="I14" s="296">
        <f t="shared" si="4"/>
        <v>25.139544315061332</v>
      </c>
      <c r="J14" s="295">
        <f t="shared" si="5"/>
        <v>3</v>
      </c>
      <c r="K14" s="295">
        <f t="shared" si="1"/>
        <v>30</v>
      </c>
      <c r="L14" s="295"/>
      <c r="M14" s="297">
        <f t="shared" si="2"/>
        <v>55.139544315061329</v>
      </c>
      <c r="N14" s="276"/>
      <c r="O14" s="276"/>
      <c r="P14" s="276"/>
      <c r="Q14" s="276"/>
      <c r="R14" s="276"/>
      <c r="X14" s="308"/>
      <c r="Z14" s="305"/>
      <c r="AA14" s="305"/>
      <c r="AG14" s="306"/>
    </row>
    <row r="15" spans="1:34" s="282" customFormat="1">
      <c r="A15" s="270">
        <f t="shared" si="3"/>
        <v>53.947444764805454</v>
      </c>
      <c r="B15" s="268">
        <f t="shared" si="0"/>
        <v>10</v>
      </c>
      <c r="C15" s="269" t="s">
        <v>333</v>
      </c>
      <c r="D15" s="269"/>
      <c r="E15" s="269"/>
      <c r="F15" s="269" t="s">
        <v>198</v>
      </c>
      <c r="G15" s="260"/>
      <c r="H15" s="301">
        <v>10</v>
      </c>
      <c r="I15" s="302">
        <f t="shared" si="4"/>
        <v>23.947444764805454</v>
      </c>
      <c r="J15" s="301">
        <f t="shared" si="5"/>
        <v>3</v>
      </c>
      <c r="K15" s="301">
        <f t="shared" si="1"/>
        <v>30</v>
      </c>
      <c r="L15" s="301"/>
      <c r="M15" s="303">
        <f t="shared" si="2"/>
        <v>53.947444764805454</v>
      </c>
      <c r="N15" s="276"/>
      <c r="O15" s="276"/>
      <c r="P15" s="276"/>
      <c r="Q15" s="276"/>
      <c r="R15" s="276"/>
      <c r="X15" s="304"/>
      <c r="Z15" s="305"/>
      <c r="AA15" s="305"/>
    </row>
    <row r="16" spans="1:34" s="282" customFormat="1">
      <c r="A16" s="271">
        <f t="shared" si="3"/>
        <v>52.869059548387767</v>
      </c>
      <c r="B16" s="265">
        <f t="shared" si="0"/>
        <v>11</v>
      </c>
      <c r="C16" s="266" t="s">
        <v>334</v>
      </c>
      <c r="D16" s="266"/>
      <c r="E16" s="266"/>
      <c r="F16" s="266" t="s">
        <v>335</v>
      </c>
      <c r="G16" s="260"/>
      <c r="H16" s="295">
        <v>11</v>
      </c>
      <c r="I16" s="296">
        <f t="shared" si="4"/>
        <v>22.869059548387771</v>
      </c>
      <c r="J16" s="295">
        <f t="shared" si="5"/>
        <v>3</v>
      </c>
      <c r="K16" s="295">
        <f t="shared" si="1"/>
        <v>30</v>
      </c>
      <c r="L16" s="295"/>
      <c r="M16" s="297">
        <f t="shared" si="2"/>
        <v>52.869059548387767</v>
      </c>
      <c r="N16" s="276"/>
      <c r="O16" s="276"/>
      <c r="P16" s="276"/>
      <c r="Q16" s="276"/>
      <c r="R16" s="309"/>
      <c r="Z16" s="305"/>
      <c r="AA16" s="305"/>
      <c r="AH16" s="310"/>
    </row>
    <row r="17" spans="1:19" s="282" customFormat="1">
      <c r="A17" s="270">
        <f t="shared" si="3"/>
        <v>51.884570978558173</v>
      </c>
      <c r="B17" s="268">
        <f t="shared" si="0"/>
        <v>12</v>
      </c>
      <c r="C17" s="269" t="s">
        <v>336</v>
      </c>
      <c r="D17" s="269"/>
      <c r="E17" s="269"/>
      <c r="F17" s="269" t="s">
        <v>329</v>
      </c>
      <c r="G17" s="260"/>
      <c r="H17" s="301">
        <v>12</v>
      </c>
      <c r="I17" s="302">
        <f t="shared" si="4"/>
        <v>21.884570978558173</v>
      </c>
      <c r="J17" s="301">
        <f t="shared" si="5"/>
        <v>3</v>
      </c>
      <c r="K17" s="301">
        <f t="shared" si="1"/>
        <v>30</v>
      </c>
      <c r="L17" s="301"/>
      <c r="M17" s="303">
        <f t="shared" si="2"/>
        <v>51.884570978558173</v>
      </c>
      <c r="N17" s="276"/>
      <c r="O17" s="276"/>
      <c r="P17" s="276"/>
      <c r="Q17" s="276"/>
      <c r="R17" s="276"/>
    </row>
    <row r="18" spans="1:19" s="282" customFormat="1">
      <c r="A18" s="271">
        <f t="shared" si="3"/>
        <v>50.978929285148354</v>
      </c>
      <c r="B18" s="265">
        <f t="shared" si="0"/>
        <v>13</v>
      </c>
      <c r="C18" s="266" t="s">
        <v>337</v>
      </c>
      <c r="D18" s="266"/>
      <c r="E18" s="266"/>
      <c r="F18" s="266" t="s">
        <v>171</v>
      </c>
      <c r="G18" s="260"/>
      <c r="H18" s="295">
        <v>13</v>
      </c>
      <c r="I18" s="296">
        <f t="shared" si="4"/>
        <v>20.978929285148354</v>
      </c>
      <c r="J18" s="295">
        <f t="shared" si="5"/>
        <v>3</v>
      </c>
      <c r="K18" s="295">
        <f t="shared" si="1"/>
        <v>30</v>
      </c>
      <c r="L18" s="295"/>
      <c r="M18" s="297">
        <f t="shared" si="2"/>
        <v>50.978929285148354</v>
      </c>
      <c r="N18" s="276"/>
      <c r="O18" s="276"/>
      <c r="P18" s="276"/>
      <c r="Q18" s="276"/>
      <c r="R18" s="276"/>
    </row>
    <row r="19" spans="1:19" s="282" customFormat="1">
      <c r="A19" s="270">
        <f t="shared" si="3"/>
        <v>50.140436043887675</v>
      </c>
      <c r="B19" s="268">
        <f t="shared" si="0"/>
        <v>14</v>
      </c>
      <c r="C19" s="269" t="s">
        <v>338</v>
      </c>
      <c r="D19" s="269"/>
      <c r="E19" s="269"/>
      <c r="F19" s="269" t="s">
        <v>339</v>
      </c>
      <c r="G19" s="260"/>
      <c r="H19" s="301">
        <v>14</v>
      </c>
      <c r="I19" s="302">
        <f t="shared" si="4"/>
        <v>20.140436043887672</v>
      </c>
      <c r="J19" s="301">
        <f t="shared" si="5"/>
        <v>3</v>
      </c>
      <c r="K19" s="301">
        <f t="shared" si="1"/>
        <v>30</v>
      </c>
      <c r="L19" s="301"/>
      <c r="M19" s="303">
        <f t="shared" si="2"/>
        <v>50.140436043887675</v>
      </c>
      <c r="N19" s="276"/>
      <c r="O19" s="276"/>
      <c r="P19" s="276"/>
      <c r="Q19" s="276"/>
      <c r="R19" s="276"/>
    </row>
    <row r="20" spans="1:19" s="282" customFormat="1">
      <c r="A20" s="271">
        <f t="shared" si="3"/>
        <v>49.359817511822357</v>
      </c>
      <c r="B20" s="265">
        <f t="shared" si="0"/>
        <v>15</v>
      </c>
      <c r="C20" s="266" t="s">
        <v>181</v>
      </c>
      <c r="D20" s="266"/>
      <c r="E20" s="266"/>
      <c r="F20" s="266" t="s">
        <v>182</v>
      </c>
      <c r="G20" s="260"/>
      <c r="H20" s="295">
        <v>15</v>
      </c>
      <c r="I20" s="296">
        <f t="shared" si="4"/>
        <v>19.359817511822357</v>
      </c>
      <c r="J20" s="295">
        <f t="shared" si="5"/>
        <v>3</v>
      </c>
      <c r="K20" s="295">
        <f t="shared" si="1"/>
        <v>30</v>
      </c>
      <c r="L20" s="295"/>
      <c r="M20" s="297">
        <f t="shared" si="2"/>
        <v>49.359817511822357</v>
      </c>
      <c r="N20" s="276"/>
      <c r="O20" s="276"/>
      <c r="P20" s="276"/>
      <c r="Q20" s="276"/>
      <c r="R20" s="311"/>
      <c r="S20" s="312"/>
    </row>
    <row r="21" spans="1:19" s="282" customFormat="1">
      <c r="A21" s="270">
        <f t="shared" si="3"/>
        <v>48.629597642055018</v>
      </c>
      <c r="B21" s="268">
        <f t="shared" si="0"/>
        <v>16</v>
      </c>
      <c r="C21" s="269" t="s">
        <v>340</v>
      </c>
      <c r="D21" s="269"/>
      <c r="E21" s="269"/>
      <c r="F21" s="269" t="s">
        <v>341</v>
      </c>
      <c r="G21" s="260"/>
      <c r="H21" s="301">
        <v>16</v>
      </c>
      <c r="I21" s="302">
        <f t="shared" si="4"/>
        <v>18.629597642055014</v>
      </c>
      <c r="J21" s="301">
        <f t="shared" si="5"/>
        <v>3</v>
      </c>
      <c r="K21" s="301">
        <f t="shared" si="1"/>
        <v>30</v>
      </c>
      <c r="L21" s="301"/>
      <c r="M21" s="303">
        <f t="shared" si="2"/>
        <v>48.629597642055018</v>
      </c>
      <c r="N21" s="276"/>
      <c r="O21" s="276"/>
      <c r="P21" s="276"/>
      <c r="Q21" s="276"/>
      <c r="R21" s="276"/>
    </row>
    <row r="22" spans="1:19" s="282" customFormat="1">
      <c r="A22" s="271">
        <f t="shared" si="3"/>
        <v>37.943661511706964</v>
      </c>
      <c r="B22" s="265">
        <f t="shared" si="0"/>
        <v>17</v>
      </c>
      <c r="C22" s="266" t="s">
        <v>342</v>
      </c>
      <c r="D22" s="266" t="s">
        <v>343</v>
      </c>
      <c r="E22" s="266"/>
      <c r="F22" s="266" t="s">
        <v>329</v>
      </c>
      <c r="G22" s="260"/>
      <c r="H22" s="295">
        <v>17</v>
      </c>
      <c r="I22" s="296">
        <f t="shared" si="4"/>
        <v>17.943661511706964</v>
      </c>
      <c r="J22" s="295">
        <f t="shared" si="5"/>
        <v>2</v>
      </c>
      <c r="K22" s="295">
        <f t="shared" si="1"/>
        <v>20</v>
      </c>
      <c r="L22" s="295"/>
      <c r="M22" s="297">
        <f t="shared" si="2"/>
        <v>37.943661511706964</v>
      </c>
      <c r="N22" s="276"/>
      <c r="O22" s="276"/>
      <c r="P22" s="276"/>
      <c r="Q22" s="276"/>
      <c r="R22" s="276"/>
    </row>
    <row r="23" spans="1:19" s="282" customFormat="1">
      <c r="A23" s="270">
        <f t="shared" si="3"/>
        <v>37.29694372557509</v>
      </c>
      <c r="B23" s="268">
        <f t="shared" si="0"/>
        <v>18</v>
      </c>
      <c r="C23" s="269" t="s">
        <v>344</v>
      </c>
      <c r="D23" s="269"/>
      <c r="E23" s="269"/>
      <c r="F23" s="269" t="s">
        <v>190</v>
      </c>
      <c r="G23" s="260"/>
      <c r="H23" s="301">
        <v>18</v>
      </c>
      <c r="I23" s="302">
        <f t="shared" si="4"/>
        <v>17.29694372557509</v>
      </c>
      <c r="J23" s="301">
        <f t="shared" si="5"/>
        <v>2</v>
      </c>
      <c r="K23" s="301">
        <f t="shared" si="1"/>
        <v>20</v>
      </c>
      <c r="L23" s="301"/>
      <c r="M23" s="303">
        <f t="shared" si="2"/>
        <v>37.29694372557509</v>
      </c>
      <c r="N23" s="276"/>
      <c r="O23" s="276"/>
      <c r="P23" s="276"/>
      <c r="Q23" s="276"/>
      <c r="R23" s="276"/>
    </row>
    <row r="24" spans="1:19" s="282" customFormat="1">
      <c r="A24" s="271">
        <f t="shared" si="3"/>
        <v>36.685201178972498</v>
      </c>
      <c r="B24" s="265">
        <f t="shared" si="0"/>
        <v>19</v>
      </c>
      <c r="C24" s="266" t="s">
        <v>345</v>
      </c>
      <c r="D24" s="266"/>
      <c r="E24" s="266"/>
      <c r="F24" s="266" t="s">
        <v>346</v>
      </c>
      <c r="G24" s="260"/>
      <c r="H24" s="295">
        <v>19</v>
      </c>
      <c r="I24" s="296">
        <f t="shared" si="4"/>
        <v>16.685201178972498</v>
      </c>
      <c r="J24" s="295">
        <f t="shared" si="5"/>
        <v>2</v>
      </c>
      <c r="K24" s="295">
        <f t="shared" si="1"/>
        <v>20</v>
      </c>
      <c r="L24" s="295"/>
      <c r="M24" s="297">
        <f t="shared" si="2"/>
        <v>36.685201178972498</v>
      </c>
      <c r="N24" s="276"/>
      <c r="O24" s="276"/>
      <c r="P24" s="276"/>
      <c r="Q24" s="276"/>
      <c r="R24" s="311"/>
      <c r="S24" s="312"/>
    </row>
    <row r="25" spans="1:19" s="282" customFormat="1">
      <c r="A25" s="270">
        <f t="shared" si="3"/>
        <v>36.104844175319201</v>
      </c>
      <c r="B25" s="268">
        <f t="shared" si="0"/>
        <v>20</v>
      </c>
      <c r="C25" s="269" t="s">
        <v>347</v>
      </c>
      <c r="D25" s="269"/>
      <c r="E25" s="269"/>
      <c r="F25" s="269" t="s">
        <v>348</v>
      </c>
      <c r="G25" s="260"/>
      <c r="H25" s="301">
        <v>20</v>
      </c>
      <c r="I25" s="302">
        <f t="shared" si="4"/>
        <v>16.104844175319201</v>
      </c>
      <c r="J25" s="301">
        <f t="shared" si="5"/>
        <v>2</v>
      </c>
      <c r="K25" s="301">
        <f t="shared" si="1"/>
        <v>20</v>
      </c>
      <c r="L25" s="301"/>
      <c r="M25" s="303">
        <f t="shared" si="2"/>
        <v>36.104844175319201</v>
      </c>
      <c r="N25" s="276"/>
      <c r="O25" s="276"/>
      <c r="P25" s="276"/>
      <c r="Q25" s="276"/>
      <c r="R25" s="276"/>
    </row>
    <row r="26" spans="1:19" s="282" customFormat="1">
      <c r="A26" s="271">
        <f t="shared" si="3"/>
        <v>35.552808790904585</v>
      </c>
      <c r="B26" s="265">
        <f t="shared" si="0"/>
        <v>21</v>
      </c>
      <c r="C26" s="266" t="s">
        <v>207</v>
      </c>
      <c r="D26" s="266"/>
      <c r="E26" s="266"/>
      <c r="F26" s="266" t="s">
        <v>171</v>
      </c>
      <c r="G26" s="260"/>
      <c r="H26" s="295">
        <v>21</v>
      </c>
      <c r="I26" s="296">
        <f t="shared" si="4"/>
        <v>15.552808790904585</v>
      </c>
      <c r="J26" s="295">
        <f t="shared" si="5"/>
        <v>2</v>
      </c>
      <c r="K26" s="295">
        <f t="shared" si="1"/>
        <v>20</v>
      </c>
      <c r="L26" s="295"/>
      <c r="M26" s="297">
        <f t="shared" si="2"/>
        <v>35.552808790904585</v>
      </c>
      <c r="N26" s="276"/>
      <c r="O26" s="276"/>
      <c r="P26" s="276"/>
      <c r="Q26" s="276"/>
      <c r="R26" s="276"/>
    </row>
    <row r="27" spans="1:19" s="282" customFormat="1">
      <c r="A27" s="270">
        <f t="shared" si="3"/>
        <v>35.026458958901529</v>
      </c>
      <c r="B27" s="268">
        <f t="shared" si="0"/>
        <v>22</v>
      </c>
      <c r="C27" s="269" t="s">
        <v>349</v>
      </c>
      <c r="D27" s="269"/>
      <c r="E27" s="269"/>
      <c r="F27" s="269" t="s">
        <v>175</v>
      </c>
      <c r="G27" s="260"/>
      <c r="H27" s="301">
        <v>22</v>
      </c>
      <c r="I27" s="302">
        <f t="shared" si="4"/>
        <v>15.026458958901529</v>
      </c>
      <c r="J27" s="301">
        <f t="shared" si="5"/>
        <v>2</v>
      </c>
      <c r="K27" s="301">
        <f t="shared" si="1"/>
        <v>20</v>
      </c>
      <c r="L27" s="301"/>
      <c r="M27" s="303">
        <f t="shared" si="2"/>
        <v>35.026458958901529</v>
      </c>
      <c r="N27" s="276"/>
      <c r="O27" s="276"/>
      <c r="P27" s="276"/>
      <c r="Q27" s="276"/>
      <c r="R27" s="276"/>
    </row>
    <row r="28" spans="1:19" s="282" customFormat="1">
      <c r="A28" s="271">
        <f t="shared" si="3"/>
        <v>34.523510336849711</v>
      </c>
      <c r="B28" s="265">
        <f t="shared" si="0"/>
        <v>23</v>
      </c>
      <c r="C28" s="266" t="s">
        <v>205</v>
      </c>
      <c r="D28" s="266"/>
      <c r="E28" s="266"/>
      <c r="F28" s="266" t="s">
        <v>198</v>
      </c>
      <c r="G28" s="260"/>
      <c r="H28" s="295">
        <v>23</v>
      </c>
      <c r="I28" s="296">
        <f t="shared" si="4"/>
        <v>14.523510336849711</v>
      </c>
      <c r="J28" s="295">
        <f t="shared" si="5"/>
        <v>2</v>
      </c>
      <c r="K28" s="295">
        <f t="shared" si="1"/>
        <v>20</v>
      </c>
      <c r="L28" s="295"/>
      <c r="M28" s="297">
        <f t="shared" si="2"/>
        <v>34.523510336849711</v>
      </c>
      <c r="N28" s="276"/>
      <c r="O28" s="276"/>
      <c r="P28" s="276"/>
      <c r="Q28" s="276"/>
      <c r="R28" s="311"/>
      <c r="S28" s="312"/>
    </row>
    <row r="29" spans="1:19" s="282" customFormat="1">
      <c r="A29" s="270">
        <f t="shared" si="3"/>
        <v>34.041970389071935</v>
      </c>
      <c r="B29" s="268">
        <f t="shared" si="0"/>
        <v>24</v>
      </c>
      <c r="C29" s="269" t="s">
        <v>350</v>
      </c>
      <c r="D29" s="269"/>
      <c r="E29" s="269"/>
      <c r="F29" s="269" t="s">
        <v>326</v>
      </c>
      <c r="G29" s="276"/>
      <c r="H29" s="301">
        <v>24</v>
      </c>
      <c r="I29" s="302">
        <f t="shared" si="4"/>
        <v>14.041970389071935</v>
      </c>
      <c r="J29" s="301">
        <f t="shared" si="5"/>
        <v>2</v>
      </c>
      <c r="K29" s="301">
        <f t="shared" si="1"/>
        <v>20</v>
      </c>
      <c r="L29" s="301"/>
      <c r="M29" s="303">
        <f t="shared" si="2"/>
        <v>34.041970389071935</v>
      </c>
      <c r="N29" s="276"/>
      <c r="O29" s="276"/>
      <c r="P29" s="276"/>
      <c r="Q29" s="276"/>
      <c r="R29" s="276"/>
    </row>
    <row r="30" spans="1:19" s="282" customFormat="1">
      <c r="A30" s="271">
        <f t="shared" si="3"/>
        <v>33.580090708583391</v>
      </c>
      <c r="B30" s="265">
        <f t="shared" si="0"/>
        <v>25</v>
      </c>
      <c r="C30" s="266" t="s">
        <v>351</v>
      </c>
      <c r="D30" s="266"/>
      <c r="E30" s="266"/>
      <c r="F30" s="266" t="s">
        <v>203</v>
      </c>
      <c r="G30" s="276"/>
      <c r="H30" s="295">
        <v>25</v>
      </c>
      <c r="I30" s="296">
        <f t="shared" si="4"/>
        <v>13.580090708583391</v>
      </c>
      <c r="J30" s="295">
        <f t="shared" si="5"/>
        <v>2</v>
      </c>
      <c r="K30" s="295">
        <f t="shared" si="1"/>
        <v>20</v>
      </c>
      <c r="L30" s="295"/>
      <c r="M30" s="297">
        <f t="shared" si="2"/>
        <v>33.580090708583391</v>
      </c>
      <c r="N30" s="276"/>
      <c r="O30" s="276"/>
      <c r="P30" s="276"/>
      <c r="Q30" s="276"/>
      <c r="R30" s="276"/>
    </row>
    <row r="31" spans="1:19" s="282" customFormat="1">
      <c r="A31" s="270">
        <f t="shared" si="3"/>
        <v>33.136328695662108</v>
      </c>
      <c r="B31" s="268">
        <f t="shared" si="0"/>
        <v>26</v>
      </c>
      <c r="C31" s="269" t="s">
        <v>352</v>
      </c>
      <c r="D31" s="269"/>
      <c r="E31" s="269"/>
      <c r="F31" s="269" t="s">
        <v>198</v>
      </c>
      <c r="G31" s="276"/>
      <c r="H31" s="301">
        <v>26</v>
      </c>
      <c r="I31" s="302">
        <f t="shared" si="4"/>
        <v>13.136328695662108</v>
      </c>
      <c r="J31" s="301">
        <f t="shared" si="5"/>
        <v>2</v>
      </c>
      <c r="K31" s="301">
        <f t="shared" si="1"/>
        <v>20</v>
      </c>
      <c r="L31" s="301"/>
      <c r="M31" s="303">
        <f t="shared" si="2"/>
        <v>33.136328695662108</v>
      </c>
      <c r="N31" s="276"/>
      <c r="O31" s="276"/>
      <c r="P31" s="276"/>
      <c r="Q31" s="276"/>
      <c r="R31" s="276"/>
    </row>
    <row r="32" spans="1:19" s="282" customFormat="1">
      <c r="A32" s="271">
        <f t="shared" si="3"/>
        <v>32.709316472591993</v>
      </c>
      <c r="B32" s="265">
        <f t="shared" si="0"/>
        <v>27</v>
      </c>
      <c r="C32" s="266" t="s">
        <v>353</v>
      </c>
      <c r="D32" s="266"/>
      <c r="E32" s="266"/>
      <c r="F32" s="266" t="s">
        <v>354</v>
      </c>
      <c r="G32" s="276"/>
      <c r="H32" s="295">
        <v>27</v>
      </c>
      <c r="I32" s="296">
        <f t="shared" si="4"/>
        <v>12.709316472591993</v>
      </c>
      <c r="J32" s="295">
        <f t="shared" si="5"/>
        <v>2</v>
      </c>
      <c r="K32" s="295">
        <f t="shared" si="1"/>
        <v>20</v>
      </c>
      <c r="L32" s="295"/>
      <c r="M32" s="297">
        <f t="shared" si="2"/>
        <v>32.709316472591993</v>
      </c>
      <c r="N32" s="276"/>
      <c r="O32" s="276"/>
      <c r="P32" s="276"/>
      <c r="Q32" s="276"/>
      <c r="R32" s="311"/>
      <c r="S32" s="312"/>
    </row>
    <row r="33" spans="1:19" s="282" customFormat="1">
      <c r="A33" s="270">
        <f t="shared" si="3"/>
        <v>32.297835454401429</v>
      </c>
      <c r="B33" s="268">
        <f t="shared" si="0"/>
        <v>28</v>
      </c>
      <c r="C33" s="269" t="s">
        <v>355</v>
      </c>
      <c r="D33" s="269" t="s">
        <v>356</v>
      </c>
      <c r="E33" s="269"/>
      <c r="F33" s="269" t="s">
        <v>329</v>
      </c>
      <c r="G33" s="276"/>
      <c r="H33" s="301">
        <v>28</v>
      </c>
      <c r="I33" s="302">
        <f t="shared" si="4"/>
        <v>12.297835454401429</v>
      </c>
      <c r="J33" s="301">
        <f t="shared" si="5"/>
        <v>2</v>
      </c>
      <c r="K33" s="301">
        <f t="shared" si="1"/>
        <v>20</v>
      </c>
      <c r="L33" s="301"/>
      <c r="M33" s="303">
        <f t="shared" si="2"/>
        <v>32.297835454401429</v>
      </c>
      <c r="N33" s="276"/>
      <c r="O33" s="276"/>
      <c r="P33" s="276"/>
      <c r="Q33" s="276"/>
      <c r="R33" s="276"/>
    </row>
    <row r="34" spans="1:19" s="282" customFormat="1">
      <c r="A34" s="271">
        <f t="shared" si="3"/>
        <v>31.900795383899521</v>
      </c>
      <c r="B34" s="265">
        <f t="shared" si="0"/>
        <v>29</v>
      </c>
      <c r="C34" s="266" t="s">
        <v>294</v>
      </c>
      <c r="D34" s="266"/>
      <c r="E34" s="266"/>
      <c r="F34" s="266" t="s">
        <v>203</v>
      </c>
      <c r="G34" s="276"/>
      <c r="H34" s="295">
        <v>29</v>
      </c>
      <c r="I34" s="296">
        <f t="shared" si="4"/>
        <v>11.900795383899521</v>
      </c>
      <c r="J34" s="295">
        <f t="shared" si="5"/>
        <v>2</v>
      </c>
      <c r="K34" s="295">
        <f t="shared" si="1"/>
        <v>20</v>
      </c>
      <c r="L34" s="295"/>
      <c r="M34" s="297">
        <f t="shared" si="2"/>
        <v>31.900795383899521</v>
      </c>
      <c r="N34" s="276"/>
      <c r="O34" s="276"/>
      <c r="P34" s="276"/>
      <c r="Q34" s="276"/>
      <c r="R34" s="276"/>
    </row>
    <row r="35" spans="1:19" s="282" customFormat="1">
      <c r="A35" s="270">
        <f t="shared" si="3"/>
        <v>31.517216922336118</v>
      </c>
      <c r="B35" s="268">
        <f t="shared" si="0"/>
        <v>30</v>
      </c>
      <c r="C35" s="269" t="s">
        <v>357</v>
      </c>
      <c r="D35" s="269"/>
      <c r="E35" s="269"/>
      <c r="F35" s="269" t="s">
        <v>335</v>
      </c>
      <c r="G35" s="276"/>
      <c r="H35" s="301">
        <v>30</v>
      </c>
      <c r="I35" s="302">
        <f t="shared" si="4"/>
        <v>11.517216922336118</v>
      </c>
      <c r="J35" s="301">
        <f t="shared" si="5"/>
        <v>2</v>
      </c>
      <c r="K35" s="301">
        <f t="shared" si="1"/>
        <v>20</v>
      </c>
      <c r="L35" s="301"/>
      <c r="M35" s="303">
        <f t="shared" si="2"/>
        <v>31.517216922336118</v>
      </c>
      <c r="N35" s="276"/>
      <c r="O35" s="276"/>
      <c r="P35" s="276"/>
      <c r="Q35" s="276"/>
      <c r="R35" s="276"/>
    </row>
    <row r="36" spans="1:19" s="282" customFormat="1">
      <c r="A36" s="271">
        <f t="shared" si="3"/>
        <v>31.146217095729305</v>
      </c>
      <c r="B36" s="265">
        <f t="shared" si="0"/>
        <v>31</v>
      </c>
      <c r="C36" s="266" t="s">
        <v>358</v>
      </c>
      <c r="D36" s="266"/>
      <c r="E36" s="266"/>
      <c r="F36" s="266" t="s">
        <v>346</v>
      </c>
      <c r="G36" s="276"/>
      <c r="H36" s="295">
        <v>31</v>
      </c>
      <c r="I36" s="296">
        <f t="shared" si="4"/>
        <v>11.146217095729305</v>
      </c>
      <c r="J36" s="295">
        <f t="shared" si="5"/>
        <v>2</v>
      </c>
      <c r="K36" s="295">
        <f t="shared" si="1"/>
        <v>20</v>
      </c>
      <c r="L36" s="295"/>
      <c r="M36" s="297">
        <f t="shared" si="2"/>
        <v>31.146217095729305</v>
      </c>
      <c r="N36" s="276"/>
      <c r="O36" s="276"/>
      <c r="P36" s="276"/>
      <c r="Q36" s="276"/>
      <c r="R36" s="311"/>
      <c r="S36" s="312"/>
    </row>
    <row r="37" spans="1:19" s="282" customFormat="1">
      <c r="A37" s="270">
        <f t="shared" si="3"/>
        <v>30.786997052568765</v>
      </c>
      <c r="B37" s="268">
        <f t="shared" si="0"/>
        <v>32</v>
      </c>
      <c r="C37" s="269" t="s">
        <v>359</v>
      </c>
      <c r="D37" s="269"/>
      <c r="E37" s="269"/>
      <c r="F37" s="269" t="s">
        <v>339</v>
      </c>
      <c r="G37" s="276"/>
      <c r="H37" s="301">
        <v>32</v>
      </c>
      <c r="I37" s="302">
        <f t="shared" si="4"/>
        <v>10.786997052568765</v>
      </c>
      <c r="J37" s="301">
        <f t="shared" si="5"/>
        <v>2</v>
      </c>
      <c r="K37" s="301">
        <f t="shared" si="1"/>
        <v>20</v>
      </c>
      <c r="L37" s="301"/>
      <c r="M37" s="303">
        <f t="shared" si="2"/>
        <v>30.786997052568765</v>
      </c>
      <c r="N37" s="276"/>
      <c r="O37" s="276"/>
      <c r="P37" s="276"/>
      <c r="Q37" s="276"/>
      <c r="R37" s="276"/>
    </row>
    <row r="38" spans="1:19" s="282" customFormat="1">
      <c r="A38" s="271">
        <f t="shared" si="3"/>
        <v>20.438831705918439</v>
      </c>
      <c r="B38" s="265">
        <f t="shared" si="0"/>
        <v>33</v>
      </c>
      <c r="C38" s="266" t="s">
        <v>360</v>
      </c>
      <c r="D38" s="266"/>
      <c r="E38" s="266"/>
      <c r="F38" s="266" t="s">
        <v>83</v>
      </c>
      <c r="G38" s="276"/>
      <c r="H38" s="295">
        <v>33</v>
      </c>
      <c r="I38" s="296">
        <f t="shared" si="4"/>
        <v>10.438831705918439</v>
      </c>
      <c r="J38" s="295">
        <f t="shared" si="5"/>
        <v>1</v>
      </c>
      <c r="K38" s="295">
        <f t="shared" si="1"/>
        <v>10</v>
      </c>
      <c r="L38" s="295"/>
      <c r="M38" s="297">
        <f t="shared" si="2"/>
        <v>20.438831705918439</v>
      </c>
      <c r="N38" s="276"/>
      <c r="O38" s="276"/>
      <c r="P38" s="276"/>
      <c r="Q38" s="276"/>
      <c r="R38" s="276"/>
    </row>
    <row r="39" spans="1:19" s="282" customFormat="1">
      <c r="A39" s="270">
        <f t="shared" si="3"/>
        <v>20.101060922220711</v>
      </c>
      <c r="B39" s="268">
        <f t="shared" si="0"/>
        <v>34</v>
      </c>
      <c r="C39" s="269" t="s">
        <v>361</v>
      </c>
      <c r="D39" s="269"/>
      <c r="E39" s="269"/>
      <c r="F39" s="269" t="s">
        <v>83</v>
      </c>
      <c r="G39" s="276"/>
      <c r="H39" s="301">
        <v>34</v>
      </c>
      <c r="I39" s="302">
        <f t="shared" si="4"/>
        <v>10.101060922220711</v>
      </c>
      <c r="J39" s="301">
        <f t="shared" si="5"/>
        <v>1</v>
      </c>
      <c r="K39" s="301">
        <f t="shared" si="1"/>
        <v>10</v>
      </c>
      <c r="L39" s="301"/>
      <c r="M39" s="303">
        <f t="shared" si="2"/>
        <v>20.101060922220711</v>
      </c>
      <c r="N39" s="276"/>
      <c r="O39" s="276"/>
      <c r="P39" s="276"/>
      <c r="Q39" s="276"/>
      <c r="R39" s="276"/>
    </row>
    <row r="40" spans="1:19" s="282" customFormat="1">
      <c r="A40" s="271">
        <f t="shared" si="3"/>
        <v>19.773081987665613</v>
      </c>
      <c r="B40" s="265">
        <f t="shared" si="0"/>
        <v>35</v>
      </c>
      <c r="C40" s="266" t="s">
        <v>362</v>
      </c>
      <c r="D40" s="266"/>
      <c r="E40" s="266"/>
      <c r="F40" s="266" t="s">
        <v>363</v>
      </c>
      <c r="G40" s="276"/>
      <c r="H40" s="295">
        <v>35</v>
      </c>
      <c r="I40" s="296">
        <f t="shared" si="4"/>
        <v>9.7730819876656128</v>
      </c>
      <c r="J40" s="295">
        <f t="shared" si="5"/>
        <v>1</v>
      </c>
      <c r="K40" s="295">
        <f t="shared" si="1"/>
        <v>10</v>
      </c>
      <c r="L40" s="295"/>
      <c r="M40" s="297">
        <f t="shared" si="2"/>
        <v>19.773081987665613</v>
      </c>
      <c r="N40" s="276"/>
      <c r="O40" s="276"/>
      <c r="P40" s="276"/>
      <c r="Q40" s="276"/>
      <c r="R40" s="276"/>
    </row>
    <row r="41" spans="1:19" s="282" customFormat="1">
      <c r="A41" s="270">
        <f t="shared" si="3"/>
        <v>19.454343136088838</v>
      </c>
      <c r="B41" s="268">
        <f t="shared" si="0"/>
        <v>36</v>
      </c>
      <c r="C41" s="269" t="s">
        <v>364</v>
      </c>
      <c r="D41" s="269"/>
      <c r="E41" s="269"/>
      <c r="F41" s="269" t="s">
        <v>339</v>
      </c>
      <c r="G41" s="276"/>
      <c r="H41" s="301">
        <v>36</v>
      </c>
      <c r="I41" s="302">
        <f t="shared" si="4"/>
        <v>9.4543431360888377</v>
      </c>
      <c r="J41" s="301">
        <f t="shared" si="5"/>
        <v>1</v>
      </c>
      <c r="K41" s="301">
        <f t="shared" si="1"/>
        <v>10</v>
      </c>
      <c r="L41" s="301"/>
      <c r="M41" s="303">
        <f t="shared" si="2"/>
        <v>19.454343136088838</v>
      </c>
      <c r="N41" s="276"/>
      <c r="O41" s="276"/>
      <c r="P41" s="276"/>
      <c r="Q41" s="276"/>
      <c r="R41" s="276"/>
      <c r="S41" s="313"/>
    </row>
    <row r="42" spans="1:19" s="282" customFormat="1">
      <c r="A42" s="271">
        <f t="shared" si="3"/>
        <v>19.144337963817293</v>
      </c>
      <c r="B42" s="265">
        <f t="shared" si="0"/>
        <v>37</v>
      </c>
      <c r="C42" s="266" t="s">
        <v>189</v>
      </c>
      <c r="D42" s="266"/>
      <c r="E42" s="266"/>
      <c r="F42" s="266" t="s">
        <v>190</v>
      </c>
      <c r="G42" s="276"/>
      <c r="H42" s="295">
        <v>37</v>
      </c>
      <c r="I42" s="296">
        <f t="shared" si="4"/>
        <v>9.1443379638172928</v>
      </c>
      <c r="J42" s="295">
        <f t="shared" si="5"/>
        <v>1</v>
      </c>
      <c r="K42" s="295">
        <f t="shared" si="1"/>
        <v>10</v>
      </c>
      <c r="L42" s="295"/>
      <c r="M42" s="297">
        <f t="shared" si="2"/>
        <v>19.144337963817293</v>
      </c>
      <c r="N42" s="276"/>
      <c r="O42" s="276"/>
      <c r="P42" s="276"/>
      <c r="Q42" s="276"/>
      <c r="R42" s="276"/>
    </row>
    <row r="43" spans="1:19" s="282" customFormat="1">
      <c r="A43" s="270">
        <f t="shared" si="3"/>
        <v>18.842600589486253</v>
      </c>
      <c r="B43" s="268">
        <f t="shared" si="0"/>
        <v>38</v>
      </c>
      <c r="C43" s="269" t="s">
        <v>365</v>
      </c>
      <c r="D43" s="269"/>
      <c r="E43" s="269"/>
      <c r="F43" s="269" t="s">
        <v>366</v>
      </c>
      <c r="G43" s="276"/>
      <c r="H43" s="301">
        <v>38</v>
      </c>
      <c r="I43" s="302">
        <f t="shared" si="4"/>
        <v>8.8426005894862527</v>
      </c>
      <c r="J43" s="301">
        <f t="shared" si="5"/>
        <v>1</v>
      </c>
      <c r="K43" s="301">
        <f t="shared" si="1"/>
        <v>10</v>
      </c>
      <c r="L43" s="301"/>
      <c r="M43" s="303">
        <f t="shared" si="2"/>
        <v>18.842600589486253</v>
      </c>
      <c r="N43" s="276"/>
      <c r="O43" s="276"/>
      <c r="P43" s="276"/>
      <c r="Q43" s="276"/>
      <c r="R43" s="276"/>
    </row>
    <row r="44" spans="1:19" s="282" customFormat="1">
      <c r="A44" s="271">
        <f t="shared" si="3"/>
        <v>18.548701442679025</v>
      </c>
      <c r="B44" s="265">
        <f t="shared" si="0"/>
        <v>39</v>
      </c>
      <c r="C44" s="266" t="s">
        <v>367</v>
      </c>
      <c r="D44" s="266"/>
      <c r="E44" s="266"/>
      <c r="F44" s="266" t="s">
        <v>177</v>
      </c>
      <c r="G44" s="276"/>
      <c r="H44" s="295">
        <v>39</v>
      </c>
      <c r="I44" s="296">
        <f t="shared" si="4"/>
        <v>8.5487014426790253</v>
      </c>
      <c r="J44" s="295">
        <f t="shared" si="5"/>
        <v>1</v>
      </c>
      <c r="K44" s="295">
        <f t="shared" si="1"/>
        <v>10</v>
      </c>
      <c r="L44" s="295"/>
      <c r="M44" s="297">
        <f t="shared" si="2"/>
        <v>18.548701442679025</v>
      </c>
      <c r="N44" s="276"/>
      <c r="O44" s="276"/>
      <c r="P44" s="276"/>
      <c r="Q44" s="276"/>
      <c r="R44" s="276"/>
    </row>
    <row r="45" spans="1:19" s="282" customFormat="1">
      <c r="A45" s="270">
        <f t="shared" si="3"/>
        <v>18.262243585832962</v>
      </c>
      <c r="B45" s="268">
        <f t="shared" si="0"/>
        <v>40</v>
      </c>
      <c r="C45" s="269" t="s">
        <v>368</v>
      </c>
      <c r="D45" s="269"/>
      <c r="E45" s="269"/>
      <c r="F45" s="269" t="s">
        <v>198</v>
      </c>
      <c r="G45" s="276"/>
      <c r="H45" s="301">
        <v>40</v>
      </c>
      <c r="I45" s="302">
        <f t="shared" si="4"/>
        <v>8.2622435858329624</v>
      </c>
      <c r="J45" s="301">
        <f t="shared" si="5"/>
        <v>1</v>
      </c>
      <c r="K45" s="301">
        <f t="shared" si="1"/>
        <v>10</v>
      </c>
      <c r="L45" s="301"/>
      <c r="M45" s="303">
        <f t="shared" si="2"/>
        <v>18.262243585832962</v>
      </c>
      <c r="N45" s="276"/>
      <c r="O45" s="276"/>
      <c r="P45" s="276"/>
      <c r="Q45" s="276"/>
      <c r="R45" s="276"/>
    </row>
    <row r="46" spans="1:19" s="282" customFormat="1">
      <c r="A46" s="271">
        <f t="shared" si="3"/>
        <v>17.982859490378999</v>
      </c>
      <c r="B46" s="265">
        <f t="shared" si="0"/>
        <v>41</v>
      </c>
      <c r="C46" s="266" t="s">
        <v>369</v>
      </c>
      <c r="D46" s="266"/>
      <c r="E46" s="266"/>
      <c r="F46" s="266" t="s">
        <v>335</v>
      </c>
      <c r="G46" s="276"/>
      <c r="H46" s="295">
        <v>41</v>
      </c>
      <c r="I46" s="296">
        <f t="shared" si="4"/>
        <v>7.9828594903789991</v>
      </c>
      <c r="J46" s="295">
        <f t="shared" si="5"/>
        <v>1</v>
      </c>
      <c r="K46" s="295">
        <f t="shared" si="1"/>
        <v>10</v>
      </c>
      <c r="L46" s="295"/>
      <c r="M46" s="297">
        <f t="shared" si="2"/>
        <v>17.982859490378999</v>
      </c>
      <c r="N46" s="276"/>
      <c r="O46" s="276"/>
      <c r="P46" s="276"/>
      <c r="Q46" s="276"/>
      <c r="R46" s="276"/>
    </row>
    <row r="47" spans="1:19" s="282" customFormat="1">
      <c r="A47" s="270">
        <f t="shared" si="3"/>
        <v>17.710208201418332</v>
      </c>
      <c r="B47" s="268">
        <f t="shared" si="0"/>
        <v>42</v>
      </c>
      <c r="C47" s="269" t="s">
        <v>176</v>
      </c>
      <c r="D47" s="269"/>
      <c r="E47" s="269"/>
      <c r="F47" s="269" t="s">
        <v>177</v>
      </c>
      <c r="G47" s="276"/>
      <c r="H47" s="301">
        <v>42</v>
      </c>
      <c r="I47" s="302">
        <f t="shared" si="4"/>
        <v>7.7102082014183324</v>
      </c>
      <c r="J47" s="301">
        <f t="shared" si="5"/>
        <v>1</v>
      </c>
      <c r="K47" s="301">
        <f t="shared" si="1"/>
        <v>10</v>
      </c>
      <c r="L47" s="301"/>
      <c r="M47" s="303">
        <f t="shared" si="2"/>
        <v>17.710208201418332</v>
      </c>
      <c r="N47" s="276"/>
      <c r="O47" s="276"/>
      <c r="P47" s="276"/>
      <c r="Q47" s="276"/>
      <c r="R47" s="276"/>
    </row>
    <row r="48" spans="1:19" s="282" customFormat="1">
      <c r="A48" s="271">
        <f t="shared" si="3"/>
        <v>17.443972836064887</v>
      </c>
      <c r="B48" s="265">
        <f t="shared" si="0"/>
        <v>43</v>
      </c>
      <c r="C48" s="266" t="s">
        <v>370</v>
      </c>
      <c r="D48" s="266"/>
      <c r="E48" s="266"/>
      <c r="F48" s="266" t="s">
        <v>177</v>
      </c>
      <c r="G48" s="276"/>
      <c r="H48" s="295">
        <v>43</v>
      </c>
      <c r="I48" s="296">
        <f t="shared" si="4"/>
        <v>7.4439728360648871</v>
      </c>
      <c r="J48" s="295">
        <f t="shared" si="5"/>
        <v>1</v>
      </c>
      <c r="K48" s="295">
        <f t="shared" si="1"/>
        <v>10</v>
      </c>
      <c r="L48" s="295"/>
      <c r="M48" s="297">
        <f t="shared" si="2"/>
        <v>17.443972836064887</v>
      </c>
      <c r="N48" s="276"/>
      <c r="O48" s="276"/>
      <c r="P48" s="276"/>
      <c r="Q48" s="276"/>
      <c r="R48" s="276"/>
    </row>
    <row r="49" spans="1:38" s="276" customFormat="1">
      <c r="A49" s="270">
        <f t="shared" si="3"/>
        <v>17.183858369415283</v>
      </c>
      <c r="B49" s="268">
        <f t="shared" si="0"/>
        <v>44</v>
      </c>
      <c r="C49" s="269" t="s">
        <v>371</v>
      </c>
      <c r="D49" s="269"/>
      <c r="E49" s="269"/>
      <c r="F49" s="269" t="s">
        <v>339</v>
      </c>
      <c r="H49" s="301">
        <v>44</v>
      </c>
      <c r="I49" s="302">
        <f t="shared" si="4"/>
        <v>7.1838583694152831</v>
      </c>
      <c r="J49" s="301">
        <f t="shared" si="5"/>
        <v>1</v>
      </c>
      <c r="K49" s="301">
        <f t="shared" si="1"/>
        <v>10</v>
      </c>
      <c r="L49" s="301"/>
      <c r="M49" s="303">
        <f t="shared" si="2"/>
        <v>17.183858369415283</v>
      </c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  <c r="AI49" s="282"/>
      <c r="AJ49" s="282"/>
      <c r="AK49" s="282"/>
      <c r="AL49" s="282"/>
    </row>
    <row r="50" spans="1:38" s="276" customFormat="1">
      <c r="A50" s="271">
        <f t="shared" si="3"/>
        <v>16.929589669353028</v>
      </c>
      <c r="B50" s="265">
        <f t="shared" si="0"/>
        <v>45</v>
      </c>
      <c r="C50" s="266" t="s">
        <v>372</v>
      </c>
      <c r="D50" s="266"/>
      <c r="E50" s="266"/>
      <c r="F50" s="266" t="s">
        <v>203</v>
      </c>
      <c r="H50" s="295">
        <v>45</v>
      </c>
      <c r="I50" s="296">
        <f t="shared" si="4"/>
        <v>6.9295896693530281</v>
      </c>
      <c r="J50" s="295">
        <f t="shared" si="5"/>
        <v>1</v>
      </c>
      <c r="K50" s="295">
        <f t="shared" si="1"/>
        <v>10</v>
      </c>
      <c r="L50" s="295"/>
      <c r="M50" s="297">
        <f t="shared" si="2"/>
        <v>16.929589669353028</v>
      </c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</row>
    <row r="51" spans="1:38" s="276" customFormat="1">
      <c r="A51" s="270">
        <f t="shared" si="3"/>
        <v>16.680909747363465</v>
      </c>
      <c r="B51" s="268">
        <f t="shared" si="0"/>
        <v>46</v>
      </c>
      <c r="C51" s="269" t="s">
        <v>373</v>
      </c>
      <c r="D51" s="269"/>
      <c r="E51" s="269"/>
      <c r="F51" s="269" t="s">
        <v>346</v>
      </c>
      <c r="H51" s="301">
        <v>46</v>
      </c>
      <c r="I51" s="302">
        <f t="shared" si="4"/>
        <v>6.6809097473634651</v>
      </c>
      <c r="J51" s="301">
        <f t="shared" si="5"/>
        <v>1</v>
      </c>
      <c r="K51" s="301">
        <f t="shared" si="1"/>
        <v>10</v>
      </c>
      <c r="L51" s="301"/>
      <c r="M51" s="303">
        <f t="shared" si="2"/>
        <v>16.680909747363465</v>
      </c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  <c r="AI51" s="282"/>
      <c r="AJ51" s="282"/>
      <c r="AK51" s="282"/>
      <c r="AL51" s="282"/>
    </row>
    <row r="52" spans="1:38" s="276" customFormat="1">
      <c r="A52" s="271">
        <f t="shared" si="3"/>
        <v>16.437578197479226</v>
      </c>
      <c r="B52" s="265">
        <f t="shared" si="0"/>
        <v>47</v>
      </c>
      <c r="C52" s="266" t="s">
        <v>22</v>
      </c>
      <c r="D52" s="266"/>
      <c r="E52" s="266"/>
      <c r="F52" s="266" t="s">
        <v>80</v>
      </c>
      <c r="H52" s="295">
        <v>47</v>
      </c>
      <c r="I52" s="296">
        <f t="shared" si="4"/>
        <v>6.4375781974792261</v>
      </c>
      <c r="J52" s="295">
        <f t="shared" si="5"/>
        <v>1</v>
      </c>
      <c r="K52" s="295">
        <f t="shared" si="1"/>
        <v>10</v>
      </c>
      <c r="L52" s="295"/>
      <c r="M52" s="297">
        <f t="shared" si="2"/>
        <v>16.437578197479226</v>
      </c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  <c r="AK52" s="282"/>
      <c r="AL52" s="282"/>
    </row>
    <row r="53" spans="1:38" s="276" customFormat="1">
      <c r="A53" s="270">
        <f t="shared" si="3"/>
        <v>16.199369799585682</v>
      </c>
      <c r="B53" s="268">
        <f t="shared" si="0"/>
        <v>48</v>
      </c>
      <c r="C53" s="269" t="s">
        <v>374</v>
      </c>
      <c r="D53" s="269"/>
      <c r="E53" s="269"/>
      <c r="F53" s="269" t="s">
        <v>83</v>
      </c>
      <c r="H53" s="301">
        <v>48</v>
      </c>
      <c r="I53" s="302">
        <f t="shared" si="4"/>
        <v>6.199369799585682</v>
      </c>
      <c r="J53" s="301">
        <f t="shared" si="5"/>
        <v>1</v>
      </c>
      <c r="K53" s="301">
        <f t="shared" si="1"/>
        <v>10</v>
      </c>
      <c r="L53" s="301"/>
      <c r="M53" s="303">
        <f t="shared" si="2"/>
        <v>16.199369799585682</v>
      </c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  <c r="AK53" s="282"/>
      <c r="AL53" s="282"/>
    </row>
    <row r="54" spans="1:38" s="276" customFormat="1">
      <c r="A54" s="271">
        <f t="shared" si="3"/>
        <v>15.966073266747841</v>
      </c>
      <c r="B54" s="265">
        <f t="shared" si="0"/>
        <v>49</v>
      </c>
      <c r="C54" s="266" t="s">
        <v>375</v>
      </c>
      <c r="D54" s="266"/>
      <c r="E54" s="266"/>
      <c r="F54" s="266" t="s">
        <v>376</v>
      </c>
      <c r="H54" s="295">
        <v>49</v>
      </c>
      <c r="I54" s="296">
        <f t="shared" si="4"/>
        <v>5.9660732667478413</v>
      </c>
      <c r="J54" s="295">
        <f t="shared" si="5"/>
        <v>1</v>
      </c>
      <c r="K54" s="295">
        <f t="shared" si="1"/>
        <v>10</v>
      </c>
      <c r="L54" s="295"/>
      <c r="M54" s="297">
        <f t="shared" si="2"/>
        <v>15.966073266747841</v>
      </c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  <c r="AK54" s="282"/>
      <c r="AL54" s="282"/>
    </row>
    <row r="55" spans="1:38" s="276" customFormat="1">
      <c r="A55" s="270">
        <f t="shared" si="3"/>
        <v>15.737490119097146</v>
      </c>
      <c r="B55" s="268">
        <f t="shared" si="0"/>
        <v>50</v>
      </c>
      <c r="C55" s="269" t="s">
        <v>377</v>
      </c>
      <c r="D55" s="269"/>
      <c r="E55" s="269"/>
      <c r="F55" s="269" t="s">
        <v>179</v>
      </c>
      <c r="H55" s="301">
        <v>50</v>
      </c>
      <c r="I55" s="302">
        <f t="shared" si="4"/>
        <v>5.7374901190971457</v>
      </c>
      <c r="J55" s="301">
        <f t="shared" si="5"/>
        <v>1</v>
      </c>
      <c r="K55" s="301">
        <f t="shared" si="1"/>
        <v>10</v>
      </c>
      <c r="L55" s="301"/>
      <c r="M55" s="303">
        <f t="shared" si="2"/>
        <v>15.737490119097146</v>
      </c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  <c r="AK55" s="282"/>
      <c r="AL55" s="282"/>
    </row>
    <row r="56" spans="1:38" s="276" customFormat="1">
      <c r="A56" s="271">
        <f t="shared" si="3"/>
        <v>15.513433669237628</v>
      </c>
      <c r="B56" s="265">
        <f t="shared" si="0"/>
        <v>51</v>
      </c>
      <c r="C56" s="266" t="s">
        <v>378</v>
      </c>
      <c r="D56" s="266"/>
      <c r="E56" s="266"/>
      <c r="F56" s="266" t="s">
        <v>171</v>
      </c>
      <c r="H56" s="295">
        <v>51</v>
      </c>
      <c r="I56" s="296">
        <f t="shared" si="4"/>
        <v>5.513433669237628</v>
      </c>
      <c r="J56" s="295">
        <f t="shared" si="5"/>
        <v>1</v>
      </c>
      <c r="K56" s="295">
        <f t="shared" si="1"/>
        <v>10</v>
      </c>
      <c r="L56" s="295"/>
      <c r="M56" s="297">
        <f t="shared" si="2"/>
        <v>15.513433669237628</v>
      </c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  <c r="AK56" s="282"/>
      <c r="AL56" s="282"/>
    </row>
    <row r="57" spans="1:38" s="276" customFormat="1">
      <c r="A57" s="270">
        <f t="shared" si="3"/>
        <v>15.293728106175863</v>
      </c>
      <c r="B57" s="268">
        <f t="shared" si="0"/>
        <v>52</v>
      </c>
      <c r="C57" s="269" t="s">
        <v>379</v>
      </c>
      <c r="D57" s="269"/>
      <c r="E57" s="269"/>
      <c r="F57" s="269" t="s">
        <v>326</v>
      </c>
      <c r="H57" s="301">
        <v>52</v>
      </c>
      <c r="I57" s="302">
        <f t="shared" si="4"/>
        <v>5.2937281061758625</v>
      </c>
      <c r="J57" s="301">
        <f t="shared" si="5"/>
        <v>1</v>
      </c>
      <c r="K57" s="301">
        <f t="shared" si="1"/>
        <v>10</v>
      </c>
      <c r="L57" s="301"/>
      <c r="M57" s="303">
        <f t="shared" si="2"/>
        <v>15.293728106175863</v>
      </c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  <c r="AK57" s="282"/>
      <c r="AL57" s="282"/>
    </row>
    <row r="58" spans="1:38" s="276" customFormat="1">
      <c r="A58" s="271">
        <f t="shared" si="3"/>
        <v>15.078207666512327</v>
      </c>
      <c r="B58" s="265">
        <f t="shared" si="0"/>
        <v>53</v>
      </c>
      <c r="C58" s="266" t="s">
        <v>380</v>
      </c>
      <c r="D58" s="266"/>
      <c r="E58" s="266"/>
      <c r="F58" s="266" t="s">
        <v>348</v>
      </c>
      <c r="H58" s="295">
        <v>53</v>
      </c>
      <c r="I58" s="296">
        <f t="shared" si="4"/>
        <v>5.078207666512327</v>
      </c>
      <c r="J58" s="295">
        <f t="shared" si="5"/>
        <v>1</v>
      </c>
      <c r="K58" s="295">
        <f t="shared" si="1"/>
        <v>10</v>
      </c>
      <c r="L58" s="295"/>
      <c r="M58" s="297">
        <f t="shared" si="2"/>
        <v>15.078207666512327</v>
      </c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  <c r="AK58" s="282"/>
      <c r="AL58" s="282"/>
    </row>
    <row r="59" spans="1:38" s="276" customFormat="1">
      <c r="A59" s="270">
        <f t="shared" si="3"/>
        <v>14.866715883105748</v>
      </c>
      <c r="B59" s="268">
        <f t="shared" si="0"/>
        <v>54</v>
      </c>
      <c r="C59" s="269" t="s">
        <v>381</v>
      </c>
      <c r="D59" s="269"/>
      <c r="E59" s="269"/>
      <c r="F59" s="269" t="s">
        <v>382</v>
      </c>
      <c r="H59" s="301">
        <v>54</v>
      </c>
      <c r="I59" s="302">
        <f t="shared" si="4"/>
        <v>4.8667158831057478</v>
      </c>
      <c r="J59" s="301">
        <f t="shared" si="5"/>
        <v>1</v>
      </c>
      <c r="K59" s="301">
        <f t="shared" si="1"/>
        <v>10</v>
      </c>
      <c r="L59" s="301"/>
      <c r="M59" s="303">
        <f t="shared" si="2"/>
        <v>14.866715883105748</v>
      </c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/>
      <c r="AE59" s="282"/>
      <c r="AF59" s="282"/>
      <c r="AG59" s="282"/>
      <c r="AH59" s="282"/>
      <c r="AI59" s="282"/>
      <c r="AJ59" s="282"/>
      <c r="AK59" s="282"/>
      <c r="AL59" s="282"/>
    </row>
    <row r="60" spans="1:38" s="276" customFormat="1">
      <c r="A60" s="271">
        <f t="shared" si="3"/>
        <v>14.659104902679466</v>
      </c>
      <c r="B60" s="265">
        <f t="shared" si="0"/>
        <v>55</v>
      </c>
      <c r="C60" s="266" t="s">
        <v>383</v>
      </c>
      <c r="D60" s="266"/>
      <c r="E60" s="266"/>
      <c r="F60" s="266" t="s">
        <v>326</v>
      </c>
      <c r="H60" s="295">
        <v>55</v>
      </c>
      <c r="I60" s="296">
        <f t="shared" si="4"/>
        <v>4.6591049026794664</v>
      </c>
      <c r="J60" s="295">
        <f t="shared" si="5"/>
        <v>1</v>
      </c>
      <c r="K60" s="295">
        <f t="shared" si="1"/>
        <v>10</v>
      </c>
      <c r="L60" s="295"/>
      <c r="M60" s="297">
        <f t="shared" si="2"/>
        <v>14.659104902679466</v>
      </c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  <c r="AE60" s="282"/>
      <c r="AF60" s="282"/>
      <c r="AG60" s="282"/>
      <c r="AH60" s="282"/>
      <c r="AI60" s="282"/>
      <c r="AJ60" s="282"/>
      <c r="AK60" s="282"/>
      <c r="AL60" s="282"/>
    </row>
    <row r="61" spans="1:38" s="276" customFormat="1">
      <c r="A61" s="270">
        <f t="shared" si="3"/>
        <v>14.455234864915177</v>
      </c>
      <c r="B61" s="268">
        <f t="shared" si="0"/>
        <v>56</v>
      </c>
      <c r="C61" s="269" t="s">
        <v>384</v>
      </c>
      <c r="D61" s="269"/>
      <c r="E61" s="269"/>
      <c r="F61" s="269" t="s">
        <v>385</v>
      </c>
      <c r="H61" s="301">
        <v>56</v>
      </c>
      <c r="I61" s="302">
        <f t="shared" si="4"/>
        <v>4.4552348649151767</v>
      </c>
      <c r="J61" s="301">
        <f t="shared" si="5"/>
        <v>1</v>
      </c>
      <c r="K61" s="301">
        <f t="shared" si="1"/>
        <v>10</v>
      </c>
      <c r="L61" s="301"/>
      <c r="M61" s="303">
        <f t="shared" si="2"/>
        <v>14.455234864915177</v>
      </c>
      <c r="S61" s="282"/>
      <c r="T61" s="282"/>
      <c r="U61" s="282"/>
      <c r="V61" s="282"/>
      <c r="W61" s="282"/>
      <c r="X61" s="282"/>
      <c r="Y61" s="282"/>
      <c r="Z61" s="282"/>
      <c r="AA61" s="282"/>
      <c r="AB61" s="282"/>
      <c r="AC61" s="282"/>
      <c r="AD61" s="282"/>
      <c r="AE61" s="282"/>
      <c r="AF61" s="282"/>
      <c r="AG61" s="282"/>
      <c r="AH61" s="282"/>
      <c r="AI61" s="282"/>
      <c r="AJ61" s="282"/>
      <c r="AK61" s="282"/>
      <c r="AL61" s="282"/>
    </row>
    <row r="62" spans="1:38" s="276" customFormat="1">
      <c r="A62" s="271">
        <f t="shared" si="3"/>
        <v>14.254973336503156</v>
      </c>
      <c r="B62" s="265">
        <f t="shared" si="0"/>
        <v>57</v>
      </c>
      <c r="C62" s="266" t="s">
        <v>386</v>
      </c>
      <c r="D62" s="266"/>
      <c r="E62" s="266"/>
      <c r="F62" s="266" t="s">
        <v>387</v>
      </c>
      <c r="H62" s="295">
        <v>57</v>
      </c>
      <c r="I62" s="296">
        <f t="shared" si="4"/>
        <v>4.2549733365031557</v>
      </c>
      <c r="J62" s="295">
        <f t="shared" si="5"/>
        <v>1</v>
      </c>
      <c r="K62" s="295">
        <f t="shared" si="1"/>
        <v>10</v>
      </c>
      <c r="L62" s="295"/>
      <c r="M62" s="297">
        <f t="shared" si="2"/>
        <v>14.254973336503156</v>
      </c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  <c r="AE62" s="282"/>
      <c r="AF62" s="282"/>
      <c r="AG62" s="282"/>
      <c r="AH62" s="282"/>
      <c r="AI62" s="282"/>
      <c r="AJ62" s="282"/>
      <c r="AK62" s="282"/>
      <c r="AL62" s="282"/>
    </row>
    <row r="63" spans="1:38" s="276" customFormat="1">
      <c r="A63" s="270">
        <f t="shared" si="3"/>
        <v>14.058194794413275</v>
      </c>
      <c r="B63" s="268">
        <f t="shared" si="0"/>
        <v>58</v>
      </c>
      <c r="C63" s="269" t="s">
        <v>388</v>
      </c>
      <c r="D63" s="269" t="s">
        <v>389</v>
      </c>
      <c r="E63" s="269"/>
      <c r="F63" s="269" t="s">
        <v>390</v>
      </c>
      <c r="H63" s="301">
        <v>58</v>
      </c>
      <c r="I63" s="302">
        <f t="shared" si="4"/>
        <v>4.058194794413275</v>
      </c>
      <c r="J63" s="301">
        <f t="shared" si="5"/>
        <v>1</v>
      </c>
      <c r="K63" s="301">
        <f t="shared" si="1"/>
        <v>10</v>
      </c>
      <c r="L63" s="301"/>
      <c r="M63" s="303">
        <f t="shared" si="2"/>
        <v>14.058194794413275</v>
      </c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</row>
    <row r="64" spans="1:38" s="276" customFormat="1">
      <c r="A64" s="271">
        <f t="shared" si="3"/>
        <v>13.864780153337655</v>
      </c>
      <c r="B64" s="265">
        <f t="shared" si="0"/>
        <v>59</v>
      </c>
      <c r="C64" s="266" t="s">
        <v>391</v>
      </c>
      <c r="D64" s="266"/>
      <c r="E64" s="266"/>
      <c r="F64" s="266" t="s">
        <v>392</v>
      </c>
      <c r="H64" s="295">
        <v>59</v>
      </c>
      <c r="I64" s="296">
        <f t="shared" si="4"/>
        <v>3.8647801533376551</v>
      </c>
      <c r="J64" s="295">
        <f t="shared" si="5"/>
        <v>1</v>
      </c>
      <c r="K64" s="295">
        <f t="shared" si="1"/>
        <v>10</v>
      </c>
      <c r="L64" s="295"/>
      <c r="M64" s="297">
        <f t="shared" si="2"/>
        <v>13.864780153337655</v>
      </c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2"/>
      <c r="AK64" s="282"/>
      <c r="AL64" s="282"/>
    </row>
    <row r="65" spans="1:38" s="276" customFormat="1">
      <c r="A65" s="270">
        <f t="shared" si="3"/>
        <v>13.674616332849865</v>
      </c>
      <c r="B65" s="268">
        <f t="shared" si="0"/>
        <v>60</v>
      </c>
      <c r="C65" s="269" t="s">
        <v>393</v>
      </c>
      <c r="D65" s="269"/>
      <c r="E65" s="269"/>
      <c r="F65" s="269" t="s">
        <v>177</v>
      </c>
      <c r="H65" s="301">
        <v>60</v>
      </c>
      <c r="I65" s="302">
        <f t="shared" si="4"/>
        <v>3.6746163328498653</v>
      </c>
      <c r="J65" s="301">
        <f t="shared" si="5"/>
        <v>1</v>
      </c>
      <c r="K65" s="301">
        <f t="shared" si="1"/>
        <v>10</v>
      </c>
      <c r="L65" s="301"/>
      <c r="M65" s="303">
        <f t="shared" si="2"/>
        <v>13.674616332849865</v>
      </c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  <c r="AE65" s="282"/>
      <c r="AF65" s="282"/>
      <c r="AG65" s="282"/>
      <c r="AH65" s="282"/>
      <c r="AI65" s="282"/>
      <c r="AJ65" s="282"/>
      <c r="AK65" s="282"/>
      <c r="AL65" s="282"/>
    </row>
    <row r="66" spans="1:38" s="282" customFormat="1" ht="14.45" customHeight="1">
      <c r="A66" s="264">
        <f t="shared" si="3"/>
        <v>13.487595860341216</v>
      </c>
      <c r="B66" s="265">
        <f t="shared" si="0"/>
        <v>61</v>
      </c>
      <c r="C66" s="266" t="s">
        <v>394</v>
      </c>
      <c r="D66" s="266"/>
      <c r="E66" s="266"/>
      <c r="F66" s="266" t="s">
        <v>385</v>
      </c>
      <c r="G66" s="260"/>
      <c r="H66" s="295">
        <v>61</v>
      </c>
      <c r="I66" s="296">
        <f t="shared" si="4"/>
        <v>3.4875958603412158</v>
      </c>
      <c r="J66" s="295">
        <f t="shared" si="5"/>
        <v>1</v>
      </c>
      <c r="K66" s="295">
        <f t="shared" si="1"/>
        <v>10</v>
      </c>
      <c r="L66" s="297"/>
      <c r="M66" s="297">
        <f t="shared" si="2"/>
        <v>13.487595860341216</v>
      </c>
      <c r="N66" s="276"/>
      <c r="O66" s="276"/>
      <c r="P66" s="276"/>
      <c r="Q66" s="276"/>
      <c r="R66" s="276"/>
    </row>
    <row r="67" spans="1:38" s="282" customFormat="1" ht="14.45" customHeight="1">
      <c r="A67" s="267">
        <f t="shared" si="3"/>
        <v>13.30361650624306</v>
      </c>
      <c r="B67" s="268">
        <f t="shared" si="0"/>
        <v>62</v>
      </c>
      <c r="C67" s="269" t="s">
        <v>395</v>
      </c>
      <c r="D67" s="269"/>
      <c r="E67" s="269"/>
      <c r="F67" s="269" t="s">
        <v>203</v>
      </c>
      <c r="G67" s="260"/>
      <c r="H67" s="301">
        <v>62</v>
      </c>
      <c r="I67" s="302">
        <f t="shared" si="4"/>
        <v>3.3036165062430598</v>
      </c>
      <c r="J67" s="301">
        <f t="shared" si="5"/>
        <v>1</v>
      </c>
      <c r="K67" s="301">
        <f t="shared" si="1"/>
        <v>10</v>
      </c>
      <c r="L67" s="303"/>
      <c r="M67" s="303">
        <f t="shared" si="2"/>
        <v>13.30361650624306</v>
      </c>
      <c r="N67" s="276"/>
      <c r="O67" s="276"/>
      <c r="P67" s="276"/>
      <c r="Q67" s="276"/>
      <c r="R67" s="276"/>
    </row>
    <row r="68" spans="1:38" s="282" customFormat="1" ht="14.45" customHeight="1">
      <c r="A68" s="264">
        <f t="shared" si="3"/>
        <v>13.12258094843525</v>
      </c>
      <c r="B68" s="265">
        <f t="shared" si="0"/>
        <v>63</v>
      </c>
      <c r="C68" s="266" t="s">
        <v>396</v>
      </c>
      <c r="D68" s="266"/>
      <c r="E68" s="266"/>
      <c r="F68" s="266" t="s">
        <v>392</v>
      </c>
      <c r="G68" s="260"/>
      <c r="H68" s="295">
        <v>63</v>
      </c>
      <c r="I68" s="296">
        <f t="shared" si="4"/>
        <v>3.1225809484352496</v>
      </c>
      <c r="J68" s="295">
        <f t="shared" si="5"/>
        <v>1</v>
      </c>
      <c r="K68" s="295">
        <f t="shared" si="1"/>
        <v>10</v>
      </c>
      <c r="L68" s="297"/>
      <c r="M68" s="297">
        <f t="shared" si="2"/>
        <v>13.12258094843525</v>
      </c>
      <c r="N68" s="276"/>
      <c r="O68" s="276"/>
      <c r="P68" s="276"/>
      <c r="Q68" s="276"/>
      <c r="R68" s="276"/>
    </row>
    <row r="69" spans="1:38" s="282" customFormat="1" ht="14.45" customHeight="1">
      <c r="A69" s="267">
        <f t="shared" si="3"/>
        <v>12.944396463082526</v>
      </c>
      <c r="B69" s="268">
        <f t="shared" si="0"/>
        <v>64</v>
      </c>
      <c r="C69" s="269" t="s">
        <v>397</v>
      </c>
      <c r="D69" s="269"/>
      <c r="E69" s="269"/>
      <c r="F69" s="269" t="s">
        <v>392</v>
      </c>
      <c r="G69" s="260"/>
      <c r="H69" s="301">
        <v>64</v>
      </c>
      <c r="I69" s="302">
        <f t="shared" si="4"/>
        <v>2.9443964630825263</v>
      </c>
      <c r="J69" s="301">
        <f t="shared" si="5"/>
        <v>1</v>
      </c>
      <c r="K69" s="301">
        <f t="shared" si="1"/>
        <v>10</v>
      </c>
      <c r="L69" s="303"/>
      <c r="M69" s="303">
        <f t="shared" si="2"/>
        <v>12.944396463082526</v>
      </c>
      <c r="N69" s="276"/>
      <c r="O69" s="276"/>
      <c r="P69" s="276"/>
      <c r="Q69" s="276"/>
      <c r="R69" s="276"/>
      <c r="V69" s="304"/>
      <c r="Z69" s="305"/>
      <c r="AA69" s="305"/>
      <c r="AG69" s="306"/>
    </row>
    <row r="70" spans="1:38" s="282" customFormat="1" ht="14.45" customHeight="1">
      <c r="A70" s="264">
        <f t="shared" si="3"/>
        <v>2.768974639440053</v>
      </c>
      <c r="B70" s="265">
        <f t="shared" ref="B70:B133" si="6">IF(H70&gt;$H$2,"",(ROW()-5))</f>
        <v>65</v>
      </c>
      <c r="C70" s="266" t="s">
        <v>398</v>
      </c>
      <c r="D70" s="266"/>
      <c r="E70" s="266"/>
      <c r="F70" s="266" t="s">
        <v>348</v>
      </c>
      <c r="G70" s="260"/>
      <c r="H70" s="295">
        <v>65</v>
      </c>
      <c r="I70" s="296">
        <f t="shared" si="4"/>
        <v>2.768974639440053</v>
      </c>
      <c r="J70" s="295">
        <f t="shared" si="5"/>
        <v>0</v>
      </c>
      <c r="K70" s="295">
        <f t="shared" ref="K70:K133" si="7">J70*$J$2</f>
        <v>0</v>
      </c>
      <c r="L70" s="295"/>
      <c r="M70" s="297">
        <f t="shared" ref="M70:M133" si="8">IF(I70&lt;&gt;"",K70+I70+L70,0)</f>
        <v>2.768974639440053</v>
      </c>
      <c r="N70" s="276"/>
      <c r="O70" s="276"/>
      <c r="P70" s="276"/>
      <c r="Q70" s="276"/>
      <c r="R70" s="276"/>
      <c r="V70" s="304"/>
      <c r="Z70" s="305"/>
      <c r="AA70" s="305"/>
      <c r="AG70" s="306"/>
    </row>
    <row r="71" spans="1:38" s="282" customFormat="1" ht="14.45" customHeight="1">
      <c r="A71" s="267">
        <f t="shared" ref="A71:A134" si="9">M71</f>
        <v>2.5962311164321861</v>
      </c>
      <c r="B71" s="268">
        <f t="shared" si="6"/>
        <v>66</v>
      </c>
      <c r="C71" s="269" t="s">
        <v>399</v>
      </c>
      <c r="D71" s="269"/>
      <c r="E71" s="269"/>
      <c r="F71" s="269" t="s">
        <v>400</v>
      </c>
      <c r="G71" s="260"/>
      <c r="H71" s="301">
        <v>66</v>
      </c>
      <c r="I71" s="302">
        <f t="shared" ref="I71:I134" si="10">IF(H71&lt;$H$2+1,($I$2-($I$2-1)*(LOG(H71)/LOG($H$2))),"")</f>
        <v>2.5962311164321861</v>
      </c>
      <c r="J71" s="301">
        <f t="shared" ref="J71:J134" si="11">INT(LOG($H$2,2))-ROUNDUP(LOG(H71,2),0)+IF(OR($H$2=1,$H$2=2,$H$2=4,$H$2=8,$H$2=16,$H$2=32,$H$2=64,$H$2=128,$H$2=256),0,1)</f>
        <v>0</v>
      </c>
      <c r="K71" s="301">
        <f t="shared" si="7"/>
        <v>0</v>
      </c>
      <c r="L71" s="301"/>
      <c r="M71" s="303">
        <f t="shared" si="8"/>
        <v>2.5962311164321861</v>
      </c>
      <c r="N71" s="276"/>
      <c r="O71" s="276"/>
      <c r="P71" s="276"/>
      <c r="Q71" s="276"/>
      <c r="R71" s="276"/>
      <c r="V71" s="307"/>
      <c r="Z71" s="305"/>
      <c r="AA71" s="305"/>
      <c r="AG71" s="306"/>
    </row>
    <row r="72" spans="1:38" s="282" customFormat="1" ht="14.45" customHeight="1">
      <c r="A72" s="264">
        <f t="shared" si="9"/>
        <v>2.426085339039723</v>
      </c>
      <c r="B72" s="265">
        <f t="shared" si="6"/>
        <v>67</v>
      </c>
      <c r="C72" s="266" t="s">
        <v>225</v>
      </c>
      <c r="D72" s="266"/>
      <c r="E72" s="266"/>
      <c r="F72" s="266" t="s">
        <v>182</v>
      </c>
      <c r="G72" s="260"/>
      <c r="H72" s="295">
        <v>67</v>
      </c>
      <c r="I72" s="296">
        <f t="shared" si="10"/>
        <v>2.426085339039723</v>
      </c>
      <c r="J72" s="295">
        <f t="shared" si="11"/>
        <v>0</v>
      </c>
      <c r="K72" s="295">
        <f t="shared" si="7"/>
        <v>0</v>
      </c>
      <c r="L72" s="295"/>
      <c r="M72" s="297">
        <f t="shared" si="8"/>
        <v>2.426085339039723</v>
      </c>
      <c r="N72" s="276"/>
      <c r="O72" s="276"/>
      <c r="P72" s="276"/>
      <c r="Q72" s="276"/>
      <c r="R72" s="276"/>
      <c r="Z72" s="305"/>
      <c r="AA72" s="305"/>
      <c r="AG72" s="306"/>
    </row>
    <row r="73" spans="1:38" s="282" customFormat="1" ht="14.45" customHeight="1">
      <c r="A73" s="270">
        <f t="shared" si="9"/>
        <v>2.2584603327344652</v>
      </c>
      <c r="B73" s="268">
        <f t="shared" si="6"/>
        <v>68</v>
      </c>
      <c r="C73" s="269" t="s">
        <v>401</v>
      </c>
      <c r="D73" s="269"/>
      <c r="E73" s="269"/>
      <c r="F73" s="269" t="s">
        <v>400</v>
      </c>
      <c r="G73" s="260"/>
      <c r="H73" s="301">
        <v>68</v>
      </c>
      <c r="I73" s="302">
        <f t="shared" si="10"/>
        <v>2.2584603327344652</v>
      </c>
      <c r="J73" s="301">
        <f t="shared" si="11"/>
        <v>0</v>
      </c>
      <c r="K73" s="301">
        <f t="shared" si="7"/>
        <v>0</v>
      </c>
      <c r="L73" s="301"/>
      <c r="M73" s="303">
        <f t="shared" si="8"/>
        <v>2.2584603327344652</v>
      </c>
      <c r="N73" s="276"/>
      <c r="O73" s="276"/>
      <c r="P73" s="276"/>
      <c r="Q73" s="276"/>
      <c r="R73" s="276"/>
      <c r="X73" s="304"/>
      <c r="AG73" s="306"/>
    </row>
    <row r="74" spans="1:38" s="282" customFormat="1" ht="15.75" customHeight="1">
      <c r="A74" s="271">
        <f t="shared" si="9"/>
        <v>2.0932824943803823</v>
      </c>
      <c r="B74" s="265">
        <f t="shared" si="6"/>
        <v>69</v>
      </c>
      <c r="C74" s="266" t="s">
        <v>402</v>
      </c>
      <c r="D74" s="266"/>
      <c r="E74" s="266"/>
      <c r="F74" s="266" t="s">
        <v>348</v>
      </c>
      <c r="G74" s="260"/>
      <c r="H74" s="295">
        <v>69</v>
      </c>
      <c r="I74" s="296">
        <f t="shared" si="10"/>
        <v>2.0932824943803823</v>
      </c>
      <c r="J74" s="295">
        <f t="shared" si="11"/>
        <v>0</v>
      </c>
      <c r="K74" s="295">
        <f t="shared" si="7"/>
        <v>0</v>
      </c>
      <c r="L74" s="295"/>
      <c r="M74" s="297">
        <f t="shared" si="8"/>
        <v>2.0932824943803823</v>
      </c>
      <c r="N74" s="276"/>
      <c r="O74" s="276"/>
      <c r="P74" s="276"/>
      <c r="Q74" s="276"/>
      <c r="R74" s="276"/>
      <c r="X74" s="308"/>
      <c r="Z74" s="305"/>
      <c r="AA74" s="305"/>
      <c r="AG74" s="306"/>
    </row>
    <row r="75" spans="1:38" s="282" customFormat="1">
      <c r="A75" s="270">
        <f t="shared" si="9"/>
        <v>1.9304813981793671</v>
      </c>
      <c r="B75" s="268">
        <f t="shared" si="6"/>
        <v>70</v>
      </c>
      <c r="C75" s="269" t="s">
        <v>403</v>
      </c>
      <c r="D75" s="269"/>
      <c r="E75" s="269"/>
      <c r="F75" s="269" t="s">
        <v>182</v>
      </c>
      <c r="G75" s="260"/>
      <c r="H75" s="301">
        <v>70</v>
      </c>
      <c r="I75" s="302">
        <f t="shared" si="10"/>
        <v>1.9304813981793671</v>
      </c>
      <c r="J75" s="301">
        <f t="shared" si="11"/>
        <v>0</v>
      </c>
      <c r="K75" s="301">
        <f t="shared" si="7"/>
        <v>0</v>
      </c>
      <c r="L75" s="301"/>
      <c r="M75" s="303">
        <f t="shared" si="8"/>
        <v>1.9304813981793671</v>
      </c>
      <c r="N75" s="276"/>
      <c r="O75" s="276"/>
      <c r="P75" s="276"/>
      <c r="Q75" s="276"/>
      <c r="R75" s="276"/>
      <c r="X75" s="304"/>
      <c r="Z75" s="305"/>
      <c r="AA75" s="305"/>
    </row>
    <row r="76" spans="1:38" s="282" customFormat="1">
      <c r="A76" s="271">
        <f t="shared" si="9"/>
        <v>1.7699896153812418</v>
      </c>
      <c r="B76" s="265">
        <f t="shared" si="6"/>
        <v>71</v>
      </c>
      <c r="C76" s="266" t="s">
        <v>404</v>
      </c>
      <c r="D76" s="266"/>
      <c r="E76" s="266"/>
      <c r="F76" s="266" t="s">
        <v>385</v>
      </c>
      <c r="G76" s="260"/>
      <c r="H76" s="295">
        <v>71</v>
      </c>
      <c r="I76" s="296">
        <f t="shared" si="10"/>
        <v>1.7699896153812418</v>
      </c>
      <c r="J76" s="295">
        <f t="shared" si="11"/>
        <v>0</v>
      </c>
      <c r="K76" s="295">
        <f t="shared" si="7"/>
        <v>0</v>
      </c>
      <c r="L76" s="295"/>
      <c r="M76" s="297">
        <f t="shared" si="8"/>
        <v>1.7699896153812418</v>
      </c>
      <c r="N76" s="276"/>
      <c r="O76" s="276"/>
      <c r="P76" s="276"/>
      <c r="Q76" s="276"/>
      <c r="R76" s="309"/>
      <c r="Z76" s="305"/>
      <c r="AA76" s="305"/>
      <c r="AH76" s="310"/>
    </row>
    <row r="77" spans="1:38" s="282" customFormat="1">
      <c r="A77" s="270">
        <f t="shared" si="9"/>
        <v>1.6117425466025921</v>
      </c>
      <c r="B77" s="268">
        <f t="shared" si="6"/>
        <v>72</v>
      </c>
      <c r="C77" s="269" t="s">
        <v>405</v>
      </c>
      <c r="D77" s="269"/>
      <c r="E77" s="269"/>
      <c r="F77" s="269" t="s">
        <v>400</v>
      </c>
      <c r="G77" s="260"/>
      <c r="H77" s="301">
        <v>72</v>
      </c>
      <c r="I77" s="302">
        <f t="shared" si="10"/>
        <v>1.6117425466025921</v>
      </c>
      <c r="J77" s="301">
        <f t="shared" si="11"/>
        <v>0</v>
      </c>
      <c r="K77" s="301">
        <f t="shared" si="7"/>
        <v>0</v>
      </c>
      <c r="L77" s="301"/>
      <c r="M77" s="303">
        <f t="shared" si="8"/>
        <v>1.6117425466025921</v>
      </c>
      <c r="N77" s="276"/>
      <c r="O77" s="276"/>
      <c r="P77" s="276"/>
      <c r="Q77" s="276"/>
      <c r="R77" s="276"/>
    </row>
    <row r="78" spans="1:38" s="282" customFormat="1">
      <c r="A78" s="271">
        <f t="shared" si="9"/>
        <v>1.4556782657111356</v>
      </c>
      <c r="B78" s="265">
        <f t="shared" si="6"/>
        <v>73</v>
      </c>
      <c r="C78" s="266" t="s">
        <v>406</v>
      </c>
      <c r="D78" s="266"/>
      <c r="E78" s="266"/>
      <c r="F78" s="266" t="s">
        <v>400</v>
      </c>
      <c r="G78" s="260"/>
      <c r="H78" s="295">
        <v>73</v>
      </c>
      <c r="I78" s="296">
        <f t="shared" si="10"/>
        <v>1.4556782657111356</v>
      </c>
      <c r="J78" s="295">
        <f t="shared" si="11"/>
        <v>0</v>
      </c>
      <c r="K78" s="295">
        <f t="shared" si="7"/>
        <v>0</v>
      </c>
      <c r="L78" s="295"/>
      <c r="M78" s="297">
        <f t="shared" si="8"/>
        <v>1.4556782657111356</v>
      </c>
      <c r="N78" s="276"/>
      <c r="O78" s="276"/>
      <c r="P78" s="276"/>
      <c r="Q78" s="276"/>
      <c r="R78" s="276"/>
    </row>
    <row r="79" spans="1:38" s="282" customFormat="1">
      <c r="A79" s="270">
        <f t="shared" si="9"/>
        <v>1.3017373743310472</v>
      </c>
      <c r="B79" s="268">
        <f t="shared" si="6"/>
        <v>74</v>
      </c>
      <c r="C79" s="269" t="s">
        <v>407</v>
      </c>
      <c r="D79" s="269"/>
      <c r="E79" s="269"/>
      <c r="F79" s="269" t="s">
        <v>390</v>
      </c>
      <c r="G79" s="260"/>
      <c r="H79" s="301">
        <v>74</v>
      </c>
      <c r="I79" s="302">
        <f t="shared" si="10"/>
        <v>1.3017373743310472</v>
      </c>
      <c r="J79" s="301">
        <f t="shared" si="11"/>
        <v>0</v>
      </c>
      <c r="K79" s="301">
        <f t="shared" si="7"/>
        <v>0</v>
      </c>
      <c r="L79" s="301"/>
      <c r="M79" s="303">
        <f t="shared" si="8"/>
        <v>1.3017373743310472</v>
      </c>
      <c r="N79" s="276"/>
      <c r="O79" s="276"/>
      <c r="P79" s="276"/>
      <c r="Q79" s="276"/>
      <c r="R79" s="276"/>
    </row>
    <row r="80" spans="1:38" s="282" customFormat="1">
      <c r="A80" s="271">
        <f t="shared" si="9"/>
        <v>1.1498628661140557</v>
      </c>
      <c r="B80" s="265">
        <f t="shared" si="6"/>
        <v>75</v>
      </c>
      <c r="C80" s="266" t="s">
        <v>408</v>
      </c>
      <c r="D80" s="266"/>
      <c r="E80" s="266"/>
      <c r="F80" s="266" t="s">
        <v>354</v>
      </c>
      <c r="G80" s="260"/>
      <c r="H80" s="295">
        <v>75</v>
      </c>
      <c r="I80" s="296">
        <f t="shared" si="10"/>
        <v>1.1498628661140557</v>
      </c>
      <c r="J80" s="295">
        <f t="shared" si="11"/>
        <v>0</v>
      </c>
      <c r="K80" s="295">
        <f t="shared" si="7"/>
        <v>0</v>
      </c>
      <c r="L80" s="295"/>
      <c r="M80" s="297">
        <f t="shared" si="8"/>
        <v>1.1498628661140557</v>
      </c>
      <c r="N80" s="276"/>
      <c r="O80" s="276"/>
      <c r="P80" s="276"/>
      <c r="Q80" s="276"/>
      <c r="R80" s="311"/>
      <c r="S80" s="312"/>
    </row>
    <row r="81" spans="1:19" s="282" customFormat="1">
      <c r="A81" s="270">
        <f t="shared" si="9"/>
        <v>1</v>
      </c>
      <c r="B81" s="268">
        <f t="shared" si="6"/>
        <v>76</v>
      </c>
      <c r="C81" s="269" t="s">
        <v>409</v>
      </c>
      <c r="D81" s="269"/>
      <c r="E81" s="269"/>
      <c r="F81" s="269" t="s">
        <v>354</v>
      </c>
      <c r="G81" s="260"/>
      <c r="H81" s="301">
        <v>76</v>
      </c>
      <c r="I81" s="302">
        <f t="shared" si="10"/>
        <v>1</v>
      </c>
      <c r="J81" s="301">
        <f t="shared" si="11"/>
        <v>0</v>
      </c>
      <c r="K81" s="301">
        <f t="shared" si="7"/>
        <v>0</v>
      </c>
      <c r="L81" s="301"/>
      <c r="M81" s="303">
        <f t="shared" si="8"/>
        <v>1</v>
      </c>
      <c r="N81" s="276"/>
      <c r="O81" s="276"/>
      <c r="P81" s="276"/>
      <c r="Q81" s="276"/>
      <c r="R81" s="276"/>
    </row>
    <row r="82" spans="1:19" s="282" customFormat="1">
      <c r="A82" s="271">
        <f t="shared" si="9"/>
        <v>0</v>
      </c>
      <c r="B82" s="265" t="str">
        <f t="shared" si="6"/>
        <v/>
      </c>
      <c r="C82" s="266"/>
      <c r="D82" s="266"/>
      <c r="E82" s="266"/>
      <c r="F82" s="266"/>
      <c r="G82" s="260"/>
      <c r="H82" s="295">
        <v>77</v>
      </c>
      <c r="I82" s="296" t="str">
        <f t="shared" si="10"/>
        <v/>
      </c>
      <c r="J82" s="295">
        <f t="shared" si="11"/>
        <v>0</v>
      </c>
      <c r="K82" s="295">
        <f t="shared" si="7"/>
        <v>0</v>
      </c>
      <c r="L82" s="295"/>
      <c r="M82" s="297">
        <f t="shared" si="8"/>
        <v>0</v>
      </c>
      <c r="N82" s="276"/>
      <c r="O82" s="276"/>
      <c r="P82" s="276"/>
      <c r="Q82" s="276"/>
      <c r="R82" s="276"/>
    </row>
    <row r="83" spans="1:19" s="282" customFormat="1">
      <c r="A83" s="270">
        <f t="shared" si="9"/>
        <v>0</v>
      </c>
      <c r="B83" s="268" t="str">
        <f t="shared" si="6"/>
        <v/>
      </c>
      <c r="C83" s="269"/>
      <c r="D83" s="269"/>
      <c r="E83" s="269"/>
      <c r="F83" s="269"/>
      <c r="G83" s="260"/>
      <c r="H83" s="301">
        <v>78</v>
      </c>
      <c r="I83" s="302" t="str">
        <f t="shared" si="10"/>
        <v/>
      </c>
      <c r="J83" s="301">
        <f t="shared" si="11"/>
        <v>0</v>
      </c>
      <c r="K83" s="301">
        <f t="shared" si="7"/>
        <v>0</v>
      </c>
      <c r="L83" s="301"/>
      <c r="M83" s="303">
        <f t="shared" si="8"/>
        <v>0</v>
      </c>
      <c r="N83" s="276"/>
      <c r="O83" s="276"/>
      <c r="P83" s="276"/>
      <c r="Q83" s="276"/>
      <c r="R83" s="276"/>
    </row>
    <row r="84" spans="1:19" s="282" customFormat="1">
      <c r="A84" s="271">
        <v>6.6073935178661074</v>
      </c>
      <c r="B84" s="265">
        <v>37</v>
      </c>
      <c r="C84" s="266" t="s">
        <v>18</v>
      </c>
      <c r="D84" s="266" t="s">
        <v>410</v>
      </c>
      <c r="E84" s="266"/>
      <c r="F84" s="266"/>
      <c r="G84" s="260"/>
      <c r="H84" s="295">
        <v>79</v>
      </c>
      <c r="I84" s="296" t="str">
        <f t="shared" si="10"/>
        <v/>
      </c>
      <c r="J84" s="295">
        <f t="shared" si="11"/>
        <v>0</v>
      </c>
      <c r="K84" s="295">
        <f t="shared" si="7"/>
        <v>0</v>
      </c>
      <c r="L84" s="295"/>
      <c r="M84" s="297">
        <f t="shared" si="8"/>
        <v>0</v>
      </c>
      <c r="N84" s="276"/>
      <c r="O84" s="276"/>
      <c r="P84" s="276"/>
      <c r="Q84" s="276"/>
      <c r="R84" s="311"/>
      <c r="S84" s="312"/>
    </row>
    <row r="85" spans="1:19" s="282" customFormat="1">
      <c r="A85" s="270">
        <f t="shared" si="9"/>
        <v>0</v>
      </c>
      <c r="B85" s="268" t="str">
        <f t="shared" si="6"/>
        <v/>
      </c>
      <c r="C85" s="269"/>
      <c r="D85" s="269"/>
      <c r="E85" s="269"/>
      <c r="F85" s="269"/>
      <c r="G85" s="260"/>
      <c r="H85" s="301">
        <v>80</v>
      </c>
      <c r="I85" s="302" t="str">
        <f t="shared" si="10"/>
        <v/>
      </c>
      <c r="J85" s="301">
        <f t="shared" si="11"/>
        <v>0</v>
      </c>
      <c r="K85" s="301">
        <f t="shared" si="7"/>
        <v>0</v>
      </c>
      <c r="L85" s="301"/>
      <c r="M85" s="303">
        <f t="shared" si="8"/>
        <v>0</v>
      </c>
      <c r="N85" s="276"/>
      <c r="O85" s="276"/>
      <c r="P85" s="276"/>
      <c r="Q85" s="276"/>
      <c r="R85" s="276"/>
    </row>
    <row r="86" spans="1:19" s="282" customFormat="1">
      <c r="A86" s="271">
        <f t="shared" si="9"/>
        <v>0</v>
      </c>
      <c r="B86" s="265" t="str">
        <f t="shared" si="6"/>
        <v/>
      </c>
      <c r="C86" s="266"/>
      <c r="D86" s="266"/>
      <c r="E86" s="266"/>
      <c r="F86" s="266"/>
      <c r="G86" s="260"/>
      <c r="H86" s="295">
        <v>81</v>
      </c>
      <c r="I86" s="296" t="str">
        <f t="shared" si="10"/>
        <v/>
      </c>
      <c r="J86" s="295">
        <f t="shared" si="11"/>
        <v>0</v>
      </c>
      <c r="K86" s="295">
        <f t="shared" si="7"/>
        <v>0</v>
      </c>
      <c r="L86" s="295"/>
      <c r="M86" s="297">
        <f t="shared" si="8"/>
        <v>0</v>
      </c>
      <c r="N86" s="276"/>
      <c r="O86" s="276"/>
      <c r="P86" s="276"/>
      <c r="Q86" s="276"/>
      <c r="R86" s="276"/>
    </row>
    <row r="87" spans="1:19" s="282" customFormat="1">
      <c r="A87" s="270">
        <f t="shared" si="9"/>
        <v>0</v>
      </c>
      <c r="B87" s="268" t="str">
        <f t="shared" si="6"/>
        <v/>
      </c>
      <c r="C87" s="269"/>
      <c r="D87" s="269"/>
      <c r="E87" s="269"/>
      <c r="F87" s="269"/>
      <c r="G87" s="260"/>
      <c r="H87" s="301">
        <v>82</v>
      </c>
      <c r="I87" s="302" t="str">
        <f t="shared" si="10"/>
        <v/>
      </c>
      <c r="J87" s="301">
        <f t="shared" si="11"/>
        <v>0</v>
      </c>
      <c r="K87" s="301">
        <f t="shared" si="7"/>
        <v>0</v>
      </c>
      <c r="L87" s="301"/>
      <c r="M87" s="303">
        <f t="shared" si="8"/>
        <v>0</v>
      </c>
      <c r="N87" s="276"/>
      <c r="O87" s="276"/>
      <c r="P87" s="276"/>
      <c r="Q87" s="276"/>
      <c r="R87" s="276"/>
    </row>
    <row r="88" spans="1:19" s="282" customFormat="1">
      <c r="A88" s="271">
        <f t="shared" si="9"/>
        <v>0</v>
      </c>
      <c r="B88" s="265" t="str">
        <f t="shared" si="6"/>
        <v/>
      </c>
      <c r="C88" s="266"/>
      <c r="D88" s="266"/>
      <c r="E88" s="266"/>
      <c r="F88" s="266"/>
      <c r="G88" s="260"/>
      <c r="H88" s="295">
        <v>83</v>
      </c>
      <c r="I88" s="296" t="str">
        <f t="shared" si="10"/>
        <v/>
      </c>
      <c r="J88" s="295">
        <f t="shared" si="11"/>
        <v>0</v>
      </c>
      <c r="K88" s="295">
        <f t="shared" si="7"/>
        <v>0</v>
      </c>
      <c r="L88" s="295"/>
      <c r="M88" s="297">
        <f t="shared" si="8"/>
        <v>0</v>
      </c>
      <c r="N88" s="276"/>
      <c r="O88" s="276"/>
      <c r="P88" s="276"/>
      <c r="Q88" s="276"/>
      <c r="R88" s="311"/>
      <c r="S88" s="312"/>
    </row>
    <row r="89" spans="1:19" s="282" customFormat="1">
      <c r="A89" s="270">
        <f t="shared" si="9"/>
        <v>0</v>
      </c>
      <c r="B89" s="268" t="str">
        <f t="shared" si="6"/>
        <v/>
      </c>
      <c r="C89" s="269"/>
      <c r="D89" s="269"/>
      <c r="E89" s="269"/>
      <c r="F89" s="269"/>
      <c r="G89" s="276"/>
      <c r="H89" s="301">
        <v>84</v>
      </c>
      <c r="I89" s="302" t="str">
        <f t="shared" si="10"/>
        <v/>
      </c>
      <c r="J89" s="301">
        <f t="shared" si="11"/>
        <v>0</v>
      </c>
      <c r="K89" s="301">
        <f t="shared" si="7"/>
        <v>0</v>
      </c>
      <c r="L89" s="301"/>
      <c r="M89" s="303">
        <f t="shared" si="8"/>
        <v>0</v>
      </c>
      <c r="N89" s="276"/>
      <c r="O89" s="276"/>
      <c r="P89" s="276"/>
      <c r="Q89" s="276"/>
      <c r="R89" s="276"/>
    </row>
    <row r="90" spans="1:19" s="282" customFormat="1">
      <c r="A90" s="271">
        <f t="shared" si="9"/>
        <v>0</v>
      </c>
      <c r="B90" s="265" t="str">
        <f t="shared" si="6"/>
        <v/>
      </c>
      <c r="C90" s="266"/>
      <c r="D90" s="266"/>
      <c r="E90" s="266"/>
      <c r="F90" s="266"/>
      <c r="G90" s="276"/>
      <c r="H90" s="295">
        <v>85</v>
      </c>
      <c r="I90" s="296" t="str">
        <f t="shared" si="10"/>
        <v/>
      </c>
      <c r="J90" s="295">
        <f t="shared" si="11"/>
        <v>0</v>
      </c>
      <c r="K90" s="295">
        <f t="shared" si="7"/>
        <v>0</v>
      </c>
      <c r="L90" s="295"/>
      <c r="M90" s="297">
        <f t="shared" si="8"/>
        <v>0</v>
      </c>
      <c r="N90" s="276"/>
      <c r="O90" s="276"/>
      <c r="P90" s="276"/>
      <c r="Q90" s="276"/>
      <c r="R90" s="276"/>
    </row>
    <row r="91" spans="1:19" s="282" customFormat="1">
      <c r="A91" s="270">
        <f t="shared" si="9"/>
        <v>0</v>
      </c>
      <c r="B91" s="268" t="str">
        <f t="shared" si="6"/>
        <v/>
      </c>
      <c r="C91" s="269"/>
      <c r="D91" s="269"/>
      <c r="E91" s="269"/>
      <c r="F91" s="269"/>
      <c r="G91" s="276"/>
      <c r="H91" s="301">
        <v>86</v>
      </c>
      <c r="I91" s="302" t="str">
        <f t="shared" si="10"/>
        <v/>
      </c>
      <c r="J91" s="301">
        <f t="shared" si="11"/>
        <v>0</v>
      </c>
      <c r="K91" s="301">
        <f t="shared" si="7"/>
        <v>0</v>
      </c>
      <c r="L91" s="301"/>
      <c r="M91" s="303">
        <f t="shared" si="8"/>
        <v>0</v>
      </c>
      <c r="N91" s="276"/>
      <c r="O91" s="276"/>
      <c r="P91" s="276"/>
      <c r="Q91" s="276"/>
      <c r="R91" s="276"/>
    </row>
    <row r="92" spans="1:19" s="282" customFormat="1">
      <c r="A92" s="271">
        <f t="shared" si="9"/>
        <v>0</v>
      </c>
      <c r="B92" s="265" t="str">
        <f t="shared" si="6"/>
        <v/>
      </c>
      <c r="C92" s="266"/>
      <c r="D92" s="266"/>
      <c r="E92" s="266"/>
      <c r="F92" s="266"/>
      <c r="G92" s="276"/>
      <c r="H92" s="295">
        <v>87</v>
      </c>
      <c r="I92" s="296" t="str">
        <f t="shared" si="10"/>
        <v/>
      </c>
      <c r="J92" s="295">
        <f t="shared" si="11"/>
        <v>0</v>
      </c>
      <c r="K92" s="295">
        <f t="shared" si="7"/>
        <v>0</v>
      </c>
      <c r="L92" s="295"/>
      <c r="M92" s="297">
        <f t="shared" si="8"/>
        <v>0</v>
      </c>
      <c r="N92" s="276"/>
      <c r="O92" s="276"/>
      <c r="P92" s="276"/>
      <c r="Q92" s="276"/>
      <c r="R92" s="311"/>
      <c r="S92" s="312"/>
    </row>
    <row r="93" spans="1:19" s="282" customFormat="1">
      <c r="A93" s="270">
        <f t="shared" si="9"/>
        <v>0</v>
      </c>
      <c r="B93" s="268" t="str">
        <f t="shared" si="6"/>
        <v/>
      </c>
      <c r="C93" s="269"/>
      <c r="D93" s="269"/>
      <c r="E93" s="269"/>
      <c r="F93" s="269"/>
      <c r="G93" s="276"/>
      <c r="H93" s="301">
        <v>88</v>
      </c>
      <c r="I93" s="302" t="str">
        <f t="shared" si="10"/>
        <v/>
      </c>
      <c r="J93" s="301">
        <f t="shared" si="11"/>
        <v>0</v>
      </c>
      <c r="K93" s="301">
        <f t="shared" si="7"/>
        <v>0</v>
      </c>
      <c r="L93" s="301"/>
      <c r="M93" s="303">
        <f t="shared" si="8"/>
        <v>0</v>
      </c>
      <c r="N93" s="276"/>
      <c r="O93" s="276"/>
      <c r="P93" s="276"/>
      <c r="Q93" s="276"/>
      <c r="R93" s="276"/>
    </row>
    <row r="94" spans="1:19" s="282" customFormat="1">
      <c r="A94" s="271">
        <f t="shared" si="9"/>
        <v>0</v>
      </c>
      <c r="B94" s="265" t="str">
        <f t="shared" si="6"/>
        <v/>
      </c>
      <c r="C94" s="266"/>
      <c r="D94" s="266"/>
      <c r="E94" s="266"/>
      <c r="F94" s="266"/>
      <c r="G94" s="276"/>
      <c r="H94" s="295">
        <v>89</v>
      </c>
      <c r="I94" s="296" t="str">
        <f t="shared" si="10"/>
        <v/>
      </c>
      <c r="J94" s="295">
        <f t="shared" si="11"/>
        <v>0</v>
      </c>
      <c r="K94" s="295">
        <f t="shared" si="7"/>
        <v>0</v>
      </c>
      <c r="L94" s="295"/>
      <c r="M94" s="297">
        <f t="shared" si="8"/>
        <v>0</v>
      </c>
      <c r="N94" s="276"/>
      <c r="O94" s="276"/>
      <c r="P94" s="276"/>
      <c r="Q94" s="276"/>
      <c r="R94" s="276"/>
    </row>
    <row r="95" spans="1:19" s="282" customFormat="1">
      <c r="A95" s="270">
        <f t="shared" si="9"/>
        <v>0</v>
      </c>
      <c r="B95" s="268" t="str">
        <f t="shared" si="6"/>
        <v/>
      </c>
      <c r="C95" s="269"/>
      <c r="D95" s="269"/>
      <c r="E95" s="269"/>
      <c r="F95" s="269"/>
      <c r="G95" s="276"/>
      <c r="H95" s="301">
        <v>90</v>
      </c>
      <c r="I95" s="302" t="str">
        <f t="shared" si="10"/>
        <v/>
      </c>
      <c r="J95" s="301">
        <f t="shared" si="11"/>
        <v>0</v>
      </c>
      <c r="K95" s="301">
        <f t="shared" si="7"/>
        <v>0</v>
      </c>
      <c r="L95" s="301"/>
      <c r="M95" s="303">
        <f t="shared" si="8"/>
        <v>0</v>
      </c>
      <c r="N95" s="276"/>
      <c r="O95" s="276"/>
      <c r="P95" s="276"/>
      <c r="Q95" s="276"/>
      <c r="R95" s="276"/>
    </row>
    <row r="96" spans="1:19" s="282" customFormat="1">
      <c r="A96" s="271">
        <f t="shared" si="9"/>
        <v>0</v>
      </c>
      <c r="B96" s="265" t="str">
        <f t="shared" si="6"/>
        <v/>
      </c>
      <c r="C96" s="266"/>
      <c r="D96" s="266"/>
      <c r="E96" s="266"/>
      <c r="F96" s="266"/>
      <c r="G96" s="276"/>
      <c r="H96" s="295">
        <v>91</v>
      </c>
      <c r="I96" s="296" t="str">
        <f t="shared" si="10"/>
        <v/>
      </c>
      <c r="J96" s="295">
        <f t="shared" si="11"/>
        <v>0</v>
      </c>
      <c r="K96" s="295">
        <f t="shared" si="7"/>
        <v>0</v>
      </c>
      <c r="L96" s="295"/>
      <c r="M96" s="297">
        <f t="shared" si="8"/>
        <v>0</v>
      </c>
      <c r="N96" s="276"/>
      <c r="O96" s="276"/>
      <c r="P96" s="276"/>
      <c r="Q96" s="276"/>
      <c r="R96" s="311"/>
      <c r="S96" s="312"/>
    </row>
    <row r="97" spans="1:38" s="282" customFormat="1">
      <c r="A97" s="270">
        <f t="shared" si="9"/>
        <v>0</v>
      </c>
      <c r="B97" s="268" t="str">
        <f t="shared" si="6"/>
        <v/>
      </c>
      <c r="C97" s="269"/>
      <c r="D97" s="269"/>
      <c r="E97" s="269"/>
      <c r="F97" s="269"/>
      <c r="G97" s="276"/>
      <c r="H97" s="301">
        <v>92</v>
      </c>
      <c r="I97" s="302" t="str">
        <f t="shared" si="10"/>
        <v/>
      </c>
      <c r="J97" s="301">
        <f t="shared" si="11"/>
        <v>0</v>
      </c>
      <c r="K97" s="301">
        <f t="shared" si="7"/>
        <v>0</v>
      </c>
      <c r="L97" s="301"/>
      <c r="M97" s="303">
        <f t="shared" si="8"/>
        <v>0</v>
      </c>
      <c r="N97" s="276"/>
      <c r="O97" s="276"/>
      <c r="P97" s="276"/>
      <c r="Q97" s="276"/>
      <c r="R97" s="276"/>
    </row>
    <row r="98" spans="1:38" s="282" customFormat="1">
      <c r="A98" s="271">
        <f t="shared" si="9"/>
        <v>0</v>
      </c>
      <c r="B98" s="265" t="str">
        <f t="shared" si="6"/>
        <v/>
      </c>
      <c r="C98" s="266"/>
      <c r="D98" s="266"/>
      <c r="E98" s="266"/>
      <c r="F98" s="266"/>
      <c r="G98" s="276"/>
      <c r="H98" s="295">
        <v>93</v>
      </c>
      <c r="I98" s="296" t="str">
        <f t="shared" si="10"/>
        <v/>
      </c>
      <c r="J98" s="295">
        <f t="shared" si="11"/>
        <v>0</v>
      </c>
      <c r="K98" s="295">
        <f t="shared" si="7"/>
        <v>0</v>
      </c>
      <c r="L98" s="295"/>
      <c r="M98" s="297">
        <f t="shared" si="8"/>
        <v>0</v>
      </c>
      <c r="N98" s="276"/>
      <c r="O98" s="276"/>
      <c r="P98" s="276"/>
      <c r="Q98" s="276"/>
      <c r="R98" s="276"/>
    </row>
    <row r="99" spans="1:38" s="282" customFormat="1">
      <c r="A99" s="270">
        <f t="shared" si="9"/>
        <v>0</v>
      </c>
      <c r="B99" s="268" t="str">
        <f t="shared" si="6"/>
        <v/>
      </c>
      <c r="C99" s="269"/>
      <c r="D99" s="269"/>
      <c r="E99" s="269"/>
      <c r="F99" s="269"/>
      <c r="G99" s="276"/>
      <c r="H99" s="301">
        <v>94</v>
      </c>
      <c r="I99" s="302" t="str">
        <f t="shared" si="10"/>
        <v/>
      </c>
      <c r="J99" s="301">
        <f t="shared" si="11"/>
        <v>0</v>
      </c>
      <c r="K99" s="301">
        <f t="shared" si="7"/>
        <v>0</v>
      </c>
      <c r="L99" s="301"/>
      <c r="M99" s="303">
        <f t="shared" si="8"/>
        <v>0</v>
      </c>
      <c r="N99" s="276"/>
      <c r="O99" s="276"/>
      <c r="P99" s="276"/>
      <c r="Q99" s="276"/>
      <c r="R99" s="276"/>
    </row>
    <row r="100" spans="1:38" s="282" customFormat="1">
      <c r="A100" s="271">
        <f t="shared" si="9"/>
        <v>0</v>
      </c>
      <c r="B100" s="265" t="str">
        <f t="shared" si="6"/>
        <v/>
      </c>
      <c r="C100" s="266"/>
      <c r="D100" s="266"/>
      <c r="E100" s="266"/>
      <c r="F100" s="266"/>
      <c r="G100" s="276"/>
      <c r="H100" s="295">
        <v>95</v>
      </c>
      <c r="I100" s="296" t="str">
        <f t="shared" si="10"/>
        <v/>
      </c>
      <c r="J100" s="295">
        <f t="shared" si="11"/>
        <v>0</v>
      </c>
      <c r="K100" s="295">
        <f t="shared" si="7"/>
        <v>0</v>
      </c>
      <c r="L100" s="295"/>
      <c r="M100" s="297">
        <f t="shared" si="8"/>
        <v>0</v>
      </c>
      <c r="N100" s="276"/>
      <c r="O100" s="276"/>
      <c r="P100" s="276"/>
      <c r="Q100" s="276"/>
      <c r="R100" s="276"/>
    </row>
    <row r="101" spans="1:38" s="282" customFormat="1">
      <c r="A101" s="270">
        <f t="shared" si="9"/>
        <v>0</v>
      </c>
      <c r="B101" s="268" t="str">
        <f t="shared" si="6"/>
        <v/>
      </c>
      <c r="C101" s="269"/>
      <c r="D101" s="269"/>
      <c r="E101" s="269"/>
      <c r="F101" s="269"/>
      <c r="G101" s="276"/>
      <c r="H101" s="301">
        <v>96</v>
      </c>
      <c r="I101" s="302" t="str">
        <f t="shared" si="10"/>
        <v/>
      </c>
      <c r="J101" s="301">
        <f t="shared" si="11"/>
        <v>0</v>
      </c>
      <c r="K101" s="301">
        <f t="shared" si="7"/>
        <v>0</v>
      </c>
      <c r="L101" s="301"/>
      <c r="M101" s="303">
        <f t="shared" si="8"/>
        <v>0</v>
      </c>
      <c r="N101" s="276"/>
      <c r="O101" s="276"/>
      <c r="P101" s="276"/>
      <c r="Q101" s="276"/>
      <c r="R101" s="276"/>
      <c r="S101" s="313"/>
    </row>
    <row r="102" spans="1:38" s="282" customFormat="1">
      <c r="A102" s="271">
        <f t="shared" si="9"/>
        <v>0</v>
      </c>
      <c r="B102" s="265" t="str">
        <f t="shared" si="6"/>
        <v/>
      </c>
      <c r="C102" s="266"/>
      <c r="D102" s="266"/>
      <c r="E102" s="266"/>
      <c r="F102" s="266"/>
      <c r="G102" s="276"/>
      <c r="H102" s="295">
        <v>97</v>
      </c>
      <c r="I102" s="296" t="str">
        <f t="shared" si="10"/>
        <v/>
      </c>
      <c r="J102" s="295">
        <f t="shared" si="11"/>
        <v>0</v>
      </c>
      <c r="K102" s="295">
        <f t="shared" si="7"/>
        <v>0</v>
      </c>
      <c r="L102" s="295"/>
      <c r="M102" s="297">
        <f t="shared" si="8"/>
        <v>0</v>
      </c>
      <c r="N102" s="276"/>
      <c r="O102" s="276"/>
      <c r="P102" s="276"/>
      <c r="Q102" s="276"/>
      <c r="R102" s="276"/>
    </row>
    <row r="103" spans="1:38" s="282" customFormat="1">
      <c r="A103" s="270">
        <f t="shared" si="9"/>
        <v>0</v>
      </c>
      <c r="B103" s="268" t="str">
        <f t="shared" si="6"/>
        <v/>
      </c>
      <c r="C103" s="269"/>
      <c r="D103" s="269"/>
      <c r="E103" s="269"/>
      <c r="F103" s="269"/>
      <c r="G103" s="276"/>
      <c r="H103" s="301">
        <v>98</v>
      </c>
      <c r="I103" s="302" t="str">
        <f t="shared" si="10"/>
        <v/>
      </c>
      <c r="J103" s="301">
        <f t="shared" si="11"/>
        <v>0</v>
      </c>
      <c r="K103" s="301">
        <f t="shared" si="7"/>
        <v>0</v>
      </c>
      <c r="L103" s="301"/>
      <c r="M103" s="303">
        <f t="shared" si="8"/>
        <v>0</v>
      </c>
      <c r="N103" s="276"/>
      <c r="O103" s="276"/>
      <c r="P103" s="276"/>
      <c r="Q103" s="276"/>
      <c r="R103" s="276"/>
    </row>
    <row r="104" spans="1:38" s="282" customFormat="1">
      <c r="A104" s="271">
        <f t="shared" si="9"/>
        <v>0</v>
      </c>
      <c r="B104" s="265" t="str">
        <f t="shared" si="6"/>
        <v/>
      </c>
      <c r="C104" s="266"/>
      <c r="D104" s="266"/>
      <c r="E104" s="266"/>
      <c r="F104" s="266"/>
      <c r="G104" s="276"/>
      <c r="H104" s="295">
        <v>99</v>
      </c>
      <c r="I104" s="296" t="str">
        <f t="shared" si="10"/>
        <v/>
      </c>
      <c r="J104" s="295">
        <f t="shared" si="11"/>
        <v>0</v>
      </c>
      <c r="K104" s="295">
        <f t="shared" si="7"/>
        <v>0</v>
      </c>
      <c r="L104" s="295"/>
      <c r="M104" s="297">
        <f t="shared" si="8"/>
        <v>0</v>
      </c>
      <c r="N104" s="276"/>
      <c r="O104" s="276"/>
      <c r="P104" s="276"/>
      <c r="Q104" s="276"/>
      <c r="R104" s="276"/>
    </row>
    <row r="105" spans="1:38" s="282" customFormat="1">
      <c r="A105" s="270">
        <f t="shared" si="9"/>
        <v>0</v>
      </c>
      <c r="B105" s="268" t="str">
        <f t="shared" si="6"/>
        <v/>
      </c>
      <c r="C105" s="269"/>
      <c r="D105" s="269"/>
      <c r="E105" s="269"/>
      <c r="F105" s="269"/>
      <c r="G105" s="276"/>
      <c r="H105" s="301">
        <v>100</v>
      </c>
      <c r="I105" s="302" t="str">
        <f t="shared" si="10"/>
        <v/>
      </c>
      <c r="J105" s="301">
        <f t="shared" si="11"/>
        <v>0</v>
      </c>
      <c r="K105" s="301">
        <f t="shared" si="7"/>
        <v>0</v>
      </c>
      <c r="L105" s="301"/>
      <c r="M105" s="303">
        <f t="shared" si="8"/>
        <v>0</v>
      </c>
      <c r="N105" s="276"/>
      <c r="O105" s="276"/>
      <c r="P105" s="276"/>
      <c r="Q105" s="276"/>
      <c r="R105" s="276"/>
    </row>
    <row r="106" spans="1:38" s="282" customFormat="1">
      <c r="A106" s="271">
        <f t="shared" si="9"/>
        <v>0</v>
      </c>
      <c r="B106" s="265" t="str">
        <f t="shared" si="6"/>
        <v/>
      </c>
      <c r="C106" s="266"/>
      <c r="D106" s="266"/>
      <c r="E106" s="266"/>
      <c r="F106" s="266"/>
      <c r="G106" s="276"/>
      <c r="H106" s="295">
        <v>101</v>
      </c>
      <c r="I106" s="296" t="str">
        <f t="shared" si="10"/>
        <v/>
      </c>
      <c r="J106" s="295">
        <f t="shared" si="11"/>
        <v>0</v>
      </c>
      <c r="K106" s="295">
        <f t="shared" si="7"/>
        <v>0</v>
      </c>
      <c r="L106" s="295"/>
      <c r="M106" s="297">
        <f t="shared" si="8"/>
        <v>0</v>
      </c>
      <c r="N106" s="276"/>
      <c r="O106" s="276"/>
      <c r="P106" s="276"/>
      <c r="Q106" s="276"/>
      <c r="R106" s="276"/>
    </row>
    <row r="107" spans="1:38" s="282" customFormat="1">
      <c r="A107" s="270">
        <f t="shared" si="9"/>
        <v>0</v>
      </c>
      <c r="B107" s="268" t="str">
        <f t="shared" si="6"/>
        <v/>
      </c>
      <c r="C107" s="269"/>
      <c r="D107" s="269"/>
      <c r="E107" s="269"/>
      <c r="F107" s="269"/>
      <c r="G107" s="276"/>
      <c r="H107" s="301">
        <v>102</v>
      </c>
      <c r="I107" s="302" t="str">
        <f t="shared" si="10"/>
        <v/>
      </c>
      <c r="J107" s="301">
        <f t="shared" si="11"/>
        <v>0</v>
      </c>
      <c r="K107" s="301">
        <f t="shared" si="7"/>
        <v>0</v>
      </c>
      <c r="L107" s="301"/>
      <c r="M107" s="303">
        <f t="shared" si="8"/>
        <v>0</v>
      </c>
      <c r="N107" s="276"/>
      <c r="O107" s="276"/>
      <c r="P107" s="276"/>
      <c r="Q107" s="276"/>
      <c r="R107" s="276"/>
    </row>
    <row r="108" spans="1:38" s="282" customFormat="1">
      <c r="A108" s="271">
        <f t="shared" si="9"/>
        <v>0</v>
      </c>
      <c r="B108" s="265" t="str">
        <f t="shared" si="6"/>
        <v/>
      </c>
      <c r="C108" s="266"/>
      <c r="D108" s="266"/>
      <c r="E108" s="266"/>
      <c r="F108" s="266"/>
      <c r="G108" s="276"/>
      <c r="H108" s="295">
        <v>103</v>
      </c>
      <c r="I108" s="296" t="str">
        <f t="shared" si="10"/>
        <v/>
      </c>
      <c r="J108" s="295">
        <f t="shared" si="11"/>
        <v>0</v>
      </c>
      <c r="K108" s="295">
        <f t="shared" si="7"/>
        <v>0</v>
      </c>
      <c r="L108" s="295"/>
      <c r="M108" s="297">
        <f t="shared" si="8"/>
        <v>0</v>
      </c>
      <c r="N108" s="276"/>
      <c r="O108" s="276"/>
      <c r="P108" s="276"/>
      <c r="Q108" s="276"/>
      <c r="R108" s="276"/>
    </row>
    <row r="109" spans="1:38" s="276" customFormat="1">
      <c r="A109" s="270">
        <f t="shared" si="9"/>
        <v>0</v>
      </c>
      <c r="B109" s="268" t="str">
        <f t="shared" si="6"/>
        <v/>
      </c>
      <c r="C109" s="269"/>
      <c r="D109" s="269"/>
      <c r="E109" s="269"/>
      <c r="F109" s="269"/>
      <c r="H109" s="301">
        <v>104</v>
      </c>
      <c r="I109" s="302" t="str">
        <f t="shared" si="10"/>
        <v/>
      </c>
      <c r="J109" s="301">
        <f t="shared" si="11"/>
        <v>0</v>
      </c>
      <c r="K109" s="301">
        <f t="shared" si="7"/>
        <v>0</v>
      </c>
      <c r="L109" s="301"/>
      <c r="M109" s="303">
        <f t="shared" si="8"/>
        <v>0</v>
      </c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  <c r="AK109" s="282"/>
      <c r="AL109" s="282"/>
    </row>
    <row r="110" spans="1:38" s="276" customFormat="1">
      <c r="A110" s="271">
        <f t="shared" si="9"/>
        <v>0</v>
      </c>
      <c r="B110" s="265" t="str">
        <f t="shared" si="6"/>
        <v/>
      </c>
      <c r="C110" s="266"/>
      <c r="D110" s="266"/>
      <c r="E110" s="266"/>
      <c r="F110" s="266"/>
      <c r="H110" s="295">
        <v>105</v>
      </c>
      <c r="I110" s="296" t="str">
        <f t="shared" si="10"/>
        <v/>
      </c>
      <c r="J110" s="295">
        <f t="shared" si="11"/>
        <v>0</v>
      </c>
      <c r="K110" s="295">
        <f t="shared" si="7"/>
        <v>0</v>
      </c>
      <c r="L110" s="295"/>
      <c r="M110" s="297">
        <f t="shared" si="8"/>
        <v>0</v>
      </c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  <c r="AK110" s="282"/>
      <c r="AL110" s="282"/>
    </row>
    <row r="111" spans="1:38" s="276" customFormat="1">
      <c r="A111" s="270">
        <f t="shared" si="9"/>
        <v>0</v>
      </c>
      <c r="B111" s="268" t="str">
        <f t="shared" si="6"/>
        <v/>
      </c>
      <c r="C111" s="269"/>
      <c r="D111" s="269"/>
      <c r="E111" s="269"/>
      <c r="F111" s="269"/>
      <c r="H111" s="301">
        <v>106</v>
      </c>
      <c r="I111" s="302" t="str">
        <f t="shared" si="10"/>
        <v/>
      </c>
      <c r="J111" s="301">
        <f t="shared" si="11"/>
        <v>0</v>
      </c>
      <c r="K111" s="301">
        <f t="shared" si="7"/>
        <v>0</v>
      </c>
      <c r="L111" s="301"/>
      <c r="M111" s="303">
        <f t="shared" si="8"/>
        <v>0</v>
      </c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  <c r="AK111" s="282"/>
      <c r="AL111" s="282"/>
    </row>
    <row r="112" spans="1:38" s="276" customFormat="1">
      <c r="A112" s="271">
        <f t="shared" si="9"/>
        <v>0</v>
      </c>
      <c r="B112" s="265" t="str">
        <f t="shared" si="6"/>
        <v/>
      </c>
      <c r="C112" s="266"/>
      <c r="D112" s="266"/>
      <c r="E112" s="266"/>
      <c r="F112" s="266"/>
      <c r="H112" s="295">
        <v>107</v>
      </c>
      <c r="I112" s="296" t="str">
        <f t="shared" si="10"/>
        <v/>
      </c>
      <c r="J112" s="295">
        <f t="shared" si="11"/>
        <v>0</v>
      </c>
      <c r="K112" s="295">
        <f t="shared" si="7"/>
        <v>0</v>
      </c>
      <c r="L112" s="295"/>
      <c r="M112" s="297">
        <f t="shared" si="8"/>
        <v>0</v>
      </c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  <c r="AK112" s="282"/>
      <c r="AL112" s="282"/>
    </row>
    <row r="113" spans="1:38" s="276" customFormat="1">
      <c r="A113" s="270">
        <f t="shared" si="9"/>
        <v>0</v>
      </c>
      <c r="B113" s="268" t="str">
        <f t="shared" si="6"/>
        <v/>
      </c>
      <c r="C113" s="269"/>
      <c r="D113" s="269"/>
      <c r="E113" s="269"/>
      <c r="F113" s="269"/>
      <c r="H113" s="301">
        <v>108</v>
      </c>
      <c r="I113" s="302" t="str">
        <f t="shared" si="10"/>
        <v/>
      </c>
      <c r="J113" s="301">
        <f t="shared" si="11"/>
        <v>0</v>
      </c>
      <c r="K113" s="301">
        <f t="shared" si="7"/>
        <v>0</v>
      </c>
      <c r="L113" s="301"/>
      <c r="M113" s="303">
        <f t="shared" si="8"/>
        <v>0</v>
      </c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  <c r="AK113" s="282"/>
      <c r="AL113" s="282"/>
    </row>
    <row r="114" spans="1:38" s="276" customFormat="1">
      <c r="A114" s="271">
        <f t="shared" si="9"/>
        <v>0</v>
      </c>
      <c r="B114" s="265" t="str">
        <f t="shared" si="6"/>
        <v/>
      </c>
      <c r="C114" s="266"/>
      <c r="D114" s="266"/>
      <c r="E114" s="266"/>
      <c r="F114" s="266"/>
      <c r="H114" s="295">
        <v>109</v>
      </c>
      <c r="I114" s="296" t="str">
        <f t="shared" si="10"/>
        <v/>
      </c>
      <c r="J114" s="295">
        <f t="shared" si="11"/>
        <v>0</v>
      </c>
      <c r="K114" s="295">
        <f t="shared" si="7"/>
        <v>0</v>
      </c>
      <c r="L114" s="295"/>
      <c r="M114" s="297">
        <f t="shared" si="8"/>
        <v>0</v>
      </c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  <c r="AK114" s="282"/>
      <c r="AL114" s="282"/>
    </row>
    <row r="115" spans="1:38" s="276" customFormat="1">
      <c r="A115" s="270">
        <f t="shared" si="9"/>
        <v>0</v>
      </c>
      <c r="B115" s="268" t="str">
        <f t="shared" si="6"/>
        <v/>
      </c>
      <c r="C115" s="269"/>
      <c r="D115" s="269"/>
      <c r="E115" s="269"/>
      <c r="F115" s="269"/>
      <c r="H115" s="301">
        <v>110</v>
      </c>
      <c r="I115" s="302" t="str">
        <f t="shared" si="10"/>
        <v/>
      </c>
      <c r="J115" s="301">
        <f t="shared" si="11"/>
        <v>0</v>
      </c>
      <c r="K115" s="301">
        <f t="shared" si="7"/>
        <v>0</v>
      </c>
      <c r="L115" s="301"/>
      <c r="M115" s="303">
        <f t="shared" si="8"/>
        <v>0</v>
      </c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/>
      <c r="AE115" s="282"/>
      <c r="AF115" s="282"/>
      <c r="AG115" s="282"/>
      <c r="AH115" s="282"/>
      <c r="AI115" s="282"/>
      <c r="AJ115" s="282"/>
      <c r="AK115" s="282"/>
      <c r="AL115" s="282"/>
    </row>
    <row r="116" spans="1:38" s="276" customFormat="1">
      <c r="A116" s="271">
        <f t="shared" si="9"/>
        <v>0</v>
      </c>
      <c r="B116" s="265" t="str">
        <f t="shared" si="6"/>
        <v/>
      </c>
      <c r="C116" s="266"/>
      <c r="D116" s="266"/>
      <c r="E116" s="266"/>
      <c r="F116" s="266"/>
      <c r="H116" s="295">
        <v>111</v>
      </c>
      <c r="I116" s="296" t="str">
        <f t="shared" si="10"/>
        <v/>
      </c>
      <c r="J116" s="295">
        <f t="shared" si="11"/>
        <v>0</v>
      </c>
      <c r="K116" s="295">
        <f t="shared" si="7"/>
        <v>0</v>
      </c>
      <c r="L116" s="295"/>
      <c r="M116" s="297">
        <f t="shared" si="8"/>
        <v>0</v>
      </c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/>
      <c r="AE116" s="282"/>
      <c r="AF116" s="282"/>
      <c r="AG116" s="282"/>
      <c r="AH116" s="282"/>
      <c r="AI116" s="282"/>
      <c r="AJ116" s="282"/>
      <c r="AK116" s="282"/>
      <c r="AL116" s="282"/>
    </row>
    <row r="117" spans="1:38" s="276" customFormat="1">
      <c r="A117" s="270">
        <f t="shared" si="9"/>
        <v>0</v>
      </c>
      <c r="B117" s="268" t="str">
        <f t="shared" si="6"/>
        <v/>
      </c>
      <c r="C117" s="269"/>
      <c r="D117" s="269"/>
      <c r="E117" s="269"/>
      <c r="F117" s="269"/>
      <c r="H117" s="301">
        <v>112</v>
      </c>
      <c r="I117" s="302" t="str">
        <f t="shared" si="10"/>
        <v/>
      </c>
      <c r="J117" s="301">
        <f t="shared" si="11"/>
        <v>0</v>
      </c>
      <c r="K117" s="301">
        <f t="shared" si="7"/>
        <v>0</v>
      </c>
      <c r="L117" s="301"/>
      <c r="M117" s="303">
        <f t="shared" si="8"/>
        <v>0</v>
      </c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/>
      <c r="AE117" s="282"/>
      <c r="AF117" s="282"/>
      <c r="AG117" s="282"/>
      <c r="AH117" s="282"/>
      <c r="AI117" s="282"/>
      <c r="AJ117" s="282"/>
      <c r="AK117" s="282"/>
      <c r="AL117" s="282"/>
    </row>
    <row r="118" spans="1:38" s="276" customFormat="1">
      <c r="A118" s="271">
        <f t="shared" si="9"/>
        <v>0</v>
      </c>
      <c r="B118" s="265" t="str">
        <f t="shared" si="6"/>
        <v/>
      </c>
      <c r="C118" s="266"/>
      <c r="D118" s="266"/>
      <c r="E118" s="266"/>
      <c r="F118" s="266"/>
      <c r="H118" s="295">
        <v>113</v>
      </c>
      <c r="I118" s="296" t="str">
        <f t="shared" si="10"/>
        <v/>
      </c>
      <c r="J118" s="295">
        <f t="shared" si="11"/>
        <v>0</v>
      </c>
      <c r="K118" s="295">
        <f t="shared" si="7"/>
        <v>0</v>
      </c>
      <c r="L118" s="295"/>
      <c r="M118" s="297">
        <f t="shared" si="8"/>
        <v>0</v>
      </c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/>
      <c r="AE118" s="282"/>
      <c r="AF118" s="282"/>
      <c r="AG118" s="282"/>
      <c r="AH118" s="282"/>
      <c r="AI118" s="282"/>
      <c r="AJ118" s="282"/>
      <c r="AK118" s="282"/>
      <c r="AL118" s="282"/>
    </row>
    <row r="119" spans="1:38" s="276" customFormat="1">
      <c r="A119" s="270">
        <f t="shared" si="9"/>
        <v>0</v>
      </c>
      <c r="B119" s="268" t="str">
        <f t="shared" si="6"/>
        <v/>
      </c>
      <c r="C119" s="269"/>
      <c r="D119" s="269"/>
      <c r="E119" s="269"/>
      <c r="F119" s="269"/>
      <c r="H119" s="301">
        <v>114</v>
      </c>
      <c r="I119" s="302" t="str">
        <f t="shared" si="10"/>
        <v/>
      </c>
      <c r="J119" s="301">
        <f t="shared" si="11"/>
        <v>0</v>
      </c>
      <c r="K119" s="301">
        <f t="shared" si="7"/>
        <v>0</v>
      </c>
      <c r="L119" s="301"/>
      <c r="M119" s="303">
        <f t="shared" si="8"/>
        <v>0</v>
      </c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/>
      <c r="AE119" s="282"/>
      <c r="AF119" s="282"/>
      <c r="AG119" s="282"/>
      <c r="AH119" s="282"/>
      <c r="AI119" s="282"/>
      <c r="AJ119" s="282"/>
      <c r="AK119" s="282"/>
      <c r="AL119" s="282"/>
    </row>
    <row r="120" spans="1:38" s="276" customFormat="1">
      <c r="A120" s="271">
        <f t="shared" si="9"/>
        <v>0</v>
      </c>
      <c r="B120" s="265" t="str">
        <f t="shared" si="6"/>
        <v/>
      </c>
      <c r="C120" s="266"/>
      <c r="D120" s="266"/>
      <c r="E120" s="266"/>
      <c r="F120" s="266"/>
      <c r="H120" s="295">
        <v>115</v>
      </c>
      <c r="I120" s="296" t="str">
        <f t="shared" si="10"/>
        <v/>
      </c>
      <c r="J120" s="295">
        <f t="shared" si="11"/>
        <v>0</v>
      </c>
      <c r="K120" s="295">
        <f t="shared" si="7"/>
        <v>0</v>
      </c>
      <c r="L120" s="295"/>
      <c r="M120" s="297">
        <f t="shared" si="8"/>
        <v>0</v>
      </c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  <c r="AE120" s="282"/>
      <c r="AF120" s="282"/>
      <c r="AG120" s="282"/>
      <c r="AH120" s="282"/>
      <c r="AI120" s="282"/>
      <c r="AJ120" s="282"/>
      <c r="AK120" s="282"/>
      <c r="AL120" s="282"/>
    </row>
    <row r="121" spans="1:38" s="276" customFormat="1">
      <c r="A121" s="270">
        <f t="shared" si="9"/>
        <v>0</v>
      </c>
      <c r="B121" s="268" t="str">
        <f t="shared" si="6"/>
        <v/>
      </c>
      <c r="C121" s="269"/>
      <c r="D121" s="269"/>
      <c r="E121" s="269"/>
      <c r="F121" s="269"/>
      <c r="H121" s="301">
        <v>116</v>
      </c>
      <c r="I121" s="302" t="str">
        <f t="shared" si="10"/>
        <v/>
      </c>
      <c r="J121" s="301">
        <f t="shared" si="11"/>
        <v>0</v>
      </c>
      <c r="K121" s="301">
        <f t="shared" si="7"/>
        <v>0</v>
      </c>
      <c r="L121" s="301"/>
      <c r="M121" s="303">
        <f t="shared" si="8"/>
        <v>0</v>
      </c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/>
      <c r="AE121" s="282"/>
      <c r="AF121" s="282"/>
      <c r="AG121" s="282"/>
      <c r="AH121" s="282"/>
      <c r="AI121" s="282"/>
      <c r="AJ121" s="282"/>
      <c r="AK121" s="282"/>
      <c r="AL121" s="282"/>
    </row>
    <row r="122" spans="1:38" s="276" customFormat="1">
      <c r="A122" s="271">
        <f t="shared" si="9"/>
        <v>0</v>
      </c>
      <c r="B122" s="265" t="str">
        <f t="shared" si="6"/>
        <v/>
      </c>
      <c r="C122" s="266"/>
      <c r="D122" s="266"/>
      <c r="E122" s="266"/>
      <c r="F122" s="266"/>
      <c r="H122" s="295">
        <v>117</v>
      </c>
      <c r="I122" s="296" t="str">
        <f t="shared" si="10"/>
        <v/>
      </c>
      <c r="J122" s="295">
        <f t="shared" si="11"/>
        <v>0</v>
      </c>
      <c r="K122" s="295">
        <f t="shared" si="7"/>
        <v>0</v>
      </c>
      <c r="L122" s="295"/>
      <c r="M122" s="297">
        <f t="shared" si="8"/>
        <v>0</v>
      </c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</row>
    <row r="123" spans="1:38" s="276" customFormat="1">
      <c r="A123" s="270">
        <f t="shared" si="9"/>
        <v>0</v>
      </c>
      <c r="B123" s="268" t="str">
        <f t="shared" si="6"/>
        <v/>
      </c>
      <c r="C123" s="269"/>
      <c r="D123" s="269"/>
      <c r="E123" s="269"/>
      <c r="F123" s="269"/>
      <c r="H123" s="301">
        <v>118</v>
      </c>
      <c r="I123" s="302" t="str">
        <f t="shared" si="10"/>
        <v/>
      </c>
      <c r="J123" s="301">
        <f t="shared" si="11"/>
        <v>0</v>
      </c>
      <c r="K123" s="301">
        <f t="shared" si="7"/>
        <v>0</v>
      </c>
      <c r="L123" s="301"/>
      <c r="M123" s="303">
        <f t="shared" si="8"/>
        <v>0</v>
      </c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</row>
    <row r="124" spans="1:38" s="276" customFormat="1">
      <c r="A124" s="271">
        <f t="shared" si="9"/>
        <v>0</v>
      </c>
      <c r="B124" s="265" t="str">
        <f t="shared" si="6"/>
        <v/>
      </c>
      <c r="C124" s="266"/>
      <c r="D124" s="266"/>
      <c r="E124" s="266"/>
      <c r="F124" s="266"/>
      <c r="H124" s="295">
        <v>119</v>
      </c>
      <c r="I124" s="296" t="str">
        <f t="shared" si="10"/>
        <v/>
      </c>
      <c r="J124" s="295">
        <f t="shared" si="11"/>
        <v>0</v>
      </c>
      <c r="K124" s="295">
        <f t="shared" si="7"/>
        <v>0</v>
      </c>
      <c r="L124" s="295"/>
      <c r="M124" s="297">
        <f t="shared" si="8"/>
        <v>0</v>
      </c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</row>
    <row r="125" spans="1:38" s="276" customFormat="1">
      <c r="A125" s="270">
        <f t="shared" si="9"/>
        <v>0</v>
      </c>
      <c r="B125" s="268" t="str">
        <f t="shared" si="6"/>
        <v/>
      </c>
      <c r="C125" s="269"/>
      <c r="D125" s="269"/>
      <c r="E125" s="269"/>
      <c r="F125" s="269"/>
      <c r="H125" s="301">
        <v>120</v>
      </c>
      <c r="I125" s="302" t="str">
        <f t="shared" si="10"/>
        <v/>
      </c>
      <c r="J125" s="301">
        <f t="shared" si="11"/>
        <v>0</v>
      </c>
      <c r="K125" s="301">
        <f t="shared" si="7"/>
        <v>0</v>
      </c>
      <c r="L125" s="301"/>
      <c r="M125" s="303">
        <f t="shared" si="8"/>
        <v>0</v>
      </c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</row>
    <row r="126" spans="1:38" s="282" customFormat="1" ht="14.45" customHeight="1">
      <c r="A126" s="264">
        <f t="shared" si="9"/>
        <v>0</v>
      </c>
      <c r="B126" s="265" t="str">
        <f t="shared" si="6"/>
        <v/>
      </c>
      <c r="C126" s="266"/>
      <c r="D126" s="266"/>
      <c r="E126" s="266"/>
      <c r="F126" s="266"/>
      <c r="G126" s="260"/>
      <c r="H126" s="295">
        <v>121</v>
      </c>
      <c r="I126" s="296" t="str">
        <f t="shared" si="10"/>
        <v/>
      </c>
      <c r="J126" s="295">
        <f t="shared" si="11"/>
        <v>0</v>
      </c>
      <c r="K126" s="295">
        <f t="shared" si="7"/>
        <v>0</v>
      </c>
      <c r="L126" s="297"/>
      <c r="M126" s="297">
        <f t="shared" si="8"/>
        <v>0</v>
      </c>
      <c r="N126" s="276"/>
      <c r="O126" s="276"/>
      <c r="P126" s="276"/>
      <c r="Q126" s="276"/>
      <c r="R126" s="276"/>
    </row>
    <row r="127" spans="1:38" s="282" customFormat="1" ht="14.45" customHeight="1">
      <c r="A127" s="267">
        <f t="shared" si="9"/>
        <v>0</v>
      </c>
      <c r="B127" s="268" t="str">
        <f t="shared" si="6"/>
        <v/>
      </c>
      <c r="C127" s="269"/>
      <c r="D127" s="269"/>
      <c r="E127" s="269"/>
      <c r="F127" s="269"/>
      <c r="G127" s="260"/>
      <c r="H127" s="301">
        <v>122</v>
      </c>
      <c r="I127" s="302" t="str">
        <f t="shared" si="10"/>
        <v/>
      </c>
      <c r="J127" s="301">
        <f t="shared" si="11"/>
        <v>0</v>
      </c>
      <c r="K127" s="301">
        <f t="shared" si="7"/>
        <v>0</v>
      </c>
      <c r="L127" s="303"/>
      <c r="M127" s="303">
        <f t="shared" si="8"/>
        <v>0</v>
      </c>
      <c r="N127" s="276"/>
      <c r="O127" s="276"/>
      <c r="P127" s="276"/>
      <c r="Q127" s="276"/>
      <c r="R127" s="276"/>
    </row>
    <row r="128" spans="1:38" s="282" customFormat="1" ht="14.45" customHeight="1">
      <c r="A128" s="264">
        <f t="shared" si="9"/>
        <v>0</v>
      </c>
      <c r="B128" s="265" t="str">
        <f t="shared" si="6"/>
        <v/>
      </c>
      <c r="C128" s="266"/>
      <c r="D128" s="266"/>
      <c r="E128" s="266"/>
      <c r="F128" s="266"/>
      <c r="G128" s="260"/>
      <c r="H128" s="295">
        <v>123</v>
      </c>
      <c r="I128" s="296" t="str">
        <f t="shared" si="10"/>
        <v/>
      </c>
      <c r="J128" s="295">
        <f t="shared" si="11"/>
        <v>0</v>
      </c>
      <c r="K128" s="295">
        <f t="shared" si="7"/>
        <v>0</v>
      </c>
      <c r="L128" s="297"/>
      <c r="M128" s="297">
        <f t="shared" si="8"/>
        <v>0</v>
      </c>
      <c r="N128" s="276"/>
      <c r="O128" s="276"/>
      <c r="P128" s="276"/>
      <c r="Q128" s="276"/>
      <c r="R128" s="276"/>
    </row>
    <row r="129" spans="1:34" s="282" customFormat="1" ht="14.45" customHeight="1">
      <c r="A129" s="267">
        <f t="shared" si="9"/>
        <v>0</v>
      </c>
      <c r="B129" s="268" t="str">
        <f t="shared" si="6"/>
        <v/>
      </c>
      <c r="C129" s="269"/>
      <c r="D129" s="269"/>
      <c r="E129" s="269"/>
      <c r="F129" s="269"/>
      <c r="G129" s="260"/>
      <c r="H129" s="301">
        <v>124</v>
      </c>
      <c r="I129" s="302" t="str">
        <f t="shared" si="10"/>
        <v/>
      </c>
      <c r="J129" s="301">
        <f t="shared" si="11"/>
        <v>0</v>
      </c>
      <c r="K129" s="301">
        <f t="shared" si="7"/>
        <v>0</v>
      </c>
      <c r="L129" s="303"/>
      <c r="M129" s="303">
        <f t="shared" si="8"/>
        <v>0</v>
      </c>
      <c r="N129" s="276"/>
      <c r="O129" s="276"/>
      <c r="P129" s="276"/>
      <c r="Q129" s="276"/>
      <c r="R129" s="276"/>
      <c r="V129" s="304"/>
      <c r="Z129" s="305"/>
      <c r="AA129" s="305"/>
      <c r="AG129" s="306"/>
    </row>
    <row r="130" spans="1:34" s="282" customFormat="1" ht="14.45" customHeight="1">
      <c r="A130" s="264">
        <f t="shared" si="9"/>
        <v>0</v>
      </c>
      <c r="B130" s="265" t="str">
        <f t="shared" si="6"/>
        <v/>
      </c>
      <c r="C130" s="266"/>
      <c r="D130" s="266"/>
      <c r="E130" s="266"/>
      <c r="F130" s="266"/>
      <c r="G130" s="260"/>
      <c r="H130" s="295">
        <v>125</v>
      </c>
      <c r="I130" s="296" t="str">
        <f t="shared" si="10"/>
        <v/>
      </c>
      <c r="J130" s="295">
        <f t="shared" si="11"/>
        <v>0</v>
      </c>
      <c r="K130" s="295">
        <f t="shared" si="7"/>
        <v>0</v>
      </c>
      <c r="L130" s="295"/>
      <c r="M130" s="297">
        <f t="shared" si="8"/>
        <v>0</v>
      </c>
      <c r="N130" s="276"/>
      <c r="O130" s="276"/>
      <c r="P130" s="276"/>
      <c r="Q130" s="276"/>
      <c r="R130" s="276"/>
      <c r="V130" s="304"/>
      <c r="Z130" s="305"/>
      <c r="AA130" s="305"/>
      <c r="AG130" s="306"/>
    </row>
    <row r="131" spans="1:34" s="282" customFormat="1" ht="14.45" customHeight="1">
      <c r="A131" s="267">
        <f t="shared" si="9"/>
        <v>0</v>
      </c>
      <c r="B131" s="268" t="str">
        <f t="shared" si="6"/>
        <v/>
      </c>
      <c r="C131" s="269"/>
      <c r="D131" s="269"/>
      <c r="E131" s="269"/>
      <c r="F131" s="269"/>
      <c r="G131" s="260"/>
      <c r="H131" s="301">
        <v>126</v>
      </c>
      <c r="I131" s="302" t="str">
        <f t="shared" si="10"/>
        <v/>
      </c>
      <c r="J131" s="301">
        <f t="shared" si="11"/>
        <v>0</v>
      </c>
      <c r="K131" s="301">
        <f t="shared" si="7"/>
        <v>0</v>
      </c>
      <c r="L131" s="301"/>
      <c r="M131" s="303">
        <f t="shared" si="8"/>
        <v>0</v>
      </c>
      <c r="N131" s="276"/>
      <c r="O131" s="276"/>
      <c r="P131" s="276"/>
      <c r="Q131" s="276"/>
      <c r="R131" s="276"/>
      <c r="V131" s="307"/>
      <c r="Z131" s="305"/>
      <c r="AA131" s="305"/>
      <c r="AG131" s="306"/>
    </row>
    <row r="132" spans="1:34" s="282" customFormat="1" ht="14.45" customHeight="1">
      <c r="A132" s="264">
        <f t="shared" si="9"/>
        <v>0</v>
      </c>
      <c r="B132" s="265" t="str">
        <f t="shared" si="6"/>
        <v/>
      </c>
      <c r="C132" s="266"/>
      <c r="D132" s="266"/>
      <c r="E132" s="266"/>
      <c r="F132" s="266"/>
      <c r="G132" s="260"/>
      <c r="H132" s="295">
        <v>127</v>
      </c>
      <c r="I132" s="296" t="str">
        <f t="shared" si="10"/>
        <v/>
      </c>
      <c r="J132" s="295">
        <f t="shared" si="11"/>
        <v>0</v>
      </c>
      <c r="K132" s="295">
        <f t="shared" si="7"/>
        <v>0</v>
      </c>
      <c r="L132" s="295"/>
      <c r="M132" s="297">
        <f t="shared" si="8"/>
        <v>0</v>
      </c>
      <c r="N132" s="276"/>
      <c r="O132" s="276"/>
      <c r="P132" s="276"/>
      <c r="Q132" s="276"/>
      <c r="R132" s="276"/>
      <c r="Z132" s="305"/>
      <c r="AA132" s="305"/>
      <c r="AG132" s="306"/>
    </row>
    <row r="133" spans="1:34" s="282" customFormat="1" ht="14.45" customHeight="1">
      <c r="A133" s="270">
        <f t="shared" si="9"/>
        <v>0</v>
      </c>
      <c r="B133" s="268" t="str">
        <f t="shared" si="6"/>
        <v/>
      </c>
      <c r="C133" s="269"/>
      <c r="D133" s="269"/>
      <c r="E133" s="269"/>
      <c r="F133" s="269"/>
      <c r="G133" s="260"/>
      <c r="H133" s="301">
        <v>128</v>
      </c>
      <c r="I133" s="302" t="str">
        <f t="shared" si="10"/>
        <v/>
      </c>
      <c r="J133" s="301">
        <f t="shared" si="11"/>
        <v>0</v>
      </c>
      <c r="K133" s="301">
        <f t="shared" si="7"/>
        <v>0</v>
      </c>
      <c r="L133" s="301"/>
      <c r="M133" s="303">
        <f t="shared" si="8"/>
        <v>0</v>
      </c>
      <c r="N133" s="276"/>
      <c r="O133" s="276"/>
      <c r="P133" s="276"/>
      <c r="Q133" s="276"/>
      <c r="R133" s="276"/>
      <c r="X133" s="304"/>
      <c r="AG133" s="306"/>
    </row>
    <row r="134" spans="1:34" s="282" customFormat="1" ht="15.75" customHeight="1">
      <c r="A134" s="271">
        <f t="shared" si="9"/>
        <v>0</v>
      </c>
      <c r="B134" s="265" t="str">
        <f t="shared" ref="B134:B197" si="12">IF(H134&gt;$H$2,"",(ROW()-5))</f>
        <v/>
      </c>
      <c r="C134" s="266"/>
      <c r="D134" s="266"/>
      <c r="E134" s="266"/>
      <c r="F134" s="266"/>
      <c r="G134" s="260"/>
      <c r="H134" s="295">
        <v>129</v>
      </c>
      <c r="I134" s="296" t="str">
        <f t="shared" si="10"/>
        <v/>
      </c>
      <c r="J134" s="295">
        <f t="shared" si="11"/>
        <v>-1</v>
      </c>
      <c r="K134" s="295">
        <f t="shared" ref="K134:K197" si="13">J134*$J$2</f>
        <v>-10</v>
      </c>
      <c r="L134" s="295"/>
      <c r="M134" s="297">
        <f t="shared" ref="M134:M197" si="14">IF(I134&lt;&gt;"",K134+I134+L134,0)</f>
        <v>0</v>
      </c>
      <c r="N134" s="276"/>
      <c r="O134" s="276"/>
      <c r="P134" s="276"/>
      <c r="Q134" s="276"/>
      <c r="R134" s="276"/>
      <c r="X134" s="308"/>
      <c r="Z134" s="305"/>
      <c r="AA134" s="305"/>
      <c r="AG134" s="306"/>
    </row>
    <row r="135" spans="1:34" s="282" customFormat="1">
      <c r="A135" s="270">
        <f t="shared" ref="A135:A198" si="15">M135</f>
        <v>0</v>
      </c>
      <c r="B135" s="268" t="str">
        <f t="shared" si="12"/>
        <v/>
      </c>
      <c r="C135" s="269"/>
      <c r="D135" s="269"/>
      <c r="E135" s="269"/>
      <c r="F135" s="269"/>
      <c r="G135" s="260"/>
      <c r="H135" s="301">
        <v>130</v>
      </c>
      <c r="I135" s="302" t="str">
        <f t="shared" ref="I135:I198" si="16">IF(H135&lt;$H$2+1,($I$2-($I$2-1)*(LOG(H135)/LOG($H$2))),"")</f>
        <v/>
      </c>
      <c r="J135" s="301">
        <f t="shared" ref="J135:J198" si="17">INT(LOG($H$2,2))-ROUNDUP(LOG(H135,2),0)+IF(OR($H$2=1,$H$2=2,$H$2=4,$H$2=8,$H$2=16,$H$2=32,$H$2=64,$H$2=128,$H$2=256),0,1)</f>
        <v>-1</v>
      </c>
      <c r="K135" s="301">
        <f t="shared" si="13"/>
        <v>-10</v>
      </c>
      <c r="L135" s="301"/>
      <c r="M135" s="303">
        <f t="shared" si="14"/>
        <v>0</v>
      </c>
      <c r="N135" s="276"/>
      <c r="O135" s="276"/>
      <c r="P135" s="276"/>
      <c r="Q135" s="276"/>
      <c r="R135" s="276"/>
      <c r="X135" s="304"/>
      <c r="Z135" s="305"/>
      <c r="AA135" s="305"/>
    </row>
    <row r="136" spans="1:34" s="282" customFormat="1">
      <c r="A136" s="271">
        <f t="shared" si="15"/>
        <v>0</v>
      </c>
      <c r="B136" s="265" t="str">
        <f t="shared" si="12"/>
        <v/>
      </c>
      <c r="C136" s="266"/>
      <c r="D136" s="266"/>
      <c r="E136" s="266"/>
      <c r="F136" s="266"/>
      <c r="G136" s="260"/>
      <c r="H136" s="295">
        <v>131</v>
      </c>
      <c r="I136" s="296" t="str">
        <f t="shared" si="16"/>
        <v/>
      </c>
      <c r="J136" s="295">
        <f t="shared" si="17"/>
        <v>-1</v>
      </c>
      <c r="K136" s="295">
        <f t="shared" si="13"/>
        <v>-10</v>
      </c>
      <c r="L136" s="295"/>
      <c r="M136" s="297">
        <f t="shared" si="14"/>
        <v>0</v>
      </c>
      <c r="N136" s="276"/>
      <c r="O136" s="276"/>
      <c r="P136" s="276"/>
      <c r="Q136" s="276"/>
      <c r="R136" s="309"/>
      <c r="Z136" s="305"/>
      <c r="AA136" s="305"/>
      <c r="AH136" s="310"/>
    </row>
    <row r="137" spans="1:34" s="282" customFormat="1">
      <c r="A137" s="270">
        <f t="shared" si="15"/>
        <v>0</v>
      </c>
      <c r="B137" s="268" t="str">
        <f t="shared" si="12"/>
        <v/>
      </c>
      <c r="C137" s="269"/>
      <c r="D137" s="269"/>
      <c r="E137" s="269"/>
      <c r="F137" s="269"/>
      <c r="G137" s="260"/>
      <c r="H137" s="301">
        <v>132</v>
      </c>
      <c r="I137" s="302" t="str">
        <f t="shared" si="16"/>
        <v/>
      </c>
      <c r="J137" s="301">
        <f t="shared" si="17"/>
        <v>-1</v>
      </c>
      <c r="K137" s="301">
        <f t="shared" si="13"/>
        <v>-10</v>
      </c>
      <c r="L137" s="301"/>
      <c r="M137" s="303">
        <f t="shared" si="14"/>
        <v>0</v>
      </c>
      <c r="N137" s="276"/>
      <c r="O137" s="276"/>
      <c r="P137" s="276"/>
      <c r="Q137" s="276"/>
      <c r="R137" s="276"/>
    </row>
    <row r="138" spans="1:34" s="282" customFormat="1">
      <c r="A138" s="271">
        <f t="shared" si="15"/>
        <v>0</v>
      </c>
      <c r="B138" s="265" t="str">
        <f t="shared" si="12"/>
        <v/>
      </c>
      <c r="C138" s="266"/>
      <c r="D138" s="266"/>
      <c r="E138" s="266"/>
      <c r="F138" s="266"/>
      <c r="G138" s="260"/>
      <c r="H138" s="295">
        <v>133</v>
      </c>
      <c r="I138" s="296" t="str">
        <f t="shared" si="16"/>
        <v/>
      </c>
      <c r="J138" s="295">
        <f t="shared" si="17"/>
        <v>-1</v>
      </c>
      <c r="K138" s="295">
        <f t="shared" si="13"/>
        <v>-10</v>
      </c>
      <c r="L138" s="295"/>
      <c r="M138" s="297">
        <f t="shared" si="14"/>
        <v>0</v>
      </c>
      <c r="N138" s="276"/>
      <c r="O138" s="276"/>
      <c r="P138" s="276"/>
      <c r="Q138" s="276"/>
      <c r="R138" s="276"/>
    </row>
    <row r="139" spans="1:34" s="282" customFormat="1">
      <c r="A139" s="270">
        <f t="shared" si="15"/>
        <v>0</v>
      </c>
      <c r="B139" s="268" t="str">
        <f t="shared" si="12"/>
        <v/>
      </c>
      <c r="C139" s="269"/>
      <c r="D139" s="269"/>
      <c r="E139" s="269"/>
      <c r="F139" s="269"/>
      <c r="G139" s="260"/>
      <c r="H139" s="301">
        <v>134</v>
      </c>
      <c r="I139" s="302" t="str">
        <f t="shared" si="16"/>
        <v/>
      </c>
      <c r="J139" s="301">
        <f t="shared" si="17"/>
        <v>-1</v>
      </c>
      <c r="K139" s="301">
        <f t="shared" si="13"/>
        <v>-10</v>
      </c>
      <c r="L139" s="301"/>
      <c r="M139" s="303">
        <f t="shared" si="14"/>
        <v>0</v>
      </c>
      <c r="N139" s="276"/>
      <c r="O139" s="276"/>
      <c r="P139" s="276"/>
      <c r="Q139" s="276"/>
      <c r="R139" s="276"/>
    </row>
    <row r="140" spans="1:34" s="282" customFormat="1">
      <c r="A140" s="271">
        <f t="shared" si="15"/>
        <v>0</v>
      </c>
      <c r="B140" s="265" t="str">
        <f t="shared" si="12"/>
        <v/>
      </c>
      <c r="C140" s="266"/>
      <c r="D140" s="266"/>
      <c r="E140" s="266"/>
      <c r="F140" s="266"/>
      <c r="G140" s="260"/>
      <c r="H140" s="295">
        <v>135</v>
      </c>
      <c r="I140" s="296" t="str">
        <f t="shared" si="16"/>
        <v/>
      </c>
      <c r="J140" s="295">
        <f t="shared" si="17"/>
        <v>-1</v>
      </c>
      <c r="K140" s="295">
        <f t="shared" si="13"/>
        <v>-10</v>
      </c>
      <c r="L140" s="295"/>
      <c r="M140" s="297">
        <f t="shared" si="14"/>
        <v>0</v>
      </c>
      <c r="N140" s="276"/>
      <c r="O140" s="276"/>
      <c r="P140" s="276"/>
      <c r="Q140" s="276"/>
      <c r="R140" s="311"/>
      <c r="S140" s="312"/>
    </row>
    <row r="141" spans="1:34" s="282" customFormat="1">
      <c r="A141" s="270">
        <f t="shared" si="15"/>
        <v>0</v>
      </c>
      <c r="B141" s="268" t="str">
        <f t="shared" si="12"/>
        <v/>
      </c>
      <c r="C141" s="269"/>
      <c r="D141" s="269"/>
      <c r="E141" s="269"/>
      <c r="F141" s="269"/>
      <c r="G141" s="260"/>
      <c r="H141" s="301">
        <v>136</v>
      </c>
      <c r="I141" s="302" t="str">
        <f t="shared" si="16"/>
        <v/>
      </c>
      <c r="J141" s="301">
        <f t="shared" si="17"/>
        <v>-1</v>
      </c>
      <c r="K141" s="301">
        <f t="shared" si="13"/>
        <v>-10</v>
      </c>
      <c r="L141" s="301"/>
      <c r="M141" s="303">
        <f t="shared" si="14"/>
        <v>0</v>
      </c>
      <c r="N141" s="276"/>
      <c r="O141" s="276"/>
      <c r="P141" s="276"/>
      <c r="Q141" s="276"/>
      <c r="R141" s="276"/>
    </row>
    <row r="142" spans="1:34" s="282" customFormat="1">
      <c r="A142" s="271">
        <f t="shared" si="15"/>
        <v>0</v>
      </c>
      <c r="B142" s="265" t="str">
        <f t="shared" si="12"/>
        <v/>
      </c>
      <c r="C142" s="266"/>
      <c r="D142" s="266"/>
      <c r="E142" s="266"/>
      <c r="F142" s="266"/>
      <c r="G142" s="260"/>
      <c r="H142" s="295">
        <v>137</v>
      </c>
      <c r="I142" s="296" t="str">
        <f t="shared" si="16"/>
        <v/>
      </c>
      <c r="J142" s="295">
        <f t="shared" si="17"/>
        <v>-1</v>
      </c>
      <c r="K142" s="295">
        <f t="shared" si="13"/>
        <v>-10</v>
      </c>
      <c r="L142" s="295"/>
      <c r="M142" s="297">
        <f t="shared" si="14"/>
        <v>0</v>
      </c>
      <c r="N142" s="276"/>
      <c r="O142" s="276"/>
      <c r="P142" s="276"/>
      <c r="Q142" s="276"/>
      <c r="R142" s="276"/>
    </row>
    <row r="143" spans="1:34" s="282" customFormat="1">
      <c r="A143" s="270">
        <f t="shared" si="15"/>
        <v>0</v>
      </c>
      <c r="B143" s="268" t="str">
        <f t="shared" si="12"/>
        <v/>
      </c>
      <c r="C143" s="269"/>
      <c r="D143" s="269"/>
      <c r="E143" s="269"/>
      <c r="F143" s="269"/>
      <c r="G143" s="260"/>
      <c r="H143" s="301">
        <v>138</v>
      </c>
      <c r="I143" s="302" t="str">
        <f t="shared" si="16"/>
        <v/>
      </c>
      <c r="J143" s="301">
        <f t="shared" si="17"/>
        <v>-1</v>
      </c>
      <c r="K143" s="301">
        <f t="shared" si="13"/>
        <v>-10</v>
      </c>
      <c r="L143" s="301"/>
      <c r="M143" s="303">
        <f t="shared" si="14"/>
        <v>0</v>
      </c>
      <c r="N143" s="276"/>
      <c r="O143" s="276"/>
      <c r="P143" s="276"/>
      <c r="Q143" s="276"/>
      <c r="R143" s="276"/>
    </row>
    <row r="144" spans="1:34" s="282" customFormat="1">
      <c r="A144" s="271">
        <f t="shared" si="15"/>
        <v>0</v>
      </c>
      <c r="B144" s="265" t="str">
        <f t="shared" si="12"/>
        <v/>
      </c>
      <c r="C144" s="266"/>
      <c r="D144" s="266"/>
      <c r="E144" s="266"/>
      <c r="F144" s="266"/>
      <c r="G144" s="260"/>
      <c r="H144" s="295">
        <v>139</v>
      </c>
      <c r="I144" s="296" t="str">
        <f t="shared" si="16"/>
        <v/>
      </c>
      <c r="J144" s="295">
        <f t="shared" si="17"/>
        <v>-1</v>
      </c>
      <c r="K144" s="295">
        <f t="shared" si="13"/>
        <v>-10</v>
      </c>
      <c r="L144" s="295"/>
      <c r="M144" s="297">
        <f t="shared" si="14"/>
        <v>0</v>
      </c>
      <c r="N144" s="276"/>
      <c r="O144" s="276"/>
      <c r="P144" s="276"/>
      <c r="Q144" s="276"/>
      <c r="R144" s="311"/>
      <c r="S144" s="312"/>
    </row>
    <row r="145" spans="1:19" s="282" customFormat="1">
      <c r="A145" s="270">
        <f t="shared" si="15"/>
        <v>0</v>
      </c>
      <c r="B145" s="268" t="str">
        <f t="shared" si="12"/>
        <v/>
      </c>
      <c r="C145" s="269"/>
      <c r="D145" s="269"/>
      <c r="E145" s="269"/>
      <c r="F145" s="269"/>
      <c r="G145" s="260"/>
      <c r="H145" s="301">
        <v>140</v>
      </c>
      <c r="I145" s="302" t="str">
        <f t="shared" si="16"/>
        <v/>
      </c>
      <c r="J145" s="301">
        <f t="shared" si="17"/>
        <v>-1</v>
      </c>
      <c r="K145" s="301">
        <f t="shared" si="13"/>
        <v>-10</v>
      </c>
      <c r="L145" s="301"/>
      <c r="M145" s="303">
        <f t="shared" si="14"/>
        <v>0</v>
      </c>
      <c r="N145" s="276"/>
      <c r="O145" s="276"/>
      <c r="P145" s="276"/>
      <c r="Q145" s="276"/>
      <c r="R145" s="276"/>
    </row>
    <row r="146" spans="1:19" s="282" customFormat="1">
      <c r="A146" s="271">
        <f t="shared" si="15"/>
        <v>0</v>
      </c>
      <c r="B146" s="265" t="str">
        <f t="shared" si="12"/>
        <v/>
      </c>
      <c r="C146" s="266"/>
      <c r="D146" s="266"/>
      <c r="E146" s="266"/>
      <c r="F146" s="266"/>
      <c r="G146" s="260"/>
      <c r="H146" s="295">
        <v>141</v>
      </c>
      <c r="I146" s="296" t="str">
        <f t="shared" si="16"/>
        <v/>
      </c>
      <c r="J146" s="295">
        <f t="shared" si="17"/>
        <v>-1</v>
      </c>
      <c r="K146" s="295">
        <f t="shared" si="13"/>
        <v>-10</v>
      </c>
      <c r="L146" s="295"/>
      <c r="M146" s="297">
        <f t="shared" si="14"/>
        <v>0</v>
      </c>
      <c r="N146" s="276"/>
      <c r="O146" s="276"/>
      <c r="P146" s="276"/>
      <c r="Q146" s="276"/>
      <c r="R146" s="276"/>
    </row>
    <row r="147" spans="1:19" s="282" customFormat="1">
      <c r="A147" s="270">
        <f t="shared" si="15"/>
        <v>0</v>
      </c>
      <c r="B147" s="268" t="str">
        <f t="shared" si="12"/>
        <v/>
      </c>
      <c r="C147" s="269"/>
      <c r="D147" s="269"/>
      <c r="E147" s="269"/>
      <c r="F147" s="269"/>
      <c r="G147" s="260"/>
      <c r="H147" s="301">
        <v>142</v>
      </c>
      <c r="I147" s="302" t="str">
        <f t="shared" si="16"/>
        <v/>
      </c>
      <c r="J147" s="301">
        <f t="shared" si="17"/>
        <v>-1</v>
      </c>
      <c r="K147" s="301">
        <f t="shared" si="13"/>
        <v>-10</v>
      </c>
      <c r="L147" s="301"/>
      <c r="M147" s="303">
        <f t="shared" si="14"/>
        <v>0</v>
      </c>
      <c r="N147" s="276"/>
      <c r="O147" s="276"/>
      <c r="P147" s="276"/>
      <c r="Q147" s="276"/>
      <c r="R147" s="276"/>
    </row>
    <row r="148" spans="1:19" s="282" customFormat="1">
      <c r="A148" s="271">
        <f t="shared" si="15"/>
        <v>0</v>
      </c>
      <c r="B148" s="265" t="str">
        <f t="shared" si="12"/>
        <v/>
      </c>
      <c r="C148" s="266"/>
      <c r="D148" s="266"/>
      <c r="E148" s="266"/>
      <c r="F148" s="266"/>
      <c r="G148" s="260"/>
      <c r="H148" s="295">
        <v>143</v>
      </c>
      <c r="I148" s="296" t="str">
        <f t="shared" si="16"/>
        <v/>
      </c>
      <c r="J148" s="295">
        <f t="shared" si="17"/>
        <v>-1</v>
      </c>
      <c r="K148" s="295">
        <f t="shared" si="13"/>
        <v>-10</v>
      </c>
      <c r="L148" s="295"/>
      <c r="M148" s="297">
        <f t="shared" si="14"/>
        <v>0</v>
      </c>
      <c r="N148" s="276"/>
      <c r="O148" s="276"/>
      <c r="P148" s="276"/>
      <c r="Q148" s="276"/>
      <c r="R148" s="311"/>
      <c r="S148" s="312"/>
    </row>
    <row r="149" spans="1:19" s="282" customFormat="1">
      <c r="A149" s="270">
        <f t="shared" si="15"/>
        <v>0</v>
      </c>
      <c r="B149" s="268" t="str">
        <f t="shared" si="12"/>
        <v/>
      </c>
      <c r="C149" s="269"/>
      <c r="D149" s="269"/>
      <c r="E149" s="269"/>
      <c r="F149" s="269"/>
      <c r="G149" s="276"/>
      <c r="H149" s="301">
        <v>144</v>
      </c>
      <c r="I149" s="302" t="str">
        <f t="shared" si="16"/>
        <v/>
      </c>
      <c r="J149" s="301">
        <f t="shared" si="17"/>
        <v>-1</v>
      </c>
      <c r="K149" s="301">
        <f t="shared" si="13"/>
        <v>-10</v>
      </c>
      <c r="L149" s="301"/>
      <c r="M149" s="303">
        <f t="shared" si="14"/>
        <v>0</v>
      </c>
      <c r="N149" s="276"/>
      <c r="O149" s="276"/>
      <c r="P149" s="276"/>
      <c r="Q149" s="276"/>
      <c r="R149" s="276"/>
    </row>
    <row r="150" spans="1:19" s="282" customFormat="1">
      <c r="A150" s="271">
        <f t="shared" si="15"/>
        <v>0</v>
      </c>
      <c r="B150" s="265" t="str">
        <f t="shared" si="12"/>
        <v/>
      </c>
      <c r="C150" s="266"/>
      <c r="D150" s="266"/>
      <c r="E150" s="266"/>
      <c r="F150" s="266"/>
      <c r="G150" s="276"/>
      <c r="H150" s="295">
        <v>145</v>
      </c>
      <c r="I150" s="296" t="str">
        <f t="shared" si="16"/>
        <v/>
      </c>
      <c r="J150" s="295">
        <f t="shared" si="17"/>
        <v>-1</v>
      </c>
      <c r="K150" s="295">
        <f t="shared" si="13"/>
        <v>-10</v>
      </c>
      <c r="L150" s="295"/>
      <c r="M150" s="297">
        <f t="shared" si="14"/>
        <v>0</v>
      </c>
      <c r="N150" s="276"/>
      <c r="O150" s="276"/>
      <c r="P150" s="276"/>
      <c r="Q150" s="276"/>
      <c r="R150" s="276"/>
    </row>
    <row r="151" spans="1:19" s="282" customFormat="1">
      <c r="A151" s="270">
        <f t="shared" si="15"/>
        <v>0</v>
      </c>
      <c r="B151" s="268" t="str">
        <f t="shared" si="12"/>
        <v/>
      </c>
      <c r="C151" s="269"/>
      <c r="D151" s="269"/>
      <c r="E151" s="269"/>
      <c r="F151" s="269"/>
      <c r="G151" s="276"/>
      <c r="H151" s="301">
        <v>146</v>
      </c>
      <c r="I151" s="302" t="str">
        <f t="shared" si="16"/>
        <v/>
      </c>
      <c r="J151" s="301">
        <f t="shared" si="17"/>
        <v>-1</v>
      </c>
      <c r="K151" s="301">
        <f t="shared" si="13"/>
        <v>-10</v>
      </c>
      <c r="L151" s="301"/>
      <c r="M151" s="303">
        <f t="shared" si="14"/>
        <v>0</v>
      </c>
      <c r="N151" s="276"/>
      <c r="O151" s="276"/>
      <c r="P151" s="276"/>
      <c r="Q151" s="276"/>
      <c r="R151" s="276"/>
    </row>
    <row r="152" spans="1:19" s="282" customFormat="1">
      <c r="A152" s="271">
        <f t="shared" si="15"/>
        <v>0</v>
      </c>
      <c r="B152" s="265" t="str">
        <f t="shared" si="12"/>
        <v/>
      </c>
      <c r="C152" s="266"/>
      <c r="D152" s="266"/>
      <c r="E152" s="266"/>
      <c r="F152" s="266"/>
      <c r="G152" s="276"/>
      <c r="H152" s="295">
        <v>147</v>
      </c>
      <c r="I152" s="296" t="str">
        <f t="shared" si="16"/>
        <v/>
      </c>
      <c r="J152" s="295">
        <f t="shared" si="17"/>
        <v>-1</v>
      </c>
      <c r="K152" s="295">
        <f t="shared" si="13"/>
        <v>-10</v>
      </c>
      <c r="L152" s="295"/>
      <c r="M152" s="297">
        <f t="shared" si="14"/>
        <v>0</v>
      </c>
      <c r="N152" s="276"/>
      <c r="O152" s="276"/>
      <c r="P152" s="276"/>
      <c r="Q152" s="276"/>
      <c r="R152" s="311"/>
      <c r="S152" s="312"/>
    </row>
    <row r="153" spans="1:19" s="282" customFormat="1">
      <c r="A153" s="270">
        <f t="shared" si="15"/>
        <v>0</v>
      </c>
      <c r="B153" s="268" t="str">
        <f t="shared" si="12"/>
        <v/>
      </c>
      <c r="C153" s="269"/>
      <c r="D153" s="269"/>
      <c r="E153" s="269"/>
      <c r="F153" s="269"/>
      <c r="G153" s="276"/>
      <c r="H153" s="301">
        <v>148</v>
      </c>
      <c r="I153" s="302" t="str">
        <f t="shared" si="16"/>
        <v/>
      </c>
      <c r="J153" s="301">
        <f t="shared" si="17"/>
        <v>-1</v>
      </c>
      <c r="K153" s="301">
        <f t="shared" si="13"/>
        <v>-10</v>
      </c>
      <c r="L153" s="301"/>
      <c r="M153" s="303">
        <f t="shared" si="14"/>
        <v>0</v>
      </c>
      <c r="N153" s="276"/>
      <c r="O153" s="276"/>
      <c r="P153" s="276"/>
      <c r="Q153" s="276"/>
      <c r="R153" s="276"/>
    </row>
    <row r="154" spans="1:19" s="282" customFormat="1">
      <c r="A154" s="271">
        <f t="shared" si="15"/>
        <v>0</v>
      </c>
      <c r="B154" s="265" t="str">
        <f t="shared" si="12"/>
        <v/>
      </c>
      <c r="C154" s="266"/>
      <c r="D154" s="266"/>
      <c r="E154" s="266"/>
      <c r="F154" s="266"/>
      <c r="G154" s="276"/>
      <c r="H154" s="295">
        <v>149</v>
      </c>
      <c r="I154" s="296" t="str">
        <f t="shared" si="16"/>
        <v/>
      </c>
      <c r="J154" s="295">
        <f t="shared" si="17"/>
        <v>-1</v>
      </c>
      <c r="K154" s="295">
        <f t="shared" si="13"/>
        <v>-10</v>
      </c>
      <c r="L154" s="295"/>
      <c r="M154" s="297">
        <f t="shared" si="14"/>
        <v>0</v>
      </c>
      <c r="N154" s="276"/>
      <c r="O154" s="276"/>
      <c r="P154" s="276"/>
      <c r="Q154" s="276"/>
      <c r="R154" s="276"/>
    </row>
    <row r="155" spans="1:19" s="282" customFormat="1">
      <c r="A155" s="270">
        <f t="shared" si="15"/>
        <v>0</v>
      </c>
      <c r="B155" s="268" t="str">
        <f t="shared" si="12"/>
        <v/>
      </c>
      <c r="C155" s="269"/>
      <c r="D155" s="269"/>
      <c r="E155" s="269"/>
      <c r="F155" s="269"/>
      <c r="G155" s="276"/>
      <c r="H155" s="301">
        <v>150</v>
      </c>
      <c r="I155" s="302" t="str">
        <f t="shared" si="16"/>
        <v/>
      </c>
      <c r="J155" s="301">
        <f t="shared" si="17"/>
        <v>-1</v>
      </c>
      <c r="K155" s="301">
        <f t="shared" si="13"/>
        <v>-10</v>
      </c>
      <c r="L155" s="301"/>
      <c r="M155" s="303">
        <f t="shared" si="14"/>
        <v>0</v>
      </c>
      <c r="N155" s="276"/>
      <c r="O155" s="276"/>
      <c r="P155" s="276"/>
      <c r="Q155" s="276"/>
      <c r="R155" s="276"/>
    </row>
    <row r="156" spans="1:19" s="282" customFormat="1">
      <c r="A156" s="271">
        <f t="shared" si="15"/>
        <v>0</v>
      </c>
      <c r="B156" s="265" t="str">
        <f t="shared" si="12"/>
        <v/>
      </c>
      <c r="C156" s="266"/>
      <c r="D156" s="266"/>
      <c r="E156" s="266"/>
      <c r="F156" s="266"/>
      <c r="G156" s="276"/>
      <c r="H156" s="295">
        <v>151</v>
      </c>
      <c r="I156" s="296" t="str">
        <f t="shared" si="16"/>
        <v/>
      </c>
      <c r="J156" s="295">
        <f t="shared" si="17"/>
        <v>-1</v>
      </c>
      <c r="K156" s="295">
        <f t="shared" si="13"/>
        <v>-10</v>
      </c>
      <c r="L156" s="295"/>
      <c r="M156" s="297">
        <f t="shared" si="14"/>
        <v>0</v>
      </c>
      <c r="N156" s="276"/>
      <c r="O156" s="276"/>
      <c r="P156" s="276"/>
      <c r="Q156" s="276"/>
      <c r="R156" s="311"/>
      <c r="S156" s="312"/>
    </row>
    <row r="157" spans="1:19" s="282" customFormat="1">
      <c r="A157" s="270">
        <f t="shared" si="15"/>
        <v>0</v>
      </c>
      <c r="B157" s="268" t="str">
        <f t="shared" si="12"/>
        <v/>
      </c>
      <c r="C157" s="269"/>
      <c r="D157" s="269"/>
      <c r="E157" s="269"/>
      <c r="F157" s="269"/>
      <c r="G157" s="276"/>
      <c r="H157" s="301">
        <v>152</v>
      </c>
      <c r="I157" s="302" t="str">
        <f t="shared" si="16"/>
        <v/>
      </c>
      <c r="J157" s="301">
        <f t="shared" si="17"/>
        <v>-1</v>
      </c>
      <c r="K157" s="301">
        <f t="shared" si="13"/>
        <v>-10</v>
      </c>
      <c r="L157" s="301"/>
      <c r="M157" s="303">
        <f t="shared" si="14"/>
        <v>0</v>
      </c>
      <c r="N157" s="276"/>
      <c r="O157" s="276"/>
      <c r="P157" s="276"/>
      <c r="Q157" s="276"/>
      <c r="R157" s="276"/>
    </row>
    <row r="158" spans="1:19" s="282" customFormat="1">
      <c r="A158" s="271">
        <f t="shared" si="15"/>
        <v>0</v>
      </c>
      <c r="B158" s="265" t="str">
        <f t="shared" si="12"/>
        <v/>
      </c>
      <c r="C158" s="266"/>
      <c r="D158" s="266"/>
      <c r="E158" s="266"/>
      <c r="F158" s="266"/>
      <c r="G158" s="276"/>
      <c r="H158" s="295">
        <v>153</v>
      </c>
      <c r="I158" s="296" t="str">
        <f t="shared" si="16"/>
        <v/>
      </c>
      <c r="J158" s="295">
        <f t="shared" si="17"/>
        <v>-1</v>
      </c>
      <c r="K158" s="295">
        <f t="shared" si="13"/>
        <v>-10</v>
      </c>
      <c r="L158" s="295"/>
      <c r="M158" s="297">
        <f t="shared" si="14"/>
        <v>0</v>
      </c>
      <c r="N158" s="276"/>
      <c r="O158" s="276"/>
      <c r="P158" s="276"/>
      <c r="Q158" s="276"/>
      <c r="R158" s="276"/>
    </row>
    <row r="159" spans="1:19" s="282" customFormat="1">
      <c r="A159" s="270">
        <f t="shared" si="15"/>
        <v>0</v>
      </c>
      <c r="B159" s="268" t="str">
        <f t="shared" si="12"/>
        <v/>
      </c>
      <c r="C159" s="269"/>
      <c r="D159" s="269"/>
      <c r="E159" s="269"/>
      <c r="F159" s="269"/>
      <c r="G159" s="276"/>
      <c r="H159" s="301">
        <v>154</v>
      </c>
      <c r="I159" s="302" t="str">
        <f t="shared" si="16"/>
        <v/>
      </c>
      <c r="J159" s="301">
        <f t="shared" si="17"/>
        <v>-1</v>
      </c>
      <c r="K159" s="301">
        <f t="shared" si="13"/>
        <v>-10</v>
      </c>
      <c r="L159" s="301"/>
      <c r="M159" s="303">
        <f t="shared" si="14"/>
        <v>0</v>
      </c>
      <c r="N159" s="276"/>
      <c r="O159" s="276"/>
      <c r="P159" s="276"/>
      <c r="Q159" s="276"/>
      <c r="R159" s="276"/>
    </row>
    <row r="160" spans="1:19" s="282" customFormat="1">
      <c r="A160" s="271">
        <f t="shared" si="15"/>
        <v>0</v>
      </c>
      <c r="B160" s="265" t="str">
        <f t="shared" si="12"/>
        <v/>
      </c>
      <c r="C160" s="266"/>
      <c r="D160" s="266"/>
      <c r="E160" s="266"/>
      <c r="F160" s="266"/>
      <c r="G160" s="276"/>
      <c r="H160" s="295">
        <v>155</v>
      </c>
      <c r="I160" s="296" t="str">
        <f t="shared" si="16"/>
        <v/>
      </c>
      <c r="J160" s="295">
        <f t="shared" si="17"/>
        <v>-1</v>
      </c>
      <c r="K160" s="295">
        <f t="shared" si="13"/>
        <v>-10</v>
      </c>
      <c r="L160" s="295"/>
      <c r="M160" s="297">
        <f t="shared" si="14"/>
        <v>0</v>
      </c>
      <c r="N160" s="276"/>
      <c r="O160" s="276"/>
      <c r="P160" s="276"/>
      <c r="Q160" s="276"/>
      <c r="R160" s="276"/>
    </row>
    <row r="161" spans="1:38" s="282" customFormat="1">
      <c r="A161" s="270">
        <f t="shared" si="15"/>
        <v>0</v>
      </c>
      <c r="B161" s="268" t="str">
        <f t="shared" si="12"/>
        <v/>
      </c>
      <c r="C161" s="269"/>
      <c r="D161" s="269"/>
      <c r="E161" s="269"/>
      <c r="F161" s="269"/>
      <c r="G161" s="276"/>
      <c r="H161" s="301">
        <v>156</v>
      </c>
      <c r="I161" s="302" t="str">
        <f t="shared" si="16"/>
        <v/>
      </c>
      <c r="J161" s="301">
        <f t="shared" si="17"/>
        <v>-1</v>
      </c>
      <c r="K161" s="301">
        <f t="shared" si="13"/>
        <v>-10</v>
      </c>
      <c r="L161" s="301"/>
      <c r="M161" s="303">
        <f t="shared" si="14"/>
        <v>0</v>
      </c>
      <c r="N161" s="276"/>
      <c r="O161" s="276"/>
      <c r="P161" s="276"/>
      <c r="Q161" s="276"/>
      <c r="R161" s="276"/>
      <c r="S161" s="313"/>
    </row>
    <row r="162" spans="1:38" s="282" customFormat="1">
      <c r="A162" s="271">
        <f t="shared" si="15"/>
        <v>0</v>
      </c>
      <c r="B162" s="265" t="str">
        <f t="shared" si="12"/>
        <v/>
      </c>
      <c r="C162" s="266"/>
      <c r="D162" s="266"/>
      <c r="E162" s="266"/>
      <c r="F162" s="266"/>
      <c r="G162" s="276"/>
      <c r="H162" s="295">
        <v>157</v>
      </c>
      <c r="I162" s="296" t="str">
        <f t="shared" si="16"/>
        <v/>
      </c>
      <c r="J162" s="295">
        <f t="shared" si="17"/>
        <v>-1</v>
      </c>
      <c r="K162" s="295">
        <f t="shared" si="13"/>
        <v>-10</v>
      </c>
      <c r="L162" s="295"/>
      <c r="M162" s="297">
        <f t="shared" si="14"/>
        <v>0</v>
      </c>
      <c r="N162" s="276"/>
      <c r="O162" s="276"/>
      <c r="P162" s="276"/>
      <c r="Q162" s="276"/>
      <c r="R162" s="276"/>
    </row>
    <row r="163" spans="1:38" s="282" customFormat="1">
      <c r="A163" s="270">
        <f t="shared" si="15"/>
        <v>0</v>
      </c>
      <c r="B163" s="268" t="str">
        <f t="shared" si="12"/>
        <v/>
      </c>
      <c r="C163" s="269"/>
      <c r="D163" s="269"/>
      <c r="E163" s="269"/>
      <c r="F163" s="269"/>
      <c r="G163" s="276"/>
      <c r="H163" s="301">
        <v>158</v>
      </c>
      <c r="I163" s="302" t="str">
        <f t="shared" si="16"/>
        <v/>
      </c>
      <c r="J163" s="301">
        <f t="shared" si="17"/>
        <v>-1</v>
      </c>
      <c r="K163" s="301">
        <f t="shared" si="13"/>
        <v>-10</v>
      </c>
      <c r="L163" s="301"/>
      <c r="M163" s="303">
        <f t="shared" si="14"/>
        <v>0</v>
      </c>
      <c r="N163" s="276"/>
      <c r="O163" s="276"/>
      <c r="P163" s="276"/>
      <c r="Q163" s="276"/>
      <c r="R163" s="276"/>
    </row>
    <row r="164" spans="1:38" s="282" customFormat="1">
      <c r="A164" s="271">
        <f t="shared" si="15"/>
        <v>0</v>
      </c>
      <c r="B164" s="265" t="str">
        <f t="shared" si="12"/>
        <v/>
      </c>
      <c r="C164" s="266"/>
      <c r="D164" s="266"/>
      <c r="E164" s="266"/>
      <c r="F164" s="266"/>
      <c r="G164" s="276"/>
      <c r="H164" s="295">
        <v>159</v>
      </c>
      <c r="I164" s="296" t="str">
        <f t="shared" si="16"/>
        <v/>
      </c>
      <c r="J164" s="295">
        <f t="shared" si="17"/>
        <v>-1</v>
      </c>
      <c r="K164" s="295">
        <f t="shared" si="13"/>
        <v>-10</v>
      </c>
      <c r="L164" s="295"/>
      <c r="M164" s="297">
        <f t="shared" si="14"/>
        <v>0</v>
      </c>
      <c r="N164" s="276"/>
      <c r="O164" s="276"/>
      <c r="P164" s="276"/>
      <c r="Q164" s="276"/>
      <c r="R164" s="276"/>
    </row>
    <row r="165" spans="1:38" s="282" customFormat="1">
      <c r="A165" s="270">
        <f t="shared" si="15"/>
        <v>0</v>
      </c>
      <c r="B165" s="268" t="str">
        <f t="shared" si="12"/>
        <v/>
      </c>
      <c r="C165" s="269"/>
      <c r="D165" s="269"/>
      <c r="E165" s="269"/>
      <c r="F165" s="269"/>
      <c r="G165" s="276"/>
      <c r="H165" s="301">
        <v>160</v>
      </c>
      <c r="I165" s="302" t="str">
        <f t="shared" si="16"/>
        <v/>
      </c>
      <c r="J165" s="301">
        <f t="shared" si="17"/>
        <v>-1</v>
      </c>
      <c r="K165" s="301">
        <f t="shared" si="13"/>
        <v>-10</v>
      </c>
      <c r="L165" s="301"/>
      <c r="M165" s="303">
        <f t="shared" si="14"/>
        <v>0</v>
      </c>
      <c r="N165" s="276"/>
      <c r="O165" s="276"/>
      <c r="P165" s="276"/>
      <c r="Q165" s="276"/>
      <c r="R165" s="276"/>
    </row>
    <row r="166" spans="1:38" s="282" customFormat="1">
      <c r="A166" s="271">
        <f t="shared" si="15"/>
        <v>0</v>
      </c>
      <c r="B166" s="265" t="str">
        <f t="shared" si="12"/>
        <v/>
      </c>
      <c r="C166" s="266"/>
      <c r="D166" s="266"/>
      <c r="E166" s="266"/>
      <c r="F166" s="266"/>
      <c r="G166" s="276"/>
      <c r="H166" s="295">
        <v>161</v>
      </c>
      <c r="I166" s="296" t="str">
        <f t="shared" si="16"/>
        <v/>
      </c>
      <c r="J166" s="295">
        <f t="shared" si="17"/>
        <v>-1</v>
      </c>
      <c r="K166" s="295">
        <f t="shared" si="13"/>
        <v>-10</v>
      </c>
      <c r="L166" s="295"/>
      <c r="M166" s="297">
        <f t="shared" si="14"/>
        <v>0</v>
      </c>
      <c r="N166" s="276"/>
      <c r="O166" s="276"/>
      <c r="P166" s="276"/>
      <c r="Q166" s="276"/>
      <c r="R166" s="276"/>
    </row>
    <row r="167" spans="1:38" s="282" customFormat="1">
      <c r="A167" s="270">
        <f t="shared" si="15"/>
        <v>0</v>
      </c>
      <c r="B167" s="268" t="str">
        <f t="shared" si="12"/>
        <v/>
      </c>
      <c r="C167" s="269"/>
      <c r="D167" s="269"/>
      <c r="E167" s="269"/>
      <c r="F167" s="269"/>
      <c r="G167" s="276"/>
      <c r="H167" s="301">
        <v>162</v>
      </c>
      <c r="I167" s="302" t="str">
        <f t="shared" si="16"/>
        <v/>
      </c>
      <c r="J167" s="301">
        <f t="shared" si="17"/>
        <v>-1</v>
      </c>
      <c r="K167" s="301">
        <f t="shared" si="13"/>
        <v>-10</v>
      </c>
      <c r="L167" s="301"/>
      <c r="M167" s="303">
        <f t="shared" si="14"/>
        <v>0</v>
      </c>
      <c r="N167" s="276"/>
      <c r="O167" s="276"/>
      <c r="P167" s="276"/>
      <c r="Q167" s="276"/>
      <c r="R167" s="276"/>
    </row>
    <row r="168" spans="1:38" s="282" customFormat="1">
      <c r="A168" s="271">
        <f t="shared" si="15"/>
        <v>0</v>
      </c>
      <c r="B168" s="265" t="str">
        <f t="shared" si="12"/>
        <v/>
      </c>
      <c r="C168" s="266"/>
      <c r="D168" s="266"/>
      <c r="E168" s="266"/>
      <c r="F168" s="266"/>
      <c r="G168" s="276"/>
      <c r="H168" s="295">
        <v>163</v>
      </c>
      <c r="I168" s="296" t="str">
        <f t="shared" si="16"/>
        <v/>
      </c>
      <c r="J168" s="295">
        <f t="shared" si="17"/>
        <v>-1</v>
      </c>
      <c r="K168" s="295">
        <f t="shared" si="13"/>
        <v>-10</v>
      </c>
      <c r="L168" s="295"/>
      <c r="M168" s="297">
        <f t="shared" si="14"/>
        <v>0</v>
      </c>
      <c r="N168" s="276"/>
      <c r="O168" s="276"/>
      <c r="P168" s="276"/>
      <c r="Q168" s="276"/>
      <c r="R168" s="276"/>
    </row>
    <row r="169" spans="1:38" s="276" customFormat="1">
      <c r="A169" s="270">
        <f t="shared" si="15"/>
        <v>0</v>
      </c>
      <c r="B169" s="268" t="str">
        <f t="shared" si="12"/>
        <v/>
      </c>
      <c r="C169" s="269"/>
      <c r="D169" s="269"/>
      <c r="E169" s="269"/>
      <c r="F169" s="269"/>
      <c r="H169" s="301">
        <v>164</v>
      </c>
      <c r="I169" s="302" t="str">
        <f t="shared" si="16"/>
        <v/>
      </c>
      <c r="J169" s="301">
        <f t="shared" si="17"/>
        <v>-1</v>
      </c>
      <c r="K169" s="301">
        <f t="shared" si="13"/>
        <v>-10</v>
      </c>
      <c r="L169" s="301"/>
      <c r="M169" s="303">
        <f t="shared" si="14"/>
        <v>0</v>
      </c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</row>
    <row r="170" spans="1:38" s="276" customFormat="1">
      <c r="A170" s="271">
        <f t="shared" si="15"/>
        <v>0</v>
      </c>
      <c r="B170" s="265" t="str">
        <f t="shared" si="12"/>
        <v/>
      </c>
      <c r="C170" s="266"/>
      <c r="D170" s="266"/>
      <c r="E170" s="266"/>
      <c r="F170" s="266"/>
      <c r="H170" s="295">
        <v>165</v>
      </c>
      <c r="I170" s="296" t="str">
        <f t="shared" si="16"/>
        <v/>
      </c>
      <c r="J170" s="295">
        <f t="shared" si="17"/>
        <v>-1</v>
      </c>
      <c r="K170" s="295">
        <f t="shared" si="13"/>
        <v>-10</v>
      </c>
      <c r="L170" s="295"/>
      <c r="M170" s="297">
        <f t="shared" si="14"/>
        <v>0</v>
      </c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  <c r="AE170" s="282"/>
      <c r="AF170" s="282"/>
      <c r="AG170" s="282"/>
      <c r="AH170" s="282"/>
      <c r="AI170" s="282"/>
      <c r="AJ170" s="282"/>
      <c r="AK170" s="282"/>
      <c r="AL170" s="282"/>
    </row>
    <row r="171" spans="1:38" s="276" customFormat="1">
      <c r="A171" s="270">
        <f t="shared" si="15"/>
        <v>0</v>
      </c>
      <c r="B171" s="268" t="str">
        <f t="shared" si="12"/>
        <v/>
      </c>
      <c r="C171" s="269"/>
      <c r="D171" s="269"/>
      <c r="E171" s="269"/>
      <c r="F171" s="269"/>
      <c r="H171" s="301">
        <v>166</v>
      </c>
      <c r="I171" s="302" t="str">
        <f t="shared" si="16"/>
        <v/>
      </c>
      <c r="J171" s="301">
        <f t="shared" si="17"/>
        <v>-1</v>
      </c>
      <c r="K171" s="301">
        <f t="shared" si="13"/>
        <v>-10</v>
      </c>
      <c r="L171" s="301"/>
      <c r="M171" s="303">
        <f t="shared" si="14"/>
        <v>0</v>
      </c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/>
      <c r="AE171" s="282"/>
      <c r="AF171" s="282"/>
      <c r="AG171" s="282"/>
      <c r="AH171" s="282"/>
      <c r="AI171" s="282"/>
      <c r="AJ171" s="282"/>
      <c r="AK171" s="282"/>
      <c r="AL171" s="282"/>
    </row>
    <row r="172" spans="1:38" s="276" customFormat="1">
      <c r="A172" s="271">
        <f t="shared" si="15"/>
        <v>0</v>
      </c>
      <c r="B172" s="265" t="str">
        <f t="shared" si="12"/>
        <v/>
      </c>
      <c r="C172" s="266"/>
      <c r="D172" s="266"/>
      <c r="E172" s="266"/>
      <c r="F172" s="266"/>
      <c r="H172" s="295">
        <v>167</v>
      </c>
      <c r="I172" s="296" t="str">
        <f t="shared" si="16"/>
        <v/>
      </c>
      <c r="J172" s="295">
        <f t="shared" si="17"/>
        <v>-1</v>
      </c>
      <c r="K172" s="295">
        <f t="shared" si="13"/>
        <v>-10</v>
      </c>
      <c r="L172" s="295"/>
      <c r="M172" s="297">
        <f t="shared" si="14"/>
        <v>0</v>
      </c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/>
      <c r="AE172" s="282"/>
      <c r="AF172" s="282"/>
      <c r="AG172" s="282"/>
      <c r="AH172" s="282"/>
      <c r="AI172" s="282"/>
      <c r="AJ172" s="282"/>
      <c r="AK172" s="282"/>
      <c r="AL172" s="282"/>
    </row>
    <row r="173" spans="1:38" s="276" customFormat="1">
      <c r="A173" s="270">
        <f t="shared" si="15"/>
        <v>0</v>
      </c>
      <c r="B173" s="268" t="str">
        <f t="shared" si="12"/>
        <v/>
      </c>
      <c r="C173" s="269"/>
      <c r="D173" s="269"/>
      <c r="E173" s="269"/>
      <c r="F173" s="269"/>
      <c r="H173" s="301">
        <v>168</v>
      </c>
      <c r="I173" s="302" t="str">
        <f t="shared" si="16"/>
        <v/>
      </c>
      <c r="J173" s="301">
        <f t="shared" si="17"/>
        <v>-1</v>
      </c>
      <c r="K173" s="301">
        <f t="shared" si="13"/>
        <v>-10</v>
      </c>
      <c r="L173" s="301"/>
      <c r="M173" s="303">
        <f t="shared" si="14"/>
        <v>0</v>
      </c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/>
      <c r="AE173" s="282"/>
      <c r="AF173" s="282"/>
      <c r="AG173" s="282"/>
      <c r="AH173" s="282"/>
      <c r="AI173" s="282"/>
      <c r="AJ173" s="282"/>
      <c r="AK173" s="282"/>
      <c r="AL173" s="282"/>
    </row>
    <row r="174" spans="1:38" s="276" customFormat="1">
      <c r="A174" s="271">
        <f t="shared" si="15"/>
        <v>0</v>
      </c>
      <c r="B174" s="265" t="str">
        <f t="shared" si="12"/>
        <v/>
      </c>
      <c r="C174" s="266"/>
      <c r="D174" s="266"/>
      <c r="E174" s="266"/>
      <c r="F174" s="266"/>
      <c r="H174" s="295">
        <v>169</v>
      </c>
      <c r="I174" s="296" t="str">
        <f t="shared" si="16"/>
        <v/>
      </c>
      <c r="J174" s="295">
        <f t="shared" si="17"/>
        <v>-1</v>
      </c>
      <c r="K174" s="295">
        <f t="shared" si="13"/>
        <v>-10</v>
      </c>
      <c r="L174" s="295"/>
      <c r="M174" s="297">
        <f t="shared" si="14"/>
        <v>0</v>
      </c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  <c r="AE174" s="282"/>
      <c r="AF174" s="282"/>
      <c r="AG174" s="282"/>
      <c r="AH174" s="282"/>
      <c r="AI174" s="282"/>
      <c r="AJ174" s="282"/>
      <c r="AK174" s="282"/>
      <c r="AL174" s="282"/>
    </row>
    <row r="175" spans="1:38" s="276" customFormat="1">
      <c r="A175" s="270">
        <f t="shared" si="15"/>
        <v>0</v>
      </c>
      <c r="B175" s="268" t="str">
        <f t="shared" si="12"/>
        <v/>
      </c>
      <c r="C175" s="269"/>
      <c r="D175" s="269"/>
      <c r="E175" s="269"/>
      <c r="F175" s="269"/>
      <c r="H175" s="301">
        <v>170</v>
      </c>
      <c r="I175" s="302" t="str">
        <f t="shared" si="16"/>
        <v/>
      </c>
      <c r="J175" s="301">
        <f t="shared" si="17"/>
        <v>-1</v>
      </c>
      <c r="K175" s="301">
        <f t="shared" si="13"/>
        <v>-10</v>
      </c>
      <c r="L175" s="301"/>
      <c r="M175" s="303">
        <f t="shared" si="14"/>
        <v>0</v>
      </c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  <c r="AE175" s="282"/>
      <c r="AF175" s="282"/>
      <c r="AG175" s="282"/>
      <c r="AH175" s="282"/>
      <c r="AI175" s="282"/>
      <c r="AJ175" s="282"/>
      <c r="AK175" s="282"/>
      <c r="AL175" s="282"/>
    </row>
    <row r="176" spans="1:38" s="276" customFormat="1">
      <c r="A176" s="271">
        <f t="shared" si="15"/>
        <v>0</v>
      </c>
      <c r="B176" s="265" t="str">
        <f t="shared" si="12"/>
        <v/>
      </c>
      <c r="C176" s="266"/>
      <c r="D176" s="266"/>
      <c r="E176" s="266"/>
      <c r="F176" s="266"/>
      <c r="H176" s="295">
        <v>171</v>
      </c>
      <c r="I176" s="296" t="str">
        <f t="shared" si="16"/>
        <v/>
      </c>
      <c r="J176" s="295">
        <f t="shared" si="17"/>
        <v>-1</v>
      </c>
      <c r="K176" s="295">
        <f t="shared" si="13"/>
        <v>-10</v>
      </c>
      <c r="L176" s="295"/>
      <c r="M176" s="297">
        <f t="shared" si="14"/>
        <v>0</v>
      </c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  <c r="AE176" s="282"/>
      <c r="AF176" s="282"/>
      <c r="AG176" s="282"/>
      <c r="AH176" s="282"/>
      <c r="AI176" s="282"/>
      <c r="AJ176" s="282"/>
      <c r="AK176" s="282"/>
      <c r="AL176" s="282"/>
    </row>
    <row r="177" spans="1:38" s="276" customFormat="1">
      <c r="A177" s="270">
        <f t="shared" si="15"/>
        <v>0</v>
      </c>
      <c r="B177" s="268" t="str">
        <f t="shared" si="12"/>
        <v/>
      </c>
      <c r="C177" s="269"/>
      <c r="D177" s="269"/>
      <c r="E177" s="269"/>
      <c r="F177" s="269"/>
      <c r="H177" s="301">
        <v>172</v>
      </c>
      <c r="I177" s="302" t="str">
        <f t="shared" si="16"/>
        <v/>
      </c>
      <c r="J177" s="301">
        <f t="shared" si="17"/>
        <v>-1</v>
      </c>
      <c r="K177" s="301">
        <f t="shared" si="13"/>
        <v>-10</v>
      </c>
      <c r="L177" s="301"/>
      <c r="M177" s="303">
        <f t="shared" si="14"/>
        <v>0</v>
      </c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  <c r="AE177" s="282"/>
      <c r="AF177" s="282"/>
      <c r="AG177" s="282"/>
      <c r="AH177" s="282"/>
      <c r="AI177" s="282"/>
      <c r="AJ177" s="282"/>
      <c r="AK177" s="282"/>
      <c r="AL177" s="282"/>
    </row>
    <row r="178" spans="1:38" s="276" customFormat="1">
      <c r="A178" s="271">
        <f t="shared" si="15"/>
        <v>0</v>
      </c>
      <c r="B178" s="265" t="str">
        <f t="shared" si="12"/>
        <v/>
      </c>
      <c r="C178" s="266"/>
      <c r="D178" s="266"/>
      <c r="E178" s="266"/>
      <c r="F178" s="266"/>
      <c r="H178" s="295">
        <v>173</v>
      </c>
      <c r="I178" s="296" t="str">
        <f t="shared" si="16"/>
        <v/>
      </c>
      <c r="J178" s="295">
        <f t="shared" si="17"/>
        <v>-1</v>
      </c>
      <c r="K178" s="295">
        <f t="shared" si="13"/>
        <v>-10</v>
      </c>
      <c r="L178" s="295"/>
      <c r="M178" s="297">
        <f t="shared" si="14"/>
        <v>0</v>
      </c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  <c r="AE178" s="282"/>
      <c r="AF178" s="282"/>
      <c r="AG178" s="282"/>
      <c r="AH178" s="282"/>
      <c r="AI178" s="282"/>
      <c r="AJ178" s="282"/>
      <c r="AK178" s="282"/>
      <c r="AL178" s="282"/>
    </row>
    <row r="179" spans="1:38" s="276" customFormat="1">
      <c r="A179" s="270">
        <f t="shared" si="15"/>
        <v>0</v>
      </c>
      <c r="B179" s="268" t="str">
        <f t="shared" si="12"/>
        <v/>
      </c>
      <c r="C179" s="269"/>
      <c r="D179" s="269"/>
      <c r="E179" s="269"/>
      <c r="F179" s="269"/>
      <c r="H179" s="301">
        <v>174</v>
      </c>
      <c r="I179" s="302" t="str">
        <f t="shared" si="16"/>
        <v/>
      </c>
      <c r="J179" s="301">
        <f t="shared" si="17"/>
        <v>-1</v>
      </c>
      <c r="K179" s="301">
        <f t="shared" si="13"/>
        <v>-10</v>
      </c>
      <c r="L179" s="301"/>
      <c r="M179" s="303">
        <f t="shared" si="14"/>
        <v>0</v>
      </c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  <c r="AE179" s="282"/>
      <c r="AF179" s="282"/>
      <c r="AG179" s="282"/>
      <c r="AH179" s="282"/>
      <c r="AI179" s="282"/>
      <c r="AJ179" s="282"/>
      <c r="AK179" s="282"/>
      <c r="AL179" s="282"/>
    </row>
    <row r="180" spans="1:38" s="276" customFormat="1">
      <c r="A180" s="271">
        <f t="shared" si="15"/>
        <v>0</v>
      </c>
      <c r="B180" s="265" t="str">
        <f t="shared" si="12"/>
        <v/>
      </c>
      <c r="C180" s="266"/>
      <c r="D180" s="266"/>
      <c r="E180" s="266"/>
      <c r="F180" s="266"/>
      <c r="H180" s="295">
        <v>175</v>
      </c>
      <c r="I180" s="296" t="str">
        <f t="shared" si="16"/>
        <v/>
      </c>
      <c r="J180" s="295">
        <f t="shared" si="17"/>
        <v>-1</v>
      </c>
      <c r="K180" s="295">
        <f t="shared" si="13"/>
        <v>-10</v>
      </c>
      <c r="L180" s="295"/>
      <c r="M180" s="297">
        <f t="shared" si="14"/>
        <v>0</v>
      </c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  <c r="AE180" s="282"/>
      <c r="AF180" s="282"/>
      <c r="AG180" s="282"/>
      <c r="AH180" s="282"/>
      <c r="AI180" s="282"/>
      <c r="AJ180" s="282"/>
      <c r="AK180" s="282"/>
      <c r="AL180" s="282"/>
    </row>
    <row r="181" spans="1:38" s="276" customFormat="1">
      <c r="A181" s="270">
        <f t="shared" si="15"/>
        <v>0</v>
      </c>
      <c r="B181" s="268" t="str">
        <f t="shared" si="12"/>
        <v/>
      </c>
      <c r="C181" s="269"/>
      <c r="D181" s="269"/>
      <c r="E181" s="269"/>
      <c r="F181" s="269"/>
      <c r="H181" s="301">
        <v>176</v>
      </c>
      <c r="I181" s="302" t="str">
        <f t="shared" si="16"/>
        <v/>
      </c>
      <c r="J181" s="301">
        <f t="shared" si="17"/>
        <v>-1</v>
      </c>
      <c r="K181" s="301">
        <f t="shared" si="13"/>
        <v>-10</v>
      </c>
      <c r="L181" s="301"/>
      <c r="M181" s="303">
        <f t="shared" si="14"/>
        <v>0</v>
      </c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  <c r="AE181" s="282"/>
      <c r="AF181" s="282"/>
      <c r="AG181" s="282"/>
      <c r="AH181" s="282"/>
      <c r="AI181" s="282"/>
      <c r="AJ181" s="282"/>
      <c r="AK181" s="282"/>
      <c r="AL181" s="282"/>
    </row>
    <row r="182" spans="1:38" s="276" customFormat="1">
      <c r="A182" s="271">
        <f t="shared" si="15"/>
        <v>0</v>
      </c>
      <c r="B182" s="265" t="str">
        <f t="shared" si="12"/>
        <v/>
      </c>
      <c r="C182" s="266"/>
      <c r="D182" s="266"/>
      <c r="E182" s="266"/>
      <c r="F182" s="266"/>
      <c r="H182" s="295">
        <v>177</v>
      </c>
      <c r="I182" s="296" t="str">
        <f t="shared" si="16"/>
        <v/>
      </c>
      <c r="J182" s="295">
        <f t="shared" si="17"/>
        <v>-1</v>
      </c>
      <c r="K182" s="295">
        <f t="shared" si="13"/>
        <v>-10</v>
      </c>
      <c r="L182" s="295"/>
      <c r="M182" s="297">
        <f t="shared" si="14"/>
        <v>0</v>
      </c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  <c r="AE182" s="282"/>
      <c r="AF182" s="282"/>
      <c r="AG182" s="282"/>
      <c r="AH182" s="282"/>
      <c r="AI182" s="282"/>
      <c r="AJ182" s="282"/>
      <c r="AK182" s="282"/>
      <c r="AL182" s="282"/>
    </row>
    <row r="183" spans="1:38" s="276" customFormat="1">
      <c r="A183" s="270">
        <f t="shared" si="15"/>
        <v>0</v>
      </c>
      <c r="B183" s="268" t="str">
        <f t="shared" si="12"/>
        <v/>
      </c>
      <c r="C183" s="269"/>
      <c r="D183" s="269"/>
      <c r="E183" s="269"/>
      <c r="F183" s="269"/>
      <c r="H183" s="301">
        <v>178</v>
      </c>
      <c r="I183" s="302" t="str">
        <f t="shared" si="16"/>
        <v/>
      </c>
      <c r="J183" s="301">
        <f t="shared" si="17"/>
        <v>-1</v>
      </c>
      <c r="K183" s="301">
        <f t="shared" si="13"/>
        <v>-10</v>
      </c>
      <c r="L183" s="301"/>
      <c r="M183" s="303">
        <f t="shared" si="14"/>
        <v>0</v>
      </c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/>
      <c r="AE183" s="282"/>
      <c r="AF183" s="282"/>
      <c r="AG183" s="282"/>
      <c r="AH183" s="282"/>
      <c r="AI183" s="282"/>
      <c r="AJ183" s="282"/>
      <c r="AK183" s="282"/>
      <c r="AL183" s="282"/>
    </row>
    <row r="184" spans="1:38" s="276" customFormat="1">
      <c r="A184" s="271">
        <f t="shared" si="15"/>
        <v>0</v>
      </c>
      <c r="B184" s="265" t="str">
        <f t="shared" si="12"/>
        <v/>
      </c>
      <c r="C184" s="266"/>
      <c r="D184" s="266"/>
      <c r="E184" s="266"/>
      <c r="F184" s="266"/>
      <c r="H184" s="295">
        <v>179</v>
      </c>
      <c r="I184" s="296" t="str">
        <f t="shared" si="16"/>
        <v/>
      </c>
      <c r="J184" s="295">
        <f t="shared" si="17"/>
        <v>-1</v>
      </c>
      <c r="K184" s="295">
        <f t="shared" si="13"/>
        <v>-10</v>
      </c>
      <c r="L184" s="295"/>
      <c r="M184" s="297">
        <f t="shared" si="14"/>
        <v>0</v>
      </c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/>
      <c r="AE184" s="282"/>
      <c r="AF184" s="282"/>
      <c r="AG184" s="282"/>
      <c r="AH184" s="282"/>
      <c r="AI184" s="282"/>
      <c r="AJ184" s="282"/>
      <c r="AK184" s="282"/>
      <c r="AL184" s="282"/>
    </row>
    <row r="185" spans="1:38" s="276" customFormat="1">
      <c r="A185" s="270">
        <f t="shared" si="15"/>
        <v>0</v>
      </c>
      <c r="B185" s="268" t="str">
        <f t="shared" si="12"/>
        <v/>
      </c>
      <c r="C185" s="269"/>
      <c r="D185" s="269"/>
      <c r="E185" s="269"/>
      <c r="F185" s="269"/>
      <c r="H185" s="301">
        <v>180</v>
      </c>
      <c r="I185" s="302" t="str">
        <f t="shared" si="16"/>
        <v/>
      </c>
      <c r="J185" s="301">
        <f t="shared" si="17"/>
        <v>-1</v>
      </c>
      <c r="K185" s="301">
        <f t="shared" si="13"/>
        <v>-10</v>
      </c>
      <c r="L185" s="301"/>
      <c r="M185" s="303">
        <f t="shared" si="14"/>
        <v>0</v>
      </c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  <c r="AE185" s="282"/>
      <c r="AF185" s="282"/>
      <c r="AG185" s="282"/>
      <c r="AH185" s="282"/>
      <c r="AI185" s="282"/>
      <c r="AJ185" s="282"/>
      <c r="AK185" s="282"/>
      <c r="AL185" s="282"/>
    </row>
    <row r="186" spans="1:38" s="282" customFormat="1" ht="14.45" customHeight="1">
      <c r="A186" s="264">
        <f t="shared" si="15"/>
        <v>0</v>
      </c>
      <c r="B186" s="265" t="str">
        <f t="shared" si="12"/>
        <v/>
      </c>
      <c r="C186" s="266"/>
      <c r="D186" s="266"/>
      <c r="E186" s="266"/>
      <c r="F186" s="266"/>
      <c r="G186" s="260"/>
      <c r="H186" s="295">
        <v>181</v>
      </c>
      <c r="I186" s="296" t="str">
        <f t="shared" si="16"/>
        <v/>
      </c>
      <c r="J186" s="295">
        <f t="shared" si="17"/>
        <v>-1</v>
      </c>
      <c r="K186" s="295">
        <f t="shared" si="13"/>
        <v>-10</v>
      </c>
      <c r="L186" s="297"/>
      <c r="M186" s="297">
        <f t="shared" si="14"/>
        <v>0</v>
      </c>
      <c r="N186" s="276"/>
      <c r="O186" s="276"/>
      <c r="P186" s="276"/>
      <c r="Q186" s="276"/>
      <c r="R186" s="276"/>
    </row>
    <row r="187" spans="1:38" s="282" customFormat="1" ht="14.45" customHeight="1">
      <c r="A187" s="267">
        <f t="shared" si="15"/>
        <v>0</v>
      </c>
      <c r="B187" s="268" t="str">
        <f t="shared" si="12"/>
        <v/>
      </c>
      <c r="C187" s="269"/>
      <c r="D187" s="269"/>
      <c r="E187" s="269"/>
      <c r="F187" s="269"/>
      <c r="G187" s="260"/>
      <c r="H187" s="301">
        <v>182</v>
      </c>
      <c r="I187" s="302" t="str">
        <f t="shared" si="16"/>
        <v/>
      </c>
      <c r="J187" s="301">
        <f t="shared" si="17"/>
        <v>-1</v>
      </c>
      <c r="K187" s="301">
        <f t="shared" si="13"/>
        <v>-10</v>
      </c>
      <c r="L187" s="303"/>
      <c r="M187" s="303">
        <f t="shared" si="14"/>
        <v>0</v>
      </c>
      <c r="N187" s="276"/>
      <c r="O187" s="276"/>
      <c r="P187" s="276"/>
      <c r="Q187" s="276"/>
      <c r="R187" s="276"/>
    </row>
    <row r="188" spans="1:38" s="282" customFormat="1" ht="14.45" customHeight="1">
      <c r="A188" s="264">
        <f t="shared" si="15"/>
        <v>0</v>
      </c>
      <c r="B188" s="265" t="str">
        <f t="shared" si="12"/>
        <v/>
      </c>
      <c r="C188" s="266"/>
      <c r="D188" s="266"/>
      <c r="E188" s="266"/>
      <c r="F188" s="266"/>
      <c r="G188" s="260"/>
      <c r="H188" s="295">
        <v>183</v>
      </c>
      <c r="I188" s="296" t="str">
        <f t="shared" si="16"/>
        <v/>
      </c>
      <c r="J188" s="295">
        <f t="shared" si="17"/>
        <v>-1</v>
      </c>
      <c r="K188" s="295">
        <f t="shared" si="13"/>
        <v>-10</v>
      </c>
      <c r="L188" s="297"/>
      <c r="M188" s="297">
        <f t="shared" si="14"/>
        <v>0</v>
      </c>
      <c r="N188" s="276"/>
      <c r="O188" s="276"/>
      <c r="P188" s="276"/>
      <c r="Q188" s="276"/>
      <c r="R188" s="276"/>
    </row>
    <row r="189" spans="1:38" s="282" customFormat="1" ht="14.45" customHeight="1">
      <c r="A189" s="267">
        <f t="shared" si="15"/>
        <v>0</v>
      </c>
      <c r="B189" s="268" t="str">
        <f t="shared" si="12"/>
        <v/>
      </c>
      <c r="C189" s="269"/>
      <c r="D189" s="269"/>
      <c r="E189" s="269"/>
      <c r="F189" s="269"/>
      <c r="G189" s="260"/>
      <c r="H189" s="301">
        <v>184</v>
      </c>
      <c r="I189" s="302" t="str">
        <f t="shared" si="16"/>
        <v/>
      </c>
      <c r="J189" s="301">
        <f t="shared" si="17"/>
        <v>-1</v>
      </c>
      <c r="K189" s="301">
        <f t="shared" si="13"/>
        <v>-10</v>
      </c>
      <c r="L189" s="303"/>
      <c r="M189" s="303">
        <f t="shared" si="14"/>
        <v>0</v>
      </c>
      <c r="N189" s="276"/>
      <c r="O189" s="276"/>
      <c r="P189" s="276"/>
      <c r="Q189" s="276"/>
      <c r="R189" s="276"/>
      <c r="V189" s="304"/>
      <c r="Z189" s="305"/>
      <c r="AA189" s="305"/>
      <c r="AG189" s="306"/>
    </row>
    <row r="190" spans="1:38" s="282" customFormat="1" ht="14.45" customHeight="1">
      <c r="A190" s="264">
        <f t="shared" si="15"/>
        <v>0</v>
      </c>
      <c r="B190" s="265" t="str">
        <f t="shared" si="12"/>
        <v/>
      </c>
      <c r="C190" s="266"/>
      <c r="D190" s="266"/>
      <c r="E190" s="266"/>
      <c r="F190" s="266"/>
      <c r="G190" s="260"/>
      <c r="H190" s="295">
        <v>185</v>
      </c>
      <c r="I190" s="296" t="str">
        <f t="shared" si="16"/>
        <v/>
      </c>
      <c r="J190" s="295">
        <f t="shared" si="17"/>
        <v>-1</v>
      </c>
      <c r="K190" s="295">
        <f t="shared" si="13"/>
        <v>-10</v>
      </c>
      <c r="L190" s="295"/>
      <c r="M190" s="297">
        <f t="shared" si="14"/>
        <v>0</v>
      </c>
      <c r="N190" s="276"/>
      <c r="O190" s="276"/>
      <c r="P190" s="276"/>
      <c r="Q190" s="276"/>
      <c r="R190" s="276"/>
      <c r="V190" s="304"/>
      <c r="Z190" s="305"/>
      <c r="AA190" s="305"/>
      <c r="AG190" s="306"/>
    </row>
    <row r="191" spans="1:38" s="282" customFormat="1" ht="14.45" customHeight="1">
      <c r="A191" s="267">
        <f t="shared" si="15"/>
        <v>0</v>
      </c>
      <c r="B191" s="268" t="str">
        <f t="shared" si="12"/>
        <v/>
      </c>
      <c r="C191" s="269"/>
      <c r="D191" s="269"/>
      <c r="E191" s="269"/>
      <c r="F191" s="269"/>
      <c r="G191" s="260"/>
      <c r="H191" s="301">
        <v>186</v>
      </c>
      <c r="I191" s="302" t="str">
        <f t="shared" si="16"/>
        <v/>
      </c>
      <c r="J191" s="301">
        <f t="shared" si="17"/>
        <v>-1</v>
      </c>
      <c r="K191" s="301">
        <f t="shared" si="13"/>
        <v>-10</v>
      </c>
      <c r="L191" s="301"/>
      <c r="M191" s="303">
        <f t="shared" si="14"/>
        <v>0</v>
      </c>
      <c r="N191" s="276"/>
      <c r="O191" s="276"/>
      <c r="P191" s="276"/>
      <c r="Q191" s="276"/>
      <c r="R191" s="276"/>
      <c r="V191" s="307"/>
      <c r="Z191" s="305"/>
      <c r="AA191" s="305"/>
      <c r="AG191" s="306"/>
    </row>
    <row r="192" spans="1:38" s="282" customFormat="1" ht="14.45" customHeight="1">
      <c r="A192" s="264">
        <f t="shared" si="15"/>
        <v>0</v>
      </c>
      <c r="B192" s="265" t="str">
        <f t="shared" si="12"/>
        <v/>
      </c>
      <c r="C192" s="266"/>
      <c r="D192" s="266"/>
      <c r="E192" s="266"/>
      <c r="F192" s="266"/>
      <c r="G192" s="260"/>
      <c r="H192" s="295">
        <v>187</v>
      </c>
      <c r="I192" s="296" t="str">
        <f t="shared" si="16"/>
        <v/>
      </c>
      <c r="J192" s="295">
        <f t="shared" si="17"/>
        <v>-1</v>
      </c>
      <c r="K192" s="295">
        <f t="shared" si="13"/>
        <v>-10</v>
      </c>
      <c r="L192" s="295"/>
      <c r="M192" s="297">
        <f t="shared" si="14"/>
        <v>0</v>
      </c>
      <c r="N192" s="276"/>
      <c r="O192" s="276"/>
      <c r="P192" s="276"/>
      <c r="Q192" s="276"/>
      <c r="R192" s="276"/>
      <c r="Z192" s="305"/>
      <c r="AA192" s="305"/>
      <c r="AG192" s="306"/>
    </row>
    <row r="193" spans="1:34" s="282" customFormat="1" ht="14.45" customHeight="1">
      <c r="A193" s="270">
        <f t="shared" si="15"/>
        <v>0</v>
      </c>
      <c r="B193" s="268" t="str">
        <f t="shared" si="12"/>
        <v/>
      </c>
      <c r="C193" s="269"/>
      <c r="D193" s="269"/>
      <c r="E193" s="269"/>
      <c r="F193" s="269"/>
      <c r="G193" s="260"/>
      <c r="H193" s="301">
        <v>188</v>
      </c>
      <c r="I193" s="302" t="str">
        <f t="shared" si="16"/>
        <v/>
      </c>
      <c r="J193" s="301">
        <f t="shared" si="17"/>
        <v>-1</v>
      </c>
      <c r="K193" s="301">
        <f t="shared" si="13"/>
        <v>-10</v>
      </c>
      <c r="L193" s="301"/>
      <c r="M193" s="303">
        <f t="shared" si="14"/>
        <v>0</v>
      </c>
      <c r="N193" s="276"/>
      <c r="O193" s="276"/>
      <c r="P193" s="276"/>
      <c r="Q193" s="276"/>
      <c r="R193" s="276"/>
      <c r="X193" s="304"/>
      <c r="AG193" s="306"/>
    </row>
    <row r="194" spans="1:34" s="282" customFormat="1" ht="15.75" customHeight="1">
      <c r="A194" s="271">
        <f t="shared" si="15"/>
        <v>0</v>
      </c>
      <c r="B194" s="265" t="str">
        <f t="shared" si="12"/>
        <v/>
      </c>
      <c r="C194" s="266"/>
      <c r="D194" s="266"/>
      <c r="E194" s="266"/>
      <c r="F194" s="266"/>
      <c r="G194" s="260"/>
      <c r="H194" s="295">
        <v>189</v>
      </c>
      <c r="I194" s="296" t="str">
        <f t="shared" si="16"/>
        <v/>
      </c>
      <c r="J194" s="295">
        <f t="shared" si="17"/>
        <v>-1</v>
      </c>
      <c r="K194" s="295">
        <f t="shared" si="13"/>
        <v>-10</v>
      </c>
      <c r="L194" s="295"/>
      <c r="M194" s="297">
        <f t="shared" si="14"/>
        <v>0</v>
      </c>
      <c r="N194" s="276"/>
      <c r="O194" s="276"/>
      <c r="P194" s="276"/>
      <c r="Q194" s="276"/>
      <c r="R194" s="276"/>
      <c r="X194" s="308"/>
      <c r="Z194" s="305"/>
      <c r="AA194" s="305"/>
      <c r="AG194" s="306"/>
    </row>
    <row r="195" spans="1:34" s="282" customFormat="1">
      <c r="A195" s="270">
        <f t="shared" si="15"/>
        <v>0</v>
      </c>
      <c r="B195" s="268" t="str">
        <f t="shared" si="12"/>
        <v/>
      </c>
      <c r="C195" s="269"/>
      <c r="D195" s="269"/>
      <c r="E195" s="269"/>
      <c r="F195" s="269"/>
      <c r="G195" s="260"/>
      <c r="H195" s="301">
        <v>190</v>
      </c>
      <c r="I195" s="302" t="str">
        <f t="shared" si="16"/>
        <v/>
      </c>
      <c r="J195" s="301">
        <f t="shared" si="17"/>
        <v>-1</v>
      </c>
      <c r="K195" s="301">
        <f t="shared" si="13"/>
        <v>-10</v>
      </c>
      <c r="L195" s="301"/>
      <c r="M195" s="303">
        <f t="shared" si="14"/>
        <v>0</v>
      </c>
      <c r="N195" s="276"/>
      <c r="O195" s="276"/>
      <c r="P195" s="276"/>
      <c r="Q195" s="276"/>
      <c r="R195" s="276"/>
      <c r="X195" s="304"/>
      <c r="Z195" s="305"/>
      <c r="AA195" s="305"/>
    </row>
    <row r="196" spans="1:34" s="282" customFormat="1">
      <c r="A196" s="271">
        <f t="shared" si="15"/>
        <v>0</v>
      </c>
      <c r="B196" s="265" t="str">
        <f t="shared" si="12"/>
        <v/>
      </c>
      <c r="C196" s="266"/>
      <c r="D196" s="266"/>
      <c r="E196" s="266"/>
      <c r="F196" s="266"/>
      <c r="G196" s="260"/>
      <c r="H196" s="295">
        <v>191</v>
      </c>
      <c r="I196" s="296" t="str">
        <f t="shared" si="16"/>
        <v/>
      </c>
      <c r="J196" s="295">
        <f t="shared" si="17"/>
        <v>-1</v>
      </c>
      <c r="K196" s="295">
        <f t="shared" si="13"/>
        <v>-10</v>
      </c>
      <c r="L196" s="295"/>
      <c r="M196" s="297">
        <f t="shared" si="14"/>
        <v>0</v>
      </c>
      <c r="N196" s="276"/>
      <c r="O196" s="276"/>
      <c r="P196" s="276"/>
      <c r="Q196" s="276"/>
      <c r="R196" s="309"/>
      <c r="Z196" s="305"/>
      <c r="AA196" s="305"/>
      <c r="AH196" s="310"/>
    </row>
    <row r="197" spans="1:34" s="282" customFormat="1">
      <c r="A197" s="270">
        <f t="shared" si="15"/>
        <v>0</v>
      </c>
      <c r="B197" s="268" t="str">
        <f t="shared" si="12"/>
        <v/>
      </c>
      <c r="C197" s="269"/>
      <c r="D197" s="269"/>
      <c r="E197" s="269"/>
      <c r="F197" s="269"/>
      <c r="G197" s="260"/>
      <c r="H197" s="301">
        <v>192</v>
      </c>
      <c r="I197" s="302" t="str">
        <f t="shared" si="16"/>
        <v/>
      </c>
      <c r="J197" s="301">
        <f t="shared" si="17"/>
        <v>-1</v>
      </c>
      <c r="K197" s="301">
        <f t="shared" si="13"/>
        <v>-10</v>
      </c>
      <c r="L197" s="301"/>
      <c r="M197" s="303">
        <f t="shared" si="14"/>
        <v>0</v>
      </c>
      <c r="N197" s="276"/>
      <c r="O197" s="276"/>
      <c r="P197" s="276"/>
      <c r="Q197" s="276"/>
      <c r="R197" s="276"/>
    </row>
    <row r="198" spans="1:34" s="282" customFormat="1">
      <c r="A198" s="271">
        <f t="shared" si="15"/>
        <v>0</v>
      </c>
      <c r="B198" s="265" t="str">
        <f t="shared" ref="B198:B261" si="18">IF(H198&gt;$H$2,"",(ROW()-5))</f>
        <v/>
      </c>
      <c r="C198" s="266"/>
      <c r="D198" s="266"/>
      <c r="E198" s="266"/>
      <c r="F198" s="266"/>
      <c r="G198" s="260"/>
      <c r="H198" s="295">
        <v>193</v>
      </c>
      <c r="I198" s="296" t="str">
        <f t="shared" si="16"/>
        <v/>
      </c>
      <c r="J198" s="295">
        <f t="shared" si="17"/>
        <v>-1</v>
      </c>
      <c r="K198" s="295">
        <f t="shared" ref="K198:K261" si="19">J198*$J$2</f>
        <v>-10</v>
      </c>
      <c r="L198" s="295"/>
      <c r="M198" s="297">
        <f t="shared" ref="M198:M261" si="20">IF(I198&lt;&gt;"",K198+I198+L198,0)</f>
        <v>0</v>
      </c>
      <c r="N198" s="276"/>
      <c r="O198" s="276"/>
      <c r="P198" s="276"/>
      <c r="Q198" s="276"/>
      <c r="R198" s="276"/>
    </row>
    <row r="199" spans="1:34" s="282" customFormat="1">
      <c r="A199" s="270">
        <f t="shared" ref="A199:A262" si="21">M199</f>
        <v>0</v>
      </c>
      <c r="B199" s="268" t="str">
        <f t="shared" si="18"/>
        <v/>
      </c>
      <c r="C199" s="269"/>
      <c r="D199" s="269"/>
      <c r="E199" s="269"/>
      <c r="F199" s="269"/>
      <c r="G199" s="260"/>
      <c r="H199" s="301">
        <v>194</v>
      </c>
      <c r="I199" s="302" t="str">
        <f t="shared" ref="I199:I262" si="22">IF(H199&lt;$H$2+1,($I$2-($I$2-1)*(LOG(H199)/LOG($H$2))),"")</f>
        <v/>
      </c>
      <c r="J199" s="301">
        <f t="shared" ref="J199:J262" si="23">INT(LOG($H$2,2))-ROUNDUP(LOG(H199,2),0)+IF(OR($H$2=1,$H$2=2,$H$2=4,$H$2=8,$H$2=16,$H$2=32,$H$2=64,$H$2=128,$H$2=256),0,1)</f>
        <v>-1</v>
      </c>
      <c r="K199" s="301">
        <f t="shared" si="19"/>
        <v>-10</v>
      </c>
      <c r="L199" s="301"/>
      <c r="M199" s="303">
        <f t="shared" si="20"/>
        <v>0</v>
      </c>
      <c r="N199" s="276"/>
      <c r="O199" s="276"/>
      <c r="P199" s="276"/>
      <c r="Q199" s="276"/>
      <c r="R199" s="276"/>
    </row>
    <row r="200" spans="1:34" s="282" customFormat="1">
      <c r="A200" s="271">
        <f t="shared" si="21"/>
        <v>0</v>
      </c>
      <c r="B200" s="265" t="str">
        <f t="shared" si="18"/>
        <v/>
      </c>
      <c r="C200" s="266"/>
      <c r="D200" s="266"/>
      <c r="E200" s="266"/>
      <c r="F200" s="266"/>
      <c r="G200" s="260"/>
      <c r="H200" s="295">
        <v>195</v>
      </c>
      <c r="I200" s="296" t="str">
        <f t="shared" si="22"/>
        <v/>
      </c>
      <c r="J200" s="295">
        <f t="shared" si="23"/>
        <v>-1</v>
      </c>
      <c r="K200" s="295">
        <f t="shared" si="19"/>
        <v>-10</v>
      </c>
      <c r="L200" s="295"/>
      <c r="M200" s="297">
        <f t="shared" si="20"/>
        <v>0</v>
      </c>
      <c r="N200" s="276"/>
      <c r="O200" s="276"/>
      <c r="P200" s="276"/>
      <c r="Q200" s="276"/>
      <c r="R200" s="311"/>
      <c r="S200" s="312"/>
    </row>
    <row r="201" spans="1:34" s="282" customFormat="1">
      <c r="A201" s="270">
        <f t="shared" si="21"/>
        <v>0</v>
      </c>
      <c r="B201" s="268" t="str">
        <f t="shared" si="18"/>
        <v/>
      </c>
      <c r="C201" s="269"/>
      <c r="D201" s="269"/>
      <c r="E201" s="269"/>
      <c r="F201" s="269"/>
      <c r="G201" s="260"/>
      <c r="H201" s="301">
        <v>196</v>
      </c>
      <c r="I201" s="302" t="str">
        <f t="shared" si="22"/>
        <v/>
      </c>
      <c r="J201" s="301">
        <f t="shared" si="23"/>
        <v>-1</v>
      </c>
      <c r="K201" s="301">
        <f t="shared" si="19"/>
        <v>-10</v>
      </c>
      <c r="L201" s="301"/>
      <c r="M201" s="303">
        <f t="shared" si="20"/>
        <v>0</v>
      </c>
      <c r="N201" s="276"/>
      <c r="O201" s="276"/>
      <c r="P201" s="276"/>
      <c r="Q201" s="276"/>
      <c r="R201" s="276"/>
    </row>
    <row r="202" spans="1:34" s="282" customFormat="1">
      <c r="A202" s="271">
        <f t="shared" si="21"/>
        <v>0</v>
      </c>
      <c r="B202" s="265" t="str">
        <f t="shared" si="18"/>
        <v/>
      </c>
      <c r="C202" s="266"/>
      <c r="D202" s="266"/>
      <c r="E202" s="266"/>
      <c r="F202" s="266"/>
      <c r="G202" s="260"/>
      <c r="H202" s="295">
        <v>197</v>
      </c>
      <c r="I202" s="296" t="str">
        <f t="shared" si="22"/>
        <v/>
      </c>
      <c r="J202" s="295">
        <f t="shared" si="23"/>
        <v>-1</v>
      </c>
      <c r="K202" s="295">
        <f t="shared" si="19"/>
        <v>-10</v>
      </c>
      <c r="L202" s="295"/>
      <c r="M202" s="297">
        <f t="shared" si="20"/>
        <v>0</v>
      </c>
      <c r="N202" s="276"/>
      <c r="O202" s="276"/>
      <c r="P202" s="276"/>
      <c r="Q202" s="276"/>
      <c r="R202" s="276"/>
    </row>
    <row r="203" spans="1:34" s="282" customFormat="1">
      <c r="A203" s="270">
        <f t="shared" si="21"/>
        <v>0</v>
      </c>
      <c r="B203" s="268" t="str">
        <f t="shared" si="18"/>
        <v/>
      </c>
      <c r="C203" s="269"/>
      <c r="D203" s="269"/>
      <c r="E203" s="269"/>
      <c r="F203" s="269"/>
      <c r="G203" s="260"/>
      <c r="H203" s="301">
        <v>198</v>
      </c>
      <c r="I203" s="302" t="str">
        <f t="shared" si="22"/>
        <v/>
      </c>
      <c r="J203" s="301">
        <f t="shared" si="23"/>
        <v>-1</v>
      </c>
      <c r="K203" s="301">
        <f t="shared" si="19"/>
        <v>-10</v>
      </c>
      <c r="L203" s="301"/>
      <c r="M203" s="303">
        <f t="shared" si="20"/>
        <v>0</v>
      </c>
      <c r="N203" s="276"/>
      <c r="O203" s="276"/>
      <c r="P203" s="276"/>
      <c r="Q203" s="276"/>
      <c r="R203" s="276"/>
    </row>
    <row r="204" spans="1:34" s="282" customFormat="1">
      <c r="A204" s="271">
        <f t="shared" si="21"/>
        <v>0</v>
      </c>
      <c r="B204" s="265" t="str">
        <f t="shared" si="18"/>
        <v/>
      </c>
      <c r="C204" s="266"/>
      <c r="D204" s="266"/>
      <c r="E204" s="266"/>
      <c r="F204" s="266"/>
      <c r="G204" s="260"/>
      <c r="H204" s="295">
        <v>199</v>
      </c>
      <c r="I204" s="296" t="str">
        <f t="shared" si="22"/>
        <v/>
      </c>
      <c r="J204" s="295">
        <f t="shared" si="23"/>
        <v>-1</v>
      </c>
      <c r="K204" s="295">
        <f t="shared" si="19"/>
        <v>-10</v>
      </c>
      <c r="L204" s="295"/>
      <c r="M204" s="297">
        <f t="shared" si="20"/>
        <v>0</v>
      </c>
      <c r="N204" s="276"/>
      <c r="O204" s="276"/>
      <c r="P204" s="276"/>
      <c r="Q204" s="276"/>
      <c r="R204" s="311"/>
      <c r="S204" s="312"/>
    </row>
    <row r="205" spans="1:34" s="282" customFormat="1">
      <c r="A205" s="270">
        <f t="shared" si="21"/>
        <v>0</v>
      </c>
      <c r="B205" s="268" t="str">
        <f t="shared" si="18"/>
        <v/>
      </c>
      <c r="C205" s="269"/>
      <c r="D205" s="269"/>
      <c r="E205" s="269"/>
      <c r="F205" s="269"/>
      <c r="G205" s="260"/>
      <c r="H205" s="301">
        <v>200</v>
      </c>
      <c r="I205" s="302" t="str">
        <f t="shared" si="22"/>
        <v/>
      </c>
      <c r="J205" s="301">
        <f t="shared" si="23"/>
        <v>-1</v>
      </c>
      <c r="K205" s="301">
        <f t="shared" si="19"/>
        <v>-10</v>
      </c>
      <c r="L205" s="301"/>
      <c r="M205" s="303">
        <f t="shared" si="20"/>
        <v>0</v>
      </c>
      <c r="N205" s="276"/>
      <c r="O205" s="276"/>
      <c r="P205" s="276"/>
      <c r="Q205" s="276"/>
      <c r="R205" s="276"/>
    </row>
    <row r="206" spans="1:34" s="282" customFormat="1">
      <c r="A206" s="271">
        <f t="shared" si="21"/>
        <v>0</v>
      </c>
      <c r="B206" s="265" t="str">
        <f t="shared" si="18"/>
        <v/>
      </c>
      <c r="C206" s="266"/>
      <c r="D206" s="266"/>
      <c r="E206" s="266"/>
      <c r="F206" s="266"/>
      <c r="G206" s="260"/>
      <c r="H206" s="295">
        <v>201</v>
      </c>
      <c r="I206" s="296" t="str">
        <f t="shared" si="22"/>
        <v/>
      </c>
      <c r="J206" s="295">
        <f t="shared" si="23"/>
        <v>-1</v>
      </c>
      <c r="K206" s="295">
        <f t="shared" si="19"/>
        <v>-10</v>
      </c>
      <c r="L206" s="295"/>
      <c r="M206" s="297">
        <f t="shared" si="20"/>
        <v>0</v>
      </c>
      <c r="N206" s="276"/>
      <c r="O206" s="276"/>
      <c r="P206" s="276"/>
      <c r="Q206" s="276"/>
      <c r="R206" s="276"/>
    </row>
    <row r="207" spans="1:34" s="282" customFormat="1">
      <c r="A207" s="270">
        <f t="shared" si="21"/>
        <v>0</v>
      </c>
      <c r="B207" s="268" t="str">
        <f t="shared" si="18"/>
        <v/>
      </c>
      <c r="C207" s="269"/>
      <c r="D207" s="269"/>
      <c r="E207" s="269"/>
      <c r="F207" s="269"/>
      <c r="G207" s="260"/>
      <c r="H207" s="301">
        <v>202</v>
      </c>
      <c r="I207" s="302" t="str">
        <f t="shared" si="22"/>
        <v/>
      </c>
      <c r="J207" s="301">
        <f t="shared" si="23"/>
        <v>-1</v>
      </c>
      <c r="K207" s="301">
        <f t="shared" si="19"/>
        <v>-10</v>
      </c>
      <c r="L207" s="301"/>
      <c r="M207" s="303">
        <f t="shared" si="20"/>
        <v>0</v>
      </c>
      <c r="N207" s="276"/>
      <c r="O207" s="276"/>
      <c r="P207" s="276"/>
      <c r="Q207" s="276"/>
      <c r="R207" s="276"/>
    </row>
    <row r="208" spans="1:34" s="282" customFormat="1">
      <c r="A208" s="271">
        <f t="shared" si="21"/>
        <v>0</v>
      </c>
      <c r="B208" s="265" t="str">
        <f t="shared" si="18"/>
        <v/>
      </c>
      <c r="C208" s="266"/>
      <c r="D208" s="266"/>
      <c r="E208" s="266"/>
      <c r="F208" s="266"/>
      <c r="G208" s="260"/>
      <c r="H208" s="295">
        <v>203</v>
      </c>
      <c r="I208" s="296" t="str">
        <f t="shared" si="22"/>
        <v/>
      </c>
      <c r="J208" s="295">
        <f t="shared" si="23"/>
        <v>-1</v>
      </c>
      <c r="K208" s="295">
        <f t="shared" si="19"/>
        <v>-10</v>
      </c>
      <c r="L208" s="295"/>
      <c r="M208" s="297">
        <f t="shared" si="20"/>
        <v>0</v>
      </c>
      <c r="N208" s="276"/>
      <c r="O208" s="276"/>
      <c r="P208" s="276"/>
      <c r="Q208" s="276"/>
      <c r="R208" s="311"/>
      <c r="S208" s="312"/>
    </row>
    <row r="209" spans="1:19" s="282" customFormat="1">
      <c r="A209" s="270">
        <f t="shared" si="21"/>
        <v>0</v>
      </c>
      <c r="B209" s="268" t="str">
        <f t="shared" si="18"/>
        <v/>
      </c>
      <c r="C209" s="269"/>
      <c r="D209" s="269"/>
      <c r="E209" s="269"/>
      <c r="F209" s="269"/>
      <c r="G209" s="276"/>
      <c r="H209" s="301">
        <v>204</v>
      </c>
      <c r="I209" s="302" t="str">
        <f t="shared" si="22"/>
        <v/>
      </c>
      <c r="J209" s="301">
        <f t="shared" si="23"/>
        <v>-1</v>
      </c>
      <c r="K209" s="301">
        <f t="shared" si="19"/>
        <v>-10</v>
      </c>
      <c r="L209" s="301"/>
      <c r="M209" s="303">
        <f t="shared" si="20"/>
        <v>0</v>
      </c>
      <c r="N209" s="276"/>
      <c r="O209" s="276"/>
      <c r="P209" s="276"/>
      <c r="Q209" s="276"/>
      <c r="R209" s="276"/>
    </row>
    <row r="210" spans="1:19" s="282" customFormat="1">
      <c r="A210" s="271">
        <f t="shared" si="21"/>
        <v>0</v>
      </c>
      <c r="B210" s="265" t="str">
        <f t="shared" si="18"/>
        <v/>
      </c>
      <c r="C210" s="266"/>
      <c r="D210" s="266"/>
      <c r="E210" s="266"/>
      <c r="F210" s="266"/>
      <c r="G210" s="276"/>
      <c r="H210" s="295">
        <v>205</v>
      </c>
      <c r="I210" s="296" t="str">
        <f t="shared" si="22"/>
        <v/>
      </c>
      <c r="J210" s="295">
        <f t="shared" si="23"/>
        <v>-1</v>
      </c>
      <c r="K210" s="295">
        <f t="shared" si="19"/>
        <v>-10</v>
      </c>
      <c r="L210" s="295"/>
      <c r="M210" s="297">
        <f t="shared" si="20"/>
        <v>0</v>
      </c>
      <c r="N210" s="276"/>
      <c r="O210" s="276"/>
      <c r="P210" s="276"/>
      <c r="Q210" s="276"/>
      <c r="R210" s="276"/>
    </row>
    <row r="211" spans="1:19" s="282" customFormat="1">
      <c r="A211" s="270">
        <f t="shared" si="21"/>
        <v>0</v>
      </c>
      <c r="B211" s="268" t="str">
        <f t="shared" si="18"/>
        <v/>
      </c>
      <c r="C211" s="269"/>
      <c r="D211" s="269"/>
      <c r="E211" s="269"/>
      <c r="F211" s="269"/>
      <c r="G211" s="276"/>
      <c r="H211" s="301">
        <v>206</v>
      </c>
      <c r="I211" s="302" t="str">
        <f t="shared" si="22"/>
        <v/>
      </c>
      <c r="J211" s="301">
        <f t="shared" si="23"/>
        <v>-1</v>
      </c>
      <c r="K211" s="301">
        <f t="shared" si="19"/>
        <v>-10</v>
      </c>
      <c r="L211" s="301"/>
      <c r="M211" s="303">
        <f t="shared" si="20"/>
        <v>0</v>
      </c>
      <c r="N211" s="276"/>
      <c r="O211" s="276"/>
      <c r="P211" s="276"/>
      <c r="Q211" s="276"/>
      <c r="R211" s="276"/>
    </row>
    <row r="212" spans="1:19" s="282" customFormat="1">
      <c r="A212" s="271">
        <f t="shared" si="21"/>
        <v>0</v>
      </c>
      <c r="B212" s="265" t="str">
        <f t="shared" si="18"/>
        <v/>
      </c>
      <c r="C212" s="266"/>
      <c r="D212" s="266"/>
      <c r="E212" s="266"/>
      <c r="F212" s="266"/>
      <c r="G212" s="276"/>
      <c r="H212" s="295">
        <v>207</v>
      </c>
      <c r="I212" s="296" t="str">
        <f t="shared" si="22"/>
        <v/>
      </c>
      <c r="J212" s="295">
        <f t="shared" si="23"/>
        <v>-1</v>
      </c>
      <c r="K212" s="295">
        <f t="shared" si="19"/>
        <v>-10</v>
      </c>
      <c r="L212" s="295"/>
      <c r="M212" s="297">
        <f t="shared" si="20"/>
        <v>0</v>
      </c>
      <c r="N212" s="276"/>
      <c r="O212" s="276"/>
      <c r="P212" s="276"/>
      <c r="Q212" s="276"/>
      <c r="R212" s="311"/>
      <c r="S212" s="312"/>
    </row>
    <row r="213" spans="1:19" s="282" customFormat="1">
      <c r="A213" s="270">
        <f t="shared" si="21"/>
        <v>0</v>
      </c>
      <c r="B213" s="268" t="str">
        <f t="shared" si="18"/>
        <v/>
      </c>
      <c r="C213" s="269"/>
      <c r="D213" s="269"/>
      <c r="E213" s="269"/>
      <c r="F213" s="269"/>
      <c r="G213" s="276"/>
      <c r="H213" s="301">
        <v>208</v>
      </c>
      <c r="I213" s="302" t="str">
        <f t="shared" si="22"/>
        <v/>
      </c>
      <c r="J213" s="301">
        <f t="shared" si="23"/>
        <v>-1</v>
      </c>
      <c r="K213" s="301">
        <f t="shared" si="19"/>
        <v>-10</v>
      </c>
      <c r="L213" s="301"/>
      <c r="M213" s="303">
        <f t="shared" si="20"/>
        <v>0</v>
      </c>
      <c r="N213" s="276"/>
      <c r="O213" s="276"/>
      <c r="P213" s="276"/>
      <c r="Q213" s="276"/>
      <c r="R213" s="276"/>
    </row>
    <row r="214" spans="1:19" s="282" customFormat="1">
      <c r="A214" s="271">
        <f t="shared" si="21"/>
        <v>0</v>
      </c>
      <c r="B214" s="265" t="str">
        <f t="shared" si="18"/>
        <v/>
      </c>
      <c r="C214" s="266"/>
      <c r="D214" s="266"/>
      <c r="E214" s="266"/>
      <c r="F214" s="266"/>
      <c r="G214" s="276"/>
      <c r="H214" s="295">
        <v>209</v>
      </c>
      <c r="I214" s="296" t="str">
        <f t="shared" si="22"/>
        <v/>
      </c>
      <c r="J214" s="295">
        <f t="shared" si="23"/>
        <v>-1</v>
      </c>
      <c r="K214" s="295">
        <f t="shared" si="19"/>
        <v>-10</v>
      </c>
      <c r="L214" s="295"/>
      <c r="M214" s="297">
        <f t="shared" si="20"/>
        <v>0</v>
      </c>
      <c r="N214" s="276"/>
      <c r="O214" s="276"/>
      <c r="P214" s="276"/>
      <c r="Q214" s="276"/>
      <c r="R214" s="276"/>
    </row>
    <row r="215" spans="1:19" s="282" customFormat="1">
      <c r="A215" s="270">
        <f t="shared" si="21"/>
        <v>0</v>
      </c>
      <c r="B215" s="268" t="str">
        <f t="shared" si="18"/>
        <v/>
      </c>
      <c r="C215" s="269"/>
      <c r="D215" s="269"/>
      <c r="E215" s="269"/>
      <c r="F215" s="269"/>
      <c r="G215" s="276"/>
      <c r="H215" s="301">
        <v>210</v>
      </c>
      <c r="I215" s="302" t="str">
        <f t="shared" si="22"/>
        <v/>
      </c>
      <c r="J215" s="301">
        <f t="shared" si="23"/>
        <v>-1</v>
      </c>
      <c r="K215" s="301">
        <f t="shared" si="19"/>
        <v>-10</v>
      </c>
      <c r="L215" s="301"/>
      <c r="M215" s="303">
        <f t="shared" si="20"/>
        <v>0</v>
      </c>
      <c r="N215" s="276"/>
      <c r="O215" s="276"/>
      <c r="P215" s="276"/>
      <c r="Q215" s="276"/>
      <c r="R215" s="276"/>
    </row>
    <row r="216" spans="1:19" s="282" customFormat="1">
      <c r="A216" s="271">
        <f t="shared" si="21"/>
        <v>0</v>
      </c>
      <c r="B216" s="265" t="str">
        <f t="shared" si="18"/>
        <v/>
      </c>
      <c r="C216" s="266"/>
      <c r="D216" s="266"/>
      <c r="E216" s="266"/>
      <c r="F216" s="266"/>
      <c r="G216" s="276"/>
      <c r="H216" s="295">
        <v>211</v>
      </c>
      <c r="I216" s="296" t="str">
        <f t="shared" si="22"/>
        <v/>
      </c>
      <c r="J216" s="295">
        <f t="shared" si="23"/>
        <v>-1</v>
      </c>
      <c r="K216" s="295">
        <f t="shared" si="19"/>
        <v>-10</v>
      </c>
      <c r="L216" s="295"/>
      <c r="M216" s="297">
        <f t="shared" si="20"/>
        <v>0</v>
      </c>
      <c r="N216" s="276"/>
      <c r="O216" s="276"/>
      <c r="P216" s="276"/>
      <c r="Q216" s="276"/>
      <c r="R216" s="311"/>
      <c r="S216" s="312"/>
    </row>
    <row r="217" spans="1:19" s="282" customFormat="1">
      <c r="A217" s="270">
        <f t="shared" si="21"/>
        <v>0</v>
      </c>
      <c r="B217" s="268" t="str">
        <f t="shared" si="18"/>
        <v/>
      </c>
      <c r="C217" s="269"/>
      <c r="D217" s="269"/>
      <c r="E217" s="269"/>
      <c r="F217" s="269"/>
      <c r="G217" s="276"/>
      <c r="H217" s="301">
        <v>212</v>
      </c>
      <c r="I217" s="302" t="str">
        <f t="shared" si="22"/>
        <v/>
      </c>
      <c r="J217" s="301">
        <f t="shared" si="23"/>
        <v>-1</v>
      </c>
      <c r="K217" s="301">
        <f t="shared" si="19"/>
        <v>-10</v>
      </c>
      <c r="L217" s="301"/>
      <c r="M217" s="303">
        <f t="shared" si="20"/>
        <v>0</v>
      </c>
      <c r="N217" s="276"/>
      <c r="O217" s="276"/>
      <c r="P217" s="276"/>
      <c r="Q217" s="276"/>
      <c r="R217" s="276"/>
    </row>
    <row r="218" spans="1:19" s="282" customFormat="1">
      <c r="A218" s="271">
        <f t="shared" si="21"/>
        <v>0</v>
      </c>
      <c r="B218" s="265" t="str">
        <f t="shared" si="18"/>
        <v/>
      </c>
      <c r="C218" s="266"/>
      <c r="D218" s="266"/>
      <c r="E218" s="266"/>
      <c r="F218" s="266"/>
      <c r="G218" s="276"/>
      <c r="H218" s="295">
        <v>213</v>
      </c>
      <c r="I218" s="296" t="str">
        <f t="shared" si="22"/>
        <v/>
      </c>
      <c r="J218" s="295">
        <f t="shared" si="23"/>
        <v>-1</v>
      </c>
      <c r="K218" s="295">
        <f t="shared" si="19"/>
        <v>-10</v>
      </c>
      <c r="L218" s="295"/>
      <c r="M218" s="297">
        <f t="shared" si="20"/>
        <v>0</v>
      </c>
      <c r="N218" s="276"/>
      <c r="O218" s="276"/>
      <c r="P218" s="276"/>
      <c r="Q218" s="276"/>
      <c r="R218" s="276"/>
    </row>
    <row r="219" spans="1:19" s="282" customFormat="1">
      <c r="A219" s="270">
        <f t="shared" si="21"/>
        <v>0</v>
      </c>
      <c r="B219" s="268" t="str">
        <f t="shared" si="18"/>
        <v/>
      </c>
      <c r="C219" s="269"/>
      <c r="D219" s="269"/>
      <c r="E219" s="269"/>
      <c r="F219" s="269"/>
      <c r="G219" s="276"/>
      <c r="H219" s="301">
        <v>214</v>
      </c>
      <c r="I219" s="302" t="str">
        <f t="shared" si="22"/>
        <v/>
      </c>
      <c r="J219" s="301">
        <f t="shared" si="23"/>
        <v>-1</v>
      </c>
      <c r="K219" s="301">
        <f t="shared" si="19"/>
        <v>-10</v>
      </c>
      <c r="L219" s="301"/>
      <c r="M219" s="303">
        <f t="shared" si="20"/>
        <v>0</v>
      </c>
      <c r="N219" s="276"/>
      <c r="O219" s="276"/>
      <c r="P219" s="276"/>
      <c r="Q219" s="276"/>
      <c r="R219" s="276"/>
    </row>
    <row r="220" spans="1:19" s="282" customFormat="1">
      <c r="A220" s="271">
        <f t="shared" si="21"/>
        <v>0</v>
      </c>
      <c r="B220" s="265" t="str">
        <f t="shared" si="18"/>
        <v/>
      </c>
      <c r="C220" s="266"/>
      <c r="D220" s="266"/>
      <c r="E220" s="266"/>
      <c r="F220" s="266"/>
      <c r="G220" s="276"/>
      <c r="H220" s="295">
        <v>215</v>
      </c>
      <c r="I220" s="296" t="str">
        <f t="shared" si="22"/>
        <v/>
      </c>
      <c r="J220" s="295">
        <f t="shared" si="23"/>
        <v>-1</v>
      </c>
      <c r="K220" s="295">
        <f t="shared" si="19"/>
        <v>-10</v>
      </c>
      <c r="L220" s="295"/>
      <c r="M220" s="297">
        <f t="shared" si="20"/>
        <v>0</v>
      </c>
      <c r="N220" s="276"/>
      <c r="O220" s="276"/>
      <c r="P220" s="276"/>
      <c r="Q220" s="276"/>
      <c r="R220" s="276"/>
    </row>
    <row r="221" spans="1:19" s="282" customFormat="1">
      <c r="A221" s="270">
        <f t="shared" si="21"/>
        <v>0</v>
      </c>
      <c r="B221" s="268" t="str">
        <f t="shared" si="18"/>
        <v/>
      </c>
      <c r="C221" s="269"/>
      <c r="D221" s="269"/>
      <c r="E221" s="269"/>
      <c r="F221" s="269"/>
      <c r="G221" s="276"/>
      <c r="H221" s="301">
        <v>216</v>
      </c>
      <c r="I221" s="302" t="str">
        <f t="shared" si="22"/>
        <v/>
      </c>
      <c r="J221" s="301">
        <f t="shared" si="23"/>
        <v>-1</v>
      </c>
      <c r="K221" s="301">
        <f t="shared" si="19"/>
        <v>-10</v>
      </c>
      <c r="L221" s="301"/>
      <c r="M221" s="303">
        <f t="shared" si="20"/>
        <v>0</v>
      </c>
      <c r="N221" s="276"/>
      <c r="O221" s="276"/>
      <c r="P221" s="276"/>
      <c r="Q221" s="276"/>
      <c r="R221" s="276"/>
      <c r="S221" s="313"/>
    </row>
    <row r="222" spans="1:19" s="282" customFormat="1">
      <c r="A222" s="271">
        <f t="shared" si="21"/>
        <v>0</v>
      </c>
      <c r="B222" s="265" t="str">
        <f t="shared" si="18"/>
        <v/>
      </c>
      <c r="C222" s="266"/>
      <c r="D222" s="266"/>
      <c r="E222" s="266"/>
      <c r="F222" s="266"/>
      <c r="G222" s="276"/>
      <c r="H222" s="295">
        <v>217</v>
      </c>
      <c r="I222" s="296" t="str">
        <f t="shared" si="22"/>
        <v/>
      </c>
      <c r="J222" s="295">
        <f t="shared" si="23"/>
        <v>-1</v>
      </c>
      <c r="K222" s="295">
        <f t="shared" si="19"/>
        <v>-10</v>
      </c>
      <c r="L222" s="295"/>
      <c r="M222" s="297">
        <f t="shared" si="20"/>
        <v>0</v>
      </c>
      <c r="N222" s="276"/>
      <c r="O222" s="276"/>
      <c r="P222" s="276"/>
      <c r="Q222" s="276"/>
      <c r="R222" s="276"/>
    </row>
    <row r="223" spans="1:19" s="282" customFormat="1">
      <c r="A223" s="270">
        <f t="shared" si="21"/>
        <v>0</v>
      </c>
      <c r="B223" s="268" t="str">
        <f t="shared" si="18"/>
        <v/>
      </c>
      <c r="C223" s="269"/>
      <c r="D223" s="269"/>
      <c r="E223" s="269"/>
      <c r="F223" s="269"/>
      <c r="G223" s="276"/>
      <c r="H223" s="301">
        <v>218</v>
      </c>
      <c r="I223" s="302" t="str">
        <f t="shared" si="22"/>
        <v/>
      </c>
      <c r="J223" s="301">
        <f t="shared" si="23"/>
        <v>-1</v>
      </c>
      <c r="K223" s="301">
        <f t="shared" si="19"/>
        <v>-10</v>
      </c>
      <c r="L223" s="301"/>
      <c r="M223" s="303">
        <f t="shared" si="20"/>
        <v>0</v>
      </c>
      <c r="N223" s="276"/>
      <c r="O223" s="276"/>
      <c r="P223" s="276"/>
      <c r="Q223" s="276"/>
      <c r="R223" s="276"/>
    </row>
    <row r="224" spans="1:19" s="282" customFormat="1">
      <c r="A224" s="271">
        <f t="shared" si="21"/>
        <v>0</v>
      </c>
      <c r="B224" s="265" t="str">
        <f t="shared" si="18"/>
        <v/>
      </c>
      <c r="C224" s="266"/>
      <c r="D224" s="266"/>
      <c r="E224" s="266"/>
      <c r="F224" s="266"/>
      <c r="G224" s="276"/>
      <c r="H224" s="295">
        <v>219</v>
      </c>
      <c r="I224" s="296" t="str">
        <f t="shared" si="22"/>
        <v/>
      </c>
      <c r="J224" s="295">
        <f t="shared" si="23"/>
        <v>-1</v>
      </c>
      <c r="K224" s="295">
        <f t="shared" si="19"/>
        <v>-10</v>
      </c>
      <c r="L224" s="295"/>
      <c r="M224" s="297">
        <f t="shared" si="20"/>
        <v>0</v>
      </c>
      <c r="N224" s="276"/>
      <c r="O224" s="276"/>
      <c r="P224" s="276"/>
      <c r="Q224" s="276"/>
      <c r="R224" s="276"/>
    </row>
    <row r="225" spans="1:38" s="282" customFormat="1">
      <c r="A225" s="270">
        <f t="shared" si="21"/>
        <v>0</v>
      </c>
      <c r="B225" s="268" t="str">
        <f t="shared" si="18"/>
        <v/>
      </c>
      <c r="C225" s="269"/>
      <c r="D225" s="269"/>
      <c r="E225" s="269"/>
      <c r="F225" s="269"/>
      <c r="G225" s="276"/>
      <c r="H225" s="301">
        <v>220</v>
      </c>
      <c r="I225" s="302" t="str">
        <f t="shared" si="22"/>
        <v/>
      </c>
      <c r="J225" s="301">
        <f t="shared" si="23"/>
        <v>-1</v>
      </c>
      <c r="K225" s="301">
        <f t="shared" si="19"/>
        <v>-10</v>
      </c>
      <c r="L225" s="301"/>
      <c r="M225" s="303">
        <f t="shared" si="20"/>
        <v>0</v>
      </c>
      <c r="N225" s="276"/>
      <c r="O225" s="276"/>
      <c r="P225" s="276"/>
      <c r="Q225" s="276"/>
      <c r="R225" s="276"/>
    </row>
    <row r="226" spans="1:38" s="282" customFormat="1">
      <c r="A226" s="271">
        <f t="shared" si="21"/>
        <v>0</v>
      </c>
      <c r="B226" s="265" t="str">
        <f t="shared" si="18"/>
        <v/>
      </c>
      <c r="C226" s="266"/>
      <c r="D226" s="266"/>
      <c r="E226" s="266"/>
      <c r="F226" s="266"/>
      <c r="G226" s="276"/>
      <c r="H226" s="295">
        <v>221</v>
      </c>
      <c r="I226" s="296" t="str">
        <f t="shared" si="22"/>
        <v/>
      </c>
      <c r="J226" s="295">
        <f t="shared" si="23"/>
        <v>-1</v>
      </c>
      <c r="K226" s="295">
        <f t="shared" si="19"/>
        <v>-10</v>
      </c>
      <c r="L226" s="295"/>
      <c r="M226" s="297">
        <f t="shared" si="20"/>
        <v>0</v>
      </c>
      <c r="N226" s="276"/>
      <c r="O226" s="276"/>
      <c r="P226" s="276"/>
      <c r="Q226" s="276"/>
      <c r="R226" s="276"/>
    </row>
    <row r="227" spans="1:38" s="282" customFormat="1">
      <c r="A227" s="270">
        <f t="shared" si="21"/>
        <v>0</v>
      </c>
      <c r="B227" s="268" t="str">
        <f t="shared" si="18"/>
        <v/>
      </c>
      <c r="C227" s="269"/>
      <c r="D227" s="269"/>
      <c r="E227" s="269"/>
      <c r="F227" s="269"/>
      <c r="G227" s="276"/>
      <c r="H227" s="301">
        <v>222</v>
      </c>
      <c r="I227" s="302" t="str">
        <f t="shared" si="22"/>
        <v/>
      </c>
      <c r="J227" s="301">
        <f t="shared" si="23"/>
        <v>-1</v>
      </c>
      <c r="K227" s="301">
        <f t="shared" si="19"/>
        <v>-10</v>
      </c>
      <c r="L227" s="301"/>
      <c r="M227" s="303">
        <f t="shared" si="20"/>
        <v>0</v>
      </c>
      <c r="N227" s="276"/>
      <c r="O227" s="276"/>
      <c r="P227" s="276"/>
      <c r="Q227" s="276"/>
      <c r="R227" s="276"/>
    </row>
    <row r="228" spans="1:38" s="282" customFormat="1">
      <c r="A228" s="271">
        <f t="shared" si="21"/>
        <v>0</v>
      </c>
      <c r="B228" s="265" t="str">
        <f t="shared" si="18"/>
        <v/>
      </c>
      <c r="C228" s="266"/>
      <c r="D228" s="266"/>
      <c r="E228" s="266"/>
      <c r="F228" s="266"/>
      <c r="G228" s="276"/>
      <c r="H228" s="295">
        <v>223</v>
      </c>
      <c r="I228" s="296" t="str">
        <f t="shared" si="22"/>
        <v/>
      </c>
      <c r="J228" s="295">
        <f t="shared" si="23"/>
        <v>-1</v>
      </c>
      <c r="K228" s="295">
        <f t="shared" si="19"/>
        <v>-10</v>
      </c>
      <c r="L228" s="295"/>
      <c r="M228" s="297">
        <f t="shared" si="20"/>
        <v>0</v>
      </c>
      <c r="N228" s="276"/>
      <c r="O228" s="276"/>
      <c r="P228" s="276"/>
      <c r="Q228" s="276"/>
      <c r="R228" s="276"/>
    </row>
    <row r="229" spans="1:38" s="276" customFormat="1">
      <c r="A229" s="270">
        <f t="shared" si="21"/>
        <v>0</v>
      </c>
      <c r="B229" s="268" t="str">
        <f t="shared" si="18"/>
        <v/>
      </c>
      <c r="C229" s="269"/>
      <c r="D229" s="269"/>
      <c r="E229" s="269"/>
      <c r="F229" s="269"/>
      <c r="H229" s="301">
        <v>224</v>
      </c>
      <c r="I229" s="302" t="str">
        <f t="shared" si="22"/>
        <v/>
      </c>
      <c r="J229" s="301">
        <f t="shared" si="23"/>
        <v>-1</v>
      </c>
      <c r="K229" s="301">
        <f t="shared" si="19"/>
        <v>-10</v>
      </c>
      <c r="L229" s="301"/>
      <c r="M229" s="303">
        <f t="shared" si="20"/>
        <v>0</v>
      </c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  <c r="AE229" s="282"/>
      <c r="AF229" s="282"/>
      <c r="AG229" s="282"/>
      <c r="AH229" s="282"/>
      <c r="AI229" s="282"/>
      <c r="AJ229" s="282"/>
      <c r="AK229" s="282"/>
      <c r="AL229" s="282"/>
    </row>
    <row r="230" spans="1:38" s="276" customFormat="1">
      <c r="A230" s="271">
        <f t="shared" si="21"/>
        <v>0</v>
      </c>
      <c r="B230" s="265" t="str">
        <f t="shared" si="18"/>
        <v/>
      </c>
      <c r="C230" s="266"/>
      <c r="D230" s="266"/>
      <c r="E230" s="266"/>
      <c r="F230" s="266"/>
      <c r="H230" s="295">
        <v>225</v>
      </c>
      <c r="I230" s="296" t="str">
        <f t="shared" si="22"/>
        <v/>
      </c>
      <c r="J230" s="295">
        <f t="shared" si="23"/>
        <v>-1</v>
      </c>
      <c r="K230" s="295">
        <f t="shared" si="19"/>
        <v>-10</v>
      </c>
      <c r="L230" s="295"/>
      <c r="M230" s="297">
        <f t="shared" si="20"/>
        <v>0</v>
      </c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  <c r="AE230" s="282"/>
      <c r="AF230" s="282"/>
      <c r="AG230" s="282"/>
      <c r="AH230" s="282"/>
      <c r="AI230" s="282"/>
      <c r="AJ230" s="282"/>
      <c r="AK230" s="282"/>
      <c r="AL230" s="282"/>
    </row>
    <row r="231" spans="1:38" s="276" customFormat="1">
      <c r="A231" s="270">
        <f t="shared" si="21"/>
        <v>0</v>
      </c>
      <c r="B231" s="268" t="str">
        <f t="shared" si="18"/>
        <v/>
      </c>
      <c r="C231" s="269"/>
      <c r="D231" s="269"/>
      <c r="E231" s="269"/>
      <c r="F231" s="269"/>
      <c r="H231" s="301">
        <v>226</v>
      </c>
      <c r="I231" s="302" t="str">
        <f t="shared" si="22"/>
        <v/>
      </c>
      <c r="J231" s="301">
        <f t="shared" si="23"/>
        <v>-1</v>
      </c>
      <c r="K231" s="301">
        <f t="shared" si="19"/>
        <v>-10</v>
      </c>
      <c r="L231" s="301"/>
      <c r="M231" s="303">
        <f t="shared" si="20"/>
        <v>0</v>
      </c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  <c r="AE231" s="282"/>
      <c r="AF231" s="282"/>
      <c r="AG231" s="282"/>
      <c r="AH231" s="282"/>
      <c r="AI231" s="282"/>
      <c r="AJ231" s="282"/>
      <c r="AK231" s="282"/>
      <c r="AL231" s="282"/>
    </row>
    <row r="232" spans="1:38" s="276" customFormat="1">
      <c r="A232" s="271">
        <f t="shared" si="21"/>
        <v>0</v>
      </c>
      <c r="B232" s="265" t="str">
        <f t="shared" si="18"/>
        <v/>
      </c>
      <c r="C232" s="266"/>
      <c r="D232" s="266"/>
      <c r="E232" s="266"/>
      <c r="F232" s="266"/>
      <c r="H232" s="295">
        <v>227</v>
      </c>
      <c r="I232" s="296" t="str">
        <f t="shared" si="22"/>
        <v/>
      </c>
      <c r="J232" s="295">
        <f t="shared" si="23"/>
        <v>-1</v>
      </c>
      <c r="K232" s="295">
        <f t="shared" si="19"/>
        <v>-10</v>
      </c>
      <c r="L232" s="295"/>
      <c r="M232" s="297">
        <f t="shared" si="20"/>
        <v>0</v>
      </c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/>
      <c r="AE232" s="282"/>
      <c r="AF232" s="282"/>
      <c r="AG232" s="282"/>
      <c r="AH232" s="282"/>
      <c r="AI232" s="282"/>
      <c r="AJ232" s="282"/>
      <c r="AK232" s="282"/>
      <c r="AL232" s="282"/>
    </row>
    <row r="233" spans="1:38" s="276" customFormat="1">
      <c r="A233" s="270">
        <f t="shared" si="21"/>
        <v>0</v>
      </c>
      <c r="B233" s="268" t="str">
        <f t="shared" si="18"/>
        <v/>
      </c>
      <c r="C233" s="269"/>
      <c r="D233" s="269"/>
      <c r="E233" s="269"/>
      <c r="F233" s="269"/>
      <c r="H233" s="301">
        <v>228</v>
      </c>
      <c r="I233" s="302" t="str">
        <f t="shared" si="22"/>
        <v/>
      </c>
      <c r="J233" s="301">
        <f t="shared" si="23"/>
        <v>-1</v>
      </c>
      <c r="K233" s="301">
        <f t="shared" si="19"/>
        <v>-10</v>
      </c>
      <c r="L233" s="301"/>
      <c r="M233" s="303">
        <f t="shared" si="20"/>
        <v>0</v>
      </c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  <c r="AE233" s="282"/>
      <c r="AF233" s="282"/>
      <c r="AG233" s="282"/>
      <c r="AH233" s="282"/>
      <c r="AI233" s="282"/>
      <c r="AJ233" s="282"/>
      <c r="AK233" s="282"/>
      <c r="AL233" s="282"/>
    </row>
    <row r="234" spans="1:38" s="276" customFormat="1">
      <c r="A234" s="271">
        <f t="shared" si="21"/>
        <v>0</v>
      </c>
      <c r="B234" s="265" t="str">
        <f t="shared" si="18"/>
        <v/>
      </c>
      <c r="C234" s="266"/>
      <c r="D234" s="266"/>
      <c r="E234" s="266"/>
      <c r="F234" s="266"/>
      <c r="H234" s="295">
        <v>229</v>
      </c>
      <c r="I234" s="296" t="str">
        <f t="shared" si="22"/>
        <v/>
      </c>
      <c r="J234" s="295">
        <f t="shared" si="23"/>
        <v>-1</v>
      </c>
      <c r="K234" s="295">
        <f t="shared" si="19"/>
        <v>-10</v>
      </c>
      <c r="L234" s="295"/>
      <c r="M234" s="297">
        <f t="shared" si="20"/>
        <v>0</v>
      </c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/>
      <c r="AE234" s="282"/>
      <c r="AF234" s="282"/>
      <c r="AG234" s="282"/>
      <c r="AH234" s="282"/>
      <c r="AI234" s="282"/>
      <c r="AJ234" s="282"/>
      <c r="AK234" s="282"/>
      <c r="AL234" s="282"/>
    </row>
    <row r="235" spans="1:38" s="276" customFormat="1">
      <c r="A235" s="270">
        <f t="shared" si="21"/>
        <v>0</v>
      </c>
      <c r="B235" s="268" t="str">
        <f t="shared" si="18"/>
        <v/>
      </c>
      <c r="C235" s="269"/>
      <c r="D235" s="269"/>
      <c r="E235" s="269"/>
      <c r="F235" s="269"/>
      <c r="H235" s="301">
        <v>230</v>
      </c>
      <c r="I235" s="302" t="str">
        <f t="shared" si="22"/>
        <v/>
      </c>
      <c r="J235" s="301">
        <f t="shared" si="23"/>
        <v>-1</v>
      </c>
      <c r="K235" s="301">
        <f t="shared" si="19"/>
        <v>-10</v>
      </c>
      <c r="L235" s="301"/>
      <c r="M235" s="303">
        <f t="shared" si="20"/>
        <v>0</v>
      </c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/>
      <c r="AE235" s="282"/>
      <c r="AF235" s="282"/>
      <c r="AG235" s="282"/>
      <c r="AH235" s="282"/>
      <c r="AI235" s="282"/>
      <c r="AJ235" s="282"/>
      <c r="AK235" s="282"/>
      <c r="AL235" s="282"/>
    </row>
    <row r="236" spans="1:38" s="276" customFormat="1">
      <c r="A236" s="271">
        <f t="shared" si="21"/>
        <v>0</v>
      </c>
      <c r="B236" s="265" t="str">
        <f t="shared" si="18"/>
        <v/>
      </c>
      <c r="C236" s="266"/>
      <c r="D236" s="266"/>
      <c r="E236" s="266"/>
      <c r="F236" s="266"/>
      <c r="H236" s="295">
        <v>231</v>
      </c>
      <c r="I236" s="296" t="str">
        <f t="shared" si="22"/>
        <v/>
      </c>
      <c r="J236" s="295">
        <f t="shared" si="23"/>
        <v>-1</v>
      </c>
      <c r="K236" s="295">
        <f t="shared" si="19"/>
        <v>-10</v>
      </c>
      <c r="L236" s="295"/>
      <c r="M236" s="297">
        <f t="shared" si="20"/>
        <v>0</v>
      </c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/>
      <c r="AE236" s="282"/>
      <c r="AF236" s="282"/>
      <c r="AG236" s="282"/>
      <c r="AH236" s="282"/>
      <c r="AI236" s="282"/>
      <c r="AJ236" s="282"/>
      <c r="AK236" s="282"/>
      <c r="AL236" s="282"/>
    </row>
    <row r="237" spans="1:38" s="276" customFormat="1">
      <c r="A237" s="270">
        <f t="shared" si="21"/>
        <v>0</v>
      </c>
      <c r="B237" s="268" t="str">
        <f t="shared" si="18"/>
        <v/>
      </c>
      <c r="C237" s="269"/>
      <c r="D237" s="269"/>
      <c r="E237" s="269"/>
      <c r="F237" s="269"/>
      <c r="H237" s="301">
        <v>232</v>
      </c>
      <c r="I237" s="302" t="str">
        <f t="shared" si="22"/>
        <v/>
      </c>
      <c r="J237" s="301">
        <f t="shared" si="23"/>
        <v>-1</v>
      </c>
      <c r="K237" s="301">
        <f t="shared" si="19"/>
        <v>-10</v>
      </c>
      <c r="L237" s="301"/>
      <c r="M237" s="303">
        <f t="shared" si="20"/>
        <v>0</v>
      </c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/>
      <c r="AE237" s="282"/>
      <c r="AF237" s="282"/>
      <c r="AG237" s="282"/>
      <c r="AH237" s="282"/>
      <c r="AI237" s="282"/>
      <c r="AJ237" s="282"/>
      <c r="AK237" s="282"/>
      <c r="AL237" s="282"/>
    </row>
    <row r="238" spans="1:38" s="276" customFormat="1">
      <c r="A238" s="271">
        <f t="shared" si="21"/>
        <v>0</v>
      </c>
      <c r="B238" s="265" t="str">
        <f t="shared" si="18"/>
        <v/>
      </c>
      <c r="C238" s="266"/>
      <c r="D238" s="266"/>
      <c r="E238" s="266"/>
      <c r="F238" s="266"/>
      <c r="H238" s="295">
        <v>233</v>
      </c>
      <c r="I238" s="296" t="str">
        <f t="shared" si="22"/>
        <v/>
      </c>
      <c r="J238" s="295">
        <f t="shared" si="23"/>
        <v>-1</v>
      </c>
      <c r="K238" s="295">
        <f t="shared" si="19"/>
        <v>-10</v>
      </c>
      <c r="L238" s="295"/>
      <c r="M238" s="297">
        <f t="shared" si="20"/>
        <v>0</v>
      </c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/>
      <c r="AE238" s="282"/>
      <c r="AF238" s="282"/>
      <c r="AG238" s="282"/>
      <c r="AH238" s="282"/>
      <c r="AI238" s="282"/>
      <c r="AJ238" s="282"/>
      <c r="AK238" s="282"/>
      <c r="AL238" s="282"/>
    </row>
    <row r="239" spans="1:38" s="276" customFormat="1">
      <c r="A239" s="270">
        <f t="shared" si="21"/>
        <v>0</v>
      </c>
      <c r="B239" s="268" t="str">
        <f t="shared" si="18"/>
        <v/>
      </c>
      <c r="C239" s="269"/>
      <c r="D239" s="269"/>
      <c r="E239" s="269"/>
      <c r="F239" s="269"/>
      <c r="H239" s="301">
        <v>234</v>
      </c>
      <c r="I239" s="302" t="str">
        <f t="shared" si="22"/>
        <v/>
      </c>
      <c r="J239" s="301">
        <f t="shared" si="23"/>
        <v>-1</v>
      </c>
      <c r="K239" s="301">
        <f t="shared" si="19"/>
        <v>-10</v>
      </c>
      <c r="L239" s="301"/>
      <c r="M239" s="303">
        <f t="shared" si="20"/>
        <v>0</v>
      </c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</row>
    <row r="240" spans="1:38" s="276" customFormat="1">
      <c r="A240" s="271">
        <f t="shared" si="21"/>
        <v>0</v>
      </c>
      <c r="B240" s="265" t="str">
        <f t="shared" si="18"/>
        <v/>
      </c>
      <c r="C240" s="266"/>
      <c r="D240" s="266"/>
      <c r="E240" s="266"/>
      <c r="F240" s="266"/>
      <c r="H240" s="295">
        <v>235</v>
      </c>
      <c r="I240" s="296" t="str">
        <f t="shared" si="22"/>
        <v/>
      </c>
      <c r="J240" s="295">
        <f t="shared" si="23"/>
        <v>-1</v>
      </c>
      <c r="K240" s="295">
        <f t="shared" si="19"/>
        <v>-10</v>
      </c>
      <c r="L240" s="295"/>
      <c r="M240" s="297">
        <f t="shared" si="20"/>
        <v>0</v>
      </c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</row>
    <row r="241" spans="1:38" s="276" customFormat="1">
      <c r="A241" s="270">
        <f t="shared" si="21"/>
        <v>0</v>
      </c>
      <c r="B241" s="268" t="str">
        <f t="shared" si="18"/>
        <v/>
      </c>
      <c r="C241" s="269"/>
      <c r="D241" s="269"/>
      <c r="E241" s="269"/>
      <c r="F241" s="269"/>
      <c r="H241" s="301">
        <v>236</v>
      </c>
      <c r="I241" s="302" t="str">
        <f t="shared" si="22"/>
        <v/>
      </c>
      <c r="J241" s="301">
        <f t="shared" si="23"/>
        <v>-1</v>
      </c>
      <c r="K241" s="301">
        <f t="shared" si="19"/>
        <v>-10</v>
      </c>
      <c r="L241" s="301"/>
      <c r="M241" s="303">
        <f t="shared" si="20"/>
        <v>0</v>
      </c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  <c r="AC241" s="282"/>
      <c r="AD241" s="282"/>
      <c r="AE241" s="282"/>
      <c r="AF241" s="282"/>
      <c r="AG241" s="282"/>
      <c r="AH241" s="282"/>
      <c r="AI241" s="282"/>
      <c r="AJ241" s="282"/>
      <c r="AK241" s="282"/>
      <c r="AL241" s="282"/>
    </row>
    <row r="242" spans="1:38" s="276" customFormat="1">
      <c r="A242" s="271">
        <f t="shared" si="21"/>
        <v>0</v>
      </c>
      <c r="B242" s="265" t="str">
        <f t="shared" si="18"/>
        <v/>
      </c>
      <c r="C242" s="266"/>
      <c r="D242" s="266"/>
      <c r="E242" s="266"/>
      <c r="F242" s="266"/>
      <c r="H242" s="295">
        <v>237</v>
      </c>
      <c r="I242" s="296" t="str">
        <f t="shared" si="22"/>
        <v/>
      </c>
      <c r="J242" s="295">
        <f t="shared" si="23"/>
        <v>-1</v>
      </c>
      <c r="K242" s="295">
        <f t="shared" si="19"/>
        <v>-10</v>
      </c>
      <c r="L242" s="295"/>
      <c r="M242" s="297">
        <f t="shared" si="20"/>
        <v>0</v>
      </c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  <c r="AC242" s="282"/>
      <c r="AD242" s="282"/>
      <c r="AE242" s="282"/>
      <c r="AF242" s="282"/>
      <c r="AG242" s="282"/>
      <c r="AH242" s="282"/>
      <c r="AI242" s="282"/>
      <c r="AJ242" s="282"/>
      <c r="AK242" s="282"/>
      <c r="AL242" s="282"/>
    </row>
    <row r="243" spans="1:38" s="276" customFormat="1">
      <c r="A243" s="270">
        <f t="shared" si="21"/>
        <v>0</v>
      </c>
      <c r="B243" s="268" t="str">
        <f t="shared" si="18"/>
        <v/>
      </c>
      <c r="C243" s="269"/>
      <c r="D243" s="269"/>
      <c r="E243" s="269"/>
      <c r="F243" s="269"/>
      <c r="H243" s="301">
        <v>238</v>
      </c>
      <c r="I243" s="302" t="str">
        <f t="shared" si="22"/>
        <v/>
      </c>
      <c r="J243" s="301">
        <f t="shared" si="23"/>
        <v>-1</v>
      </c>
      <c r="K243" s="301">
        <f t="shared" si="19"/>
        <v>-10</v>
      </c>
      <c r="L243" s="301"/>
      <c r="M243" s="303">
        <f t="shared" si="20"/>
        <v>0</v>
      </c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  <c r="AC243" s="282"/>
      <c r="AD243" s="282"/>
      <c r="AE243" s="282"/>
      <c r="AF243" s="282"/>
      <c r="AG243" s="282"/>
      <c r="AH243" s="282"/>
      <c r="AI243" s="282"/>
      <c r="AJ243" s="282"/>
      <c r="AK243" s="282"/>
      <c r="AL243" s="282"/>
    </row>
    <row r="244" spans="1:38" s="276" customFormat="1">
      <c r="A244" s="271">
        <f t="shared" si="21"/>
        <v>0</v>
      </c>
      <c r="B244" s="265" t="str">
        <f t="shared" si="18"/>
        <v/>
      </c>
      <c r="C244" s="266"/>
      <c r="D244" s="266"/>
      <c r="E244" s="266"/>
      <c r="F244" s="266"/>
      <c r="H244" s="295">
        <v>239</v>
      </c>
      <c r="I244" s="296" t="str">
        <f t="shared" si="22"/>
        <v/>
      </c>
      <c r="J244" s="295">
        <f t="shared" si="23"/>
        <v>-1</v>
      </c>
      <c r="K244" s="295">
        <f t="shared" si="19"/>
        <v>-10</v>
      </c>
      <c r="L244" s="295"/>
      <c r="M244" s="297">
        <f t="shared" si="20"/>
        <v>0</v>
      </c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  <c r="AC244" s="282"/>
      <c r="AD244" s="282"/>
      <c r="AE244" s="282"/>
      <c r="AF244" s="282"/>
      <c r="AG244" s="282"/>
      <c r="AH244" s="282"/>
      <c r="AI244" s="282"/>
      <c r="AJ244" s="282"/>
      <c r="AK244" s="282"/>
      <c r="AL244" s="282"/>
    </row>
    <row r="245" spans="1:38" s="276" customFormat="1">
      <c r="A245" s="270">
        <f t="shared" si="21"/>
        <v>0</v>
      </c>
      <c r="B245" s="268" t="str">
        <f t="shared" si="18"/>
        <v/>
      </c>
      <c r="C245" s="269"/>
      <c r="D245" s="269"/>
      <c r="E245" s="269"/>
      <c r="F245" s="269"/>
      <c r="H245" s="301">
        <v>240</v>
      </c>
      <c r="I245" s="302" t="str">
        <f t="shared" si="22"/>
        <v/>
      </c>
      <c r="J245" s="301">
        <f t="shared" si="23"/>
        <v>-1</v>
      </c>
      <c r="K245" s="301">
        <f t="shared" si="19"/>
        <v>-10</v>
      </c>
      <c r="L245" s="301"/>
      <c r="M245" s="303">
        <f t="shared" si="20"/>
        <v>0</v>
      </c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  <c r="AC245" s="282"/>
      <c r="AD245" s="282"/>
      <c r="AE245" s="282"/>
      <c r="AF245" s="282"/>
      <c r="AG245" s="282"/>
      <c r="AH245" s="282"/>
      <c r="AI245" s="282"/>
      <c r="AJ245" s="282"/>
      <c r="AK245" s="282"/>
      <c r="AL245" s="282"/>
    </row>
    <row r="246" spans="1:38" s="282" customFormat="1">
      <c r="A246" s="271">
        <f t="shared" si="21"/>
        <v>0</v>
      </c>
      <c r="B246" s="265" t="str">
        <f t="shared" si="18"/>
        <v/>
      </c>
      <c r="C246" s="266"/>
      <c r="D246" s="266"/>
      <c r="E246" s="266"/>
      <c r="F246" s="266"/>
      <c r="G246" s="276"/>
      <c r="H246" s="295">
        <v>241</v>
      </c>
      <c r="I246" s="296" t="str">
        <f t="shared" si="22"/>
        <v/>
      </c>
      <c r="J246" s="295">
        <f t="shared" si="23"/>
        <v>-1</v>
      </c>
      <c r="K246" s="295">
        <f t="shared" si="19"/>
        <v>-10</v>
      </c>
      <c r="L246" s="295"/>
      <c r="M246" s="297">
        <f t="shared" si="20"/>
        <v>0</v>
      </c>
      <c r="N246" s="276"/>
      <c r="O246" s="276"/>
      <c r="P246" s="276"/>
      <c r="Q246" s="276"/>
      <c r="R246" s="276"/>
    </row>
    <row r="247" spans="1:38" s="282" customFormat="1">
      <c r="A247" s="270">
        <f t="shared" si="21"/>
        <v>0</v>
      </c>
      <c r="B247" s="268" t="str">
        <f t="shared" si="18"/>
        <v/>
      </c>
      <c r="C247" s="269"/>
      <c r="D247" s="269"/>
      <c r="E247" s="269"/>
      <c r="F247" s="269"/>
      <c r="G247" s="276"/>
      <c r="H247" s="301">
        <v>242</v>
      </c>
      <c r="I247" s="302" t="str">
        <f t="shared" si="22"/>
        <v/>
      </c>
      <c r="J247" s="301">
        <f t="shared" si="23"/>
        <v>-1</v>
      </c>
      <c r="K247" s="301">
        <f t="shared" si="19"/>
        <v>-10</v>
      </c>
      <c r="L247" s="301"/>
      <c r="M247" s="303">
        <f t="shared" si="20"/>
        <v>0</v>
      </c>
      <c r="N247" s="276"/>
      <c r="O247" s="276"/>
      <c r="P247" s="276"/>
      <c r="Q247" s="276"/>
      <c r="R247" s="276"/>
      <c r="S247" s="313"/>
    </row>
    <row r="248" spans="1:38" s="282" customFormat="1">
      <c r="A248" s="271">
        <f t="shared" si="21"/>
        <v>0</v>
      </c>
      <c r="B248" s="265" t="str">
        <f t="shared" si="18"/>
        <v/>
      </c>
      <c r="C248" s="266"/>
      <c r="D248" s="266"/>
      <c r="E248" s="266"/>
      <c r="F248" s="266"/>
      <c r="G248" s="276"/>
      <c r="H248" s="295">
        <v>243</v>
      </c>
      <c r="I248" s="296" t="str">
        <f t="shared" si="22"/>
        <v/>
      </c>
      <c r="J248" s="295">
        <f t="shared" si="23"/>
        <v>-1</v>
      </c>
      <c r="K248" s="295">
        <f t="shared" si="19"/>
        <v>-10</v>
      </c>
      <c r="L248" s="295"/>
      <c r="M248" s="297">
        <f t="shared" si="20"/>
        <v>0</v>
      </c>
      <c r="N248" s="276"/>
      <c r="O248" s="276"/>
      <c r="P248" s="276"/>
      <c r="Q248" s="276"/>
      <c r="R248" s="276"/>
    </row>
    <row r="249" spans="1:38" s="282" customFormat="1">
      <c r="A249" s="270">
        <f t="shared" si="21"/>
        <v>0</v>
      </c>
      <c r="B249" s="268" t="str">
        <f t="shared" si="18"/>
        <v/>
      </c>
      <c r="C249" s="269"/>
      <c r="D249" s="269"/>
      <c r="E249" s="269"/>
      <c r="F249" s="269"/>
      <c r="G249" s="276"/>
      <c r="H249" s="301">
        <v>244</v>
      </c>
      <c r="I249" s="302" t="str">
        <f t="shared" si="22"/>
        <v/>
      </c>
      <c r="J249" s="301">
        <f t="shared" si="23"/>
        <v>-1</v>
      </c>
      <c r="K249" s="301">
        <f t="shared" si="19"/>
        <v>-10</v>
      </c>
      <c r="L249" s="301"/>
      <c r="M249" s="303">
        <f t="shared" si="20"/>
        <v>0</v>
      </c>
      <c r="N249" s="276"/>
      <c r="O249" s="276"/>
      <c r="P249" s="276"/>
      <c r="Q249" s="276"/>
      <c r="R249" s="276"/>
    </row>
    <row r="250" spans="1:38" s="282" customFormat="1">
      <c r="A250" s="271">
        <f t="shared" si="21"/>
        <v>0</v>
      </c>
      <c r="B250" s="265" t="str">
        <f t="shared" si="18"/>
        <v/>
      </c>
      <c r="C250" s="266"/>
      <c r="D250" s="266"/>
      <c r="E250" s="266"/>
      <c r="F250" s="266"/>
      <c r="G250" s="276"/>
      <c r="H250" s="295">
        <v>245</v>
      </c>
      <c r="I250" s="296" t="str">
        <f t="shared" si="22"/>
        <v/>
      </c>
      <c r="J250" s="295">
        <f t="shared" si="23"/>
        <v>-1</v>
      </c>
      <c r="K250" s="295">
        <f t="shared" si="19"/>
        <v>-10</v>
      </c>
      <c r="L250" s="295"/>
      <c r="M250" s="297">
        <f t="shared" si="20"/>
        <v>0</v>
      </c>
      <c r="N250" s="276"/>
      <c r="O250" s="276"/>
      <c r="P250" s="276"/>
      <c r="Q250" s="276"/>
      <c r="R250" s="276"/>
    </row>
    <row r="251" spans="1:38" s="282" customFormat="1">
      <c r="A251" s="270">
        <f t="shared" si="21"/>
        <v>0</v>
      </c>
      <c r="B251" s="268" t="str">
        <f t="shared" si="18"/>
        <v/>
      </c>
      <c r="C251" s="269"/>
      <c r="D251" s="269"/>
      <c r="E251" s="269"/>
      <c r="F251" s="269"/>
      <c r="G251" s="276"/>
      <c r="H251" s="301">
        <v>246</v>
      </c>
      <c r="I251" s="302" t="str">
        <f t="shared" si="22"/>
        <v/>
      </c>
      <c r="J251" s="301">
        <f t="shared" si="23"/>
        <v>-1</v>
      </c>
      <c r="K251" s="301">
        <f t="shared" si="19"/>
        <v>-10</v>
      </c>
      <c r="L251" s="301"/>
      <c r="M251" s="303">
        <f t="shared" si="20"/>
        <v>0</v>
      </c>
      <c r="N251" s="276"/>
      <c r="O251" s="276"/>
      <c r="P251" s="276"/>
      <c r="Q251" s="276"/>
      <c r="R251" s="276"/>
    </row>
    <row r="252" spans="1:38" s="282" customFormat="1">
      <c r="A252" s="271">
        <f t="shared" si="21"/>
        <v>0</v>
      </c>
      <c r="B252" s="265" t="str">
        <f t="shared" si="18"/>
        <v/>
      </c>
      <c r="C252" s="266"/>
      <c r="D252" s="266"/>
      <c r="E252" s="266"/>
      <c r="F252" s="266"/>
      <c r="G252" s="276"/>
      <c r="H252" s="295">
        <v>247</v>
      </c>
      <c r="I252" s="296" t="str">
        <f t="shared" si="22"/>
        <v/>
      </c>
      <c r="J252" s="295">
        <f t="shared" si="23"/>
        <v>-1</v>
      </c>
      <c r="K252" s="295">
        <f t="shared" si="19"/>
        <v>-10</v>
      </c>
      <c r="L252" s="295"/>
      <c r="M252" s="297">
        <f t="shared" si="20"/>
        <v>0</v>
      </c>
      <c r="N252" s="276"/>
      <c r="O252" s="276"/>
      <c r="P252" s="276"/>
      <c r="Q252" s="276"/>
      <c r="R252" s="276"/>
    </row>
    <row r="253" spans="1:38" s="282" customFormat="1">
      <c r="A253" s="270">
        <f t="shared" si="21"/>
        <v>0</v>
      </c>
      <c r="B253" s="268" t="str">
        <f t="shared" si="18"/>
        <v/>
      </c>
      <c r="C253" s="269"/>
      <c r="D253" s="269"/>
      <c r="E253" s="269"/>
      <c r="F253" s="269"/>
      <c r="G253" s="276"/>
      <c r="H253" s="301">
        <v>248</v>
      </c>
      <c r="I253" s="302" t="str">
        <f t="shared" si="22"/>
        <v/>
      </c>
      <c r="J253" s="301">
        <f t="shared" si="23"/>
        <v>-1</v>
      </c>
      <c r="K253" s="301">
        <f t="shared" si="19"/>
        <v>-10</v>
      </c>
      <c r="L253" s="301"/>
      <c r="M253" s="303">
        <f t="shared" si="20"/>
        <v>0</v>
      </c>
      <c r="N253" s="276"/>
      <c r="O253" s="276"/>
      <c r="P253" s="276"/>
      <c r="Q253" s="276"/>
      <c r="R253" s="276"/>
    </row>
    <row r="254" spans="1:38" s="282" customFormat="1">
      <c r="A254" s="271">
        <f t="shared" si="21"/>
        <v>0</v>
      </c>
      <c r="B254" s="265" t="str">
        <f t="shared" si="18"/>
        <v/>
      </c>
      <c r="C254" s="266"/>
      <c r="D254" s="266"/>
      <c r="E254" s="266"/>
      <c r="F254" s="266"/>
      <c r="G254" s="276"/>
      <c r="H254" s="295">
        <v>249</v>
      </c>
      <c r="I254" s="296" t="str">
        <f t="shared" si="22"/>
        <v/>
      </c>
      <c r="J254" s="295">
        <f t="shared" si="23"/>
        <v>-1</v>
      </c>
      <c r="K254" s="295">
        <f t="shared" si="19"/>
        <v>-10</v>
      </c>
      <c r="L254" s="295"/>
      <c r="M254" s="297">
        <f t="shared" si="20"/>
        <v>0</v>
      </c>
      <c r="N254" s="276"/>
      <c r="O254" s="276"/>
      <c r="P254" s="276"/>
      <c r="Q254" s="276"/>
      <c r="R254" s="276"/>
    </row>
    <row r="255" spans="1:38" s="276" customFormat="1">
      <c r="A255" s="270">
        <f t="shared" si="21"/>
        <v>0</v>
      </c>
      <c r="B255" s="268" t="str">
        <f t="shared" si="18"/>
        <v/>
      </c>
      <c r="C255" s="269"/>
      <c r="D255" s="269"/>
      <c r="E255" s="269"/>
      <c r="F255" s="269"/>
      <c r="H255" s="301">
        <v>250</v>
      </c>
      <c r="I255" s="302" t="str">
        <f t="shared" si="22"/>
        <v/>
      </c>
      <c r="J255" s="301">
        <f t="shared" si="23"/>
        <v>-1</v>
      </c>
      <c r="K255" s="301">
        <f t="shared" si="19"/>
        <v>-10</v>
      </c>
      <c r="L255" s="301"/>
      <c r="M255" s="303">
        <f t="shared" si="20"/>
        <v>0</v>
      </c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  <c r="AC255" s="282"/>
      <c r="AD255" s="282"/>
      <c r="AE255" s="282"/>
      <c r="AF255" s="282"/>
      <c r="AG255" s="282"/>
      <c r="AH255" s="282"/>
      <c r="AI255" s="282"/>
      <c r="AJ255" s="282"/>
      <c r="AK255" s="282"/>
      <c r="AL255" s="282"/>
    </row>
    <row r="256" spans="1:38" s="276" customFormat="1">
      <c r="A256" s="271">
        <f t="shared" si="21"/>
        <v>0</v>
      </c>
      <c r="B256" s="265" t="str">
        <f t="shared" si="18"/>
        <v/>
      </c>
      <c r="C256" s="266"/>
      <c r="D256" s="266"/>
      <c r="E256" s="266"/>
      <c r="F256" s="266"/>
      <c r="H256" s="295">
        <v>251</v>
      </c>
      <c r="I256" s="296" t="str">
        <f t="shared" si="22"/>
        <v/>
      </c>
      <c r="J256" s="295">
        <f t="shared" si="23"/>
        <v>-1</v>
      </c>
      <c r="K256" s="295">
        <f t="shared" si="19"/>
        <v>-10</v>
      </c>
      <c r="L256" s="295"/>
      <c r="M256" s="297">
        <f t="shared" si="20"/>
        <v>0</v>
      </c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  <c r="AC256" s="282"/>
      <c r="AD256" s="282"/>
      <c r="AE256" s="282"/>
      <c r="AF256" s="282"/>
      <c r="AG256" s="282"/>
      <c r="AH256" s="282"/>
      <c r="AI256" s="282"/>
      <c r="AJ256" s="282"/>
      <c r="AK256" s="282"/>
      <c r="AL256" s="282"/>
    </row>
    <row r="257" spans="1:38" s="276" customFormat="1">
      <c r="A257" s="270">
        <f t="shared" si="21"/>
        <v>0</v>
      </c>
      <c r="B257" s="268" t="str">
        <f t="shared" si="18"/>
        <v/>
      </c>
      <c r="C257" s="269"/>
      <c r="D257" s="269"/>
      <c r="E257" s="269"/>
      <c r="F257" s="269"/>
      <c r="H257" s="301">
        <v>252</v>
      </c>
      <c r="I257" s="302" t="str">
        <f t="shared" si="22"/>
        <v/>
      </c>
      <c r="J257" s="301">
        <f t="shared" si="23"/>
        <v>-1</v>
      </c>
      <c r="K257" s="301">
        <f t="shared" si="19"/>
        <v>-10</v>
      </c>
      <c r="L257" s="301"/>
      <c r="M257" s="303">
        <f t="shared" si="20"/>
        <v>0</v>
      </c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  <c r="AC257" s="282"/>
      <c r="AD257" s="282"/>
      <c r="AE257" s="282"/>
      <c r="AF257" s="282"/>
      <c r="AG257" s="282"/>
      <c r="AH257" s="282"/>
      <c r="AI257" s="282"/>
      <c r="AJ257" s="282"/>
      <c r="AK257" s="282"/>
      <c r="AL257" s="282"/>
    </row>
    <row r="258" spans="1:38" s="276" customFormat="1">
      <c r="A258" s="271">
        <f t="shared" si="21"/>
        <v>0</v>
      </c>
      <c r="B258" s="265" t="str">
        <f t="shared" si="18"/>
        <v/>
      </c>
      <c r="C258" s="266"/>
      <c r="D258" s="266"/>
      <c r="E258" s="266"/>
      <c r="F258" s="266"/>
      <c r="H258" s="295">
        <v>253</v>
      </c>
      <c r="I258" s="296" t="str">
        <f t="shared" si="22"/>
        <v/>
      </c>
      <c r="J258" s="295">
        <f t="shared" si="23"/>
        <v>-1</v>
      </c>
      <c r="K258" s="295">
        <f t="shared" si="19"/>
        <v>-10</v>
      </c>
      <c r="L258" s="295"/>
      <c r="M258" s="297">
        <f t="shared" si="20"/>
        <v>0</v>
      </c>
      <c r="S258" s="282"/>
      <c r="T258" s="282"/>
      <c r="U258" s="282"/>
      <c r="V258" s="282"/>
      <c r="W258" s="282"/>
      <c r="X258" s="282"/>
      <c r="Y258" s="282"/>
      <c r="Z258" s="282"/>
      <c r="AA258" s="282"/>
      <c r="AB258" s="282"/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</row>
    <row r="259" spans="1:38" s="276" customFormat="1">
      <c r="A259" s="270">
        <f t="shared" si="21"/>
        <v>0</v>
      </c>
      <c r="B259" s="268" t="str">
        <f t="shared" si="18"/>
        <v/>
      </c>
      <c r="C259" s="269"/>
      <c r="D259" s="269"/>
      <c r="E259" s="269"/>
      <c r="F259" s="269"/>
      <c r="H259" s="301">
        <v>254</v>
      </c>
      <c r="I259" s="302" t="str">
        <f t="shared" si="22"/>
        <v/>
      </c>
      <c r="J259" s="301">
        <f t="shared" si="23"/>
        <v>-1</v>
      </c>
      <c r="K259" s="301">
        <f t="shared" si="19"/>
        <v>-10</v>
      </c>
      <c r="L259" s="301"/>
      <c r="M259" s="303">
        <f t="shared" si="20"/>
        <v>0</v>
      </c>
      <c r="S259" s="282"/>
      <c r="T259" s="282"/>
      <c r="U259" s="282"/>
      <c r="V259" s="282"/>
      <c r="W259" s="282"/>
      <c r="X259" s="282"/>
      <c r="Y259" s="282"/>
      <c r="Z259" s="282"/>
      <c r="AA259" s="282"/>
      <c r="AB259" s="282"/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</row>
    <row r="260" spans="1:38" s="276" customFormat="1">
      <c r="A260" s="271">
        <f t="shared" si="21"/>
        <v>0</v>
      </c>
      <c r="B260" s="265" t="str">
        <f t="shared" si="18"/>
        <v/>
      </c>
      <c r="C260" s="266"/>
      <c r="D260" s="266"/>
      <c r="E260" s="266"/>
      <c r="F260" s="266"/>
      <c r="H260" s="295">
        <v>255</v>
      </c>
      <c r="I260" s="296" t="str">
        <f t="shared" si="22"/>
        <v/>
      </c>
      <c r="J260" s="295">
        <f t="shared" si="23"/>
        <v>-1</v>
      </c>
      <c r="K260" s="295">
        <f t="shared" si="19"/>
        <v>-10</v>
      </c>
      <c r="L260" s="295"/>
      <c r="M260" s="297">
        <f t="shared" si="20"/>
        <v>0</v>
      </c>
      <c r="S260" s="282"/>
      <c r="T260" s="282"/>
      <c r="U260" s="282"/>
      <c r="V260" s="282"/>
      <c r="W260" s="282"/>
      <c r="X260" s="282"/>
      <c r="Y260" s="282"/>
      <c r="Z260" s="282"/>
      <c r="AA260" s="282"/>
      <c r="AB260" s="282"/>
      <c r="AC260" s="282"/>
      <c r="AD260" s="282"/>
      <c r="AE260" s="282"/>
      <c r="AF260" s="282"/>
      <c r="AG260" s="282"/>
      <c r="AH260" s="282"/>
      <c r="AI260" s="282"/>
      <c r="AJ260" s="282"/>
      <c r="AK260" s="282"/>
      <c r="AL260" s="282"/>
    </row>
    <row r="261" spans="1:38" s="276" customFormat="1">
      <c r="A261" s="270">
        <f t="shared" si="21"/>
        <v>0</v>
      </c>
      <c r="B261" s="268" t="str">
        <f t="shared" si="18"/>
        <v/>
      </c>
      <c r="C261" s="269"/>
      <c r="D261" s="269"/>
      <c r="E261" s="269"/>
      <c r="F261" s="269"/>
      <c r="H261" s="301">
        <v>256</v>
      </c>
      <c r="I261" s="302" t="str">
        <f t="shared" si="22"/>
        <v/>
      </c>
      <c r="J261" s="301">
        <f t="shared" si="23"/>
        <v>-1</v>
      </c>
      <c r="K261" s="301">
        <f t="shared" si="19"/>
        <v>-10</v>
      </c>
      <c r="L261" s="301"/>
      <c r="M261" s="303">
        <f t="shared" si="20"/>
        <v>0</v>
      </c>
      <c r="S261" s="282"/>
      <c r="T261" s="282"/>
      <c r="U261" s="282"/>
      <c r="V261" s="282"/>
      <c r="W261" s="282"/>
      <c r="X261" s="282"/>
      <c r="Y261" s="282"/>
      <c r="Z261" s="282"/>
      <c r="AA261" s="282"/>
      <c r="AB261" s="282"/>
      <c r="AC261" s="282"/>
      <c r="AD261" s="282"/>
      <c r="AE261" s="282"/>
      <c r="AF261" s="282"/>
      <c r="AG261" s="282"/>
      <c r="AH261" s="282"/>
      <c r="AI261" s="282"/>
      <c r="AJ261" s="282"/>
      <c r="AK261" s="282"/>
      <c r="AL261" s="282"/>
    </row>
    <row r="262" spans="1:38" s="276" customFormat="1">
      <c r="A262" s="271">
        <f t="shared" si="21"/>
        <v>0</v>
      </c>
      <c r="B262" s="265" t="str">
        <f t="shared" ref="B262:B269" si="24">IF(H262&gt;$H$2,"",(ROW()-5))</f>
        <v/>
      </c>
      <c r="C262" s="266"/>
      <c r="D262" s="266"/>
      <c r="E262" s="266"/>
      <c r="F262" s="266"/>
      <c r="H262" s="295">
        <v>257</v>
      </c>
      <c r="I262" s="296" t="str">
        <f t="shared" si="22"/>
        <v/>
      </c>
      <c r="J262" s="295">
        <f t="shared" si="23"/>
        <v>-2</v>
      </c>
      <c r="K262" s="295">
        <f t="shared" ref="K262:K305" si="25">J262*$J$2</f>
        <v>-20</v>
      </c>
      <c r="L262" s="295"/>
      <c r="M262" s="297">
        <f t="shared" ref="M262:M305" si="26">IF(I262&lt;&gt;"",K262+I262+L262,0)</f>
        <v>0</v>
      </c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  <c r="AE262" s="282"/>
      <c r="AF262" s="282"/>
      <c r="AG262" s="282"/>
      <c r="AH262" s="282"/>
      <c r="AI262" s="282"/>
      <c r="AJ262" s="282"/>
      <c r="AK262" s="282"/>
      <c r="AL262" s="282"/>
    </row>
    <row r="263" spans="1:38" s="276" customFormat="1">
      <c r="A263" s="270">
        <f t="shared" ref="A263:A269" si="27">M263</f>
        <v>0</v>
      </c>
      <c r="B263" s="268" t="str">
        <f t="shared" si="24"/>
        <v/>
      </c>
      <c r="C263" s="269"/>
      <c r="D263" s="269"/>
      <c r="E263" s="269"/>
      <c r="F263" s="269"/>
      <c r="H263" s="301">
        <v>258</v>
      </c>
      <c r="I263" s="302" t="str">
        <f t="shared" ref="I263:I305" si="28">IF(H263&lt;$H$2+1,($I$2-($I$2-1)*(LOG(H263)/LOG($H$2))),"")</f>
        <v/>
      </c>
      <c r="J263" s="301">
        <f t="shared" ref="J263:J326" si="29">INT(LOG($H$2,2))-ROUNDUP(LOG(H263,2),0)+IF(OR($H$2=1,$H$2=2,$H$2=4,$H$2=8,$H$2=16,$H$2=32,$H$2=64,$H$2=128,$H$2=256),0,1)</f>
        <v>-2</v>
      </c>
      <c r="K263" s="301">
        <f t="shared" si="25"/>
        <v>-20</v>
      </c>
      <c r="L263" s="301"/>
      <c r="M263" s="303">
        <f t="shared" si="26"/>
        <v>0</v>
      </c>
      <c r="S263" s="282"/>
      <c r="T263" s="282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  <c r="AE263" s="282"/>
      <c r="AF263" s="282"/>
      <c r="AG263" s="282"/>
      <c r="AH263" s="282"/>
      <c r="AI263" s="282"/>
      <c r="AJ263" s="282"/>
      <c r="AK263" s="282"/>
      <c r="AL263" s="282"/>
    </row>
    <row r="264" spans="1:38" s="276" customFormat="1">
      <c r="A264" s="271">
        <f t="shared" si="27"/>
        <v>0</v>
      </c>
      <c r="B264" s="265" t="str">
        <f t="shared" si="24"/>
        <v/>
      </c>
      <c r="C264" s="266"/>
      <c r="D264" s="266"/>
      <c r="E264" s="266"/>
      <c r="F264" s="266"/>
      <c r="H264" s="295">
        <v>259</v>
      </c>
      <c r="I264" s="296" t="str">
        <f t="shared" si="28"/>
        <v/>
      </c>
      <c r="J264" s="295">
        <f t="shared" si="29"/>
        <v>-2</v>
      </c>
      <c r="K264" s="295">
        <f t="shared" si="25"/>
        <v>-20</v>
      </c>
      <c r="L264" s="295"/>
      <c r="M264" s="297">
        <f t="shared" si="26"/>
        <v>0</v>
      </c>
      <c r="S264" s="282"/>
      <c r="T264" s="282"/>
      <c r="U264" s="282"/>
      <c r="V264" s="282"/>
      <c r="W264" s="282"/>
      <c r="X264" s="282"/>
      <c r="Y264" s="282"/>
      <c r="Z264" s="282"/>
      <c r="AA264" s="282"/>
      <c r="AB264" s="282"/>
      <c r="AC264" s="282"/>
      <c r="AD264" s="282"/>
      <c r="AE264" s="282"/>
      <c r="AF264" s="282"/>
      <c r="AG264" s="282"/>
      <c r="AH264" s="282"/>
      <c r="AI264" s="282"/>
      <c r="AJ264" s="282"/>
      <c r="AK264" s="282"/>
      <c r="AL264" s="282"/>
    </row>
    <row r="265" spans="1:38" s="276" customFormat="1">
      <c r="A265" s="270">
        <f t="shared" si="27"/>
        <v>0</v>
      </c>
      <c r="B265" s="268" t="str">
        <f t="shared" si="24"/>
        <v/>
      </c>
      <c r="C265" s="269"/>
      <c r="D265" s="269"/>
      <c r="E265" s="269"/>
      <c r="F265" s="269"/>
      <c r="H265" s="301">
        <v>260</v>
      </c>
      <c r="I265" s="302" t="str">
        <f t="shared" si="28"/>
        <v/>
      </c>
      <c r="J265" s="301">
        <f t="shared" si="29"/>
        <v>-2</v>
      </c>
      <c r="K265" s="301">
        <f t="shared" si="25"/>
        <v>-20</v>
      </c>
      <c r="L265" s="301"/>
      <c r="M265" s="303">
        <f t="shared" si="26"/>
        <v>0</v>
      </c>
      <c r="S265" s="282"/>
      <c r="T265" s="282"/>
      <c r="U265" s="282"/>
      <c r="V265" s="282"/>
      <c r="W265" s="282"/>
      <c r="X265" s="282"/>
      <c r="Y265" s="282"/>
      <c r="Z265" s="282"/>
      <c r="AA265" s="282"/>
      <c r="AB265" s="282"/>
      <c r="AC265" s="282"/>
      <c r="AD265" s="282"/>
      <c r="AE265" s="282"/>
      <c r="AF265" s="282"/>
      <c r="AG265" s="282"/>
      <c r="AH265" s="282"/>
      <c r="AI265" s="282"/>
      <c r="AJ265" s="282"/>
      <c r="AK265" s="282"/>
      <c r="AL265" s="282"/>
    </row>
    <row r="266" spans="1:38" s="276" customFormat="1">
      <c r="A266" s="271">
        <f t="shared" si="27"/>
        <v>0</v>
      </c>
      <c r="B266" s="265" t="str">
        <f t="shared" si="24"/>
        <v/>
      </c>
      <c r="C266" s="266"/>
      <c r="D266" s="266"/>
      <c r="E266" s="266"/>
      <c r="F266" s="266"/>
      <c r="H266" s="295">
        <v>261</v>
      </c>
      <c r="I266" s="296" t="str">
        <f t="shared" si="28"/>
        <v/>
      </c>
      <c r="J266" s="295">
        <f t="shared" si="29"/>
        <v>-2</v>
      </c>
      <c r="K266" s="295">
        <f t="shared" si="25"/>
        <v>-20</v>
      </c>
      <c r="L266" s="295"/>
      <c r="M266" s="297">
        <f t="shared" si="26"/>
        <v>0</v>
      </c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  <c r="AC266" s="282"/>
      <c r="AD266" s="282"/>
      <c r="AE266" s="282"/>
      <c r="AF266" s="282"/>
      <c r="AG266" s="282"/>
      <c r="AH266" s="282"/>
      <c r="AI266" s="282"/>
      <c r="AJ266" s="282"/>
      <c r="AK266" s="282"/>
      <c r="AL266" s="282"/>
    </row>
    <row r="267" spans="1:38" s="276" customFormat="1">
      <c r="A267" s="270">
        <f t="shared" si="27"/>
        <v>0</v>
      </c>
      <c r="B267" s="268" t="str">
        <f t="shared" si="24"/>
        <v/>
      </c>
      <c r="C267" s="269"/>
      <c r="D267" s="269"/>
      <c r="E267" s="269"/>
      <c r="F267" s="269"/>
      <c r="H267" s="301">
        <v>262</v>
      </c>
      <c r="I267" s="302" t="str">
        <f t="shared" si="28"/>
        <v/>
      </c>
      <c r="J267" s="301">
        <f t="shared" si="29"/>
        <v>-2</v>
      </c>
      <c r="K267" s="301">
        <f t="shared" si="25"/>
        <v>-20</v>
      </c>
      <c r="L267" s="301"/>
      <c r="M267" s="303">
        <f t="shared" si="26"/>
        <v>0</v>
      </c>
      <c r="S267" s="282"/>
      <c r="T267" s="282"/>
      <c r="U267" s="282"/>
      <c r="V267" s="282"/>
      <c r="W267" s="282"/>
      <c r="X267" s="282"/>
      <c r="Y267" s="282"/>
      <c r="Z267" s="282"/>
      <c r="AA267" s="282"/>
      <c r="AB267" s="282"/>
      <c r="AC267" s="282"/>
      <c r="AD267" s="282"/>
      <c r="AE267" s="282"/>
      <c r="AF267" s="282"/>
      <c r="AG267" s="282"/>
      <c r="AH267" s="282"/>
      <c r="AI267" s="282"/>
      <c r="AJ267" s="282"/>
      <c r="AK267" s="282"/>
      <c r="AL267" s="282"/>
    </row>
    <row r="268" spans="1:38" s="276" customFormat="1">
      <c r="A268" s="271">
        <f t="shared" si="27"/>
        <v>0</v>
      </c>
      <c r="B268" s="265" t="str">
        <f t="shared" si="24"/>
        <v/>
      </c>
      <c r="C268" s="266"/>
      <c r="D268" s="266"/>
      <c r="E268" s="266"/>
      <c r="F268" s="266"/>
      <c r="H268" s="295">
        <v>263</v>
      </c>
      <c r="I268" s="296" t="str">
        <f t="shared" si="28"/>
        <v/>
      </c>
      <c r="J268" s="295">
        <f t="shared" si="29"/>
        <v>-2</v>
      </c>
      <c r="K268" s="295">
        <f t="shared" si="25"/>
        <v>-20</v>
      </c>
      <c r="L268" s="295"/>
      <c r="M268" s="297">
        <f t="shared" si="26"/>
        <v>0</v>
      </c>
      <c r="S268" s="282"/>
      <c r="T268" s="282"/>
      <c r="U268" s="282"/>
      <c r="V268" s="282"/>
      <c r="W268" s="282"/>
      <c r="X268" s="282"/>
      <c r="Y268" s="282"/>
      <c r="Z268" s="282"/>
      <c r="AA268" s="282"/>
      <c r="AB268" s="282"/>
      <c r="AC268" s="282"/>
      <c r="AD268" s="282"/>
      <c r="AE268" s="282"/>
      <c r="AF268" s="282"/>
      <c r="AG268" s="282"/>
      <c r="AH268" s="282"/>
      <c r="AI268" s="282"/>
      <c r="AJ268" s="282"/>
      <c r="AK268" s="282"/>
      <c r="AL268" s="282"/>
    </row>
    <row r="269" spans="1:38" s="276" customFormat="1">
      <c r="A269" s="270">
        <f t="shared" si="27"/>
        <v>0</v>
      </c>
      <c r="B269" s="268" t="str">
        <f t="shared" si="24"/>
        <v/>
      </c>
      <c r="C269" s="269"/>
      <c r="D269" s="269"/>
      <c r="E269" s="269"/>
      <c r="F269" s="269"/>
      <c r="H269" s="301">
        <v>264</v>
      </c>
      <c r="I269" s="302" t="str">
        <f t="shared" si="28"/>
        <v/>
      </c>
      <c r="J269" s="301">
        <f t="shared" si="29"/>
        <v>-2</v>
      </c>
      <c r="K269" s="301">
        <f t="shared" si="25"/>
        <v>-20</v>
      </c>
      <c r="L269" s="301"/>
      <c r="M269" s="303">
        <f t="shared" si="26"/>
        <v>0</v>
      </c>
      <c r="S269" s="282"/>
      <c r="T269" s="282"/>
      <c r="U269" s="282"/>
      <c r="V269" s="282"/>
      <c r="W269" s="282"/>
      <c r="X269" s="282"/>
      <c r="Y269" s="282"/>
      <c r="Z269" s="282"/>
      <c r="AA269" s="282"/>
      <c r="AB269" s="282"/>
      <c r="AC269" s="282"/>
      <c r="AD269" s="282"/>
      <c r="AE269" s="282"/>
      <c r="AF269" s="282"/>
      <c r="AG269" s="282"/>
      <c r="AH269" s="282"/>
      <c r="AI269" s="282"/>
      <c r="AJ269" s="282"/>
      <c r="AK269" s="282"/>
      <c r="AL269" s="282"/>
    </row>
    <row r="270" spans="1:38">
      <c r="A270" s="314"/>
      <c r="G270" s="276"/>
      <c r="H270" s="295">
        <v>265</v>
      </c>
      <c r="I270" s="296" t="str">
        <f t="shared" si="28"/>
        <v/>
      </c>
      <c r="J270" s="295">
        <f t="shared" si="29"/>
        <v>-2</v>
      </c>
      <c r="K270" s="295">
        <f t="shared" si="25"/>
        <v>-20</v>
      </c>
      <c r="L270" s="295"/>
      <c r="M270" s="297">
        <f t="shared" si="26"/>
        <v>0</v>
      </c>
    </row>
    <row r="271" spans="1:38">
      <c r="A271" s="314"/>
      <c r="G271" s="276"/>
      <c r="H271" s="295">
        <v>266</v>
      </c>
      <c r="I271" s="296" t="str">
        <f t="shared" si="28"/>
        <v/>
      </c>
      <c r="J271" s="295">
        <f t="shared" si="29"/>
        <v>-2</v>
      </c>
      <c r="K271" s="295">
        <f t="shared" si="25"/>
        <v>-20</v>
      </c>
      <c r="L271" s="295"/>
      <c r="M271" s="297">
        <f t="shared" si="26"/>
        <v>0</v>
      </c>
    </row>
    <row r="272" spans="1:38">
      <c r="A272" s="314"/>
      <c r="G272" s="276"/>
      <c r="H272" s="295">
        <v>267</v>
      </c>
      <c r="I272" s="296" t="str">
        <f t="shared" si="28"/>
        <v/>
      </c>
      <c r="J272" s="295">
        <f t="shared" si="29"/>
        <v>-2</v>
      </c>
      <c r="K272" s="295">
        <f t="shared" si="25"/>
        <v>-20</v>
      </c>
      <c r="L272" s="295"/>
      <c r="M272" s="297">
        <f t="shared" si="26"/>
        <v>0</v>
      </c>
    </row>
    <row r="273" spans="1:13">
      <c r="A273" s="314"/>
      <c r="G273" s="276"/>
      <c r="H273" s="295">
        <v>268</v>
      </c>
      <c r="I273" s="296" t="str">
        <f t="shared" si="28"/>
        <v/>
      </c>
      <c r="J273" s="295">
        <f t="shared" si="29"/>
        <v>-2</v>
      </c>
      <c r="K273" s="295">
        <f t="shared" si="25"/>
        <v>-20</v>
      </c>
      <c r="L273" s="295"/>
      <c r="M273" s="297">
        <f t="shared" si="26"/>
        <v>0</v>
      </c>
    </row>
    <row r="274" spans="1:13">
      <c r="A274" s="314"/>
      <c r="G274" s="276"/>
      <c r="H274" s="295">
        <v>269</v>
      </c>
      <c r="I274" s="296" t="str">
        <f t="shared" si="28"/>
        <v/>
      </c>
      <c r="J274" s="295">
        <f t="shared" si="29"/>
        <v>-2</v>
      </c>
      <c r="K274" s="295">
        <f t="shared" si="25"/>
        <v>-20</v>
      </c>
      <c r="L274" s="295"/>
      <c r="M274" s="297">
        <f t="shared" si="26"/>
        <v>0</v>
      </c>
    </row>
    <row r="275" spans="1:13">
      <c r="A275" s="314"/>
      <c r="G275" s="276"/>
      <c r="H275" s="295">
        <v>270</v>
      </c>
      <c r="I275" s="296" t="str">
        <f t="shared" si="28"/>
        <v/>
      </c>
      <c r="J275" s="295">
        <f t="shared" si="29"/>
        <v>-2</v>
      </c>
      <c r="K275" s="295">
        <f t="shared" si="25"/>
        <v>-20</v>
      </c>
      <c r="L275" s="295"/>
      <c r="M275" s="297">
        <f t="shared" si="26"/>
        <v>0</v>
      </c>
    </row>
    <row r="276" spans="1:13">
      <c r="A276" s="314"/>
      <c r="G276" s="276"/>
      <c r="H276" s="295">
        <v>271</v>
      </c>
      <c r="I276" s="296" t="str">
        <f t="shared" si="28"/>
        <v/>
      </c>
      <c r="J276" s="295">
        <f t="shared" si="29"/>
        <v>-2</v>
      </c>
      <c r="K276" s="295">
        <f t="shared" si="25"/>
        <v>-20</v>
      </c>
      <c r="L276" s="295"/>
      <c r="M276" s="297">
        <f t="shared" si="26"/>
        <v>0</v>
      </c>
    </row>
    <row r="277" spans="1:13">
      <c r="A277" s="314"/>
      <c r="G277" s="276"/>
      <c r="H277" s="295">
        <v>272</v>
      </c>
      <c r="I277" s="296" t="str">
        <f t="shared" si="28"/>
        <v/>
      </c>
      <c r="J277" s="295">
        <f t="shared" si="29"/>
        <v>-2</v>
      </c>
      <c r="K277" s="295">
        <f t="shared" si="25"/>
        <v>-20</v>
      </c>
      <c r="L277" s="295"/>
      <c r="M277" s="297">
        <f t="shared" si="26"/>
        <v>0</v>
      </c>
    </row>
    <row r="278" spans="1:13">
      <c r="A278" s="314"/>
      <c r="G278" s="276"/>
      <c r="H278" s="295">
        <v>273</v>
      </c>
      <c r="I278" s="296" t="str">
        <f t="shared" si="28"/>
        <v/>
      </c>
      <c r="J278" s="295">
        <f t="shared" si="29"/>
        <v>-2</v>
      </c>
      <c r="K278" s="295">
        <f t="shared" si="25"/>
        <v>-20</v>
      </c>
      <c r="L278" s="295"/>
      <c r="M278" s="297">
        <f t="shared" si="26"/>
        <v>0</v>
      </c>
    </row>
    <row r="279" spans="1:13">
      <c r="A279" s="314"/>
      <c r="G279" s="276"/>
      <c r="H279" s="295">
        <v>274</v>
      </c>
      <c r="I279" s="296" t="str">
        <f t="shared" si="28"/>
        <v/>
      </c>
      <c r="J279" s="295">
        <f t="shared" si="29"/>
        <v>-2</v>
      </c>
      <c r="K279" s="295">
        <f t="shared" si="25"/>
        <v>-20</v>
      </c>
      <c r="L279" s="295"/>
      <c r="M279" s="297">
        <f t="shared" si="26"/>
        <v>0</v>
      </c>
    </row>
    <row r="280" spans="1:13">
      <c r="A280" s="314"/>
      <c r="G280" s="276"/>
      <c r="H280" s="295">
        <v>275</v>
      </c>
      <c r="I280" s="296" t="str">
        <f t="shared" si="28"/>
        <v/>
      </c>
      <c r="J280" s="295">
        <f t="shared" si="29"/>
        <v>-2</v>
      </c>
      <c r="K280" s="295">
        <f t="shared" si="25"/>
        <v>-20</v>
      </c>
      <c r="L280" s="295"/>
      <c r="M280" s="297">
        <f t="shared" si="26"/>
        <v>0</v>
      </c>
    </row>
    <row r="281" spans="1:13">
      <c r="A281" s="314"/>
      <c r="G281" s="276"/>
      <c r="H281" s="295">
        <v>276</v>
      </c>
      <c r="I281" s="296" t="str">
        <f t="shared" si="28"/>
        <v/>
      </c>
      <c r="J281" s="295">
        <f t="shared" si="29"/>
        <v>-2</v>
      </c>
      <c r="K281" s="295">
        <f t="shared" si="25"/>
        <v>-20</v>
      </c>
      <c r="L281" s="295"/>
      <c r="M281" s="297">
        <f t="shared" si="26"/>
        <v>0</v>
      </c>
    </row>
    <row r="282" spans="1:13">
      <c r="A282" s="314"/>
      <c r="G282" s="276"/>
      <c r="H282" s="295">
        <v>277</v>
      </c>
      <c r="I282" s="296" t="str">
        <f t="shared" si="28"/>
        <v/>
      </c>
      <c r="J282" s="295">
        <f t="shared" si="29"/>
        <v>-2</v>
      </c>
      <c r="K282" s="295">
        <f t="shared" si="25"/>
        <v>-20</v>
      </c>
      <c r="L282" s="295"/>
      <c r="M282" s="297">
        <f t="shared" si="26"/>
        <v>0</v>
      </c>
    </row>
    <row r="283" spans="1:13">
      <c r="A283" s="314"/>
      <c r="G283" s="276"/>
      <c r="H283" s="295">
        <v>278</v>
      </c>
      <c r="I283" s="296" t="str">
        <f t="shared" si="28"/>
        <v/>
      </c>
      <c r="J283" s="295">
        <f t="shared" si="29"/>
        <v>-2</v>
      </c>
      <c r="K283" s="295">
        <f t="shared" si="25"/>
        <v>-20</v>
      </c>
      <c r="L283" s="295"/>
      <c r="M283" s="297">
        <f t="shared" si="26"/>
        <v>0</v>
      </c>
    </row>
    <row r="284" spans="1:13">
      <c r="A284" s="314"/>
      <c r="G284" s="276"/>
      <c r="H284" s="295">
        <v>279</v>
      </c>
      <c r="I284" s="296" t="str">
        <f t="shared" si="28"/>
        <v/>
      </c>
      <c r="J284" s="295">
        <f t="shared" si="29"/>
        <v>-2</v>
      </c>
      <c r="K284" s="295">
        <f t="shared" si="25"/>
        <v>-20</v>
      </c>
      <c r="L284" s="295"/>
      <c r="M284" s="297">
        <f t="shared" si="26"/>
        <v>0</v>
      </c>
    </row>
    <row r="285" spans="1:13">
      <c r="A285" s="314"/>
      <c r="G285" s="276"/>
      <c r="H285" s="295">
        <v>280</v>
      </c>
      <c r="I285" s="296" t="str">
        <f t="shared" si="28"/>
        <v/>
      </c>
      <c r="J285" s="295">
        <f t="shared" si="29"/>
        <v>-2</v>
      </c>
      <c r="K285" s="295">
        <f t="shared" si="25"/>
        <v>-20</v>
      </c>
      <c r="L285" s="295"/>
      <c r="M285" s="297">
        <f t="shared" si="26"/>
        <v>0</v>
      </c>
    </row>
    <row r="286" spans="1:13">
      <c r="A286" s="314"/>
      <c r="G286" s="276"/>
      <c r="H286" s="295">
        <v>281</v>
      </c>
      <c r="I286" s="296" t="str">
        <f t="shared" si="28"/>
        <v/>
      </c>
      <c r="J286" s="295">
        <f t="shared" si="29"/>
        <v>-2</v>
      </c>
      <c r="K286" s="295">
        <f t="shared" si="25"/>
        <v>-20</v>
      </c>
      <c r="L286" s="295"/>
      <c r="M286" s="297">
        <f t="shared" si="26"/>
        <v>0</v>
      </c>
    </row>
    <row r="287" spans="1:13">
      <c r="A287" s="314"/>
      <c r="G287" s="276"/>
      <c r="H287" s="295">
        <v>282</v>
      </c>
      <c r="I287" s="296" t="str">
        <f t="shared" si="28"/>
        <v/>
      </c>
      <c r="J287" s="295">
        <f t="shared" si="29"/>
        <v>-2</v>
      </c>
      <c r="K287" s="295">
        <f t="shared" si="25"/>
        <v>-20</v>
      </c>
      <c r="L287" s="295"/>
      <c r="M287" s="297">
        <f t="shared" si="26"/>
        <v>0</v>
      </c>
    </row>
    <row r="288" spans="1:13">
      <c r="A288" s="314"/>
      <c r="G288" s="276"/>
      <c r="H288" s="295">
        <v>283</v>
      </c>
      <c r="I288" s="296" t="str">
        <f t="shared" si="28"/>
        <v/>
      </c>
      <c r="J288" s="295">
        <f t="shared" si="29"/>
        <v>-2</v>
      </c>
      <c r="K288" s="295">
        <f t="shared" si="25"/>
        <v>-20</v>
      </c>
      <c r="L288" s="295"/>
      <c r="M288" s="297">
        <f t="shared" si="26"/>
        <v>0</v>
      </c>
    </row>
    <row r="289" spans="1:13">
      <c r="A289" s="314"/>
      <c r="G289" s="276"/>
      <c r="H289" s="295">
        <v>284</v>
      </c>
      <c r="I289" s="296" t="str">
        <f t="shared" si="28"/>
        <v/>
      </c>
      <c r="J289" s="295">
        <f t="shared" si="29"/>
        <v>-2</v>
      </c>
      <c r="K289" s="295">
        <f t="shared" si="25"/>
        <v>-20</v>
      </c>
      <c r="L289" s="295"/>
      <c r="M289" s="297">
        <f t="shared" si="26"/>
        <v>0</v>
      </c>
    </row>
    <row r="290" spans="1:13">
      <c r="A290" s="314"/>
      <c r="G290" s="276"/>
      <c r="H290" s="295">
        <v>285</v>
      </c>
      <c r="I290" s="296" t="str">
        <f t="shared" si="28"/>
        <v/>
      </c>
      <c r="J290" s="295">
        <f t="shared" si="29"/>
        <v>-2</v>
      </c>
      <c r="K290" s="295">
        <f t="shared" si="25"/>
        <v>-20</v>
      </c>
      <c r="L290" s="295"/>
      <c r="M290" s="297">
        <f t="shared" si="26"/>
        <v>0</v>
      </c>
    </row>
    <row r="291" spans="1:13">
      <c r="A291" s="314"/>
      <c r="G291" s="276"/>
      <c r="H291" s="295">
        <v>286</v>
      </c>
      <c r="I291" s="296" t="str">
        <f t="shared" si="28"/>
        <v/>
      </c>
      <c r="J291" s="295">
        <f t="shared" si="29"/>
        <v>-2</v>
      </c>
      <c r="K291" s="295">
        <f t="shared" si="25"/>
        <v>-20</v>
      </c>
      <c r="L291" s="295"/>
      <c r="M291" s="297">
        <f t="shared" si="26"/>
        <v>0</v>
      </c>
    </row>
    <row r="292" spans="1:13">
      <c r="A292" s="314"/>
      <c r="G292" s="276"/>
      <c r="H292" s="295">
        <v>287</v>
      </c>
      <c r="I292" s="296" t="str">
        <f t="shared" si="28"/>
        <v/>
      </c>
      <c r="J292" s="295">
        <f t="shared" si="29"/>
        <v>-2</v>
      </c>
      <c r="K292" s="295">
        <f t="shared" si="25"/>
        <v>-20</v>
      </c>
      <c r="L292" s="295"/>
      <c r="M292" s="297">
        <f t="shared" si="26"/>
        <v>0</v>
      </c>
    </row>
    <row r="293" spans="1:13">
      <c r="A293" s="314"/>
      <c r="G293" s="276"/>
      <c r="H293" s="295">
        <v>288</v>
      </c>
      <c r="I293" s="296" t="str">
        <f t="shared" si="28"/>
        <v/>
      </c>
      <c r="J293" s="295">
        <f t="shared" si="29"/>
        <v>-2</v>
      </c>
      <c r="K293" s="295">
        <f t="shared" si="25"/>
        <v>-20</v>
      </c>
      <c r="L293" s="295"/>
      <c r="M293" s="297">
        <f t="shared" si="26"/>
        <v>0</v>
      </c>
    </row>
    <row r="294" spans="1:13">
      <c r="A294" s="314"/>
      <c r="G294" s="276"/>
      <c r="H294" s="295">
        <v>289</v>
      </c>
      <c r="I294" s="296" t="str">
        <f t="shared" si="28"/>
        <v/>
      </c>
      <c r="J294" s="295">
        <f t="shared" si="29"/>
        <v>-2</v>
      </c>
      <c r="K294" s="295">
        <f t="shared" si="25"/>
        <v>-20</v>
      </c>
      <c r="L294" s="295"/>
      <c r="M294" s="297">
        <f t="shared" si="26"/>
        <v>0</v>
      </c>
    </row>
    <row r="295" spans="1:13">
      <c r="A295" s="314"/>
      <c r="G295" s="276"/>
      <c r="H295" s="295">
        <v>290</v>
      </c>
      <c r="I295" s="296" t="str">
        <f t="shared" si="28"/>
        <v/>
      </c>
      <c r="J295" s="295">
        <f t="shared" si="29"/>
        <v>-2</v>
      </c>
      <c r="K295" s="295">
        <f t="shared" si="25"/>
        <v>-20</v>
      </c>
      <c r="L295" s="295"/>
      <c r="M295" s="297">
        <f t="shared" si="26"/>
        <v>0</v>
      </c>
    </row>
    <row r="296" spans="1:13">
      <c r="A296" s="314"/>
      <c r="G296" s="276"/>
      <c r="H296" s="295">
        <v>291</v>
      </c>
      <c r="I296" s="296" t="str">
        <f t="shared" si="28"/>
        <v/>
      </c>
      <c r="J296" s="295">
        <f t="shared" si="29"/>
        <v>-2</v>
      </c>
      <c r="K296" s="295">
        <f t="shared" si="25"/>
        <v>-20</v>
      </c>
      <c r="L296" s="295"/>
      <c r="M296" s="297">
        <f t="shared" si="26"/>
        <v>0</v>
      </c>
    </row>
    <row r="297" spans="1:13">
      <c r="A297" s="314"/>
      <c r="G297" s="276"/>
      <c r="H297" s="295">
        <v>292</v>
      </c>
      <c r="I297" s="296" t="str">
        <f t="shared" si="28"/>
        <v/>
      </c>
      <c r="J297" s="295">
        <f t="shared" si="29"/>
        <v>-2</v>
      </c>
      <c r="K297" s="295">
        <f t="shared" si="25"/>
        <v>-20</v>
      </c>
      <c r="L297" s="295"/>
      <c r="M297" s="297">
        <f t="shared" si="26"/>
        <v>0</v>
      </c>
    </row>
    <row r="298" spans="1:13">
      <c r="A298" s="314"/>
      <c r="G298" s="276"/>
      <c r="H298" s="295">
        <v>293</v>
      </c>
      <c r="I298" s="296" t="str">
        <f t="shared" si="28"/>
        <v/>
      </c>
      <c r="J298" s="295">
        <f t="shared" si="29"/>
        <v>-2</v>
      </c>
      <c r="K298" s="295">
        <f t="shared" si="25"/>
        <v>-20</v>
      </c>
      <c r="L298" s="295"/>
      <c r="M298" s="297">
        <f t="shared" si="26"/>
        <v>0</v>
      </c>
    </row>
    <row r="299" spans="1:13">
      <c r="A299" s="314"/>
      <c r="G299" s="276"/>
      <c r="H299" s="295">
        <v>294</v>
      </c>
      <c r="I299" s="296" t="str">
        <f t="shared" si="28"/>
        <v/>
      </c>
      <c r="J299" s="295">
        <f t="shared" si="29"/>
        <v>-2</v>
      </c>
      <c r="K299" s="295">
        <f t="shared" si="25"/>
        <v>-20</v>
      </c>
      <c r="L299" s="295"/>
      <c r="M299" s="297">
        <f t="shared" si="26"/>
        <v>0</v>
      </c>
    </row>
    <row r="300" spans="1:13">
      <c r="A300" s="314"/>
      <c r="G300" s="276"/>
      <c r="H300" s="295">
        <v>295</v>
      </c>
      <c r="I300" s="296" t="str">
        <f t="shared" si="28"/>
        <v/>
      </c>
      <c r="J300" s="295">
        <f t="shared" si="29"/>
        <v>-2</v>
      </c>
      <c r="K300" s="295">
        <f t="shared" si="25"/>
        <v>-20</v>
      </c>
      <c r="L300" s="295"/>
      <c r="M300" s="297">
        <f t="shared" si="26"/>
        <v>0</v>
      </c>
    </row>
    <row r="301" spans="1:13">
      <c r="A301" s="314"/>
      <c r="G301" s="276"/>
      <c r="H301" s="295">
        <v>296</v>
      </c>
      <c r="I301" s="296" t="str">
        <f t="shared" si="28"/>
        <v/>
      </c>
      <c r="J301" s="295">
        <f t="shared" si="29"/>
        <v>-2</v>
      </c>
      <c r="K301" s="295">
        <f t="shared" si="25"/>
        <v>-20</v>
      </c>
      <c r="L301" s="295"/>
      <c r="M301" s="297">
        <f t="shared" si="26"/>
        <v>0</v>
      </c>
    </row>
    <row r="302" spans="1:13">
      <c r="A302" s="314"/>
      <c r="G302" s="276"/>
      <c r="H302" s="295">
        <v>297</v>
      </c>
      <c r="I302" s="296" t="str">
        <f t="shared" si="28"/>
        <v/>
      </c>
      <c r="J302" s="295">
        <f t="shared" si="29"/>
        <v>-2</v>
      </c>
      <c r="K302" s="295">
        <f t="shared" si="25"/>
        <v>-20</v>
      </c>
      <c r="L302" s="295"/>
      <c r="M302" s="297">
        <f t="shared" si="26"/>
        <v>0</v>
      </c>
    </row>
    <row r="303" spans="1:13">
      <c r="A303" s="314"/>
      <c r="G303" s="276"/>
      <c r="H303" s="295">
        <v>298</v>
      </c>
      <c r="I303" s="296" t="str">
        <f t="shared" si="28"/>
        <v/>
      </c>
      <c r="J303" s="295">
        <f t="shared" si="29"/>
        <v>-2</v>
      </c>
      <c r="K303" s="295">
        <f t="shared" si="25"/>
        <v>-20</v>
      </c>
      <c r="L303" s="295"/>
      <c r="M303" s="297">
        <f t="shared" si="26"/>
        <v>0</v>
      </c>
    </row>
    <row r="304" spans="1:13">
      <c r="A304" s="314"/>
      <c r="G304" s="276"/>
      <c r="H304" s="295">
        <v>299</v>
      </c>
      <c r="I304" s="296" t="str">
        <f t="shared" si="28"/>
        <v/>
      </c>
      <c r="J304" s="295">
        <f t="shared" si="29"/>
        <v>-2</v>
      </c>
      <c r="K304" s="295">
        <f t="shared" si="25"/>
        <v>-20</v>
      </c>
      <c r="L304" s="295"/>
      <c r="M304" s="297">
        <f t="shared" si="26"/>
        <v>0</v>
      </c>
    </row>
    <row r="305" spans="1:16">
      <c r="A305" s="314"/>
      <c r="G305" s="276"/>
      <c r="H305" s="295">
        <v>300</v>
      </c>
      <c r="I305" s="296" t="str">
        <f t="shared" si="28"/>
        <v/>
      </c>
      <c r="J305" s="295">
        <f t="shared" si="29"/>
        <v>-2</v>
      </c>
      <c r="K305" s="295">
        <f t="shared" si="25"/>
        <v>-20</v>
      </c>
      <c r="L305" s="295"/>
      <c r="M305" s="297">
        <f t="shared" si="26"/>
        <v>0</v>
      </c>
    </row>
    <row r="306" spans="1:16">
      <c r="A306" s="316"/>
      <c r="J306" s="317" t="e">
        <f t="shared" si="29"/>
        <v>#NUM!</v>
      </c>
    </row>
    <row r="307" spans="1:16">
      <c r="J307" s="317" t="e">
        <f t="shared" si="29"/>
        <v>#NUM!</v>
      </c>
    </row>
    <row r="308" spans="1:16">
      <c r="J308" s="317" t="e">
        <f t="shared" si="29"/>
        <v>#NUM!</v>
      </c>
    </row>
    <row r="309" spans="1:16">
      <c r="J309" s="317" t="e">
        <f t="shared" si="29"/>
        <v>#NUM!</v>
      </c>
    </row>
    <row r="310" spans="1:16">
      <c r="J310" s="317" t="e">
        <f t="shared" si="29"/>
        <v>#NUM!</v>
      </c>
    </row>
    <row r="311" spans="1:16">
      <c r="J311" s="317" t="e">
        <f t="shared" si="29"/>
        <v>#NUM!</v>
      </c>
    </row>
    <row r="312" spans="1:16">
      <c r="J312" s="317" t="e">
        <f t="shared" si="29"/>
        <v>#NUM!</v>
      </c>
    </row>
    <row r="313" spans="1:16">
      <c r="J313" s="317" t="e">
        <f t="shared" si="29"/>
        <v>#NUM!</v>
      </c>
    </row>
    <row r="314" spans="1:16">
      <c r="J314" s="317" t="e">
        <f t="shared" si="29"/>
        <v>#NUM!</v>
      </c>
      <c r="L314" s="319"/>
      <c r="P314" s="309"/>
    </row>
    <row r="315" spans="1:16">
      <c r="J315" s="317" t="e">
        <f t="shared" si="29"/>
        <v>#NUM!</v>
      </c>
      <c r="L315" s="319"/>
      <c r="P315" s="309"/>
    </row>
    <row r="316" spans="1:16">
      <c r="J316" s="317" t="e">
        <f t="shared" si="29"/>
        <v>#NUM!</v>
      </c>
      <c r="L316" s="319"/>
      <c r="P316" s="309"/>
    </row>
    <row r="317" spans="1:16">
      <c r="J317" s="317" t="e">
        <f t="shared" si="29"/>
        <v>#NUM!</v>
      </c>
      <c r="L317" s="319"/>
      <c r="P317" s="309"/>
    </row>
    <row r="318" spans="1:16">
      <c r="J318" s="317" t="e">
        <f t="shared" si="29"/>
        <v>#NUM!</v>
      </c>
    </row>
    <row r="319" spans="1:16">
      <c r="J319" s="317" t="e">
        <f t="shared" si="29"/>
        <v>#NUM!</v>
      </c>
    </row>
    <row r="320" spans="1:16">
      <c r="J320" s="317" t="e">
        <f t="shared" si="29"/>
        <v>#NUM!</v>
      </c>
    </row>
    <row r="321" spans="10:10">
      <c r="J321" s="317" t="e">
        <f t="shared" si="29"/>
        <v>#NUM!</v>
      </c>
    </row>
    <row r="322" spans="10:10">
      <c r="J322" s="317" t="e">
        <f t="shared" si="29"/>
        <v>#NUM!</v>
      </c>
    </row>
    <row r="323" spans="10:10">
      <c r="J323" s="317" t="e">
        <f t="shared" si="29"/>
        <v>#NUM!</v>
      </c>
    </row>
    <row r="324" spans="10:10">
      <c r="J324" s="317" t="e">
        <f t="shared" si="29"/>
        <v>#NUM!</v>
      </c>
    </row>
    <row r="325" spans="10:10">
      <c r="J325" s="317" t="e">
        <f t="shared" si="29"/>
        <v>#NUM!</v>
      </c>
    </row>
    <row r="326" spans="10:10">
      <c r="J326" s="317" t="e">
        <f t="shared" si="29"/>
        <v>#NUM!</v>
      </c>
    </row>
    <row r="327" spans="10:10">
      <c r="J327" s="317" t="e">
        <f t="shared" ref="J327:J373" si="30">INT(LOG($H$2,2))-ROUNDUP(LOG(H327,2),0)+IF(OR($H$2=1,$H$2=2,$H$2=4,$H$2=8,$H$2=16,$H$2=32,$H$2=64,$H$2=128,$H$2=256),0,1)</f>
        <v>#NUM!</v>
      </c>
    </row>
    <row r="328" spans="10:10">
      <c r="J328" s="317" t="e">
        <f t="shared" si="30"/>
        <v>#NUM!</v>
      </c>
    </row>
    <row r="329" spans="10:10">
      <c r="J329" s="317" t="e">
        <f t="shared" si="30"/>
        <v>#NUM!</v>
      </c>
    </row>
    <row r="330" spans="10:10">
      <c r="J330" s="317" t="e">
        <f t="shared" si="30"/>
        <v>#NUM!</v>
      </c>
    </row>
    <row r="331" spans="10:10">
      <c r="J331" s="317" t="e">
        <f t="shared" si="30"/>
        <v>#NUM!</v>
      </c>
    </row>
    <row r="332" spans="10:10">
      <c r="J332" s="317" t="e">
        <f t="shared" si="30"/>
        <v>#NUM!</v>
      </c>
    </row>
    <row r="333" spans="10:10">
      <c r="J333" s="317" t="e">
        <f t="shared" si="30"/>
        <v>#NUM!</v>
      </c>
    </row>
    <row r="334" spans="10:10">
      <c r="J334" s="317" t="e">
        <f t="shared" si="30"/>
        <v>#NUM!</v>
      </c>
    </row>
    <row r="335" spans="10:10">
      <c r="J335" s="317" t="e">
        <f t="shared" si="30"/>
        <v>#NUM!</v>
      </c>
    </row>
    <row r="336" spans="10:10">
      <c r="J336" s="317" t="e">
        <f t="shared" si="30"/>
        <v>#NUM!</v>
      </c>
    </row>
    <row r="337" spans="10:10">
      <c r="J337" s="317" t="e">
        <f t="shared" si="30"/>
        <v>#NUM!</v>
      </c>
    </row>
    <row r="338" spans="10:10">
      <c r="J338" s="317" t="e">
        <f t="shared" si="30"/>
        <v>#NUM!</v>
      </c>
    </row>
    <row r="339" spans="10:10">
      <c r="J339" s="317" t="e">
        <f t="shared" si="30"/>
        <v>#NUM!</v>
      </c>
    </row>
    <row r="340" spans="10:10">
      <c r="J340" s="317" t="e">
        <f t="shared" si="30"/>
        <v>#NUM!</v>
      </c>
    </row>
    <row r="341" spans="10:10">
      <c r="J341" s="317" t="e">
        <f t="shared" si="30"/>
        <v>#NUM!</v>
      </c>
    </row>
    <row r="342" spans="10:10">
      <c r="J342" s="317" t="e">
        <f t="shared" si="30"/>
        <v>#NUM!</v>
      </c>
    </row>
    <row r="343" spans="10:10">
      <c r="J343" s="317" t="e">
        <f t="shared" si="30"/>
        <v>#NUM!</v>
      </c>
    </row>
    <row r="344" spans="10:10">
      <c r="J344" s="317" t="e">
        <f t="shared" si="30"/>
        <v>#NUM!</v>
      </c>
    </row>
    <row r="345" spans="10:10">
      <c r="J345" s="317" t="e">
        <f t="shared" si="30"/>
        <v>#NUM!</v>
      </c>
    </row>
    <row r="346" spans="10:10">
      <c r="J346" s="317" t="e">
        <f t="shared" si="30"/>
        <v>#NUM!</v>
      </c>
    </row>
    <row r="347" spans="10:10">
      <c r="J347" s="317" t="e">
        <f t="shared" si="30"/>
        <v>#NUM!</v>
      </c>
    </row>
    <row r="348" spans="10:10">
      <c r="J348" s="317" t="e">
        <f t="shared" si="30"/>
        <v>#NUM!</v>
      </c>
    </row>
    <row r="349" spans="10:10">
      <c r="J349" s="317" t="e">
        <f t="shared" si="30"/>
        <v>#NUM!</v>
      </c>
    </row>
    <row r="350" spans="10:10">
      <c r="J350" s="317" t="e">
        <f t="shared" si="30"/>
        <v>#NUM!</v>
      </c>
    </row>
    <row r="351" spans="10:10">
      <c r="J351" s="317" t="e">
        <f t="shared" si="30"/>
        <v>#NUM!</v>
      </c>
    </row>
    <row r="352" spans="10:10">
      <c r="J352" s="317" t="e">
        <f t="shared" si="30"/>
        <v>#NUM!</v>
      </c>
    </row>
    <row r="353" spans="10:10">
      <c r="J353" s="317" t="e">
        <f t="shared" si="30"/>
        <v>#NUM!</v>
      </c>
    </row>
    <row r="354" spans="10:10">
      <c r="J354" s="317" t="e">
        <f t="shared" si="30"/>
        <v>#NUM!</v>
      </c>
    </row>
    <row r="355" spans="10:10">
      <c r="J355" s="317" t="e">
        <f t="shared" si="30"/>
        <v>#NUM!</v>
      </c>
    </row>
    <row r="356" spans="10:10">
      <c r="J356" s="317" t="e">
        <f t="shared" si="30"/>
        <v>#NUM!</v>
      </c>
    </row>
    <row r="357" spans="10:10">
      <c r="J357" s="317" t="e">
        <f t="shared" si="30"/>
        <v>#NUM!</v>
      </c>
    </row>
    <row r="358" spans="10:10">
      <c r="J358" s="317" t="e">
        <f t="shared" si="30"/>
        <v>#NUM!</v>
      </c>
    </row>
    <row r="359" spans="10:10">
      <c r="J359" s="317" t="e">
        <f t="shared" si="30"/>
        <v>#NUM!</v>
      </c>
    </row>
    <row r="360" spans="10:10">
      <c r="J360" s="317" t="e">
        <f t="shared" si="30"/>
        <v>#NUM!</v>
      </c>
    </row>
    <row r="361" spans="10:10">
      <c r="J361" s="317" t="e">
        <f t="shared" si="30"/>
        <v>#NUM!</v>
      </c>
    </row>
    <row r="362" spans="10:10">
      <c r="J362" s="317" t="e">
        <f t="shared" si="30"/>
        <v>#NUM!</v>
      </c>
    </row>
    <row r="363" spans="10:10">
      <c r="J363" s="317" t="e">
        <f t="shared" si="30"/>
        <v>#NUM!</v>
      </c>
    </row>
    <row r="364" spans="10:10">
      <c r="J364" s="317" t="e">
        <f t="shared" si="30"/>
        <v>#NUM!</v>
      </c>
    </row>
    <row r="365" spans="10:10">
      <c r="J365" s="317" t="e">
        <f t="shared" si="30"/>
        <v>#NUM!</v>
      </c>
    </row>
    <row r="366" spans="10:10">
      <c r="J366" s="317" t="e">
        <f t="shared" si="30"/>
        <v>#NUM!</v>
      </c>
    </row>
    <row r="367" spans="10:10">
      <c r="J367" s="317" t="e">
        <f t="shared" si="30"/>
        <v>#NUM!</v>
      </c>
    </row>
    <row r="368" spans="10:10">
      <c r="J368" s="317" t="e">
        <f t="shared" si="30"/>
        <v>#NUM!</v>
      </c>
    </row>
    <row r="369" spans="10:10">
      <c r="J369" s="317" t="e">
        <f t="shared" si="30"/>
        <v>#NUM!</v>
      </c>
    </row>
    <row r="370" spans="10:10">
      <c r="J370" s="317" t="e">
        <f t="shared" si="30"/>
        <v>#NUM!</v>
      </c>
    </row>
    <row r="371" spans="10:10">
      <c r="J371" s="317" t="e">
        <f t="shared" si="30"/>
        <v>#NUM!</v>
      </c>
    </row>
    <row r="372" spans="10:10">
      <c r="J372" s="317" t="e">
        <f t="shared" si="30"/>
        <v>#NUM!</v>
      </c>
    </row>
    <row r="373" spans="10:10">
      <c r="J373" s="317" t="e">
        <f t="shared" si="30"/>
        <v>#NUM!</v>
      </c>
    </row>
  </sheetData>
  <conditionalFormatting sqref="C6:C269">
    <cfRule type="expression" dxfId="1" priority="1">
      <formula>$F6="POL"</formula>
    </cfRule>
  </conditionalFormatting>
  <conditionalFormatting sqref="J7:K65 J67:K125 J127:K185 J187:K305">
    <cfRule type="cellIs" dxfId="0" priority="2" operator="lessThanOrEqual">
      <formula>0</formula>
    </cfRule>
  </conditionalFormatting>
  <dataValidations count="1">
    <dataValidation type="list" allowBlank="1" showInputMessage="1" showErrorMessage="1" sqref="C38:C69" xr:uid="{20D5AF55-03EC-487B-9F2F-5CAA83BCE7F1}">
      <formula1>#REF!</formula1>
    </dataValidation>
  </dataValidations>
  <hyperlinks>
    <hyperlink ref="A2" r:id="rId1" xr:uid="{3C6E9DFB-4A57-4B96-86BB-1E78DE2655D2}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5" name="Button 1">
              <controlPr defaultSize="0" print="0" autoFill="0" autoPict="0" macro="[1]!IMPORT">
                <anchor moveWithCells="1" sizeWithCells="1">
                  <from>
                    <xdr:col>0</xdr:col>
                    <xdr:colOff>28575</xdr:colOff>
                    <xdr:row>0</xdr:row>
                    <xdr:rowOff>38100</xdr:rowOff>
                  </from>
                  <to>
                    <xdr:col>0</xdr:col>
                    <xdr:colOff>514350</xdr:colOff>
                    <xdr:row>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2021-10-21T08:27:43Z</dcterms:created>
  <dcterms:modified xsi:type="dcterms:W3CDTF">2026-03-04T17:19:42Z</dcterms:modified>
  <cp:category/>
  <cp:contentStatus/>
</cp:coreProperties>
</file>