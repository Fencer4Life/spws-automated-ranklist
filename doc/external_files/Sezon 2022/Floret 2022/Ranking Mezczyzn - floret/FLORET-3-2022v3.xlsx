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Floret 2022/Ranking Mezczyzn - floret/"/>
    </mc:Choice>
  </mc:AlternateContent>
  <xr:revisionPtr revIDLastSave="368" documentId="8_{7DCFD9FF-8A32-4034-AFB0-C083BCE09D45}" xr6:coauthVersionLast="47" xr6:coauthVersionMax="47" xr10:uidLastSave="{FD1D8DC9-68B7-4843-97A7-C2682BEC2E2A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9" l="1"/>
  <c r="B9" i="19"/>
  <c r="B8" i="19"/>
  <c r="B7" i="19"/>
  <c r="B6" i="19"/>
  <c r="B12" i="19"/>
  <c r="O6" i="13"/>
  <c r="O8" i="13"/>
  <c r="O7" i="13"/>
  <c r="O11" i="13"/>
  <c r="O9" i="13"/>
  <c r="O12" i="13"/>
  <c r="O13" i="13"/>
  <c r="M6" i="13"/>
  <c r="M7" i="13"/>
  <c r="M11" i="13"/>
  <c r="M13" i="13"/>
  <c r="M9" i="13"/>
  <c r="M12" i="13"/>
  <c r="B8" i="17"/>
  <c r="B7" i="17"/>
  <c r="B6" i="17"/>
  <c r="K6" i="13"/>
  <c r="K11" i="13"/>
  <c r="K7" i="13"/>
  <c r="K8" i="13"/>
  <c r="K13" i="13"/>
  <c r="K9" i="13"/>
  <c r="I12" i="13"/>
  <c r="I9" i="13"/>
  <c r="I7" i="13"/>
  <c r="I11" i="13"/>
  <c r="I13" i="13"/>
  <c r="I8" i="13"/>
  <c r="I6" i="13"/>
  <c r="G12" i="13"/>
  <c r="E12" i="13"/>
  <c r="G9" i="13"/>
  <c r="G7" i="13"/>
  <c r="E7" i="13"/>
  <c r="G11" i="13"/>
  <c r="G13" i="13"/>
  <c r="E13" i="13"/>
  <c r="G8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4" i="19"/>
  <c r="K22" i="19"/>
  <c r="K30" i="19"/>
  <c r="K38" i="19"/>
  <c r="K62" i="19"/>
  <c r="K70" i="19"/>
  <c r="K78" i="19"/>
  <c r="K94" i="19"/>
  <c r="K102" i="19"/>
  <c r="K110" i="19"/>
  <c r="K118" i="19"/>
  <c r="K126" i="19"/>
  <c r="K142" i="19"/>
  <c r="K150" i="19"/>
  <c r="K158" i="19"/>
  <c r="K166" i="19"/>
  <c r="K174" i="19"/>
  <c r="K190" i="19"/>
  <c r="K206" i="19"/>
  <c r="K214" i="19"/>
  <c r="K222" i="19"/>
  <c r="K230" i="19"/>
  <c r="K238" i="19"/>
  <c r="K246" i="19"/>
  <c r="K254" i="19"/>
  <c r="K270" i="19"/>
  <c r="K278" i="19"/>
  <c r="K294" i="19"/>
  <c r="K290" i="19"/>
  <c r="K194" i="19"/>
  <c r="K122" i="19"/>
  <c r="K42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K84" i="18" s="1"/>
  <c r="J83" i="18"/>
  <c r="J82" i="18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K68" i="18" s="1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K52" i="18" s="1"/>
  <c r="J51" i="18"/>
  <c r="J50" i="18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K37" i="18" s="1"/>
  <c r="J36" i="18"/>
  <c r="K36" i="18" s="1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K12" i="18" s="1"/>
  <c r="J11" i="18"/>
  <c r="J10" i="18"/>
  <c r="K10" i="18" s="1"/>
  <c r="J9" i="18"/>
  <c r="J8" i="18"/>
  <c r="J7" i="18"/>
  <c r="K22" i="18"/>
  <c r="K30" i="18"/>
  <c r="K38" i="18"/>
  <c r="K54" i="18"/>
  <c r="K62" i="18"/>
  <c r="K70" i="18"/>
  <c r="K78" i="18"/>
  <c r="K86" i="18"/>
  <c r="K94" i="18"/>
  <c r="K102" i="18"/>
  <c r="K110" i="18"/>
  <c r="K118" i="18"/>
  <c r="K126" i="18"/>
  <c r="K134" i="18"/>
  <c r="K142" i="18"/>
  <c r="K150" i="18"/>
  <c r="K158" i="18"/>
  <c r="K166" i="18"/>
  <c r="K174" i="18"/>
  <c r="K182" i="18"/>
  <c r="K190" i="18"/>
  <c r="K198" i="18"/>
  <c r="K206" i="18"/>
  <c r="K214" i="18"/>
  <c r="K238" i="18"/>
  <c r="K245" i="18"/>
  <c r="K246" i="18"/>
  <c r="K253" i="18"/>
  <c r="K254" i="18"/>
  <c r="K269" i="18"/>
  <c r="K270" i="18"/>
  <c r="K277" i="18"/>
  <c r="K278" i="18"/>
  <c r="K286" i="18"/>
  <c r="K294" i="18"/>
  <c r="K300" i="18"/>
  <c r="K301" i="18"/>
  <c r="K302" i="18"/>
  <c r="K292" i="18"/>
  <c r="K284" i="18"/>
  <c r="K276" i="18"/>
  <c r="K274" i="18"/>
  <c r="K268" i="18"/>
  <c r="K260" i="18"/>
  <c r="K252" i="18"/>
  <c r="K237" i="18"/>
  <c r="K234" i="18"/>
  <c r="K228" i="18"/>
  <c r="K220" i="18"/>
  <c r="K213" i="18"/>
  <c r="K212" i="18"/>
  <c r="K205" i="18"/>
  <c r="K202" i="18"/>
  <c r="K197" i="18"/>
  <c r="K188" i="18"/>
  <c r="K181" i="18"/>
  <c r="K180" i="18"/>
  <c r="K173" i="18"/>
  <c r="K172" i="18"/>
  <c r="K164" i="18"/>
  <c r="K157" i="18"/>
  <c r="K156" i="18"/>
  <c r="K149" i="18"/>
  <c r="K148" i="18"/>
  <c r="K146" i="18"/>
  <c r="K140" i="18"/>
  <c r="K133" i="18"/>
  <c r="K132" i="18"/>
  <c r="K124" i="18"/>
  <c r="K116" i="18"/>
  <c r="K109" i="18"/>
  <c r="K108" i="18"/>
  <c r="K100" i="18"/>
  <c r="K93" i="18"/>
  <c r="K92" i="18"/>
  <c r="K85" i="18"/>
  <c r="K82" i="18"/>
  <c r="K77" i="18"/>
  <c r="K60" i="18"/>
  <c r="K50" i="18"/>
  <c r="K44" i="18"/>
  <c r="K28" i="18"/>
  <c r="K21" i="18"/>
  <c r="K20" i="18"/>
  <c r="J305" i="17"/>
  <c r="J304" i="17"/>
  <c r="J303" i="17"/>
  <c r="J302" i="17"/>
  <c r="J301" i="17"/>
  <c r="J300" i="17"/>
  <c r="K300" i="17" s="1"/>
  <c r="J299" i="17"/>
  <c r="K299" i="17" s="1"/>
  <c r="J298" i="17"/>
  <c r="K298" i="17" s="1"/>
  <c r="J297" i="17"/>
  <c r="J296" i="17"/>
  <c r="J295" i="17"/>
  <c r="J294" i="17"/>
  <c r="J293" i="17"/>
  <c r="J292" i="17"/>
  <c r="K292" i="17" s="1"/>
  <c r="J291" i="17"/>
  <c r="J290" i="17"/>
  <c r="K290" i="17" s="1"/>
  <c r="J289" i="17"/>
  <c r="J288" i="17"/>
  <c r="J287" i="17"/>
  <c r="J286" i="17"/>
  <c r="J285" i="17"/>
  <c r="J284" i="17"/>
  <c r="K284" i="17" s="1"/>
  <c r="J283" i="17"/>
  <c r="J282" i="17"/>
  <c r="J281" i="17"/>
  <c r="J280" i="17"/>
  <c r="J279" i="17"/>
  <c r="J278" i="17"/>
  <c r="J277" i="17"/>
  <c r="J276" i="17"/>
  <c r="K276" i="17" s="1"/>
  <c r="J275" i="17"/>
  <c r="J274" i="17"/>
  <c r="K274" i="17" s="1"/>
  <c r="J273" i="17"/>
  <c r="J272" i="17"/>
  <c r="J271" i="17"/>
  <c r="J270" i="17"/>
  <c r="J269" i="17"/>
  <c r="J268" i="17"/>
  <c r="J267" i="17"/>
  <c r="K267" i="17" s="1"/>
  <c r="J266" i="17"/>
  <c r="K266" i="17" s="1"/>
  <c r="J265" i="17"/>
  <c r="J264" i="17"/>
  <c r="J263" i="17"/>
  <c r="J262" i="17"/>
  <c r="J261" i="17"/>
  <c r="J260" i="17"/>
  <c r="J259" i="17"/>
  <c r="K259" i="17" s="1"/>
  <c r="J258" i="17"/>
  <c r="K258" i="17" s="1"/>
  <c r="J257" i="17"/>
  <c r="J256" i="17"/>
  <c r="J255" i="17"/>
  <c r="J254" i="17"/>
  <c r="J253" i="17"/>
  <c r="J252" i="17"/>
  <c r="J251" i="17"/>
  <c r="K251" i="17" s="1"/>
  <c r="J250" i="17"/>
  <c r="K250" i="17" s="1"/>
  <c r="J249" i="17"/>
  <c r="J248" i="17"/>
  <c r="J247" i="17"/>
  <c r="J246" i="17"/>
  <c r="J245" i="17"/>
  <c r="J244" i="17"/>
  <c r="K244" i="17" s="1"/>
  <c r="J243" i="17"/>
  <c r="J242" i="17"/>
  <c r="J241" i="17"/>
  <c r="J240" i="17"/>
  <c r="J239" i="17"/>
  <c r="J238" i="17"/>
  <c r="J237" i="17"/>
  <c r="J236" i="17"/>
  <c r="K236" i="17" s="1"/>
  <c r="J235" i="17"/>
  <c r="J234" i="17"/>
  <c r="K234" i="17" s="1"/>
  <c r="J233" i="17"/>
  <c r="J232" i="17"/>
  <c r="J231" i="17"/>
  <c r="J230" i="17"/>
  <c r="J229" i="17"/>
  <c r="J228" i="17"/>
  <c r="J227" i="17"/>
  <c r="K227" i="17" s="1"/>
  <c r="J226" i="17"/>
  <c r="K226" i="17" s="1"/>
  <c r="J225" i="17"/>
  <c r="J224" i="17"/>
  <c r="J223" i="17"/>
  <c r="J222" i="17"/>
  <c r="J221" i="17"/>
  <c r="J220" i="17"/>
  <c r="K220" i="17" s="1"/>
  <c r="J219" i="17"/>
  <c r="J218" i="17"/>
  <c r="K218" i="17" s="1"/>
  <c r="J217" i="17"/>
  <c r="J216" i="17"/>
  <c r="J215" i="17"/>
  <c r="J214" i="17"/>
  <c r="J213" i="17"/>
  <c r="J212" i="17"/>
  <c r="J211" i="17"/>
  <c r="K211" i="17" s="1"/>
  <c r="J210" i="17"/>
  <c r="K210" i="17" s="1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K195" i="17" s="1"/>
  <c r="J194" i="17"/>
  <c r="K194" i="17" s="1"/>
  <c r="J193" i="17"/>
  <c r="J192" i="17"/>
  <c r="J191" i="17"/>
  <c r="J190" i="17"/>
  <c r="J189" i="17"/>
  <c r="J188" i="17"/>
  <c r="J187" i="17"/>
  <c r="K187" i="17" s="1"/>
  <c r="J186" i="17"/>
  <c r="K186" i="17" s="1"/>
  <c r="J185" i="17"/>
  <c r="J184" i="17"/>
  <c r="J183" i="17"/>
  <c r="J182" i="17"/>
  <c r="J181" i="17"/>
  <c r="J180" i="17"/>
  <c r="J179" i="17"/>
  <c r="K179" i="17" s="1"/>
  <c r="J178" i="17"/>
  <c r="K178" i="17" s="1"/>
  <c r="J177" i="17"/>
  <c r="J176" i="17"/>
  <c r="J175" i="17"/>
  <c r="J174" i="17"/>
  <c r="J173" i="17"/>
  <c r="J172" i="17"/>
  <c r="K172" i="17" s="1"/>
  <c r="J171" i="17"/>
  <c r="K171" i="17" s="1"/>
  <c r="J170" i="17"/>
  <c r="K170" i="17" s="1"/>
  <c r="J169" i="17"/>
  <c r="J168" i="17"/>
  <c r="J167" i="17"/>
  <c r="J166" i="17"/>
  <c r="J165" i="17"/>
  <c r="J164" i="17"/>
  <c r="K164" i="17" s="1"/>
  <c r="J163" i="17"/>
  <c r="K163" i="17" s="1"/>
  <c r="J162" i="17"/>
  <c r="J161" i="17"/>
  <c r="J160" i="17"/>
  <c r="J159" i="17"/>
  <c r="J158" i="17"/>
  <c r="J157" i="17"/>
  <c r="J156" i="17"/>
  <c r="K156" i="17" s="1"/>
  <c r="J155" i="17"/>
  <c r="K155" i="17" s="1"/>
  <c r="J154" i="17"/>
  <c r="K154" i="17" s="1"/>
  <c r="J153" i="17"/>
  <c r="J152" i="17"/>
  <c r="J151" i="17"/>
  <c r="J150" i="17"/>
  <c r="J149" i="17"/>
  <c r="J148" i="17"/>
  <c r="K148" i="17" s="1"/>
  <c r="J147" i="17"/>
  <c r="K147" i="17" s="1"/>
  <c r="J146" i="17"/>
  <c r="K146" i="17" s="1"/>
  <c r="J145" i="17"/>
  <c r="J144" i="17"/>
  <c r="J143" i="17"/>
  <c r="J142" i="17"/>
  <c r="J141" i="17"/>
  <c r="J140" i="17"/>
  <c r="K140" i="17" s="1"/>
  <c r="J139" i="17"/>
  <c r="K139" i="17" s="1"/>
  <c r="J138" i="17"/>
  <c r="K138" i="17" s="1"/>
  <c r="J137" i="17"/>
  <c r="J136" i="17"/>
  <c r="J135" i="17"/>
  <c r="J134" i="17"/>
  <c r="J133" i="17"/>
  <c r="J132" i="17"/>
  <c r="K132" i="17" s="1"/>
  <c r="J131" i="17"/>
  <c r="K131" i="17" s="1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K115" i="17" s="1"/>
  <c r="J114" i="17"/>
  <c r="K114" i="17" s="1"/>
  <c r="J113" i="17"/>
  <c r="J112" i="17"/>
  <c r="J111" i="17"/>
  <c r="J110" i="17"/>
  <c r="J109" i="17"/>
  <c r="J108" i="17"/>
  <c r="J107" i="17"/>
  <c r="K107" i="17" s="1"/>
  <c r="J106" i="17"/>
  <c r="K106" i="17" s="1"/>
  <c r="J105" i="17"/>
  <c r="J104" i="17"/>
  <c r="J103" i="17"/>
  <c r="J102" i="17"/>
  <c r="J101" i="17"/>
  <c r="J100" i="17"/>
  <c r="J99" i="17"/>
  <c r="K99" i="17" s="1"/>
  <c r="J98" i="17"/>
  <c r="K98" i="17" s="1"/>
  <c r="J97" i="17"/>
  <c r="J96" i="17"/>
  <c r="J95" i="17"/>
  <c r="J94" i="17"/>
  <c r="J93" i="17"/>
  <c r="J92" i="17"/>
  <c r="K92" i="17" s="1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K75" i="17" s="1"/>
  <c r="J74" i="17"/>
  <c r="K74" i="17" s="1"/>
  <c r="J73" i="17"/>
  <c r="J72" i="17"/>
  <c r="J71" i="17"/>
  <c r="J70" i="17"/>
  <c r="J69" i="17"/>
  <c r="J68" i="17"/>
  <c r="K68" i="17" s="1"/>
  <c r="J67" i="17"/>
  <c r="K67" i="17" s="1"/>
  <c r="J66" i="17"/>
  <c r="K66" i="17" s="1"/>
  <c r="J65" i="17"/>
  <c r="J64" i="17"/>
  <c r="J63" i="17"/>
  <c r="J62" i="17"/>
  <c r="J61" i="17"/>
  <c r="J60" i="17"/>
  <c r="J59" i="17"/>
  <c r="K59" i="17" s="1"/>
  <c r="J58" i="17"/>
  <c r="K58" i="17" s="1"/>
  <c r="J57" i="17"/>
  <c r="J56" i="17"/>
  <c r="J55" i="17"/>
  <c r="J54" i="17"/>
  <c r="J53" i="17"/>
  <c r="J52" i="17"/>
  <c r="J51" i="17"/>
  <c r="K51" i="17" s="1"/>
  <c r="J50" i="17"/>
  <c r="K50" i="17" s="1"/>
  <c r="J49" i="17"/>
  <c r="J48" i="17"/>
  <c r="J47" i="17"/>
  <c r="J46" i="17"/>
  <c r="J45" i="17"/>
  <c r="J44" i="17"/>
  <c r="K44" i="17" s="1"/>
  <c r="J43" i="17"/>
  <c r="J42" i="17"/>
  <c r="K42" i="17" s="1"/>
  <c r="J41" i="17"/>
  <c r="J40" i="17"/>
  <c r="J39" i="17"/>
  <c r="J38" i="17"/>
  <c r="J37" i="17"/>
  <c r="J36" i="17"/>
  <c r="K36" i="17" s="1"/>
  <c r="J35" i="17"/>
  <c r="K35" i="17" s="1"/>
  <c r="J34" i="17"/>
  <c r="K34" i="17" s="1"/>
  <c r="J33" i="17"/>
  <c r="J32" i="17"/>
  <c r="J31" i="17"/>
  <c r="J30" i="17"/>
  <c r="J29" i="17"/>
  <c r="J28" i="17"/>
  <c r="J27" i="17"/>
  <c r="K27" i="17" s="1"/>
  <c r="J26" i="17"/>
  <c r="K26" i="17" s="1"/>
  <c r="J25" i="17"/>
  <c r="J24" i="17"/>
  <c r="J23" i="17"/>
  <c r="J22" i="17"/>
  <c r="J21" i="17"/>
  <c r="J20" i="17"/>
  <c r="J19" i="17"/>
  <c r="K19" i="17" s="1"/>
  <c r="J18" i="17"/>
  <c r="K18" i="17" s="1"/>
  <c r="J17" i="17"/>
  <c r="J16" i="17"/>
  <c r="J15" i="17"/>
  <c r="J14" i="17"/>
  <c r="J13" i="17"/>
  <c r="J12" i="17"/>
  <c r="K12" i="17" s="1"/>
  <c r="J11" i="17"/>
  <c r="K11" i="17" s="1"/>
  <c r="J10" i="17"/>
  <c r="K10" i="17" s="1"/>
  <c r="J9" i="17"/>
  <c r="J8" i="17"/>
  <c r="J7" i="17"/>
  <c r="K14" i="17"/>
  <c r="K21" i="17"/>
  <c r="K22" i="17"/>
  <c r="K29" i="17"/>
  <c r="K37" i="17"/>
  <c r="K45" i="17"/>
  <c r="K46" i="17"/>
  <c r="K53" i="17"/>
  <c r="K54" i="17"/>
  <c r="K61" i="17"/>
  <c r="K62" i="17"/>
  <c r="K69" i="17"/>
  <c r="K70" i="17"/>
  <c r="K78" i="17"/>
  <c r="K85" i="17"/>
  <c r="K86" i="17"/>
  <c r="K93" i="17"/>
  <c r="K94" i="17"/>
  <c r="K101" i="17"/>
  <c r="K102" i="17"/>
  <c r="K110" i="17"/>
  <c r="K118" i="17"/>
  <c r="K126" i="17"/>
  <c r="K134" i="17"/>
  <c r="K142" i="17"/>
  <c r="K149" i="17"/>
  <c r="K150" i="17"/>
  <c r="K157" i="17"/>
  <c r="K158" i="17"/>
  <c r="K165" i="17"/>
  <c r="K174" i="17"/>
  <c r="K182" i="17"/>
  <c r="K189" i="17"/>
  <c r="K190" i="17"/>
  <c r="K197" i="17"/>
  <c r="K205" i="17"/>
  <c r="K206" i="17"/>
  <c r="K214" i="17"/>
  <c r="K221" i="17"/>
  <c r="K222" i="17"/>
  <c r="K229" i="17"/>
  <c r="K230" i="17"/>
  <c r="K238" i="17"/>
  <c r="K245" i="17"/>
  <c r="K246" i="17"/>
  <c r="K253" i="17"/>
  <c r="K254" i="17"/>
  <c r="K261" i="17"/>
  <c r="K262" i="17"/>
  <c r="K269" i="17"/>
  <c r="K270" i="17"/>
  <c r="K278" i="17"/>
  <c r="K285" i="17"/>
  <c r="K286" i="17"/>
  <c r="K293" i="17"/>
  <c r="K302" i="17"/>
  <c r="K291" i="17"/>
  <c r="K283" i="17"/>
  <c r="K282" i="17"/>
  <c r="K243" i="17"/>
  <c r="K242" i="17"/>
  <c r="K203" i="17"/>
  <c r="K202" i="17"/>
  <c r="K162" i="17"/>
  <c r="K123" i="17"/>
  <c r="K83" i="17"/>
  <c r="K43" i="17"/>
  <c r="J305" i="16"/>
  <c r="J304" i="16"/>
  <c r="J303" i="16"/>
  <c r="J302" i="16"/>
  <c r="J301" i="16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K290" i="16" s="1"/>
  <c r="J289" i="16"/>
  <c r="J288" i="16"/>
  <c r="J287" i="16"/>
  <c r="J286" i="16"/>
  <c r="J285" i="16"/>
  <c r="J284" i="16"/>
  <c r="J283" i="16"/>
  <c r="J282" i="16"/>
  <c r="K282" i="16" s="1"/>
  <c r="J281" i="16"/>
  <c r="J280" i="16"/>
  <c r="J279" i="16"/>
  <c r="J278" i="16"/>
  <c r="J277" i="16"/>
  <c r="J276" i="16"/>
  <c r="J275" i="16"/>
  <c r="J274" i="16"/>
  <c r="K274" i="16" s="1"/>
  <c r="J273" i="16"/>
  <c r="J272" i="16"/>
  <c r="J271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J244" i="16"/>
  <c r="J243" i="16"/>
  <c r="J242" i="16"/>
  <c r="K242" i="16" s="1"/>
  <c r="J241" i="16"/>
  <c r="J240" i="16"/>
  <c r="J239" i="16"/>
  <c r="J238" i="16"/>
  <c r="J237" i="16"/>
  <c r="J236" i="16"/>
  <c r="J235" i="16"/>
  <c r="J234" i="16"/>
  <c r="K234" i="16" s="1"/>
  <c r="J233" i="16"/>
  <c r="J232" i="16"/>
  <c r="J231" i="16"/>
  <c r="J230" i="16"/>
  <c r="J229" i="16"/>
  <c r="J228" i="16"/>
  <c r="J227" i="16"/>
  <c r="J226" i="16"/>
  <c r="K226" i="16" s="1"/>
  <c r="J225" i="16"/>
  <c r="J224" i="16"/>
  <c r="J223" i="16"/>
  <c r="J222" i="16"/>
  <c r="J221" i="16"/>
  <c r="J220" i="16"/>
  <c r="J219" i="16"/>
  <c r="J218" i="16"/>
  <c r="K218" i="16" s="1"/>
  <c r="J217" i="16"/>
  <c r="J216" i="16"/>
  <c r="J215" i="16"/>
  <c r="J214" i="16"/>
  <c r="J213" i="16"/>
  <c r="J212" i="16"/>
  <c r="J211" i="16"/>
  <c r="J210" i="16"/>
  <c r="K210" i="16" s="1"/>
  <c r="J209" i="16"/>
  <c r="J208" i="16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K194" i="16" s="1"/>
  <c r="J193" i="16"/>
  <c r="J192" i="16"/>
  <c r="J191" i="16"/>
  <c r="J190" i="16"/>
  <c r="J189" i="16"/>
  <c r="J188" i="16"/>
  <c r="J187" i="16"/>
  <c r="J186" i="16"/>
  <c r="K186" i="16" s="1"/>
  <c r="J185" i="16"/>
  <c r="J184" i="16"/>
  <c r="J183" i="16"/>
  <c r="J182" i="16"/>
  <c r="J181" i="16"/>
  <c r="J180" i="16"/>
  <c r="J179" i="16"/>
  <c r="J178" i="16"/>
  <c r="K178" i="16" s="1"/>
  <c r="J177" i="16"/>
  <c r="J176" i="16"/>
  <c r="J175" i="16"/>
  <c r="J174" i="16"/>
  <c r="J173" i="16"/>
  <c r="J172" i="16"/>
  <c r="J171" i="16"/>
  <c r="J170" i="16"/>
  <c r="K170" i="16" s="1"/>
  <c r="J169" i="16"/>
  <c r="J168" i="16"/>
  <c r="J167" i="16"/>
  <c r="J166" i="16"/>
  <c r="J165" i="16"/>
  <c r="J164" i="16"/>
  <c r="J163" i="16"/>
  <c r="J162" i="16"/>
  <c r="K162" i="16" s="1"/>
  <c r="J161" i="16"/>
  <c r="J160" i="16"/>
  <c r="J159" i="16"/>
  <c r="J158" i="16"/>
  <c r="J157" i="16"/>
  <c r="J156" i="16"/>
  <c r="J155" i="16"/>
  <c r="J154" i="16"/>
  <c r="K154" i="16" s="1"/>
  <c r="J153" i="16"/>
  <c r="J152" i="16"/>
  <c r="J151" i="16"/>
  <c r="J150" i="16"/>
  <c r="J149" i="16"/>
  <c r="J148" i="16"/>
  <c r="J147" i="16"/>
  <c r="J146" i="16"/>
  <c r="K146" i="16" s="1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J118" i="16"/>
  <c r="J117" i="16"/>
  <c r="J116" i="16"/>
  <c r="J115" i="16"/>
  <c r="J114" i="16"/>
  <c r="K114" i="16" s="1"/>
  <c r="J113" i="16"/>
  <c r="J112" i="16"/>
  <c r="J111" i="16"/>
  <c r="J110" i="16"/>
  <c r="J109" i="16"/>
  <c r="J108" i="16"/>
  <c r="J107" i="16"/>
  <c r="J106" i="16"/>
  <c r="K106" i="16" s="1"/>
  <c r="J105" i="16"/>
  <c r="J104" i="16"/>
  <c r="J103" i="16"/>
  <c r="J102" i="16"/>
  <c r="J101" i="16"/>
  <c r="J100" i="16"/>
  <c r="J99" i="16"/>
  <c r="J98" i="16"/>
  <c r="K98" i="16" s="1"/>
  <c r="J97" i="16"/>
  <c r="J96" i="16"/>
  <c r="J95" i="16"/>
  <c r="J94" i="16"/>
  <c r="J93" i="16"/>
  <c r="J92" i="16"/>
  <c r="J91" i="16"/>
  <c r="J90" i="16"/>
  <c r="K90" i="16" s="1"/>
  <c r="J89" i="16"/>
  <c r="J88" i="16"/>
  <c r="J87" i="16"/>
  <c r="J86" i="16"/>
  <c r="J85" i="16"/>
  <c r="J84" i="16"/>
  <c r="J83" i="16"/>
  <c r="J82" i="16"/>
  <c r="K82" i="16" s="1"/>
  <c r="J81" i="16"/>
  <c r="J80" i="16"/>
  <c r="J79" i="16"/>
  <c r="J78" i="16"/>
  <c r="J77" i="16"/>
  <c r="J76" i="16"/>
  <c r="J75" i="16"/>
  <c r="J74" i="16"/>
  <c r="J73" i="16"/>
  <c r="J72" i="16"/>
  <c r="J71" i="16"/>
  <c r="J70" i="16"/>
  <c r="J69" i="16"/>
  <c r="J68" i="16"/>
  <c r="J67" i="16"/>
  <c r="J66" i="16"/>
  <c r="K66" i="16" s="1"/>
  <c r="J65" i="16"/>
  <c r="J64" i="16"/>
  <c r="J63" i="16"/>
  <c r="J62" i="16"/>
  <c r="J61" i="16"/>
  <c r="J60" i="16"/>
  <c r="J59" i="16"/>
  <c r="J58" i="16"/>
  <c r="K58" i="16" s="1"/>
  <c r="J57" i="16"/>
  <c r="J56" i="16"/>
  <c r="J55" i="16"/>
  <c r="J54" i="16"/>
  <c r="J53" i="16"/>
  <c r="J52" i="16"/>
  <c r="J51" i="16"/>
  <c r="J50" i="16"/>
  <c r="K50" i="16" s="1"/>
  <c r="J49" i="16"/>
  <c r="J48" i="16"/>
  <c r="J47" i="16"/>
  <c r="J46" i="16"/>
  <c r="J45" i="16"/>
  <c r="J44" i="16"/>
  <c r="J43" i="16"/>
  <c r="J42" i="16"/>
  <c r="K42" i="16" s="1"/>
  <c r="J41" i="16"/>
  <c r="J40" i="16"/>
  <c r="J39" i="16"/>
  <c r="J38" i="16"/>
  <c r="K38" i="16" s="1"/>
  <c r="J37" i="16"/>
  <c r="J36" i="16"/>
  <c r="J35" i="16"/>
  <c r="J34" i="16"/>
  <c r="K34" i="16" s="1"/>
  <c r="J33" i="16"/>
  <c r="J32" i="16"/>
  <c r="J31" i="16"/>
  <c r="J30" i="16"/>
  <c r="K30" i="16" s="1"/>
  <c r="J29" i="16"/>
  <c r="J28" i="16"/>
  <c r="J27" i="16"/>
  <c r="J26" i="16"/>
  <c r="K26" i="16" s="1"/>
  <c r="J25" i="16"/>
  <c r="J24" i="16"/>
  <c r="J23" i="16"/>
  <c r="J22" i="16"/>
  <c r="J21" i="16"/>
  <c r="J20" i="16"/>
  <c r="J19" i="16"/>
  <c r="J18" i="16"/>
  <c r="K18" i="16" s="1"/>
  <c r="J17" i="16"/>
  <c r="J16" i="16"/>
  <c r="J15" i="16"/>
  <c r="J14" i="16"/>
  <c r="J13" i="16"/>
  <c r="J12" i="16"/>
  <c r="J11" i="16"/>
  <c r="J10" i="16"/>
  <c r="K10" i="16" s="1"/>
  <c r="J9" i="16"/>
  <c r="J8" i="16"/>
  <c r="J7" i="16"/>
  <c r="K14" i="16"/>
  <c r="K22" i="16"/>
  <c r="K54" i="16"/>
  <c r="K62" i="16"/>
  <c r="K70" i="16"/>
  <c r="K78" i="16"/>
  <c r="K86" i="16"/>
  <c r="K102" i="16"/>
  <c r="K110" i="16"/>
  <c r="K118" i="16"/>
  <c r="K126" i="16"/>
  <c r="K134" i="16"/>
  <c r="K142" i="16"/>
  <c r="K150" i="16"/>
  <c r="K166" i="16"/>
  <c r="K174" i="16"/>
  <c r="K182" i="16"/>
  <c r="K190" i="16"/>
  <c r="K198" i="16"/>
  <c r="K206" i="16"/>
  <c r="K214" i="16"/>
  <c r="K222" i="16"/>
  <c r="K238" i="16"/>
  <c r="K246" i="16"/>
  <c r="K254" i="16"/>
  <c r="K262" i="16"/>
  <c r="K270" i="16"/>
  <c r="K278" i="16"/>
  <c r="K286" i="16"/>
  <c r="K302" i="16"/>
  <c r="K266" i="16"/>
  <c r="K202" i="16"/>
  <c r="K138" i="16"/>
  <c r="K74" i="16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K291" i="15" s="1"/>
  <c r="J290" i="15"/>
  <c r="K290" i="15" s="1"/>
  <c r="J289" i="15"/>
  <c r="J288" i="15"/>
  <c r="J287" i="15"/>
  <c r="J286" i="15"/>
  <c r="J285" i="15"/>
  <c r="J284" i="15"/>
  <c r="J283" i="15"/>
  <c r="K283" i="15" s="1"/>
  <c r="J282" i="15"/>
  <c r="K282" i="15" s="1"/>
  <c r="J281" i="15"/>
  <c r="J280" i="15"/>
  <c r="J279" i="15"/>
  <c r="J278" i="15"/>
  <c r="J277" i="15"/>
  <c r="J276" i="15"/>
  <c r="J275" i="15"/>
  <c r="K275" i="15" s="1"/>
  <c r="J274" i="15"/>
  <c r="J273" i="15"/>
  <c r="J272" i="15"/>
  <c r="J271" i="15"/>
  <c r="J270" i="15"/>
  <c r="J269" i="15"/>
  <c r="J268" i="15"/>
  <c r="J267" i="15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K243" i="15" s="1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J226" i="15"/>
  <c r="K226" i="15" s="1"/>
  <c r="J225" i="15"/>
  <c r="J224" i="15"/>
  <c r="J223" i="15"/>
  <c r="J222" i="15"/>
  <c r="J221" i="15"/>
  <c r="J220" i="15"/>
  <c r="J219" i="15"/>
  <c r="J218" i="15"/>
  <c r="K218" i="15" s="1"/>
  <c r="J217" i="15"/>
  <c r="J216" i="15"/>
  <c r="J215" i="15"/>
  <c r="J214" i="15"/>
  <c r="J213" i="15"/>
  <c r="J212" i="15"/>
  <c r="J211" i="15"/>
  <c r="J210" i="15"/>
  <c r="J209" i="15"/>
  <c r="J208" i="15"/>
  <c r="J207" i="15"/>
  <c r="J206" i="15"/>
  <c r="J205" i="15"/>
  <c r="J204" i="15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J162" i="15"/>
  <c r="K162" i="15" s="1"/>
  <c r="J161" i="15"/>
  <c r="J160" i="15"/>
  <c r="J159" i="15"/>
  <c r="J158" i="15"/>
  <c r="J157" i="15"/>
  <c r="J156" i="15"/>
  <c r="J155" i="15"/>
  <c r="K155" i="15" s="1"/>
  <c r="J154" i="15"/>
  <c r="K154" i="15" s="1"/>
  <c r="J153" i="15"/>
  <c r="J152" i="15"/>
  <c r="J151" i="15"/>
  <c r="J150" i="15"/>
  <c r="J149" i="15"/>
  <c r="J148" i="15"/>
  <c r="J147" i="15"/>
  <c r="K147" i="15" s="1"/>
  <c r="J146" i="15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K123" i="15" s="1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K83" i="15" s="1"/>
  <c r="J82" i="15"/>
  <c r="J81" i="15"/>
  <c r="J80" i="15"/>
  <c r="J79" i="15"/>
  <c r="J78" i="15"/>
  <c r="J77" i="15"/>
  <c r="J76" i="15"/>
  <c r="J75" i="15"/>
  <c r="K75" i="15" s="1"/>
  <c r="J74" i="15"/>
  <c r="K74" i="15" s="1"/>
  <c r="J73" i="15"/>
  <c r="J72" i="15"/>
  <c r="J71" i="15"/>
  <c r="J70" i="15"/>
  <c r="J69" i="15"/>
  <c r="J68" i="15"/>
  <c r="J67" i="15"/>
  <c r="K67" i="15" s="1"/>
  <c r="J66" i="15"/>
  <c r="K66" i="15" s="1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K43" i="15" s="1"/>
  <c r="J42" i="15"/>
  <c r="K42" i="15" s="1"/>
  <c r="J41" i="15"/>
  <c r="J40" i="15"/>
  <c r="J39" i="15"/>
  <c r="J38" i="15"/>
  <c r="J37" i="15"/>
  <c r="J36" i="15"/>
  <c r="J35" i="15"/>
  <c r="K35" i="15" s="1"/>
  <c r="J34" i="15"/>
  <c r="K34" i="15" s="1"/>
  <c r="J33" i="15"/>
  <c r="J32" i="15"/>
  <c r="J31" i="15"/>
  <c r="J30" i="15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J19" i="15"/>
  <c r="J18" i="15"/>
  <c r="K18" i="15" s="1"/>
  <c r="J17" i="15"/>
  <c r="J16" i="15"/>
  <c r="J15" i="15"/>
  <c r="J14" i="15"/>
  <c r="J13" i="15"/>
  <c r="J12" i="15"/>
  <c r="J11" i="15"/>
  <c r="J10" i="15"/>
  <c r="K10" i="15" s="1"/>
  <c r="J9" i="15"/>
  <c r="J8" i="15"/>
  <c r="J7" i="15"/>
  <c r="K14" i="15"/>
  <c r="K22" i="15"/>
  <c r="K30" i="15"/>
  <c r="K38" i="15"/>
  <c r="K46" i="15"/>
  <c r="K54" i="15"/>
  <c r="K62" i="15"/>
  <c r="K78" i="15"/>
  <c r="K86" i="15"/>
  <c r="K94" i="15"/>
  <c r="K102" i="15"/>
  <c r="K110" i="15"/>
  <c r="K118" i="15"/>
  <c r="K126" i="15"/>
  <c r="K134" i="15"/>
  <c r="K142" i="15"/>
  <c r="K150" i="15"/>
  <c r="K158" i="15"/>
  <c r="K166" i="15"/>
  <c r="K174" i="15"/>
  <c r="K182" i="15"/>
  <c r="K190" i="15"/>
  <c r="K198" i="15"/>
  <c r="K206" i="15"/>
  <c r="K221" i="15"/>
  <c r="K229" i="15"/>
  <c r="K237" i="15"/>
  <c r="K245" i="15"/>
  <c r="K253" i="15"/>
  <c r="K254" i="15"/>
  <c r="K261" i="15"/>
  <c r="K262" i="15"/>
  <c r="K269" i="15"/>
  <c r="K270" i="15"/>
  <c r="K277" i="15"/>
  <c r="K278" i="15"/>
  <c r="K285" i="15"/>
  <c r="K293" i="15"/>
  <c r="K294" i="15"/>
  <c r="K301" i="15"/>
  <c r="K302" i="15"/>
  <c r="K274" i="15"/>
  <c r="K210" i="15"/>
  <c r="K146" i="15"/>
  <c r="K82" i="15"/>
  <c r="J6" i="19"/>
  <c r="J6" i="18"/>
  <c r="J6" i="17"/>
  <c r="J6" i="16"/>
  <c r="J6" i="15"/>
  <c r="G6" i="13"/>
  <c r="A23" i="13"/>
  <c r="A22" i="13"/>
  <c r="A21" i="13"/>
  <c r="A20" i="13"/>
  <c r="A19" i="13"/>
  <c r="A18" i="13"/>
  <c r="A17" i="13"/>
  <c r="A16" i="13"/>
  <c r="A15" i="13"/>
  <c r="A14" i="13"/>
  <c r="A10" i="13"/>
  <c r="A12" i="13"/>
  <c r="A9" i="13"/>
  <c r="A7" i="13"/>
  <c r="A11" i="13"/>
  <c r="A13" i="13"/>
  <c r="A8" i="13"/>
  <c r="A6" i="13"/>
  <c r="J188" i="14"/>
  <c r="J187" i="14"/>
  <c r="J186" i="14"/>
  <c r="J185" i="14"/>
  <c r="J184" i="14"/>
  <c r="J183" i="14"/>
  <c r="J182" i="14"/>
  <c r="J181" i="14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K166" i="14" s="1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K154" i="14" s="1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K142" i="14" s="1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K118" i="14" s="1"/>
  <c r="J117" i="14"/>
  <c r="J116" i="14"/>
  <c r="J115" i="14"/>
  <c r="J114" i="14"/>
  <c r="K114" i="14" s="1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K94" i="14" s="1"/>
  <c r="J93" i="14"/>
  <c r="J92" i="14"/>
  <c r="J91" i="14"/>
  <c r="J90" i="14"/>
  <c r="J89" i="14"/>
  <c r="J88" i="14"/>
  <c r="J87" i="14"/>
  <c r="J86" i="14"/>
  <c r="J85" i="14"/>
  <c r="J84" i="14"/>
  <c r="J83" i="14"/>
  <c r="J82" i="14"/>
  <c r="K82" i="14" s="1"/>
  <c r="J81" i="14"/>
  <c r="J80" i="14"/>
  <c r="J79" i="14"/>
  <c r="J78" i="14"/>
  <c r="K78" i="14" s="1"/>
  <c r="J77" i="14"/>
  <c r="J76" i="14"/>
  <c r="J75" i="14"/>
  <c r="J74" i="14"/>
  <c r="J73" i="14"/>
  <c r="J72" i="14"/>
  <c r="J71" i="14"/>
  <c r="J70" i="14"/>
  <c r="K70" i="14" s="1"/>
  <c r="J69" i="14"/>
  <c r="J68" i="14"/>
  <c r="J67" i="14"/>
  <c r="K67" i="14" s="1"/>
  <c r="J66" i="14"/>
  <c r="K66" i="14" s="1"/>
  <c r="J65" i="14"/>
  <c r="J64" i="14"/>
  <c r="J63" i="14"/>
  <c r="J62" i="14"/>
  <c r="J61" i="14"/>
  <c r="J60" i="14"/>
  <c r="J59" i="14"/>
  <c r="J58" i="14"/>
  <c r="K58" i="14" s="1"/>
  <c r="J57" i="14"/>
  <c r="J56" i="14"/>
  <c r="J55" i="14"/>
  <c r="J54" i="14"/>
  <c r="J53" i="14"/>
  <c r="J52" i="14"/>
  <c r="J51" i="14"/>
  <c r="J50" i="14"/>
  <c r="J49" i="14"/>
  <c r="J48" i="14"/>
  <c r="J47" i="14"/>
  <c r="J46" i="14"/>
  <c r="K46" i="14" s="1"/>
  <c r="J45" i="14"/>
  <c r="J44" i="14"/>
  <c r="J43" i="14"/>
  <c r="J42" i="14"/>
  <c r="K42" i="14" s="1"/>
  <c r="J41" i="14"/>
  <c r="J40" i="14"/>
  <c r="J39" i="14"/>
  <c r="J38" i="14"/>
  <c r="J37" i="14"/>
  <c r="J36" i="14"/>
  <c r="J35" i="14"/>
  <c r="J34" i="14"/>
  <c r="J33" i="14"/>
  <c r="J32" i="14"/>
  <c r="J31" i="14"/>
  <c r="K31" i="14" s="1"/>
  <c r="J30" i="14"/>
  <c r="K30" i="14" s="1"/>
  <c r="J29" i="14"/>
  <c r="J28" i="14"/>
  <c r="J27" i="14"/>
  <c r="J26" i="14"/>
  <c r="J25" i="14"/>
  <c r="J24" i="14"/>
  <c r="J23" i="14"/>
  <c r="J22" i="14"/>
  <c r="K22" i="14" s="1"/>
  <c r="J21" i="14"/>
  <c r="J20" i="14"/>
  <c r="J19" i="14"/>
  <c r="J18" i="14"/>
  <c r="K18" i="14" s="1"/>
  <c r="J17" i="14"/>
  <c r="J16" i="14"/>
  <c r="J15" i="14"/>
  <c r="J14" i="14"/>
  <c r="J13" i="14"/>
  <c r="J12" i="14"/>
  <c r="J11" i="14"/>
  <c r="J10" i="14"/>
  <c r="K10" i="14" s="1"/>
  <c r="J9" i="14"/>
  <c r="J8" i="14"/>
  <c r="J7" i="14"/>
  <c r="J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K294" i="14" s="1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K282" i="14" s="1"/>
  <c r="J281" i="14"/>
  <c r="J280" i="14"/>
  <c r="J279" i="14"/>
  <c r="J278" i="14"/>
  <c r="J277" i="14"/>
  <c r="J276" i="14"/>
  <c r="J275" i="14"/>
  <c r="J274" i="14"/>
  <c r="J273" i="14"/>
  <c r="J272" i="14"/>
  <c r="J271" i="14"/>
  <c r="K271" i="14" s="1"/>
  <c r="J270" i="14"/>
  <c r="K270" i="14" s="1"/>
  <c r="J269" i="14"/>
  <c r="J268" i="14"/>
  <c r="J267" i="14"/>
  <c r="J266" i="14"/>
  <c r="J265" i="14"/>
  <c r="J264" i="14"/>
  <c r="J263" i="14"/>
  <c r="J262" i="14"/>
  <c r="J261" i="14"/>
  <c r="J260" i="14"/>
  <c r="J259" i="14"/>
  <c r="K259" i="14" s="1"/>
  <c r="J258" i="14"/>
  <c r="K258" i="14" s="1"/>
  <c r="J257" i="14"/>
  <c r="J256" i="14"/>
  <c r="J255" i="14"/>
  <c r="J254" i="14"/>
  <c r="J253" i="14"/>
  <c r="J252" i="14"/>
  <c r="J251" i="14"/>
  <c r="J250" i="14"/>
  <c r="J249" i="14"/>
  <c r="J248" i="14"/>
  <c r="J247" i="14"/>
  <c r="K247" i="14" s="1"/>
  <c r="J246" i="14"/>
  <c r="K246" i="14" s="1"/>
  <c r="J245" i="14"/>
  <c r="J244" i="14"/>
  <c r="J243" i="14"/>
  <c r="J242" i="14"/>
  <c r="J241" i="14"/>
  <c r="J240" i="14"/>
  <c r="J239" i="14"/>
  <c r="J238" i="14"/>
  <c r="J237" i="14"/>
  <c r="J236" i="14"/>
  <c r="J235" i="14"/>
  <c r="K235" i="14" s="1"/>
  <c r="J234" i="14"/>
  <c r="K234" i="14" s="1"/>
  <c r="J233" i="14"/>
  <c r="J232" i="14"/>
  <c r="J231" i="14"/>
  <c r="J230" i="14"/>
  <c r="J229" i="14"/>
  <c r="J228" i="14"/>
  <c r="J227" i="14"/>
  <c r="J226" i="14"/>
  <c r="J225" i="14"/>
  <c r="J224" i="14"/>
  <c r="J223" i="14"/>
  <c r="K223" i="14" s="1"/>
  <c r="J222" i="14"/>
  <c r="K222" i="14" s="1"/>
  <c r="J221" i="14"/>
  <c r="J220" i="14"/>
  <c r="J219" i="14"/>
  <c r="J218" i="14"/>
  <c r="J217" i="14"/>
  <c r="J216" i="14"/>
  <c r="J215" i="14"/>
  <c r="J214" i="14"/>
  <c r="J213" i="14"/>
  <c r="J212" i="14"/>
  <c r="J211" i="14"/>
  <c r="K211" i="14" s="1"/>
  <c r="J210" i="14"/>
  <c r="K210" i="14" s="1"/>
  <c r="J209" i="14"/>
  <c r="J208" i="14"/>
  <c r="J207" i="14"/>
  <c r="J206" i="14"/>
  <c r="J205" i="14"/>
  <c r="J204" i="14"/>
  <c r="J203" i="14"/>
  <c r="J202" i="14"/>
  <c r="J201" i="14"/>
  <c r="J200" i="14"/>
  <c r="J199" i="14"/>
  <c r="K199" i="14" s="1"/>
  <c r="J198" i="14"/>
  <c r="K198" i="14" s="1"/>
  <c r="J197" i="14"/>
  <c r="J196" i="14"/>
  <c r="J195" i="14"/>
  <c r="J194" i="14"/>
  <c r="J193" i="14"/>
  <c r="J192" i="14"/>
  <c r="J191" i="14"/>
  <c r="J190" i="14"/>
  <c r="J189" i="14"/>
  <c r="K187" i="14"/>
  <c r="K186" i="14"/>
  <c r="K175" i="14"/>
  <c r="K174" i="14"/>
  <c r="K162" i="14"/>
  <c r="K150" i="14"/>
  <c r="K139" i="14"/>
  <c r="K138" i="14"/>
  <c r="K127" i="14"/>
  <c r="K126" i="14"/>
  <c r="K115" i="14"/>
  <c r="K103" i="14"/>
  <c r="K102" i="14"/>
  <c r="K91" i="14"/>
  <c r="K90" i="14"/>
  <c r="K79" i="14"/>
  <c r="K55" i="14"/>
  <c r="K54" i="14"/>
  <c r="K43" i="14"/>
  <c r="K19" i="14"/>
  <c r="K305" i="19"/>
  <c r="I305" i="19"/>
  <c r="K304" i="19"/>
  <c r="I304" i="19"/>
  <c r="K303" i="19"/>
  <c r="I303" i="19"/>
  <c r="K302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K285" i="19"/>
  <c r="I285" i="19"/>
  <c r="K284" i="19"/>
  <c r="I284" i="19"/>
  <c r="K283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K226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K211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K187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I150" i="19"/>
  <c r="K149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K139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K101" i="19"/>
  <c r="I101" i="19"/>
  <c r="K100" i="19"/>
  <c r="I100" i="19"/>
  <c r="K99" i="19"/>
  <c r="I99" i="19"/>
  <c r="I98" i="19"/>
  <c r="K97" i="19"/>
  <c r="I97" i="19"/>
  <c r="K96" i="19"/>
  <c r="I96" i="19"/>
  <c r="K95" i="19"/>
  <c r="I95" i="19"/>
  <c r="I94" i="19"/>
  <c r="K93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K86" i="19"/>
  <c r="I86" i="19"/>
  <c r="K85" i="19"/>
  <c r="I85" i="19"/>
  <c r="K84" i="19"/>
  <c r="I84" i="19"/>
  <c r="K83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K75" i="19"/>
  <c r="I75" i="19"/>
  <c r="I74" i="19"/>
  <c r="K73" i="19"/>
  <c r="I73" i="19"/>
  <c r="K72" i="19"/>
  <c r="I72" i="19"/>
  <c r="K71" i="19"/>
  <c r="I71" i="19"/>
  <c r="I70" i="19"/>
  <c r="K69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K13" i="19"/>
  <c r="I13" i="19"/>
  <c r="B13" i="19"/>
  <c r="AJ12" i="19"/>
  <c r="AJ16" i="19" s="1"/>
  <c r="K12" i="19"/>
  <c r="I12" i="19"/>
  <c r="K11" i="19"/>
  <c r="I11" i="19"/>
  <c r="B11" i="19"/>
  <c r="I10" i="19"/>
  <c r="K9" i="19"/>
  <c r="I9" i="19"/>
  <c r="K8" i="19"/>
  <c r="I8" i="19"/>
  <c r="K7" i="19"/>
  <c r="I7" i="19"/>
  <c r="K6" i="19"/>
  <c r="I6" i="19"/>
  <c r="L2" i="19"/>
  <c r="K2" i="19"/>
  <c r="L7" i="19" s="1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I253" i="18"/>
  <c r="M253" i="18" s="1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I173" i="18"/>
  <c r="M173" i="18" s="1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I157" i="18"/>
  <c r="M157" i="18" s="1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K46" i="18"/>
  <c r="I46" i="18"/>
  <c r="M46" i="18" s="1"/>
  <c r="B46" i="18"/>
  <c r="K45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I37" i="18"/>
  <c r="M37" i="18" s="1"/>
  <c r="A37" i="18" s="1"/>
  <c r="B37" i="18"/>
  <c r="I36" i="18"/>
  <c r="M36" i="18" s="1"/>
  <c r="A36" i="18" s="1"/>
  <c r="B36" i="18"/>
  <c r="K35" i="18"/>
  <c r="I35" i="18"/>
  <c r="M35" i="18" s="1"/>
  <c r="A35" i="18" s="1"/>
  <c r="B35" i="18"/>
  <c r="I34" i="18"/>
  <c r="M34" i="18" s="1"/>
  <c r="A34" i="18" s="1"/>
  <c r="B34" i="18"/>
  <c r="K33" i="18"/>
  <c r="I33" i="18"/>
  <c r="B33" i="18"/>
  <c r="K32" i="18"/>
  <c r="I32" i="18"/>
  <c r="M32" i="18" s="1"/>
  <c r="A32" i="18" s="1"/>
  <c r="B32" i="18"/>
  <c r="K31" i="18"/>
  <c r="I31" i="18"/>
  <c r="B31" i="18"/>
  <c r="I30" i="18"/>
  <c r="M30" i="18" s="1"/>
  <c r="A30" i="18" s="1"/>
  <c r="B30" i="18"/>
  <c r="K29" i="18"/>
  <c r="I29" i="18"/>
  <c r="B29" i="18"/>
  <c r="I28" i="18"/>
  <c r="M28" i="18" s="1"/>
  <c r="A28" i="18" s="1"/>
  <c r="B28" i="18"/>
  <c r="K27" i="18"/>
  <c r="I27" i="18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M23" i="18" s="1"/>
  <c r="A23" i="18" s="1"/>
  <c r="B23" i="18"/>
  <c r="I22" i="18"/>
  <c r="M22" i="18" s="1"/>
  <c r="A22" i="18" s="1"/>
  <c r="B22" i="18"/>
  <c r="I21" i="18"/>
  <c r="M21" i="18" s="1"/>
  <c r="A21" i="18" s="1"/>
  <c r="B21" i="18"/>
  <c r="I20" i="18"/>
  <c r="M20" i="18" s="1"/>
  <c r="A20" i="18" s="1"/>
  <c r="B20" i="18"/>
  <c r="K19" i="18"/>
  <c r="I19" i="18"/>
  <c r="M19" i="18" s="1"/>
  <c r="A19" i="18" s="1"/>
  <c r="B19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B15" i="18"/>
  <c r="AI14" i="18"/>
  <c r="K14" i="18"/>
  <c r="I14" i="18"/>
  <c r="B14" i="18"/>
  <c r="AI13" i="18"/>
  <c r="I13" i="18"/>
  <c r="B13" i="18"/>
  <c r="AI12" i="18"/>
  <c r="I12" i="18"/>
  <c r="B12" i="18"/>
  <c r="K11" i="18"/>
  <c r="I11" i="18"/>
  <c r="M11" i="18" s="1"/>
  <c r="A11" i="18" s="1"/>
  <c r="B11" i="18"/>
  <c r="I10" i="18"/>
  <c r="M10" i="18" s="1"/>
  <c r="B10" i="18"/>
  <c r="K9" i="18"/>
  <c r="I9" i="18"/>
  <c r="B9" i="18"/>
  <c r="K8" i="18"/>
  <c r="I8" i="18"/>
  <c r="B8" i="18"/>
  <c r="K7" i="18"/>
  <c r="I7" i="18"/>
  <c r="B7" i="18"/>
  <c r="K6" i="18"/>
  <c r="I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I300" i="17"/>
  <c r="M300" i="17" s="1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I293" i="17"/>
  <c r="M293" i="17" s="1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K268" i="17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K260" i="17"/>
  <c r="I260" i="17"/>
  <c r="M260" i="17" s="1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K252" i="17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I244" i="17"/>
  <c r="M244" i="17" s="1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I189" i="17"/>
  <c r="M189" i="17" s="1"/>
  <c r="K188" i="17"/>
  <c r="I188" i="17"/>
  <c r="M188" i="17" s="1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I164" i="17"/>
  <c r="M164" i="17" s="1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I36" i="17"/>
  <c r="B36" i="17"/>
  <c r="I35" i="17"/>
  <c r="B35" i="17"/>
  <c r="I34" i="17"/>
  <c r="M34" i="17" s="1"/>
  <c r="B34" i="17"/>
  <c r="K33" i="17"/>
  <c r="I33" i="17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B28" i="17"/>
  <c r="I27" i="17"/>
  <c r="B27" i="17"/>
  <c r="I26" i="17"/>
  <c r="M26" i="17" s="1"/>
  <c r="B26" i="17"/>
  <c r="K25" i="17"/>
  <c r="I25" i="17"/>
  <c r="B25" i="17"/>
  <c r="K24" i="17"/>
  <c r="I24" i="17"/>
  <c r="B24" i="17"/>
  <c r="K23" i="17"/>
  <c r="I23" i="17"/>
  <c r="B23" i="17"/>
  <c r="I22" i="17"/>
  <c r="B22" i="17"/>
  <c r="I21" i="17"/>
  <c r="B21" i="17"/>
  <c r="K20" i="17"/>
  <c r="I20" i="17"/>
  <c r="B20" i="17"/>
  <c r="I19" i="17"/>
  <c r="B19" i="17"/>
  <c r="I18" i="17"/>
  <c r="M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I12" i="17"/>
  <c r="M12" i="17" s="1"/>
  <c r="A12" i="17" s="1"/>
  <c r="B12" i="17"/>
  <c r="I11" i="17"/>
  <c r="B11" i="17"/>
  <c r="I10" i="17"/>
  <c r="M10" i="17" s="1"/>
  <c r="A10" i="17" s="1"/>
  <c r="B10" i="17"/>
  <c r="K9" i="17"/>
  <c r="I9" i="17"/>
  <c r="M9" i="17" s="1"/>
  <c r="K8" i="17"/>
  <c r="I8" i="17"/>
  <c r="K7" i="17"/>
  <c r="I7" i="17"/>
  <c r="K6" i="17"/>
  <c r="I6" i="17"/>
  <c r="K2" i="17"/>
  <c r="L6" i="17" s="1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K85" i="16"/>
  <c r="I85" i="16"/>
  <c r="M85" i="16" s="1"/>
  <c r="K84" i="16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K77" i="16"/>
  <c r="I77" i="16"/>
  <c r="M77" i="16" s="1"/>
  <c r="K76" i="16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K36" i="16"/>
  <c r="I36" i="16"/>
  <c r="M36" i="16" s="1"/>
  <c r="A36" i="16" s="1"/>
  <c r="B36" i="16"/>
  <c r="K35" i="16"/>
  <c r="I35" i="16"/>
  <c r="B35" i="16"/>
  <c r="I34" i="16"/>
  <c r="M34" i="16" s="1"/>
  <c r="A34" i="16" s="1"/>
  <c r="B34" i="16"/>
  <c r="K33" i="16"/>
  <c r="I33" i="16"/>
  <c r="B33" i="16"/>
  <c r="K32" i="16"/>
  <c r="I32" i="16"/>
  <c r="M32" i="16" s="1"/>
  <c r="A32" i="16" s="1"/>
  <c r="B32" i="16"/>
  <c r="K31" i="16"/>
  <c r="I31" i="16"/>
  <c r="B31" i="16"/>
  <c r="I30" i="16"/>
  <c r="M30" i="16" s="1"/>
  <c r="A30" i="16" s="1"/>
  <c r="B30" i="16"/>
  <c r="K29" i="16"/>
  <c r="I29" i="16"/>
  <c r="B29" i="16"/>
  <c r="K28" i="16"/>
  <c r="I28" i="16"/>
  <c r="M28" i="16" s="1"/>
  <c r="A28" i="16" s="1"/>
  <c r="B28" i="16"/>
  <c r="K27" i="16"/>
  <c r="I27" i="16"/>
  <c r="B27" i="16"/>
  <c r="I26" i="16"/>
  <c r="M26" i="16" s="1"/>
  <c r="A26" i="16" s="1"/>
  <c r="B26" i="16"/>
  <c r="K25" i="16"/>
  <c r="I25" i="16"/>
  <c r="B25" i="16"/>
  <c r="K24" i="16"/>
  <c r="I24" i="16"/>
  <c r="M24" i="16" s="1"/>
  <c r="A24" i="16" s="1"/>
  <c r="B24" i="16"/>
  <c r="K23" i="16"/>
  <c r="I23" i="16"/>
  <c r="B23" i="16"/>
  <c r="I22" i="16"/>
  <c r="M22" i="16" s="1"/>
  <c r="A22" i="16" s="1"/>
  <c r="B22" i="16"/>
  <c r="K21" i="16"/>
  <c r="I21" i="16"/>
  <c r="B21" i="16"/>
  <c r="K20" i="16"/>
  <c r="I20" i="16"/>
  <c r="M20" i="16" s="1"/>
  <c r="A20" i="16" s="1"/>
  <c r="B20" i="16"/>
  <c r="K19" i="16"/>
  <c r="I19" i="16"/>
  <c r="B19" i="16"/>
  <c r="I18" i="16"/>
  <c r="M18" i="16" s="1"/>
  <c r="A18" i="16" s="1"/>
  <c r="B18" i="16"/>
  <c r="K17" i="16"/>
  <c r="I17" i="16"/>
  <c r="B17" i="16"/>
  <c r="K16" i="16"/>
  <c r="I16" i="16"/>
  <c r="B16" i="16"/>
  <c r="K15" i="16"/>
  <c r="I15" i="16"/>
  <c r="B15" i="16"/>
  <c r="AI14" i="16"/>
  <c r="I14" i="16"/>
  <c r="M14" i="16" s="1"/>
  <c r="A14" i="16" s="1"/>
  <c r="B14" i="16"/>
  <c r="AI13" i="16"/>
  <c r="K13" i="16"/>
  <c r="I13" i="16"/>
  <c r="B13" i="16"/>
  <c r="AI12" i="16"/>
  <c r="K12" i="16"/>
  <c r="I12" i="16"/>
  <c r="B12" i="16"/>
  <c r="K11" i="16"/>
  <c r="I11" i="16"/>
  <c r="M11" i="16" s="1"/>
  <c r="A11" i="16" s="1"/>
  <c r="B11" i="16"/>
  <c r="I10" i="16"/>
  <c r="M10" i="16" s="1"/>
  <c r="B10" i="16"/>
  <c r="K9" i="16"/>
  <c r="I9" i="16"/>
  <c r="B9" i="16"/>
  <c r="K8" i="16"/>
  <c r="I8" i="16"/>
  <c r="K7" i="16"/>
  <c r="I7" i="16"/>
  <c r="K6" i="16"/>
  <c r="I6" i="16"/>
  <c r="K2" i="16"/>
  <c r="L7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K300" i="15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I293" i="15"/>
  <c r="M293" i="15" s="1"/>
  <c r="K292" i="15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I285" i="15"/>
  <c r="M285" i="15" s="1"/>
  <c r="K284" i="15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I278" i="15"/>
  <c r="M278" i="15" s="1"/>
  <c r="I277" i="15"/>
  <c r="M277" i="15" s="1"/>
  <c r="K276" i="15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I269" i="15"/>
  <c r="M269" i="15" s="1"/>
  <c r="K268" i="15"/>
  <c r="I268" i="15"/>
  <c r="M268" i="15" s="1"/>
  <c r="K267" i="15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I262" i="15"/>
  <c r="M262" i="15" s="1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I254" i="15"/>
  <c r="M254" i="15" s="1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I245" i="15"/>
  <c r="M245" i="15" s="1"/>
  <c r="K244" i="15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I237" i="15"/>
  <c r="M237" i="15" s="1"/>
  <c r="K236" i="15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I229" i="15"/>
  <c r="M229" i="15" s="1"/>
  <c r="K228" i="15"/>
  <c r="I228" i="15"/>
  <c r="M228" i="15" s="1"/>
  <c r="K227" i="15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I221" i="15"/>
  <c r="M221" i="15" s="1"/>
  <c r="K220" i="15"/>
  <c r="I220" i="15"/>
  <c r="M220" i="15" s="1"/>
  <c r="K219" i="15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K204" i="15"/>
  <c r="I204" i="15"/>
  <c r="M204" i="15" s="1"/>
  <c r="K203" i="15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M197" i="15" s="1"/>
  <c r="K196" i="15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K172" i="15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K148" i="15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M141" i="15" s="1"/>
  <c r="K140" i="15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K132" i="15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K124" i="15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I110" i="15"/>
  <c r="M110" i="15" s="1"/>
  <c r="K109" i="15"/>
  <c r="I109" i="15"/>
  <c r="M109" i="15" s="1"/>
  <c r="K108" i="15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K100" i="15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K76" i="15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K68" i="15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K36" i="15"/>
  <c r="I36" i="15"/>
  <c r="M36" i="15" s="1"/>
  <c r="A36" i="15" s="1"/>
  <c r="B36" i="15"/>
  <c r="I35" i="15"/>
  <c r="B35" i="15"/>
  <c r="I34" i="15"/>
  <c r="M34" i="15" s="1"/>
  <c r="A34" i="15" s="1"/>
  <c r="B34" i="15"/>
  <c r="K33" i="15"/>
  <c r="I33" i="15"/>
  <c r="M33" i="15" s="1"/>
  <c r="A33" i="15" s="1"/>
  <c r="B33" i="15"/>
  <c r="K32" i="15"/>
  <c r="I32" i="15"/>
  <c r="M32" i="15" s="1"/>
  <c r="A32" i="15" s="1"/>
  <c r="B32" i="15"/>
  <c r="K31" i="15"/>
  <c r="I31" i="15"/>
  <c r="M31" i="15" s="1"/>
  <c r="A31" i="15" s="1"/>
  <c r="B31" i="15"/>
  <c r="I30" i="15"/>
  <c r="B30" i="15"/>
  <c r="K29" i="15"/>
  <c r="I29" i="15"/>
  <c r="M29" i="15" s="1"/>
  <c r="A29" i="15" s="1"/>
  <c r="B29" i="15"/>
  <c r="K28" i="15"/>
  <c r="I28" i="15"/>
  <c r="B28" i="15"/>
  <c r="I27" i="15"/>
  <c r="M27" i="15" s="1"/>
  <c r="A27" i="15" s="1"/>
  <c r="B27" i="15"/>
  <c r="I26" i="15"/>
  <c r="M26" i="15" s="1"/>
  <c r="A26" i="15" s="1"/>
  <c r="B26" i="15"/>
  <c r="K25" i="15"/>
  <c r="I25" i="15"/>
  <c r="M25" i="15" s="1"/>
  <c r="A25" i="15" s="1"/>
  <c r="B25" i="15"/>
  <c r="K24" i="15"/>
  <c r="I24" i="15"/>
  <c r="M24" i="15" s="1"/>
  <c r="A24" i="15" s="1"/>
  <c r="B24" i="15"/>
  <c r="K23" i="15"/>
  <c r="I23" i="15"/>
  <c r="M23" i="15" s="1"/>
  <c r="A23" i="15" s="1"/>
  <c r="B23" i="15"/>
  <c r="I22" i="15"/>
  <c r="M22" i="15" s="1"/>
  <c r="A22" i="15" s="1"/>
  <c r="B22" i="15"/>
  <c r="K21" i="15"/>
  <c r="I21" i="15"/>
  <c r="M21" i="15" s="1"/>
  <c r="A21" i="15" s="1"/>
  <c r="B21" i="15"/>
  <c r="K20" i="15"/>
  <c r="I20" i="15"/>
  <c r="M20" i="15" s="1"/>
  <c r="A20" i="15" s="1"/>
  <c r="B20" i="15"/>
  <c r="K19" i="15"/>
  <c r="I19" i="15"/>
  <c r="M19" i="15" s="1"/>
  <c r="A19" i="15" s="1"/>
  <c r="B19" i="15"/>
  <c r="I18" i="15"/>
  <c r="M18" i="15" s="1"/>
  <c r="A18" i="15" s="1"/>
  <c r="B18" i="15"/>
  <c r="K17" i="15"/>
  <c r="I17" i="15"/>
  <c r="M17" i="15" s="1"/>
  <c r="A17" i="15" s="1"/>
  <c r="B17" i="15"/>
  <c r="K16" i="15"/>
  <c r="I16" i="15"/>
  <c r="M16" i="15" s="1"/>
  <c r="A16" i="15" s="1"/>
  <c r="B16" i="15"/>
  <c r="K15" i="15"/>
  <c r="I15" i="15"/>
  <c r="B15" i="15"/>
  <c r="AI14" i="15"/>
  <c r="I14" i="15"/>
  <c r="M14" i="15" s="1"/>
  <c r="A14" i="15" s="1"/>
  <c r="B14" i="15"/>
  <c r="AI13" i="15"/>
  <c r="K13" i="15"/>
  <c r="I13" i="15"/>
  <c r="B13" i="15"/>
  <c r="AI12" i="15"/>
  <c r="AI16" i="15" s="1"/>
  <c r="K12" i="15"/>
  <c r="I12" i="15"/>
  <c r="B12" i="15"/>
  <c r="K11" i="15"/>
  <c r="I11" i="15"/>
  <c r="M11" i="15" s="1"/>
  <c r="A11" i="15" s="1"/>
  <c r="B11" i="15"/>
  <c r="I10" i="15"/>
  <c r="M10" i="15" s="1"/>
  <c r="B10" i="15"/>
  <c r="K9" i="15"/>
  <c r="I9" i="15"/>
  <c r="M9" i="15" s="1"/>
  <c r="K8" i="15"/>
  <c r="I8" i="15"/>
  <c r="K7" i="15"/>
  <c r="I7" i="15"/>
  <c r="K6" i="15"/>
  <c r="I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I178" i="14"/>
  <c r="M178" i="14" s="1"/>
  <c r="K177" i="14"/>
  <c r="I177" i="14"/>
  <c r="M177" i="14" s="1"/>
  <c r="K176" i="14"/>
  <c r="I176" i="14"/>
  <c r="M176" i="14" s="1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I142" i="14"/>
  <c r="M142" i="14" s="1"/>
  <c r="K141" i="14"/>
  <c r="I141" i="14"/>
  <c r="M141" i="14" s="1"/>
  <c r="K140" i="14"/>
  <c r="I140" i="14"/>
  <c r="M140" i="14" s="1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I130" i="14"/>
  <c r="M130" i="14" s="1"/>
  <c r="K129" i="14"/>
  <c r="I129" i="14"/>
  <c r="M129" i="14" s="1"/>
  <c r="K128" i="14"/>
  <c r="I128" i="14"/>
  <c r="M128" i="14" s="1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I118" i="14"/>
  <c r="M118" i="14" s="1"/>
  <c r="K117" i="14"/>
  <c r="I117" i="14"/>
  <c r="M117" i="14" s="1"/>
  <c r="K116" i="14"/>
  <c r="I116" i="14"/>
  <c r="M116" i="14" s="1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I94" i="14"/>
  <c r="M94" i="14" s="1"/>
  <c r="K93" i="14"/>
  <c r="I93" i="14"/>
  <c r="M93" i="14" s="1"/>
  <c r="K92" i="14"/>
  <c r="I92" i="14"/>
  <c r="M92" i="14" s="1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I82" i="14"/>
  <c r="M82" i="14" s="1"/>
  <c r="K81" i="14"/>
  <c r="I81" i="14"/>
  <c r="M81" i="14" s="1"/>
  <c r="K80" i="14"/>
  <c r="I80" i="14"/>
  <c r="M80" i="14" s="1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I70" i="14"/>
  <c r="M70" i="14" s="1"/>
  <c r="K69" i="14"/>
  <c r="I69" i="14"/>
  <c r="M69" i="14" s="1"/>
  <c r="K68" i="14"/>
  <c r="I68" i="14"/>
  <c r="M68" i="14" s="1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I58" i="14"/>
  <c r="M58" i="14" s="1"/>
  <c r="B58" i="14"/>
  <c r="K57" i="14"/>
  <c r="I57" i="14"/>
  <c r="M57" i="14" s="1"/>
  <c r="B57" i="14"/>
  <c r="K56" i="14"/>
  <c r="I56" i="14"/>
  <c r="M56" i="14" s="1"/>
  <c r="B56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B34" i="14"/>
  <c r="K33" i="14"/>
  <c r="I33" i="14"/>
  <c r="B33" i="14"/>
  <c r="K32" i="14"/>
  <c r="I32" i="14"/>
  <c r="B32" i="14"/>
  <c r="I31" i="14"/>
  <c r="B31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B24" i="14"/>
  <c r="K23" i="14"/>
  <c r="I23" i="14"/>
  <c r="B23" i="14"/>
  <c r="I22" i="14"/>
  <c r="B22" i="14"/>
  <c r="K21" i="14"/>
  <c r="I21" i="14"/>
  <c r="B21" i="14"/>
  <c r="K20" i="14"/>
  <c r="I20" i="14"/>
  <c r="B20" i="14"/>
  <c r="I19" i="14"/>
  <c r="B19" i="14"/>
  <c r="I18" i="14"/>
  <c r="B18" i="14"/>
  <c r="K17" i="14"/>
  <c r="I17" i="14"/>
  <c r="B17" i="14"/>
  <c r="K16" i="14"/>
  <c r="I16" i="14"/>
  <c r="B16" i="14"/>
  <c r="K15" i="14"/>
  <c r="I15" i="14"/>
  <c r="B15" i="14"/>
  <c r="AI14" i="14"/>
  <c r="K14" i="14"/>
  <c r="I14" i="14"/>
  <c r="B14" i="14"/>
  <c r="AI13" i="14"/>
  <c r="K13" i="14"/>
  <c r="I13" i="14"/>
  <c r="B13" i="14"/>
  <c r="AI12" i="14"/>
  <c r="AI16" i="14" s="1"/>
  <c r="K12" i="14"/>
  <c r="I12" i="14"/>
  <c r="B12" i="14"/>
  <c r="K11" i="14"/>
  <c r="I11" i="14"/>
  <c r="B11" i="14"/>
  <c r="I10" i="14"/>
  <c r="B10" i="14"/>
  <c r="K9" i="14"/>
  <c r="I9" i="14"/>
  <c r="M9" i="14" s="1"/>
  <c r="B9" i="14"/>
  <c r="E11" i="13" s="1"/>
  <c r="K8" i="14"/>
  <c r="I8" i="14"/>
  <c r="B8" i="14"/>
  <c r="E8" i="13" s="1"/>
  <c r="K7" i="14"/>
  <c r="I7" i="14"/>
  <c r="B7" i="14"/>
  <c r="E9" i="13" s="1"/>
  <c r="K6" i="14"/>
  <c r="I6" i="14"/>
  <c r="B6" i="14"/>
  <c r="K2" i="14"/>
  <c r="L6" i="14" s="1"/>
  <c r="E6" i="13"/>
  <c r="O10" i="13" l="1"/>
  <c r="O14" i="13"/>
  <c r="O15" i="13"/>
  <c r="O16" i="13"/>
  <c r="O17" i="13"/>
  <c r="O18" i="13"/>
  <c r="O19" i="13"/>
  <c r="O20" i="13"/>
  <c r="O21" i="13"/>
  <c r="O22" i="13"/>
  <c r="O23" i="13"/>
  <c r="M8" i="13"/>
  <c r="N8" i="13" s="1"/>
  <c r="M10" i="13"/>
  <c r="M14" i="13"/>
  <c r="M15" i="13"/>
  <c r="M16" i="13"/>
  <c r="M17" i="13"/>
  <c r="M18" i="13"/>
  <c r="M19" i="13"/>
  <c r="M20" i="13"/>
  <c r="M21" i="13"/>
  <c r="M22" i="13"/>
  <c r="M23" i="13"/>
  <c r="M6" i="14"/>
  <c r="E23" i="13"/>
  <c r="E22" i="13"/>
  <c r="E21" i="13"/>
  <c r="E20" i="13"/>
  <c r="E19" i="13"/>
  <c r="E18" i="13"/>
  <c r="E17" i="13"/>
  <c r="E16" i="13"/>
  <c r="E15" i="13"/>
  <c r="E14" i="13"/>
  <c r="E10" i="13"/>
  <c r="M10" i="14"/>
  <c r="A10" i="14" s="1"/>
  <c r="M11" i="14"/>
  <c r="A11" i="14" s="1"/>
  <c r="M12" i="14"/>
  <c r="A12" i="14" s="1"/>
  <c r="M13" i="14"/>
  <c r="A13" i="14" s="1"/>
  <c r="M14" i="14"/>
  <c r="A14" i="14" s="1"/>
  <c r="M15" i="14"/>
  <c r="A15" i="14" s="1"/>
  <c r="M16" i="14"/>
  <c r="A16" i="14" s="1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6" i="14"/>
  <c r="A36" i="14" s="1"/>
  <c r="M37" i="14"/>
  <c r="A37" i="14" s="1"/>
  <c r="M8" i="15"/>
  <c r="A9" i="15"/>
  <c r="G23" i="13"/>
  <c r="G22" i="13"/>
  <c r="G21" i="13"/>
  <c r="G20" i="13"/>
  <c r="G19" i="13"/>
  <c r="G18" i="13"/>
  <c r="G17" i="13"/>
  <c r="G16" i="13"/>
  <c r="G15" i="13"/>
  <c r="G14" i="13"/>
  <c r="G10" i="13"/>
  <c r="M12" i="15"/>
  <c r="A12" i="15" s="1"/>
  <c r="M13" i="15"/>
  <c r="A13" i="15" s="1"/>
  <c r="M15" i="15"/>
  <c r="A15" i="15" s="1"/>
  <c r="M28" i="15"/>
  <c r="A28" i="15" s="1"/>
  <c r="M30" i="15"/>
  <c r="A30" i="15" s="1"/>
  <c r="M35" i="15"/>
  <c r="A35" i="15" s="1"/>
  <c r="M37" i="15"/>
  <c r="A37" i="15" s="1"/>
  <c r="M7" i="16"/>
  <c r="I23" i="13"/>
  <c r="I22" i="13"/>
  <c r="I19" i="13"/>
  <c r="I18" i="13"/>
  <c r="I17" i="13"/>
  <c r="I16" i="13"/>
  <c r="I15" i="13"/>
  <c r="I14" i="13"/>
  <c r="I10" i="13"/>
  <c r="M9" i="16"/>
  <c r="A9" i="16" s="1"/>
  <c r="M12" i="16"/>
  <c r="A12" i="16" s="1"/>
  <c r="M13" i="16"/>
  <c r="A13" i="16" s="1"/>
  <c r="AI16" i="16"/>
  <c r="M15" i="16"/>
  <c r="A15" i="16" s="1"/>
  <c r="M16" i="16"/>
  <c r="A16" i="16" s="1"/>
  <c r="M17" i="16"/>
  <c r="A17" i="16" s="1"/>
  <c r="M19" i="16"/>
  <c r="A19" i="16" s="1"/>
  <c r="M21" i="16"/>
  <c r="A21" i="16" s="1"/>
  <c r="M23" i="16"/>
  <c r="A23" i="16" s="1"/>
  <c r="M25" i="16"/>
  <c r="A25" i="16" s="1"/>
  <c r="M27" i="16"/>
  <c r="A27" i="16" s="1"/>
  <c r="M29" i="16"/>
  <c r="A29" i="16" s="1"/>
  <c r="M31" i="16"/>
  <c r="A31" i="16" s="1"/>
  <c r="M33" i="16"/>
  <c r="A33" i="16" s="1"/>
  <c r="M35" i="16"/>
  <c r="A35" i="16" s="1"/>
  <c r="M37" i="16"/>
  <c r="A37" i="16" s="1"/>
  <c r="L8" i="18"/>
  <c r="L7" i="18"/>
  <c r="M7" i="18"/>
  <c r="A7" i="18"/>
  <c r="M8" i="18"/>
  <c r="M9" i="18"/>
  <c r="A9" i="18" s="1"/>
  <c r="M12" i="18"/>
  <c r="A12" i="18" s="1"/>
  <c r="M13" i="18"/>
  <c r="A13" i="18" s="1"/>
  <c r="AI16" i="18"/>
  <c r="M14" i="18"/>
  <c r="A14" i="18" s="1"/>
  <c r="M15" i="18"/>
  <c r="A15" i="18" s="1"/>
  <c r="M17" i="18"/>
  <c r="A17" i="18" s="1"/>
  <c r="M25" i="18"/>
  <c r="A25" i="18" s="1"/>
  <c r="M27" i="18"/>
  <c r="A27" i="18" s="1"/>
  <c r="M29" i="18"/>
  <c r="A29" i="18" s="1"/>
  <c r="M31" i="18"/>
  <c r="A31" i="18" s="1"/>
  <c r="M33" i="18"/>
  <c r="A33" i="18" s="1"/>
  <c r="M7" i="19"/>
  <c r="N7" i="19" s="1"/>
  <c r="A7" i="19"/>
  <c r="M9" i="19"/>
  <c r="N9" i="19" s="1"/>
  <c r="A9" i="19" s="1"/>
  <c r="M10" i="19"/>
  <c r="N10" i="19" s="1"/>
  <c r="N11" i="19"/>
  <c r="M11" i="19"/>
  <c r="N12" i="19"/>
  <c r="A12" i="19" s="1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M23" i="19"/>
  <c r="N24" i="19"/>
  <c r="M24" i="19"/>
  <c r="N25" i="19"/>
  <c r="A25" i="19" s="1"/>
  <c r="M25" i="19"/>
  <c r="N26" i="19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A31" i="19" s="1"/>
  <c r="M31" i="19"/>
  <c r="N32" i="19"/>
  <c r="A32" i="19" s="1"/>
  <c r="M32" i="19"/>
  <c r="N33" i="19"/>
  <c r="A33" i="19" s="1"/>
  <c r="M33" i="19"/>
  <c r="N34" i="19"/>
  <c r="A34" i="19" s="1"/>
  <c r="M34" i="19"/>
  <c r="N35" i="19"/>
  <c r="M35" i="19"/>
  <c r="N36" i="19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M47" i="19"/>
  <c r="N48" i="19"/>
  <c r="A48" i="19" s="1"/>
  <c r="M48" i="19"/>
  <c r="N49" i="19"/>
  <c r="M49" i="19"/>
  <c r="N50" i="19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M64" i="19"/>
  <c r="N65" i="19"/>
  <c r="A65" i="19" s="1"/>
  <c r="M65" i="19"/>
  <c r="N66" i="19"/>
  <c r="M66" i="19"/>
  <c r="N67" i="19"/>
  <c r="A67" i="19" s="1"/>
  <c r="M67" i="19"/>
  <c r="N68" i="19"/>
  <c r="M68" i="19"/>
  <c r="N69" i="19"/>
  <c r="A69" i="19" s="1"/>
  <c r="M69" i="19"/>
  <c r="N70" i="19"/>
  <c r="A70" i="19" s="1"/>
  <c r="M70" i="19"/>
  <c r="N71" i="19"/>
  <c r="A71" i="19" s="1"/>
  <c r="M71" i="19"/>
  <c r="N72" i="19"/>
  <c r="M72" i="19"/>
  <c r="N73" i="19"/>
  <c r="A73" i="19" s="1"/>
  <c r="M73" i="19"/>
  <c r="N74" i="19"/>
  <c r="A74" i="19" s="1"/>
  <c r="M74" i="19"/>
  <c r="N75" i="19"/>
  <c r="A75" i="19" s="1"/>
  <c r="M75" i="19"/>
  <c r="N76" i="19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M88" i="19"/>
  <c r="N89" i="19"/>
  <c r="A89" i="19" s="1"/>
  <c r="M89" i="19"/>
  <c r="N90" i="19"/>
  <c r="M90" i="19"/>
  <c r="N91" i="19"/>
  <c r="A91" i="19" s="1"/>
  <c r="M91" i="19"/>
  <c r="N92" i="19"/>
  <c r="A92" i="19" s="1"/>
  <c r="M92" i="19"/>
  <c r="N93" i="19"/>
  <c r="A93" i="19" s="1"/>
  <c r="M93" i="19"/>
  <c r="N94" i="19"/>
  <c r="M94" i="19"/>
  <c r="N95" i="19"/>
  <c r="A95" i="19" s="1"/>
  <c r="M95" i="19"/>
  <c r="N96" i="19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M102" i="19"/>
  <c r="N103" i="19"/>
  <c r="A103" i="19" s="1"/>
  <c r="M103" i="19"/>
  <c r="N104" i="19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A113" i="19" s="1"/>
  <c r="M113" i="19"/>
  <c r="N114" i="19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M132" i="19"/>
  <c r="N133" i="19"/>
  <c r="A133" i="19" s="1"/>
  <c r="M133" i="19"/>
  <c r="N134" i="19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M147" i="19"/>
  <c r="N148" i="19"/>
  <c r="A148" i="19" s="1"/>
  <c r="M148" i="19"/>
  <c r="N149" i="19"/>
  <c r="M149" i="19"/>
  <c r="N150" i="19"/>
  <c r="A150" i="19" s="1"/>
  <c r="M150" i="19"/>
  <c r="N151" i="19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A177" i="19" s="1"/>
  <c r="M177" i="19"/>
  <c r="N178" i="19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M199" i="19"/>
  <c r="N200" i="19"/>
  <c r="A200" i="19" s="1"/>
  <c r="M200" i="19"/>
  <c r="N201" i="19"/>
  <c r="A201" i="19" s="1"/>
  <c r="M201" i="19"/>
  <c r="N202" i="19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M223" i="19"/>
  <c r="N224" i="19"/>
  <c r="A224" i="19" s="1"/>
  <c r="M224" i="19"/>
  <c r="N225" i="19"/>
  <c r="A225" i="19" s="1"/>
  <c r="M225" i="19"/>
  <c r="N226" i="19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M247" i="19"/>
  <c r="N248" i="19"/>
  <c r="A248" i="19" s="1"/>
  <c r="M248" i="19"/>
  <c r="N249" i="19"/>
  <c r="A249" i="19" s="1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M271" i="19"/>
  <c r="N272" i="19"/>
  <c r="A272" i="19" s="1"/>
  <c r="M272" i="19"/>
  <c r="N273" i="19"/>
  <c r="A273" i="19" s="1"/>
  <c r="M273" i="19"/>
  <c r="N274" i="19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M295" i="19"/>
  <c r="N296" i="19"/>
  <c r="A296" i="19" s="1"/>
  <c r="M296" i="19"/>
  <c r="N297" i="19"/>
  <c r="A297" i="19" s="1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J8" i="13"/>
  <c r="J13" i="13"/>
  <c r="J9" i="13"/>
  <c r="J12" i="13"/>
  <c r="L11" i="13"/>
  <c r="L8" i="13"/>
  <c r="L13" i="13"/>
  <c r="L9" i="13"/>
  <c r="K12" i="13"/>
  <c r="K10" i="13"/>
  <c r="K14" i="13"/>
  <c r="K15" i="13"/>
  <c r="K16" i="13"/>
  <c r="K17" i="13"/>
  <c r="K18" i="13"/>
  <c r="K19" i="13"/>
  <c r="K20" i="13"/>
  <c r="K21" i="13"/>
  <c r="K22" i="13"/>
  <c r="K23" i="13"/>
  <c r="M6" i="17"/>
  <c r="M11" i="17"/>
  <c r="A11" i="17" s="1"/>
  <c r="M17" i="17"/>
  <c r="A17" i="17" s="1"/>
  <c r="M19" i="17"/>
  <c r="A19" i="17" s="1"/>
  <c r="M20" i="17"/>
  <c r="A20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8" i="17"/>
  <c r="A28" i="17" s="1"/>
  <c r="M29" i="17"/>
  <c r="A29" i="17" s="1"/>
  <c r="M30" i="17"/>
  <c r="A30" i="17" s="1"/>
  <c r="M31" i="17"/>
  <c r="A31" i="17" s="1"/>
  <c r="M32" i="17"/>
  <c r="A32" i="17" s="1"/>
  <c r="M33" i="17"/>
  <c r="A33" i="17" s="1"/>
  <c r="M35" i="17"/>
  <c r="A35" i="17" s="1"/>
  <c r="M36" i="17"/>
  <c r="A36" i="17" s="1"/>
  <c r="M37" i="17"/>
  <c r="A37" i="17" s="1"/>
  <c r="I20" i="13"/>
  <c r="J20" i="13" s="1"/>
  <c r="I21" i="13"/>
  <c r="J21" i="13" s="1"/>
  <c r="A298" i="19"/>
  <c r="A178" i="19"/>
  <c r="A202" i="19"/>
  <c r="A234" i="19"/>
  <c r="A274" i="19"/>
  <c r="A154" i="19"/>
  <c r="A210" i="19"/>
  <c r="A250" i="19"/>
  <c r="A282" i="19"/>
  <c r="A10" i="19"/>
  <c r="A226" i="19"/>
  <c r="A10" i="18"/>
  <c r="A18" i="17"/>
  <c r="A34" i="17"/>
  <c r="A26" i="17"/>
  <c r="A10" i="16"/>
  <c r="A10" i="15"/>
  <c r="H11" i="13"/>
  <c r="H10" i="13"/>
  <c r="H17" i="13"/>
  <c r="H21" i="13"/>
  <c r="H18" i="13"/>
  <c r="H22" i="13"/>
  <c r="H9" i="13"/>
  <c r="H15" i="13"/>
  <c r="H19" i="13"/>
  <c r="H23" i="13"/>
  <c r="F7" i="13"/>
  <c r="F14" i="13"/>
  <c r="F18" i="13"/>
  <c r="F22" i="13"/>
  <c r="F15" i="13"/>
  <c r="F19" i="13"/>
  <c r="F23" i="13"/>
  <c r="F13" i="13"/>
  <c r="F12" i="13"/>
  <c r="F16" i="13"/>
  <c r="F20" i="13"/>
  <c r="F10" i="13"/>
  <c r="F17" i="13"/>
  <c r="F21" i="13"/>
  <c r="A8" i="18"/>
  <c r="L7" i="15"/>
  <c r="U46" i="14"/>
  <c r="L8" i="14"/>
  <c r="A9" i="14"/>
  <c r="F11" i="13" s="1"/>
  <c r="A6" i="14"/>
  <c r="A8" i="15"/>
  <c r="H8" i="13" s="1"/>
  <c r="A7" i="16"/>
  <c r="J7" i="13" s="1"/>
  <c r="L7" i="14"/>
  <c r="L6" i="15"/>
  <c r="L8" i="16"/>
  <c r="L6" i="16"/>
  <c r="A6" i="17"/>
  <c r="L6" i="13" s="1"/>
  <c r="AI16" i="17"/>
  <c r="L8" i="17"/>
  <c r="L7" i="17"/>
  <c r="A26" i="19"/>
  <c r="A36" i="19"/>
  <c r="A11" i="19"/>
  <c r="A120" i="19"/>
  <c r="L6" i="18"/>
  <c r="M6" i="18" s="1"/>
  <c r="A24" i="19"/>
  <c r="A38" i="19"/>
  <c r="A50" i="19"/>
  <c r="A47" i="19"/>
  <c r="A64" i="19"/>
  <c r="A104" i="19"/>
  <c r="A162" i="19"/>
  <c r="A18" i="19"/>
  <c r="A72" i="19"/>
  <c r="A30" i="19"/>
  <c r="A42" i="19"/>
  <c r="L6" i="19"/>
  <c r="A76" i="19"/>
  <c r="A136" i="19"/>
  <c r="A140" i="19"/>
  <c r="L8" i="19"/>
  <c r="A90" i="19"/>
  <c r="A96" i="19"/>
  <c r="A112" i="19"/>
  <c r="A68" i="19"/>
  <c r="A23" i="19"/>
  <c r="A35" i="19"/>
  <c r="A49" i="19"/>
  <c r="A66" i="19"/>
  <c r="A128" i="19"/>
  <c r="A122" i="19"/>
  <c r="A130" i="19"/>
  <c r="A138" i="19"/>
  <c r="A175" i="19"/>
  <c r="A199" i="19"/>
  <c r="A223" i="19"/>
  <c r="A247" i="19"/>
  <c r="A271" i="19"/>
  <c r="A114" i="19"/>
  <c r="A149" i="19"/>
  <c r="A118" i="19"/>
  <c r="A126" i="19"/>
  <c r="A134" i="19"/>
  <c r="A147" i="19"/>
  <c r="A173" i="19"/>
  <c r="A160" i="19"/>
  <c r="A151" i="19"/>
  <c r="A184" i="19"/>
  <c r="A208" i="19"/>
  <c r="A232" i="19"/>
  <c r="A256" i="19"/>
  <c r="A280" i="19"/>
  <c r="A116" i="19"/>
  <c r="A124" i="19"/>
  <c r="A132" i="19"/>
  <c r="A82" i="19"/>
  <c r="A88" i="19"/>
  <c r="A94" i="19"/>
  <c r="A102" i="19"/>
  <c r="A110" i="19"/>
  <c r="A171" i="19"/>
  <c r="A195" i="19"/>
  <c r="A219" i="19"/>
  <c r="A243" i="19"/>
  <c r="A267" i="19"/>
  <c r="A291" i="19"/>
  <c r="A295" i="19"/>
  <c r="P6" i="13" l="1"/>
  <c r="P8" i="13"/>
  <c r="P11" i="13"/>
  <c r="P9" i="13"/>
  <c r="P12" i="13"/>
  <c r="P13" i="13"/>
  <c r="P23" i="13"/>
  <c r="P22" i="13"/>
  <c r="P21" i="13"/>
  <c r="P20" i="13"/>
  <c r="P19" i="13"/>
  <c r="P18" i="13"/>
  <c r="P17" i="13"/>
  <c r="P16" i="13"/>
  <c r="P15" i="13"/>
  <c r="P14" i="13"/>
  <c r="N6" i="13"/>
  <c r="N7" i="13"/>
  <c r="N11" i="13"/>
  <c r="N13" i="13"/>
  <c r="N9" i="13"/>
  <c r="N12" i="13"/>
  <c r="N23" i="13"/>
  <c r="N22" i="13"/>
  <c r="N21" i="13"/>
  <c r="N20" i="13"/>
  <c r="N19" i="13"/>
  <c r="N18" i="13"/>
  <c r="N17" i="13"/>
  <c r="N16" i="13"/>
  <c r="N15" i="13"/>
  <c r="N14" i="13"/>
  <c r="N10" i="13"/>
  <c r="M8" i="19"/>
  <c r="N8" i="19" s="1"/>
  <c r="A8" i="19" s="1"/>
  <c r="P10" i="13" s="1"/>
  <c r="M6" i="19"/>
  <c r="N6" i="19" s="1"/>
  <c r="A6" i="19" s="1"/>
  <c r="P7" i="13" s="1"/>
  <c r="M6" i="16"/>
  <c r="A6" i="16" s="1"/>
  <c r="J6" i="13" s="1"/>
  <c r="M8" i="16"/>
  <c r="A8" i="16" s="1"/>
  <c r="J11" i="13" s="1"/>
  <c r="M6" i="15"/>
  <c r="A6" i="15" s="1"/>
  <c r="H7" i="13" s="1"/>
  <c r="M7" i="14"/>
  <c r="A7" i="14" s="1"/>
  <c r="M8" i="14"/>
  <c r="A8" i="14" s="1"/>
  <c r="F8" i="13" s="1"/>
  <c r="M7" i="15"/>
  <c r="A7" i="15" s="1"/>
  <c r="H6" i="13" s="1"/>
  <c r="H16" i="13"/>
  <c r="H13" i="13"/>
  <c r="H12" i="13"/>
  <c r="J10" i="13"/>
  <c r="J14" i="13"/>
  <c r="J15" i="13"/>
  <c r="J16" i="13"/>
  <c r="J17" i="13"/>
  <c r="J18" i="13"/>
  <c r="J19" i="13"/>
  <c r="J22" i="13"/>
  <c r="J23" i="13"/>
  <c r="M7" i="17"/>
  <c r="A7" i="17" s="1"/>
  <c r="L7" i="13" s="1"/>
  <c r="M8" i="17"/>
  <c r="A8" i="17" s="1"/>
  <c r="L23" i="13"/>
  <c r="L22" i="13"/>
  <c r="L21" i="13"/>
  <c r="L20" i="13"/>
  <c r="L19" i="13"/>
  <c r="L18" i="13"/>
  <c r="L17" i="13"/>
  <c r="D17" i="13" s="1"/>
  <c r="L16" i="13"/>
  <c r="L15" i="13"/>
  <c r="D15" i="13" s="1"/>
  <c r="L14" i="13"/>
  <c r="L10" i="13"/>
  <c r="D10" i="13" s="1"/>
  <c r="L12" i="13"/>
  <c r="D13" i="13"/>
  <c r="D22" i="13"/>
  <c r="D23" i="13"/>
  <c r="D21" i="13"/>
  <c r="D7" i="13"/>
  <c r="H20" i="13"/>
  <c r="D20" i="13" s="1"/>
  <c r="H14" i="13"/>
  <c r="D14" i="13" s="1"/>
  <c r="F9" i="13"/>
  <c r="D9" i="13" s="1"/>
  <c r="D11" i="13"/>
  <c r="D19" i="13"/>
  <c r="D18" i="13"/>
  <c r="D16" i="13"/>
  <c r="D12" i="13"/>
  <c r="D8" i="13"/>
  <c r="F6" i="13"/>
  <c r="D6" i="13" s="1"/>
</calcChain>
</file>

<file path=xl/sharedStrings.xml><?xml version="1.0" encoding="utf-8"?>
<sst xmlns="http://schemas.openxmlformats.org/spreadsheetml/2006/main" count="261" uniqueCount="75">
  <si>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</si>
  <si>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</si>
  <si>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</si>
  <si>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3</t>
  </si>
  <si>
    <t xml:space="preserve"> (rok ur. 1953-1962)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</si>
  <si>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</si>
  <si>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</si>
  <si>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</si>
  <si>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</si>
  <si>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</si>
  <si>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</si>
  <si>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</si>
  <si>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</si>
  <si>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</si>
  <si>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</si>
  <si>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</si>
  <si>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</si>
  <si>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POKRZYWA Mariusz</t>
  </si>
  <si>
    <t>MAŁASIŃSKI Adam</t>
  </si>
  <si>
    <t>KIERSZNICKI Ryszard</t>
  </si>
  <si>
    <t>SUROWIEC Tomasz</t>
  </si>
  <si>
    <t>POPRAWA Mariusz</t>
  </si>
  <si>
    <t>JUSZKIEWICZ Piotr</t>
  </si>
  <si>
    <t>ZYLKA Henry</t>
  </si>
  <si>
    <t>RADECKI Andrzej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</si>
  <si>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</si>
  <si>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</si>
  <si>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</si>
  <si>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</si>
  <si>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</si>
  <si>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</si>
  <si>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</si>
  <si>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20/2/2022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</si>
  <si>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</si>
  <si>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</si>
  <si>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</si>
  <si>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</si>
  <si>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</si>
  <si>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</si>
  <si>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</si>
  <si>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</si>
  <si>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</si>
  <si>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</si>
  <si>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</si>
  <si>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</si>
  <si>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</si>
  <si>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</si>
  <si>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</si>
  <si>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</si>
  <si>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</si>
  <si>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</si>
  <si>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</si>
  <si>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</si>
  <si>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</si>
  <si>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</si>
  <si>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13/3/2022</t>
  </si>
  <si>
    <t>AZS AWF KRAKÓW</t>
  </si>
  <si>
    <t>SZCZECIN</t>
  </si>
  <si>
    <t>NIEPOŁOMICE</t>
  </si>
  <si>
    <t>19/06/2022</t>
  </si>
  <si>
    <t>KATOWICE</t>
  </si>
  <si>
    <t>22-23.10.2022</t>
  </si>
  <si>
    <t xml:space="preserve"> POL</t>
  </si>
  <si>
    <t>TG Landshut</t>
  </si>
  <si>
    <t>ST. POLSKICH WETERANÓW SZERMIERKI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</si>
  <si>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</si>
  <si>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</si>
  <si>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</si>
  <si>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</si>
  <si>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</si>
  <si>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</si>
  <si>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</si>
  <si>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AZS Kraków</t>
  </si>
  <si>
    <t>Krosno</t>
  </si>
  <si>
    <t>MKS KUSY SZCZECIN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</si>
</sst>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4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2" xfId="0" applyFill="1" applyBorder="1" applyAlignment="1">
      <alignment horizontal="center"/>
    </xf>
    <xf numFmtId="1" fontId="11" fillId="7" borderId="12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0" fontId="10" fillId="4" borderId="0" xfId="0" applyFont="1" applyFill="1" applyAlignment="1">
      <alignment horizontal="left" wrapText="1"/>
    </xf>
    <xf numFmtId="2" fontId="1" fillId="7" borderId="0" xfId="2" applyNumberFormat="1" applyFill="1" applyAlignment="1">
      <alignment horizontal="center" vertical="center"/>
    </xf>
    <xf numFmtId="0" fontId="4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CBF8C569-256B-43BD-A37A-F71C3D1D16E1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F5852AC0D8484F29BC0895E6525C60A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9AE25BFD30BE45E2AB28EA71AC2C5E8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35F790C1A892407084F992950E130F1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2A373A89EB6444FD87A33A3F02A9016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AED575F98A98475CB37E017BDD43F9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AF7059437F4143579B236770A80F392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F3CA-DD0C-4AC5-8A8F-DE595E84D150}">
  <dimension ref="A1:U39"/>
  <sheetViews>
    <sheetView tabSelected="1" workbookViewId="0">
      <selection activeCell="B15" sqref="B15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3.7" customHeight="1" thickBot="1">
      <c r="A1" s="3"/>
      <c r="B1" s="3"/>
      <c r="C1" s="3"/>
      <c r="D1" s="7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83" t="s">
        <v>2</v>
      </c>
      <c r="S2" s="84"/>
      <c r="T2" s="84"/>
      <c r="U2" s="85"/>
    </row>
    <row r="3" spans="1:21" ht="13.7" customHeight="1">
      <c r="A3" s="3"/>
      <c r="B3" s="3"/>
      <c r="C3" s="3"/>
      <c r="D3" s="72" t="s">
        <v>3</v>
      </c>
      <c r="E3" s="3" t="s">
        <v>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6"/>
      <c r="S3" s="87"/>
      <c r="T3" s="87"/>
      <c r="U3" s="88"/>
    </row>
    <row r="4" spans="1:21" ht="24.75" customHeight="1">
      <c r="A4" s="78" t="s">
        <v>5</v>
      </c>
      <c r="B4" s="80" t="s">
        <v>6</v>
      </c>
      <c r="C4" s="80" t="s">
        <v>7</v>
      </c>
      <c r="D4" s="80" t="s">
        <v>8</v>
      </c>
      <c r="E4" s="76" t="s">
        <v>9</v>
      </c>
      <c r="F4" s="77"/>
      <c r="G4" s="76" t="s">
        <v>10</v>
      </c>
      <c r="H4" s="77"/>
      <c r="I4" s="76" t="s">
        <v>11</v>
      </c>
      <c r="J4" s="77"/>
      <c r="K4" s="76" t="s">
        <v>12</v>
      </c>
      <c r="L4" s="77"/>
      <c r="M4" s="76" t="s">
        <v>13</v>
      </c>
      <c r="N4" s="77"/>
      <c r="O4" s="76" t="s">
        <v>14</v>
      </c>
      <c r="P4" s="77"/>
      <c r="R4" s="89"/>
      <c r="S4" s="90"/>
      <c r="T4" s="90"/>
      <c r="U4" s="91"/>
    </row>
    <row r="5" spans="1:21" ht="18" customHeight="1">
      <c r="A5" s="79"/>
      <c r="B5" s="81"/>
      <c r="C5" s="81"/>
      <c r="D5" s="82"/>
      <c r="E5" s="2" t="s">
        <v>15</v>
      </c>
      <c r="F5" s="2" t="s">
        <v>16</v>
      </c>
      <c r="G5" s="2" t="s">
        <v>15</v>
      </c>
      <c r="H5" s="2" t="s">
        <v>16</v>
      </c>
      <c r="I5" s="2" t="s">
        <v>15</v>
      </c>
      <c r="J5" s="2" t="s">
        <v>16</v>
      </c>
      <c r="K5" s="2" t="s">
        <v>15</v>
      </c>
      <c r="L5" s="2" t="s">
        <v>16</v>
      </c>
      <c r="M5" s="2" t="s">
        <v>15</v>
      </c>
      <c r="N5" s="7" t="s">
        <v>16</v>
      </c>
      <c r="O5" s="2" t="s">
        <v>15</v>
      </c>
      <c r="P5" s="7" t="s">
        <v>16</v>
      </c>
    </row>
    <row r="6" spans="1:21" ht="15" customHeight="1">
      <c r="A6" s="8">
        <f>ROW()-5</f>
        <v>1</v>
      </c>
      <c r="B6" s="9" t="s">
        <v>17</v>
      </c>
      <c r="C6" s="10"/>
      <c r="D6" s="11">
        <f>SUM(F6,H6,J6,L6,N6,P6)-MIN(F6,H6,J6,L6,N6)</f>
        <v>367.56591658136017</v>
      </c>
      <c r="E6" s="12">
        <f>_xlfn.XLOOKUP($B6,'GP1'!$C$6:$C$55,'GP1'!$B$6:$B$55,"")</f>
        <v>1</v>
      </c>
      <c r="F6" s="13">
        <f>_xlfn.XLOOKUP(E6,'GP1'!$B$6:$B$55,'GP1'!$A$6:$A$55,0)</f>
        <v>84.286609467713788</v>
      </c>
      <c r="G6" s="12">
        <f>_xlfn.XLOOKUP($B6,'GP2'!$C$6:$C$55,'GP2'!$B$6:$B$55,"")</f>
        <v>2</v>
      </c>
      <c r="H6" s="13">
        <f>_xlfn.XLOOKUP(G6,'GP2'!$B$6:$B$55,'GP2'!$A$6:$A$55,0)</f>
        <v>45.024406311809194</v>
      </c>
      <c r="I6" s="12">
        <f>_xlfn.XLOOKUP($B6,'GP3'!$C$6:$C$55,'GP3'!$B$6:$B$55,"")</f>
        <v>1</v>
      </c>
      <c r="J6" s="13">
        <f>_xlfn.XLOOKUP(I6,'GP3'!$B$6:$B$55,'GP3'!$A$6:$A$55,0)</f>
        <v>82.980246132766666</v>
      </c>
      <c r="K6" s="12">
        <f>_xlfn.XLOOKUP($B6,'GP4'!$C$6:$C$55,'GP4'!$B$6:$B$55,"")</f>
        <v>1</v>
      </c>
      <c r="L6" s="13">
        <f>_xlfn.XLOOKUP(K6,'GP4'!$B$6:$B$55,'GP4'!$A$6:$A$55,0)</f>
        <v>84.286609467713788</v>
      </c>
      <c r="M6" s="12" t="str">
        <f>_xlfn.XLOOKUP($B6,'GP5'!$C$6:$C$55,'GP5'!$B$6:$B$55,"")</f>
        <v/>
      </c>
      <c r="N6" s="13">
        <f>_xlfn.XLOOKUP(M6,'GP5'!$B$6:$B$55,'GP5'!$A$6:$A$55,0)</f>
        <v>0</v>
      </c>
      <c r="O6" s="12">
        <f>_xlfn.XLOOKUP(B6,MPW!C$6:C$55,MPW!B$6:B$55,"")</f>
        <v>2</v>
      </c>
      <c r="P6" s="14">
        <f>_xlfn.XLOOKUP(O6,MPW!B$6:B$55,MPW!A$6:A$55,0)</f>
        <v>70.988045201356712</v>
      </c>
    </row>
    <row r="7" spans="1:21" ht="15" customHeight="1">
      <c r="A7" s="8">
        <f>ROW()-5</f>
        <v>2</v>
      </c>
      <c r="B7" s="9" t="s">
        <v>18</v>
      </c>
      <c r="C7" s="15"/>
      <c r="D7" s="11">
        <f>SUM(F7,H7,J7,L7,N7,P7)-MIN(F7,H7,J7,L7,N7)</f>
        <v>281.51669550047438</v>
      </c>
      <c r="E7" s="12" t="str">
        <f>_xlfn.XLOOKUP($B7,'GP1'!$C$6:$C$55,'GP1'!$B$6:$B$55,"")</f>
        <v/>
      </c>
      <c r="F7" s="13">
        <f>_xlfn.XLOOKUP(E7,'GP1'!$B$6:$B$55,'GP1'!$A$6:$A$55,0)</f>
        <v>0</v>
      </c>
      <c r="G7" s="12">
        <f>_xlfn.XLOOKUP($B7,'GP2'!$C$6:$C$55,'GP2'!$B$6:$B$55,"")</f>
        <v>1</v>
      </c>
      <c r="H7" s="13">
        <f>_xlfn.XLOOKUP(G7,'GP2'!$B$6:$B$55,'GP2'!$A$6:$A$55,0)</f>
        <v>84.286609467713788</v>
      </c>
      <c r="I7" s="16">
        <f>_xlfn.XLOOKUP($B7,'GP3'!$C$6:$C$55,'GP3'!$B$6:$B$55,"")</f>
        <v>2</v>
      </c>
      <c r="J7" s="17">
        <f>_xlfn.XLOOKUP(I7,'GP3'!$B$6:$B$55,'GP3'!$A$6:$A$55,0)</f>
        <v>37.73793949684304</v>
      </c>
      <c r="K7" s="16">
        <f>_xlfn.XLOOKUP($B7,'GP4'!$C$6:$C$55,'GP4'!$B$6:$B$55,"")</f>
        <v>2</v>
      </c>
      <c r="L7" s="17">
        <f>_xlfn.XLOOKUP(K7,'GP4'!$B$6:$B$55,'GP4'!$A$6:$A$55,0)</f>
        <v>45.024406311809194</v>
      </c>
      <c r="M7" s="16" t="str">
        <f>_xlfn.XLOOKUP($B7,'GP5'!$C$6:$C$55,'GP5'!$B$6:$B$55,"")</f>
        <v/>
      </c>
      <c r="N7" s="17">
        <f>_xlfn.XLOOKUP(M7,'GP5'!$B$6:$B$55,'GP5'!$A$6:$A$55,0)</f>
        <v>0</v>
      </c>
      <c r="O7" s="16">
        <f>_xlfn.XLOOKUP(B7,MPW!C$6:C$55,MPW!B$6:B$55,"")</f>
        <v>1</v>
      </c>
      <c r="P7" s="18">
        <f>_xlfn.XLOOKUP(O7,MPW!B$6:B$55,MPW!A$6:A$55,0)</f>
        <v>114.46774022410833</v>
      </c>
    </row>
    <row r="8" spans="1:21" ht="15" customHeight="1">
      <c r="A8" s="8">
        <f>ROW()-5</f>
        <v>3</v>
      </c>
      <c r="B8" s="9" t="s">
        <v>19</v>
      </c>
      <c r="C8" s="15"/>
      <c r="D8" s="11">
        <f>SUM(F8,H8,J8,L8,N8,P8)-MIN(F8,H8,J8,L8,N8)</f>
        <v>107.99186566470881</v>
      </c>
      <c r="E8" s="12">
        <f>_xlfn.XLOOKUP($B8,'GP1'!$C$6:$C$55,'GP1'!$B$6:$B$55,"")</f>
        <v>3</v>
      </c>
      <c r="F8" s="13">
        <f>_xlfn.XLOOKUP(E8,'GP1'!$B$6:$B$55,'GP1'!$A$6:$A$55,0)</f>
        <v>15.930621888236271</v>
      </c>
      <c r="G8" s="12">
        <f>_xlfn.XLOOKUP($B8,'GP2'!$C$6:$C$55,'GP2'!$B$6:$B$55,"")</f>
        <v>3</v>
      </c>
      <c r="H8" s="13">
        <f>_xlfn.XLOOKUP(G8,'GP2'!$B$6:$B$55,'GP2'!$A$6:$A$55,0)</f>
        <v>15.930621888236271</v>
      </c>
      <c r="I8" s="16" t="str">
        <f>_xlfn.XLOOKUP($B8,'GP3'!$C$6:$C$55,'GP3'!$B$6:$B$55,"")</f>
        <v/>
      </c>
      <c r="J8" s="17">
        <f>_xlfn.XLOOKUP(I8,'GP3'!$B$6:$B$55,'GP3'!$A$6:$A$55,0)</f>
        <v>0</v>
      </c>
      <c r="K8" s="16">
        <f>_xlfn.XLOOKUP($B8,'GP4'!$C$6:$C$55,'GP4'!$B$6:$B$55,"")</f>
        <v>3</v>
      </c>
      <c r="L8" s="17">
        <f>_xlfn.XLOOKUP(K8,'GP4'!$B$6:$B$55,'GP4'!$A$6:$A$55,0)</f>
        <v>15.930621888236271</v>
      </c>
      <c r="M8" s="16">
        <f>_xlfn.XLOOKUP($B8,'GP5'!$C$6:$C$55,'GP5'!$B$6:$B$55,"")</f>
        <v>1</v>
      </c>
      <c r="N8" s="17">
        <f>_xlfn.XLOOKUP(M8,'GP5'!$B$6:$B$55,'GP5'!$A$6:$A$55,0)</f>
        <v>59</v>
      </c>
      <c r="O8" s="16">
        <f>_xlfn.XLOOKUP(B8,MPW!C$6:C$55,MPW!B$6:B$55,"")</f>
        <v>5</v>
      </c>
      <c r="P8" s="18">
        <f>_xlfn.XLOOKUP(O8,MPW!B$6:B$55,MPW!A$6:A$55,0)</f>
        <v>1.2</v>
      </c>
    </row>
    <row r="9" spans="1:21" ht="15" customHeight="1">
      <c r="A9" s="8">
        <f>ROW()-5</f>
        <v>4</v>
      </c>
      <c r="B9" s="9" t="s">
        <v>20</v>
      </c>
      <c r="C9" s="15"/>
      <c r="D9" s="11">
        <f>SUM(F9,H9,J9,L9,N9,P9)-MIN(F9,H9,J9,L9,N9)</f>
        <v>45.024406311809194</v>
      </c>
      <c r="E9" s="12">
        <f>_xlfn.XLOOKUP($B9,'GP1'!$C$6:$C$55,'GP1'!$B$6:$B$55,"")</f>
        <v>2</v>
      </c>
      <c r="F9" s="13">
        <f>_xlfn.XLOOKUP(E9,'GP1'!$B$6:$B$55,'GP1'!$A$6:$A$55,0)</f>
        <v>45.024406311809194</v>
      </c>
      <c r="G9" s="12" t="str">
        <f>_xlfn.XLOOKUP($B9,'GP2'!$C$6:$C$55,'GP2'!$B$6:$B$55,"")</f>
        <v/>
      </c>
      <c r="H9" s="13">
        <f>_xlfn.XLOOKUP(G9,'GP2'!$B$6:$B$55,'GP2'!$A$6:$A$55,0)</f>
        <v>0</v>
      </c>
      <c r="I9" s="16" t="str">
        <f>_xlfn.XLOOKUP($B9,'GP3'!$C$6:$C$55,'GP3'!$B$6:$B$55,"")</f>
        <v/>
      </c>
      <c r="J9" s="17">
        <f>_xlfn.XLOOKUP(I9,'GP3'!$B$6:$B$55,'GP3'!$A$6:$A$55,0)</f>
        <v>0</v>
      </c>
      <c r="K9" s="16" t="str">
        <f>_xlfn.XLOOKUP($B9,'GP4'!$C$6:$C$55,'GP4'!$B$6:$B$55,"")</f>
        <v/>
      </c>
      <c r="L9" s="17">
        <f>_xlfn.XLOOKUP(K9,'GP4'!$B$6:$B$55,'GP4'!$A$6:$A$55,0)</f>
        <v>0</v>
      </c>
      <c r="M9" s="16" t="str">
        <f>_xlfn.XLOOKUP($B9,'GP5'!$C$6:$C$55,'GP5'!$B$6:$B$55,"")</f>
        <v/>
      </c>
      <c r="N9" s="17">
        <f>_xlfn.XLOOKUP(M9,'GP5'!$B$6:$B$55,'GP5'!$A$6:$A$55,0)</f>
        <v>0</v>
      </c>
      <c r="O9" s="16" t="str">
        <f>_xlfn.XLOOKUP(B9,MPW!C$6:C$55,MPW!B$6:B$55,"")</f>
        <v/>
      </c>
      <c r="P9" s="18">
        <f>_xlfn.XLOOKUP(O9,MPW!B$6:B$55,MPW!A$6:A$55,0)</f>
        <v>0</v>
      </c>
    </row>
    <row r="10" spans="1:21" ht="15" customHeight="1">
      <c r="A10" s="8">
        <f>ROW()-5</f>
        <v>5</v>
      </c>
      <c r="B10" s="9" t="s">
        <v>21</v>
      </c>
      <c r="C10" s="15"/>
      <c r="D10" s="11">
        <f>SUM(F10,H10,J10,L10,N10,P10)-MIN(F10,H10,J10,L10,N10)</f>
        <v>38.018669172260182</v>
      </c>
      <c r="E10" s="12" t="str">
        <f>_xlfn.XLOOKUP($B10,'GP1'!$C$6:$C$55,'GP1'!$B$6:$B$55,"")</f>
        <v/>
      </c>
      <c r="F10" s="13">
        <f>_xlfn.XLOOKUP(E10,'GP1'!$B$6:$B$55,'GP1'!$A$6:$A$55,0)</f>
        <v>0</v>
      </c>
      <c r="G10" s="12" t="str">
        <f>_xlfn.XLOOKUP($B10,'GP2'!$C$6:$C$55,'GP2'!$B$6:$B$55,"")</f>
        <v/>
      </c>
      <c r="H10" s="13">
        <f>_xlfn.XLOOKUP(G10,'GP2'!$B$6:$B$55,'GP2'!$A$6:$A$55,0)</f>
        <v>0</v>
      </c>
      <c r="I10" s="16" t="str">
        <f>_xlfn.XLOOKUP($B10,'GP3'!$C$6:$C$55,'GP3'!$B$6:$B$55,"")</f>
        <v/>
      </c>
      <c r="J10" s="17">
        <f>_xlfn.XLOOKUP(I10,'GP3'!$B$6:$B$55,'GP3'!$A$6:$A$55,0)</f>
        <v>0</v>
      </c>
      <c r="K10" s="16" t="str">
        <f>_xlfn.XLOOKUP($B10,'GP4'!$C$6:$C$55,'GP4'!$B$6:$B$55,"")</f>
        <v/>
      </c>
      <c r="L10" s="17">
        <f>_xlfn.XLOOKUP(K10,'GP4'!$B$6:$B$55,'GP4'!$A$6:$A$55,0)</f>
        <v>0</v>
      </c>
      <c r="M10" s="16" t="str">
        <f>_xlfn.XLOOKUP($B10,'GP5'!$C$6:$C$55,'GP5'!$B$6:$B$55,"")</f>
        <v/>
      </c>
      <c r="N10" s="17">
        <f>_xlfn.XLOOKUP(M10,'GP5'!$B$6:$B$55,'GP5'!$A$6:$A$55,0)</f>
        <v>0</v>
      </c>
      <c r="O10" s="16">
        <f>_xlfn.XLOOKUP(B10,MPW!C$6:C$55,MPW!B$6:B$55,"")</f>
        <v>3</v>
      </c>
      <c r="P10" s="18">
        <f>_xlfn.XLOOKUP(O10,MPW!B$6:B$55,MPW!A$6:A$55,0)</f>
        <v>38.018669172260182</v>
      </c>
    </row>
    <row r="11" spans="1:21" ht="15" customHeight="1">
      <c r="A11" s="8">
        <f>ROW()-5</f>
        <v>6</v>
      </c>
      <c r="B11" s="9" t="s">
        <v>22</v>
      </c>
      <c r="C11" s="15"/>
      <c r="D11" s="11">
        <f>SUM(F11,H11,J11,L11,N11,P11)-MIN(F11,H11,J11,L11,N11)</f>
        <v>28.67918548149121</v>
      </c>
      <c r="E11" s="12">
        <f>_xlfn.XLOOKUP($B11,'GP1'!$C$6:$C$55,'GP1'!$B$6:$B$55,"")</f>
        <v>4</v>
      </c>
      <c r="F11" s="13">
        <f>_xlfn.XLOOKUP(E11,'GP1'!$B$6:$B$55,'GP1'!$A$6:$A$55,0)</f>
        <v>1</v>
      </c>
      <c r="G11" s="12">
        <f>_xlfn.XLOOKUP($B11,'GP2'!$C$6:$C$55,'GP2'!$B$6:$B$55,"")</f>
        <v>4</v>
      </c>
      <c r="H11" s="13">
        <f>_xlfn.XLOOKUP(G11,'GP2'!$B$6:$B$55,'GP2'!$A$6:$A$55,0)</f>
        <v>1</v>
      </c>
      <c r="I11" s="16">
        <f>_xlfn.XLOOKUP($B11,'GP3'!$C$6:$C$55,'GP3'!$B$6:$B$55,"")</f>
        <v>3</v>
      </c>
      <c r="J11" s="17">
        <f>_xlfn.XLOOKUP(I11,'GP3'!$B$6:$B$55,'GP3'!$A$6:$A$55,0)</f>
        <v>5.3267487109222245</v>
      </c>
      <c r="K11" s="16" t="str">
        <f>_xlfn.XLOOKUP($B11,'GP4'!$C$6:$C$55,'GP4'!$B$6:$B$55,"")</f>
        <v/>
      </c>
      <c r="L11" s="17">
        <f>_xlfn.XLOOKUP(K11,'GP4'!$B$6:$B$55,'GP4'!$A$6:$A$55,0)</f>
        <v>0</v>
      </c>
      <c r="M11" s="16" t="str">
        <f>_xlfn.XLOOKUP($B11,'GP5'!$C$6:$C$55,'GP5'!$B$6:$B$55,"")</f>
        <v/>
      </c>
      <c r="N11" s="17">
        <f>_xlfn.XLOOKUP(M11,'GP5'!$B$6:$B$55,'GP5'!$A$6:$A$55,0)</f>
        <v>0</v>
      </c>
      <c r="O11" s="16">
        <f>_xlfn.XLOOKUP(B11,MPW!C$6:C$55,MPW!B$6:B$55,"")</f>
        <v>4</v>
      </c>
      <c r="P11" s="18">
        <f>_xlfn.XLOOKUP(O11,MPW!B$6:B$55,MPW!A$6:A$55,0)</f>
        <v>21.352436770568985</v>
      </c>
    </row>
    <row r="12" spans="1:21" ht="15" customHeight="1">
      <c r="A12" s="8">
        <f>ROW()-5</f>
        <v>7</v>
      </c>
      <c r="B12" s="9" t="s">
        <v>23</v>
      </c>
      <c r="C12" s="15"/>
      <c r="D12" s="11">
        <f>SUM(F12,H12,J12,L12,N12,P12)-MIN(F12,H12,J12,L12,N12)</f>
        <v>15.930621888236271</v>
      </c>
      <c r="E12" s="12" t="str">
        <f>_xlfn.XLOOKUP($B12,'GP1'!$C$6:$C$55,'GP1'!$B$6:$B$55,"")</f>
        <v/>
      </c>
      <c r="F12" s="13">
        <f>_xlfn.XLOOKUP(E12,'GP1'!$B$6:$B$55,'GP1'!$A$6:$A$55,0)</f>
        <v>0</v>
      </c>
      <c r="G12" s="12" t="str">
        <f>_xlfn.XLOOKUP($B12,'GP2'!$C$6:$C$55,'GP2'!$B$6:$B$55,"")</f>
        <v/>
      </c>
      <c r="H12" s="13">
        <f>_xlfn.XLOOKUP(G12,'GP2'!$B$6:$B$55,'GP2'!$A$6:$A$55,0)</f>
        <v>0</v>
      </c>
      <c r="I12" s="16" t="str">
        <f>_xlfn.XLOOKUP($B12,'GP3'!$C$6:$C$55,'GP3'!$B$6:$B$55,"")</f>
        <v/>
      </c>
      <c r="J12" s="17">
        <f>_xlfn.XLOOKUP(I12,'GP3'!$B$6:$B$55,'GP3'!$A$6:$A$55,0)</f>
        <v>0</v>
      </c>
      <c r="K12" s="16">
        <f>_xlfn.XLOOKUP($B12,'GP4'!$C$6:$C$55,'GP4'!$B$6:$B$55,"")</f>
        <v>3</v>
      </c>
      <c r="L12" s="17">
        <f>_xlfn.XLOOKUP(K12,'GP4'!$B$6:$B$55,'GP4'!$A$6:$A$55,0)</f>
        <v>15.930621888236271</v>
      </c>
      <c r="M12" s="16" t="str">
        <f>_xlfn.XLOOKUP($B12,'GP5'!$C$6:$C$55,'GP5'!$B$6:$B$55,"")</f>
        <v/>
      </c>
      <c r="N12" s="17">
        <f>_xlfn.XLOOKUP(M12,'GP5'!$B$6:$B$55,'GP5'!$A$6:$A$55,0)</f>
        <v>0</v>
      </c>
      <c r="O12" s="16" t="str">
        <f>_xlfn.XLOOKUP(B12,MPW!C$6:C$55,MPW!B$6:B$55,"")</f>
        <v/>
      </c>
      <c r="P12" s="18">
        <f>_xlfn.XLOOKUP(O12,MPW!B$6:B$55,MPW!A$6:A$55,0)</f>
        <v>0</v>
      </c>
    </row>
    <row r="13" spans="1:21" ht="15" customHeight="1">
      <c r="A13" s="8">
        <f>ROW()-5</f>
        <v>8</v>
      </c>
      <c r="B13" s="9" t="s">
        <v>24</v>
      </c>
      <c r="C13" s="15"/>
      <c r="D13" s="11">
        <f>SUM(F13,H13,J13,L13,N13,P13)-MIN(F13,H13,J13,L13,N13)</f>
        <v>0</v>
      </c>
      <c r="E13" s="12" t="str">
        <f>_xlfn.XLOOKUP($B13,'GP1'!$C$6:$C$55,'GP1'!$B$6:$B$55,"")</f>
        <v/>
      </c>
      <c r="F13" s="13">
        <f>_xlfn.XLOOKUP(E13,'GP1'!$B$6:$B$55,'GP1'!$A$6:$A$55,0)</f>
        <v>0</v>
      </c>
      <c r="G13" s="12" t="str">
        <f>_xlfn.XLOOKUP($B13,'GP2'!$C$6:$C$55,'GP2'!$B$6:$B$55,"")</f>
        <v/>
      </c>
      <c r="H13" s="13">
        <f>_xlfn.XLOOKUP(G13,'GP2'!$B$6:$B$55,'GP2'!$A$6:$A$55,0)</f>
        <v>0</v>
      </c>
      <c r="I13" s="16" t="str">
        <f>_xlfn.XLOOKUP($B13,'GP3'!$C$6:$C$55,'GP3'!$B$6:$B$55,"")</f>
        <v/>
      </c>
      <c r="J13" s="17">
        <f>_xlfn.XLOOKUP(I13,'GP3'!$B$6:$B$55,'GP3'!$A$6:$A$55,0)</f>
        <v>0</v>
      </c>
      <c r="K13" s="16" t="str">
        <f>_xlfn.XLOOKUP($B13,'GP4'!$C$6:$C$55,'GP4'!$B$6:$B$55,"")</f>
        <v/>
      </c>
      <c r="L13" s="17">
        <f>_xlfn.XLOOKUP(K13,'GP4'!$B$6:$B$55,'GP4'!$A$6:$A$55,0)</f>
        <v>0</v>
      </c>
      <c r="M13" s="16" t="str">
        <f>_xlfn.XLOOKUP($B13,'GP5'!$C$6:$C$55,'GP5'!$B$6:$B$55,"")</f>
        <v/>
      </c>
      <c r="N13" s="17">
        <f>_xlfn.XLOOKUP(M13,'GP5'!$B$6:$B$55,'GP5'!$A$6:$A$55,0)</f>
        <v>0</v>
      </c>
      <c r="O13" s="16" t="str">
        <f>_xlfn.XLOOKUP(B13,MPW!C$6:C$55,MPW!B$6:B$55,"")</f>
        <v/>
      </c>
      <c r="P13" s="18">
        <f>_xlfn.XLOOKUP(O13,MPW!B$6:B$55,MPW!A$6:A$55,0)</f>
        <v>0</v>
      </c>
    </row>
    <row r="14" spans="1:21" ht="15" customHeight="1">
      <c r="A14" s="8">
        <f>ROW()-5</f>
        <v>9</v>
      </c>
      <c r="B14" s="9"/>
      <c r="C14" s="15"/>
      <c r="D14" s="11">
        <f>SUM(F14,H14,J14,L14,N14,P14)-MIN(F14,H14,J14,L14,N14)</f>
        <v>0</v>
      </c>
      <c r="E14" s="12" t="str">
        <f>_xlfn.XLOOKUP($B14,'GP1'!$C$6:$C$55,'GP1'!$B$6:$B$55,"")</f>
        <v/>
      </c>
      <c r="F14" s="13">
        <f>_xlfn.XLOOKUP(E14,'GP1'!$B$6:$B$55,'GP1'!$A$6:$A$55,0)</f>
        <v>0</v>
      </c>
      <c r="G14" s="12" t="str">
        <f>_xlfn.XLOOKUP($B14,'GP2'!$C$6:$C$55,'GP2'!$B$6:$B$55,"")</f>
        <v/>
      </c>
      <c r="H14" s="13">
        <f>_xlfn.XLOOKUP(G14,'GP2'!$B$6:$B$55,'GP2'!$A$6:$A$55,0)</f>
        <v>0</v>
      </c>
      <c r="I14" s="16" t="str">
        <f>_xlfn.XLOOKUP($B14,'GP3'!$C$6:$C$55,'GP3'!$B$6:$B$55,"")</f>
        <v/>
      </c>
      <c r="J14" s="17">
        <f>_xlfn.XLOOKUP(I14,'GP3'!$B$6:$B$55,'GP3'!$A$6:$A$55,0)</f>
        <v>0</v>
      </c>
      <c r="K14" s="16" t="str">
        <f>_xlfn.XLOOKUP($B14,'GP4'!$C$6:$C$55,'GP4'!$B$6:$B$55,"")</f>
        <v/>
      </c>
      <c r="L14" s="17">
        <f>_xlfn.XLOOKUP(K14,'GP4'!$B$6:$B$55,'GP4'!$A$6:$A$55,0)</f>
        <v>0</v>
      </c>
      <c r="M14" s="16" t="str">
        <f>_xlfn.XLOOKUP($B14,'GP5'!$C$6:$C$55,'GP5'!$B$6:$B$55,"")</f>
        <v/>
      </c>
      <c r="N14" s="17">
        <f>_xlfn.XLOOKUP(M14,'GP5'!$B$6:$B$55,'GP5'!$A$6:$A$55,0)</f>
        <v>0</v>
      </c>
      <c r="O14" s="16" t="str">
        <f>_xlfn.XLOOKUP(B14,MPW!C$6:C$55,MPW!B$6:B$55,"")</f>
        <v/>
      </c>
      <c r="P14" s="18">
        <f>_xlfn.XLOOKUP(O14,MPW!B$6:B$55,MPW!A$6:A$55,0)</f>
        <v>0</v>
      </c>
    </row>
    <row r="15" spans="1:21" ht="15" customHeight="1">
      <c r="A15" s="8">
        <f>ROW()-5</f>
        <v>10</v>
      </c>
      <c r="B15" s="9"/>
      <c r="C15" s="15"/>
      <c r="D15" s="11">
        <f>SUM(F15,H15,J15,L15,N15,P15)-MIN(F15,H15,J15,L15,N15)</f>
        <v>0</v>
      </c>
      <c r="E15" s="12" t="str">
        <f>_xlfn.XLOOKUP($B15,'GP1'!$C$6:$C$55,'GP1'!$B$6:$B$55,"")</f>
        <v/>
      </c>
      <c r="F15" s="13">
        <f>_xlfn.XLOOKUP(E15,'GP1'!$B$6:$B$55,'GP1'!$A$6:$A$55,0)</f>
        <v>0</v>
      </c>
      <c r="G15" s="12" t="str">
        <f>_xlfn.XLOOKUP($B15,'GP2'!$C$6:$C$55,'GP2'!$B$6:$B$55,"")</f>
        <v/>
      </c>
      <c r="H15" s="13">
        <f>_xlfn.XLOOKUP(G15,'GP2'!$B$6:$B$55,'GP2'!$A$6:$A$55,0)</f>
        <v>0</v>
      </c>
      <c r="I15" s="16" t="str">
        <f>_xlfn.XLOOKUP($B15,'GP3'!$C$6:$C$55,'GP3'!$B$6:$B$55,"")</f>
        <v/>
      </c>
      <c r="J15" s="17">
        <f>_xlfn.XLOOKUP(I15,'GP3'!$B$6:$B$55,'GP3'!$A$6:$A$55,0)</f>
        <v>0</v>
      </c>
      <c r="K15" s="16" t="str">
        <f>_xlfn.XLOOKUP($B15,'GP4'!$C$6:$C$55,'GP4'!$B$6:$B$55,"")</f>
        <v/>
      </c>
      <c r="L15" s="17">
        <f>_xlfn.XLOOKUP(K15,'GP4'!$B$6:$B$55,'GP4'!$A$6:$A$55,0)</f>
        <v>0</v>
      </c>
      <c r="M15" s="16" t="str">
        <f>_xlfn.XLOOKUP($B15,'GP5'!$C$6:$C$55,'GP5'!$B$6:$B$55,"")</f>
        <v/>
      </c>
      <c r="N15" s="17">
        <f>_xlfn.XLOOKUP(M15,'GP5'!$B$6:$B$55,'GP5'!$A$6:$A$55,0)</f>
        <v>0</v>
      </c>
      <c r="O15" s="16" t="str">
        <f>_xlfn.XLOOKUP(B15,MPW!C$6:C$55,MPW!B$6:B$55,"")</f>
        <v/>
      </c>
      <c r="P15" s="18">
        <f>_xlfn.XLOOKUP(O15,MPW!B$6:B$55,MPW!A$6:A$55,0)</f>
        <v>0</v>
      </c>
    </row>
    <row r="16" spans="1:21" ht="15" customHeight="1">
      <c r="A16" s="8">
        <f>ROW()-5</f>
        <v>11</v>
      </c>
      <c r="B16" s="9"/>
      <c r="C16" s="15"/>
      <c r="D16" s="11">
        <f>SUM(F16,H16,J16,L16,N16,P16)-MIN(F16,H16,J16,L16,N16)</f>
        <v>0</v>
      </c>
      <c r="E16" s="12" t="str">
        <f>_xlfn.XLOOKUP($B16,'GP1'!$C$6:$C$55,'GP1'!$B$6:$B$55,"")</f>
        <v/>
      </c>
      <c r="F16" s="13">
        <f>_xlfn.XLOOKUP(E16,'GP1'!$B$6:$B$55,'GP1'!$A$6:$A$55,0)</f>
        <v>0</v>
      </c>
      <c r="G16" s="12" t="str">
        <f>_xlfn.XLOOKUP($B16,'GP2'!$C$6:$C$55,'GP2'!$B$6:$B$55,"")</f>
        <v/>
      </c>
      <c r="H16" s="13">
        <f>_xlfn.XLOOKUP(G16,'GP2'!$B$6:$B$55,'GP2'!$A$6:$A$55,0)</f>
        <v>0</v>
      </c>
      <c r="I16" s="16" t="str">
        <f>_xlfn.XLOOKUP($B16,'GP3'!$C$6:$C$55,'GP3'!$B$6:$B$55,"")</f>
        <v/>
      </c>
      <c r="J16" s="17">
        <f>_xlfn.XLOOKUP(I16,'GP3'!$B$6:$B$55,'GP3'!$A$6:$A$55,0)</f>
        <v>0</v>
      </c>
      <c r="K16" s="16" t="str">
        <f>_xlfn.XLOOKUP($B16,'GP4'!$C$6:$C$55,'GP4'!$B$6:$B$55,"")</f>
        <v/>
      </c>
      <c r="L16" s="17">
        <f>_xlfn.XLOOKUP(K16,'GP4'!$B$6:$B$55,'GP4'!$A$6:$A$55,0)</f>
        <v>0</v>
      </c>
      <c r="M16" s="16" t="str">
        <f>_xlfn.XLOOKUP($B16,'GP5'!$C$6:$C$55,'GP5'!$B$6:$B$55,"")</f>
        <v/>
      </c>
      <c r="N16" s="17">
        <f>_xlfn.XLOOKUP(M16,'GP5'!$B$6:$B$55,'GP5'!$A$6:$A$55,0)</f>
        <v>0</v>
      </c>
      <c r="O16" s="16" t="str">
        <f>_xlfn.XLOOKUP(B16,MPW!C$6:C$55,MPW!B$6:B$55,"")</f>
        <v/>
      </c>
      <c r="P16" s="18">
        <f>_xlfn.XLOOKUP(O16,MPW!B$6:B$55,MPW!A$6:A$55,0)</f>
        <v>0</v>
      </c>
    </row>
    <row r="17" spans="1:16" ht="15" customHeight="1">
      <c r="A17" s="8">
        <f>ROW()-5</f>
        <v>12</v>
      </c>
      <c r="B17" s="9"/>
      <c r="C17" s="15"/>
      <c r="D17" s="11">
        <f>SUM(F17,H17,J17,L17,N17,P17)-MIN(F17,H17,J17,L17,N17)</f>
        <v>0</v>
      </c>
      <c r="E17" s="12" t="str">
        <f>_xlfn.XLOOKUP($B17,'GP1'!$C$6:$C$55,'GP1'!$B$6:$B$55,"")</f>
        <v/>
      </c>
      <c r="F17" s="13">
        <f>_xlfn.XLOOKUP(E17,'GP1'!$B$6:$B$55,'GP1'!$A$6:$A$55,0)</f>
        <v>0</v>
      </c>
      <c r="G17" s="12" t="str">
        <f>_xlfn.XLOOKUP($B17,'GP2'!$C$6:$C$55,'GP2'!$B$6:$B$55,"")</f>
        <v/>
      </c>
      <c r="H17" s="13">
        <f>_xlfn.XLOOKUP(G17,'GP2'!$B$6:$B$55,'GP2'!$A$6:$A$55,0)</f>
        <v>0</v>
      </c>
      <c r="I17" s="16" t="str">
        <f>_xlfn.XLOOKUP($B17,'GP3'!$C$6:$C$55,'GP3'!$B$6:$B$55,"")</f>
        <v/>
      </c>
      <c r="J17" s="17">
        <f>_xlfn.XLOOKUP(I17,'GP3'!$B$6:$B$55,'GP3'!$A$6:$A$55,0)</f>
        <v>0</v>
      </c>
      <c r="K17" s="16" t="str">
        <f>_xlfn.XLOOKUP($B17,'GP4'!$C$6:$C$55,'GP4'!$B$6:$B$55,"")</f>
        <v/>
      </c>
      <c r="L17" s="17">
        <f>_xlfn.XLOOKUP(K17,'GP4'!$B$6:$B$55,'GP4'!$A$6:$A$55,0)</f>
        <v>0</v>
      </c>
      <c r="M17" s="16" t="str">
        <f>_xlfn.XLOOKUP($B17,'GP5'!$C$6:$C$55,'GP5'!$B$6:$B$55,"")</f>
        <v/>
      </c>
      <c r="N17" s="17">
        <f>_xlfn.XLOOKUP(M17,'GP5'!$B$6:$B$55,'GP5'!$A$6:$A$55,0)</f>
        <v>0</v>
      </c>
      <c r="O17" s="16" t="str">
        <f>_xlfn.XLOOKUP(B17,MPW!C$6:C$55,MPW!B$6:B$55,"")</f>
        <v/>
      </c>
      <c r="P17" s="18">
        <f>_xlfn.XLOOKUP(O17,MPW!B$6:B$55,MPW!A$6:A$55,0)</f>
        <v>0</v>
      </c>
    </row>
    <row r="18" spans="1:16" ht="15" customHeight="1">
      <c r="A18" s="8">
        <f>ROW()-5</f>
        <v>13</v>
      </c>
      <c r="B18" s="9"/>
      <c r="C18" s="15"/>
      <c r="D18" s="11">
        <f>SUM(F18,H18,J18,L18,N18,P18)-MIN(F18,H18,J18,L18,N18)</f>
        <v>0</v>
      </c>
      <c r="E18" s="12" t="str">
        <f>_xlfn.XLOOKUP($B18,'GP1'!$C$6:$C$55,'GP1'!$B$6:$B$55,"")</f>
        <v/>
      </c>
      <c r="F18" s="13">
        <f>_xlfn.XLOOKUP(E18,'GP1'!$B$6:$B$55,'GP1'!$A$6:$A$55,0)</f>
        <v>0</v>
      </c>
      <c r="G18" s="12" t="str">
        <f>_xlfn.XLOOKUP($B18,'GP2'!$C$6:$C$55,'GP2'!$B$6:$B$55,"")</f>
        <v/>
      </c>
      <c r="H18" s="13">
        <f>_xlfn.XLOOKUP(G18,'GP2'!$B$6:$B$55,'GP2'!$A$6:$A$55,0)</f>
        <v>0</v>
      </c>
      <c r="I18" s="16" t="str">
        <f>_xlfn.XLOOKUP($B18,'GP3'!$C$6:$C$55,'GP3'!$B$6:$B$55,"")</f>
        <v/>
      </c>
      <c r="J18" s="17">
        <f>_xlfn.XLOOKUP(I18,'GP3'!$B$6:$B$55,'GP3'!$A$6:$A$55,0)</f>
        <v>0</v>
      </c>
      <c r="K18" s="16" t="str">
        <f>_xlfn.XLOOKUP($B18,'GP4'!$C$6:$C$55,'GP4'!$B$6:$B$55,"")</f>
        <v/>
      </c>
      <c r="L18" s="17">
        <f>_xlfn.XLOOKUP(K18,'GP4'!$B$6:$B$55,'GP4'!$A$6:$A$55,0)</f>
        <v>0</v>
      </c>
      <c r="M18" s="16" t="str">
        <f>_xlfn.XLOOKUP($B18,'GP5'!$C$6:$C$55,'GP5'!$B$6:$B$55,"")</f>
        <v/>
      </c>
      <c r="N18" s="17">
        <f>_xlfn.XLOOKUP(M18,'GP5'!$B$6:$B$55,'GP5'!$A$6:$A$55,0)</f>
        <v>0</v>
      </c>
      <c r="O18" s="16" t="str">
        <f>_xlfn.XLOOKUP(B18,MPW!C$6:C$55,MPW!B$6:B$55,"")</f>
        <v/>
      </c>
      <c r="P18" s="18">
        <f>_xlfn.XLOOKUP(O18,MPW!B$6:B$55,MPW!A$6:A$55,0)</f>
        <v>0</v>
      </c>
    </row>
    <row r="19" spans="1:16" ht="15" customHeight="1">
      <c r="A19" s="8">
        <f>ROW()-5</f>
        <v>14</v>
      </c>
      <c r="B19" s="9"/>
      <c r="C19" s="15"/>
      <c r="D19" s="11">
        <f>SUM(F19,H19,J19,L19,N19,P19)-MIN(F19,H19,J19,L19,N19)</f>
        <v>0</v>
      </c>
      <c r="E19" s="12" t="str">
        <f>_xlfn.XLOOKUP($B19,'GP1'!$C$6:$C$55,'GP1'!$B$6:$B$55,"")</f>
        <v/>
      </c>
      <c r="F19" s="13">
        <f>_xlfn.XLOOKUP(E19,'GP1'!$B$6:$B$55,'GP1'!$A$6:$A$55,0)</f>
        <v>0</v>
      </c>
      <c r="G19" s="12" t="str">
        <f>_xlfn.XLOOKUP($B19,'GP2'!$C$6:$C$55,'GP2'!$B$6:$B$55,"")</f>
        <v/>
      </c>
      <c r="H19" s="13">
        <f>_xlfn.XLOOKUP(G19,'GP2'!$B$6:$B$55,'GP2'!$A$6:$A$55,0)</f>
        <v>0</v>
      </c>
      <c r="I19" s="16" t="str">
        <f>_xlfn.XLOOKUP($B19,'GP3'!$C$6:$C$55,'GP3'!$B$6:$B$55,"")</f>
        <v/>
      </c>
      <c r="J19" s="17">
        <f>_xlfn.XLOOKUP(I19,'GP3'!$B$6:$B$55,'GP3'!$A$6:$A$55,0)</f>
        <v>0</v>
      </c>
      <c r="K19" s="16" t="str">
        <f>_xlfn.XLOOKUP($B19,'GP4'!$C$6:$C$55,'GP4'!$B$6:$B$55,"")</f>
        <v/>
      </c>
      <c r="L19" s="17">
        <f>_xlfn.XLOOKUP(K19,'GP4'!$B$6:$B$55,'GP4'!$A$6:$A$55,0)</f>
        <v>0</v>
      </c>
      <c r="M19" s="16" t="str">
        <f>_xlfn.XLOOKUP($B19,'GP5'!$C$6:$C$55,'GP5'!$B$6:$B$55,"")</f>
        <v/>
      </c>
      <c r="N19" s="17">
        <f>_xlfn.XLOOKUP(M19,'GP5'!$B$6:$B$55,'GP5'!$A$6:$A$55,0)</f>
        <v>0</v>
      </c>
      <c r="O19" s="16" t="str">
        <f>_xlfn.XLOOKUP(B19,MPW!C$6:C$55,MPW!B$6:B$55,"")</f>
        <v/>
      </c>
      <c r="P19" s="18">
        <f>_xlfn.XLOOKUP(O19,MPW!B$6:B$55,MPW!A$6:A$55,0)</f>
        <v>0</v>
      </c>
    </row>
    <row r="20" spans="1:16" ht="15" customHeight="1">
      <c r="A20" s="8">
        <f>ROW()-5</f>
        <v>15</v>
      </c>
      <c r="B20" s="9"/>
      <c r="C20" s="15"/>
      <c r="D20" s="11">
        <f>SUM(F20,H20,J20,L20,N20,P20)-MIN(F20,H20,J20,L20,N20)</f>
        <v>0</v>
      </c>
      <c r="E20" s="12" t="str">
        <f>_xlfn.XLOOKUP($B20,'GP1'!$C$6:$C$55,'GP1'!$B$6:$B$55,"")</f>
        <v/>
      </c>
      <c r="F20" s="13">
        <f>_xlfn.XLOOKUP(E20,'GP1'!$B$6:$B$55,'GP1'!$A$6:$A$55,0)</f>
        <v>0</v>
      </c>
      <c r="G20" s="12" t="str">
        <f>_xlfn.XLOOKUP($B20,'GP2'!$C$6:$C$55,'GP2'!$B$6:$B$55,"")</f>
        <v/>
      </c>
      <c r="H20" s="13">
        <f>_xlfn.XLOOKUP(G20,'GP2'!$B$6:$B$55,'GP2'!$A$6:$A$55,0)</f>
        <v>0</v>
      </c>
      <c r="I20" s="16" t="str">
        <f>_xlfn.XLOOKUP($B20,'GP3'!$C$6:$C$55,'GP3'!$B$6:$B$55,"")</f>
        <v/>
      </c>
      <c r="J20" s="17">
        <f>_xlfn.XLOOKUP(I20,'GP3'!$B$6:$B$55,'GP3'!$A$6:$A$55,0)</f>
        <v>0</v>
      </c>
      <c r="K20" s="16" t="str">
        <f>_xlfn.XLOOKUP($B20,'GP4'!$C$6:$C$55,'GP4'!$B$6:$B$55,"")</f>
        <v/>
      </c>
      <c r="L20" s="17">
        <f>_xlfn.XLOOKUP(K20,'GP4'!$B$6:$B$55,'GP4'!$A$6:$A$55,0)</f>
        <v>0</v>
      </c>
      <c r="M20" s="16" t="str">
        <f>_xlfn.XLOOKUP($B20,'GP5'!$C$6:$C$55,'GP5'!$B$6:$B$55,"")</f>
        <v/>
      </c>
      <c r="N20" s="17">
        <f>_xlfn.XLOOKUP(M20,'GP5'!$B$6:$B$55,'GP5'!$A$6:$A$55,0)</f>
        <v>0</v>
      </c>
      <c r="O20" s="16" t="str">
        <f>_xlfn.XLOOKUP(B20,MPW!C$6:C$55,MPW!B$6:B$55,"")</f>
        <v/>
      </c>
      <c r="P20" s="18">
        <f>_xlfn.XLOOKUP(O20,MPW!B$6:B$55,MPW!A$6:A$55,0)</f>
        <v>0</v>
      </c>
    </row>
    <row r="21" spans="1:16" ht="15" customHeight="1">
      <c r="A21" s="8">
        <f>ROW()-5</f>
        <v>16</v>
      </c>
      <c r="B21" s="9"/>
      <c r="C21" s="15"/>
      <c r="D21" s="11">
        <f>SUM(F21,H21,J21,L21,N21,P21)-MIN(F21,H21,J21,L21,N21)</f>
        <v>0</v>
      </c>
      <c r="E21" s="12" t="str">
        <f>_xlfn.XLOOKUP($B21,'GP1'!$C$6:$C$55,'GP1'!$B$6:$B$55,"")</f>
        <v/>
      </c>
      <c r="F21" s="13">
        <f>_xlfn.XLOOKUP(E21,'GP1'!$B$6:$B$55,'GP1'!$A$6:$A$55,0)</f>
        <v>0</v>
      </c>
      <c r="G21" s="12" t="str">
        <f>_xlfn.XLOOKUP($B21,'GP2'!$C$6:$C$55,'GP2'!$B$6:$B$55,"")</f>
        <v/>
      </c>
      <c r="H21" s="13">
        <f>_xlfn.XLOOKUP(G21,'GP2'!$B$6:$B$55,'GP2'!$A$6:$A$55,0)</f>
        <v>0</v>
      </c>
      <c r="I21" s="16" t="str">
        <f>_xlfn.XLOOKUP($B21,'GP3'!$C$6:$C$55,'GP3'!$B$6:$B$55,"")</f>
        <v/>
      </c>
      <c r="J21" s="17">
        <f>_xlfn.XLOOKUP(I21,'GP3'!$B$6:$B$55,'GP3'!$A$6:$A$55,0)</f>
        <v>0</v>
      </c>
      <c r="K21" s="16" t="str">
        <f>_xlfn.XLOOKUP($B21,'GP4'!$C$6:$C$55,'GP4'!$B$6:$B$55,"")</f>
        <v/>
      </c>
      <c r="L21" s="17">
        <f>_xlfn.XLOOKUP(K21,'GP4'!$B$6:$B$55,'GP4'!$A$6:$A$55,0)</f>
        <v>0</v>
      </c>
      <c r="M21" s="16" t="str">
        <f>_xlfn.XLOOKUP($B21,'GP5'!$C$6:$C$55,'GP5'!$B$6:$B$55,"")</f>
        <v/>
      </c>
      <c r="N21" s="17">
        <f>_xlfn.XLOOKUP(M21,'GP5'!$B$6:$B$55,'GP5'!$A$6:$A$55,0)</f>
        <v>0</v>
      </c>
      <c r="O21" s="16" t="str">
        <f>_xlfn.XLOOKUP(B21,MPW!C$6:C$55,MPW!B$6:B$55,"")</f>
        <v/>
      </c>
      <c r="P21" s="18">
        <f>_xlfn.XLOOKUP(O21,MPW!B$6:B$55,MPW!A$6:A$55,0)</f>
        <v>0</v>
      </c>
    </row>
    <row r="22" spans="1:16" ht="15" customHeight="1">
      <c r="A22" s="8">
        <f>ROW()-5</f>
        <v>17</v>
      </c>
      <c r="B22" s="9"/>
      <c r="C22" s="15"/>
      <c r="D22" s="11">
        <f>SUM(F22,H22,J22,L22,N22,P22)-MIN(F22,H22,J22,L22,N22)</f>
        <v>0</v>
      </c>
      <c r="E22" s="12" t="str">
        <f>_xlfn.XLOOKUP($B22,'GP1'!$C$6:$C$55,'GP1'!$B$6:$B$55,"")</f>
        <v/>
      </c>
      <c r="F22" s="13">
        <f>_xlfn.XLOOKUP(E22,'GP1'!$B$6:$B$55,'GP1'!$A$6:$A$55,0)</f>
        <v>0</v>
      </c>
      <c r="G22" s="12" t="str">
        <f>_xlfn.XLOOKUP($B22,'GP2'!$C$6:$C$55,'GP2'!$B$6:$B$55,"")</f>
        <v/>
      </c>
      <c r="H22" s="13">
        <f>_xlfn.XLOOKUP(G22,'GP2'!$B$6:$B$55,'GP2'!$A$6:$A$55,0)</f>
        <v>0</v>
      </c>
      <c r="I22" s="16" t="str">
        <f>_xlfn.XLOOKUP($B22,'GP3'!$C$6:$C$55,'GP3'!$B$6:$B$55,"")</f>
        <v/>
      </c>
      <c r="J22" s="17">
        <f>_xlfn.XLOOKUP(I22,'GP3'!$B$6:$B$55,'GP3'!$A$6:$A$55,0)</f>
        <v>0</v>
      </c>
      <c r="K22" s="16" t="str">
        <f>_xlfn.XLOOKUP($B22,'GP4'!$C$6:$C$55,'GP4'!$B$6:$B$55,"")</f>
        <v/>
      </c>
      <c r="L22" s="17">
        <f>_xlfn.XLOOKUP(K22,'GP4'!$B$6:$B$55,'GP4'!$A$6:$A$55,0)</f>
        <v>0</v>
      </c>
      <c r="M22" s="16" t="str">
        <f>_xlfn.XLOOKUP($B22,'GP5'!$C$6:$C$55,'GP5'!$B$6:$B$55,"")</f>
        <v/>
      </c>
      <c r="N22" s="17">
        <f>_xlfn.XLOOKUP(M22,'GP5'!$B$6:$B$55,'GP5'!$A$6:$A$55,0)</f>
        <v>0</v>
      </c>
      <c r="O22" s="16" t="str">
        <f>_xlfn.XLOOKUP(B22,MPW!C$6:C$55,MPW!B$6:B$55,"")</f>
        <v/>
      </c>
      <c r="P22" s="18">
        <f>_xlfn.XLOOKUP(O22,MPW!B$6:B$55,MPW!A$6:A$55,0)</f>
        <v>0</v>
      </c>
    </row>
    <row r="23" spans="1:16" ht="15" customHeight="1">
      <c r="A23" s="8">
        <f>ROW()-5</f>
        <v>18</v>
      </c>
      <c r="B23" s="9"/>
      <c r="C23" s="15"/>
      <c r="D23" s="11">
        <f>SUM(F23,H23,J23,L23,N23,P23)-MIN(F23,H23,J23,L23,N23)</f>
        <v>0</v>
      </c>
      <c r="E23" s="12" t="str">
        <f>_xlfn.XLOOKUP($B23,'GP1'!$C$6:$C$55,'GP1'!$B$6:$B$55,"")</f>
        <v/>
      </c>
      <c r="F23" s="13">
        <f>_xlfn.XLOOKUP(E23,'GP1'!$B$6:$B$55,'GP1'!$A$6:$A$55,0)</f>
        <v>0</v>
      </c>
      <c r="G23" s="12" t="str">
        <f>_xlfn.XLOOKUP($B23,'GP2'!$C$6:$C$55,'GP2'!$B$6:$B$55,"")</f>
        <v/>
      </c>
      <c r="H23" s="13">
        <f>_xlfn.XLOOKUP(G23,'GP2'!$B$6:$B$55,'GP2'!$A$6:$A$55,0)</f>
        <v>0</v>
      </c>
      <c r="I23" s="16" t="str">
        <f>_xlfn.XLOOKUP($B23,'GP3'!$C$6:$C$55,'GP3'!$B$6:$B$55,"")</f>
        <v/>
      </c>
      <c r="J23" s="17">
        <f>_xlfn.XLOOKUP(I23,'GP3'!$B$6:$B$55,'GP3'!$A$6:$A$55,0)</f>
        <v>0</v>
      </c>
      <c r="K23" s="16" t="str">
        <f>_xlfn.XLOOKUP($B23,'GP4'!$C$6:$C$55,'GP4'!$B$6:$B$55,"")</f>
        <v/>
      </c>
      <c r="L23" s="17">
        <f>_xlfn.XLOOKUP(K23,'GP4'!$B$6:$B$55,'GP4'!$A$6:$A$55,0)</f>
        <v>0</v>
      </c>
      <c r="M23" s="16" t="str">
        <f>_xlfn.XLOOKUP($B23,'GP5'!$C$6:$C$55,'GP5'!$B$6:$B$55,"")</f>
        <v/>
      </c>
      <c r="N23" s="17">
        <f>_xlfn.XLOOKUP(M23,'GP5'!$B$6:$B$55,'GP5'!$A$6:$A$55,0)</f>
        <v>0</v>
      </c>
      <c r="O23" s="16" t="str">
        <f>_xlfn.XLOOKUP(B23,MPW!C$6:C$55,MPW!B$6:B$55,"")</f>
        <v/>
      </c>
      <c r="P23" s="18">
        <f>_xlfn.XLOOKUP(O23,MPW!B$6:B$55,MPW!A$6:A$55,0)</f>
        <v>0</v>
      </c>
    </row>
    <row r="24" spans="1:16" ht="1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ht="1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ht="1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ht="1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ht="65.4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1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</sheetData>
  <sheetProtection selectLockedCells="1" selectUnlockedCells="1"/>
  <autoFilter ref="A5:P5" xr:uid="{AA6CF3CA-DD0C-4AC5-8A8F-DE595E84D150}">
    <sortState xmlns:xlrd2="http://schemas.microsoft.com/office/spreadsheetml/2017/richdata2" ref="A7:P23">
      <sortCondition descending="1" ref="D5"/>
    </sortState>
  </autoFilter>
  <sortState xmlns:xlrd2="http://schemas.microsoft.com/office/spreadsheetml/2017/richdata2" ref="B7:D10">
    <sortCondition descending="1" ref="D6:D10"/>
  </sortState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0" priority="4" operator="equal">
      <formula>3</formula>
    </cfRule>
    <cfRule type="cellIs" dxfId="9" priority="5" operator="equal">
      <formula>2</formula>
    </cfRule>
    <cfRule type="cellIs" dxfId="8" priority="6" operator="equal">
      <formula>1</formula>
    </cfRule>
  </conditionalFormatting>
  <conditionalFormatting sqref="D6:N23">
    <cfRule type="cellIs" dxfId="7" priority="3" operator="equal">
      <formula>0</formula>
    </cfRule>
  </conditionalFormatting>
  <conditionalFormatting sqref="O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F056-D067-49A7-BD84-B1665A403C45}">
  <sheetPr>
    <tabColor rgb="FF92D050"/>
  </sheetPr>
  <dimension ref="A1:AL317"/>
  <sheetViews>
    <sheetView workbookViewId="0">
      <selection activeCell="M1" sqref="M1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25</v>
      </c>
      <c r="I1" s="22" t="s">
        <v>26</v>
      </c>
      <c r="J1" s="22" t="s">
        <v>27</v>
      </c>
      <c r="K1" s="23" t="s">
        <v>28</v>
      </c>
      <c r="L1" s="24"/>
      <c r="M1" s="24"/>
    </row>
    <row r="2" spans="1:36">
      <c r="A2" s="20"/>
      <c r="B2" s="26" t="s">
        <v>29</v>
      </c>
      <c r="C2" s="92" t="s">
        <v>30</v>
      </c>
      <c r="D2" s="92"/>
      <c r="E2" s="27"/>
      <c r="F2" s="27"/>
      <c r="G2" s="27"/>
      <c r="H2" s="28">
        <v>4</v>
      </c>
      <c r="I2" s="29">
        <v>50</v>
      </c>
      <c r="J2" s="29">
        <v>10</v>
      </c>
      <c r="K2" s="73">
        <f>3*H2^(1/3)</f>
        <v>4.7622031559045981</v>
      </c>
      <c r="L2" s="24"/>
      <c r="M2" s="24"/>
    </row>
    <row r="3" spans="1:36">
      <c r="A3" s="20"/>
      <c r="B3" s="31" t="s">
        <v>31</v>
      </c>
      <c r="C3" s="93" t="s">
        <v>32</v>
      </c>
      <c r="D3" s="93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33</v>
      </c>
      <c r="B5" s="35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4"/>
      <c r="H5" s="36" t="s">
        <v>39</v>
      </c>
      <c r="I5" s="37" t="s">
        <v>40</v>
      </c>
      <c r="J5" s="38" t="s">
        <v>41</v>
      </c>
      <c r="K5" s="37" t="s">
        <v>42</v>
      </c>
      <c r="L5" s="37" t="s">
        <v>43</v>
      </c>
      <c r="M5" s="36" t="s">
        <v>44</v>
      </c>
    </row>
    <row r="6" spans="1:36" ht="14.45" customHeight="1">
      <c r="A6" s="39">
        <f>M6</f>
        <v>84.286609467713788</v>
      </c>
      <c r="B6" s="40">
        <f>IF(H6&gt;$H$2,"",(ROW()-5))</f>
        <v>1</v>
      </c>
      <c r="C6" s="41" t="s">
        <v>17</v>
      </c>
      <c r="D6" s="41"/>
      <c r="E6" s="41"/>
      <c r="F6" s="41" t="s">
        <v>45</v>
      </c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2</v>
      </c>
      <c r="K6" s="42">
        <f t="shared" ref="K6:K69" si="1">J6*$J$2</f>
        <v>20</v>
      </c>
      <c r="L6" s="44">
        <f>3*K2</f>
        <v>14.286609467713795</v>
      </c>
      <c r="M6" s="44">
        <f t="shared" ref="M6:M69" si="2">IF(I6&lt;&gt;"",K6+I6+L6,0)</f>
        <v>84.286609467713788</v>
      </c>
    </row>
    <row r="7" spans="1:36" ht="14.45" customHeight="1">
      <c r="A7" s="45">
        <f t="shared" ref="A7:A37" si="3">M7</f>
        <v>45.024406311809194</v>
      </c>
      <c r="B7" s="46">
        <f t="shared" ref="B7:B65" si="4">IF(H7&gt;$H$2,"",(ROW()-5))</f>
        <v>2</v>
      </c>
      <c r="C7" s="47" t="s">
        <v>20</v>
      </c>
      <c r="D7" s="47"/>
      <c r="E7" s="47"/>
      <c r="F7" s="47" t="s">
        <v>45</v>
      </c>
      <c r="G7" s="34"/>
      <c r="H7" s="48">
        <v>2</v>
      </c>
      <c r="I7" s="49">
        <f t="shared" si="0"/>
        <v>25.5</v>
      </c>
      <c r="J7" s="48">
        <f t="shared" ref="J7:J70" si="5">INT(LOG($H$2,2))-ROUNDUP(LOG(H7,2),0)+IF(OR($H$2=1,$H$2=2,$H$2=4,$H$2=8,$H$2=16,$H$2=32,$H$2=64,$H$2=128,$H$2=256),0,1)</f>
        <v>1</v>
      </c>
      <c r="K7" s="48">
        <f t="shared" si="1"/>
        <v>10</v>
      </c>
      <c r="L7" s="50">
        <f>2*K2</f>
        <v>9.5244063118091962</v>
      </c>
      <c r="M7" s="50">
        <f t="shared" si="2"/>
        <v>45.024406311809194</v>
      </c>
    </row>
    <row r="8" spans="1:36" ht="14.45" customHeight="1">
      <c r="A8" s="39">
        <f t="shared" si="3"/>
        <v>15.930621888236271</v>
      </c>
      <c r="B8" s="40">
        <f t="shared" si="4"/>
        <v>3</v>
      </c>
      <c r="C8" s="41" t="s">
        <v>19</v>
      </c>
      <c r="D8" s="41"/>
      <c r="E8" s="41"/>
      <c r="F8" s="41" t="s">
        <v>45</v>
      </c>
      <c r="G8" s="34"/>
      <c r="H8" s="42">
        <v>3</v>
      </c>
      <c r="I8" s="43">
        <f t="shared" si="0"/>
        <v>11.168418732331673</v>
      </c>
      <c r="J8" s="42">
        <f t="shared" si="5"/>
        <v>0</v>
      </c>
      <c r="K8" s="42">
        <f t="shared" si="1"/>
        <v>0</v>
      </c>
      <c r="L8" s="44">
        <f>K2</f>
        <v>4.7622031559045981</v>
      </c>
      <c r="M8" s="44">
        <f t="shared" si="2"/>
        <v>15.930621888236271</v>
      </c>
    </row>
    <row r="9" spans="1:36" ht="14.45" customHeight="1">
      <c r="A9" s="45">
        <f t="shared" si="3"/>
        <v>1</v>
      </c>
      <c r="B9" s="46">
        <f t="shared" si="4"/>
        <v>4</v>
      </c>
      <c r="C9" s="47" t="s">
        <v>22</v>
      </c>
      <c r="D9" s="47"/>
      <c r="E9" s="47"/>
      <c r="F9" s="47" t="s">
        <v>45</v>
      </c>
      <c r="G9" s="34"/>
      <c r="H9" s="48">
        <v>4</v>
      </c>
      <c r="I9" s="49">
        <f t="shared" si="0"/>
        <v>1</v>
      </c>
      <c r="J9" s="48">
        <f t="shared" si="5"/>
        <v>0</v>
      </c>
      <c r="K9" s="48">
        <f t="shared" si="1"/>
        <v>0</v>
      </c>
      <c r="L9" s="50"/>
      <c r="M9" s="50">
        <f t="shared" si="2"/>
        <v>1</v>
      </c>
      <c r="V9" s="51"/>
      <c r="Z9" s="52"/>
      <c r="AA9" s="52"/>
      <c r="AG9" s="53"/>
      <c r="AH9" s="25" t="s">
        <v>46</v>
      </c>
      <c r="AI9" s="25">
        <v>23</v>
      </c>
    </row>
    <row r="10" spans="1:36" ht="14.45" customHeight="1">
      <c r="A10" s="39">
        <f t="shared" si="3"/>
        <v>0</v>
      </c>
      <c r="B10" s="40" t="str">
        <f t="shared" si="4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5"/>
        <v>-1</v>
      </c>
      <c r="K10" s="42">
        <f t="shared" si="1"/>
        <v>-10</v>
      </c>
      <c r="L10" s="42"/>
      <c r="M10" s="44">
        <f t="shared" si="2"/>
        <v>0</v>
      </c>
      <c r="V10" s="51"/>
      <c r="Z10" s="52"/>
      <c r="AA10" s="52"/>
      <c r="AG10" s="53"/>
      <c r="AH10" s="25" t="s">
        <v>47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4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5"/>
        <v>-1</v>
      </c>
      <c r="K11" s="48">
        <f t="shared" si="1"/>
        <v>-10</v>
      </c>
      <c r="L11" s="48"/>
      <c r="M11" s="50">
        <f t="shared" si="2"/>
        <v>0</v>
      </c>
      <c r="V11" s="54"/>
      <c r="Z11" s="52"/>
      <c r="AA11" s="52"/>
      <c r="AG11" s="53"/>
      <c r="AH11" s="25" t="s">
        <v>48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4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5"/>
        <v>-1</v>
      </c>
      <c r="K12" s="42">
        <f t="shared" si="1"/>
        <v>-10</v>
      </c>
      <c r="L12" s="42"/>
      <c r="M12" s="44">
        <f t="shared" si="2"/>
        <v>0</v>
      </c>
      <c r="Z12" s="52"/>
      <c r="AA12" s="52"/>
      <c r="AG12" s="53"/>
      <c r="AH12" s="25" t="s">
        <v>49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4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5"/>
        <v>-1</v>
      </c>
      <c r="K13" s="48">
        <f t="shared" si="1"/>
        <v>-10</v>
      </c>
      <c r="L13" s="48"/>
      <c r="M13" s="50">
        <f t="shared" si="2"/>
        <v>0</v>
      </c>
      <c r="X13" s="51"/>
      <c r="AG13" s="53"/>
      <c r="AH13" s="25" t="s">
        <v>50</v>
      </c>
      <c r="AI13" s="25">
        <f>LOG(AI9)</f>
        <v>1.3617278360175928</v>
      </c>
    </row>
    <row r="14" spans="1:36">
      <c r="A14" s="56">
        <f t="shared" si="3"/>
        <v>0</v>
      </c>
      <c r="B14" s="40" t="str">
        <f t="shared" si="4"/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5"/>
        <v>-2</v>
      </c>
      <c r="K14" s="42">
        <f t="shared" si="1"/>
        <v>-20</v>
      </c>
      <c r="L14" s="42"/>
      <c r="M14" s="44">
        <f t="shared" si="2"/>
        <v>0</v>
      </c>
      <c r="X14" s="57"/>
      <c r="Z14" s="52"/>
      <c r="AA14" s="52"/>
      <c r="AG14" s="53"/>
      <c r="AH14" s="25" t="s">
        <v>51</v>
      </c>
      <c r="AI14" s="25">
        <f>LOG(AI10)</f>
        <v>1.6532125137753437</v>
      </c>
    </row>
    <row r="15" spans="1:36">
      <c r="A15" s="55">
        <f t="shared" si="3"/>
        <v>0</v>
      </c>
      <c r="B15" s="46" t="str">
        <f t="shared" si="4"/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5"/>
        <v>-2</v>
      </c>
      <c r="K15" s="48">
        <f t="shared" si="1"/>
        <v>-20</v>
      </c>
      <c r="L15" s="48"/>
      <c r="M15" s="50">
        <f t="shared" si="2"/>
        <v>0</v>
      </c>
      <c r="X15" s="51"/>
      <c r="Z15" s="52"/>
      <c r="AA15" s="52"/>
    </row>
    <row r="16" spans="1:36">
      <c r="A16" s="56">
        <f t="shared" si="3"/>
        <v>0</v>
      </c>
      <c r="B16" s="40" t="str">
        <f t="shared" si="4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5"/>
        <v>-2</v>
      </c>
      <c r="K16" s="42">
        <f t="shared" si="1"/>
        <v>-20</v>
      </c>
      <c r="L16" s="42"/>
      <c r="M16" s="44">
        <f t="shared" si="2"/>
        <v>0</v>
      </c>
      <c r="R16" s="58"/>
      <c r="Z16" s="52"/>
      <c r="AA16" s="52"/>
      <c r="AH16" s="59" t="s">
        <v>52</v>
      </c>
      <c r="AI16" s="25">
        <f>AI11-AI12*AI13/AI14</f>
        <v>9.6393909380186855</v>
      </c>
      <c r="AJ16" s="25" t="s">
        <v>53</v>
      </c>
    </row>
    <row r="17" spans="1:19">
      <c r="A17" s="55">
        <f t="shared" si="3"/>
        <v>0</v>
      </c>
      <c r="B17" s="46" t="str">
        <f t="shared" si="4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5"/>
        <v>-2</v>
      </c>
      <c r="K17" s="48">
        <f t="shared" si="1"/>
        <v>-20</v>
      </c>
      <c r="L17" s="48"/>
      <c r="M17" s="50">
        <f t="shared" si="2"/>
        <v>0</v>
      </c>
    </row>
    <row r="18" spans="1:19">
      <c r="A18" s="56">
        <f t="shared" si="3"/>
        <v>0</v>
      </c>
      <c r="B18" s="40" t="str">
        <f t="shared" si="4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5"/>
        <v>-2</v>
      </c>
      <c r="K18" s="42">
        <f t="shared" si="1"/>
        <v>-20</v>
      </c>
      <c r="L18" s="42"/>
      <c r="M18" s="44">
        <f t="shared" si="2"/>
        <v>0</v>
      </c>
    </row>
    <row r="19" spans="1:19">
      <c r="A19" s="55">
        <f t="shared" si="3"/>
        <v>0</v>
      </c>
      <c r="B19" s="46" t="str">
        <f t="shared" si="4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5"/>
        <v>-2</v>
      </c>
      <c r="K19" s="48">
        <f t="shared" si="1"/>
        <v>-20</v>
      </c>
      <c r="L19" s="48"/>
      <c r="M19" s="50">
        <f t="shared" si="2"/>
        <v>0</v>
      </c>
    </row>
    <row r="20" spans="1:19">
      <c r="A20" s="56">
        <f t="shared" si="3"/>
        <v>0</v>
      </c>
      <c r="B20" s="40" t="str">
        <f t="shared" si="4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5"/>
        <v>-2</v>
      </c>
      <c r="K20" s="42">
        <f t="shared" si="1"/>
        <v>-20</v>
      </c>
      <c r="L20" s="42"/>
      <c r="M20" s="44">
        <f t="shared" si="2"/>
        <v>0</v>
      </c>
      <c r="R20" s="60"/>
      <c r="S20" s="61"/>
    </row>
    <row r="21" spans="1:19">
      <c r="A21" s="55">
        <f t="shared" si="3"/>
        <v>0</v>
      </c>
      <c r="B21" s="46" t="str">
        <f t="shared" si="4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5"/>
        <v>-2</v>
      </c>
      <c r="K21" s="48">
        <f t="shared" si="1"/>
        <v>-20</v>
      </c>
      <c r="L21" s="48"/>
      <c r="M21" s="50">
        <f t="shared" si="2"/>
        <v>0</v>
      </c>
    </row>
    <row r="22" spans="1:19">
      <c r="A22" s="56">
        <f t="shared" si="3"/>
        <v>0</v>
      </c>
      <c r="B22" s="40" t="str">
        <f t="shared" si="4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5"/>
        <v>-3</v>
      </c>
      <c r="K22" s="42">
        <f t="shared" si="1"/>
        <v>-30</v>
      </c>
      <c r="L22" s="42"/>
      <c r="M22" s="44">
        <f t="shared" si="2"/>
        <v>0</v>
      </c>
    </row>
    <row r="23" spans="1:19">
      <c r="A23" s="55">
        <f t="shared" si="3"/>
        <v>0</v>
      </c>
      <c r="B23" s="46" t="str">
        <f t="shared" si="4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5"/>
        <v>-3</v>
      </c>
      <c r="K23" s="48">
        <f t="shared" si="1"/>
        <v>-30</v>
      </c>
      <c r="L23" s="48"/>
      <c r="M23" s="50">
        <f t="shared" si="2"/>
        <v>0</v>
      </c>
    </row>
    <row r="24" spans="1:19">
      <c r="A24" s="56">
        <f t="shared" si="3"/>
        <v>0</v>
      </c>
      <c r="B24" s="40" t="str">
        <f t="shared" si="4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5"/>
        <v>-3</v>
      </c>
      <c r="K24" s="42">
        <f t="shared" si="1"/>
        <v>-30</v>
      </c>
      <c r="L24" s="42"/>
      <c r="M24" s="44">
        <f t="shared" si="2"/>
        <v>0</v>
      </c>
      <c r="R24" s="60"/>
      <c r="S24" s="61"/>
    </row>
    <row r="25" spans="1:19">
      <c r="A25" s="55">
        <f t="shared" si="3"/>
        <v>0</v>
      </c>
      <c r="B25" s="46" t="str">
        <f t="shared" si="4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5"/>
        <v>-3</v>
      </c>
      <c r="K25" s="48">
        <f t="shared" si="1"/>
        <v>-30</v>
      </c>
      <c r="L25" s="48"/>
      <c r="M25" s="50">
        <f t="shared" si="2"/>
        <v>0</v>
      </c>
    </row>
    <row r="26" spans="1:19">
      <c r="A26" s="56">
        <f t="shared" si="3"/>
        <v>0</v>
      </c>
      <c r="B26" s="40" t="str">
        <f t="shared" si="4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5"/>
        <v>-3</v>
      </c>
      <c r="K26" s="42">
        <f t="shared" si="1"/>
        <v>-30</v>
      </c>
      <c r="L26" s="42"/>
      <c r="M26" s="44">
        <f t="shared" si="2"/>
        <v>0</v>
      </c>
    </row>
    <row r="27" spans="1:19">
      <c r="A27" s="55">
        <f t="shared" si="3"/>
        <v>0</v>
      </c>
      <c r="B27" s="46" t="str">
        <f t="shared" si="4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5"/>
        <v>-3</v>
      </c>
      <c r="K27" s="48">
        <f t="shared" si="1"/>
        <v>-30</v>
      </c>
      <c r="L27" s="48"/>
      <c r="M27" s="50">
        <f t="shared" si="2"/>
        <v>0</v>
      </c>
    </row>
    <row r="28" spans="1:19">
      <c r="A28" s="56">
        <f t="shared" si="3"/>
        <v>0</v>
      </c>
      <c r="B28" s="40" t="str">
        <f t="shared" si="4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5"/>
        <v>-3</v>
      </c>
      <c r="K28" s="42">
        <f t="shared" si="1"/>
        <v>-30</v>
      </c>
      <c r="L28" s="42"/>
      <c r="M28" s="44">
        <f t="shared" si="2"/>
        <v>0</v>
      </c>
      <c r="R28" s="60"/>
      <c r="S28" s="61"/>
    </row>
    <row r="29" spans="1:19">
      <c r="A29" s="55">
        <f t="shared" si="3"/>
        <v>0</v>
      </c>
      <c r="B29" s="46" t="str">
        <f t="shared" si="4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5"/>
        <v>-3</v>
      </c>
      <c r="K29" s="48">
        <f t="shared" si="1"/>
        <v>-30</v>
      </c>
      <c r="L29" s="48"/>
      <c r="M29" s="50">
        <f t="shared" si="2"/>
        <v>0</v>
      </c>
    </row>
    <row r="30" spans="1:19">
      <c r="A30" s="56">
        <f t="shared" si="3"/>
        <v>0</v>
      </c>
      <c r="B30" s="40" t="str">
        <f t="shared" si="4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5"/>
        <v>-3</v>
      </c>
      <c r="K30" s="42">
        <f t="shared" si="1"/>
        <v>-30</v>
      </c>
      <c r="L30" s="42"/>
      <c r="M30" s="44">
        <f t="shared" si="2"/>
        <v>0</v>
      </c>
    </row>
    <row r="31" spans="1:19">
      <c r="A31" s="55">
        <f t="shared" si="3"/>
        <v>0</v>
      </c>
      <c r="B31" s="46" t="str">
        <f t="shared" si="4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5"/>
        <v>-3</v>
      </c>
      <c r="K31" s="48">
        <f t="shared" si="1"/>
        <v>-30</v>
      </c>
      <c r="L31" s="48"/>
      <c r="M31" s="50">
        <f t="shared" si="2"/>
        <v>0</v>
      </c>
    </row>
    <row r="32" spans="1:19">
      <c r="A32" s="56">
        <f t="shared" si="3"/>
        <v>0</v>
      </c>
      <c r="B32" s="40" t="str">
        <f t="shared" si="4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5"/>
        <v>-3</v>
      </c>
      <c r="K32" s="42">
        <f t="shared" si="1"/>
        <v>-30</v>
      </c>
      <c r="L32" s="42"/>
      <c r="M32" s="44">
        <f t="shared" si="2"/>
        <v>0</v>
      </c>
      <c r="R32" s="60"/>
      <c r="S32" s="61"/>
    </row>
    <row r="33" spans="1:21">
      <c r="A33" s="55">
        <f t="shared" si="3"/>
        <v>0</v>
      </c>
      <c r="B33" s="46" t="str">
        <f t="shared" si="4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5"/>
        <v>-3</v>
      </c>
      <c r="K33" s="48">
        <f t="shared" si="1"/>
        <v>-30</v>
      </c>
      <c r="L33" s="48"/>
      <c r="M33" s="50">
        <f t="shared" si="2"/>
        <v>0</v>
      </c>
    </row>
    <row r="34" spans="1:21">
      <c r="A34" s="56">
        <f t="shared" si="3"/>
        <v>0</v>
      </c>
      <c r="B34" s="40" t="str">
        <f t="shared" si="4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5"/>
        <v>-3</v>
      </c>
      <c r="K34" s="42">
        <f t="shared" si="1"/>
        <v>-30</v>
      </c>
      <c r="L34" s="42"/>
      <c r="M34" s="44">
        <f t="shared" si="2"/>
        <v>0</v>
      </c>
    </row>
    <row r="35" spans="1:21">
      <c r="A35" s="55">
        <f t="shared" si="3"/>
        <v>0</v>
      </c>
      <c r="B35" s="46" t="str">
        <f t="shared" si="4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5"/>
        <v>-3</v>
      </c>
      <c r="K35" s="48">
        <f t="shared" si="1"/>
        <v>-30</v>
      </c>
      <c r="L35" s="48"/>
      <c r="M35" s="50">
        <f t="shared" si="2"/>
        <v>0</v>
      </c>
    </row>
    <row r="36" spans="1:21">
      <c r="A36" s="56">
        <f t="shared" si="3"/>
        <v>0</v>
      </c>
      <c r="B36" s="40" t="str">
        <f t="shared" si="4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5"/>
        <v>-3</v>
      </c>
      <c r="K36" s="42">
        <f t="shared" si="1"/>
        <v>-30</v>
      </c>
      <c r="L36" s="42"/>
      <c r="M36" s="44">
        <f t="shared" si="2"/>
        <v>0</v>
      </c>
      <c r="R36" s="60"/>
      <c r="S36" s="61"/>
    </row>
    <row r="37" spans="1:21">
      <c r="A37" s="55">
        <f t="shared" si="3"/>
        <v>0</v>
      </c>
      <c r="B37" s="46" t="str">
        <f t="shared" si="4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5"/>
        <v>-3</v>
      </c>
      <c r="K37" s="48">
        <f t="shared" si="1"/>
        <v>-30</v>
      </c>
      <c r="L37" s="48"/>
      <c r="M37" s="50">
        <f t="shared" si="2"/>
        <v>0</v>
      </c>
    </row>
    <row r="38" spans="1:21">
      <c r="A38" s="56"/>
      <c r="B38" s="40" t="str">
        <f t="shared" si="4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5"/>
        <v>-4</v>
      </c>
      <c r="K38" s="42">
        <f t="shared" si="1"/>
        <v>-40</v>
      </c>
      <c r="L38" s="42"/>
      <c r="M38" s="44">
        <f t="shared" si="2"/>
        <v>0</v>
      </c>
    </row>
    <row r="39" spans="1:21">
      <c r="A39" s="55"/>
      <c r="B39" s="46" t="str">
        <f t="shared" si="4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5"/>
        <v>-4</v>
      </c>
      <c r="K39" s="48">
        <f t="shared" si="1"/>
        <v>-40</v>
      </c>
      <c r="L39" s="48"/>
      <c r="M39" s="50">
        <f t="shared" si="2"/>
        <v>0</v>
      </c>
    </row>
    <row r="40" spans="1:21">
      <c r="A40" s="56"/>
      <c r="B40" s="40" t="str">
        <f t="shared" si="4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5"/>
        <v>-4</v>
      </c>
      <c r="K40" s="42">
        <f t="shared" si="1"/>
        <v>-40</v>
      </c>
      <c r="L40" s="42"/>
      <c r="M40" s="44">
        <f t="shared" si="2"/>
        <v>0</v>
      </c>
    </row>
    <row r="41" spans="1:21">
      <c r="A41" s="55"/>
      <c r="B41" s="46" t="str">
        <f t="shared" si="4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5"/>
        <v>-4</v>
      </c>
      <c r="K41" s="48">
        <f t="shared" si="1"/>
        <v>-40</v>
      </c>
      <c r="L41" s="48"/>
      <c r="M41" s="50">
        <f t="shared" si="2"/>
        <v>0</v>
      </c>
      <c r="S41" s="62"/>
    </row>
    <row r="42" spans="1:21">
      <c r="A42" s="56"/>
      <c r="B42" s="40" t="str">
        <f t="shared" si="4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5"/>
        <v>-4</v>
      </c>
      <c r="K42" s="42">
        <f t="shared" si="1"/>
        <v>-40</v>
      </c>
      <c r="L42" s="42"/>
      <c r="M42" s="44">
        <f t="shared" si="2"/>
        <v>0</v>
      </c>
    </row>
    <row r="43" spans="1:21">
      <c r="A43" s="55"/>
      <c r="B43" s="46" t="str">
        <f t="shared" si="4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5"/>
        <v>-4</v>
      </c>
      <c r="K43" s="48">
        <f t="shared" si="1"/>
        <v>-40</v>
      </c>
      <c r="L43" s="48"/>
      <c r="M43" s="50">
        <f t="shared" si="2"/>
        <v>0</v>
      </c>
    </row>
    <row r="44" spans="1:21">
      <c r="A44" s="56"/>
      <c r="B44" s="40" t="str">
        <f t="shared" si="4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5"/>
        <v>-4</v>
      </c>
      <c r="K44" s="42">
        <f t="shared" si="1"/>
        <v>-40</v>
      </c>
      <c r="L44" s="42"/>
      <c r="M44" s="44">
        <f t="shared" si="2"/>
        <v>0</v>
      </c>
    </row>
    <row r="45" spans="1:21">
      <c r="A45" s="55"/>
      <c r="B45" s="46" t="str">
        <f t="shared" si="4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5"/>
        <v>-4</v>
      </c>
      <c r="K45" s="48">
        <f t="shared" si="1"/>
        <v>-40</v>
      </c>
      <c r="L45" s="48"/>
      <c r="M45" s="50">
        <f t="shared" si="2"/>
        <v>0</v>
      </c>
    </row>
    <row r="46" spans="1:21">
      <c r="A46" s="56"/>
      <c r="B46" s="40" t="str">
        <f t="shared" si="4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5"/>
        <v>-4</v>
      </c>
      <c r="K46" s="42">
        <f t="shared" si="1"/>
        <v>-40</v>
      </c>
      <c r="L46" s="42"/>
      <c r="M46" s="44">
        <f t="shared" si="2"/>
        <v>0</v>
      </c>
      <c r="R46" s="20">
        <f>LOG($H$2,2)</f>
        <v>2</v>
      </c>
      <c r="T46" s="25">
        <f>LOG(H38,2)</f>
        <v>5.0443941193584534</v>
      </c>
      <c r="U46" s="25">
        <f>R46-T46</f>
        <v>-3.0443941193584534</v>
      </c>
    </row>
    <row r="47" spans="1:21">
      <c r="A47" s="55"/>
      <c r="B47" s="46" t="str">
        <f t="shared" si="4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5"/>
        <v>-4</v>
      </c>
      <c r="K47" s="48">
        <f t="shared" si="1"/>
        <v>-40</v>
      </c>
      <c r="L47" s="48"/>
      <c r="M47" s="50">
        <f t="shared" si="2"/>
        <v>0</v>
      </c>
    </row>
    <row r="48" spans="1:21">
      <c r="A48" s="56"/>
      <c r="B48" s="40" t="str">
        <f t="shared" si="4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5"/>
        <v>-4</v>
      </c>
      <c r="K48" s="42">
        <f t="shared" si="1"/>
        <v>-40</v>
      </c>
      <c r="L48" s="42"/>
      <c r="M48" s="44">
        <f t="shared" si="2"/>
        <v>0</v>
      </c>
    </row>
    <row r="49" spans="1:13">
      <c r="A49" s="55"/>
      <c r="B49" s="46" t="str">
        <f t="shared" si="4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5"/>
        <v>-4</v>
      </c>
      <c r="K49" s="48">
        <f t="shared" si="1"/>
        <v>-40</v>
      </c>
      <c r="L49" s="48"/>
      <c r="M49" s="50">
        <f t="shared" si="2"/>
        <v>0</v>
      </c>
    </row>
    <row r="50" spans="1:13">
      <c r="A50" s="56"/>
      <c r="B50" s="40" t="str">
        <f t="shared" si="4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5"/>
        <v>-4</v>
      </c>
      <c r="K50" s="42">
        <f t="shared" si="1"/>
        <v>-40</v>
      </c>
      <c r="L50" s="42"/>
      <c r="M50" s="44">
        <f t="shared" si="2"/>
        <v>0</v>
      </c>
    </row>
    <row r="51" spans="1:13">
      <c r="A51" s="55"/>
      <c r="B51" s="46" t="str">
        <f t="shared" si="4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5"/>
        <v>-4</v>
      </c>
      <c r="K51" s="48">
        <f t="shared" si="1"/>
        <v>-40</v>
      </c>
      <c r="L51" s="48"/>
      <c r="M51" s="50">
        <f t="shared" si="2"/>
        <v>0</v>
      </c>
    </row>
    <row r="52" spans="1:13">
      <c r="A52" s="56"/>
      <c r="B52" s="40" t="str">
        <f t="shared" si="4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5"/>
        <v>-4</v>
      </c>
      <c r="K52" s="42">
        <f t="shared" si="1"/>
        <v>-40</v>
      </c>
      <c r="L52" s="42"/>
      <c r="M52" s="44">
        <f t="shared" si="2"/>
        <v>0</v>
      </c>
    </row>
    <row r="53" spans="1:13">
      <c r="A53" s="55"/>
      <c r="B53" s="46" t="str">
        <f t="shared" si="4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5"/>
        <v>-4</v>
      </c>
      <c r="K53" s="48">
        <f t="shared" si="1"/>
        <v>-40</v>
      </c>
      <c r="L53" s="48"/>
      <c r="M53" s="50">
        <f t="shared" si="2"/>
        <v>0</v>
      </c>
    </row>
    <row r="54" spans="1:13">
      <c r="A54" s="56"/>
      <c r="B54" s="40" t="str">
        <f t="shared" si="4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5"/>
        <v>-4</v>
      </c>
      <c r="K54" s="42">
        <f t="shared" si="1"/>
        <v>-40</v>
      </c>
      <c r="L54" s="42"/>
      <c r="M54" s="44">
        <f t="shared" si="2"/>
        <v>0</v>
      </c>
    </row>
    <row r="55" spans="1:13">
      <c r="A55" s="55"/>
      <c r="B55" s="46" t="str">
        <f t="shared" si="4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5"/>
        <v>-4</v>
      </c>
      <c r="K55" s="48">
        <f t="shared" si="1"/>
        <v>-40</v>
      </c>
      <c r="L55" s="48"/>
      <c r="M55" s="50">
        <f t="shared" si="2"/>
        <v>0</v>
      </c>
    </row>
    <row r="56" spans="1:13">
      <c r="A56" s="56"/>
      <c r="B56" s="40" t="str">
        <f t="shared" si="4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5"/>
        <v>-4</v>
      </c>
      <c r="K56" s="42">
        <f t="shared" si="1"/>
        <v>-40</v>
      </c>
      <c r="L56" s="42"/>
      <c r="M56" s="44">
        <f t="shared" si="2"/>
        <v>0</v>
      </c>
    </row>
    <row r="57" spans="1:13">
      <c r="A57" s="55"/>
      <c r="B57" s="46" t="str">
        <f t="shared" si="4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5"/>
        <v>-4</v>
      </c>
      <c r="K57" s="48">
        <f t="shared" si="1"/>
        <v>-40</v>
      </c>
      <c r="L57" s="48"/>
      <c r="M57" s="50">
        <f t="shared" si="2"/>
        <v>0</v>
      </c>
    </row>
    <row r="58" spans="1:13">
      <c r="A58" s="56"/>
      <c r="B58" s="40" t="str">
        <f t="shared" si="4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5"/>
        <v>-4</v>
      </c>
      <c r="K58" s="42">
        <f t="shared" si="1"/>
        <v>-40</v>
      </c>
      <c r="L58" s="42"/>
      <c r="M58" s="44">
        <f t="shared" si="2"/>
        <v>0</v>
      </c>
    </row>
    <row r="59" spans="1:13">
      <c r="A59" s="55"/>
      <c r="B59" s="46" t="str">
        <f t="shared" si="4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5"/>
        <v>-4</v>
      </c>
      <c r="K59" s="48">
        <f t="shared" si="1"/>
        <v>-40</v>
      </c>
      <c r="L59" s="48"/>
      <c r="M59" s="50">
        <f t="shared" si="2"/>
        <v>0</v>
      </c>
    </row>
    <row r="60" spans="1:13">
      <c r="A60" s="56"/>
      <c r="B60" s="40" t="str">
        <f t="shared" si="4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5"/>
        <v>-4</v>
      </c>
      <c r="K60" s="42">
        <f t="shared" si="1"/>
        <v>-40</v>
      </c>
      <c r="L60" s="42"/>
      <c r="M60" s="44">
        <f t="shared" si="2"/>
        <v>0</v>
      </c>
    </row>
    <row r="61" spans="1:13">
      <c r="A61" s="55"/>
      <c r="B61" s="46" t="str">
        <f t="shared" si="4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5"/>
        <v>-4</v>
      </c>
      <c r="K61" s="48">
        <f t="shared" si="1"/>
        <v>-40</v>
      </c>
      <c r="L61" s="48"/>
      <c r="M61" s="50">
        <f t="shared" si="2"/>
        <v>0</v>
      </c>
    </row>
    <row r="62" spans="1:13">
      <c r="A62" s="56"/>
      <c r="B62" s="40" t="str">
        <f t="shared" si="4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5"/>
        <v>-4</v>
      </c>
      <c r="K62" s="42">
        <f t="shared" si="1"/>
        <v>-40</v>
      </c>
      <c r="L62" s="42"/>
      <c r="M62" s="44">
        <f t="shared" si="2"/>
        <v>0</v>
      </c>
    </row>
    <row r="63" spans="1:13">
      <c r="A63" s="55"/>
      <c r="B63" s="46" t="str">
        <f t="shared" si="4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5"/>
        <v>-4</v>
      </c>
      <c r="K63" s="48">
        <f t="shared" si="1"/>
        <v>-40</v>
      </c>
      <c r="L63" s="48"/>
      <c r="M63" s="50">
        <f t="shared" si="2"/>
        <v>0</v>
      </c>
    </row>
    <row r="64" spans="1:13">
      <c r="A64" s="56"/>
      <c r="B64" s="40" t="str">
        <f t="shared" si="4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5"/>
        <v>-4</v>
      </c>
      <c r="K64" s="42">
        <f t="shared" si="1"/>
        <v>-40</v>
      </c>
      <c r="L64" s="42"/>
      <c r="M64" s="44">
        <f t="shared" si="2"/>
        <v>0</v>
      </c>
    </row>
    <row r="65" spans="1:13">
      <c r="A65" s="55"/>
      <c r="B65" s="46" t="str">
        <f t="shared" si="4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5"/>
        <v>-4</v>
      </c>
      <c r="K65" s="48">
        <f t="shared" si="1"/>
        <v>-40</v>
      </c>
      <c r="L65" s="48"/>
      <c r="M65" s="50">
        <f t="shared" si="2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>
        <f t="shared" si="5"/>
        <v>-4</v>
      </c>
      <c r="K66" s="42">
        <f t="shared" si="1"/>
        <v>-40</v>
      </c>
      <c r="L66" s="42"/>
      <c r="M66" s="44">
        <f t="shared" si="2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>
        <f t="shared" si="5"/>
        <v>-4</v>
      </c>
      <c r="K67" s="42">
        <f t="shared" si="1"/>
        <v>-40</v>
      </c>
      <c r="L67" s="42"/>
      <c r="M67" s="44">
        <f t="shared" si="2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>
        <f t="shared" si="5"/>
        <v>-4</v>
      </c>
      <c r="K68" s="42">
        <f t="shared" si="1"/>
        <v>-40</v>
      </c>
      <c r="L68" s="42"/>
      <c r="M68" s="44">
        <f t="shared" si="2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>
        <f t="shared" si="5"/>
        <v>-4</v>
      </c>
      <c r="K69" s="42">
        <f t="shared" si="1"/>
        <v>-40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6">IF(H70&lt;$H$2+1,($I$2-($I$2-1)*(LOG(H70)/LOG($H$2))),"")</f>
        <v/>
      </c>
      <c r="J70" s="42">
        <f t="shared" si="5"/>
        <v>-5</v>
      </c>
      <c r="K70" s="42">
        <f t="shared" ref="K70:K133" si="7">J70*$J$2</f>
        <v>-50</v>
      </c>
      <c r="L70" s="42"/>
      <c r="M70" s="44">
        <f t="shared" ref="M70:M133" si="8">IF(I70&lt;&gt;"",K70+I70+L70,0)</f>
        <v>0</v>
      </c>
    </row>
    <row r="71" spans="1:13">
      <c r="A71" s="63"/>
      <c r="G71" s="20"/>
      <c r="H71" s="42">
        <v>66</v>
      </c>
      <c r="I71" s="43" t="str">
        <f t="shared" si="6"/>
        <v/>
      </c>
      <c r="J71" s="42">
        <f t="shared" ref="J71:J134" si="9">INT(LOG($H$2,2))-ROUNDUP(LOG(H71,2),0)+IF(OR($H$2=1,$H$2=2,$H$2=4,$H$2=8,$H$2=16,$H$2=32,$H$2=64,$H$2=128,$H$2=256),0,1)</f>
        <v>-5</v>
      </c>
      <c r="K71" s="42">
        <f t="shared" si="7"/>
        <v>-50</v>
      </c>
      <c r="L71" s="42"/>
      <c r="M71" s="44">
        <f t="shared" si="8"/>
        <v>0</v>
      </c>
    </row>
    <row r="72" spans="1:13">
      <c r="A72" s="63"/>
      <c r="G72" s="20"/>
      <c r="H72" s="42">
        <v>67</v>
      </c>
      <c r="I72" s="43" t="str">
        <f t="shared" si="6"/>
        <v/>
      </c>
      <c r="J72" s="42">
        <f t="shared" si="9"/>
        <v>-5</v>
      </c>
      <c r="K72" s="42">
        <f t="shared" si="7"/>
        <v>-50</v>
      </c>
      <c r="L72" s="42"/>
      <c r="M72" s="44">
        <f t="shared" si="8"/>
        <v>0</v>
      </c>
    </row>
    <row r="73" spans="1:13">
      <c r="A73" s="63"/>
      <c r="G73" s="20"/>
      <c r="H73" s="42">
        <v>68</v>
      </c>
      <c r="I73" s="43" t="str">
        <f t="shared" si="6"/>
        <v/>
      </c>
      <c r="J73" s="42">
        <f t="shared" si="9"/>
        <v>-5</v>
      </c>
      <c r="K73" s="42">
        <f t="shared" si="7"/>
        <v>-50</v>
      </c>
      <c r="L73" s="42"/>
      <c r="M73" s="44">
        <f t="shared" si="8"/>
        <v>0</v>
      </c>
    </row>
    <row r="74" spans="1:13">
      <c r="A74" s="63"/>
      <c r="G74" s="20"/>
      <c r="H74" s="42">
        <v>69</v>
      </c>
      <c r="I74" s="43" t="str">
        <f t="shared" si="6"/>
        <v/>
      </c>
      <c r="J74" s="42">
        <f t="shared" si="9"/>
        <v>-5</v>
      </c>
      <c r="K74" s="42">
        <f t="shared" si="7"/>
        <v>-50</v>
      </c>
      <c r="L74" s="42"/>
      <c r="M74" s="44">
        <f t="shared" si="8"/>
        <v>0</v>
      </c>
    </row>
    <row r="75" spans="1:13">
      <c r="A75" s="63"/>
      <c r="G75" s="20"/>
      <c r="H75" s="42">
        <v>70</v>
      </c>
      <c r="I75" s="43" t="str">
        <f t="shared" si="6"/>
        <v/>
      </c>
      <c r="J75" s="42">
        <f t="shared" si="9"/>
        <v>-5</v>
      </c>
      <c r="K75" s="42">
        <f t="shared" si="7"/>
        <v>-50</v>
      </c>
      <c r="L75" s="42"/>
      <c r="M75" s="44">
        <f t="shared" si="8"/>
        <v>0</v>
      </c>
    </row>
    <row r="76" spans="1:13">
      <c r="A76" s="63"/>
      <c r="G76" s="20"/>
      <c r="H76" s="42">
        <v>71</v>
      </c>
      <c r="I76" s="43" t="str">
        <f t="shared" si="6"/>
        <v/>
      </c>
      <c r="J76" s="42">
        <f t="shared" si="9"/>
        <v>-5</v>
      </c>
      <c r="K76" s="42">
        <f t="shared" si="7"/>
        <v>-50</v>
      </c>
      <c r="L76" s="42"/>
      <c r="M76" s="44">
        <f t="shared" si="8"/>
        <v>0</v>
      </c>
    </row>
    <row r="77" spans="1:13">
      <c r="A77" s="63"/>
      <c r="G77" s="20"/>
      <c r="H77" s="42">
        <v>72</v>
      </c>
      <c r="I77" s="43" t="str">
        <f t="shared" si="6"/>
        <v/>
      </c>
      <c r="J77" s="42">
        <f t="shared" si="9"/>
        <v>-5</v>
      </c>
      <c r="K77" s="42">
        <f t="shared" si="7"/>
        <v>-50</v>
      </c>
      <c r="L77" s="42"/>
      <c r="M77" s="44">
        <f t="shared" si="8"/>
        <v>0</v>
      </c>
    </row>
    <row r="78" spans="1:13">
      <c r="A78" s="63"/>
      <c r="G78" s="20"/>
      <c r="H78" s="42">
        <v>73</v>
      </c>
      <c r="I78" s="43" t="str">
        <f t="shared" si="6"/>
        <v/>
      </c>
      <c r="J78" s="42">
        <f t="shared" si="9"/>
        <v>-5</v>
      </c>
      <c r="K78" s="42">
        <f t="shared" si="7"/>
        <v>-50</v>
      </c>
      <c r="L78" s="42"/>
      <c r="M78" s="44">
        <f t="shared" si="8"/>
        <v>0</v>
      </c>
    </row>
    <row r="79" spans="1:13">
      <c r="A79" s="63"/>
      <c r="G79" s="20"/>
      <c r="H79" s="42">
        <v>74</v>
      </c>
      <c r="I79" s="43" t="str">
        <f t="shared" si="6"/>
        <v/>
      </c>
      <c r="J79" s="42">
        <f t="shared" si="9"/>
        <v>-5</v>
      </c>
      <c r="K79" s="42">
        <f t="shared" si="7"/>
        <v>-50</v>
      </c>
      <c r="L79" s="42"/>
      <c r="M79" s="44">
        <f t="shared" si="8"/>
        <v>0</v>
      </c>
    </row>
    <row r="80" spans="1:13">
      <c r="A80" s="63"/>
      <c r="G80" s="20"/>
      <c r="H80" s="42">
        <v>75</v>
      </c>
      <c r="I80" s="43" t="str">
        <f t="shared" si="6"/>
        <v/>
      </c>
      <c r="J80" s="42">
        <f t="shared" si="9"/>
        <v>-5</v>
      </c>
      <c r="K80" s="42">
        <f t="shared" si="7"/>
        <v>-50</v>
      </c>
      <c r="L80" s="42"/>
      <c r="M80" s="44">
        <f t="shared" si="8"/>
        <v>0</v>
      </c>
    </row>
    <row r="81" spans="1:13">
      <c r="A81" s="63"/>
      <c r="G81" s="20"/>
      <c r="H81" s="42">
        <v>76</v>
      </c>
      <c r="I81" s="43" t="str">
        <f t="shared" si="6"/>
        <v/>
      </c>
      <c r="J81" s="42">
        <f t="shared" si="9"/>
        <v>-5</v>
      </c>
      <c r="K81" s="42">
        <f t="shared" si="7"/>
        <v>-50</v>
      </c>
      <c r="L81" s="42"/>
      <c r="M81" s="44">
        <f t="shared" si="8"/>
        <v>0</v>
      </c>
    </row>
    <row r="82" spans="1:13">
      <c r="A82" s="63"/>
      <c r="G82" s="20"/>
      <c r="H82" s="42">
        <v>77</v>
      </c>
      <c r="I82" s="43" t="str">
        <f t="shared" si="6"/>
        <v/>
      </c>
      <c r="J82" s="42">
        <f t="shared" si="9"/>
        <v>-5</v>
      </c>
      <c r="K82" s="42">
        <f t="shared" si="7"/>
        <v>-50</v>
      </c>
      <c r="L82" s="42"/>
      <c r="M82" s="44">
        <f t="shared" si="8"/>
        <v>0</v>
      </c>
    </row>
    <row r="83" spans="1:13">
      <c r="A83" s="63"/>
      <c r="G83" s="20"/>
      <c r="H83" s="42">
        <v>78</v>
      </c>
      <c r="I83" s="43" t="str">
        <f t="shared" si="6"/>
        <v/>
      </c>
      <c r="J83" s="42">
        <f t="shared" si="9"/>
        <v>-5</v>
      </c>
      <c r="K83" s="42">
        <f t="shared" si="7"/>
        <v>-50</v>
      </c>
      <c r="L83" s="42"/>
      <c r="M83" s="44">
        <f t="shared" si="8"/>
        <v>0</v>
      </c>
    </row>
    <row r="84" spans="1:13">
      <c r="A84" s="63"/>
      <c r="G84" s="20"/>
      <c r="H84" s="42">
        <v>79</v>
      </c>
      <c r="I84" s="43" t="str">
        <f t="shared" si="6"/>
        <v/>
      </c>
      <c r="J84" s="42">
        <f t="shared" si="9"/>
        <v>-5</v>
      </c>
      <c r="K84" s="42">
        <f t="shared" si="7"/>
        <v>-50</v>
      </c>
      <c r="L84" s="42"/>
      <c r="M84" s="44">
        <f t="shared" si="8"/>
        <v>0</v>
      </c>
    </row>
    <row r="85" spans="1:13">
      <c r="A85" s="63"/>
      <c r="G85" s="20"/>
      <c r="H85" s="42">
        <v>80</v>
      </c>
      <c r="I85" s="43" t="str">
        <f t="shared" si="6"/>
        <v/>
      </c>
      <c r="J85" s="42">
        <f t="shared" si="9"/>
        <v>-5</v>
      </c>
      <c r="K85" s="42">
        <f t="shared" si="7"/>
        <v>-50</v>
      </c>
      <c r="L85" s="42"/>
      <c r="M85" s="44">
        <f t="shared" si="8"/>
        <v>0</v>
      </c>
    </row>
    <row r="86" spans="1:13">
      <c r="A86" s="63"/>
      <c r="G86" s="20"/>
      <c r="H86" s="42">
        <v>81</v>
      </c>
      <c r="I86" s="43" t="str">
        <f t="shared" si="6"/>
        <v/>
      </c>
      <c r="J86" s="42">
        <f t="shared" si="9"/>
        <v>-5</v>
      </c>
      <c r="K86" s="42">
        <f t="shared" si="7"/>
        <v>-50</v>
      </c>
      <c r="L86" s="42"/>
      <c r="M86" s="44">
        <f t="shared" si="8"/>
        <v>0</v>
      </c>
    </row>
    <row r="87" spans="1:13">
      <c r="A87" s="63"/>
      <c r="G87" s="20"/>
      <c r="H87" s="42">
        <v>82</v>
      </c>
      <c r="I87" s="43" t="str">
        <f t="shared" si="6"/>
        <v/>
      </c>
      <c r="J87" s="42">
        <f t="shared" si="9"/>
        <v>-5</v>
      </c>
      <c r="K87" s="42">
        <f t="shared" si="7"/>
        <v>-50</v>
      </c>
      <c r="L87" s="42"/>
      <c r="M87" s="44">
        <f t="shared" si="8"/>
        <v>0</v>
      </c>
    </row>
    <row r="88" spans="1:13">
      <c r="A88" s="63"/>
      <c r="G88" s="20"/>
      <c r="H88" s="42">
        <v>83</v>
      </c>
      <c r="I88" s="43" t="str">
        <f t="shared" si="6"/>
        <v/>
      </c>
      <c r="J88" s="42">
        <f t="shared" si="9"/>
        <v>-5</v>
      </c>
      <c r="K88" s="42">
        <f t="shared" si="7"/>
        <v>-50</v>
      </c>
      <c r="L88" s="42"/>
      <c r="M88" s="44">
        <f t="shared" si="8"/>
        <v>0</v>
      </c>
    </row>
    <row r="89" spans="1:13">
      <c r="A89" s="63"/>
      <c r="G89" s="20"/>
      <c r="H89" s="42">
        <v>84</v>
      </c>
      <c r="I89" s="43" t="str">
        <f t="shared" si="6"/>
        <v/>
      </c>
      <c r="J89" s="42">
        <f t="shared" si="9"/>
        <v>-5</v>
      </c>
      <c r="K89" s="42">
        <f t="shared" si="7"/>
        <v>-50</v>
      </c>
      <c r="L89" s="42"/>
      <c r="M89" s="44">
        <f t="shared" si="8"/>
        <v>0</v>
      </c>
    </row>
    <row r="90" spans="1:13">
      <c r="A90" s="63"/>
      <c r="G90" s="20"/>
      <c r="H90" s="42">
        <v>85</v>
      </c>
      <c r="I90" s="43" t="str">
        <f t="shared" si="6"/>
        <v/>
      </c>
      <c r="J90" s="42">
        <f t="shared" si="9"/>
        <v>-5</v>
      </c>
      <c r="K90" s="42">
        <f t="shared" si="7"/>
        <v>-50</v>
      </c>
      <c r="L90" s="42"/>
      <c r="M90" s="44">
        <f t="shared" si="8"/>
        <v>0</v>
      </c>
    </row>
    <row r="91" spans="1:13">
      <c r="A91" s="63"/>
      <c r="G91" s="20"/>
      <c r="H91" s="42">
        <v>86</v>
      </c>
      <c r="I91" s="43" t="str">
        <f t="shared" si="6"/>
        <v/>
      </c>
      <c r="J91" s="42">
        <f t="shared" si="9"/>
        <v>-5</v>
      </c>
      <c r="K91" s="42">
        <f t="shared" si="7"/>
        <v>-50</v>
      </c>
      <c r="L91" s="42"/>
      <c r="M91" s="44">
        <f t="shared" si="8"/>
        <v>0</v>
      </c>
    </row>
    <row r="92" spans="1:13">
      <c r="A92" s="63"/>
      <c r="G92" s="20"/>
      <c r="H92" s="42">
        <v>87</v>
      </c>
      <c r="I92" s="43" t="str">
        <f t="shared" si="6"/>
        <v/>
      </c>
      <c r="J92" s="42">
        <f t="shared" si="9"/>
        <v>-5</v>
      </c>
      <c r="K92" s="42">
        <f t="shared" si="7"/>
        <v>-50</v>
      </c>
      <c r="L92" s="42"/>
      <c r="M92" s="44">
        <f t="shared" si="8"/>
        <v>0</v>
      </c>
    </row>
    <row r="93" spans="1:13">
      <c r="A93" s="63"/>
      <c r="G93" s="20"/>
      <c r="H93" s="42">
        <v>88</v>
      </c>
      <c r="I93" s="43" t="str">
        <f t="shared" si="6"/>
        <v/>
      </c>
      <c r="J93" s="42">
        <f t="shared" si="9"/>
        <v>-5</v>
      </c>
      <c r="K93" s="42">
        <f t="shared" si="7"/>
        <v>-50</v>
      </c>
      <c r="L93" s="42"/>
      <c r="M93" s="44">
        <f t="shared" si="8"/>
        <v>0</v>
      </c>
    </row>
    <row r="94" spans="1:13">
      <c r="A94" s="63"/>
      <c r="G94" s="20"/>
      <c r="H94" s="42">
        <v>89</v>
      </c>
      <c r="I94" s="43" t="str">
        <f t="shared" si="6"/>
        <v/>
      </c>
      <c r="J94" s="42">
        <f t="shared" si="9"/>
        <v>-5</v>
      </c>
      <c r="K94" s="42">
        <f t="shared" si="7"/>
        <v>-50</v>
      </c>
      <c r="L94" s="42"/>
      <c r="M94" s="44">
        <f t="shared" si="8"/>
        <v>0</v>
      </c>
    </row>
    <row r="95" spans="1:13">
      <c r="A95" s="63"/>
      <c r="G95" s="20"/>
      <c r="H95" s="42">
        <v>90</v>
      </c>
      <c r="I95" s="43" t="str">
        <f t="shared" si="6"/>
        <v/>
      </c>
      <c r="J95" s="42">
        <f t="shared" si="9"/>
        <v>-5</v>
      </c>
      <c r="K95" s="42">
        <f t="shared" si="7"/>
        <v>-50</v>
      </c>
      <c r="L95" s="42"/>
      <c r="M95" s="44">
        <f t="shared" si="8"/>
        <v>0</v>
      </c>
    </row>
    <row r="96" spans="1:13">
      <c r="A96" s="63"/>
      <c r="G96" s="20"/>
      <c r="H96" s="42">
        <v>91</v>
      </c>
      <c r="I96" s="43" t="str">
        <f t="shared" si="6"/>
        <v/>
      </c>
      <c r="J96" s="42">
        <f t="shared" si="9"/>
        <v>-5</v>
      </c>
      <c r="K96" s="42">
        <f t="shared" si="7"/>
        <v>-50</v>
      </c>
      <c r="L96" s="42"/>
      <c r="M96" s="44">
        <f t="shared" si="8"/>
        <v>0</v>
      </c>
    </row>
    <row r="97" spans="1:13">
      <c r="A97" s="63"/>
      <c r="G97" s="20"/>
      <c r="H97" s="42">
        <v>92</v>
      </c>
      <c r="I97" s="43" t="str">
        <f t="shared" si="6"/>
        <v/>
      </c>
      <c r="J97" s="42">
        <f t="shared" si="9"/>
        <v>-5</v>
      </c>
      <c r="K97" s="42">
        <f t="shared" si="7"/>
        <v>-50</v>
      </c>
      <c r="L97" s="42"/>
      <c r="M97" s="44">
        <f t="shared" si="8"/>
        <v>0</v>
      </c>
    </row>
    <row r="98" spans="1:13">
      <c r="A98" s="63"/>
      <c r="G98" s="20"/>
      <c r="H98" s="42">
        <v>93</v>
      </c>
      <c r="I98" s="43" t="str">
        <f t="shared" si="6"/>
        <v/>
      </c>
      <c r="J98" s="42">
        <f t="shared" si="9"/>
        <v>-5</v>
      </c>
      <c r="K98" s="42">
        <f t="shared" si="7"/>
        <v>-50</v>
      </c>
      <c r="L98" s="42"/>
      <c r="M98" s="44">
        <f t="shared" si="8"/>
        <v>0</v>
      </c>
    </row>
    <row r="99" spans="1:13">
      <c r="A99" s="63"/>
      <c r="G99" s="20"/>
      <c r="H99" s="42">
        <v>94</v>
      </c>
      <c r="I99" s="43" t="str">
        <f t="shared" si="6"/>
        <v/>
      </c>
      <c r="J99" s="42">
        <f t="shared" si="9"/>
        <v>-5</v>
      </c>
      <c r="K99" s="42">
        <f t="shared" si="7"/>
        <v>-50</v>
      </c>
      <c r="L99" s="42"/>
      <c r="M99" s="44">
        <f t="shared" si="8"/>
        <v>0</v>
      </c>
    </row>
    <row r="100" spans="1:13">
      <c r="A100" s="63"/>
      <c r="G100" s="20"/>
      <c r="H100" s="42">
        <v>95</v>
      </c>
      <c r="I100" s="43" t="str">
        <f t="shared" si="6"/>
        <v/>
      </c>
      <c r="J100" s="42">
        <f t="shared" si="9"/>
        <v>-5</v>
      </c>
      <c r="K100" s="42">
        <f t="shared" si="7"/>
        <v>-50</v>
      </c>
      <c r="L100" s="42"/>
      <c r="M100" s="44">
        <f t="shared" si="8"/>
        <v>0</v>
      </c>
    </row>
    <row r="101" spans="1:13">
      <c r="A101" s="63"/>
      <c r="G101" s="20"/>
      <c r="H101" s="42">
        <v>96</v>
      </c>
      <c r="I101" s="43" t="str">
        <f t="shared" si="6"/>
        <v/>
      </c>
      <c r="J101" s="42">
        <f t="shared" si="9"/>
        <v>-5</v>
      </c>
      <c r="K101" s="42">
        <f t="shared" si="7"/>
        <v>-50</v>
      </c>
      <c r="L101" s="42"/>
      <c r="M101" s="44">
        <f t="shared" si="8"/>
        <v>0</v>
      </c>
    </row>
    <row r="102" spans="1:13">
      <c r="A102" s="63"/>
      <c r="G102" s="20"/>
      <c r="H102" s="42">
        <v>97</v>
      </c>
      <c r="I102" s="43" t="str">
        <f t="shared" si="6"/>
        <v/>
      </c>
      <c r="J102" s="42">
        <f t="shared" si="9"/>
        <v>-5</v>
      </c>
      <c r="K102" s="42">
        <f t="shared" si="7"/>
        <v>-50</v>
      </c>
      <c r="L102" s="42"/>
      <c r="M102" s="44">
        <f t="shared" si="8"/>
        <v>0</v>
      </c>
    </row>
    <row r="103" spans="1:13">
      <c r="A103" s="63"/>
      <c r="G103" s="20"/>
      <c r="H103" s="42">
        <v>98</v>
      </c>
      <c r="I103" s="43" t="str">
        <f t="shared" si="6"/>
        <v/>
      </c>
      <c r="J103" s="42">
        <f t="shared" si="9"/>
        <v>-5</v>
      </c>
      <c r="K103" s="42">
        <f t="shared" si="7"/>
        <v>-50</v>
      </c>
      <c r="L103" s="42"/>
      <c r="M103" s="44">
        <f t="shared" si="8"/>
        <v>0</v>
      </c>
    </row>
    <row r="104" spans="1:13">
      <c r="A104" s="63"/>
      <c r="G104" s="20"/>
      <c r="H104" s="42">
        <v>99</v>
      </c>
      <c r="I104" s="43" t="str">
        <f t="shared" si="6"/>
        <v/>
      </c>
      <c r="J104" s="42">
        <f t="shared" si="9"/>
        <v>-5</v>
      </c>
      <c r="K104" s="42">
        <f t="shared" si="7"/>
        <v>-50</v>
      </c>
      <c r="L104" s="42"/>
      <c r="M104" s="44">
        <f t="shared" si="8"/>
        <v>0</v>
      </c>
    </row>
    <row r="105" spans="1:13">
      <c r="A105" s="63"/>
      <c r="G105" s="20"/>
      <c r="H105" s="42">
        <v>100</v>
      </c>
      <c r="I105" s="43" t="str">
        <f t="shared" si="6"/>
        <v/>
      </c>
      <c r="J105" s="42">
        <f t="shared" si="9"/>
        <v>-5</v>
      </c>
      <c r="K105" s="42">
        <f t="shared" si="7"/>
        <v>-50</v>
      </c>
      <c r="L105" s="42"/>
      <c r="M105" s="44">
        <f t="shared" si="8"/>
        <v>0</v>
      </c>
    </row>
    <row r="106" spans="1:13">
      <c r="A106" s="63"/>
      <c r="G106" s="20"/>
      <c r="H106" s="42">
        <v>101</v>
      </c>
      <c r="I106" s="43" t="str">
        <f t="shared" si="6"/>
        <v/>
      </c>
      <c r="J106" s="42">
        <f t="shared" si="9"/>
        <v>-5</v>
      </c>
      <c r="K106" s="42">
        <f t="shared" si="7"/>
        <v>-50</v>
      </c>
      <c r="L106" s="42"/>
      <c r="M106" s="44">
        <f t="shared" si="8"/>
        <v>0</v>
      </c>
    </row>
    <row r="107" spans="1:13">
      <c r="A107" s="63"/>
      <c r="G107" s="20"/>
      <c r="H107" s="42">
        <v>102</v>
      </c>
      <c r="I107" s="43" t="str">
        <f t="shared" si="6"/>
        <v/>
      </c>
      <c r="J107" s="42">
        <f t="shared" si="9"/>
        <v>-5</v>
      </c>
      <c r="K107" s="42">
        <f t="shared" si="7"/>
        <v>-50</v>
      </c>
      <c r="L107" s="42"/>
      <c r="M107" s="44">
        <f t="shared" si="8"/>
        <v>0</v>
      </c>
    </row>
    <row r="108" spans="1:13">
      <c r="A108" s="63"/>
      <c r="G108" s="20"/>
      <c r="H108" s="42">
        <v>103</v>
      </c>
      <c r="I108" s="43" t="str">
        <f t="shared" si="6"/>
        <v/>
      </c>
      <c r="J108" s="42">
        <f t="shared" si="9"/>
        <v>-5</v>
      </c>
      <c r="K108" s="42">
        <f t="shared" si="7"/>
        <v>-50</v>
      </c>
      <c r="L108" s="42"/>
      <c r="M108" s="44">
        <f t="shared" si="8"/>
        <v>0</v>
      </c>
    </row>
    <row r="109" spans="1:13">
      <c r="A109" s="63"/>
      <c r="G109" s="20"/>
      <c r="H109" s="42">
        <v>104</v>
      </c>
      <c r="I109" s="43" t="str">
        <f t="shared" si="6"/>
        <v/>
      </c>
      <c r="J109" s="42">
        <f t="shared" si="9"/>
        <v>-5</v>
      </c>
      <c r="K109" s="42">
        <f t="shared" si="7"/>
        <v>-50</v>
      </c>
      <c r="L109" s="42"/>
      <c r="M109" s="44">
        <f t="shared" si="8"/>
        <v>0</v>
      </c>
    </row>
    <row r="110" spans="1:13">
      <c r="A110" s="63"/>
      <c r="G110" s="20"/>
      <c r="H110" s="42">
        <v>105</v>
      </c>
      <c r="I110" s="43" t="str">
        <f t="shared" si="6"/>
        <v/>
      </c>
      <c r="J110" s="42">
        <f t="shared" si="9"/>
        <v>-5</v>
      </c>
      <c r="K110" s="42">
        <f t="shared" si="7"/>
        <v>-50</v>
      </c>
      <c r="L110" s="42"/>
      <c r="M110" s="44">
        <f t="shared" si="8"/>
        <v>0</v>
      </c>
    </row>
    <row r="111" spans="1:13">
      <c r="A111" s="63"/>
      <c r="G111" s="20"/>
      <c r="H111" s="42">
        <v>106</v>
      </c>
      <c r="I111" s="43" t="str">
        <f t="shared" si="6"/>
        <v/>
      </c>
      <c r="J111" s="42">
        <f t="shared" si="9"/>
        <v>-5</v>
      </c>
      <c r="K111" s="42">
        <f t="shared" si="7"/>
        <v>-50</v>
      </c>
      <c r="L111" s="42"/>
      <c r="M111" s="44">
        <f t="shared" si="8"/>
        <v>0</v>
      </c>
    </row>
    <row r="112" spans="1:13">
      <c r="A112" s="63"/>
      <c r="G112" s="20"/>
      <c r="H112" s="42">
        <v>107</v>
      </c>
      <c r="I112" s="43" t="str">
        <f t="shared" si="6"/>
        <v/>
      </c>
      <c r="J112" s="42">
        <f t="shared" si="9"/>
        <v>-5</v>
      </c>
      <c r="K112" s="42">
        <f t="shared" si="7"/>
        <v>-50</v>
      </c>
      <c r="L112" s="42"/>
      <c r="M112" s="44">
        <f t="shared" si="8"/>
        <v>0</v>
      </c>
    </row>
    <row r="113" spans="1:13">
      <c r="A113" s="63"/>
      <c r="G113" s="20"/>
      <c r="H113" s="42">
        <v>108</v>
      </c>
      <c r="I113" s="43" t="str">
        <f t="shared" si="6"/>
        <v/>
      </c>
      <c r="J113" s="42">
        <f t="shared" si="9"/>
        <v>-5</v>
      </c>
      <c r="K113" s="42">
        <f t="shared" si="7"/>
        <v>-50</v>
      </c>
      <c r="L113" s="42"/>
      <c r="M113" s="44">
        <f t="shared" si="8"/>
        <v>0</v>
      </c>
    </row>
    <row r="114" spans="1:13">
      <c r="A114" s="63"/>
      <c r="G114" s="20"/>
      <c r="H114" s="42">
        <v>109</v>
      </c>
      <c r="I114" s="43" t="str">
        <f t="shared" si="6"/>
        <v/>
      </c>
      <c r="J114" s="42">
        <f t="shared" si="9"/>
        <v>-5</v>
      </c>
      <c r="K114" s="42">
        <f t="shared" si="7"/>
        <v>-50</v>
      </c>
      <c r="L114" s="42"/>
      <c r="M114" s="44">
        <f t="shared" si="8"/>
        <v>0</v>
      </c>
    </row>
    <row r="115" spans="1:13">
      <c r="A115" s="63"/>
      <c r="G115" s="20"/>
      <c r="H115" s="42">
        <v>110</v>
      </c>
      <c r="I115" s="43" t="str">
        <f t="shared" si="6"/>
        <v/>
      </c>
      <c r="J115" s="42">
        <f t="shared" si="9"/>
        <v>-5</v>
      </c>
      <c r="K115" s="42">
        <f t="shared" si="7"/>
        <v>-50</v>
      </c>
      <c r="L115" s="42"/>
      <c r="M115" s="44">
        <f t="shared" si="8"/>
        <v>0</v>
      </c>
    </row>
    <row r="116" spans="1:13">
      <c r="A116" s="63"/>
      <c r="G116" s="20"/>
      <c r="H116" s="42">
        <v>111</v>
      </c>
      <c r="I116" s="43" t="str">
        <f t="shared" si="6"/>
        <v/>
      </c>
      <c r="J116" s="42">
        <f t="shared" si="9"/>
        <v>-5</v>
      </c>
      <c r="K116" s="42">
        <f t="shared" si="7"/>
        <v>-50</v>
      </c>
      <c r="L116" s="42"/>
      <c r="M116" s="44">
        <f t="shared" si="8"/>
        <v>0</v>
      </c>
    </row>
    <row r="117" spans="1:13">
      <c r="A117" s="63"/>
      <c r="G117" s="20"/>
      <c r="H117" s="42">
        <v>112</v>
      </c>
      <c r="I117" s="43" t="str">
        <f t="shared" si="6"/>
        <v/>
      </c>
      <c r="J117" s="42">
        <f t="shared" si="9"/>
        <v>-5</v>
      </c>
      <c r="K117" s="42">
        <f t="shared" si="7"/>
        <v>-50</v>
      </c>
      <c r="L117" s="42"/>
      <c r="M117" s="44">
        <f t="shared" si="8"/>
        <v>0</v>
      </c>
    </row>
    <row r="118" spans="1:13">
      <c r="A118" s="63"/>
      <c r="G118" s="20"/>
      <c r="H118" s="42">
        <v>113</v>
      </c>
      <c r="I118" s="43" t="str">
        <f t="shared" si="6"/>
        <v/>
      </c>
      <c r="J118" s="42">
        <f t="shared" si="9"/>
        <v>-5</v>
      </c>
      <c r="K118" s="42">
        <f t="shared" si="7"/>
        <v>-50</v>
      </c>
      <c r="L118" s="42"/>
      <c r="M118" s="44">
        <f t="shared" si="8"/>
        <v>0</v>
      </c>
    </row>
    <row r="119" spans="1:13">
      <c r="A119" s="63"/>
      <c r="G119" s="20"/>
      <c r="H119" s="42">
        <v>114</v>
      </c>
      <c r="I119" s="43" t="str">
        <f t="shared" si="6"/>
        <v/>
      </c>
      <c r="J119" s="42">
        <f t="shared" si="9"/>
        <v>-5</v>
      </c>
      <c r="K119" s="42">
        <f t="shared" si="7"/>
        <v>-50</v>
      </c>
      <c r="L119" s="42"/>
      <c r="M119" s="44">
        <f t="shared" si="8"/>
        <v>0</v>
      </c>
    </row>
    <row r="120" spans="1:13">
      <c r="A120" s="63"/>
      <c r="G120" s="20"/>
      <c r="H120" s="42">
        <v>115</v>
      </c>
      <c r="I120" s="43" t="str">
        <f t="shared" si="6"/>
        <v/>
      </c>
      <c r="J120" s="42">
        <f t="shared" si="9"/>
        <v>-5</v>
      </c>
      <c r="K120" s="42">
        <f t="shared" si="7"/>
        <v>-50</v>
      </c>
      <c r="L120" s="42"/>
      <c r="M120" s="44">
        <f t="shared" si="8"/>
        <v>0</v>
      </c>
    </row>
    <row r="121" spans="1:13">
      <c r="A121" s="63"/>
      <c r="G121" s="20"/>
      <c r="H121" s="42">
        <v>116</v>
      </c>
      <c r="I121" s="43" t="str">
        <f t="shared" si="6"/>
        <v/>
      </c>
      <c r="J121" s="42">
        <f t="shared" si="9"/>
        <v>-5</v>
      </c>
      <c r="K121" s="42">
        <f t="shared" si="7"/>
        <v>-50</v>
      </c>
      <c r="L121" s="42"/>
      <c r="M121" s="44">
        <f t="shared" si="8"/>
        <v>0</v>
      </c>
    </row>
    <row r="122" spans="1:13">
      <c r="A122" s="63"/>
      <c r="G122" s="20"/>
      <c r="H122" s="42">
        <v>117</v>
      </c>
      <c r="I122" s="43" t="str">
        <f t="shared" si="6"/>
        <v/>
      </c>
      <c r="J122" s="42">
        <f t="shared" si="9"/>
        <v>-5</v>
      </c>
      <c r="K122" s="42">
        <f t="shared" si="7"/>
        <v>-50</v>
      </c>
      <c r="L122" s="42"/>
      <c r="M122" s="44">
        <f t="shared" si="8"/>
        <v>0</v>
      </c>
    </row>
    <row r="123" spans="1:13">
      <c r="A123" s="63"/>
      <c r="G123" s="20"/>
      <c r="H123" s="42">
        <v>118</v>
      </c>
      <c r="I123" s="43" t="str">
        <f t="shared" si="6"/>
        <v/>
      </c>
      <c r="J123" s="42">
        <f t="shared" si="9"/>
        <v>-5</v>
      </c>
      <c r="K123" s="42">
        <f t="shared" si="7"/>
        <v>-50</v>
      </c>
      <c r="L123" s="42"/>
      <c r="M123" s="44">
        <f t="shared" si="8"/>
        <v>0</v>
      </c>
    </row>
    <row r="124" spans="1:13">
      <c r="A124" s="63"/>
      <c r="G124" s="20"/>
      <c r="H124" s="42">
        <v>119</v>
      </c>
      <c r="I124" s="43" t="str">
        <f t="shared" si="6"/>
        <v/>
      </c>
      <c r="J124" s="42">
        <f t="shared" si="9"/>
        <v>-5</v>
      </c>
      <c r="K124" s="42">
        <f t="shared" si="7"/>
        <v>-50</v>
      </c>
      <c r="L124" s="42"/>
      <c r="M124" s="44">
        <f t="shared" si="8"/>
        <v>0</v>
      </c>
    </row>
    <row r="125" spans="1:13">
      <c r="A125" s="63"/>
      <c r="G125" s="20"/>
      <c r="H125" s="42">
        <v>120</v>
      </c>
      <c r="I125" s="43" t="str">
        <f t="shared" si="6"/>
        <v/>
      </c>
      <c r="J125" s="42">
        <f t="shared" si="9"/>
        <v>-5</v>
      </c>
      <c r="K125" s="42">
        <f t="shared" si="7"/>
        <v>-50</v>
      </c>
      <c r="L125" s="42"/>
      <c r="M125" s="44">
        <f t="shared" si="8"/>
        <v>0</v>
      </c>
    </row>
    <row r="126" spans="1:13">
      <c r="A126" s="63"/>
      <c r="G126" s="20"/>
      <c r="H126" s="42">
        <v>121</v>
      </c>
      <c r="I126" s="43" t="str">
        <f t="shared" si="6"/>
        <v/>
      </c>
      <c r="J126" s="42">
        <f t="shared" si="9"/>
        <v>-5</v>
      </c>
      <c r="K126" s="42">
        <f t="shared" si="7"/>
        <v>-50</v>
      </c>
      <c r="L126" s="42"/>
      <c r="M126" s="44">
        <f t="shared" si="8"/>
        <v>0</v>
      </c>
    </row>
    <row r="127" spans="1:13">
      <c r="A127" s="63"/>
      <c r="G127" s="20"/>
      <c r="H127" s="42">
        <v>122</v>
      </c>
      <c r="I127" s="43" t="str">
        <f t="shared" si="6"/>
        <v/>
      </c>
      <c r="J127" s="42">
        <f t="shared" si="9"/>
        <v>-5</v>
      </c>
      <c r="K127" s="42">
        <f t="shared" si="7"/>
        <v>-50</v>
      </c>
      <c r="L127" s="42"/>
      <c r="M127" s="44">
        <f t="shared" si="8"/>
        <v>0</v>
      </c>
    </row>
    <row r="128" spans="1:13">
      <c r="A128" s="63"/>
      <c r="G128" s="20"/>
      <c r="H128" s="42">
        <v>123</v>
      </c>
      <c r="I128" s="43" t="str">
        <f t="shared" si="6"/>
        <v/>
      </c>
      <c r="J128" s="42">
        <f t="shared" si="9"/>
        <v>-5</v>
      </c>
      <c r="K128" s="42">
        <f t="shared" si="7"/>
        <v>-50</v>
      </c>
      <c r="L128" s="42"/>
      <c r="M128" s="44">
        <f t="shared" si="8"/>
        <v>0</v>
      </c>
    </row>
    <row r="129" spans="1:13">
      <c r="A129" s="63"/>
      <c r="G129" s="20"/>
      <c r="H129" s="42">
        <v>124</v>
      </c>
      <c r="I129" s="43" t="str">
        <f t="shared" si="6"/>
        <v/>
      </c>
      <c r="J129" s="42">
        <f t="shared" si="9"/>
        <v>-5</v>
      </c>
      <c r="K129" s="42">
        <f t="shared" si="7"/>
        <v>-50</v>
      </c>
      <c r="L129" s="42"/>
      <c r="M129" s="44">
        <f t="shared" si="8"/>
        <v>0</v>
      </c>
    </row>
    <row r="130" spans="1:13">
      <c r="A130" s="63"/>
      <c r="G130" s="20"/>
      <c r="H130" s="42">
        <v>125</v>
      </c>
      <c r="I130" s="43" t="str">
        <f t="shared" si="6"/>
        <v/>
      </c>
      <c r="J130" s="42">
        <f t="shared" si="9"/>
        <v>-5</v>
      </c>
      <c r="K130" s="42">
        <f t="shared" si="7"/>
        <v>-50</v>
      </c>
      <c r="L130" s="42"/>
      <c r="M130" s="44">
        <f t="shared" si="8"/>
        <v>0</v>
      </c>
    </row>
    <row r="131" spans="1:13">
      <c r="A131" s="63"/>
      <c r="G131" s="20"/>
      <c r="H131" s="42">
        <v>126</v>
      </c>
      <c r="I131" s="43" t="str">
        <f t="shared" si="6"/>
        <v/>
      </c>
      <c r="J131" s="42">
        <f t="shared" si="9"/>
        <v>-5</v>
      </c>
      <c r="K131" s="42">
        <f t="shared" si="7"/>
        <v>-50</v>
      </c>
      <c r="L131" s="42"/>
      <c r="M131" s="44">
        <f t="shared" si="8"/>
        <v>0</v>
      </c>
    </row>
    <row r="132" spans="1:13">
      <c r="A132" s="63"/>
      <c r="G132" s="20"/>
      <c r="H132" s="42">
        <v>127</v>
      </c>
      <c r="I132" s="43" t="str">
        <f t="shared" si="6"/>
        <v/>
      </c>
      <c r="J132" s="42">
        <f t="shared" si="9"/>
        <v>-5</v>
      </c>
      <c r="K132" s="42">
        <f t="shared" si="7"/>
        <v>-50</v>
      </c>
      <c r="L132" s="42"/>
      <c r="M132" s="44">
        <f t="shared" si="8"/>
        <v>0</v>
      </c>
    </row>
    <row r="133" spans="1:13">
      <c r="A133" s="63"/>
      <c r="G133" s="20"/>
      <c r="H133" s="42">
        <v>128</v>
      </c>
      <c r="I133" s="43" t="str">
        <f t="shared" si="6"/>
        <v/>
      </c>
      <c r="J133" s="42">
        <f t="shared" si="9"/>
        <v>-5</v>
      </c>
      <c r="K133" s="42">
        <f t="shared" si="7"/>
        <v>-50</v>
      </c>
      <c r="L133" s="42"/>
      <c r="M133" s="44">
        <f t="shared" si="8"/>
        <v>0</v>
      </c>
    </row>
    <row r="134" spans="1:13">
      <c r="A134" s="63"/>
      <c r="G134" s="20"/>
      <c r="H134" s="42">
        <v>129</v>
      </c>
      <c r="I134" s="43" t="str">
        <f t="shared" ref="I134:I197" si="10">IF(H134&lt;$H$2+1,($I$2-($I$2-1)*(LOG(H134)/LOG($H$2))),"")</f>
        <v/>
      </c>
      <c r="J134" s="42">
        <f t="shared" si="9"/>
        <v>-6</v>
      </c>
      <c r="K134" s="42">
        <f t="shared" ref="K134:K197" si="11">J134*$J$2</f>
        <v>-60</v>
      </c>
      <c r="L134" s="42"/>
      <c r="M134" s="44">
        <f t="shared" ref="M134:M197" si="12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0"/>
        <v/>
      </c>
      <c r="J135" s="42">
        <f t="shared" ref="J135:J188" si="13">INT(LOG($H$2,2))-ROUNDUP(LOG(H135,2),0)+IF(OR($H$2=1,$H$2=2,$H$2=4,$H$2=8,$H$2=16,$H$2=32,$H$2=64,$H$2=128,$H$2=256),0,1)</f>
        <v>-6</v>
      </c>
      <c r="K135" s="42">
        <f t="shared" si="11"/>
        <v>-60</v>
      </c>
      <c r="L135" s="42"/>
      <c r="M135" s="44">
        <f t="shared" si="12"/>
        <v>0</v>
      </c>
    </row>
    <row r="136" spans="1:13">
      <c r="A136" s="63"/>
      <c r="G136" s="20"/>
      <c r="H136" s="42">
        <v>131</v>
      </c>
      <c r="I136" s="43" t="str">
        <f t="shared" si="10"/>
        <v/>
      </c>
      <c r="J136" s="42">
        <f t="shared" si="13"/>
        <v>-6</v>
      </c>
      <c r="K136" s="42">
        <f t="shared" si="11"/>
        <v>-60</v>
      </c>
      <c r="L136" s="42"/>
      <c r="M136" s="44">
        <f t="shared" si="12"/>
        <v>0</v>
      </c>
    </row>
    <row r="137" spans="1:13">
      <c r="A137" s="63"/>
      <c r="G137" s="20"/>
      <c r="H137" s="42">
        <v>132</v>
      </c>
      <c r="I137" s="43" t="str">
        <f t="shared" si="10"/>
        <v/>
      </c>
      <c r="J137" s="42">
        <f t="shared" si="13"/>
        <v>-6</v>
      </c>
      <c r="K137" s="42">
        <f t="shared" si="11"/>
        <v>-60</v>
      </c>
      <c r="L137" s="42"/>
      <c r="M137" s="44">
        <f t="shared" si="12"/>
        <v>0</v>
      </c>
    </row>
    <row r="138" spans="1:13">
      <c r="A138" s="63"/>
      <c r="G138" s="20"/>
      <c r="H138" s="42">
        <v>133</v>
      </c>
      <c r="I138" s="43" t="str">
        <f t="shared" si="10"/>
        <v/>
      </c>
      <c r="J138" s="42">
        <f t="shared" si="13"/>
        <v>-6</v>
      </c>
      <c r="K138" s="42">
        <f t="shared" si="11"/>
        <v>-60</v>
      </c>
      <c r="L138" s="42"/>
      <c r="M138" s="44">
        <f t="shared" si="12"/>
        <v>0</v>
      </c>
    </row>
    <row r="139" spans="1:13">
      <c r="A139" s="63"/>
      <c r="G139" s="20"/>
      <c r="H139" s="42">
        <v>134</v>
      </c>
      <c r="I139" s="43" t="str">
        <f t="shared" si="10"/>
        <v/>
      </c>
      <c r="J139" s="42">
        <f t="shared" si="13"/>
        <v>-6</v>
      </c>
      <c r="K139" s="42">
        <f t="shared" si="11"/>
        <v>-60</v>
      </c>
      <c r="L139" s="42"/>
      <c r="M139" s="44">
        <f t="shared" si="12"/>
        <v>0</v>
      </c>
    </row>
    <row r="140" spans="1:13">
      <c r="A140" s="63"/>
      <c r="G140" s="20"/>
      <c r="H140" s="42">
        <v>135</v>
      </c>
      <c r="I140" s="43" t="str">
        <f t="shared" si="10"/>
        <v/>
      </c>
      <c r="J140" s="42">
        <f t="shared" si="13"/>
        <v>-6</v>
      </c>
      <c r="K140" s="42">
        <f t="shared" si="11"/>
        <v>-60</v>
      </c>
      <c r="L140" s="42"/>
      <c r="M140" s="44">
        <f t="shared" si="12"/>
        <v>0</v>
      </c>
    </row>
    <row r="141" spans="1:13">
      <c r="A141" s="63"/>
      <c r="G141" s="20"/>
      <c r="H141" s="42">
        <v>136</v>
      </c>
      <c r="I141" s="43" t="str">
        <f t="shared" si="10"/>
        <v/>
      </c>
      <c r="J141" s="42">
        <f t="shared" si="13"/>
        <v>-6</v>
      </c>
      <c r="K141" s="42">
        <f t="shared" si="11"/>
        <v>-60</v>
      </c>
      <c r="L141" s="42"/>
      <c r="M141" s="44">
        <f t="shared" si="12"/>
        <v>0</v>
      </c>
    </row>
    <row r="142" spans="1:13">
      <c r="A142" s="63"/>
      <c r="G142" s="20"/>
      <c r="H142" s="42">
        <v>137</v>
      </c>
      <c r="I142" s="43" t="str">
        <f t="shared" si="10"/>
        <v/>
      </c>
      <c r="J142" s="42">
        <f t="shared" si="13"/>
        <v>-6</v>
      </c>
      <c r="K142" s="42">
        <f t="shared" si="11"/>
        <v>-60</v>
      </c>
      <c r="L142" s="42"/>
      <c r="M142" s="44">
        <f t="shared" si="12"/>
        <v>0</v>
      </c>
    </row>
    <row r="143" spans="1:13">
      <c r="A143" s="63"/>
      <c r="G143" s="20"/>
      <c r="H143" s="42">
        <v>138</v>
      </c>
      <c r="I143" s="43" t="str">
        <f t="shared" si="10"/>
        <v/>
      </c>
      <c r="J143" s="42">
        <f t="shared" si="13"/>
        <v>-6</v>
      </c>
      <c r="K143" s="42">
        <f t="shared" si="11"/>
        <v>-60</v>
      </c>
      <c r="L143" s="42"/>
      <c r="M143" s="44">
        <f t="shared" si="12"/>
        <v>0</v>
      </c>
    </row>
    <row r="144" spans="1:13">
      <c r="A144" s="63"/>
      <c r="G144" s="20"/>
      <c r="H144" s="42">
        <v>139</v>
      </c>
      <c r="I144" s="43" t="str">
        <f t="shared" si="10"/>
        <v/>
      </c>
      <c r="J144" s="42">
        <f t="shared" si="13"/>
        <v>-6</v>
      </c>
      <c r="K144" s="42">
        <f t="shared" si="11"/>
        <v>-60</v>
      </c>
      <c r="L144" s="42"/>
      <c r="M144" s="44">
        <f t="shared" si="12"/>
        <v>0</v>
      </c>
    </row>
    <row r="145" spans="1:13">
      <c r="A145" s="63"/>
      <c r="G145" s="20"/>
      <c r="H145" s="42">
        <v>140</v>
      </c>
      <c r="I145" s="43" t="str">
        <f t="shared" si="10"/>
        <v/>
      </c>
      <c r="J145" s="42">
        <f t="shared" si="13"/>
        <v>-6</v>
      </c>
      <c r="K145" s="42">
        <f t="shared" si="11"/>
        <v>-60</v>
      </c>
      <c r="L145" s="42"/>
      <c r="M145" s="44">
        <f t="shared" si="12"/>
        <v>0</v>
      </c>
    </row>
    <row r="146" spans="1:13">
      <c r="A146" s="63"/>
      <c r="G146" s="20"/>
      <c r="H146" s="42">
        <v>141</v>
      </c>
      <c r="I146" s="43" t="str">
        <f t="shared" si="10"/>
        <v/>
      </c>
      <c r="J146" s="42">
        <f t="shared" si="13"/>
        <v>-6</v>
      </c>
      <c r="K146" s="42">
        <f t="shared" si="11"/>
        <v>-60</v>
      </c>
      <c r="L146" s="42"/>
      <c r="M146" s="44">
        <f t="shared" si="12"/>
        <v>0</v>
      </c>
    </row>
    <row r="147" spans="1:13">
      <c r="A147" s="63"/>
      <c r="G147" s="20"/>
      <c r="H147" s="42">
        <v>142</v>
      </c>
      <c r="I147" s="43" t="str">
        <f t="shared" si="10"/>
        <v/>
      </c>
      <c r="J147" s="42">
        <f t="shared" si="13"/>
        <v>-6</v>
      </c>
      <c r="K147" s="42">
        <f t="shared" si="11"/>
        <v>-60</v>
      </c>
      <c r="L147" s="42"/>
      <c r="M147" s="44">
        <f t="shared" si="12"/>
        <v>0</v>
      </c>
    </row>
    <row r="148" spans="1:13">
      <c r="A148" s="63"/>
      <c r="G148" s="20"/>
      <c r="H148" s="42">
        <v>143</v>
      </c>
      <c r="I148" s="43" t="str">
        <f t="shared" si="10"/>
        <v/>
      </c>
      <c r="J148" s="42">
        <f t="shared" si="13"/>
        <v>-6</v>
      </c>
      <c r="K148" s="42">
        <f t="shared" si="11"/>
        <v>-60</v>
      </c>
      <c r="L148" s="42"/>
      <c r="M148" s="44">
        <f t="shared" si="12"/>
        <v>0</v>
      </c>
    </row>
    <row r="149" spans="1:13">
      <c r="A149" s="63"/>
      <c r="G149" s="20"/>
      <c r="H149" s="42">
        <v>144</v>
      </c>
      <c r="I149" s="43" t="str">
        <f t="shared" si="10"/>
        <v/>
      </c>
      <c r="J149" s="42">
        <f t="shared" si="13"/>
        <v>-6</v>
      </c>
      <c r="K149" s="42">
        <f t="shared" si="11"/>
        <v>-60</v>
      </c>
      <c r="L149" s="42"/>
      <c r="M149" s="44">
        <f t="shared" si="12"/>
        <v>0</v>
      </c>
    </row>
    <row r="150" spans="1:13">
      <c r="A150" s="63"/>
      <c r="G150" s="20"/>
      <c r="H150" s="42">
        <v>145</v>
      </c>
      <c r="I150" s="43" t="str">
        <f t="shared" si="10"/>
        <v/>
      </c>
      <c r="J150" s="42">
        <f t="shared" si="13"/>
        <v>-6</v>
      </c>
      <c r="K150" s="42">
        <f t="shared" si="11"/>
        <v>-60</v>
      </c>
      <c r="L150" s="42"/>
      <c r="M150" s="44">
        <f t="shared" si="12"/>
        <v>0</v>
      </c>
    </row>
    <row r="151" spans="1:13">
      <c r="A151" s="63"/>
      <c r="G151" s="20"/>
      <c r="H151" s="42">
        <v>146</v>
      </c>
      <c r="I151" s="43" t="str">
        <f t="shared" si="10"/>
        <v/>
      </c>
      <c r="J151" s="42">
        <f t="shared" si="13"/>
        <v>-6</v>
      </c>
      <c r="K151" s="42">
        <f t="shared" si="11"/>
        <v>-60</v>
      </c>
      <c r="L151" s="42"/>
      <c r="M151" s="44">
        <f t="shared" si="12"/>
        <v>0</v>
      </c>
    </row>
    <row r="152" spans="1:13">
      <c r="A152" s="63"/>
      <c r="G152" s="20"/>
      <c r="H152" s="42">
        <v>147</v>
      </c>
      <c r="I152" s="43" t="str">
        <f t="shared" si="10"/>
        <v/>
      </c>
      <c r="J152" s="42">
        <f t="shared" si="13"/>
        <v>-6</v>
      </c>
      <c r="K152" s="42">
        <f t="shared" si="11"/>
        <v>-60</v>
      </c>
      <c r="L152" s="42"/>
      <c r="M152" s="44">
        <f t="shared" si="12"/>
        <v>0</v>
      </c>
    </row>
    <row r="153" spans="1:13">
      <c r="A153" s="63"/>
      <c r="G153" s="20"/>
      <c r="H153" s="42">
        <v>148</v>
      </c>
      <c r="I153" s="43" t="str">
        <f t="shared" si="10"/>
        <v/>
      </c>
      <c r="J153" s="42">
        <f t="shared" si="13"/>
        <v>-6</v>
      </c>
      <c r="K153" s="42">
        <f t="shared" si="11"/>
        <v>-60</v>
      </c>
      <c r="L153" s="42"/>
      <c r="M153" s="44">
        <f t="shared" si="12"/>
        <v>0</v>
      </c>
    </row>
    <row r="154" spans="1:13">
      <c r="A154" s="63"/>
      <c r="G154" s="20"/>
      <c r="H154" s="42">
        <v>149</v>
      </c>
      <c r="I154" s="43" t="str">
        <f t="shared" si="10"/>
        <v/>
      </c>
      <c r="J154" s="42">
        <f t="shared" si="13"/>
        <v>-6</v>
      </c>
      <c r="K154" s="42">
        <f t="shared" si="11"/>
        <v>-60</v>
      </c>
      <c r="L154" s="42"/>
      <c r="M154" s="44">
        <f t="shared" si="12"/>
        <v>0</v>
      </c>
    </row>
    <row r="155" spans="1:13">
      <c r="A155" s="63"/>
      <c r="G155" s="20"/>
      <c r="H155" s="42">
        <v>150</v>
      </c>
      <c r="I155" s="43" t="str">
        <f t="shared" si="10"/>
        <v/>
      </c>
      <c r="J155" s="42">
        <f t="shared" si="13"/>
        <v>-6</v>
      </c>
      <c r="K155" s="42">
        <f t="shared" si="11"/>
        <v>-60</v>
      </c>
      <c r="L155" s="42"/>
      <c r="M155" s="44">
        <f t="shared" si="12"/>
        <v>0</v>
      </c>
    </row>
    <row r="156" spans="1:13">
      <c r="A156" s="63"/>
      <c r="G156" s="20"/>
      <c r="H156" s="42">
        <v>151</v>
      </c>
      <c r="I156" s="43" t="str">
        <f t="shared" si="10"/>
        <v/>
      </c>
      <c r="J156" s="42">
        <f t="shared" si="13"/>
        <v>-6</v>
      </c>
      <c r="K156" s="42">
        <f t="shared" si="11"/>
        <v>-60</v>
      </c>
      <c r="L156" s="42"/>
      <c r="M156" s="44">
        <f t="shared" si="12"/>
        <v>0</v>
      </c>
    </row>
    <row r="157" spans="1:13">
      <c r="A157" s="63"/>
      <c r="G157" s="20"/>
      <c r="H157" s="42">
        <v>152</v>
      </c>
      <c r="I157" s="43" t="str">
        <f t="shared" si="10"/>
        <v/>
      </c>
      <c r="J157" s="42">
        <f t="shared" si="13"/>
        <v>-6</v>
      </c>
      <c r="K157" s="42">
        <f t="shared" si="11"/>
        <v>-60</v>
      </c>
      <c r="L157" s="42"/>
      <c r="M157" s="44">
        <f t="shared" si="12"/>
        <v>0</v>
      </c>
    </row>
    <row r="158" spans="1:13">
      <c r="A158" s="63"/>
      <c r="G158" s="20"/>
      <c r="H158" s="42">
        <v>153</v>
      </c>
      <c r="I158" s="43" t="str">
        <f t="shared" si="10"/>
        <v/>
      </c>
      <c r="J158" s="42">
        <f t="shared" si="13"/>
        <v>-6</v>
      </c>
      <c r="K158" s="42">
        <f t="shared" si="11"/>
        <v>-60</v>
      </c>
      <c r="L158" s="42"/>
      <c r="M158" s="44">
        <f t="shared" si="12"/>
        <v>0</v>
      </c>
    </row>
    <row r="159" spans="1:13">
      <c r="A159" s="63"/>
      <c r="G159" s="20"/>
      <c r="H159" s="42">
        <v>154</v>
      </c>
      <c r="I159" s="43" t="str">
        <f t="shared" si="10"/>
        <v/>
      </c>
      <c r="J159" s="42">
        <f t="shared" si="13"/>
        <v>-6</v>
      </c>
      <c r="K159" s="42">
        <f t="shared" si="11"/>
        <v>-60</v>
      </c>
      <c r="L159" s="42"/>
      <c r="M159" s="44">
        <f t="shared" si="12"/>
        <v>0</v>
      </c>
    </row>
    <row r="160" spans="1:13">
      <c r="A160" s="63"/>
      <c r="G160" s="20"/>
      <c r="H160" s="42">
        <v>155</v>
      </c>
      <c r="I160" s="43" t="str">
        <f t="shared" si="10"/>
        <v/>
      </c>
      <c r="J160" s="42">
        <f t="shared" si="13"/>
        <v>-6</v>
      </c>
      <c r="K160" s="42">
        <f t="shared" si="11"/>
        <v>-60</v>
      </c>
      <c r="L160" s="42"/>
      <c r="M160" s="44">
        <f t="shared" si="12"/>
        <v>0</v>
      </c>
    </row>
    <row r="161" spans="1:13">
      <c r="A161" s="63"/>
      <c r="G161" s="20"/>
      <c r="H161" s="42">
        <v>156</v>
      </c>
      <c r="I161" s="43" t="str">
        <f t="shared" si="10"/>
        <v/>
      </c>
      <c r="J161" s="42">
        <f t="shared" si="13"/>
        <v>-6</v>
      </c>
      <c r="K161" s="42">
        <f t="shared" si="11"/>
        <v>-60</v>
      </c>
      <c r="L161" s="42"/>
      <c r="M161" s="44">
        <f t="shared" si="12"/>
        <v>0</v>
      </c>
    </row>
    <row r="162" spans="1:13">
      <c r="A162" s="63"/>
      <c r="G162" s="20"/>
      <c r="H162" s="42">
        <v>157</v>
      </c>
      <c r="I162" s="43" t="str">
        <f t="shared" si="10"/>
        <v/>
      </c>
      <c r="J162" s="42">
        <f t="shared" si="13"/>
        <v>-6</v>
      </c>
      <c r="K162" s="42">
        <f t="shared" si="11"/>
        <v>-60</v>
      </c>
      <c r="L162" s="42"/>
      <c r="M162" s="44">
        <f t="shared" si="12"/>
        <v>0</v>
      </c>
    </row>
    <row r="163" spans="1:13">
      <c r="A163" s="63"/>
      <c r="G163" s="20"/>
      <c r="H163" s="42">
        <v>158</v>
      </c>
      <c r="I163" s="43" t="str">
        <f t="shared" si="10"/>
        <v/>
      </c>
      <c r="J163" s="42">
        <f t="shared" si="13"/>
        <v>-6</v>
      </c>
      <c r="K163" s="42">
        <f t="shared" si="11"/>
        <v>-60</v>
      </c>
      <c r="L163" s="42"/>
      <c r="M163" s="44">
        <f t="shared" si="12"/>
        <v>0</v>
      </c>
    </row>
    <row r="164" spans="1:13">
      <c r="A164" s="63"/>
      <c r="G164" s="20"/>
      <c r="H164" s="42">
        <v>159</v>
      </c>
      <c r="I164" s="43" t="str">
        <f t="shared" si="10"/>
        <v/>
      </c>
      <c r="J164" s="42">
        <f t="shared" si="13"/>
        <v>-6</v>
      </c>
      <c r="K164" s="42">
        <f t="shared" si="11"/>
        <v>-60</v>
      </c>
      <c r="L164" s="42"/>
      <c r="M164" s="44">
        <f t="shared" si="12"/>
        <v>0</v>
      </c>
    </row>
    <row r="165" spans="1:13">
      <c r="A165" s="63"/>
      <c r="G165" s="20"/>
      <c r="H165" s="42">
        <v>160</v>
      </c>
      <c r="I165" s="43" t="str">
        <f t="shared" si="10"/>
        <v/>
      </c>
      <c r="J165" s="42">
        <f t="shared" si="13"/>
        <v>-6</v>
      </c>
      <c r="K165" s="42">
        <f t="shared" si="11"/>
        <v>-60</v>
      </c>
      <c r="L165" s="42"/>
      <c r="M165" s="44">
        <f t="shared" si="12"/>
        <v>0</v>
      </c>
    </row>
    <row r="166" spans="1:13">
      <c r="A166" s="63"/>
      <c r="G166" s="20"/>
      <c r="H166" s="42">
        <v>161</v>
      </c>
      <c r="I166" s="43" t="str">
        <f t="shared" si="10"/>
        <v/>
      </c>
      <c r="J166" s="42">
        <f t="shared" si="13"/>
        <v>-6</v>
      </c>
      <c r="K166" s="42">
        <f t="shared" si="11"/>
        <v>-60</v>
      </c>
      <c r="L166" s="42"/>
      <c r="M166" s="44">
        <f t="shared" si="12"/>
        <v>0</v>
      </c>
    </row>
    <row r="167" spans="1:13">
      <c r="A167" s="63"/>
      <c r="G167" s="20"/>
      <c r="H167" s="42">
        <v>162</v>
      </c>
      <c r="I167" s="43" t="str">
        <f t="shared" si="10"/>
        <v/>
      </c>
      <c r="J167" s="42">
        <f t="shared" si="13"/>
        <v>-6</v>
      </c>
      <c r="K167" s="42">
        <f t="shared" si="11"/>
        <v>-60</v>
      </c>
      <c r="L167" s="42"/>
      <c r="M167" s="44">
        <f t="shared" si="12"/>
        <v>0</v>
      </c>
    </row>
    <row r="168" spans="1:13">
      <c r="A168" s="63"/>
      <c r="G168" s="20"/>
      <c r="H168" s="42">
        <v>163</v>
      </c>
      <c r="I168" s="43" t="str">
        <f t="shared" si="10"/>
        <v/>
      </c>
      <c r="J168" s="42">
        <f t="shared" si="13"/>
        <v>-6</v>
      </c>
      <c r="K168" s="42">
        <f t="shared" si="11"/>
        <v>-60</v>
      </c>
      <c r="L168" s="42"/>
      <c r="M168" s="44">
        <f t="shared" si="12"/>
        <v>0</v>
      </c>
    </row>
    <row r="169" spans="1:13">
      <c r="A169" s="63"/>
      <c r="G169" s="20"/>
      <c r="H169" s="42">
        <v>164</v>
      </c>
      <c r="I169" s="43" t="str">
        <f t="shared" si="10"/>
        <v/>
      </c>
      <c r="J169" s="42">
        <f t="shared" si="13"/>
        <v>-6</v>
      </c>
      <c r="K169" s="42">
        <f t="shared" si="11"/>
        <v>-60</v>
      </c>
      <c r="L169" s="42"/>
      <c r="M169" s="44">
        <f t="shared" si="12"/>
        <v>0</v>
      </c>
    </row>
    <row r="170" spans="1:13">
      <c r="A170" s="63"/>
      <c r="G170" s="20"/>
      <c r="H170" s="42">
        <v>165</v>
      </c>
      <c r="I170" s="43" t="str">
        <f t="shared" si="10"/>
        <v/>
      </c>
      <c r="J170" s="42">
        <f t="shared" si="13"/>
        <v>-6</v>
      </c>
      <c r="K170" s="42">
        <f t="shared" si="11"/>
        <v>-60</v>
      </c>
      <c r="L170" s="42"/>
      <c r="M170" s="44">
        <f t="shared" si="12"/>
        <v>0</v>
      </c>
    </row>
    <row r="171" spans="1:13">
      <c r="A171" s="63"/>
      <c r="G171" s="20"/>
      <c r="H171" s="42">
        <v>166</v>
      </c>
      <c r="I171" s="43" t="str">
        <f t="shared" si="10"/>
        <v/>
      </c>
      <c r="J171" s="42">
        <f t="shared" si="13"/>
        <v>-6</v>
      </c>
      <c r="K171" s="42">
        <f t="shared" si="11"/>
        <v>-60</v>
      </c>
      <c r="L171" s="42"/>
      <c r="M171" s="44">
        <f t="shared" si="12"/>
        <v>0</v>
      </c>
    </row>
    <row r="172" spans="1:13">
      <c r="A172" s="63"/>
      <c r="G172" s="20"/>
      <c r="H172" s="42">
        <v>167</v>
      </c>
      <c r="I172" s="43" t="str">
        <f t="shared" si="10"/>
        <v/>
      </c>
      <c r="J172" s="42">
        <f t="shared" si="13"/>
        <v>-6</v>
      </c>
      <c r="K172" s="42">
        <f t="shared" si="11"/>
        <v>-60</v>
      </c>
      <c r="L172" s="42"/>
      <c r="M172" s="44">
        <f t="shared" si="12"/>
        <v>0</v>
      </c>
    </row>
    <row r="173" spans="1:13">
      <c r="A173" s="63"/>
      <c r="G173" s="20"/>
      <c r="H173" s="42">
        <v>168</v>
      </c>
      <c r="I173" s="43" t="str">
        <f t="shared" si="10"/>
        <v/>
      </c>
      <c r="J173" s="42">
        <f t="shared" si="13"/>
        <v>-6</v>
      </c>
      <c r="K173" s="42">
        <f t="shared" si="11"/>
        <v>-60</v>
      </c>
      <c r="L173" s="42"/>
      <c r="M173" s="44">
        <f t="shared" si="12"/>
        <v>0</v>
      </c>
    </row>
    <row r="174" spans="1:13">
      <c r="A174" s="63"/>
      <c r="G174" s="20"/>
      <c r="H174" s="42">
        <v>169</v>
      </c>
      <c r="I174" s="43" t="str">
        <f t="shared" si="10"/>
        <v/>
      </c>
      <c r="J174" s="42">
        <f t="shared" si="13"/>
        <v>-6</v>
      </c>
      <c r="K174" s="42">
        <f t="shared" si="11"/>
        <v>-60</v>
      </c>
      <c r="L174" s="42"/>
      <c r="M174" s="44">
        <f t="shared" si="12"/>
        <v>0</v>
      </c>
    </row>
    <row r="175" spans="1:13">
      <c r="A175" s="63"/>
      <c r="G175" s="20"/>
      <c r="H175" s="42">
        <v>170</v>
      </c>
      <c r="I175" s="43" t="str">
        <f t="shared" si="10"/>
        <v/>
      </c>
      <c r="J175" s="42">
        <f t="shared" si="13"/>
        <v>-6</v>
      </c>
      <c r="K175" s="42">
        <f t="shared" si="11"/>
        <v>-60</v>
      </c>
      <c r="L175" s="42"/>
      <c r="M175" s="44">
        <f t="shared" si="12"/>
        <v>0</v>
      </c>
    </row>
    <row r="176" spans="1:13">
      <c r="A176" s="63"/>
      <c r="G176" s="20"/>
      <c r="H176" s="42">
        <v>171</v>
      </c>
      <c r="I176" s="43" t="str">
        <f t="shared" si="10"/>
        <v/>
      </c>
      <c r="J176" s="42">
        <f t="shared" si="13"/>
        <v>-6</v>
      </c>
      <c r="K176" s="42">
        <f t="shared" si="11"/>
        <v>-60</v>
      </c>
      <c r="L176" s="42"/>
      <c r="M176" s="44">
        <f t="shared" si="12"/>
        <v>0</v>
      </c>
    </row>
    <row r="177" spans="1:13">
      <c r="A177" s="63"/>
      <c r="G177" s="20"/>
      <c r="H177" s="42">
        <v>172</v>
      </c>
      <c r="I177" s="43" t="str">
        <f t="shared" si="10"/>
        <v/>
      </c>
      <c r="J177" s="42">
        <f t="shared" si="13"/>
        <v>-6</v>
      </c>
      <c r="K177" s="42">
        <f t="shared" si="11"/>
        <v>-60</v>
      </c>
      <c r="L177" s="42"/>
      <c r="M177" s="44">
        <f t="shared" si="12"/>
        <v>0</v>
      </c>
    </row>
    <row r="178" spans="1:13">
      <c r="A178" s="63"/>
      <c r="G178" s="20"/>
      <c r="H178" s="42">
        <v>173</v>
      </c>
      <c r="I178" s="43" t="str">
        <f t="shared" si="10"/>
        <v/>
      </c>
      <c r="J178" s="42">
        <f t="shared" si="13"/>
        <v>-6</v>
      </c>
      <c r="K178" s="42">
        <f t="shared" si="11"/>
        <v>-60</v>
      </c>
      <c r="L178" s="42"/>
      <c r="M178" s="44">
        <f t="shared" si="12"/>
        <v>0</v>
      </c>
    </row>
    <row r="179" spans="1:13">
      <c r="A179" s="63"/>
      <c r="G179" s="20"/>
      <c r="H179" s="42">
        <v>174</v>
      </c>
      <c r="I179" s="43" t="str">
        <f t="shared" si="10"/>
        <v/>
      </c>
      <c r="J179" s="42">
        <f t="shared" si="13"/>
        <v>-6</v>
      </c>
      <c r="K179" s="42">
        <f t="shared" si="11"/>
        <v>-60</v>
      </c>
      <c r="L179" s="42"/>
      <c r="M179" s="44">
        <f t="shared" si="12"/>
        <v>0</v>
      </c>
    </row>
    <row r="180" spans="1:13">
      <c r="A180" s="63"/>
      <c r="G180" s="20"/>
      <c r="H180" s="42">
        <v>175</v>
      </c>
      <c r="I180" s="43" t="str">
        <f t="shared" si="10"/>
        <v/>
      </c>
      <c r="J180" s="42">
        <f t="shared" si="13"/>
        <v>-6</v>
      </c>
      <c r="K180" s="42">
        <f t="shared" si="11"/>
        <v>-60</v>
      </c>
      <c r="L180" s="42"/>
      <c r="M180" s="44">
        <f t="shared" si="12"/>
        <v>0</v>
      </c>
    </row>
    <row r="181" spans="1:13">
      <c r="A181" s="63"/>
      <c r="G181" s="20"/>
      <c r="H181" s="42">
        <v>176</v>
      </c>
      <c r="I181" s="43" t="str">
        <f t="shared" si="10"/>
        <v/>
      </c>
      <c r="J181" s="42">
        <f t="shared" si="13"/>
        <v>-6</v>
      </c>
      <c r="K181" s="42">
        <f t="shared" si="11"/>
        <v>-60</v>
      </c>
      <c r="L181" s="42"/>
      <c r="M181" s="44">
        <f t="shared" si="12"/>
        <v>0</v>
      </c>
    </row>
    <row r="182" spans="1:13">
      <c r="A182" s="63"/>
      <c r="G182" s="20"/>
      <c r="H182" s="42">
        <v>177</v>
      </c>
      <c r="I182" s="43" t="str">
        <f t="shared" si="10"/>
        <v/>
      </c>
      <c r="J182" s="42">
        <f t="shared" si="13"/>
        <v>-6</v>
      </c>
      <c r="K182" s="42">
        <f t="shared" si="11"/>
        <v>-60</v>
      </c>
      <c r="L182" s="42"/>
      <c r="M182" s="44">
        <f t="shared" si="12"/>
        <v>0</v>
      </c>
    </row>
    <row r="183" spans="1:13">
      <c r="A183" s="63"/>
      <c r="G183" s="20"/>
      <c r="H183" s="42">
        <v>178</v>
      </c>
      <c r="I183" s="43" t="str">
        <f t="shared" si="10"/>
        <v/>
      </c>
      <c r="J183" s="42">
        <f t="shared" si="13"/>
        <v>-6</v>
      </c>
      <c r="K183" s="42">
        <f t="shared" si="11"/>
        <v>-60</v>
      </c>
      <c r="L183" s="42"/>
      <c r="M183" s="44">
        <f t="shared" si="12"/>
        <v>0</v>
      </c>
    </row>
    <row r="184" spans="1:13">
      <c r="A184" s="63"/>
      <c r="G184" s="20"/>
      <c r="H184" s="42">
        <v>179</v>
      </c>
      <c r="I184" s="43" t="str">
        <f t="shared" si="10"/>
        <v/>
      </c>
      <c r="J184" s="42">
        <f t="shared" si="13"/>
        <v>-6</v>
      </c>
      <c r="K184" s="42">
        <f t="shared" si="11"/>
        <v>-60</v>
      </c>
      <c r="L184" s="42"/>
      <c r="M184" s="44">
        <f t="shared" si="12"/>
        <v>0</v>
      </c>
    </row>
    <row r="185" spans="1:13">
      <c r="A185" s="63"/>
      <c r="G185" s="20"/>
      <c r="H185" s="42">
        <v>180</v>
      </c>
      <c r="I185" s="43" t="str">
        <f t="shared" si="10"/>
        <v/>
      </c>
      <c r="J185" s="42">
        <f t="shared" si="13"/>
        <v>-6</v>
      </c>
      <c r="K185" s="42">
        <f t="shared" si="11"/>
        <v>-60</v>
      </c>
      <c r="L185" s="42"/>
      <c r="M185" s="44">
        <f t="shared" si="12"/>
        <v>0</v>
      </c>
    </row>
    <row r="186" spans="1:13">
      <c r="A186" s="63"/>
      <c r="G186" s="20"/>
      <c r="H186" s="42">
        <v>181</v>
      </c>
      <c r="I186" s="43" t="str">
        <f t="shared" si="10"/>
        <v/>
      </c>
      <c r="J186" s="42">
        <f t="shared" si="13"/>
        <v>-6</v>
      </c>
      <c r="K186" s="42">
        <f t="shared" si="11"/>
        <v>-60</v>
      </c>
      <c r="L186" s="42"/>
      <c r="M186" s="44">
        <f t="shared" si="12"/>
        <v>0</v>
      </c>
    </row>
    <row r="187" spans="1:13">
      <c r="A187" s="63"/>
      <c r="G187" s="20"/>
      <c r="H187" s="42">
        <v>182</v>
      </c>
      <c r="I187" s="43" t="str">
        <f t="shared" si="10"/>
        <v/>
      </c>
      <c r="J187" s="42">
        <f t="shared" si="13"/>
        <v>-6</v>
      </c>
      <c r="K187" s="42">
        <f t="shared" si="11"/>
        <v>-60</v>
      </c>
      <c r="L187" s="42"/>
      <c r="M187" s="44">
        <f t="shared" si="12"/>
        <v>0</v>
      </c>
    </row>
    <row r="188" spans="1:13">
      <c r="A188" s="63"/>
      <c r="G188" s="20"/>
      <c r="H188" s="42">
        <v>183</v>
      </c>
      <c r="I188" s="43" t="str">
        <f t="shared" si="10"/>
        <v/>
      </c>
      <c r="J188" s="42">
        <f t="shared" si="13"/>
        <v>-6</v>
      </c>
      <c r="K188" s="42">
        <f t="shared" si="11"/>
        <v>-60</v>
      </c>
      <c r="L188" s="42"/>
      <c r="M188" s="44">
        <f t="shared" si="12"/>
        <v>0</v>
      </c>
    </row>
    <row r="189" spans="1:13">
      <c r="A189" s="63"/>
      <c r="G189" s="20"/>
      <c r="H189" s="42">
        <v>184</v>
      </c>
      <c r="I189" s="43" t="str">
        <f t="shared" si="10"/>
        <v/>
      </c>
      <c r="J189" s="42">
        <f t="shared" ref="J189:J198" si="14">INT(LOG($H$2,2))  - ROUNDUP(LOG(H189,2),0) + IF(MOD($H$2,2)=0,0,1)</f>
        <v>-6</v>
      </c>
      <c r="K189" s="42">
        <f t="shared" si="11"/>
        <v>-60</v>
      </c>
      <c r="L189" s="42"/>
      <c r="M189" s="44">
        <f t="shared" si="12"/>
        <v>0</v>
      </c>
    </row>
    <row r="190" spans="1:13">
      <c r="A190" s="63"/>
      <c r="G190" s="20"/>
      <c r="H190" s="42">
        <v>185</v>
      </c>
      <c r="I190" s="43" t="str">
        <f t="shared" si="10"/>
        <v/>
      </c>
      <c r="J190" s="42">
        <f t="shared" si="14"/>
        <v>-6</v>
      </c>
      <c r="K190" s="42">
        <f t="shared" si="11"/>
        <v>-60</v>
      </c>
      <c r="L190" s="42"/>
      <c r="M190" s="44">
        <f t="shared" si="12"/>
        <v>0</v>
      </c>
    </row>
    <row r="191" spans="1:13">
      <c r="A191" s="63"/>
      <c r="G191" s="20"/>
      <c r="H191" s="42">
        <v>186</v>
      </c>
      <c r="I191" s="43" t="str">
        <f t="shared" si="10"/>
        <v/>
      </c>
      <c r="J191" s="42">
        <f t="shared" si="14"/>
        <v>-6</v>
      </c>
      <c r="K191" s="42">
        <f t="shared" si="11"/>
        <v>-60</v>
      </c>
      <c r="L191" s="42"/>
      <c r="M191" s="44">
        <f t="shared" si="12"/>
        <v>0</v>
      </c>
    </row>
    <row r="192" spans="1:13">
      <c r="A192" s="63"/>
      <c r="G192" s="20"/>
      <c r="H192" s="42">
        <v>187</v>
      </c>
      <c r="I192" s="43" t="str">
        <f t="shared" si="10"/>
        <v/>
      </c>
      <c r="J192" s="42">
        <f t="shared" si="14"/>
        <v>-6</v>
      </c>
      <c r="K192" s="42">
        <f t="shared" si="11"/>
        <v>-60</v>
      </c>
      <c r="L192" s="42"/>
      <c r="M192" s="44">
        <f t="shared" si="12"/>
        <v>0</v>
      </c>
    </row>
    <row r="193" spans="1:13">
      <c r="A193" s="63"/>
      <c r="G193" s="20"/>
      <c r="H193" s="42">
        <v>188</v>
      </c>
      <c r="I193" s="43" t="str">
        <f t="shared" si="10"/>
        <v/>
      </c>
      <c r="J193" s="42">
        <f t="shared" si="14"/>
        <v>-6</v>
      </c>
      <c r="K193" s="42">
        <f t="shared" si="11"/>
        <v>-60</v>
      </c>
      <c r="L193" s="42"/>
      <c r="M193" s="44">
        <f t="shared" si="12"/>
        <v>0</v>
      </c>
    </row>
    <row r="194" spans="1:13">
      <c r="A194" s="63"/>
      <c r="G194" s="20"/>
      <c r="H194" s="42">
        <v>189</v>
      </c>
      <c r="I194" s="43" t="str">
        <f t="shared" si="10"/>
        <v/>
      </c>
      <c r="J194" s="42">
        <f t="shared" si="14"/>
        <v>-6</v>
      </c>
      <c r="K194" s="42">
        <f t="shared" si="11"/>
        <v>-60</v>
      </c>
      <c r="L194" s="42"/>
      <c r="M194" s="44">
        <f t="shared" si="12"/>
        <v>0</v>
      </c>
    </row>
    <row r="195" spans="1:13">
      <c r="A195" s="63"/>
      <c r="G195" s="20"/>
      <c r="H195" s="42">
        <v>190</v>
      </c>
      <c r="I195" s="43" t="str">
        <f t="shared" si="10"/>
        <v/>
      </c>
      <c r="J195" s="42">
        <f t="shared" si="14"/>
        <v>-6</v>
      </c>
      <c r="K195" s="42">
        <f t="shared" si="11"/>
        <v>-60</v>
      </c>
      <c r="L195" s="42"/>
      <c r="M195" s="44">
        <f t="shared" si="12"/>
        <v>0</v>
      </c>
    </row>
    <row r="196" spans="1:13">
      <c r="A196" s="63"/>
      <c r="G196" s="20"/>
      <c r="H196" s="42">
        <v>191</v>
      </c>
      <c r="I196" s="43" t="str">
        <f t="shared" si="10"/>
        <v/>
      </c>
      <c r="J196" s="42">
        <f t="shared" si="14"/>
        <v>-6</v>
      </c>
      <c r="K196" s="42">
        <f t="shared" si="11"/>
        <v>-60</v>
      </c>
      <c r="L196" s="42"/>
      <c r="M196" s="44">
        <f t="shared" si="12"/>
        <v>0</v>
      </c>
    </row>
    <row r="197" spans="1:13">
      <c r="A197" s="63"/>
      <c r="G197" s="20"/>
      <c r="H197" s="42">
        <v>192</v>
      </c>
      <c r="I197" s="43" t="str">
        <f t="shared" si="10"/>
        <v/>
      </c>
      <c r="J197" s="42">
        <f t="shared" si="14"/>
        <v>-6</v>
      </c>
      <c r="K197" s="42">
        <f t="shared" si="11"/>
        <v>-60</v>
      </c>
      <c r="L197" s="42"/>
      <c r="M197" s="44">
        <f t="shared" si="12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-6</v>
      </c>
      <c r="K198" s="42">
        <f t="shared" ref="K198:K261" si="16">J198*$J$2</f>
        <v>-60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  - ROUNDUP(LOG(H199,2),0) + IF(MOD($H$2,2)=0,0,1)</f>
        <v>-6</v>
      </c>
      <c r="K199" s="42">
        <f t="shared" si="16"/>
        <v>-60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-6</v>
      </c>
      <c r="K200" s="42">
        <f t="shared" si="16"/>
        <v>-60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-6</v>
      </c>
      <c r="K201" s="42">
        <f t="shared" si="16"/>
        <v>-60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-6</v>
      </c>
      <c r="K202" s="42">
        <f t="shared" si="16"/>
        <v>-60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-6</v>
      </c>
      <c r="K203" s="42">
        <f t="shared" si="16"/>
        <v>-60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-6</v>
      </c>
      <c r="K204" s="42">
        <f t="shared" si="16"/>
        <v>-60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-6</v>
      </c>
      <c r="K205" s="42">
        <f t="shared" si="16"/>
        <v>-60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-6</v>
      </c>
      <c r="K206" s="42">
        <f t="shared" si="16"/>
        <v>-60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-6</v>
      </c>
      <c r="K207" s="42">
        <f t="shared" si="16"/>
        <v>-60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-6</v>
      </c>
      <c r="K208" s="42">
        <f t="shared" si="16"/>
        <v>-60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-6</v>
      </c>
      <c r="K209" s="42">
        <f t="shared" si="16"/>
        <v>-60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-6</v>
      </c>
      <c r="K210" s="42">
        <f t="shared" si="16"/>
        <v>-60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-6</v>
      </c>
      <c r="K211" s="42">
        <f t="shared" si="16"/>
        <v>-60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-6</v>
      </c>
      <c r="K212" s="42">
        <f t="shared" si="16"/>
        <v>-60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-6</v>
      </c>
      <c r="K213" s="42">
        <f t="shared" si="16"/>
        <v>-60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-6</v>
      </c>
      <c r="K214" s="42">
        <f t="shared" si="16"/>
        <v>-60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-6</v>
      </c>
      <c r="K215" s="42">
        <f t="shared" si="16"/>
        <v>-60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-6</v>
      </c>
      <c r="K216" s="42">
        <f t="shared" si="16"/>
        <v>-60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-6</v>
      </c>
      <c r="K217" s="42">
        <f t="shared" si="16"/>
        <v>-60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-6</v>
      </c>
      <c r="K218" s="42">
        <f t="shared" si="16"/>
        <v>-60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-6</v>
      </c>
      <c r="K219" s="42">
        <f t="shared" si="16"/>
        <v>-60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-6</v>
      </c>
      <c r="K220" s="42">
        <f t="shared" si="16"/>
        <v>-60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-6</v>
      </c>
      <c r="K221" s="42">
        <f t="shared" si="16"/>
        <v>-60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-6</v>
      </c>
      <c r="K222" s="42">
        <f t="shared" si="16"/>
        <v>-60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-6</v>
      </c>
      <c r="K223" s="42">
        <f t="shared" si="16"/>
        <v>-60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-6</v>
      </c>
      <c r="K224" s="42">
        <f t="shared" si="16"/>
        <v>-60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-6</v>
      </c>
      <c r="K225" s="42">
        <f t="shared" si="16"/>
        <v>-60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-6</v>
      </c>
      <c r="K226" s="42">
        <f t="shared" si="16"/>
        <v>-60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-6</v>
      </c>
      <c r="K227" s="42">
        <f t="shared" si="16"/>
        <v>-60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-6</v>
      </c>
      <c r="K228" s="42">
        <f t="shared" si="16"/>
        <v>-60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-6</v>
      </c>
      <c r="K229" s="42">
        <f t="shared" si="16"/>
        <v>-60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-6</v>
      </c>
      <c r="K230" s="42">
        <f t="shared" si="16"/>
        <v>-60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-6</v>
      </c>
      <c r="K231" s="42">
        <f t="shared" si="16"/>
        <v>-60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-6</v>
      </c>
      <c r="K232" s="42">
        <f t="shared" si="16"/>
        <v>-60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-6</v>
      </c>
      <c r="K233" s="42">
        <f t="shared" si="16"/>
        <v>-60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-6</v>
      </c>
      <c r="K234" s="42">
        <f t="shared" si="16"/>
        <v>-60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-6</v>
      </c>
      <c r="K235" s="42">
        <f t="shared" si="16"/>
        <v>-60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-6</v>
      </c>
      <c r="K236" s="42">
        <f t="shared" si="16"/>
        <v>-60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-6</v>
      </c>
      <c r="K237" s="42">
        <f t="shared" si="16"/>
        <v>-60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-6</v>
      </c>
      <c r="K238" s="42">
        <f t="shared" si="16"/>
        <v>-60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-6</v>
      </c>
      <c r="K239" s="42">
        <f t="shared" si="16"/>
        <v>-60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-6</v>
      </c>
      <c r="K240" s="42">
        <f t="shared" si="16"/>
        <v>-60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-6</v>
      </c>
      <c r="K241" s="42">
        <f t="shared" si="16"/>
        <v>-60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-6</v>
      </c>
      <c r="K242" s="42">
        <f t="shared" si="16"/>
        <v>-60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-6</v>
      </c>
      <c r="K243" s="42">
        <f t="shared" si="16"/>
        <v>-60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-6</v>
      </c>
      <c r="K244" s="42">
        <f t="shared" si="16"/>
        <v>-60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-6</v>
      </c>
      <c r="K245" s="42">
        <f t="shared" si="16"/>
        <v>-60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-6</v>
      </c>
      <c r="K246" s="42">
        <f t="shared" si="16"/>
        <v>-60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-6</v>
      </c>
      <c r="K247" s="42">
        <f t="shared" si="16"/>
        <v>-60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-6</v>
      </c>
      <c r="K248" s="42">
        <f t="shared" si="16"/>
        <v>-60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-6</v>
      </c>
      <c r="K249" s="42">
        <f t="shared" si="16"/>
        <v>-60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-6</v>
      </c>
      <c r="K250" s="42">
        <f t="shared" si="16"/>
        <v>-60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-6</v>
      </c>
      <c r="K251" s="42">
        <f t="shared" si="16"/>
        <v>-60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-6</v>
      </c>
      <c r="K252" s="42">
        <f t="shared" si="16"/>
        <v>-60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-6</v>
      </c>
      <c r="K253" s="42">
        <f t="shared" si="16"/>
        <v>-60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-6</v>
      </c>
      <c r="K254" s="42">
        <f t="shared" si="16"/>
        <v>-60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-6</v>
      </c>
      <c r="K255" s="42">
        <f t="shared" si="16"/>
        <v>-60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-6</v>
      </c>
      <c r="K256" s="42">
        <f t="shared" si="16"/>
        <v>-60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-6</v>
      </c>
      <c r="K257" s="42">
        <f t="shared" si="16"/>
        <v>-60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-6</v>
      </c>
      <c r="K258" s="42">
        <f t="shared" si="16"/>
        <v>-60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-6</v>
      </c>
      <c r="K259" s="42">
        <f t="shared" si="16"/>
        <v>-60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-6</v>
      </c>
      <c r="K260" s="42">
        <f t="shared" si="16"/>
        <v>-60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-6</v>
      </c>
      <c r="K261" s="42">
        <f t="shared" si="16"/>
        <v>-60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-7</v>
      </c>
      <c r="K262" s="42">
        <f t="shared" ref="K262:K305" si="20">J262*$J$2</f>
        <v>-70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  - ROUNDUP(LOG(H263,2),0) + IF(MOD($H$2,2)=0,0,1)</f>
        <v>-7</v>
      </c>
      <c r="K263" s="42">
        <f t="shared" si="20"/>
        <v>-70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-7</v>
      </c>
      <c r="K264" s="42">
        <f t="shared" si="20"/>
        <v>-70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-7</v>
      </c>
      <c r="K265" s="42">
        <f t="shared" si="20"/>
        <v>-70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-7</v>
      </c>
      <c r="K266" s="42">
        <f t="shared" si="20"/>
        <v>-70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-7</v>
      </c>
      <c r="K267" s="42">
        <f t="shared" si="20"/>
        <v>-70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-7</v>
      </c>
      <c r="K268" s="42">
        <f t="shared" si="20"/>
        <v>-70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-7</v>
      </c>
      <c r="K269" s="42">
        <f t="shared" si="20"/>
        <v>-70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-7</v>
      </c>
      <c r="K270" s="42">
        <f t="shared" si="20"/>
        <v>-70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-7</v>
      </c>
      <c r="K271" s="42">
        <f t="shared" si="20"/>
        <v>-70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-7</v>
      </c>
      <c r="K272" s="42">
        <f t="shared" si="20"/>
        <v>-70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-7</v>
      </c>
      <c r="K273" s="42">
        <f t="shared" si="20"/>
        <v>-70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-7</v>
      </c>
      <c r="K274" s="42">
        <f t="shared" si="20"/>
        <v>-70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-7</v>
      </c>
      <c r="K275" s="42">
        <f t="shared" si="20"/>
        <v>-70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-7</v>
      </c>
      <c r="K276" s="42">
        <f t="shared" si="20"/>
        <v>-70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-7</v>
      </c>
      <c r="K277" s="42">
        <f t="shared" si="20"/>
        <v>-70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-7</v>
      </c>
      <c r="K278" s="42">
        <f t="shared" si="20"/>
        <v>-70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-7</v>
      </c>
      <c r="K279" s="42">
        <f t="shared" si="20"/>
        <v>-70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-7</v>
      </c>
      <c r="K280" s="42">
        <f t="shared" si="20"/>
        <v>-70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-7</v>
      </c>
      <c r="K281" s="42">
        <f t="shared" si="20"/>
        <v>-70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-7</v>
      </c>
      <c r="K282" s="42">
        <f t="shared" si="20"/>
        <v>-70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-7</v>
      </c>
      <c r="K283" s="42">
        <f t="shared" si="20"/>
        <v>-70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-7</v>
      </c>
      <c r="K284" s="42">
        <f t="shared" si="20"/>
        <v>-70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-7</v>
      </c>
      <c r="K285" s="42">
        <f t="shared" si="20"/>
        <v>-70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-7</v>
      </c>
      <c r="K286" s="42">
        <f t="shared" si="20"/>
        <v>-70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-7</v>
      </c>
      <c r="K287" s="42">
        <f t="shared" si="20"/>
        <v>-70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-7</v>
      </c>
      <c r="K288" s="42">
        <f t="shared" si="20"/>
        <v>-70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-7</v>
      </c>
      <c r="K289" s="42">
        <f t="shared" si="20"/>
        <v>-70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-7</v>
      </c>
      <c r="K290" s="42">
        <f t="shared" si="20"/>
        <v>-70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-7</v>
      </c>
      <c r="K291" s="42">
        <f t="shared" si="20"/>
        <v>-70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-7</v>
      </c>
      <c r="K292" s="42">
        <f t="shared" si="20"/>
        <v>-70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-7</v>
      </c>
      <c r="K293" s="42">
        <f t="shared" si="20"/>
        <v>-70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-7</v>
      </c>
      <c r="K294" s="42">
        <f t="shared" si="20"/>
        <v>-70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-7</v>
      </c>
      <c r="K295" s="42">
        <f t="shared" si="20"/>
        <v>-70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-7</v>
      </c>
      <c r="K296" s="42">
        <f t="shared" si="20"/>
        <v>-70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-7</v>
      </c>
      <c r="K297" s="42">
        <f t="shared" si="20"/>
        <v>-70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-7</v>
      </c>
      <c r="K298" s="42">
        <f t="shared" si="20"/>
        <v>-70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-7</v>
      </c>
      <c r="K299" s="42">
        <f t="shared" si="20"/>
        <v>-70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-7</v>
      </c>
      <c r="K300" s="42">
        <f t="shared" si="20"/>
        <v>-70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-7</v>
      </c>
      <c r="K301" s="42">
        <f t="shared" si="20"/>
        <v>-70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-7</v>
      </c>
      <c r="K302" s="42">
        <f t="shared" si="20"/>
        <v>-70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-7</v>
      </c>
      <c r="K303" s="42">
        <f t="shared" si="20"/>
        <v>-70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-7</v>
      </c>
      <c r="K304" s="42">
        <f t="shared" si="20"/>
        <v>-70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-7</v>
      </c>
      <c r="K305" s="42">
        <f t="shared" si="20"/>
        <v>-70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870029E6-47E1-4DA3-BF81-BD42C5BDA27A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720F-61D2-4941-A509-2FBC8F40B626}">
  <sheetPr>
    <tabColor rgb="FF92D050"/>
  </sheetPr>
  <dimension ref="A1:AL317"/>
  <sheetViews>
    <sheetView workbookViewId="0">
      <selection activeCell="M1" sqref="M1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25</v>
      </c>
      <c r="I1" s="22" t="s">
        <v>26</v>
      </c>
      <c r="J1" s="22" t="s">
        <v>27</v>
      </c>
      <c r="K1" s="23" t="s">
        <v>28</v>
      </c>
      <c r="L1" s="24"/>
      <c r="M1" s="24"/>
    </row>
    <row r="2" spans="1:36">
      <c r="A2" s="20"/>
      <c r="B2" s="26" t="s">
        <v>29</v>
      </c>
      <c r="C2" s="92" t="s">
        <v>54</v>
      </c>
      <c r="D2" s="92"/>
      <c r="E2" s="27"/>
      <c r="F2" s="27"/>
      <c r="G2" s="27"/>
      <c r="H2" s="28">
        <v>4</v>
      </c>
      <c r="I2" s="29">
        <v>50</v>
      </c>
      <c r="J2" s="29">
        <v>10</v>
      </c>
      <c r="K2" s="30">
        <f>3*H2^(1/3)</f>
        <v>4.7622031559045981</v>
      </c>
      <c r="L2" s="24"/>
      <c r="M2" s="24"/>
    </row>
    <row r="3" spans="1:36">
      <c r="A3" s="20"/>
      <c r="B3" s="31" t="s">
        <v>31</v>
      </c>
      <c r="C3" s="93" t="s">
        <v>55</v>
      </c>
      <c r="D3" s="93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33</v>
      </c>
      <c r="B5" s="35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4"/>
      <c r="H5" s="36" t="s">
        <v>39</v>
      </c>
      <c r="I5" s="37" t="s">
        <v>40</v>
      </c>
      <c r="J5" s="38" t="s">
        <v>41</v>
      </c>
      <c r="K5" s="37" t="s">
        <v>42</v>
      </c>
      <c r="L5" s="37" t="s">
        <v>43</v>
      </c>
      <c r="M5" s="36" t="s">
        <v>44</v>
      </c>
    </row>
    <row r="6" spans="1:36" ht="14.45" customHeight="1">
      <c r="A6" s="39">
        <f>M6</f>
        <v>84.286609467713788</v>
      </c>
      <c r="B6" s="40">
        <v>1</v>
      </c>
      <c r="C6" s="41" t="s">
        <v>18</v>
      </c>
      <c r="D6" s="41" t="s">
        <v>56</v>
      </c>
      <c r="E6" s="41" t="s">
        <v>45</v>
      </c>
      <c r="F6" s="41"/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2</v>
      </c>
      <c r="K6" s="42">
        <f t="shared" ref="K6:K69" si="1">J6*$J$2</f>
        <v>20</v>
      </c>
      <c r="L6" s="44">
        <f>3*K2</f>
        <v>14.286609467713795</v>
      </c>
      <c r="M6" s="44">
        <f t="shared" ref="M6:M69" si="2">IF(I6&lt;&gt;"",K6+I6+L6,0)</f>
        <v>84.286609467713788</v>
      </c>
    </row>
    <row r="7" spans="1:36" ht="14.45" customHeight="1">
      <c r="A7" s="45">
        <f t="shared" ref="A7:A37" si="3">M7</f>
        <v>45.024406311809194</v>
      </c>
      <c r="B7" s="46">
        <v>2</v>
      </c>
      <c r="C7" s="47" t="s">
        <v>17</v>
      </c>
      <c r="D7" s="47" t="s">
        <v>56</v>
      </c>
      <c r="E7" s="47" t="s">
        <v>45</v>
      </c>
      <c r="F7" s="47"/>
      <c r="G7" s="34"/>
      <c r="H7" s="48">
        <v>2</v>
      </c>
      <c r="I7" s="49">
        <f t="shared" si="0"/>
        <v>25.5</v>
      </c>
      <c r="J7" s="48">
        <f t="shared" ref="J7:J70" si="4">INT(LOG($H$2,2))-ROUNDUP(LOG(H7,2),0)+IF(OR($H$2=1,$H$2=2,$H$2=4,$H$2=8,$H$2=16,$H$2=32,$H$2=64,$H$2=128,$H$2=256),0,1)</f>
        <v>1</v>
      </c>
      <c r="K7" s="48">
        <f t="shared" si="1"/>
        <v>10</v>
      </c>
      <c r="L7" s="50">
        <f>2*K2</f>
        <v>9.5244063118091962</v>
      </c>
      <c r="M7" s="50">
        <f t="shared" si="2"/>
        <v>45.024406311809194</v>
      </c>
    </row>
    <row r="8" spans="1:36" ht="14.45" customHeight="1">
      <c r="A8" s="39">
        <f t="shared" si="3"/>
        <v>15.930621888236271</v>
      </c>
      <c r="B8" s="40">
        <v>3</v>
      </c>
      <c r="C8" s="41" t="s">
        <v>19</v>
      </c>
      <c r="D8" s="41" t="s">
        <v>57</v>
      </c>
      <c r="E8" s="41" t="s">
        <v>45</v>
      </c>
      <c r="F8" s="41"/>
      <c r="G8" s="34"/>
      <c r="H8" s="42">
        <v>3</v>
      </c>
      <c r="I8" s="43">
        <f t="shared" si="0"/>
        <v>11.168418732331673</v>
      </c>
      <c r="J8" s="42">
        <f t="shared" si="4"/>
        <v>0</v>
      </c>
      <c r="K8" s="42">
        <f t="shared" si="1"/>
        <v>0</v>
      </c>
      <c r="L8" s="44">
        <f>K2</f>
        <v>4.7622031559045981</v>
      </c>
      <c r="M8" s="44">
        <f t="shared" si="2"/>
        <v>15.930621888236271</v>
      </c>
    </row>
    <row r="9" spans="1:36" ht="14.45" customHeight="1">
      <c r="A9" s="45">
        <f t="shared" si="3"/>
        <v>1</v>
      </c>
      <c r="B9" s="46">
        <v>4</v>
      </c>
      <c r="C9" s="47" t="s">
        <v>22</v>
      </c>
      <c r="D9" s="47" t="s">
        <v>57</v>
      </c>
      <c r="E9" s="47" t="s">
        <v>45</v>
      </c>
      <c r="F9" s="47"/>
      <c r="G9" s="34"/>
      <c r="H9" s="48">
        <v>4</v>
      </c>
      <c r="I9" s="49">
        <f t="shared" si="0"/>
        <v>1</v>
      </c>
      <c r="J9" s="48">
        <f t="shared" si="4"/>
        <v>0</v>
      </c>
      <c r="K9" s="48">
        <f t="shared" si="1"/>
        <v>0</v>
      </c>
      <c r="L9" s="50"/>
      <c r="M9" s="50">
        <f t="shared" si="2"/>
        <v>1</v>
      </c>
      <c r="V9" s="51"/>
      <c r="Z9" s="52"/>
      <c r="AA9" s="52"/>
      <c r="AG9" s="53"/>
      <c r="AH9" s="25" t="s">
        <v>46</v>
      </c>
      <c r="AI9" s="25">
        <v>23</v>
      </c>
    </row>
    <row r="10" spans="1:36" ht="14.45" customHeight="1">
      <c r="A10" s="39">
        <f t="shared" si="3"/>
        <v>0</v>
      </c>
      <c r="B10" s="40" t="str">
        <f t="shared" ref="B10:B13" si="5">IF(H10&gt;$H$2,"",(ROW()-5))</f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4"/>
        <v>-1</v>
      </c>
      <c r="K10" s="42">
        <f t="shared" si="1"/>
        <v>-10</v>
      </c>
      <c r="L10" s="42"/>
      <c r="M10" s="44">
        <f t="shared" si="2"/>
        <v>0</v>
      </c>
      <c r="V10" s="51"/>
      <c r="Z10" s="52"/>
      <c r="AA10" s="52"/>
      <c r="AG10" s="53"/>
      <c r="AH10" s="25" t="s">
        <v>47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5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4"/>
        <v>-1</v>
      </c>
      <c r="K11" s="48">
        <f t="shared" si="1"/>
        <v>-10</v>
      </c>
      <c r="L11" s="48"/>
      <c r="M11" s="50">
        <f t="shared" si="2"/>
        <v>0</v>
      </c>
      <c r="V11" s="54"/>
      <c r="Z11" s="52"/>
      <c r="AA11" s="52"/>
      <c r="AG11" s="53"/>
      <c r="AH11" s="25" t="s">
        <v>48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5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4"/>
        <v>-1</v>
      </c>
      <c r="K12" s="42">
        <f t="shared" si="1"/>
        <v>-10</v>
      </c>
      <c r="L12" s="42"/>
      <c r="M12" s="44">
        <f t="shared" si="2"/>
        <v>0</v>
      </c>
      <c r="Z12" s="52"/>
      <c r="AA12" s="52"/>
      <c r="AG12" s="53"/>
      <c r="AH12" s="25" t="s">
        <v>49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5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4"/>
        <v>-1</v>
      </c>
      <c r="K13" s="48">
        <f t="shared" si="1"/>
        <v>-10</v>
      </c>
      <c r="L13" s="48"/>
      <c r="M13" s="50">
        <f t="shared" si="2"/>
        <v>0</v>
      </c>
      <c r="X13" s="51"/>
      <c r="AG13" s="53"/>
      <c r="AH13" s="25" t="s">
        <v>50</v>
      </c>
      <c r="AI13" s="25">
        <f>LOG(AI9)</f>
        <v>1.3617278360175928</v>
      </c>
    </row>
    <row r="14" spans="1:36">
      <c r="A14" s="56">
        <f t="shared" si="3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4"/>
        <v>-2</v>
      </c>
      <c r="K14" s="42">
        <f t="shared" si="1"/>
        <v>-20</v>
      </c>
      <c r="L14" s="42"/>
      <c r="M14" s="44">
        <f t="shared" si="2"/>
        <v>0</v>
      </c>
      <c r="X14" s="57"/>
      <c r="Z14" s="52"/>
      <c r="AA14" s="52"/>
      <c r="AG14" s="53"/>
      <c r="AH14" s="25" t="s">
        <v>51</v>
      </c>
      <c r="AI14" s="25">
        <f>LOG(AI10)</f>
        <v>1.6532125137753437</v>
      </c>
    </row>
    <row r="15" spans="1:36">
      <c r="A15" s="55">
        <f t="shared" si="3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4"/>
        <v>-2</v>
      </c>
      <c r="K15" s="48">
        <f t="shared" si="1"/>
        <v>-20</v>
      </c>
      <c r="L15" s="48"/>
      <c r="M15" s="50">
        <f t="shared" si="2"/>
        <v>0</v>
      </c>
      <c r="X15" s="51"/>
      <c r="Z15" s="52"/>
      <c r="AA15" s="52"/>
    </row>
    <row r="16" spans="1:36">
      <c r="A16" s="56">
        <f t="shared" si="3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4"/>
        <v>-2</v>
      </c>
      <c r="K16" s="42">
        <f t="shared" si="1"/>
        <v>-20</v>
      </c>
      <c r="L16" s="42"/>
      <c r="M16" s="44">
        <f t="shared" si="2"/>
        <v>0</v>
      </c>
      <c r="R16" s="58"/>
      <c r="Z16" s="52"/>
      <c r="AA16" s="52"/>
      <c r="AH16" s="59" t="s">
        <v>52</v>
      </c>
      <c r="AI16" s="25">
        <f>AI11-AI12*AI13/AI14</f>
        <v>9.6393909380186855</v>
      </c>
      <c r="AJ16" s="25" t="s">
        <v>53</v>
      </c>
    </row>
    <row r="17" spans="1:19">
      <c r="A17" s="55">
        <f t="shared" si="3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4"/>
        <v>-2</v>
      </c>
      <c r="K17" s="48">
        <f t="shared" si="1"/>
        <v>-20</v>
      </c>
      <c r="L17" s="48"/>
      <c r="M17" s="50">
        <f t="shared" si="2"/>
        <v>0</v>
      </c>
    </row>
    <row r="18" spans="1:19">
      <c r="A18" s="56">
        <f t="shared" si="3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4"/>
        <v>-2</v>
      </c>
      <c r="K18" s="42">
        <f t="shared" si="1"/>
        <v>-20</v>
      </c>
      <c r="L18" s="42"/>
      <c r="M18" s="44">
        <f t="shared" si="2"/>
        <v>0</v>
      </c>
    </row>
    <row r="19" spans="1:19">
      <c r="A19" s="55">
        <f t="shared" si="3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4"/>
        <v>-2</v>
      </c>
      <c r="K19" s="48">
        <f t="shared" si="1"/>
        <v>-20</v>
      </c>
      <c r="L19" s="48"/>
      <c r="M19" s="50">
        <f t="shared" si="2"/>
        <v>0</v>
      </c>
    </row>
    <row r="20" spans="1:19">
      <c r="A20" s="56">
        <f t="shared" si="3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4"/>
        <v>-2</v>
      </c>
      <c r="K20" s="42">
        <f t="shared" si="1"/>
        <v>-20</v>
      </c>
      <c r="L20" s="42"/>
      <c r="M20" s="44">
        <f t="shared" si="2"/>
        <v>0</v>
      </c>
      <c r="R20" s="60"/>
      <c r="S20" s="61"/>
    </row>
    <row r="21" spans="1:19">
      <c r="A21" s="55">
        <f t="shared" si="3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4"/>
        <v>-2</v>
      </c>
      <c r="K21" s="48">
        <f t="shared" si="1"/>
        <v>-20</v>
      </c>
      <c r="L21" s="48"/>
      <c r="M21" s="50">
        <f t="shared" si="2"/>
        <v>0</v>
      </c>
    </row>
    <row r="22" spans="1:19">
      <c r="A22" s="56">
        <f t="shared" si="3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4"/>
        <v>-3</v>
      </c>
      <c r="K22" s="42">
        <f t="shared" si="1"/>
        <v>-30</v>
      </c>
      <c r="L22" s="42"/>
      <c r="M22" s="44">
        <f t="shared" si="2"/>
        <v>0</v>
      </c>
    </row>
    <row r="23" spans="1:19">
      <c r="A23" s="55">
        <f t="shared" si="3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4"/>
        <v>-3</v>
      </c>
      <c r="K23" s="48">
        <f t="shared" si="1"/>
        <v>-30</v>
      </c>
      <c r="L23" s="48"/>
      <c r="M23" s="50">
        <f t="shared" si="2"/>
        <v>0</v>
      </c>
    </row>
    <row r="24" spans="1:19">
      <c r="A24" s="56">
        <f t="shared" si="3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4"/>
        <v>-3</v>
      </c>
      <c r="K24" s="42">
        <f t="shared" si="1"/>
        <v>-30</v>
      </c>
      <c r="L24" s="42"/>
      <c r="M24" s="44">
        <f t="shared" si="2"/>
        <v>0</v>
      </c>
      <c r="R24" s="60"/>
      <c r="S24" s="61"/>
    </row>
    <row r="25" spans="1:19">
      <c r="A25" s="55">
        <f t="shared" si="3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4"/>
        <v>-3</v>
      </c>
      <c r="K25" s="48">
        <f t="shared" si="1"/>
        <v>-30</v>
      </c>
      <c r="L25" s="48"/>
      <c r="M25" s="50">
        <f t="shared" si="2"/>
        <v>0</v>
      </c>
    </row>
    <row r="26" spans="1:19">
      <c r="A26" s="56">
        <f t="shared" si="3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4"/>
        <v>-3</v>
      </c>
      <c r="K26" s="42">
        <f t="shared" si="1"/>
        <v>-30</v>
      </c>
      <c r="L26" s="42"/>
      <c r="M26" s="44">
        <f t="shared" si="2"/>
        <v>0</v>
      </c>
    </row>
    <row r="27" spans="1:19">
      <c r="A27" s="55">
        <f t="shared" si="3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4"/>
        <v>-3</v>
      </c>
      <c r="K27" s="48">
        <f t="shared" si="1"/>
        <v>-30</v>
      </c>
      <c r="L27" s="48"/>
      <c r="M27" s="50">
        <f t="shared" si="2"/>
        <v>0</v>
      </c>
    </row>
    <row r="28" spans="1:19">
      <c r="A28" s="56">
        <f t="shared" si="3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4"/>
        <v>-3</v>
      </c>
      <c r="K28" s="42">
        <f t="shared" si="1"/>
        <v>-30</v>
      </c>
      <c r="L28" s="42"/>
      <c r="M28" s="44">
        <f t="shared" si="2"/>
        <v>0</v>
      </c>
      <c r="R28" s="60"/>
      <c r="S28" s="61"/>
    </row>
    <row r="29" spans="1:19">
      <c r="A29" s="55">
        <f t="shared" si="3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4"/>
        <v>-3</v>
      </c>
      <c r="K29" s="48">
        <f t="shared" si="1"/>
        <v>-30</v>
      </c>
      <c r="L29" s="48"/>
      <c r="M29" s="50">
        <f t="shared" si="2"/>
        <v>0</v>
      </c>
    </row>
    <row r="30" spans="1:19">
      <c r="A30" s="56">
        <f t="shared" si="3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4"/>
        <v>-3</v>
      </c>
      <c r="K30" s="42">
        <f t="shared" si="1"/>
        <v>-30</v>
      </c>
      <c r="L30" s="42"/>
      <c r="M30" s="44">
        <f t="shared" si="2"/>
        <v>0</v>
      </c>
    </row>
    <row r="31" spans="1:19">
      <c r="A31" s="55">
        <f t="shared" si="3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4"/>
        <v>-3</v>
      </c>
      <c r="K31" s="48">
        <f t="shared" si="1"/>
        <v>-30</v>
      </c>
      <c r="L31" s="48"/>
      <c r="M31" s="50">
        <f t="shared" si="2"/>
        <v>0</v>
      </c>
    </row>
    <row r="32" spans="1:19">
      <c r="A32" s="56">
        <f t="shared" si="3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4"/>
        <v>-3</v>
      </c>
      <c r="K32" s="42">
        <f t="shared" si="1"/>
        <v>-30</v>
      </c>
      <c r="L32" s="42"/>
      <c r="M32" s="44">
        <f t="shared" si="2"/>
        <v>0</v>
      </c>
      <c r="R32" s="60"/>
      <c r="S32" s="61"/>
    </row>
    <row r="33" spans="1:21">
      <c r="A33" s="55">
        <f t="shared" si="3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4"/>
        <v>-3</v>
      </c>
      <c r="K33" s="48">
        <f t="shared" si="1"/>
        <v>-30</v>
      </c>
      <c r="L33" s="48"/>
      <c r="M33" s="50">
        <f t="shared" si="2"/>
        <v>0</v>
      </c>
    </row>
    <row r="34" spans="1:21">
      <c r="A34" s="56">
        <f t="shared" si="3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4"/>
        <v>-3</v>
      </c>
      <c r="K34" s="42">
        <f t="shared" si="1"/>
        <v>-30</v>
      </c>
      <c r="L34" s="42"/>
      <c r="M34" s="44">
        <f t="shared" si="2"/>
        <v>0</v>
      </c>
    </row>
    <row r="35" spans="1:21">
      <c r="A35" s="55">
        <f t="shared" si="3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4"/>
        <v>-3</v>
      </c>
      <c r="K35" s="48">
        <f t="shared" si="1"/>
        <v>-30</v>
      </c>
      <c r="L35" s="48"/>
      <c r="M35" s="50">
        <f t="shared" si="2"/>
        <v>0</v>
      </c>
    </row>
    <row r="36" spans="1:21">
      <c r="A36" s="56">
        <f t="shared" si="3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4"/>
        <v>-3</v>
      </c>
      <c r="K36" s="42">
        <f t="shared" si="1"/>
        <v>-30</v>
      </c>
      <c r="L36" s="42"/>
      <c r="M36" s="44">
        <f t="shared" si="2"/>
        <v>0</v>
      </c>
      <c r="R36" s="60"/>
      <c r="S36" s="61"/>
    </row>
    <row r="37" spans="1:21">
      <c r="A37" s="55">
        <f t="shared" si="3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4"/>
        <v>-3</v>
      </c>
      <c r="K37" s="48">
        <f t="shared" si="1"/>
        <v>-30</v>
      </c>
      <c r="L37" s="48"/>
      <c r="M37" s="50">
        <f t="shared" si="2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4"/>
        <v>-4</v>
      </c>
      <c r="K38" s="42">
        <f t="shared" si="1"/>
        <v>-40</v>
      </c>
      <c r="L38" s="42"/>
      <c r="M38" s="44">
        <f t="shared" si="2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4"/>
        <v>-4</v>
      </c>
      <c r="K39" s="48">
        <f t="shared" si="1"/>
        <v>-40</v>
      </c>
      <c r="L39" s="48"/>
      <c r="M39" s="50">
        <f t="shared" si="2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4"/>
        <v>-4</v>
      </c>
      <c r="K40" s="42">
        <f t="shared" si="1"/>
        <v>-40</v>
      </c>
      <c r="L40" s="42"/>
      <c r="M40" s="44">
        <f t="shared" si="2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4"/>
        <v>-4</v>
      </c>
      <c r="K41" s="48">
        <f t="shared" si="1"/>
        <v>-40</v>
      </c>
      <c r="L41" s="48"/>
      <c r="M41" s="50">
        <f t="shared" si="2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4"/>
        <v>-4</v>
      </c>
      <c r="K42" s="42">
        <f t="shared" si="1"/>
        <v>-40</v>
      </c>
      <c r="L42" s="42"/>
      <c r="M42" s="44">
        <f t="shared" si="2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4"/>
        <v>-4</v>
      </c>
      <c r="K43" s="48">
        <f t="shared" si="1"/>
        <v>-40</v>
      </c>
      <c r="L43" s="48"/>
      <c r="M43" s="50">
        <f t="shared" si="2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4"/>
        <v>-4</v>
      </c>
      <c r="K44" s="42">
        <f t="shared" si="1"/>
        <v>-40</v>
      </c>
      <c r="L44" s="42"/>
      <c r="M44" s="44">
        <f t="shared" si="2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4"/>
        <v>-4</v>
      </c>
      <c r="K45" s="48">
        <f t="shared" si="1"/>
        <v>-40</v>
      </c>
      <c r="L45" s="48"/>
      <c r="M45" s="50">
        <f t="shared" si="2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4"/>
        <v>-4</v>
      </c>
      <c r="K46" s="42">
        <f t="shared" si="1"/>
        <v>-40</v>
      </c>
      <c r="L46" s="42"/>
      <c r="M46" s="44">
        <f t="shared" si="2"/>
        <v>0</v>
      </c>
      <c r="R46" s="20">
        <f>LOG($H$2,2)</f>
        <v>2</v>
      </c>
      <c r="T46" s="25">
        <f>LOG(H38,2)</f>
        <v>5.0443941193584534</v>
      </c>
      <c r="U46" s="25">
        <f>R46-T46</f>
        <v>-3.0443941193584534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4"/>
        <v>-4</v>
      </c>
      <c r="K47" s="48">
        <f t="shared" si="1"/>
        <v>-40</v>
      </c>
      <c r="L47" s="48"/>
      <c r="M47" s="50">
        <f t="shared" si="2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4"/>
        <v>-4</v>
      </c>
      <c r="K48" s="42">
        <f t="shared" si="1"/>
        <v>-40</v>
      </c>
      <c r="L48" s="42"/>
      <c r="M48" s="44">
        <f t="shared" si="2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4"/>
        <v>-4</v>
      </c>
      <c r="K49" s="48">
        <f t="shared" si="1"/>
        <v>-40</v>
      </c>
      <c r="L49" s="48"/>
      <c r="M49" s="50">
        <f t="shared" si="2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4"/>
        <v>-4</v>
      </c>
      <c r="K50" s="42">
        <f t="shared" si="1"/>
        <v>-40</v>
      </c>
      <c r="L50" s="42"/>
      <c r="M50" s="44">
        <f t="shared" si="2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4"/>
        <v>-4</v>
      </c>
      <c r="K51" s="48">
        <f t="shared" si="1"/>
        <v>-40</v>
      </c>
      <c r="L51" s="48"/>
      <c r="M51" s="50">
        <f t="shared" si="2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4"/>
        <v>-4</v>
      </c>
      <c r="K52" s="42">
        <f t="shared" si="1"/>
        <v>-40</v>
      </c>
      <c r="L52" s="42"/>
      <c r="M52" s="44">
        <f t="shared" si="2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4"/>
        <v>-4</v>
      </c>
      <c r="K53" s="48">
        <f t="shared" si="1"/>
        <v>-40</v>
      </c>
      <c r="L53" s="48"/>
      <c r="M53" s="50">
        <f t="shared" si="2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4"/>
        <v>-4</v>
      </c>
      <c r="K54" s="42">
        <f t="shared" si="1"/>
        <v>-40</v>
      </c>
      <c r="L54" s="42"/>
      <c r="M54" s="44">
        <f t="shared" si="2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4"/>
        <v>-4</v>
      </c>
      <c r="K55" s="48">
        <f t="shared" si="1"/>
        <v>-40</v>
      </c>
      <c r="L55" s="48"/>
      <c r="M55" s="50">
        <f t="shared" si="2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4"/>
        <v>-4</v>
      </c>
      <c r="K56" s="42">
        <f t="shared" si="1"/>
        <v>-40</v>
      </c>
      <c r="L56" s="42"/>
      <c r="M56" s="44">
        <f t="shared" si="2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4"/>
        <v>-4</v>
      </c>
      <c r="K57" s="48">
        <f t="shared" si="1"/>
        <v>-40</v>
      </c>
      <c r="L57" s="48"/>
      <c r="M57" s="50">
        <f t="shared" si="2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4"/>
        <v>-4</v>
      </c>
      <c r="K58" s="42">
        <f t="shared" si="1"/>
        <v>-40</v>
      </c>
      <c r="L58" s="42"/>
      <c r="M58" s="44">
        <f t="shared" si="2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4"/>
        <v>-4</v>
      </c>
      <c r="K59" s="48">
        <f t="shared" si="1"/>
        <v>-40</v>
      </c>
      <c r="L59" s="48"/>
      <c r="M59" s="50">
        <f t="shared" si="2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4"/>
        <v>-4</v>
      </c>
      <c r="K60" s="42">
        <f t="shared" si="1"/>
        <v>-40</v>
      </c>
      <c r="L60" s="42"/>
      <c r="M60" s="44">
        <f t="shared" si="2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4"/>
        <v>-4</v>
      </c>
      <c r="K61" s="48">
        <f t="shared" si="1"/>
        <v>-40</v>
      </c>
      <c r="L61" s="48"/>
      <c r="M61" s="50">
        <f t="shared" si="2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4"/>
        <v>-4</v>
      </c>
      <c r="K62" s="42">
        <f t="shared" si="1"/>
        <v>-40</v>
      </c>
      <c r="L62" s="42"/>
      <c r="M62" s="44">
        <f t="shared" si="2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4"/>
        <v>-4</v>
      </c>
      <c r="K63" s="48">
        <f t="shared" si="1"/>
        <v>-40</v>
      </c>
      <c r="L63" s="48"/>
      <c r="M63" s="50">
        <f t="shared" si="2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4"/>
        <v>-4</v>
      </c>
      <c r="K64" s="42">
        <f t="shared" si="1"/>
        <v>-40</v>
      </c>
      <c r="L64" s="42"/>
      <c r="M64" s="44">
        <f t="shared" si="2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4"/>
        <v>-4</v>
      </c>
      <c r="K65" s="48">
        <f t="shared" si="1"/>
        <v>-40</v>
      </c>
      <c r="L65" s="48"/>
      <c r="M65" s="50">
        <f t="shared" si="2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>
        <f t="shared" si="4"/>
        <v>-4</v>
      </c>
      <c r="K66" s="42">
        <f t="shared" si="1"/>
        <v>-40</v>
      </c>
      <c r="L66" s="42"/>
      <c r="M66" s="44">
        <f t="shared" si="2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>
        <f t="shared" si="4"/>
        <v>-4</v>
      </c>
      <c r="K67" s="42">
        <f t="shared" si="1"/>
        <v>-40</v>
      </c>
      <c r="L67" s="42"/>
      <c r="M67" s="44">
        <f t="shared" si="2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>
        <f t="shared" si="4"/>
        <v>-4</v>
      </c>
      <c r="K68" s="42">
        <f t="shared" si="1"/>
        <v>-40</v>
      </c>
      <c r="L68" s="42"/>
      <c r="M68" s="44">
        <f t="shared" si="2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>
        <f t="shared" si="4"/>
        <v>-4</v>
      </c>
      <c r="K69" s="42">
        <f t="shared" si="1"/>
        <v>-40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4"/>
        <v>-5</v>
      </c>
      <c r="K70" s="42">
        <f t="shared" ref="K70:K133" si="8">J70*$J$2</f>
        <v>-50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-5</v>
      </c>
      <c r="K71" s="42">
        <f t="shared" si="8"/>
        <v>-50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-5</v>
      </c>
      <c r="K72" s="42">
        <f t="shared" si="8"/>
        <v>-50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-5</v>
      </c>
      <c r="K73" s="42">
        <f t="shared" si="8"/>
        <v>-50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-5</v>
      </c>
      <c r="K74" s="42">
        <f t="shared" si="8"/>
        <v>-50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-5</v>
      </c>
      <c r="K75" s="42">
        <f t="shared" si="8"/>
        <v>-50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-5</v>
      </c>
      <c r="K76" s="42">
        <f t="shared" si="8"/>
        <v>-50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-5</v>
      </c>
      <c r="K77" s="42">
        <f t="shared" si="8"/>
        <v>-50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-5</v>
      </c>
      <c r="K78" s="42">
        <f t="shared" si="8"/>
        <v>-50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-5</v>
      </c>
      <c r="K79" s="42">
        <f t="shared" si="8"/>
        <v>-50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-5</v>
      </c>
      <c r="K80" s="42">
        <f t="shared" si="8"/>
        <v>-50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-5</v>
      </c>
      <c r="K81" s="42">
        <f t="shared" si="8"/>
        <v>-50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-5</v>
      </c>
      <c r="K82" s="42">
        <f t="shared" si="8"/>
        <v>-50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-5</v>
      </c>
      <c r="K83" s="42">
        <f t="shared" si="8"/>
        <v>-50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-5</v>
      </c>
      <c r="K84" s="42">
        <f t="shared" si="8"/>
        <v>-50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-5</v>
      </c>
      <c r="K85" s="42">
        <f t="shared" si="8"/>
        <v>-50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-5</v>
      </c>
      <c r="K86" s="42">
        <f t="shared" si="8"/>
        <v>-50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-5</v>
      </c>
      <c r="K87" s="42">
        <f t="shared" si="8"/>
        <v>-50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-5</v>
      </c>
      <c r="K88" s="42">
        <f t="shared" si="8"/>
        <v>-50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-5</v>
      </c>
      <c r="K89" s="42">
        <f t="shared" si="8"/>
        <v>-50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-5</v>
      </c>
      <c r="K90" s="42">
        <f t="shared" si="8"/>
        <v>-50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-5</v>
      </c>
      <c r="K91" s="42">
        <f t="shared" si="8"/>
        <v>-50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-5</v>
      </c>
      <c r="K92" s="42">
        <f t="shared" si="8"/>
        <v>-50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-5</v>
      </c>
      <c r="K93" s="42">
        <f t="shared" si="8"/>
        <v>-50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-5</v>
      </c>
      <c r="K94" s="42">
        <f t="shared" si="8"/>
        <v>-50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-5</v>
      </c>
      <c r="K95" s="42">
        <f t="shared" si="8"/>
        <v>-50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-5</v>
      </c>
      <c r="K96" s="42">
        <f t="shared" si="8"/>
        <v>-50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-5</v>
      </c>
      <c r="K97" s="42">
        <f t="shared" si="8"/>
        <v>-50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-5</v>
      </c>
      <c r="K98" s="42">
        <f t="shared" si="8"/>
        <v>-50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-5</v>
      </c>
      <c r="K99" s="42">
        <f t="shared" si="8"/>
        <v>-50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-5</v>
      </c>
      <c r="K100" s="42">
        <f t="shared" si="8"/>
        <v>-50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-5</v>
      </c>
      <c r="K101" s="42">
        <f t="shared" si="8"/>
        <v>-50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-5</v>
      </c>
      <c r="K102" s="42">
        <f t="shared" si="8"/>
        <v>-50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-5</v>
      </c>
      <c r="K103" s="42">
        <f t="shared" si="8"/>
        <v>-50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-5</v>
      </c>
      <c r="K104" s="42">
        <f t="shared" si="8"/>
        <v>-50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-5</v>
      </c>
      <c r="K105" s="42">
        <f t="shared" si="8"/>
        <v>-50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-5</v>
      </c>
      <c r="K106" s="42">
        <f t="shared" si="8"/>
        <v>-50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-5</v>
      </c>
      <c r="K107" s="42">
        <f t="shared" si="8"/>
        <v>-50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-5</v>
      </c>
      <c r="K108" s="42">
        <f t="shared" si="8"/>
        <v>-50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-5</v>
      </c>
      <c r="K109" s="42">
        <f t="shared" si="8"/>
        <v>-50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-5</v>
      </c>
      <c r="K110" s="42">
        <f t="shared" si="8"/>
        <v>-50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-5</v>
      </c>
      <c r="K111" s="42">
        <f t="shared" si="8"/>
        <v>-50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-5</v>
      </c>
      <c r="K112" s="42">
        <f t="shared" si="8"/>
        <v>-50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-5</v>
      </c>
      <c r="K113" s="42">
        <f t="shared" si="8"/>
        <v>-50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-5</v>
      </c>
      <c r="K114" s="42">
        <f t="shared" si="8"/>
        <v>-50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-5</v>
      </c>
      <c r="K115" s="42">
        <f t="shared" si="8"/>
        <v>-50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-5</v>
      </c>
      <c r="K116" s="42">
        <f t="shared" si="8"/>
        <v>-50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-5</v>
      </c>
      <c r="K117" s="42">
        <f t="shared" si="8"/>
        <v>-50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-5</v>
      </c>
      <c r="K118" s="42">
        <f t="shared" si="8"/>
        <v>-50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-5</v>
      </c>
      <c r="K119" s="42">
        <f t="shared" si="8"/>
        <v>-50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-5</v>
      </c>
      <c r="K120" s="42">
        <f t="shared" si="8"/>
        <v>-50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-5</v>
      </c>
      <c r="K121" s="42">
        <f t="shared" si="8"/>
        <v>-50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-5</v>
      </c>
      <c r="K122" s="42">
        <f t="shared" si="8"/>
        <v>-50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-5</v>
      </c>
      <c r="K123" s="42">
        <f t="shared" si="8"/>
        <v>-50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-5</v>
      </c>
      <c r="K124" s="42">
        <f t="shared" si="8"/>
        <v>-50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-5</v>
      </c>
      <c r="K125" s="42">
        <f t="shared" si="8"/>
        <v>-50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-5</v>
      </c>
      <c r="K126" s="42">
        <f t="shared" si="8"/>
        <v>-50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-5</v>
      </c>
      <c r="K127" s="42">
        <f t="shared" si="8"/>
        <v>-50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-5</v>
      </c>
      <c r="K128" s="42">
        <f t="shared" si="8"/>
        <v>-50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-5</v>
      </c>
      <c r="K129" s="42">
        <f t="shared" si="8"/>
        <v>-50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-5</v>
      </c>
      <c r="K130" s="42">
        <f t="shared" si="8"/>
        <v>-50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-5</v>
      </c>
      <c r="K131" s="42">
        <f t="shared" si="8"/>
        <v>-50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-5</v>
      </c>
      <c r="K132" s="42">
        <f t="shared" si="8"/>
        <v>-50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-5</v>
      </c>
      <c r="K133" s="42">
        <f t="shared" si="8"/>
        <v>-50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-6</v>
      </c>
      <c r="K134" s="42">
        <f t="shared" ref="K134:K197" si="12">J134*$J$2</f>
        <v>-60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-6</v>
      </c>
      <c r="K135" s="42">
        <f t="shared" si="12"/>
        <v>-60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-6</v>
      </c>
      <c r="K136" s="42">
        <f t="shared" si="12"/>
        <v>-60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-6</v>
      </c>
      <c r="K137" s="42">
        <f t="shared" si="12"/>
        <v>-60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-6</v>
      </c>
      <c r="K138" s="42">
        <f t="shared" si="12"/>
        <v>-60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-6</v>
      </c>
      <c r="K139" s="42">
        <f t="shared" si="12"/>
        <v>-60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-6</v>
      </c>
      <c r="K140" s="42">
        <f t="shared" si="12"/>
        <v>-60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-6</v>
      </c>
      <c r="K141" s="42">
        <f t="shared" si="12"/>
        <v>-60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-6</v>
      </c>
      <c r="K142" s="42">
        <f t="shared" si="12"/>
        <v>-60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-6</v>
      </c>
      <c r="K143" s="42">
        <f t="shared" si="12"/>
        <v>-60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-6</v>
      </c>
      <c r="K144" s="42">
        <f t="shared" si="12"/>
        <v>-60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-6</v>
      </c>
      <c r="K145" s="42">
        <f t="shared" si="12"/>
        <v>-60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-6</v>
      </c>
      <c r="K146" s="42">
        <f t="shared" si="12"/>
        <v>-60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-6</v>
      </c>
      <c r="K147" s="42">
        <f t="shared" si="12"/>
        <v>-60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-6</v>
      </c>
      <c r="K148" s="42">
        <f t="shared" si="12"/>
        <v>-60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-6</v>
      </c>
      <c r="K149" s="42">
        <f t="shared" si="12"/>
        <v>-60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-6</v>
      </c>
      <c r="K150" s="42">
        <f t="shared" si="12"/>
        <v>-60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-6</v>
      </c>
      <c r="K151" s="42">
        <f t="shared" si="12"/>
        <v>-60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-6</v>
      </c>
      <c r="K152" s="42">
        <f t="shared" si="12"/>
        <v>-60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-6</v>
      </c>
      <c r="K153" s="42">
        <f t="shared" si="12"/>
        <v>-60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-6</v>
      </c>
      <c r="K154" s="42">
        <f t="shared" si="12"/>
        <v>-60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-6</v>
      </c>
      <c r="K155" s="42">
        <f t="shared" si="12"/>
        <v>-60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-6</v>
      </c>
      <c r="K156" s="42">
        <f t="shared" si="12"/>
        <v>-60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-6</v>
      </c>
      <c r="K157" s="42">
        <f t="shared" si="12"/>
        <v>-60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-6</v>
      </c>
      <c r="K158" s="42">
        <f t="shared" si="12"/>
        <v>-60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-6</v>
      </c>
      <c r="K159" s="42">
        <f t="shared" si="12"/>
        <v>-60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-6</v>
      </c>
      <c r="K160" s="42">
        <f t="shared" si="12"/>
        <v>-60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-6</v>
      </c>
      <c r="K161" s="42">
        <f t="shared" si="12"/>
        <v>-60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-6</v>
      </c>
      <c r="K162" s="42">
        <f t="shared" si="12"/>
        <v>-60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-6</v>
      </c>
      <c r="K163" s="42">
        <f t="shared" si="12"/>
        <v>-60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-6</v>
      </c>
      <c r="K164" s="42">
        <f t="shared" si="12"/>
        <v>-60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-6</v>
      </c>
      <c r="K165" s="42">
        <f t="shared" si="12"/>
        <v>-60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-6</v>
      </c>
      <c r="K166" s="42">
        <f t="shared" si="12"/>
        <v>-60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-6</v>
      </c>
      <c r="K167" s="42">
        <f t="shared" si="12"/>
        <v>-60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-6</v>
      </c>
      <c r="K168" s="42">
        <f t="shared" si="12"/>
        <v>-60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-6</v>
      </c>
      <c r="K169" s="42">
        <f t="shared" si="12"/>
        <v>-60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-6</v>
      </c>
      <c r="K170" s="42">
        <f t="shared" si="12"/>
        <v>-60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-6</v>
      </c>
      <c r="K171" s="42">
        <f t="shared" si="12"/>
        <v>-60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-6</v>
      </c>
      <c r="K172" s="42">
        <f t="shared" si="12"/>
        <v>-60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-6</v>
      </c>
      <c r="K173" s="42">
        <f t="shared" si="12"/>
        <v>-60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-6</v>
      </c>
      <c r="K174" s="42">
        <f t="shared" si="12"/>
        <v>-60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-6</v>
      </c>
      <c r="K175" s="42">
        <f t="shared" si="12"/>
        <v>-60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-6</v>
      </c>
      <c r="K176" s="42">
        <f t="shared" si="12"/>
        <v>-60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-6</v>
      </c>
      <c r="K177" s="42">
        <f t="shared" si="12"/>
        <v>-60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-6</v>
      </c>
      <c r="K178" s="42">
        <f t="shared" si="12"/>
        <v>-60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-6</v>
      </c>
      <c r="K179" s="42">
        <f t="shared" si="12"/>
        <v>-60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-6</v>
      </c>
      <c r="K180" s="42">
        <f t="shared" si="12"/>
        <v>-60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-6</v>
      </c>
      <c r="K181" s="42">
        <f t="shared" si="12"/>
        <v>-60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-6</v>
      </c>
      <c r="K182" s="42">
        <f t="shared" si="12"/>
        <v>-60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-6</v>
      </c>
      <c r="K183" s="42">
        <f t="shared" si="12"/>
        <v>-60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-6</v>
      </c>
      <c r="K184" s="42">
        <f t="shared" si="12"/>
        <v>-60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-6</v>
      </c>
      <c r="K185" s="42">
        <f t="shared" si="12"/>
        <v>-60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-6</v>
      </c>
      <c r="K186" s="42">
        <f t="shared" si="12"/>
        <v>-60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-6</v>
      </c>
      <c r="K187" s="42">
        <f t="shared" si="12"/>
        <v>-60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-6</v>
      </c>
      <c r="K188" s="42">
        <f t="shared" si="12"/>
        <v>-60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-6</v>
      </c>
      <c r="K189" s="42">
        <f t="shared" si="12"/>
        <v>-60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-6</v>
      </c>
      <c r="K190" s="42">
        <f t="shared" si="12"/>
        <v>-60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-6</v>
      </c>
      <c r="K191" s="42">
        <f t="shared" si="12"/>
        <v>-60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-6</v>
      </c>
      <c r="K192" s="42">
        <f t="shared" si="12"/>
        <v>-60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-6</v>
      </c>
      <c r="K193" s="42">
        <f t="shared" si="12"/>
        <v>-60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-6</v>
      </c>
      <c r="K194" s="42">
        <f t="shared" si="12"/>
        <v>-60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-6</v>
      </c>
      <c r="K195" s="42">
        <f t="shared" si="12"/>
        <v>-60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-6</v>
      </c>
      <c r="K196" s="42">
        <f t="shared" si="12"/>
        <v>-60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-6</v>
      </c>
      <c r="K197" s="42">
        <f t="shared" si="12"/>
        <v>-60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-6</v>
      </c>
      <c r="K198" s="42">
        <f t="shared" ref="K198:K261" si="16">J198*$J$2</f>
        <v>-60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-6</v>
      </c>
      <c r="K199" s="42">
        <f t="shared" si="16"/>
        <v>-60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-6</v>
      </c>
      <c r="K200" s="42">
        <f t="shared" si="16"/>
        <v>-60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-6</v>
      </c>
      <c r="K201" s="42">
        <f t="shared" si="16"/>
        <v>-60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-6</v>
      </c>
      <c r="K202" s="42">
        <f t="shared" si="16"/>
        <v>-60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-6</v>
      </c>
      <c r="K203" s="42">
        <f t="shared" si="16"/>
        <v>-60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-6</v>
      </c>
      <c r="K204" s="42">
        <f t="shared" si="16"/>
        <v>-60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-6</v>
      </c>
      <c r="K205" s="42">
        <f t="shared" si="16"/>
        <v>-60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-6</v>
      </c>
      <c r="K206" s="42">
        <f t="shared" si="16"/>
        <v>-60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-6</v>
      </c>
      <c r="K207" s="42">
        <f t="shared" si="16"/>
        <v>-60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-6</v>
      </c>
      <c r="K208" s="42">
        <f t="shared" si="16"/>
        <v>-60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-6</v>
      </c>
      <c r="K209" s="42">
        <f t="shared" si="16"/>
        <v>-60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-6</v>
      </c>
      <c r="K210" s="42">
        <f t="shared" si="16"/>
        <v>-60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-6</v>
      </c>
      <c r="K211" s="42">
        <f t="shared" si="16"/>
        <v>-60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-6</v>
      </c>
      <c r="K212" s="42">
        <f t="shared" si="16"/>
        <v>-60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-6</v>
      </c>
      <c r="K213" s="42">
        <f t="shared" si="16"/>
        <v>-60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-6</v>
      </c>
      <c r="K214" s="42">
        <f t="shared" si="16"/>
        <v>-60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-6</v>
      </c>
      <c r="K215" s="42">
        <f t="shared" si="16"/>
        <v>-60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-6</v>
      </c>
      <c r="K216" s="42">
        <f t="shared" si="16"/>
        <v>-60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-6</v>
      </c>
      <c r="K217" s="42">
        <f t="shared" si="16"/>
        <v>-60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-6</v>
      </c>
      <c r="K218" s="42">
        <f t="shared" si="16"/>
        <v>-60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-6</v>
      </c>
      <c r="K219" s="42">
        <f t="shared" si="16"/>
        <v>-60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-6</v>
      </c>
      <c r="K220" s="42">
        <f t="shared" si="16"/>
        <v>-60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-6</v>
      </c>
      <c r="K221" s="42">
        <f t="shared" si="16"/>
        <v>-60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-6</v>
      </c>
      <c r="K222" s="42">
        <f t="shared" si="16"/>
        <v>-60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-6</v>
      </c>
      <c r="K223" s="42">
        <f t="shared" si="16"/>
        <v>-60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-6</v>
      </c>
      <c r="K224" s="42">
        <f t="shared" si="16"/>
        <v>-60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-6</v>
      </c>
      <c r="K225" s="42">
        <f t="shared" si="16"/>
        <v>-60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-6</v>
      </c>
      <c r="K226" s="42">
        <f t="shared" si="16"/>
        <v>-60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-6</v>
      </c>
      <c r="K227" s="42">
        <f t="shared" si="16"/>
        <v>-60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-6</v>
      </c>
      <c r="K228" s="42">
        <f t="shared" si="16"/>
        <v>-60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-6</v>
      </c>
      <c r="K229" s="42">
        <f t="shared" si="16"/>
        <v>-60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-6</v>
      </c>
      <c r="K230" s="42">
        <f t="shared" si="16"/>
        <v>-60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-6</v>
      </c>
      <c r="K231" s="42">
        <f t="shared" si="16"/>
        <v>-60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-6</v>
      </c>
      <c r="K232" s="42">
        <f t="shared" si="16"/>
        <v>-60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-6</v>
      </c>
      <c r="K233" s="42">
        <f t="shared" si="16"/>
        <v>-60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-6</v>
      </c>
      <c r="K234" s="42">
        <f t="shared" si="16"/>
        <v>-60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-6</v>
      </c>
      <c r="K235" s="42">
        <f t="shared" si="16"/>
        <v>-60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-6</v>
      </c>
      <c r="K236" s="42">
        <f t="shared" si="16"/>
        <v>-60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-6</v>
      </c>
      <c r="K237" s="42">
        <f t="shared" si="16"/>
        <v>-60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-6</v>
      </c>
      <c r="K238" s="42">
        <f t="shared" si="16"/>
        <v>-60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-6</v>
      </c>
      <c r="K239" s="42">
        <f t="shared" si="16"/>
        <v>-60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-6</v>
      </c>
      <c r="K240" s="42">
        <f t="shared" si="16"/>
        <v>-60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-6</v>
      </c>
      <c r="K241" s="42">
        <f t="shared" si="16"/>
        <v>-60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-6</v>
      </c>
      <c r="K242" s="42">
        <f t="shared" si="16"/>
        <v>-60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-6</v>
      </c>
      <c r="K243" s="42">
        <f t="shared" si="16"/>
        <v>-60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-6</v>
      </c>
      <c r="K244" s="42">
        <f t="shared" si="16"/>
        <v>-60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-6</v>
      </c>
      <c r="K245" s="42">
        <f t="shared" si="16"/>
        <v>-60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-6</v>
      </c>
      <c r="K246" s="42">
        <f t="shared" si="16"/>
        <v>-60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-6</v>
      </c>
      <c r="K247" s="42">
        <f t="shared" si="16"/>
        <v>-60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-6</v>
      </c>
      <c r="K248" s="42">
        <f t="shared" si="16"/>
        <v>-60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-6</v>
      </c>
      <c r="K249" s="42">
        <f t="shared" si="16"/>
        <v>-60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-6</v>
      </c>
      <c r="K250" s="42">
        <f t="shared" si="16"/>
        <v>-60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-6</v>
      </c>
      <c r="K251" s="42">
        <f t="shared" si="16"/>
        <v>-60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-6</v>
      </c>
      <c r="K252" s="42">
        <f t="shared" si="16"/>
        <v>-60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-6</v>
      </c>
      <c r="K253" s="42">
        <f t="shared" si="16"/>
        <v>-60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-6</v>
      </c>
      <c r="K254" s="42">
        <f t="shared" si="16"/>
        <v>-60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-6</v>
      </c>
      <c r="K255" s="42">
        <f t="shared" si="16"/>
        <v>-60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-6</v>
      </c>
      <c r="K256" s="42">
        <f t="shared" si="16"/>
        <v>-60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-6</v>
      </c>
      <c r="K257" s="42">
        <f t="shared" si="16"/>
        <v>-60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-6</v>
      </c>
      <c r="K258" s="42">
        <f t="shared" si="16"/>
        <v>-60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-6</v>
      </c>
      <c r="K259" s="42">
        <f t="shared" si="16"/>
        <v>-60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-6</v>
      </c>
      <c r="K260" s="42">
        <f t="shared" si="16"/>
        <v>-60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-6</v>
      </c>
      <c r="K261" s="42">
        <f t="shared" si="16"/>
        <v>-60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-7</v>
      </c>
      <c r="K262" s="42">
        <f t="shared" ref="K262:K305" si="20">J262*$J$2</f>
        <v>-70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-7</v>
      </c>
      <c r="K263" s="42">
        <f t="shared" si="20"/>
        <v>-70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-7</v>
      </c>
      <c r="K264" s="42">
        <f t="shared" si="20"/>
        <v>-70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-7</v>
      </c>
      <c r="K265" s="42">
        <f t="shared" si="20"/>
        <v>-70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-7</v>
      </c>
      <c r="K266" s="42">
        <f t="shared" si="20"/>
        <v>-70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-7</v>
      </c>
      <c r="K267" s="42">
        <f t="shared" si="20"/>
        <v>-70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-7</v>
      </c>
      <c r="K268" s="42">
        <f t="shared" si="20"/>
        <v>-70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-7</v>
      </c>
      <c r="K269" s="42">
        <f t="shared" si="20"/>
        <v>-70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-7</v>
      </c>
      <c r="K270" s="42">
        <f t="shared" si="20"/>
        <v>-70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-7</v>
      </c>
      <c r="K271" s="42">
        <f t="shared" si="20"/>
        <v>-70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-7</v>
      </c>
      <c r="K272" s="42">
        <f t="shared" si="20"/>
        <v>-70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-7</v>
      </c>
      <c r="K273" s="42">
        <f t="shared" si="20"/>
        <v>-70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-7</v>
      </c>
      <c r="K274" s="42">
        <f t="shared" si="20"/>
        <v>-70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-7</v>
      </c>
      <c r="K275" s="42">
        <f t="shared" si="20"/>
        <v>-70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-7</v>
      </c>
      <c r="K276" s="42">
        <f t="shared" si="20"/>
        <v>-70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-7</v>
      </c>
      <c r="K277" s="42">
        <f t="shared" si="20"/>
        <v>-70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-7</v>
      </c>
      <c r="K278" s="42">
        <f t="shared" si="20"/>
        <v>-70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-7</v>
      </c>
      <c r="K279" s="42">
        <f t="shared" si="20"/>
        <v>-70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-7</v>
      </c>
      <c r="K280" s="42">
        <f t="shared" si="20"/>
        <v>-70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-7</v>
      </c>
      <c r="K281" s="42">
        <f t="shared" si="20"/>
        <v>-70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-7</v>
      </c>
      <c r="K282" s="42">
        <f t="shared" si="20"/>
        <v>-70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-7</v>
      </c>
      <c r="K283" s="42">
        <f t="shared" si="20"/>
        <v>-70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-7</v>
      </c>
      <c r="K284" s="42">
        <f t="shared" si="20"/>
        <v>-70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-7</v>
      </c>
      <c r="K285" s="42">
        <f t="shared" si="20"/>
        <v>-70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-7</v>
      </c>
      <c r="K286" s="42">
        <f t="shared" si="20"/>
        <v>-70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-7</v>
      </c>
      <c r="K287" s="42">
        <f t="shared" si="20"/>
        <v>-70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-7</v>
      </c>
      <c r="K288" s="42">
        <f t="shared" si="20"/>
        <v>-70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-7</v>
      </c>
      <c r="K289" s="42">
        <f t="shared" si="20"/>
        <v>-70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-7</v>
      </c>
      <c r="K290" s="42">
        <f t="shared" si="20"/>
        <v>-70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-7</v>
      </c>
      <c r="K291" s="42">
        <f t="shared" si="20"/>
        <v>-70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-7</v>
      </c>
      <c r="K292" s="42">
        <f t="shared" si="20"/>
        <v>-70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-7</v>
      </c>
      <c r="K293" s="42">
        <f t="shared" si="20"/>
        <v>-70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-7</v>
      </c>
      <c r="K294" s="42">
        <f t="shared" si="20"/>
        <v>-70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-7</v>
      </c>
      <c r="K295" s="42">
        <f t="shared" si="20"/>
        <v>-70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-7</v>
      </c>
      <c r="K296" s="42">
        <f t="shared" si="20"/>
        <v>-70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-7</v>
      </c>
      <c r="K297" s="42">
        <f t="shared" si="20"/>
        <v>-70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-7</v>
      </c>
      <c r="K298" s="42">
        <f t="shared" si="20"/>
        <v>-70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-7</v>
      </c>
      <c r="K299" s="42">
        <f t="shared" si="20"/>
        <v>-70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-7</v>
      </c>
      <c r="K300" s="42">
        <f t="shared" si="20"/>
        <v>-70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-7</v>
      </c>
      <c r="K301" s="42">
        <f t="shared" si="20"/>
        <v>-70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-7</v>
      </c>
      <c r="K302" s="42">
        <f t="shared" si="20"/>
        <v>-70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-7</v>
      </c>
      <c r="K303" s="42">
        <f t="shared" si="20"/>
        <v>-70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-7</v>
      </c>
      <c r="K304" s="42">
        <f t="shared" si="20"/>
        <v>-70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-7</v>
      </c>
      <c r="K305" s="42">
        <f t="shared" si="20"/>
        <v>-70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C9D01900-C50D-4B03-B63F-80CE87A1C8FF}">
      <formula1>#REF!</formula1>
    </dataValidation>
  </dataValidations>
  <hyperlinks>
    <hyperlink ref="C2:D2" r:id="rId1" display="WISŁA" xr:uid="{918A4B6F-80FF-4D12-9616-B71CCFEB5AFE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704A-4121-4931-A4A5-C9930177B2AC}">
  <sheetPr>
    <tabColor rgb="FF92D050"/>
  </sheetPr>
  <dimension ref="A1:AL317"/>
  <sheetViews>
    <sheetView workbookViewId="0">
      <selection activeCell="B27" sqref="B27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25</v>
      </c>
      <c r="I1" s="22" t="s">
        <v>26</v>
      </c>
      <c r="J1" s="22" t="s">
        <v>27</v>
      </c>
      <c r="K1" s="23" t="s">
        <v>28</v>
      </c>
      <c r="L1" s="24"/>
      <c r="M1" s="24"/>
    </row>
    <row r="2" spans="1:36">
      <c r="A2" s="20"/>
      <c r="B2" s="26" t="s">
        <v>29</v>
      </c>
      <c r="C2" s="92" t="s">
        <v>58</v>
      </c>
      <c r="D2" s="92"/>
      <c r="E2" s="27"/>
      <c r="F2" s="27"/>
      <c r="G2" s="27"/>
      <c r="H2" s="28">
        <v>3</v>
      </c>
      <c r="I2" s="29">
        <v>50</v>
      </c>
      <c r="J2" s="29">
        <v>10</v>
      </c>
      <c r="K2" s="30">
        <f>3*H2^(1/3)</f>
        <v>4.3267487109222245</v>
      </c>
      <c r="L2" s="24"/>
      <c r="M2" s="24"/>
    </row>
    <row r="3" spans="1:36">
      <c r="A3" s="20"/>
      <c r="B3" s="31" t="s">
        <v>31</v>
      </c>
      <c r="C3" s="93" t="s">
        <v>59</v>
      </c>
      <c r="D3" s="93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33</v>
      </c>
      <c r="B5" s="35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4"/>
      <c r="H5" s="36" t="s">
        <v>39</v>
      </c>
      <c r="I5" s="37" t="s">
        <v>40</v>
      </c>
      <c r="J5" s="38" t="s">
        <v>41</v>
      </c>
      <c r="K5" s="37" t="s">
        <v>42</v>
      </c>
      <c r="L5" s="37" t="s">
        <v>43</v>
      </c>
      <c r="M5" s="36" t="s">
        <v>44</v>
      </c>
    </row>
    <row r="6" spans="1:36" ht="14.45" customHeight="1">
      <c r="A6" s="39">
        <f>M6</f>
        <v>82.980246132766666</v>
      </c>
      <c r="B6" s="40">
        <v>1</v>
      </c>
      <c r="C6" s="74" t="s">
        <v>17</v>
      </c>
      <c r="D6" s="74" t="s">
        <v>56</v>
      </c>
      <c r="E6" s="74" t="s">
        <v>45</v>
      </c>
      <c r="F6" s="74"/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2</v>
      </c>
      <c r="K6" s="42">
        <f t="shared" ref="K6:K69" si="1">J6*$J$2</f>
        <v>20</v>
      </c>
      <c r="L6" s="44">
        <f>3*K2</f>
        <v>12.980246132766673</v>
      </c>
      <c r="M6" s="44">
        <f t="shared" ref="M6:M69" si="2">IF(I6&lt;&gt;"",K6+I6+L6,0)</f>
        <v>82.980246132766666</v>
      </c>
    </row>
    <row r="7" spans="1:36" ht="14.45" customHeight="1">
      <c r="A7" s="45">
        <f t="shared" ref="A7:A37" si="3">M7</f>
        <v>37.73793949684304</v>
      </c>
      <c r="B7" s="46">
        <v>2</v>
      </c>
      <c r="C7" s="75" t="s">
        <v>18</v>
      </c>
      <c r="D7" s="75" t="s">
        <v>56</v>
      </c>
      <c r="E7" s="75" t="s">
        <v>45</v>
      </c>
      <c r="F7" s="75"/>
      <c r="G7" s="34"/>
      <c r="H7" s="48">
        <v>2</v>
      </c>
      <c r="I7" s="49">
        <f t="shared" si="0"/>
        <v>19.084442074998588</v>
      </c>
      <c r="J7" s="48">
        <f t="shared" ref="J7:J70" si="4">INT(LOG($H$2,2))-ROUNDUP(LOG(H7,2),0)+IF(OR($H$2=1,$H$2=2,$H$2=4,$H$2=8,$H$2=16,$H$2=32,$H$2=64,$H$2=128,$H$2=256),0,1)</f>
        <v>1</v>
      </c>
      <c r="K7" s="48">
        <f t="shared" si="1"/>
        <v>10</v>
      </c>
      <c r="L7" s="50">
        <f>2*K2</f>
        <v>8.6534974218444489</v>
      </c>
      <c r="M7" s="50">
        <f t="shared" si="2"/>
        <v>37.73793949684304</v>
      </c>
    </row>
    <row r="8" spans="1:36" ht="14.45" customHeight="1">
      <c r="A8" s="39">
        <f t="shared" si="3"/>
        <v>5.3267487109222245</v>
      </c>
      <c r="B8" s="40">
        <v>3</v>
      </c>
      <c r="C8" s="74" t="s">
        <v>22</v>
      </c>
      <c r="D8" s="74"/>
      <c r="E8" s="74" t="s">
        <v>45</v>
      </c>
      <c r="F8" s="74"/>
      <c r="G8" s="34"/>
      <c r="H8" s="42">
        <v>3</v>
      </c>
      <c r="I8" s="43">
        <f t="shared" si="0"/>
        <v>1</v>
      </c>
      <c r="J8" s="42">
        <f t="shared" si="4"/>
        <v>0</v>
      </c>
      <c r="K8" s="42">
        <f t="shared" si="1"/>
        <v>0</v>
      </c>
      <c r="L8" s="44">
        <f>K2</f>
        <v>4.3267487109222245</v>
      </c>
      <c r="M8" s="44">
        <f t="shared" si="2"/>
        <v>5.3267487109222245</v>
      </c>
    </row>
    <row r="9" spans="1:36" ht="14.45" customHeight="1">
      <c r="A9" s="45">
        <f t="shared" si="3"/>
        <v>0</v>
      </c>
      <c r="B9" s="46" t="str">
        <f t="shared" ref="B9:B13" si="5">IF(H9&gt;$H$2,"",(ROW()-5))</f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>
        <f t="shared" si="4"/>
        <v>0</v>
      </c>
      <c r="K9" s="48">
        <f t="shared" si="1"/>
        <v>0</v>
      </c>
      <c r="L9" s="50"/>
      <c r="M9" s="50">
        <f t="shared" si="2"/>
        <v>0</v>
      </c>
      <c r="V9" s="51"/>
      <c r="Z9" s="52"/>
      <c r="AA9" s="52"/>
      <c r="AG9" s="53"/>
      <c r="AH9" s="25" t="s">
        <v>46</v>
      </c>
      <c r="AI9" s="25">
        <v>23</v>
      </c>
    </row>
    <row r="10" spans="1:36" ht="14.45" customHeight="1">
      <c r="A10" s="39">
        <f t="shared" si="3"/>
        <v>0</v>
      </c>
      <c r="B10" s="40" t="str">
        <f t="shared" si="5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4"/>
        <v>-1</v>
      </c>
      <c r="K10" s="42">
        <f t="shared" si="1"/>
        <v>-10</v>
      </c>
      <c r="L10" s="42"/>
      <c r="M10" s="44">
        <f t="shared" si="2"/>
        <v>0</v>
      </c>
      <c r="V10" s="51"/>
      <c r="Z10" s="52"/>
      <c r="AA10" s="52"/>
      <c r="AG10" s="53"/>
      <c r="AH10" s="25" t="s">
        <v>47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5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4"/>
        <v>-1</v>
      </c>
      <c r="K11" s="48">
        <f t="shared" si="1"/>
        <v>-10</v>
      </c>
      <c r="L11" s="48"/>
      <c r="M11" s="50">
        <f t="shared" si="2"/>
        <v>0</v>
      </c>
      <c r="V11" s="54"/>
      <c r="Z11" s="52"/>
      <c r="AA11" s="52"/>
      <c r="AG11" s="53"/>
      <c r="AH11" s="25" t="s">
        <v>48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5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4"/>
        <v>-1</v>
      </c>
      <c r="K12" s="42">
        <f t="shared" si="1"/>
        <v>-10</v>
      </c>
      <c r="L12" s="42"/>
      <c r="M12" s="44">
        <f t="shared" si="2"/>
        <v>0</v>
      </c>
      <c r="Z12" s="52"/>
      <c r="AA12" s="52"/>
      <c r="AG12" s="53"/>
      <c r="AH12" s="25" t="s">
        <v>49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5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4"/>
        <v>-1</v>
      </c>
      <c r="K13" s="48">
        <f t="shared" si="1"/>
        <v>-10</v>
      </c>
      <c r="L13" s="48"/>
      <c r="M13" s="50">
        <f t="shared" si="2"/>
        <v>0</v>
      </c>
      <c r="X13" s="51"/>
      <c r="AG13" s="53"/>
      <c r="AH13" s="25" t="s">
        <v>50</v>
      </c>
      <c r="AI13" s="25">
        <f>LOG(AI9)</f>
        <v>1.3617278360175928</v>
      </c>
    </row>
    <row r="14" spans="1:36">
      <c r="A14" s="56">
        <f t="shared" si="3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4"/>
        <v>-2</v>
      </c>
      <c r="K14" s="42">
        <f t="shared" si="1"/>
        <v>-20</v>
      </c>
      <c r="L14" s="42"/>
      <c r="M14" s="44">
        <f t="shared" si="2"/>
        <v>0</v>
      </c>
      <c r="X14" s="57"/>
      <c r="Z14" s="52"/>
      <c r="AA14" s="52"/>
      <c r="AG14" s="53"/>
      <c r="AH14" s="25" t="s">
        <v>51</v>
      </c>
      <c r="AI14" s="25">
        <f>LOG(AI10)</f>
        <v>1.6532125137753437</v>
      </c>
    </row>
    <row r="15" spans="1:36">
      <c r="A15" s="55">
        <f t="shared" si="3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4"/>
        <v>-2</v>
      </c>
      <c r="K15" s="48">
        <f t="shared" si="1"/>
        <v>-20</v>
      </c>
      <c r="L15" s="48"/>
      <c r="M15" s="50">
        <f t="shared" si="2"/>
        <v>0</v>
      </c>
      <c r="X15" s="51"/>
      <c r="Z15" s="52"/>
      <c r="AA15" s="52"/>
    </row>
    <row r="16" spans="1:36">
      <c r="A16" s="56">
        <f t="shared" si="3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4"/>
        <v>-2</v>
      </c>
      <c r="K16" s="42">
        <f t="shared" si="1"/>
        <v>-20</v>
      </c>
      <c r="L16" s="42"/>
      <c r="M16" s="44">
        <f t="shared" si="2"/>
        <v>0</v>
      </c>
      <c r="R16" s="58"/>
      <c r="Z16" s="52"/>
      <c r="AA16" s="52"/>
      <c r="AH16" s="59" t="s">
        <v>52</v>
      </c>
      <c r="AI16" s="25">
        <f>AI11-AI12*AI13/AI14</f>
        <v>9.6393909380186855</v>
      </c>
      <c r="AJ16" s="25" t="s">
        <v>53</v>
      </c>
    </row>
    <row r="17" spans="1:19">
      <c r="A17" s="55">
        <f t="shared" si="3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4"/>
        <v>-2</v>
      </c>
      <c r="K17" s="48">
        <f t="shared" si="1"/>
        <v>-20</v>
      </c>
      <c r="L17" s="48"/>
      <c r="M17" s="50">
        <f t="shared" si="2"/>
        <v>0</v>
      </c>
    </row>
    <row r="18" spans="1:19">
      <c r="A18" s="56">
        <f t="shared" si="3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4"/>
        <v>-2</v>
      </c>
      <c r="K18" s="42">
        <f t="shared" si="1"/>
        <v>-20</v>
      </c>
      <c r="L18" s="42"/>
      <c r="M18" s="44">
        <f t="shared" si="2"/>
        <v>0</v>
      </c>
    </row>
    <row r="19" spans="1:19">
      <c r="A19" s="55">
        <f t="shared" si="3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4"/>
        <v>-2</v>
      </c>
      <c r="K19" s="48">
        <f t="shared" si="1"/>
        <v>-20</v>
      </c>
      <c r="L19" s="48"/>
      <c r="M19" s="50">
        <f t="shared" si="2"/>
        <v>0</v>
      </c>
    </row>
    <row r="20" spans="1:19">
      <c r="A20" s="56">
        <f t="shared" si="3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4"/>
        <v>-2</v>
      </c>
      <c r="K20" s="42">
        <f t="shared" si="1"/>
        <v>-20</v>
      </c>
      <c r="L20" s="42"/>
      <c r="M20" s="44">
        <f t="shared" si="2"/>
        <v>0</v>
      </c>
      <c r="R20" s="60"/>
      <c r="S20" s="61"/>
    </row>
    <row r="21" spans="1:19">
      <c r="A21" s="55">
        <f t="shared" si="3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4"/>
        <v>-2</v>
      </c>
      <c r="K21" s="48">
        <f t="shared" si="1"/>
        <v>-20</v>
      </c>
      <c r="L21" s="48"/>
      <c r="M21" s="50">
        <f t="shared" si="2"/>
        <v>0</v>
      </c>
    </row>
    <row r="22" spans="1:19">
      <c r="A22" s="56">
        <f t="shared" si="3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4"/>
        <v>-3</v>
      </c>
      <c r="K22" s="42">
        <f t="shared" si="1"/>
        <v>-30</v>
      </c>
      <c r="L22" s="42"/>
      <c r="M22" s="44">
        <f t="shared" si="2"/>
        <v>0</v>
      </c>
    </row>
    <row r="23" spans="1:19">
      <c r="A23" s="55">
        <f t="shared" si="3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4"/>
        <v>-3</v>
      </c>
      <c r="K23" s="48">
        <f t="shared" si="1"/>
        <v>-30</v>
      </c>
      <c r="L23" s="48"/>
      <c r="M23" s="50">
        <f t="shared" si="2"/>
        <v>0</v>
      </c>
    </row>
    <row r="24" spans="1:19">
      <c r="A24" s="56">
        <f t="shared" si="3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4"/>
        <v>-3</v>
      </c>
      <c r="K24" s="42">
        <f t="shared" si="1"/>
        <v>-30</v>
      </c>
      <c r="L24" s="42"/>
      <c r="M24" s="44">
        <f t="shared" si="2"/>
        <v>0</v>
      </c>
      <c r="R24" s="60"/>
      <c r="S24" s="61"/>
    </row>
    <row r="25" spans="1:19">
      <c r="A25" s="55">
        <f t="shared" si="3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4"/>
        <v>-3</v>
      </c>
      <c r="K25" s="48">
        <f t="shared" si="1"/>
        <v>-30</v>
      </c>
      <c r="L25" s="48"/>
      <c r="M25" s="50">
        <f t="shared" si="2"/>
        <v>0</v>
      </c>
    </row>
    <row r="26" spans="1:19">
      <c r="A26" s="56">
        <f t="shared" si="3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4"/>
        <v>-3</v>
      </c>
      <c r="K26" s="42">
        <f t="shared" si="1"/>
        <v>-30</v>
      </c>
      <c r="L26" s="42"/>
      <c r="M26" s="44">
        <f t="shared" si="2"/>
        <v>0</v>
      </c>
    </row>
    <row r="27" spans="1:19">
      <c r="A27" s="55">
        <f t="shared" si="3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4"/>
        <v>-3</v>
      </c>
      <c r="K27" s="48">
        <f t="shared" si="1"/>
        <v>-30</v>
      </c>
      <c r="L27" s="48"/>
      <c r="M27" s="50">
        <f t="shared" si="2"/>
        <v>0</v>
      </c>
    </row>
    <row r="28" spans="1:19">
      <c r="A28" s="56">
        <f t="shared" si="3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4"/>
        <v>-3</v>
      </c>
      <c r="K28" s="42">
        <f t="shared" si="1"/>
        <v>-30</v>
      </c>
      <c r="L28" s="42"/>
      <c r="M28" s="44">
        <f t="shared" si="2"/>
        <v>0</v>
      </c>
      <c r="R28" s="60"/>
      <c r="S28" s="61"/>
    </row>
    <row r="29" spans="1:19">
      <c r="A29" s="55">
        <f t="shared" si="3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4"/>
        <v>-3</v>
      </c>
      <c r="K29" s="48">
        <f t="shared" si="1"/>
        <v>-30</v>
      </c>
      <c r="L29" s="48"/>
      <c r="M29" s="50">
        <f t="shared" si="2"/>
        <v>0</v>
      </c>
    </row>
    <row r="30" spans="1:19">
      <c r="A30" s="56">
        <f t="shared" si="3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4"/>
        <v>-3</v>
      </c>
      <c r="K30" s="42">
        <f t="shared" si="1"/>
        <v>-30</v>
      </c>
      <c r="L30" s="42"/>
      <c r="M30" s="44">
        <f t="shared" si="2"/>
        <v>0</v>
      </c>
    </row>
    <row r="31" spans="1:19">
      <c r="A31" s="55">
        <f t="shared" si="3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4"/>
        <v>-3</v>
      </c>
      <c r="K31" s="48">
        <f t="shared" si="1"/>
        <v>-30</v>
      </c>
      <c r="L31" s="48"/>
      <c r="M31" s="50">
        <f t="shared" si="2"/>
        <v>0</v>
      </c>
    </row>
    <row r="32" spans="1:19">
      <c r="A32" s="56">
        <f t="shared" si="3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4"/>
        <v>-3</v>
      </c>
      <c r="K32" s="42">
        <f t="shared" si="1"/>
        <v>-30</v>
      </c>
      <c r="L32" s="42"/>
      <c r="M32" s="44">
        <f t="shared" si="2"/>
        <v>0</v>
      </c>
      <c r="R32" s="60"/>
      <c r="S32" s="61"/>
    </row>
    <row r="33" spans="1:21">
      <c r="A33" s="55">
        <f t="shared" si="3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4"/>
        <v>-3</v>
      </c>
      <c r="K33" s="48">
        <f t="shared" si="1"/>
        <v>-30</v>
      </c>
      <c r="L33" s="48"/>
      <c r="M33" s="50">
        <f t="shared" si="2"/>
        <v>0</v>
      </c>
    </row>
    <row r="34" spans="1:21">
      <c r="A34" s="56">
        <f t="shared" si="3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4"/>
        <v>-3</v>
      </c>
      <c r="K34" s="42">
        <f t="shared" si="1"/>
        <v>-30</v>
      </c>
      <c r="L34" s="42"/>
      <c r="M34" s="44">
        <f t="shared" si="2"/>
        <v>0</v>
      </c>
    </row>
    <row r="35" spans="1:21">
      <c r="A35" s="55">
        <f t="shared" si="3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4"/>
        <v>-3</v>
      </c>
      <c r="K35" s="48">
        <f t="shared" si="1"/>
        <v>-30</v>
      </c>
      <c r="L35" s="48"/>
      <c r="M35" s="50">
        <f t="shared" si="2"/>
        <v>0</v>
      </c>
    </row>
    <row r="36" spans="1:21">
      <c r="A36" s="56">
        <f t="shared" si="3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4"/>
        <v>-3</v>
      </c>
      <c r="K36" s="42">
        <f t="shared" si="1"/>
        <v>-30</v>
      </c>
      <c r="L36" s="42"/>
      <c r="M36" s="44">
        <f t="shared" si="2"/>
        <v>0</v>
      </c>
      <c r="R36" s="60"/>
      <c r="S36" s="61"/>
    </row>
    <row r="37" spans="1:21">
      <c r="A37" s="55">
        <f t="shared" si="3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4"/>
        <v>-3</v>
      </c>
      <c r="K37" s="48">
        <f t="shared" si="1"/>
        <v>-30</v>
      </c>
      <c r="L37" s="48"/>
      <c r="M37" s="50">
        <f t="shared" si="2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4"/>
        <v>-4</v>
      </c>
      <c r="K38" s="42">
        <f t="shared" si="1"/>
        <v>-40</v>
      </c>
      <c r="L38" s="42"/>
      <c r="M38" s="44">
        <f t="shared" si="2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4"/>
        <v>-4</v>
      </c>
      <c r="K39" s="48">
        <f t="shared" si="1"/>
        <v>-40</v>
      </c>
      <c r="L39" s="48"/>
      <c r="M39" s="50">
        <f t="shared" si="2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4"/>
        <v>-4</v>
      </c>
      <c r="K40" s="42">
        <f t="shared" si="1"/>
        <v>-40</v>
      </c>
      <c r="L40" s="42"/>
      <c r="M40" s="44">
        <f t="shared" si="2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4"/>
        <v>-4</v>
      </c>
      <c r="K41" s="48">
        <f t="shared" si="1"/>
        <v>-40</v>
      </c>
      <c r="L41" s="48"/>
      <c r="M41" s="50">
        <f t="shared" si="2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4"/>
        <v>-4</v>
      </c>
      <c r="K42" s="42">
        <f t="shared" si="1"/>
        <v>-40</v>
      </c>
      <c r="L42" s="42"/>
      <c r="M42" s="44">
        <f t="shared" si="2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4"/>
        <v>-4</v>
      </c>
      <c r="K43" s="48">
        <f t="shared" si="1"/>
        <v>-40</v>
      </c>
      <c r="L43" s="48"/>
      <c r="M43" s="50">
        <f t="shared" si="2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4"/>
        <v>-4</v>
      </c>
      <c r="K44" s="42">
        <f t="shared" si="1"/>
        <v>-40</v>
      </c>
      <c r="L44" s="42"/>
      <c r="M44" s="44">
        <f t="shared" si="2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4"/>
        <v>-4</v>
      </c>
      <c r="K45" s="48">
        <f t="shared" si="1"/>
        <v>-40</v>
      </c>
      <c r="L45" s="48"/>
      <c r="M45" s="50">
        <f t="shared" si="2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4"/>
        <v>-4</v>
      </c>
      <c r="K46" s="42">
        <f t="shared" si="1"/>
        <v>-40</v>
      </c>
      <c r="L46" s="42"/>
      <c r="M46" s="44">
        <f t="shared" si="2"/>
        <v>0</v>
      </c>
      <c r="R46" s="20">
        <f>LOG($H$2,2)</f>
        <v>1.5849625007211563</v>
      </c>
      <c r="T46" s="25">
        <f>LOG(H38,2)</f>
        <v>5.0443941193584534</v>
      </c>
      <c r="U46" s="25">
        <f>R46-T46</f>
        <v>-3.4594316186372973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4"/>
        <v>-4</v>
      </c>
      <c r="K47" s="48">
        <f t="shared" si="1"/>
        <v>-40</v>
      </c>
      <c r="L47" s="48"/>
      <c r="M47" s="50">
        <f t="shared" si="2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4"/>
        <v>-4</v>
      </c>
      <c r="K48" s="42">
        <f t="shared" si="1"/>
        <v>-40</v>
      </c>
      <c r="L48" s="42"/>
      <c r="M48" s="44">
        <f t="shared" si="2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4"/>
        <v>-4</v>
      </c>
      <c r="K49" s="48">
        <f t="shared" si="1"/>
        <v>-40</v>
      </c>
      <c r="L49" s="48"/>
      <c r="M49" s="50">
        <f t="shared" si="2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4"/>
        <v>-4</v>
      </c>
      <c r="K50" s="42">
        <f t="shared" si="1"/>
        <v>-40</v>
      </c>
      <c r="L50" s="42"/>
      <c r="M50" s="44">
        <f t="shared" si="2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4"/>
        <v>-4</v>
      </c>
      <c r="K51" s="48">
        <f t="shared" si="1"/>
        <v>-40</v>
      </c>
      <c r="L51" s="48"/>
      <c r="M51" s="50">
        <f t="shared" si="2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4"/>
        <v>-4</v>
      </c>
      <c r="K52" s="42">
        <f t="shared" si="1"/>
        <v>-40</v>
      </c>
      <c r="L52" s="42"/>
      <c r="M52" s="44">
        <f t="shared" si="2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4"/>
        <v>-4</v>
      </c>
      <c r="K53" s="48">
        <f t="shared" si="1"/>
        <v>-40</v>
      </c>
      <c r="L53" s="48"/>
      <c r="M53" s="50">
        <f t="shared" si="2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4"/>
        <v>-4</v>
      </c>
      <c r="K54" s="42">
        <f t="shared" si="1"/>
        <v>-40</v>
      </c>
      <c r="L54" s="42"/>
      <c r="M54" s="44">
        <f t="shared" si="2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4"/>
        <v>-4</v>
      </c>
      <c r="K55" s="48">
        <f t="shared" si="1"/>
        <v>-40</v>
      </c>
      <c r="L55" s="48"/>
      <c r="M55" s="50">
        <f t="shared" si="2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4"/>
        <v>-4</v>
      </c>
      <c r="K56" s="42">
        <f t="shared" si="1"/>
        <v>-40</v>
      </c>
      <c r="L56" s="42"/>
      <c r="M56" s="44">
        <f t="shared" si="2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4"/>
        <v>-4</v>
      </c>
      <c r="K57" s="48">
        <f t="shared" si="1"/>
        <v>-40</v>
      </c>
      <c r="L57" s="48"/>
      <c r="M57" s="50">
        <f t="shared" si="2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4"/>
        <v>-4</v>
      </c>
      <c r="K58" s="42">
        <f t="shared" si="1"/>
        <v>-40</v>
      </c>
      <c r="L58" s="42"/>
      <c r="M58" s="44">
        <f t="shared" si="2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4"/>
        <v>-4</v>
      </c>
      <c r="K59" s="48">
        <f t="shared" si="1"/>
        <v>-40</v>
      </c>
      <c r="L59" s="48"/>
      <c r="M59" s="50">
        <f t="shared" si="2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4"/>
        <v>-4</v>
      </c>
      <c r="K60" s="42">
        <f t="shared" si="1"/>
        <v>-40</v>
      </c>
      <c r="L60" s="42"/>
      <c r="M60" s="44">
        <f t="shared" si="2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4"/>
        <v>-4</v>
      </c>
      <c r="K61" s="48">
        <f t="shared" si="1"/>
        <v>-40</v>
      </c>
      <c r="L61" s="48"/>
      <c r="M61" s="50">
        <f t="shared" si="2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4"/>
        <v>-4</v>
      </c>
      <c r="K62" s="42">
        <f t="shared" si="1"/>
        <v>-40</v>
      </c>
      <c r="L62" s="42"/>
      <c r="M62" s="44">
        <f t="shared" si="2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4"/>
        <v>-4</v>
      </c>
      <c r="K63" s="48">
        <f t="shared" si="1"/>
        <v>-40</v>
      </c>
      <c r="L63" s="48"/>
      <c r="M63" s="50">
        <f t="shared" si="2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4"/>
        <v>-4</v>
      </c>
      <c r="K64" s="42">
        <f t="shared" si="1"/>
        <v>-40</v>
      </c>
      <c r="L64" s="42"/>
      <c r="M64" s="44">
        <f t="shared" si="2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4"/>
        <v>-4</v>
      </c>
      <c r="K65" s="48">
        <f t="shared" si="1"/>
        <v>-40</v>
      </c>
      <c r="L65" s="48"/>
      <c r="M65" s="50">
        <f t="shared" si="2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>
        <f t="shared" si="4"/>
        <v>-4</v>
      </c>
      <c r="K66" s="42">
        <f t="shared" si="1"/>
        <v>-40</v>
      </c>
      <c r="L66" s="42"/>
      <c r="M66" s="44">
        <f t="shared" si="2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>
        <f t="shared" si="4"/>
        <v>-4</v>
      </c>
      <c r="K67" s="42">
        <f t="shared" si="1"/>
        <v>-40</v>
      </c>
      <c r="L67" s="42"/>
      <c r="M67" s="44">
        <f t="shared" si="2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>
        <f t="shared" si="4"/>
        <v>-4</v>
      </c>
      <c r="K68" s="42">
        <f t="shared" si="1"/>
        <v>-40</v>
      </c>
      <c r="L68" s="42"/>
      <c r="M68" s="44">
        <f t="shared" si="2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>
        <f t="shared" si="4"/>
        <v>-4</v>
      </c>
      <c r="K69" s="42">
        <f t="shared" si="1"/>
        <v>-40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4"/>
        <v>-5</v>
      </c>
      <c r="K70" s="42">
        <f t="shared" ref="K70:K133" si="8">J70*$J$2</f>
        <v>-50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-5</v>
      </c>
      <c r="K71" s="42">
        <f t="shared" si="8"/>
        <v>-50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-5</v>
      </c>
      <c r="K72" s="42">
        <f t="shared" si="8"/>
        <v>-50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-5</v>
      </c>
      <c r="K73" s="42">
        <f t="shared" si="8"/>
        <v>-50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-5</v>
      </c>
      <c r="K74" s="42">
        <f t="shared" si="8"/>
        <v>-50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-5</v>
      </c>
      <c r="K75" s="42">
        <f t="shared" si="8"/>
        <v>-50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-5</v>
      </c>
      <c r="K76" s="42">
        <f t="shared" si="8"/>
        <v>-50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-5</v>
      </c>
      <c r="K77" s="42">
        <f t="shared" si="8"/>
        <v>-50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-5</v>
      </c>
      <c r="K78" s="42">
        <f t="shared" si="8"/>
        <v>-50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-5</v>
      </c>
      <c r="K79" s="42">
        <f t="shared" si="8"/>
        <v>-50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-5</v>
      </c>
      <c r="K80" s="42">
        <f t="shared" si="8"/>
        <v>-50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-5</v>
      </c>
      <c r="K81" s="42">
        <f t="shared" si="8"/>
        <v>-50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-5</v>
      </c>
      <c r="K82" s="42">
        <f t="shared" si="8"/>
        <v>-50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-5</v>
      </c>
      <c r="K83" s="42">
        <f t="shared" si="8"/>
        <v>-50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-5</v>
      </c>
      <c r="K84" s="42">
        <f t="shared" si="8"/>
        <v>-50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-5</v>
      </c>
      <c r="K85" s="42">
        <f t="shared" si="8"/>
        <v>-50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-5</v>
      </c>
      <c r="K86" s="42">
        <f t="shared" si="8"/>
        <v>-50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-5</v>
      </c>
      <c r="K87" s="42">
        <f t="shared" si="8"/>
        <v>-50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-5</v>
      </c>
      <c r="K88" s="42">
        <f t="shared" si="8"/>
        <v>-50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-5</v>
      </c>
      <c r="K89" s="42">
        <f t="shared" si="8"/>
        <v>-50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-5</v>
      </c>
      <c r="K90" s="42">
        <f t="shared" si="8"/>
        <v>-50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-5</v>
      </c>
      <c r="K91" s="42">
        <f t="shared" si="8"/>
        <v>-50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-5</v>
      </c>
      <c r="K92" s="42">
        <f t="shared" si="8"/>
        <v>-50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-5</v>
      </c>
      <c r="K93" s="42">
        <f t="shared" si="8"/>
        <v>-50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-5</v>
      </c>
      <c r="K94" s="42">
        <f t="shared" si="8"/>
        <v>-50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-5</v>
      </c>
      <c r="K95" s="42">
        <f t="shared" si="8"/>
        <v>-50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-5</v>
      </c>
      <c r="K96" s="42">
        <f t="shared" si="8"/>
        <v>-50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-5</v>
      </c>
      <c r="K97" s="42">
        <f t="shared" si="8"/>
        <v>-50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-5</v>
      </c>
      <c r="K98" s="42">
        <f t="shared" si="8"/>
        <v>-50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-5</v>
      </c>
      <c r="K99" s="42">
        <f t="shared" si="8"/>
        <v>-50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-5</v>
      </c>
      <c r="K100" s="42">
        <f t="shared" si="8"/>
        <v>-50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-5</v>
      </c>
      <c r="K101" s="42">
        <f t="shared" si="8"/>
        <v>-50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-5</v>
      </c>
      <c r="K102" s="42">
        <f t="shared" si="8"/>
        <v>-50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-5</v>
      </c>
      <c r="K103" s="42">
        <f t="shared" si="8"/>
        <v>-50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-5</v>
      </c>
      <c r="K104" s="42">
        <f t="shared" si="8"/>
        <v>-50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-5</v>
      </c>
      <c r="K105" s="42">
        <f t="shared" si="8"/>
        <v>-50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-5</v>
      </c>
      <c r="K106" s="42">
        <f t="shared" si="8"/>
        <v>-50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-5</v>
      </c>
      <c r="K107" s="42">
        <f t="shared" si="8"/>
        <v>-50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-5</v>
      </c>
      <c r="K108" s="42">
        <f t="shared" si="8"/>
        <v>-50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-5</v>
      </c>
      <c r="K109" s="42">
        <f t="shared" si="8"/>
        <v>-50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-5</v>
      </c>
      <c r="K110" s="42">
        <f t="shared" si="8"/>
        <v>-50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-5</v>
      </c>
      <c r="K111" s="42">
        <f t="shared" si="8"/>
        <v>-50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-5</v>
      </c>
      <c r="K112" s="42">
        <f t="shared" si="8"/>
        <v>-50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-5</v>
      </c>
      <c r="K113" s="42">
        <f t="shared" si="8"/>
        <v>-50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-5</v>
      </c>
      <c r="K114" s="42">
        <f t="shared" si="8"/>
        <v>-50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-5</v>
      </c>
      <c r="K115" s="42">
        <f t="shared" si="8"/>
        <v>-50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-5</v>
      </c>
      <c r="K116" s="42">
        <f t="shared" si="8"/>
        <v>-50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-5</v>
      </c>
      <c r="K117" s="42">
        <f t="shared" si="8"/>
        <v>-50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-5</v>
      </c>
      <c r="K118" s="42">
        <f t="shared" si="8"/>
        <v>-50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-5</v>
      </c>
      <c r="K119" s="42">
        <f t="shared" si="8"/>
        <v>-50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-5</v>
      </c>
      <c r="K120" s="42">
        <f t="shared" si="8"/>
        <v>-50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-5</v>
      </c>
      <c r="K121" s="42">
        <f t="shared" si="8"/>
        <v>-50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-5</v>
      </c>
      <c r="K122" s="42">
        <f t="shared" si="8"/>
        <v>-50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-5</v>
      </c>
      <c r="K123" s="42">
        <f t="shared" si="8"/>
        <v>-50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-5</v>
      </c>
      <c r="K124" s="42">
        <f t="shared" si="8"/>
        <v>-50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-5</v>
      </c>
      <c r="K125" s="42">
        <f t="shared" si="8"/>
        <v>-50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-5</v>
      </c>
      <c r="K126" s="42">
        <f t="shared" si="8"/>
        <v>-50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-5</v>
      </c>
      <c r="K127" s="42">
        <f t="shared" si="8"/>
        <v>-50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-5</v>
      </c>
      <c r="K128" s="42">
        <f t="shared" si="8"/>
        <v>-50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-5</v>
      </c>
      <c r="K129" s="42">
        <f t="shared" si="8"/>
        <v>-50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-5</v>
      </c>
      <c r="K130" s="42">
        <f t="shared" si="8"/>
        <v>-50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-5</v>
      </c>
      <c r="K131" s="42">
        <f t="shared" si="8"/>
        <v>-50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-5</v>
      </c>
      <c r="K132" s="42">
        <f t="shared" si="8"/>
        <v>-50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-5</v>
      </c>
      <c r="K133" s="42">
        <f t="shared" si="8"/>
        <v>-50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-6</v>
      </c>
      <c r="K134" s="42">
        <f t="shared" ref="K134:K197" si="12">J134*$J$2</f>
        <v>-60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-6</v>
      </c>
      <c r="K135" s="42">
        <f t="shared" si="12"/>
        <v>-60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-6</v>
      </c>
      <c r="K136" s="42">
        <f t="shared" si="12"/>
        <v>-60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-6</v>
      </c>
      <c r="K137" s="42">
        <f t="shared" si="12"/>
        <v>-60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-6</v>
      </c>
      <c r="K138" s="42">
        <f t="shared" si="12"/>
        <v>-60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-6</v>
      </c>
      <c r="K139" s="42">
        <f t="shared" si="12"/>
        <v>-60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-6</v>
      </c>
      <c r="K140" s="42">
        <f t="shared" si="12"/>
        <v>-60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-6</v>
      </c>
      <c r="K141" s="42">
        <f t="shared" si="12"/>
        <v>-60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-6</v>
      </c>
      <c r="K142" s="42">
        <f t="shared" si="12"/>
        <v>-60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-6</v>
      </c>
      <c r="K143" s="42">
        <f t="shared" si="12"/>
        <v>-60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-6</v>
      </c>
      <c r="K144" s="42">
        <f t="shared" si="12"/>
        <v>-60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-6</v>
      </c>
      <c r="K145" s="42">
        <f t="shared" si="12"/>
        <v>-60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-6</v>
      </c>
      <c r="K146" s="42">
        <f t="shared" si="12"/>
        <v>-60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-6</v>
      </c>
      <c r="K147" s="42">
        <f t="shared" si="12"/>
        <v>-60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-6</v>
      </c>
      <c r="K148" s="42">
        <f t="shared" si="12"/>
        <v>-60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-6</v>
      </c>
      <c r="K149" s="42">
        <f t="shared" si="12"/>
        <v>-60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-6</v>
      </c>
      <c r="K150" s="42">
        <f t="shared" si="12"/>
        <v>-60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-6</v>
      </c>
      <c r="K151" s="42">
        <f t="shared" si="12"/>
        <v>-60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-6</v>
      </c>
      <c r="K152" s="42">
        <f t="shared" si="12"/>
        <v>-60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-6</v>
      </c>
      <c r="K153" s="42">
        <f t="shared" si="12"/>
        <v>-60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-6</v>
      </c>
      <c r="K154" s="42">
        <f t="shared" si="12"/>
        <v>-60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-6</v>
      </c>
      <c r="K155" s="42">
        <f t="shared" si="12"/>
        <v>-60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-6</v>
      </c>
      <c r="K156" s="42">
        <f t="shared" si="12"/>
        <v>-60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-6</v>
      </c>
      <c r="K157" s="42">
        <f t="shared" si="12"/>
        <v>-60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-6</v>
      </c>
      <c r="K158" s="42">
        <f t="shared" si="12"/>
        <v>-60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-6</v>
      </c>
      <c r="K159" s="42">
        <f t="shared" si="12"/>
        <v>-60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-6</v>
      </c>
      <c r="K160" s="42">
        <f t="shared" si="12"/>
        <v>-60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-6</v>
      </c>
      <c r="K161" s="42">
        <f t="shared" si="12"/>
        <v>-60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-6</v>
      </c>
      <c r="K162" s="42">
        <f t="shared" si="12"/>
        <v>-60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-6</v>
      </c>
      <c r="K163" s="42">
        <f t="shared" si="12"/>
        <v>-60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-6</v>
      </c>
      <c r="K164" s="42">
        <f t="shared" si="12"/>
        <v>-60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-6</v>
      </c>
      <c r="K165" s="42">
        <f t="shared" si="12"/>
        <v>-60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-6</v>
      </c>
      <c r="K166" s="42">
        <f t="shared" si="12"/>
        <v>-60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-6</v>
      </c>
      <c r="K167" s="42">
        <f t="shared" si="12"/>
        <v>-60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-6</v>
      </c>
      <c r="K168" s="42">
        <f t="shared" si="12"/>
        <v>-60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-6</v>
      </c>
      <c r="K169" s="42">
        <f t="shared" si="12"/>
        <v>-60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-6</v>
      </c>
      <c r="K170" s="42">
        <f t="shared" si="12"/>
        <v>-60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-6</v>
      </c>
      <c r="K171" s="42">
        <f t="shared" si="12"/>
        <v>-60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-6</v>
      </c>
      <c r="K172" s="42">
        <f t="shared" si="12"/>
        <v>-60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-6</v>
      </c>
      <c r="K173" s="42">
        <f t="shared" si="12"/>
        <v>-60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-6</v>
      </c>
      <c r="K174" s="42">
        <f t="shared" si="12"/>
        <v>-60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-6</v>
      </c>
      <c r="K175" s="42">
        <f t="shared" si="12"/>
        <v>-60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-6</v>
      </c>
      <c r="K176" s="42">
        <f t="shared" si="12"/>
        <v>-60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-6</v>
      </c>
      <c r="K177" s="42">
        <f t="shared" si="12"/>
        <v>-60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-6</v>
      </c>
      <c r="K178" s="42">
        <f t="shared" si="12"/>
        <v>-60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-6</v>
      </c>
      <c r="K179" s="42">
        <f t="shared" si="12"/>
        <v>-60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-6</v>
      </c>
      <c r="K180" s="42">
        <f t="shared" si="12"/>
        <v>-60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-6</v>
      </c>
      <c r="K181" s="42">
        <f t="shared" si="12"/>
        <v>-60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-6</v>
      </c>
      <c r="K182" s="42">
        <f t="shared" si="12"/>
        <v>-60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-6</v>
      </c>
      <c r="K183" s="42">
        <f t="shared" si="12"/>
        <v>-60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-6</v>
      </c>
      <c r="K184" s="42">
        <f t="shared" si="12"/>
        <v>-60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-6</v>
      </c>
      <c r="K185" s="42">
        <f t="shared" si="12"/>
        <v>-60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-6</v>
      </c>
      <c r="K186" s="42">
        <f t="shared" si="12"/>
        <v>-60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-6</v>
      </c>
      <c r="K187" s="42">
        <f t="shared" si="12"/>
        <v>-60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-6</v>
      </c>
      <c r="K188" s="42">
        <f t="shared" si="12"/>
        <v>-60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-6</v>
      </c>
      <c r="K189" s="42">
        <f t="shared" si="12"/>
        <v>-60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-6</v>
      </c>
      <c r="K190" s="42">
        <f t="shared" si="12"/>
        <v>-60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-6</v>
      </c>
      <c r="K191" s="42">
        <f t="shared" si="12"/>
        <v>-60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-6</v>
      </c>
      <c r="K192" s="42">
        <f t="shared" si="12"/>
        <v>-60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-6</v>
      </c>
      <c r="K193" s="42">
        <f t="shared" si="12"/>
        <v>-60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-6</v>
      </c>
      <c r="K194" s="42">
        <f t="shared" si="12"/>
        <v>-60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-6</v>
      </c>
      <c r="K195" s="42">
        <f t="shared" si="12"/>
        <v>-60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-6</v>
      </c>
      <c r="K196" s="42">
        <f t="shared" si="12"/>
        <v>-60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-6</v>
      </c>
      <c r="K197" s="42">
        <f t="shared" si="12"/>
        <v>-60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-6</v>
      </c>
      <c r="K198" s="42">
        <f t="shared" ref="K198:K261" si="16">J198*$J$2</f>
        <v>-60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-6</v>
      </c>
      <c r="K199" s="42">
        <f t="shared" si="16"/>
        <v>-60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-6</v>
      </c>
      <c r="K200" s="42">
        <f t="shared" si="16"/>
        <v>-60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-6</v>
      </c>
      <c r="K201" s="42">
        <f t="shared" si="16"/>
        <v>-60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-6</v>
      </c>
      <c r="K202" s="42">
        <f t="shared" si="16"/>
        <v>-60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-6</v>
      </c>
      <c r="K203" s="42">
        <f t="shared" si="16"/>
        <v>-60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-6</v>
      </c>
      <c r="K204" s="42">
        <f t="shared" si="16"/>
        <v>-60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-6</v>
      </c>
      <c r="K205" s="42">
        <f t="shared" si="16"/>
        <v>-60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-6</v>
      </c>
      <c r="K206" s="42">
        <f t="shared" si="16"/>
        <v>-60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-6</v>
      </c>
      <c r="K207" s="42">
        <f t="shared" si="16"/>
        <v>-60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-6</v>
      </c>
      <c r="K208" s="42">
        <f t="shared" si="16"/>
        <v>-60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-6</v>
      </c>
      <c r="K209" s="42">
        <f t="shared" si="16"/>
        <v>-60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-6</v>
      </c>
      <c r="K210" s="42">
        <f t="shared" si="16"/>
        <v>-60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-6</v>
      </c>
      <c r="K211" s="42">
        <f t="shared" si="16"/>
        <v>-60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-6</v>
      </c>
      <c r="K212" s="42">
        <f t="shared" si="16"/>
        <v>-60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-6</v>
      </c>
      <c r="K213" s="42">
        <f t="shared" si="16"/>
        <v>-60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-6</v>
      </c>
      <c r="K214" s="42">
        <f t="shared" si="16"/>
        <v>-60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-6</v>
      </c>
      <c r="K215" s="42">
        <f t="shared" si="16"/>
        <v>-60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-6</v>
      </c>
      <c r="K216" s="42">
        <f t="shared" si="16"/>
        <v>-60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-6</v>
      </c>
      <c r="K217" s="42">
        <f t="shared" si="16"/>
        <v>-60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-6</v>
      </c>
      <c r="K218" s="42">
        <f t="shared" si="16"/>
        <v>-60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-6</v>
      </c>
      <c r="K219" s="42">
        <f t="shared" si="16"/>
        <v>-60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-6</v>
      </c>
      <c r="K220" s="42">
        <f t="shared" si="16"/>
        <v>-60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-6</v>
      </c>
      <c r="K221" s="42">
        <f t="shared" si="16"/>
        <v>-60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-6</v>
      </c>
      <c r="K222" s="42">
        <f t="shared" si="16"/>
        <v>-60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-6</v>
      </c>
      <c r="K223" s="42">
        <f t="shared" si="16"/>
        <v>-60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-6</v>
      </c>
      <c r="K224" s="42">
        <f t="shared" si="16"/>
        <v>-60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-6</v>
      </c>
      <c r="K225" s="42">
        <f t="shared" si="16"/>
        <v>-60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-6</v>
      </c>
      <c r="K226" s="42">
        <f t="shared" si="16"/>
        <v>-60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-6</v>
      </c>
      <c r="K227" s="42">
        <f t="shared" si="16"/>
        <v>-60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-6</v>
      </c>
      <c r="K228" s="42">
        <f t="shared" si="16"/>
        <v>-60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-6</v>
      </c>
      <c r="K229" s="42">
        <f t="shared" si="16"/>
        <v>-60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-6</v>
      </c>
      <c r="K230" s="42">
        <f t="shared" si="16"/>
        <v>-60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-6</v>
      </c>
      <c r="K231" s="42">
        <f t="shared" si="16"/>
        <v>-60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-6</v>
      </c>
      <c r="K232" s="42">
        <f t="shared" si="16"/>
        <v>-60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-6</v>
      </c>
      <c r="K233" s="42">
        <f t="shared" si="16"/>
        <v>-60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-6</v>
      </c>
      <c r="K234" s="42">
        <f t="shared" si="16"/>
        <v>-60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-6</v>
      </c>
      <c r="K235" s="42">
        <f t="shared" si="16"/>
        <v>-60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-6</v>
      </c>
      <c r="K236" s="42">
        <f t="shared" si="16"/>
        <v>-60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-6</v>
      </c>
      <c r="K237" s="42">
        <f t="shared" si="16"/>
        <v>-60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-6</v>
      </c>
      <c r="K238" s="42">
        <f t="shared" si="16"/>
        <v>-60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-6</v>
      </c>
      <c r="K239" s="42">
        <f t="shared" si="16"/>
        <v>-60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-6</v>
      </c>
      <c r="K240" s="42">
        <f t="shared" si="16"/>
        <v>-60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-6</v>
      </c>
      <c r="K241" s="42">
        <f t="shared" si="16"/>
        <v>-60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-6</v>
      </c>
      <c r="K242" s="42">
        <f t="shared" si="16"/>
        <v>-60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-6</v>
      </c>
      <c r="K243" s="42">
        <f t="shared" si="16"/>
        <v>-60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-6</v>
      </c>
      <c r="K244" s="42">
        <f t="shared" si="16"/>
        <v>-60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-6</v>
      </c>
      <c r="K245" s="42">
        <f t="shared" si="16"/>
        <v>-60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-6</v>
      </c>
      <c r="K246" s="42">
        <f t="shared" si="16"/>
        <v>-60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-6</v>
      </c>
      <c r="K247" s="42">
        <f t="shared" si="16"/>
        <v>-60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-6</v>
      </c>
      <c r="K248" s="42">
        <f t="shared" si="16"/>
        <v>-60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-6</v>
      </c>
      <c r="K249" s="42">
        <f t="shared" si="16"/>
        <v>-60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-6</v>
      </c>
      <c r="K250" s="42">
        <f t="shared" si="16"/>
        <v>-60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-6</v>
      </c>
      <c r="K251" s="42">
        <f t="shared" si="16"/>
        <v>-60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-6</v>
      </c>
      <c r="K252" s="42">
        <f t="shared" si="16"/>
        <v>-60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-6</v>
      </c>
      <c r="K253" s="42">
        <f t="shared" si="16"/>
        <v>-60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-6</v>
      </c>
      <c r="K254" s="42">
        <f t="shared" si="16"/>
        <v>-60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-6</v>
      </c>
      <c r="K255" s="42">
        <f t="shared" si="16"/>
        <v>-60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-6</v>
      </c>
      <c r="K256" s="42">
        <f t="shared" si="16"/>
        <v>-60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-6</v>
      </c>
      <c r="K257" s="42">
        <f t="shared" si="16"/>
        <v>-60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-6</v>
      </c>
      <c r="K258" s="42">
        <f t="shared" si="16"/>
        <v>-60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-6</v>
      </c>
      <c r="K259" s="42">
        <f t="shared" si="16"/>
        <v>-60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-6</v>
      </c>
      <c r="K260" s="42">
        <f t="shared" si="16"/>
        <v>-60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-6</v>
      </c>
      <c r="K261" s="42">
        <f t="shared" si="16"/>
        <v>-60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-7</v>
      </c>
      <c r="K262" s="42">
        <f t="shared" ref="K262:K305" si="20">J262*$J$2</f>
        <v>-70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-7</v>
      </c>
      <c r="K263" s="42">
        <f t="shared" si="20"/>
        <v>-70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-7</v>
      </c>
      <c r="K264" s="42">
        <f t="shared" si="20"/>
        <v>-70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-7</v>
      </c>
      <c r="K265" s="42">
        <f t="shared" si="20"/>
        <v>-70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-7</v>
      </c>
      <c r="K266" s="42">
        <f t="shared" si="20"/>
        <v>-70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-7</v>
      </c>
      <c r="K267" s="42">
        <f t="shared" si="20"/>
        <v>-70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-7</v>
      </c>
      <c r="K268" s="42">
        <f t="shared" si="20"/>
        <v>-70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-7</v>
      </c>
      <c r="K269" s="42">
        <f t="shared" si="20"/>
        <v>-70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-7</v>
      </c>
      <c r="K270" s="42">
        <f t="shared" si="20"/>
        <v>-70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-7</v>
      </c>
      <c r="K271" s="42">
        <f t="shared" si="20"/>
        <v>-70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-7</v>
      </c>
      <c r="K272" s="42">
        <f t="shared" si="20"/>
        <v>-70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-7</v>
      </c>
      <c r="K273" s="42">
        <f t="shared" si="20"/>
        <v>-70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-7</v>
      </c>
      <c r="K274" s="42">
        <f t="shared" si="20"/>
        <v>-70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-7</v>
      </c>
      <c r="K275" s="42">
        <f t="shared" si="20"/>
        <v>-70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-7</v>
      </c>
      <c r="K276" s="42">
        <f t="shared" si="20"/>
        <v>-70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-7</v>
      </c>
      <c r="K277" s="42">
        <f t="shared" si="20"/>
        <v>-70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-7</v>
      </c>
      <c r="K278" s="42">
        <f t="shared" si="20"/>
        <v>-70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-7</v>
      </c>
      <c r="K279" s="42">
        <f t="shared" si="20"/>
        <v>-70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-7</v>
      </c>
      <c r="K280" s="42">
        <f t="shared" si="20"/>
        <v>-70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-7</v>
      </c>
      <c r="K281" s="42">
        <f t="shared" si="20"/>
        <v>-70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-7</v>
      </c>
      <c r="K282" s="42">
        <f t="shared" si="20"/>
        <v>-70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-7</v>
      </c>
      <c r="K283" s="42">
        <f t="shared" si="20"/>
        <v>-70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-7</v>
      </c>
      <c r="K284" s="42">
        <f t="shared" si="20"/>
        <v>-70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-7</v>
      </c>
      <c r="K285" s="42">
        <f t="shared" si="20"/>
        <v>-70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-7</v>
      </c>
      <c r="K286" s="42">
        <f t="shared" si="20"/>
        <v>-70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-7</v>
      </c>
      <c r="K287" s="42">
        <f t="shared" si="20"/>
        <v>-70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-7</v>
      </c>
      <c r="K288" s="42">
        <f t="shared" si="20"/>
        <v>-70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-7</v>
      </c>
      <c r="K289" s="42">
        <f t="shared" si="20"/>
        <v>-70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-7</v>
      </c>
      <c r="K290" s="42">
        <f t="shared" si="20"/>
        <v>-70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-7</v>
      </c>
      <c r="K291" s="42">
        <f t="shared" si="20"/>
        <v>-70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-7</v>
      </c>
      <c r="K292" s="42">
        <f t="shared" si="20"/>
        <v>-70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-7</v>
      </c>
      <c r="K293" s="42">
        <f t="shared" si="20"/>
        <v>-70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-7</v>
      </c>
      <c r="K294" s="42">
        <f t="shared" si="20"/>
        <v>-70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-7</v>
      </c>
      <c r="K295" s="42">
        <f t="shared" si="20"/>
        <v>-70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-7</v>
      </c>
      <c r="K296" s="42">
        <f t="shared" si="20"/>
        <v>-70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-7</v>
      </c>
      <c r="K297" s="42">
        <f t="shared" si="20"/>
        <v>-70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-7</v>
      </c>
      <c r="K298" s="42">
        <f t="shared" si="20"/>
        <v>-70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-7</v>
      </c>
      <c r="K299" s="42">
        <f t="shared" si="20"/>
        <v>-70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-7</v>
      </c>
      <c r="K300" s="42">
        <f t="shared" si="20"/>
        <v>-70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-7</v>
      </c>
      <c r="K301" s="42">
        <f t="shared" si="20"/>
        <v>-70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-7</v>
      </c>
      <c r="K302" s="42">
        <f t="shared" si="20"/>
        <v>-70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-7</v>
      </c>
      <c r="K303" s="42">
        <f t="shared" si="20"/>
        <v>-70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-7</v>
      </c>
      <c r="K304" s="42">
        <f t="shared" si="20"/>
        <v>-70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-7</v>
      </c>
      <c r="K305" s="42">
        <f t="shared" si="20"/>
        <v>-70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F7CBA6C1-E8C6-4B1A-AD2D-51D142987024}">
      <formula1>#REF!</formula1>
    </dataValidation>
  </dataValidations>
  <hyperlinks>
    <hyperlink ref="C2:D2" r:id="rId1" display="NIEPOŁOMICE" xr:uid="{6D185B93-E0A4-42EA-A8D6-EA53B92D256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2D76-B630-4E3A-B4EF-A4E5ABD93690}">
  <sheetPr>
    <tabColor rgb="FF92D050"/>
  </sheetPr>
  <dimension ref="A1:AL317"/>
  <sheetViews>
    <sheetView workbookViewId="0">
      <selection activeCell="C18" sqref="C18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25</v>
      </c>
      <c r="I1" s="22" t="s">
        <v>26</v>
      </c>
      <c r="J1" s="22" t="s">
        <v>27</v>
      </c>
      <c r="K1" s="23" t="s">
        <v>28</v>
      </c>
      <c r="L1" s="24"/>
      <c r="M1" s="24"/>
    </row>
    <row r="2" spans="1:36" ht="14.45" customHeight="1">
      <c r="A2" s="20"/>
      <c r="B2" s="26" t="s">
        <v>29</v>
      </c>
      <c r="C2" s="92" t="s">
        <v>60</v>
      </c>
      <c r="D2" s="92"/>
      <c r="E2" s="27"/>
      <c r="F2" s="27"/>
      <c r="G2" s="27"/>
      <c r="H2" s="28">
        <v>4</v>
      </c>
      <c r="I2" s="29">
        <v>50</v>
      </c>
      <c r="J2" s="29">
        <v>10</v>
      </c>
      <c r="K2" s="30">
        <f>3*H2^(1/3)</f>
        <v>4.7622031559045981</v>
      </c>
      <c r="L2" s="24"/>
      <c r="M2" s="24"/>
    </row>
    <row r="3" spans="1:36" ht="14.45" customHeight="1">
      <c r="A3" s="20"/>
      <c r="B3" s="31" t="s">
        <v>31</v>
      </c>
      <c r="C3" s="93" t="s">
        <v>61</v>
      </c>
      <c r="D3" s="93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33</v>
      </c>
      <c r="B5" s="35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4"/>
      <c r="H5" s="36" t="s">
        <v>39</v>
      </c>
      <c r="I5" s="37" t="s">
        <v>40</v>
      </c>
      <c r="J5" s="38" t="s">
        <v>41</v>
      </c>
      <c r="K5" s="37" t="s">
        <v>42</v>
      </c>
      <c r="L5" s="37" t="s">
        <v>43</v>
      </c>
      <c r="M5" s="36" t="s">
        <v>44</v>
      </c>
    </row>
    <row r="6" spans="1:36" ht="14.45" customHeight="1">
      <c r="A6" s="39">
        <f>M6</f>
        <v>84.286609467713788</v>
      </c>
      <c r="B6" s="40">
        <f t="shared" ref="B6:B13" si="0">IF(H6&gt;$H$2,"",(ROW()-5))</f>
        <v>1</v>
      </c>
      <c r="C6" s="41" t="s">
        <v>17</v>
      </c>
      <c r="D6" s="41" t="s">
        <v>56</v>
      </c>
      <c r="E6" s="41"/>
      <c r="F6" s="41" t="s">
        <v>62</v>
      </c>
      <c r="G6" s="34"/>
      <c r="H6" s="42">
        <v>1</v>
      </c>
      <c r="I6" s="43">
        <f t="shared" ref="I6:I69" si="1">IF(H6&lt;$H$2+1,($I$2-($I$2-1)*(LOG(H6)/LOG($H$2))),"")</f>
        <v>50</v>
      </c>
      <c r="J6" s="42">
        <f>INT(LOG($H$2,2))-ROUNDUP(LOG(H6,2),0)+IF(OR($H$2=1,$H$2=2,$H$2=4,$H$2=8,$H$2=16,$H$2=32,$H$2=64,$H$2=128,$H$2=256),0,1)</f>
        <v>2</v>
      </c>
      <c r="K6" s="42">
        <f t="shared" ref="K6:K69" si="2">J6*$J$2</f>
        <v>20</v>
      </c>
      <c r="L6" s="44">
        <f>3*K2</f>
        <v>14.286609467713795</v>
      </c>
      <c r="M6" s="44">
        <f t="shared" ref="M6:M69" si="3">IF(I6&lt;&gt;"",K6+I6+L6,0)</f>
        <v>84.286609467713788</v>
      </c>
    </row>
    <row r="7" spans="1:36" ht="14.45" customHeight="1">
      <c r="A7" s="45">
        <f t="shared" ref="A7:A37" si="4">M7</f>
        <v>45.024406311809194</v>
      </c>
      <c r="B7" s="46">
        <f t="shared" si="0"/>
        <v>2</v>
      </c>
      <c r="C7" s="47" t="s">
        <v>18</v>
      </c>
      <c r="D7" s="47" t="s">
        <v>56</v>
      </c>
      <c r="E7" s="47"/>
      <c r="F7" s="47" t="s">
        <v>62</v>
      </c>
      <c r="G7" s="34"/>
      <c r="H7" s="48">
        <v>2</v>
      </c>
      <c r="I7" s="49">
        <f t="shared" si="1"/>
        <v>25.5</v>
      </c>
      <c r="J7" s="48">
        <f t="shared" ref="J7:J70" si="5">INT(LOG($H$2,2))-ROUNDUP(LOG(H7,2),0)+IF(OR($H$2=1,$H$2=2,$H$2=4,$H$2=8,$H$2=16,$H$2=32,$H$2=64,$H$2=128,$H$2=256),0,1)</f>
        <v>1</v>
      </c>
      <c r="K7" s="48">
        <f t="shared" si="2"/>
        <v>10</v>
      </c>
      <c r="L7" s="50">
        <f>2*K2</f>
        <v>9.5244063118091962</v>
      </c>
      <c r="M7" s="50">
        <f t="shared" si="3"/>
        <v>45.024406311809194</v>
      </c>
    </row>
    <row r="8" spans="1:36" ht="14.45" customHeight="1">
      <c r="A8" s="39">
        <f t="shared" si="4"/>
        <v>15.930621888236271</v>
      </c>
      <c r="B8" s="40">
        <f t="shared" si="0"/>
        <v>3</v>
      </c>
      <c r="C8" s="41" t="s">
        <v>23</v>
      </c>
      <c r="D8" s="41" t="s">
        <v>63</v>
      </c>
      <c r="E8" s="41"/>
      <c r="F8" s="41" t="s">
        <v>62</v>
      </c>
      <c r="G8" s="34"/>
      <c r="H8" s="42">
        <v>3</v>
      </c>
      <c r="I8" s="43">
        <f t="shared" si="1"/>
        <v>11.168418732331673</v>
      </c>
      <c r="J8" s="42">
        <f t="shared" si="5"/>
        <v>0</v>
      </c>
      <c r="K8" s="42">
        <f t="shared" si="2"/>
        <v>0</v>
      </c>
      <c r="L8" s="44">
        <f>K2</f>
        <v>4.7622031559045981</v>
      </c>
      <c r="M8" s="44">
        <f t="shared" si="3"/>
        <v>15.930621888236271</v>
      </c>
    </row>
    <row r="9" spans="1:36" ht="14.45" customHeight="1">
      <c r="A9" s="45">
        <v>16</v>
      </c>
      <c r="B9" s="46">
        <v>3</v>
      </c>
      <c r="C9" s="47" t="s">
        <v>19</v>
      </c>
      <c r="D9" s="47" t="s">
        <v>64</v>
      </c>
      <c r="E9" s="47"/>
      <c r="F9" s="47" t="s">
        <v>62</v>
      </c>
      <c r="G9" s="34"/>
      <c r="H9" s="48">
        <v>4</v>
      </c>
      <c r="I9" s="49">
        <f t="shared" si="1"/>
        <v>1</v>
      </c>
      <c r="J9" s="48">
        <f t="shared" si="5"/>
        <v>0</v>
      </c>
      <c r="K9" s="48">
        <f t="shared" si="2"/>
        <v>0</v>
      </c>
      <c r="L9" s="50"/>
      <c r="M9" s="50">
        <f t="shared" si="3"/>
        <v>1</v>
      </c>
      <c r="V9" s="51"/>
      <c r="Z9" s="52"/>
      <c r="AA9" s="52"/>
      <c r="AG9" s="53"/>
      <c r="AH9" s="25" t="s">
        <v>46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5"/>
        <v>-1</v>
      </c>
      <c r="K10" s="42">
        <f t="shared" si="2"/>
        <v>-10</v>
      </c>
      <c r="L10" s="42"/>
      <c r="M10" s="44">
        <f t="shared" si="3"/>
        <v>0</v>
      </c>
      <c r="V10" s="51"/>
      <c r="Z10" s="52"/>
      <c r="AA10" s="52"/>
      <c r="AG10" s="53"/>
      <c r="AH10" s="25" t="s">
        <v>47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5"/>
        <v>-1</v>
      </c>
      <c r="K11" s="48">
        <f t="shared" si="2"/>
        <v>-10</v>
      </c>
      <c r="L11" s="48"/>
      <c r="M11" s="50">
        <f t="shared" si="3"/>
        <v>0</v>
      </c>
      <c r="V11" s="54"/>
      <c r="Z11" s="52"/>
      <c r="AA11" s="52"/>
      <c r="AG11" s="53"/>
      <c r="AH11" s="25" t="s">
        <v>48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5"/>
        <v>-1</v>
      </c>
      <c r="K12" s="42">
        <f t="shared" si="2"/>
        <v>-10</v>
      </c>
      <c r="L12" s="42"/>
      <c r="M12" s="44">
        <f t="shared" si="3"/>
        <v>0</v>
      </c>
      <c r="Z12" s="52"/>
      <c r="AA12" s="52"/>
      <c r="AG12" s="53"/>
      <c r="AH12" s="25" t="s">
        <v>49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5"/>
        <v>-1</v>
      </c>
      <c r="K13" s="48">
        <f t="shared" si="2"/>
        <v>-10</v>
      </c>
      <c r="L13" s="48"/>
      <c r="M13" s="50">
        <f t="shared" si="3"/>
        <v>0</v>
      </c>
      <c r="X13" s="51"/>
      <c r="AG13" s="53"/>
      <c r="AH13" s="25" t="s">
        <v>50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5"/>
        <v>-2</v>
      </c>
      <c r="K14" s="42">
        <f t="shared" si="2"/>
        <v>-20</v>
      </c>
      <c r="L14" s="42"/>
      <c r="M14" s="44">
        <f t="shared" si="3"/>
        <v>0</v>
      </c>
      <c r="X14" s="57"/>
      <c r="Z14" s="52"/>
      <c r="AA14" s="52"/>
      <c r="AG14" s="53"/>
      <c r="AH14" s="25" t="s">
        <v>51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5"/>
        <v>-2</v>
      </c>
      <c r="K15" s="48">
        <f t="shared" si="2"/>
        <v>-20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5"/>
        <v>-2</v>
      </c>
      <c r="K16" s="42">
        <f t="shared" si="2"/>
        <v>-20</v>
      </c>
      <c r="L16" s="42"/>
      <c r="M16" s="44">
        <f t="shared" si="3"/>
        <v>0</v>
      </c>
      <c r="R16" s="58"/>
      <c r="Z16" s="52"/>
      <c r="AA16" s="52"/>
      <c r="AH16" s="59" t="s">
        <v>52</v>
      </c>
      <c r="AI16" s="25">
        <f>AI11-AI12*AI13/AI14</f>
        <v>9.6393909380186855</v>
      </c>
      <c r="AJ16" s="25" t="s">
        <v>53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5"/>
        <v>-2</v>
      </c>
      <c r="K17" s="48">
        <f t="shared" si="2"/>
        <v>-20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5"/>
        <v>-2</v>
      </c>
      <c r="K18" s="42">
        <f t="shared" si="2"/>
        <v>-20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5"/>
        <v>-2</v>
      </c>
      <c r="K19" s="48">
        <f t="shared" si="2"/>
        <v>-20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5"/>
        <v>-2</v>
      </c>
      <c r="K20" s="42">
        <f t="shared" si="2"/>
        <v>-20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5"/>
        <v>-2</v>
      </c>
      <c r="K21" s="48">
        <f t="shared" si="2"/>
        <v>-20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5"/>
        <v>-3</v>
      </c>
      <c r="K22" s="42">
        <f t="shared" si="2"/>
        <v>-30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5"/>
        <v>-3</v>
      </c>
      <c r="K23" s="48">
        <f t="shared" si="2"/>
        <v>-30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5"/>
        <v>-3</v>
      </c>
      <c r="K24" s="42">
        <f t="shared" si="2"/>
        <v>-30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5"/>
        <v>-3</v>
      </c>
      <c r="K25" s="48">
        <f t="shared" si="2"/>
        <v>-30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5"/>
        <v>-3</v>
      </c>
      <c r="K26" s="42">
        <f t="shared" si="2"/>
        <v>-30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5"/>
        <v>-3</v>
      </c>
      <c r="K27" s="48">
        <f t="shared" si="2"/>
        <v>-30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5"/>
        <v>-3</v>
      </c>
      <c r="K28" s="42">
        <f t="shared" si="2"/>
        <v>-30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5"/>
        <v>-3</v>
      </c>
      <c r="K29" s="48">
        <f t="shared" si="2"/>
        <v>-30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5"/>
        <v>-3</v>
      </c>
      <c r="K30" s="42">
        <f t="shared" si="2"/>
        <v>-30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5"/>
        <v>-3</v>
      </c>
      <c r="K31" s="48">
        <f t="shared" si="2"/>
        <v>-30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5"/>
        <v>-3</v>
      </c>
      <c r="K32" s="42">
        <f t="shared" si="2"/>
        <v>-30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5"/>
        <v>-3</v>
      </c>
      <c r="K33" s="48">
        <f t="shared" si="2"/>
        <v>-30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5"/>
        <v>-3</v>
      </c>
      <c r="K34" s="42">
        <f t="shared" si="2"/>
        <v>-30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5"/>
        <v>-3</v>
      </c>
      <c r="K35" s="48">
        <f t="shared" si="2"/>
        <v>-30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5"/>
        <v>-3</v>
      </c>
      <c r="K36" s="42">
        <f t="shared" si="2"/>
        <v>-30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5"/>
        <v>-3</v>
      </c>
      <c r="K37" s="48">
        <f t="shared" si="2"/>
        <v>-30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5"/>
        <v>-4</v>
      </c>
      <c r="K38" s="42">
        <f t="shared" si="2"/>
        <v>-40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5"/>
        <v>-4</v>
      </c>
      <c r="K39" s="48">
        <f t="shared" si="2"/>
        <v>-40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5"/>
        <v>-4</v>
      </c>
      <c r="K40" s="42">
        <f t="shared" si="2"/>
        <v>-40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5"/>
        <v>-4</v>
      </c>
      <c r="K41" s="48">
        <f t="shared" si="2"/>
        <v>-40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5"/>
        <v>-4</v>
      </c>
      <c r="K42" s="42">
        <f t="shared" si="2"/>
        <v>-40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5"/>
        <v>-4</v>
      </c>
      <c r="K43" s="48">
        <f t="shared" si="2"/>
        <v>-40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5"/>
        <v>-4</v>
      </c>
      <c r="K44" s="42">
        <f t="shared" si="2"/>
        <v>-40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5"/>
        <v>-4</v>
      </c>
      <c r="K45" s="48">
        <f t="shared" si="2"/>
        <v>-40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5"/>
        <v>-4</v>
      </c>
      <c r="K46" s="42">
        <f t="shared" si="2"/>
        <v>-40</v>
      </c>
      <c r="L46" s="42"/>
      <c r="M46" s="44">
        <f t="shared" si="3"/>
        <v>0</v>
      </c>
      <c r="R46" s="20">
        <f>LOG($H$2,2)</f>
        <v>2</v>
      </c>
      <c r="T46" s="25">
        <f>LOG(H38,2)</f>
        <v>5.0443941193584534</v>
      </c>
      <c r="U46" s="25">
        <f>R46-T46</f>
        <v>-3.0443941193584534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5"/>
        <v>-4</v>
      </c>
      <c r="K47" s="48">
        <f t="shared" si="2"/>
        <v>-40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5"/>
        <v>-4</v>
      </c>
      <c r="K48" s="42">
        <f t="shared" si="2"/>
        <v>-40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5"/>
        <v>-4</v>
      </c>
      <c r="K49" s="48">
        <f t="shared" si="2"/>
        <v>-40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5"/>
        <v>-4</v>
      </c>
      <c r="K50" s="42">
        <f t="shared" si="2"/>
        <v>-40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5"/>
        <v>-4</v>
      </c>
      <c r="K51" s="48">
        <f t="shared" si="2"/>
        <v>-40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5"/>
        <v>-4</v>
      </c>
      <c r="K52" s="42">
        <f t="shared" si="2"/>
        <v>-40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5"/>
        <v>-4</v>
      </c>
      <c r="K53" s="48">
        <f t="shared" si="2"/>
        <v>-40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5"/>
        <v>-4</v>
      </c>
      <c r="K54" s="42">
        <f t="shared" si="2"/>
        <v>-40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5"/>
        <v>-4</v>
      </c>
      <c r="K55" s="48">
        <f t="shared" si="2"/>
        <v>-40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5"/>
        <v>-4</v>
      </c>
      <c r="K56" s="42">
        <f t="shared" si="2"/>
        <v>-40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5"/>
        <v>-4</v>
      </c>
      <c r="K57" s="48">
        <f t="shared" si="2"/>
        <v>-40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5"/>
        <v>-4</v>
      </c>
      <c r="K58" s="42">
        <f t="shared" si="2"/>
        <v>-40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5"/>
        <v>-4</v>
      </c>
      <c r="K59" s="48">
        <f t="shared" si="2"/>
        <v>-40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5"/>
        <v>-4</v>
      </c>
      <c r="K60" s="42">
        <f t="shared" si="2"/>
        <v>-40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5"/>
        <v>-4</v>
      </c>
      <c r="K61" s="48">
        <f t="shared" si="2"/>
        <v>-40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5"/>
        <v>-4</v>
      </c>
      <c r="K62" s="42">
        <f t="shared" si="2"/>
        <v>-40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5"/>
        <v>-4</v>
      </c>
      <c r="K63" s="48">
        <f t="shared" si="2"/>
        <v>-40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5"/>
        <v>-4</v>
      </c>
      <c r="K64" s="42">
        <f t="shared" si="2"/>
        <v>-40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5"/>
        <v>-4</v>
      </c>
      <c r="K65" s="48">
        <f t="shared" si="2"/>
        <v>-40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>
        <f t="shared" si="5"/>
        <v>-4</v>
      </c>
      <c r="K66" s="42">
        <f t="shared" si="2"/>
        <v>-40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>
        <f t="shared" si="5"/>
        <v>-4</v>
      </c>
      <c r="K67" s="42">
        <f t="shared" si="2"/>
        <v>-40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>
        <f t="shared" si="5"/>
        <v>-4</v>
      </c>
      <c r="K68" s="42">
        <f t="shared" si="2"/>
        <v>-40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>
        <f t="shared" si="5"/>
        <v>-4</v>
      </c>
      <c r="K69" s="42">
        <f t="shared" si="2"/>
        <v>-40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-5</v>
      </c>
      <c r="K70" s="42">
        <f t="shared" ref="K70:K133" si="8">J70*$J$2</f>
        <v>-50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-5</v>
      </c>
      <c r="K71" s="42">
        <f t="shared" si="8"/>
        <v>-50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-5</v>
      </c>
      <c r="K72" s="42">
        <f t="shared" si="8"/>
        <v>-50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-5</v>
      </c>
      <c r="K73" s="42">
        <f t="shared" si="8"/>
        <v>-50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-5</v>
      </c>
      <c r="K74" s="42">
        <f t="shared" si="8"/>
        <v>-50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-5</v>
      </c>
      <c r="K75" s="42">
        <f t="shared" si="8"/>
        <v>-50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-5</v>
      </c>
      <c r="K76" s="42">
        <f t="shared" si="8"/>
        <v>-50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-5</v>
      </c>
      <c r="K77" s="42">
        <f t="shared" si="8"/>
        <v>-50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-5</v>
      </c>
      <c r="K78" s="42">
        <f t="shared" si="8"/>
        <v>-50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-5</v>
      </c>
      <c r="K79" s="42">
        <f t="shared" si="8"/>
        <v>-50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-5</v>
      </c>
      <c r="K80" s="42">
        <f t="shared" si="8"/>
        <v>-50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-5</v>
      </c>
      <c r="K81" s="42">
        <f t="shared" si="8"/>
        <v>-50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-5</v>
      </c>
      <c r="K82" s="42">
        <f t="shared" si="8"/>
        <v>-50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-5</v>
      </c>
      <c r="K83" s="42">
        <f t="shared" si="8"/>
        <v>-50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-5</v>
      </c>
      <c r="K84" s="42">
        <f t="shared" si="8"/>
        <v>-50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-5</v>
      </c>
      <c r="K85" s="42">
        <f t="shared" si="8"/>
        <v>-50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-5</v>
      </c>
      <c r="K86" s="42">
        <f t="shared" si="8"/>
        <v>-50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-5</v>
      </c>
      <c r="K87" s="42">
        <f t="shared" si="8"/>
        <v>-50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-5</v>
      </c>
      <c r="K88" s="42">
        <f t="shared" si="8"/>
        <v>-50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-5</v>
      </c>
      <c r="K89" s="42">
        <f t="shared" si="8"/>
        <v>-50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-5</v>
      </c>
      <c r="K90" s="42">
        <f t="shared" si="8"/>
        <v>-50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-5</v>
      </c>
      <c r="K91" s="42">
        <f t="shared" si="8"/>
        <v>-50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-5</v>
      </c>
      <c r="K92" s="42">
        <f t="shared" si="8"/>
        <v>-50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-5</v>
      </c>
      <c r="K93" s="42">
        <f t="shared" si="8"/>
        <v>-50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-5</v>
      </c>
      <c r="K94" s="42">
        <f t="shared" si="8"/>
        <v>-50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-5</v>
      </c>
      <c r="K95" s="42">
        <f t="shared" si="8"/>
        <v>-50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-5</v>
      </c>
      <c r="K96" s="42">
        <f t="shared" si="8"/>
        <v>-50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-5</v>
      </c>
      <c r="K97" s="42">
        <f t="shared" si="8"/>
        <v>-50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-5</v>
      </c>
      <c r="K98" s="42">
        <f t="shared" si="8"/>
        <v>-50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-5</v>
      </c>
      <c r="K99" s="42">
        <f t="shared" si="8"/>
        <v>-50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-5</v>
      </c>
      <c r="K100" s="42">
        <f t="shared" si="8"/>
        <v>-50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-5</v>
      </c>
      <c r="K101" s="42">
        <f t="shared" si="8"/>
        <v>-50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-5</v>
      </c>
      <c r="K102" s="42">
        <f t="shared" si="8"/>
        <v>-50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-5</v>
      </c>
      <c r="K103" s="42">
        <f t="shared" si="8"/>
        <v>-50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-5</v>
      </c>
      <c r="K104" s="42">
        <f t="shared" si="8"/>
        <v>-50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-5</v>
      </c>
      <c r="K105" s="42">
        <f t="shared" si="8"/>
        <v>-50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-5</v>
      </c>
      <c r="K106" s="42">
        <f t="shared" si="8"/>
        <v>-50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-5</v>
      </c>
      <c r="K107" s="42">
        <f t="shared" si="8"/>
        <v>-50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-5</v>
      </c>
      <c r="K108" s="42">
        <f t="shared" si="8"/>
        <v>-50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-5</v>
      </c>
      <c r="K109" s="42">
        <f t="shared" si="8"/>
        <v>-50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-5</v>
      </c>
      <c r="K110" s="42">
        <f t="shared" si="8"/>
        <v>-50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-5</v>
      </c>
      <c r="K111" s="42">
        <f t="shared" si="8"/>
        <v>-50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-5</v>
      </c>
      <c r="K112" s="42">
        <f t="shared" si="8"/>
        <v>-50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-5</v>
      </c>
      <c r="K113" s="42">
        <f t="shared" si="8"/>
        <v>-50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-5</v>
      </c>
      <c r="K114" s="42">
        <f t="shared" si="8"/>
        <v>-50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-5</v>
      </c>
      <c r="K115" s="42">
        <f t="shared" si="8"/>
        <v>-50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-5</v>
      </c>
      <c r="K116" s="42">
        <f t="shared" si="8"/>
        <v>-50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-5</v>
      </c>
      <c r="K117" s="42">
        <f t="shared" si="8"/>
        <v>-50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-5</v>
      </c>
      <c r="K118" s="42">
        <f t="shared" si="8"/>
        <v>-50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-5</v>
      </c>
      <c r="K119" s="42">
        <f t="shared" si="8"/>
        <v>-50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-5</v>
      </c>
      <c r="K120" s="42">
        <f t="shared" si="8"/>
        <v>-50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-5</v>
      </c>
      <c r="K121" s="42">
        <f t="shared" si="8"/>
        <v>-50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-5</v>
      </c>
      <c r="K122" s="42">
        <f t="shared" si="8"/>
        <v>-50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-5</v>
      </c>
      <c r="K123" s="42">
        <f t="shared" si="8"/>
        <v>-50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-5</v>
      </c>
      <c r="K124" s="42">
        <f t="shared" si="8"/>
        <v>-50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-5</v>
      </c>
      <c r="K125" s="42">
        <f t="shared" si="8"/>
        <v>-50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-5</v>
      </c>
      <c r="K126" s="42">
        <f t="shared" si="8"/>
        <v>-50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-5</v>
      </c>
      <c r="K127" s="42">
        <f t="shared" si="8"/>
        <v>-50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-5</v>
      </c>
      <c r="K128" s="42">
        <f t="shared" si="8"/>
        <v>-50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-5</v>
      </c>
      <c r="K129" s="42">
        <f t="shared" si="8"/>
        <v>-50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-5</v>
      </c>
      <c r="K130" s="42">
        <f t="shared" si="8"/>
        <v>-50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-5</v>
      </c>
      <c r="K131" s="42">
        <f t="shared" si="8"/>
        <v>-50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-5</v>
      </c>
      <c r="K132" s="42">
        <f t="shared" si="8"/>
        <v>-50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-5</v>
      </c>
      <c r="K133" s="42">
        <f t="shared" si="8"/>
        <v>-50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-6</v>
      </c>
      <c r="K134" s="42">
        <f t="shared" ref="K134:K197" si="12">J134*$J$2</f>
        <v>-60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-6</v>
      </c>
      <c r="K135" s="42">
        <f t="shared" si="12"/>
        <v>-60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-6</v>
      </c>
      <c r="K136" s="42">
        <f t="shared" si="12"/>
        <v>-60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-6</v>
      </c>
      <c r="K137" s="42">
        <f t="shared" si="12"/>
        <v>-60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-6</v>
      </c>
      <c r="K138" s="42">
        <f t="shared" si="12"/>
        <v>-60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-6</v>
      </c>
      <c r="K139" s="42">
        <f t="shared" si="12"/>
        <v>-60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-6</v>
      </c>
      <c r="K140" s="42">
        <f t="shared" si="12"/>
        <v>-60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-6</v>
      </c>
      <c r="K141" s="42">
        <f t="shared" si="12"/>
        <v>-60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-6</v>
      </c>
      <c r="K142" s="42">
        <f t="shared" si="12"/>
        <v>-60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-6</v>
      </c>
      <c r="K143" s="42">
        <f t="shared" si="12"/>
        <v>-60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-6</v>
      </c>
      <c r="K144" s="42">
        <f t="shared" si="12"/>
        <v>-60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-6</v>
      </c>
      <c r="K145" s="42">
        <f t="shared" si="12"/>
        <v>-60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-6</v>
      </c>
      <c r="K146" s="42">
        <f t="shared" si="12"/>
        <v>-60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-6</v>
      </c>
      <c r="K147" s="42">
        <f t="shared" si="12"/>
        <v>-60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-6</v>
      </c>
      <c r="K148" s="42">
        <f t="shared" si="12"/>
        <v>-60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-6</v>
      </c>
      <c r="K149" s="42">
        <f t="shared" si="12"/>
        <v>-60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-6</v>
      </c>
      <c r="K150" s="42">
        <f t="shared" si="12"/>
        <v>-60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-6</v>
      </c>
      <c r="K151" s="42">
        <f t="shared" si="12"/>
        <v>-60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-6</v>
      </c>
      <c r="K152" s="42">
        <f t="shared" si="12"/>
        <v>-60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-6</v>
      </c>
      <c r="K153" s="42">
        <f t="shared" si="12"/>
        <v>-60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-6</v>
      </c>
      <c r="K154" s="42">
        <f t="shared" si="12"/>
        <v>-60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-6</v>
      </c>
      <c r="K155" s="42">
        <f t="shared" si="12"/>
        <v>-60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-6</v>
      </c>
      <c r="K156" s="42">
        <f t="shared" si="12"/>
        <v>-60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-6</v>
      </c>
      <c r="K157" s="42">
        <f t="shared" si="12"/>
        <v>-60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-6</v>
      </c>
      <c r="K158" s="42">
        <f t="shared" si="12"/>
        <v>-60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-6</v>
      </c>
      <c r="K159" s="42">
        <f t="shared" si="12"/>
        <v>-60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-6</v>
      </c>
      <c r="K160" s="42">
        <f t="shared" si="12"/>
        <v>-60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-6</v>
      </c>
      <c r="K161" s="42">
        <f t="shared" si="12"/>
        <v>-60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-6</v>
      </c>
      <c r="K162" s="42">
        <f t="shared" si="12"/>
        <v>-60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-6</v>
      </c>
      <c r="K163" s="42">
        <f t="shared" si="12"/>
        <v>-60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-6</v>
      </c>
      <c r="K164" s="42">
        <f t="shared" si="12"/>
        <v>-60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-6</v>
      </c>
      <c r="K165" s="42">
        <f t="shared" si="12"/>
        <v>-60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-6</v>
      </c>
      <c r="K166" s="42">
        <f t="shared" si="12"/>
        <v>-60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-6</v>
      </c>
      <c r="K167" s="42">
        <f t="shared" si="12"/>
        <v>-60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-6</v>
      </c>
      <c r="K168" s="42">
        <f t="shared" si="12"/>
        <v>-60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-6</v>
      </c>
      <c r="K169" s="42">
        <f t="shared" si="12"/>
        <v>-60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-6</v>
      </c>
      <c r="K170" s="42">
        <f t="shared" si="12"/>
        <v>-60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-6</v>
      </c>
      <c r="K171" s="42">
        <f t="shared" si="12"/>
        <v>-60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-6</v>
      </c>
      <c r="K172" s="42">
        <f t="shared" si="12"/>
        <v>-60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-6</v>
      </c>
      <c r="K173" s="42">
        <f t="shared" si="12"/>
        <v>-60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-6</v>
      </c>
      <c r="K174" s="42">
        <f t="shared" si="12"/>
        <v>-60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-6</v>
      </c>
      <c r="K175" s="42">
        <f t="shared" si="12"/>
        <v>-60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-6</v>
      </c>
      <c r="K176" s="42">
        <f t="shared" si="12"/>
        <v>-60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-6</v>
      </c>
      <c r="K177" s="42">
        <f t="shared" si="12"/>
        <v>-60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-6</v>
      </c>
      <c r="K178" s="42">
        <f t="shared" si="12"/>
        <v>-60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-6</v>
      </c>
      <c r="K179" s="42">
        <f t="shared" si="12"/>
        <v>-60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-6</v>
      </c>
      <c r="K180" s="42">
        <f t="shared" si="12"/>
        <v>-60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-6</v>
      </c>
      <c r="K181" s="42">
        <f t="shared" si="12"/>
        <v>-60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-6</v>
      </c>
      <c r="K182" s="42">
        <f t="shared" si="12"/>
        <v>-60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-6</v>
      </c>
      <c r="K183" s="42">
        <f t="shared" si="12"/>
        <v>-60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-6</v>
      </c>
      <c r="K184" s="42">
        <f t="shared" si="12"/>
        <v>-60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-6</v>
      </c>
      <c r="K185" s="42">
        <f t="shared" si="12"/>
        <v>-60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-6</v>
      </c>
      <c r="K186" s="42">
        <f t="shared" si="12"/>
        <v>-60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-6</v>
      </c>
      <c r="K187" s="42">
        <f t="shared" si="12"/>
        <v>-60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-6</v>
      </c>
      <c r="K188" s="42">
        <f t="shared" si="12"/>
        <v>-60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-6</v>
      </c>
      <c r="K189" s="42">
        <f t="shared" si="12"/>
        <v>-60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-6</v>
      </c>
      <c r="K190" s="42">
        <f t="shared" si="12"/>
        <v>-60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-6</v>
      </c>
      <c r="K191" s="42">
        <f t="shared" si="12"/>
        <v>-60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-6</v>
      </c>
      <c r="K192" s="42">
        <f t="shared" si="12"/>
        <v>-60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-6</v>
      </c>
      <c r="K193" s="42">
        <f t="shared" si="12"/>
        <v>-60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-6</v>
      </c>
      <c r="K194" s="42">
        <f t="shared" si="12"/>
        <v>-60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-6</v>
      </c>
      <c r="K195" s="42">
        <f t="shared" si="12"/>
        <v>-60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-6</v>
      </c>
      <c r="K196" s="42">
        <f t="shared" si="12"/>
        <v>-60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-6</v>
      </c>
      <c r="K197" s="42">
        <f t="shared" si="12"/>
        <v>-60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-6</v>
      </c>
      <c r="K198" s="42">
        <f t="shared" ref="K198:K261" si="16">J198*$J$2</f>
        <v>-60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-6</v>
      </c>
      <c r="K199" s="42">
        <f t="shared" si="16"/>
        <v>-60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-6</v>
      </c>
      <c r="K200" s="42">
        <f t="shared" si="16"/>
        <v>-60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-6</v>
      </c>
      <c r="K201" s="42">
        <f t="shared" si="16"/>
        <v>-60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-6</v>
      </c>
      <c r="K202" s="42">
        <f t="shared" si="16"/>
        <v>-60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-6</v>
      </c>
      <c r="K203" s="42">
        <f t="shared" si="16"/>
        <v>-60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-6</v>
      </c>
      <c r="K204" s="42">
        <f t="shared" si="16"/>
        <v>-60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-6</v>
      </c>
      <c r="K205" s="42">
        <f t="shared" si="16"/>
        <v>-60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-6</v>
      </c>
      <c r="K206" s="42">
        <f t="shared" si="16"/>
        <v>-60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-6</v>
      </c>
      <c r="K207" s="42">
        <f t="shared" si="16"/>
        <v>-60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-6</v>
      </c>
      <c r="K208" s="42">
        <f t="shared" si="16"/>
        <v>-60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-6</v>
      </c>
      <c r="K209" s="42">
        <f t="shared" si="16"/>
        <v>-60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-6</v>
      </c>
      <c r="K210" s="42">
        <f t="shared" si="16"/>
        <v>-60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-6</v>
      </c>
      <c r="K211" s="42">
        <f t="shared" si="16"/>
        <v>-60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-6</v>
      </c>
      <c r="K212" s="42">
        <f t="shared" si="16"/>
        <v>-60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-6</v>
      </c>
      <c r="K213" s="42">
        <f t="shared" si="16"/>
        <v>-60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-6</v>
      </c>
      <c r="K214" s="42">
        <f t="shared" si="16"/>
        <v>-60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-6</v>
      </c>
      <c r="K215" s="42">
        <f t="shared" si="16"/>
        <v>-60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-6</v>
      </c>
      <c r="K216" s="42">
        <f t="shared" si="16"/>
        <v>-60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-6</v>
      </c>
      <c r="K217" s="42">
        <f t="shared" si="16"/>
        <v>-60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-6</v>
      </c>
      <c r="K218" s="42">
        <f t="shared" si="16"/>
        <v>-60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-6</v>
      </c>
      <c r="K219" s="42">
        <f t="shared" si="16"/>
        <v>-60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-6</v>
      </c>
      <c r="K220" s="42">
        <f t="shared" si="16"/>
        <v>-60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-6</v>
      </c>
      <c r="K221" s="42">
        <f t="shared" si="16"/>
        <v>-60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-6</v>
      </c>
      <c r="K222" s="42">
        <f t="shared" si="16"/>
        <v>-60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-6</v>
      </c>
      <c r="K223" s="42">
        <f t="shared" si="16"/>
        <v>-60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-6</v>
      </c>
      <c r="K224" s="42">
        <f t="shared" si="16"/>
        <v>-60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-6</v>
      </c>
      <c r="K225" s="42">
        <f t="shared" si="16"/>
        <v>-60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-6</v>
      </c>
      <c r="K226" s="42">
        <f t="shared" si="16"/>
        <v>-60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-6</v>
      </c>
      <c r="K227" s="42">
        <f t="shared" si="16"/>
        <v>-60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-6</v>
      </c>
      <c r="K228" s="42">
        <f t="shared" si="16"/>
        <v>-60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-6</v>
      </c>
      <c r="K229" s="42">
        <f t="shared" si="16"/>
        <v>-60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-6</v>
      </c>
      <c r="K230" s="42">
        <f t="shared" si="16"/>
        <v>-60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-6</v>
      </c>
      <c r="K231" s="42">
        <f t="shared" si="16"/>
        <v>-60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-6</v>
      </c>
      <c r="K232" s="42">
        <f t="shared" si="16"/>
        <v>-60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-6</v>
      </c>
      <c r="K233" s="42">
        <f t="shared" si="16"/>
        <v>-60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-6</v>
      </c>
      <c r="K234" s="42">
        <f t="shared" si="16"/>
        <v>-60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-6</v>
      </c>
      <c r="K235" s="42">
        <f t="shared" si="16"/>
        <v>-60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-6</v>
      </c>
      <c r="K236" s="42">
        <f t="shared" si="16"/>
        <v>-60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-6</v>
      </c>
      <c r="K237" s="42">
        <f t="shared" si="16"/>
        <v>-60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-6</v>
      </c>
      <c r="K238" s="42">
        <f t="shared" si="16"/>
        <v>-60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-6</v>
      </c>
      <c r="K239" s="42">
        <f t="shared" si="16"/>
        <v>-60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-6</v>
      </c>
      <c r="K240" s="42">
        <f t="shared" si="16"/>
        <v>-60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-6</v>
      </c>
      <c r="K241" s="42">
        <f t="shared" si="16"/>
        <v>-60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-6</v>
      </c>
      <c r="K242" s="42">
        <f t="shared" si="16"/>
        <v>-60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-6</v>
      </c>
      <c r="K243" s="42">
        <f t="shared" si="16"/>
        <v>-60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-6</v>
      </c>
      <c r="K244" s="42">
        <f t="shared" si="16"/>
        <v>-60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-6</v>
      </c>
      <c r="K245" s="42">
        <f t="shared" si="16"/>
        <v>-60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-6</v>
      </c>
      <c r="K246" s="42">
        <f t="shared" si="16"/>
        <v>-60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-6</v>
      </c>
      <c r="K247" s="42">
        <f t="shared" si="16"/>
        <v>-60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-6</v>
      </c>
      <c r="K248" s="42">
        <f t="shared" si="16"/>
        <v>-60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-6</v>
      </c>
      <c r="K249" s="42">
        <f t="shared" si="16"/>
        <v>-60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-6</v>
      </c>
      <c r="K250" s="42">
        <f t="shared" si="16"/>
        <v>-60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-6</v>
      </c>
      <c r="K251" s="42">
        <f t="shared" si="16"/>
        <v>-60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-6</v>
      </c>
      <c r="K252" s="42">
        <f t="shared" si="16"/>
        <v>-60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-6</v>
      </c>
      <c r="K253" s="42">
        <f t="shared" si="16"/>
        <v>-60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-6</v>
      </c>
      <c r="K254" s="42">
        <f t="shared" si="16"/>
        <v>-60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-6</v>
      </c>
      <c r="K255" s="42">
        <f t="shared" si="16"/>
        <v>-60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-6</v>
      </c>
      <c r="K256" s="42">
        <f t="shared" si="16"/>
        <v>-60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-6</v>
      </c>
      <c r="K257" s="42">
        <f t="shared" si="16"/>
        <v>-60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-6</v>
      </c>
      <c r="K258" s="42">
        <f t="shared" si="16"/>
        <v>-60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-6</v>
      </c>
      <c r="K259" s="42">
        <f t="shared" si="16"/>
        <v>-60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-6</v>
      </c>
      <c r="K260" s="42">
        <f t="shared" si="16"/>
        <v>-60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-6</v>
      </c>
      <c r="K261" s="42">
        <f t="shared" si="16"/>
        <v>-60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-7</v>
      </c>
      <c r="K262" s="42">
        <f t="shared" ref="K262:K305" si="20">J262*$J$2</f>
        <v>-70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-7</v>
      </c>
      <c r="K263" s="42">
        <f t="shared" si="20"/>
        <v>-70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-7</v>
      </c>
      <c r="K264" s="42">
        <f t="shared" si="20"/>
        <v>-70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-7</v>
      </c>
      <c r="K265" s="42">
        <f t="shared" si="20"/>
        <v>-70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-7</v>
      </c>
      <c r="K266" s="42">
        <f t="shared" si="20"/>
        <v>-70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-7</v>
      </c>
      <c r="K267" s="42">
        <f t="shared" si="20"/>
        <v>-70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-7</v>
      </c>
      <c r="K268" s="42">
        <f t="shared" si="20"/>
        <v>-70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-7</v>
      </c>
      <c r="K269" s="42">
        <f t="shared" si="20"/>
        <v>-70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-7</v>
      </c>
      <c r="K270" s="42">
        <f t="shared" si="20"/>
        <v>-70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-7</v>
      </c>
      <c r="K271" s="42">
        <f t="shared" si="20"/>
        <v>-70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-7</v>
      </c>
      <c r="K272" s="42">
        <f t="shared" si="20"/>
        <v>-70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-7</v>
      </c>
      <c r="K273" s="42">
        <f t="shared" si="20"/>
        <v>-70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-7</v>
      </c>
      <c r="K274" s="42">
        <f t="shared" si="20"/>
        <v>-70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-7</v>
      </c>
      <c r="K275" s="42">
        <f t="shared" si="20"/>
        <v>-70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-7</v>
      </c>
      <c r="K276" s="42">
        <f t="shared" si="20"/>
        <v>-70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-7</v>
      </c>
      <c r="K277" s="42">
        <f t="shared" si="20"/>
        <v>-70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-7</v>
      </c>
      <c r="K278" s="42">
        <f t="shared" si="20"/>
        <v>-70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-7</v>
      </c>
      <c r="K279" s="42">
        <f t="shared" si="20"/>
        <v>-70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-7</v>
      </c>
      <c r="K280" s="42">
        <f t="shared" si="20"/>
        <v>-70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-7</v>
      </c>
      <c r="K281" s="42">
        <f t="shared" si="20"/>
        <v>-70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-7</v>
      </c>
      <c r="K282" s="42">
        <f t="shared" si="20"/>
        <v>-70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-7</v>
      </c>
      <c r="K283" s="42">
        <f t="shared" si="20"/>
        <v>-70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-7</v>
      </c>
      <c r="K284" s="42">
        <f t="shared" si="20"/>
        <v>-70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-7</v>
      </c>
      <c r="K285" s="42">
        <f t="shared" si="20"/>
        <v>-70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-7</v>
      </c>
      <c r="K286" s="42">
        <f t="shared" si="20"/>
        <v>-70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-7</v>
      </c>
      <c r="K287" s="42">
        <f t="shared" si="20"/>
        <v>-70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-7</v>
      </c>
      <c r="K288" s="42">
        <f t="shared" si="20"/>
        <v>-70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-7</v>
      </c>
      <c r="K289" s="42">
        <f t="shared" si="20"/>
        <v>-70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-7</v>
      </c>
      <c r="K290" s="42">
        <f t="shared" si="20"/>
        <v>-70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-7</v>
      </c>
      <c r="K291" s="42">
        <f t="shared" si="20"/>
        <v>-70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-7</v>
      </c>
      <c r="K292" s="42">
        <f t="shared" si="20"/>
        <v>-70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-7</v>
      </c>
      <c r="K293" s="42">
        <f t="shared" si="20"/>
        <v>-70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-7</v>
      </c>
      <c r="K294" s="42">
        <f t="shared" si="20"/>
        <v>-70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-7</v>
      </c>
      <c r="K295" s="42">
        <f t="shared" si="20"/>
        <v>-70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-7</v>
      </c>
      <c r="K296" s="42">
        <f t="shared" si="20"/>
        <v>-70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-7</v>
      </c>
      <c r="K297" s="42">
        <f t="shared" si="20"/>
        <v>-70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-7</v>
      </c>
      <c r="K298" s="42">
        <f t="shared" si="20"/>
        <v>-70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-7</v>
      </c>
      <c r="K299" s="42">
        <f t="shared" si="20"/>
        <v>-70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-7</v>
      </c>
      <c r="K300" s="42">
        <f t="shared" si="20"/>
        <v>-70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-7</v>
      </c>
      <c r="K301" s="42">
        <f t="shared" si="20"/>
        <v>-70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-7</v>
      </c>
      <c r="K302" s="42">
        <f t="shared" si="20"/>
        <v>-70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-7</v>
      </c>
      <c r="K303" s="42">
        <f t="shared" si="20"/>
        <v>-70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-7</v>
      </c>
      <c r="K304" s="42">
        <f t="shared" si="20"/>
        <v>-70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-7</v>
      </c>
      <c r="K305" s="42">
        <f t="shared" si="20"/>
        <v>-70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BB6DDD7B-5396-462E-BF5B-C4CEE0297E01}">
      <formula1>#REF!</formula1>
    </dataValidation>
  </dataValidations>
  <hyperlinks>
    <hyperlink ref="C2:D2" r:id="rId1" display="KATOWICE" xr:uid="{D9F066CE-F736-476C-BB92-0F7C014E3A2D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83B5-2BC1-4E21-84C8-290A8D47B3FC}">
  <sheetPr>
    <tabColor rgb="FF92D050"/>
  </sheetPr>
  <dimension ref="A1:AL317"/>
  <sheetViews>
    <sheetView workbookViewId="0">
      <selection activeCell="A7" sqref="A7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25</v>
      </c>
      <c r="I1" s="22" t="s">
        <v>26</v>
      </c>
      <c r="J1" s="22" t="s">
        <v>27</v>
      </c>
      <c r="K1" s="23" t="s">
        <v>28</v>
      </c>
      <c r="L1" s="24"/>
      <c r="M1" s="24"/>
    </row>
    <row r="2" spans="1:36" ht="14.25" customHeight="1">
      <c r="A2" s="20"/>
      <c r="B2" s="26" t="s">
        <v>29</v>
      </c>
      <c r="C2" s="92" t="s">
        <v>65</v>
      </c>
      <c r="D2" s="92"/>
      <c r="E2" s="27"/>
      <c r="F2" s="27"/>
      <c r="G2" s="27"/>
      <c r="H2" s="28">
        <v>1</v>
      </c>
      <c r="I2" s="29">
        <v>50</v>
      </c>
      <c r="J2" s="29">
        <v>10</v>
      </c>
      <c r="K2" s="30">
        <f>3*H2^(1/3)</f>
        <v>3</v>
      </c>
      <c r="L2" s="24"/>
      <c r="M2" s="24"/>
    </row>
    <row r="3" spans="1:36" ht="14.25" customHeight="1">
      <c r="A3" s="20"/>
      <c r="B3" s="31" t="s">
        <v>31</v>
      </c>
      <c r="C3" s="93" t="s">
        <v>66</v>
      </c>
      <c r="D3" s="93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33</v>
      </c>
      <c r="B5" s="35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4"/>
      <c r="H5" s="36" t="s">
        <v>39</v>
      </c>
      <c r="I5" s="37" t="s">
        <v>40</v>
      </c>
      <c r="J5" s="38" t="s">
        <v>41</v>
      </c>
      <c r="K5" s="37" t="s">
        <v>42</v>
      </c>
      <c r="L5" s="37" t="s">
        <v>43</v>
      </c>
      <c r="M5" s="36" t="s">
        <v>44</v>
      </c>
    </row>
    <row r="6" spans="1:36" ht="14.45" customHeight="1">
      <c r="A6" s="39">
        <v>59</v>
      </c>
      <c r="B6" s="40">
        <f t="shared" ref="B6:B13" si="0">IF(H6&gt;$H$2,"",(ROW()-5))</f>
        <v>1</v>
      </c>
      <c r="C6" s="41" t="s">
        <v>19</v>
      </c>
      <c r="D6" s="41"/>
      <c r="E6" s="41"/>
      <c r="F6" s="41"/>
      <c r="G6" s="34"/>
      <c r="H6" s="42">
        <v>1</v>
      </c>
      <c r="I6" s="43" t="e">
        <f t="shared" ref="I6:I69" si="1">IF(H6&lt;$H$2+1,($I$2-($I$2-1)*(LOG(H6)/LOG($H$2))),"")</f>
        <v>#DIV/0!</v>
      </c>
      <c r="J6" s="42">
        <f>INT(LOG($H$2,2))-ROUNDUP(LOG(H6,2),0)+IF(OR($H$2=1,$H$2=2,$H$2=4,$H$2=8,$H$2=16,$H$2=32,$H$2=64,$H$2=128,$H$2=256),0,1)</f>
        <v>0</v>
      </c>
      <c r="K6" s="42">
        <f t="shared" ref="K6:K69" si="2">J6*$J$2</f>
        <v>0</v>
      </c>
      <c r="L6" s="44">
        <f>3*K2</f>
        <v>9</v>
      </c>
      <c r="M6" s="44" t="e">
        <f t="shared" ref="M6:M69" si="3">IF(I6&lt;&gt;"",K6+I6+L6,0)</f>
        <v>#DIV/0!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>
        <f t="shared" ref="J7:J70" si="5">INT(LOG($H$2,2))-ROUNDUP(LOG(H7,2),0)+IF(OR($H$2=1,$H$2=2,$H$2=4,$H$2=8,$H$2=16,$H$2=32,$H$2=64,$H$2=128,$H$2=256),0,1)</f>
        <v>-1</v>
      </c>
      <c r="K7" s="48">
        <f t="shared" si="2"/>
        <v>-10</v>
      </c>
      <c r="L7" s="50">
        <f>2*K2</f>
        <v>6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>
        <f t="shared" si="5"/>
        <v>-2</v>
      </c>
      <c r="K8" s="42">
        <f t="shared" si="2"/>
        <v>-20</v>
      </c>
      <c r="L8" s="44">
        <f>K2</f>
        <v>3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>
        <f t="shared" si="5"/>
        <v>-2</v>
      </c>
      <c r="K9" s="48">
        <f t="shared" si="2"/>
        <v>-20</v>
      </c>
      <c r="L9" s="50"/>
      <c r="M9" s="50">
        <f t="shared" si="3"/>
        <v>0</v>
      </c>
      <c r="V9" s="51"/>
      <c r="Z9" s="52"/>
      <c r="AA9" s="52"/>
      <c r="AG9" s="53"/>
      <c r="AH9" s="25" t="s">
        <v>46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5"/>
        <v>-3</v>
      </c>
      <c r="K10" s="42">
        <f t="shared" si="2"/>
        <v>-30</v>
      </c>
      <c r="L10" s="42"/>
      <c r="M10" s="44">
        <f t="shared" si="3"/>
        <v>0</v>
      </c>
      <c r="V10" s="51"/>
      <c r="Z10" s="52"/>
      <c r="AA10" s="52"/>
      <c r="AG10" s="53"/>
      <c r="AH10" s="25" t="s">
        <v>47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5"/>
        <v>-3</v>
      </c>
      <c r="K11" s="48">
        <f t="shared" si="2"/>
        <v>-30</v>
      </c>
      <c r="L11" s="48"/>
      <c r="M11" s="50">
        <f t="shared" si="3"/>
        <v>0</v>
      </c>
      <c r="V11" s="54"/>
      <c r="Z11" s="52"/>
      <c r="AA11" s="52"/>
      <c r="AG11" s="53"/>
      <c r="AH11" s="25" t="s">
        <v>48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5"/>
        <v>-3</v>
      </c>
      <c r="K12" s="42">
        <f t="shared" si="2"/>
        <v>-30</v>
      </c>
      <c r="L12" s="42"/>
      <c r="M12" s="44">
        <f t="shared" si="3"/>
        <v>0</v>
      </c>
      <c r="Z12" s="52"/>
      <c r="AA12" s="52"/>
      <c r="AG12" s="53"/>
      <c r="AH12" s="25" t="s">
        <v>49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5"/>
        <v>-3</v>
      </c>
      <c r="K13" s="48">
        <f t="shared" si="2"/>
        <v>-30</v>
      </c>
      <c r="L13" s="48"/>
      <c r="M13" s="50">
        <f t="shared" si="3"/>
        <v>0</v>
      </c>
      <c r="X13" s="51"/>
      <c r="AG13" s="53"/>
      <c r="AH13" s="25" t="s">
        <v>50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5"/>
        <v>-4</v>
      </c>
      <c r="K14" s="42">
        <f t="shared" si="2"/>
        <v>-40</v>
      </c>
      <c r="L14" s="42"/>
      <c r="M14" s="44">
        <f t="shared" si="3"/>
        <v>0</v>
      </c>
      <c r="X14" s="57"/>
      <c r="Z14" s="52"/>
      <c r="AA14" s="52"/>
      <c r="AG14" s="53"/>
      <c r="AH14" s="25" t="s">
        <v>51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5"/>
        <v>-4</v>
      </c>
      <c r="K15" s="48">
        <f t="shared" si="2"/>
        <v>-40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5"/>
        <v>-4</v>
      </c>
      <c r="K16" s="42">
        <f t="shared" si="2"/>
        <v>-40</v>
      </c>
      <c r="L16" s="42"/>
      <c r="M16" s="44">
        <f t="shared" si="3"/>
        <v>0</v>
      </c>
      <c r="R16" s="58"/>
      <c r="Z16" s="52"/>
      <c r="AA16" s="52"/>
      <c r="AH16" s="59" t="s">
        <v>52</v>
      </c>
      <c r="AI16" s="25">
        <f>AI11-AI12*AI13/AI14</f>
        <v>9.6393909380186855</v>
      </c>
      <c r="AJ16" s="25" t="s">
        <v>53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5"/>
        <v>-4</v>
      </c>
      <c r="K17" s="48">
        <f t="shared" si="2"/>
        <v>-40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5"/>
        <v>-4</v>
      </c>
      <c r="K18" s="42">
        <f t="shared" si="2"/>
        <v>-40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5"/>
        <v>-4</v>
      </c>
      <c r="K19" s="48">
        <f t="shared" si="2"/>
        <v>-40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5"/>
        <v>-4</v>
      </c>
      <c r="K20" s="42">
        <f t="shared" si="2"/>
        <v>-40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5"/>
        <v>-4</v>
      </c>
      <c r="K21" s="48">
        <f t="shared" si="2"/>
        <v>-40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5"/>
        <v>-5</v>
      </c>
      <c r="K22" s="42">
        <f t="shared" si="2"/>
        <v>-50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5"/>
        <v>-5</v>
      </c>
      <c r="K23" s="48">
        <f t="shared" si="2"/>
        <v>-50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5"/>
        <v>-5</v>
      </c>
      <c r="K24" s="42">
        <f t="shared" si="2"/>
        <v>-50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5"/>
        <v>-5</v>
      </c>
      <c r="K25" s="48">
        <f t="shared" si="2"/>
        <v>-50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5"/>
        <v>-5</v>
      </c>
      <c r="K26" s="42">
        <f t="shared" si="2"/>
        <v>-50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5"/>
        <v>-5</v>
      </c>
      <c r="K27" s="48">
        <f t="shared" si="2"/>
        <v>-50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5"/>
        <v>-5</v>
      </c>
      <c r="K28" s="42">
        <f t="shared" si="2"/>
        <v>-50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5"/>
        <v>-5</v>
      </c>
      <c r="K29" s="48">
        <f t="shared" si="2"/>
        <v>-50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5"/>
        <v>-5</v>
      </c>
      <c r="K30" s="42">
        <f t="shared" si="2"/>
        <v>-50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5"/>
        <v>-5</v>
      </c>
      <c r="K31" s="48">
        <f t="shared" si="2"/>
        <v>-50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5"/>
        <v>-5</v>
      </c>
      <c r="K32" s="42">
        <f t="shared" si="2"/>
        <v>-50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5"/>
        <v>-5</v>
      </c>
      <c r="K33" s="48">
        <f t="shared" si="2"/>
        <v>-50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5"/>
        <v>-5</v>
      </c>
      <c r="K34" s="42">
        <f t="shared" si="2"/>
        <v>-50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5"/>
        <v>-5</v>
      </c>
      <c r="K35" s="48">
        <f t="shared" si="2"/>
        <v>-50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5"/>
        <v>-5</v>
      </c>
      <c r="K36" s="42">
        <f t="shared" si="2"/>
        <v>-50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5"/>
        <v>-5</v>
      </c>
      <c r="K37" s="48">
        <f t="shared" si="2"/>
        <v>-50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5"/>
        <v>-6</v>
      </c>
      <c r="K38" s="42">
        <f t="shared" si="2"/>
        <v>-60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5"/>
        <v>-6</v>
      </c>
      <c r="K39" s="48">
        <f t="shared" si="2"/>
        <v>-60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5"/>
        <v>-6</v>
      </c>
      <c r="K40" s="42">
        <f t="shared" si="2"/>
        <v>-60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5"/>
        <v>-6</v>
      </c>
      <c r="K41" s="48">
        <f t="shared" si="2"/>
        <v>-60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5"/>
        <v>-6</v>
      </c>
      <c r="K42" s="42">
        <f t="shared" si="2"/>
        <v>-60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5"/>
        <v>-6</v>
      </c>
      <c r="K43" s="48">
        <f t="shared" si="2"/>
        <v>-60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5"/>
        <v>-6</v>
      </c>
      <c r="K44" s="42">
        <f t="shared" si="2"/>
        <v>-60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5"/>
        <v>-6</v>
      </c>
      <c r="K45" s="48">
        <f t="shared" si="2"/>
        <v>-60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5"/>
        <v>-6</v>
      </c>
      <c r="K46" s="42">
        <f t="shared" si="2"/>
        <v>-60</v>
      </c>
      <c r="L46" s="42"/>
      <c r="M46" s="44">
        <f t="shared" si="3"/>
        <v>0</v>
      </c>
      <c r="R46" s="20">
        <f>LOG($H$2,2)</f>
        <v>0</v>
      </c>
      <c r="T46" s="25">
        <f>LOG(H38,2)</f>
        <v>5.0443941193584534</v>
      </c>
      <c r="U46" s="25">
        <f>R46-T46</f>
        <v>-5.0443941193584534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5"/>
        <v>-6</v>
      </c>
      <c r="K47" s="48">
        <f t="shared" si="2"/>
        <v>-60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5"/>
        <v>-6</v>
      </c>
      <c r="K48" s="42">
        <f t="shared" si="2"/>
        <v>-60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5"/>
        <v>-6</v>
      </c>
      <c r="K49" s="48">
        <f t="shared" si="2"/>
        <v>-60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5"/>
        <v>-6</v>
      </c>
      <c r="K50" s="42">
        <f t="shared" si="2"/>
        <v>-60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5"/>
        <v>-6</v>
      </c>
      <c r="K51" s="48">
        <f t="shared" si="2"/>
        <v>-60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5"/>
        <v>-6</v>
      </c>
      <c r="K52" s="42">
        <f t="shared" si="2"/>
        <v>-60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5"/>
        <v>-6</v>
      </c>
      <c r="K53" s="48">
        <f t="shared" si="2"/>
        <v>-60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5"/>
        <v>-6</v>
      </c>
      <c r="K54" s="42">
        <f t="shared" si="2"/>
        <v>-60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5"/>
        <v>-6</v>
      </c>
      <c r="K55" s="48">
        <f t="shared" si="2"/>
        <v>-60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5"/>
        <v>-6</v>
      </c>
      <c r="K56" s="42">
        <f t="shared" si="2"/>
        <v>-60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5"/>
        <v>-6</v>
      </c>
      <c r="K57" s="48">
        <f t="shared" si="2"/>
        <v>-60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5"/>
        <v>-6</v>
      </c>
      <c r="K58" s="42">
        <f t="shared" si="2"/>
        <v>-60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5"/>
        <v>-6</v>
      </c>
      <c r="K59" s="48">
        <f t="shared" si="2"/>
        <v>-60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5"/>
        <v>-6</v>
      </c>
      <c r="K60" s="42">
        <f t="shared" si="2"/>
        <v>-60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5"/>
        <v>-6</v>
      </c>
      <c r="K61" s="48">
        <f t="shared" si="2"/>
        <v>-60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5"/>
        <v>-6</v>
      </c>
      <c r="K62" s="42">
        <f t="shared" si="2"/>
        <v>-60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5"/>
        <v>-6</v>
      </c>
      <c r="K63" s="48">
        <f t="shared" si="2"/>
        <v>-60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5"/>
        <v>-6</v>
      </c>
      <c r="K64" s="42">
        <f t="shared" si="2"/>
        <v>-60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5"/>
        <v>-6</v>
      </c>
      <c r="K65" s="48">
        <f t="shared" si="2"/>
        <v>-60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>
        <f t="shared" si="5"/>
        <v>-6</v>
      </c>
      <c r="K66" s="42">
        <f t="shared" si="2"/>
        <v>-60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>
        <f t="shared" si="5"/>
        <v>-6</v>
      </c>
      <c r="K67" s="42">
        <f t="shared" si="2"/>
        <v>-60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>
        <f t="shared" si="5"/>
        <v>-6</v>
      </c>
      <c r="K68" s="42">
        <f t="shared" si="2"/>
        <v>-60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>
        <f t="shared" si="5"/>
        <v>-6</v>
      </c>
      <c r="K69" s="42">
        <f t="shared" si="2"/>
        <v>-60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-7</v>
      </c>
      <c r="K70" s="42">
        <f t="shared" ref="K70:K133" si="8">J70*$J$2</f>
        <v>-70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-7</v>
      </c>
      <c r="K71" s="42">
        <f t="shared" si="8"/>
        <v>-70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-7</v>
      </c>
      <c r="K72" s="42">
        <f t="shared" si="8"/>
        <v>-70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-7</v>
      </c>
      <c r="K73" s="42">
        <f t="shared" si="8"/>
        <v>-70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-7</v>
      </c>
      <c r="K74" s="42">
        <f t="shared" si="8"/>
        <v>-70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-7</v>
      </c>
      <c r="K75" s="42">
        <f t="shared" si="8"/>
        <v>-70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-7</v>
      </c>
      <c r="K76" s="42">
        <f t="shared" si="8"/>
        <v>-70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-7</v>
      </c>
      <c r="K77" s="42">
        <f t="shared" si="8"/>
        <v>-70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-7</v>
      </c>
      <c r="K78" s="42">
        <f t="shared" si="8"/>
        <v>-70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-7</v>
      </c>
      <c r="K79" s="42">
        <f t="shared" si="8"/>
        <v>-70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-7</v>
      </c>
      <c r="K80" s="42">
        <f t="shared" si="8"/>
        <v>-70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-7</v>
      </c>
      <c r="K81" s="42">
        <f t="shared" si="8"/>
        <v>-70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-7</v>
      </c>
      <c r="K82" s="42">
        <f t="shared" si="8"/>
        <v>-70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-7</v>
      </c>
      <c r="K83" s="42">
        <f t="shared" si="8"/>
        <v>-70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-7</v>
      </c>
      <c r="K84" s="42">
        <f t="shared" si="8"/>
        <v>-70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-7</v>
      </c>
      <c r="K85" s="42">
        <f t="shared" si="8"/>
        <v>-70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-7</v>
      </c>
      <c r="K86" s="42">
        <f t="shared" si="8"/>
        <v>-70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-7</v>
      </c>
      <c r="K87" s="42">
        <f t="shared" si="8"/>
        <v>-70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-7</v>
      </c>
      <c r="K88" s="42">
        <f t="shared" si="8"/>
        <v>-70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-7</v>
      </c>
      <c r="K89" s="42">
        <f t="shared" si="8"/>
        <v>-70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-7</v>
      </c>
      <c r="K90" s="42">
        <f t="shared" si="8"/>
        <v>-70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-7</v>
      </c>
      <c r="K91" s="42">
        <f t="shared" si="8"/>
        <v>-70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-7</v>
      </c>
      <c r="K92" s="42">
        <f t="shared" si="8"/>
        <v>-70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-7</v>
      </c>
      <c r="K93" s="42">
        <f t="shared" si="8"/>
        <v>-70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-7</v>
      </c>
      <c r="K94" s="42">
        <f t="shared" si="8"/>
        <v>-70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-7</v>
      </c>
      <c r="K95" s="42">
        <f t="shared" si="8"/>
        <v>-70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-7</v>
      </c>
      <c r="K96" s="42">
        <f t="shared" si="8"/>
        <v>-70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-7</v>
      </c>
      <c r="K97" s="42">
        <f t="shared" si="8"/>
        <v>-70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-7</v>
      </c>
      <c r="K98" s="42">
        <f t="shared" si="8"/>
        <v>-70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-7</v>
      </c>
      <c r="K99" s="42">
        <f t="shared" si="8"/>
        <v>-70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-7</v>
      </c>
      <c r="K100" s="42">
        <f t="shared" si="8"/>
        <v>-70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-7</v>
      </c>
      <c r="K101" s="42">
        <f t="shared" si="8"/>
        <v>-70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-7</v>
      </c>
      <c r="K102" s="42">
        <f t="shared" si="8"/>
        <v>-70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-7</v>
      </c>
      <c r="K103" s="42">
        <f t="shared" si="8"/>
        <v>-70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-7</v>
      </c>
      <c r="K104" s="42">
        <f t="shared" si="8"/>
        <v>-70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-7</v>
      </c>
      <c r="K105" s="42">
        <f t="shared" si="8"/>
        <v>-70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-7</v>
      </c>
      <c r="K106" s="42">
        <f t="shared" si="8"/>
        <v>-70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-7</v>
      </c>
      <c r="K107" s="42">
        <f t="shared" si="8"/>
        <v>-70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-7</v>
      </c>
      <c r="K108" s="42">
        <f t="shared" si="8"/>
        <v>-70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-7</v>
      </c>
      <c r="K109" s="42">
        <f t="shared" si="8"/>
        <v>-70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-7</v>
      </c>
      <c r="K110" s="42">
        <f t="shared" si="8"/>
        <v>-70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-7</v>
      </c>
      <c r="K111" s="42">
        <f t="shared" si="8"/>
        <v>-70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-7</v>
      </c>
      <c r="K112" s="42">
        <f t="shared" si="8"/>
        <v>-70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-7</v>
      </c>
      <c r="K113" s="42">
        <f t="shared" si="8"/>
        <v>-70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-7</v>
      </c>
      <c r="K114" s="42">
        <f t="shared" si="8"/>
        <v>-70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-7</v>
      </c>
      <c r="K115" s="42">
        <f t="shared" si="8"/>
        <v>-70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-7</v>
      </c>
      <c r="K116" s="42">
        <f t="shared" si="8"/>
        <v>-70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-7</v>
      </c>
      <c r="K117" s="42">
        <f t="shared" si="8"/>
        <v>-70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-7</v>
      </c>
      <c r="K118" s="42">
        <f t="shared" si="8"/>
        <v>-70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-7</v>
      </c>
      <c r="K119" s="42">
        <f t="shared" si="8"/>
        <v>-70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-7</v>
      </c>
      <c r="K120" s="42">
        <f t="shared" si="8"/>
        <v>-70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-7</v>
      </c>
      <c r="K121" s="42">
        <f t="shared" si="8"/>
        <v>-70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-7</v>
      </c>
      <c r="K122" s="42">
        <f t="shared" si="8"/>
        <v>-70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-7</v>
      </c>
      <c r="K123" s="42">
        <f t="shared" si="8"/>
        <v>-70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-7</v>
      </c>
      <c r="K124" s="42">
        <f t="shared" si="8"/>
        <v>-70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-7</v>
      </c>
      <c r="K125" s="42">
        <f t="shared" si="8"/>
        <v>-70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-7</v>
      </c>
      <c r="K126" s="42">
        <f t="shared" si="8"/>
        <v>-70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-7</v>
      </c>
      <c r="K127" s="42">
        <f t="shared" si="8"/>
        <v>-70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-7</v>
      </c>
      <c r="K128" s="42">
        <f t="shared" si="8"/>
        <v>-70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-7</v>
      </c>
      <c r="K129" s="42">
        <f t="shared" si="8"/>
        <v>-70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-7</v>
      </c>
      <c r="K130" s="42">
        <f t="shared" si="8"/>
        <v>-70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-7</v>
      </c>
      <c r="K131" s="42">
        <f t="shared" si="8"/>
        <v>-70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-7</v>
      </c>
      <c r="K132" s="42">
        <f t="shared" si="8"/>
        <v>-70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-7</v>
      </c>
      <c r="K133" s="42">
        <f t="shared" si="8"/>
        <v>-70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-8</v>
      </c>
      <c r="K134" s="42">
        <f t="shared" ref="K134:K197" si="12">J134*$J$2</f>
        <v>-80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-8</v>
      </c>
      <c r="K135" s="42">
        <f t="shared" si="12"/>
        <v>-80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-8</v>
      </c>
      <c r="K136" s="42">
        <f t="shared" si="12"/>
        <v>-80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-8</v>
      </c>
      <c r="K137" s="42">
        <f t="shared" si="12"/>
        <v>-80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-8</v>
      </c>
      <c r="K138" s="42">
        <f t="shared" si="12"/>
        <v>-80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-8</v>
      </c>
      <c r="K139" s="42">
        <f t="shared" si="12"/>
        <v>-80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-8</v>
      </c>
      <c r="K140" s="42">
        <f t="shared" si="12"/>
        <v>-80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-8</v>
      </c>
      <c r="K141" s="42">
        <f t="shared" si="12"/>
        <v>-80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-8</v>
      </c>
      <c r="K142" s="42">
        <f t="shared" si="12"/>
        <v>-80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-8</v>
      </c>
      <c r="K143" s="42">
        <f t="shared" si="12"/>
        <v>-80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-8</v>
      </c>
      <c r="K144" s="42">
        <f t="shared" si="12"/>
        <v>-80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-8</v>
      </c>
      <c r="K145" s="42">
        <f t="shared" si="12"/>
        <v>-80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-8</v>
      </c>
      <c r="K146" s="42">
        <f t="shared" si="12"/>
        <v>-80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-8</v>
      </c>
      <c r="K147" s="42">
        <f t="shared" si="12"/>
        <v>-80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-8</v>
      </c>
      <c r="K148" s="42">
        <f t="shared" si="12"/>
        <v>-80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-8</v>
      </c>
      <c r="K149" s="42">
        <f t="shared" si="12"/>
        <v>-80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-8</v>
      </c>
      <c r="K150" s="42">
        <f t="shared" si="12"/>
        <v>-80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-8</v>
      </c>
      <c r="K151" s="42">
        <f t="shared" si="12"/>
        <v>-80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-8</v>
      </c>
      <c r="K152" s="42">
        <f t="shared" si="12"/>
        <v>-80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-8</v>
      </c>
      <c r="K153" s="42">
        <f t="shared" si="12"/>
        <v>-80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-8</v>
      </c>
      <c r="K154" s="42">
        <f t="shared" si="12"/>
        <v>-80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-8</v>
      </c>
      <c r="K155" s="42">
        <f t="shared" si="12"/>
        <v>-80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-8</v>
      </c>
      <c r="K156" s="42">
        <f t="shared" si="12"/>
        <v>-80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-8</v>
      </c>
      <c r="K157" s="42">
        <f t="shared" si="12"/>
        <v>-80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-8</v>
      </c>
      <c r="K158" s="42">
        <f t="shared" si="12"/>
        <v>-80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-8</v>
      </c>
      <c r="K159" s="42">
        <f t="shared" si="12"/>
        <v>-80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-8</v>
      </c>
      <c r="K160" s="42">
        <f t="shared" si="12"/>
        <v>-80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-8</v>
      </c>
      <c r="K161" s="42">
        <f t="shared" si="12"/>
        <v>-80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-8</v>
      </c>
      <c r="K162" s="42">
        <f t="shared" si="12"/>
        <v>-80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-8</v>
      </c>
      <c r="K163" s="42">
        <f t="shared" si="12"/>
        <v>-80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-8</v>
      </c>
      <c r="K164" s="42">
        <f t="shared" si="12"/>
        <v>-80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-8</v>
      </c>
      <c r="K165" s="42">
        <f t="shared" si="12"/>
        <v>-80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-8</v>
      </c>
      <c r="K166" s="42">
        <f t="shared" si="12"/>
        <v>-80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-8</v>
      </c>
      <c r="K167" s="42">
        <f t="shared" si="12"/>
        <v>-80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-8</v>
      </c>
      <c r="K168" s="42">
        <f t="shared" si="12"/>
        <v>-80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-8</v>
      </c>
      <c r="K169" s="42">
        <f t="shared" si="12"/>
        <v>-80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-8</v>
      </c>
      <c r="K170" s="42">
        <f t="shared" si="12"/>
        <v>-80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-8</v>
      </c>
      <c r="K171" s="42">
        <f t="shared" si="12"/>
        <v>-80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-8</v>
      </c>
      <c r="K172" s="42">
        <f t="shared" si="12"/>
        <v>-80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-8</v>
      </c>
      <c r="K173" s="42">
        <f t="shared" si="12"/>
        <v>-80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-8</v>
      </c>
      <c r="K174" s="42">
        <f t="shared" si="12"/>
        <v>-80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-8</v>
      </c>
      <c r="K175" s="42">
        <f t="shared" si="12"/>
        <v>-80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-8</v>
      </c>
      <c r="K176" s="42">
        <f t="shared" si="12"/>
        <v>-80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-8</v>
      </c>
      <c r="K177" s="42">
        <f t="shared" si="12"/>
        <v>-80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-8</v>
      </c>
      <c r="K178" s="42">
        <f t="shared" si="12"/>
        <v>-80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-8</v>
      </c>
      <c r="K179" s="42">
        <f t="shared" si="12"/>
        <v>-80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-8</v>
      </c>
      <c r="K180" s="42">
        <f t="shared" si="12"/>
        <v>-80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-8</v>
      </c>
      <c r="K181" s="42">
        <f t="shared" si="12"/>
        <v>-80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-8</v>
      </c>
      <c r="K182" s="42">
        <f t="shared" si="12"/>
        <v>-80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-8</v>
      </c>
      <c r="K183" s="42">
        <f t="shared" si="12"/>
        <v>-80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-8</v>
      </c>
      <c r="K184" s="42">
        <f t="shared" si="12"/>
        <v>-80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-8</v>
      </c>
      <c r="K185" s="42">
        <f t="shared" si="12"/>
        <v>-80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-8</v>
      </c>
      <c r="K186" s="42">
        <f t="shared" si="12"/>
        <v>-80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-8</v>
      </c>
      <c r="K187" s="42">
        <f t="shared" si="12"/>
        <v>-80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-8</v>
      </c>
      <c r="K188" s="42">
        <f t="shared" si="12"/>
        <v>-80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-8</v>
      </c>
      <c r="K189" s="42">
        <f t="shared" si="12"/>
        <v>-80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-8</v>
      </c>
      <c r="K190" s="42">
        <f t="shared" si="12"/>
        <v>-80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-8</v>
      </c>
      <c r="K191" s="42">
        <f t="shared" si="12"/>
        <v>-80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-8</v>
      </c>
      <c r="K192" s="42">
        <f t="shared" si="12"/>
        <v>-80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-8</v>
      </c>
      <c r="K193" s="42">
        <f t="shared" si="12"/>
        <v>-80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-8</v>
      </c>
      <c r="K194" s="42">
        <f t="shared" si="12"/>
        <v>-80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-8</v>
      </c>
      <c r="K195" s="42">
        <f t="shared" si="12"/>
        <v>-80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-8</v>
      </c>
      <c r="K196" s="42">
        <f t="shared" si="12"/>
        <v>-80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-8</v>
      </c>
      <c r="K197" s="42">
        <f t="shared" si="12"/>
        <v>-80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-8</v>
      </c>
      <c r="K198" s="42">
        <f t="shared" ref="K198:K261" si="16">J198*$J$2</f>
        <v>-80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-8</v>
      </c>
      <c r="K199" s="42">
        <f t="shared" si="16"/>
        <v>-80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-8</v>
      </c>
      <c r="K200" s="42">
        <f t="shared" si="16"/>
        <v>-80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-8</v>
      </c>
      <c r="K201" s="42">
        <f t="shared" si="16"/>
        <v>-80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-8</v>
      </c>
      <c r="K202" s="42">
        <f t="shared" si="16"/>
        <v>-80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-8</v>
      </c>
      <c r="K203" s="42">
        <f t="shared" si="16"/>
        <v>-80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-8</v>
      </c>
      <c r="K204" s="42">
        <f t="shared" si="16"/>
        <v>-80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-8</v>
      </c>
      <c r="K205" s="42">
        <f t="shared" si="16"/>
        <v>-80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-8</v>
      </c>
      <c r="K206" s="42">
        <f t="shared" si="16"/>
        <v>-80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-8</v>
      </c>
      <c r="K207" s="42">
        <f t="shared" si="16"/>
        <v>-80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-8</v>
      </c>
      <c r="K208" s="42">
        <f t="shared" si="16"/>
        <v>-80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-8</v>
      </c>
      <c r="K209" s="42">
        <f t="shared" si="16"/>
        <v>-80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-8</v>
      </c>
      <c r="K210" s="42">
        <f t="shared" si="16"/>
        <v>-80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-8</v>
      </c>
      <c r="K211" s="42">
        <f t="shared" si="16"/>
        <v>-80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-8</v>
      </c>
      <c r="K212" s="42">
        <f t="shared" si="16"/>
        <v>-80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-8</v>
      </c>
      <c r="K213" s="42">
        <f t="shared" si="16"/>
        <v>-80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-8</v>
      </c>
      <c r="K214" s="42">
        <f t="shared" si="16"/>
        <v>-80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-8</v>
      </c>
      <c r="K215" s="42">
        <f t="shared" si="16"/>
        <v>-80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-8</v>
      </c>
      <c r="K216" s="42">
        <f t="shared" si="16"/>
        <v>-80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-8</v>
      </c>
      <c r="K217" s="42">
        <f t="shared" si="16"/>
        <v>-80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-8</v>
      </c>
      <c r="K218" s="42">
        <f t="shared" si="16"/>
        <v>-80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-8</v>
      </c>
      <c r="K219" s="42">
        <f t="shared" si="16"/>
        <v>-80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-8</v>
      </c>
      <c r="K220" s="42">
        <f t="shared" si="16"/>
        <v>-80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-8</v>
      </c>
      <c r="K221" s="42">
        <f t="shared" si="16"/>
        <v>-80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-8</v>
      </c>
      <c r="K222" s="42">
        <f t="shared" si="16"/>
        <v>-80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-8</v>
      </c>
      <c r="K223" s="42">
        <f t="shared" si="16"/>
        <v>-80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-8</v>
      </c>
      <c r="K224" s="42">
        <f t="shared" si="16"/>
        <v>-80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-8</v>
      </c>
      <c r="K225" s="42">
        <f t="shared" si="16"/>
        <v>-80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-8</v>
      </c>
      <c r="K226" s="42">
        <f t="shared" si="16"/>
        <v>-80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-8</v>
      </c>
      <c r="K227" s="42">
        <f t="shared" si="16"/>
        <v>-80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-8</v>
      </c>
      <c r="K228" s="42">
        <f t="shared" si="16"/>
        <v>-80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-8</v>
      </c>
      <c r="K229" s="42">
        <f t="shared" si="16"/>
        <v>-80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-8</v>
      </c>
      <c r="K230" s="42">
        <f t="shared" si="16"/>
        <v>-80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-8</v>
      </c>
      <c r="K231" s="42">
        <f t="shared" si="16"/>
        <v>-80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-8</v>
      </c>
      <c r="K232" s="42">
        <f t="shared" si="16"/>
        <v>-80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-8</v>
      </c>
      <c r="K233" s="42">
        <f t="shared" si="16"/>
        <v>-80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-8</v>
      </c>
      <c r="K234" s="42">
        <f t="shared" si="16"/>
        <v>-80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-8</v>
      </c>
      <c r="K235" s="42">
        <f t="shared" si="16"/>
        <v>-80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-8</v>
      </c>
      <c r="K236" s="42">
        <f t="shared" si="16"/>
        <v>-80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-8</v>
      </c>
      <c r="K237" s="42">
        <f t="shared" si="16"/>
        <v>-80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-8</v>
      </c>
      <c r="K238" s="42">
        <f t="shared" si="16"/>
        <v>-80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-8</v>
      </c>
      <c r="K239" s="42">
        <f t="shared" si="16"/>
        <v>-80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-8</v>
      </c>
      <c r="K240" s="42">
        <f t="shared" si="16"/>
        <v>-80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-8</v>
      </c>
      <c r="K241" s="42">
        <f t="shared" si="16"/>
        <v>-80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-8</v>
      </c>
      <c r="K242" s="42">
        <f t="shared" si="16"/>
        <v>-80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-8</v>
      </c>
      <c r="K243" s="42">
        <f t="shared" si="16"/>
        <v>-80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-8</v>
      </c>
      <c r="K244" s="42">
        <f t="shared" si="16"/>
        <v>-80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-8</v>
      </c>
      <c r="K245" s="42">
        <f t="shared" si="16"/>
        <v>-80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-8</v>
      </c>
      <c r="K246" s="42">
        <f t="shared" si="16"/>
        <v>-80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-8</v>
      </c>
      <c r="K247" s="42">
        <f t="shared" si="16"/>
        <v>-80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-8</v>
      </c>
      <c r="K248" s="42">
        <f t="shared" si="16"/>
        <v>-80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-8</v>
      </c>
      <c r="K249" s="42">
        <f t="shared" si="16"/>
        <v>-80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-8</v>
      </c>
      <c r="K250" s="42">
        <f t="shared" si="16"/>
        <v>-80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-8</v>
      </c>
      <c r="K251" s="42">
        <f t="shared" si="16"/>
        <v>-80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-8</v>
      </c>
      <c r="K252" s="42">
        <f t="shared" si="16"/>
        <v>-80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-8</v>
      </c>
      <c r="K253" s="42">
        <f t="shared" si="16"/>
        <v>-80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-8</v>
      </c>
      <c r="K254" s="42">
        <f t="shared" si="16"/>
        <v>-80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-8</v>
      </c>
      <c r="K255" s="42">
        <f t="shared" si="16"/>
        <v>-80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-8</v>
      </c>
      <c r="K256" s="42">
        <f t="shared" si="16"/>
        <v>-80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-8</v>
      </c>
      <c r="K257" s="42">
        <f t="shared" si="16"/>
        <v>-80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-8</v>
      </c>
      <c r="K258" s="42">
        <f t="shared" si="16"/>
        <v>-80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-8</v>
      </c>
      <c r="K259" s="42">
        <f t="shared" si="16"/>
        <v>-80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-8</v>
      </c>
      <c r="K260" s="42">
        <f t="shared" si="16"/>
        <v>-80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-8</v>
      </c>
      <c r="K261" s="42">
        <f t="shared" si="16"/>
        <v>-80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-9</v>
      </c>
      <c r="K262" s="42">
        <f t="shared" ref="K262:K305" si="20">J262*$J$2</f>
        <v>-90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-9</v>
      </c>
      <c r="K263" s="42">
        <f t="shared" si="20"/>
        <v>-90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-9</v>
      </c>
      <c r="K264" s="42">
        <f t="shared" si="20"/>
        <v>-90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-9</v>
      </c>
      <c r="K265" s="42">
        <f t="shared" si="20"/>
        <v>-90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-9</v>
      </c>
      <c r="K266" s="42">
        <f t="shared" si="20"/>
        <v>-90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-9</v>
      </c>
      <c r="K267" s="42">
        <f t="shared" si="20"/>
        <v>-90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-9</v>
      </c>
      <c r="K268" s="42">
        <f t="shared" si="20"/>
        <v>-90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-9</v>
      </c>
      <c r="K269" s="42">
        <f t="shared" si="20"/>
        <v>-90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-9</v>
      </c>
      <c r="K270" s="42">
        <f t="shared" si="20"/>
        <v>-90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-9</v>
      </c>
      <c r="K271" s="42">
        <f t="shared" si="20"/>
        <v>-90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-9</v>
      </c>
      <c r="K272" s="42">
        <f t="shared" si="20"/>
        <v>-90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-9</v>
      </c>
      <c r="K273" s="42">
        <f t="shared" si="20"/>
        <v>-90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-9</v>
      </c>
      <c r="K274" s="42">
        <f t="shared" si="20"/>
        <v>-90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-9</v>
      </c>
      <c r="K275" s="42">
        <f t="shared" si="20"/>
        <v>-90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-9</v>
      </c>
      <c r="K276" s="42">
        <f t="shared" si="20"/>
        <v>-90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-9</v>
      </c>
      <c r="K277" s="42">
        <f t="shared" si="20"/>
        <v>-90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-9</v>
      </c>
      <c r="K278" s="42">
        <f t="shared" si="20"/>
        <v>-90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-9</v>
      </c>
      <c r="K279" s="42">
        <f t="shared" si="20"/>
        <v>-90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-9</v>
      </c>
      <c r="K280" s="42">
        <f t="shared" si="20"/>
        <v>-90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-9</v>
      </c>
      <c r="K281" s="42">
        <f t="shared" si="20"/>
        <v>-90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-9</v>
      </c>
      <c r="K282" s="42">
        <f t="shared" si="20"/>
        <v>-90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-9</v>
      </c>
      <c r="K283" s="42">
        <f t="shared" si="20"/>
        <v>-90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-9</v>
      </c>
      <c r="K284" s="42">
        <f t="shared" si="20"/>
        <v>-90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-9</v>
      </c>
      <c r="K285" s="42">
        <f t="shared" si="20"/>
        <v>-90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-9</v>
      </c>
      <c r="K286" s="42">
        <f t="shared" si="20"/>
        <v>-90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-9</v>
      </c>
      <c r="K287" s="42">
        <f t="shared" si="20"/>
        <v>-90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-9</v>
      </c>
      <c r="K288" s="42">
        <f t="shared" si="20"/>
        <v>-90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-9</v>
      </c>
      <c r="K289" s="42">
        <f t="shared" si="20"/>
        <v>-90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-9</v>
      </c>
      <c r="K290" s="42">
        <f t="shared" si="20"/>
        <v>-90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-9</v>
      </c>
      <c r="K291" s="42">
        <f t="shared" si="20"/>
        <v>-90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-9</v>
      </c>
      <c r="K292" s="42">
        <f t="shared" si="20"/>
        <v>-90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-9</v>
      </c>
      <c r="K293" s="42">
        <f t="shared" si="20"/>
        <v>-90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-9</v>
      </c>
      <c r="K294" s="42">
        <f t="shared" si="20"/>
        <v>-90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-9</v>
      </c>
      <c r="K295" s="42">
        <f t="shared" si="20"/>
        <v>-90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-9</v>
      </c>
      <c r="K296" s="42">
        <f t="shared" si="20"/>
        <v>-90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-9</v>
      </c>
      <c r="K297" s="42">
        <f t="shared" si="20"/>
        <v>-90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-9</v>
      </c>
      <c r="K298" s="42">
        <f t="shared" si="20"/>
        <v>-90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-9</v>
      </c>
      <c r="K299" s="42">
        <f t="shared" si="20"/>
        <v>-90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-9</v>
      </c>
      <c r="K300" s="42">
        <f t="shared" si="20"/>
        <v>-90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-9</v>
      </c>
      <c r="K301" s="42">
        <f t="shared" si="20"/>
        <v>-90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-9</v>
      </c>
      <c r="K302" s="42">
        <f t="shared" si="20"/>
        <v>-90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-9</v>
      </c>
      <c r="K303" s="42">
        <f t="shared" si="20"/>
        <v>-90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-9</v>
      </c>
      <c r="K304" s="42">
        <f t="shared" si="20"/>
        <v>-90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-9</v>
      </c>
      <c r="K305" s="42">
        <f t="shared" si="20"/>
        <v>-90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57C5A474-774B-419B-8E25-E69E541EC4A3}">
      <formula1>#REF!</formula1>
    </dataValidation>
  </dataValidations>
  <hyperlinks>
    <hyperlink ref="C2:D2" r:id="rId1" display="ŚWIDNICA" xr:uid="{A2F674DE-507D-4EAA-99D9-38D0F59C8321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3AAD-7C17-4798-8F09-B13AC9B8D918}">
  <sheetPr>
    <tabColor rgb="FF92D050"/>
  </sheetPr>
  <dimension ref="A1:AM317"/>
  <sheetViews>
    <sheetView workbookViewId="0">
      <selection activeCell="C13" sqref="C13"/>
    </sheetView>
  </sheetViews>
  <sheetFormatPr defaultColWidth="8.85546875" defaultRowHeight="14.25"/>
  <cols>
    <col min="1" max="1" width="8" style="64" customWidth="1"/>
    <col min="2" max="2" width="8.285156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28515625" style="66" customWidth="1"/>
    <col min="11" max="11" width="8.7109375" style="66" customWidth="1"/>
    <col min="12" max="12" width="11" style="66" customWidth="1"/>
    <col min="13" max="13" width="11.7109375" style="66" customWidth="1"/>
    <col min="14" max="14" width="11.7109375" style="67" customWidth="1"/>
    <col min="15" max="16" width="13.85546875" style="20" customWidth="1"/>
    <col min="17" max="19" width="8.85546875" style="20"/>
    <col min="20" max="21" width="8.85546875" style="25"/>
    <col min="22" max="22" width="12.140625" style="25" customWidth="1"/>
    <col min="23" max="23" width="27.42578125" style="25" customWidth="1"/>
    <col min="24" max="39" width="8.85546875" style="25"/>
    <col min="40" max="16384" width="8.85546875" style="64"/>
  </cols>
  <sheetData>
    <row r="1" spans="1:37">
      <c r="A1" s="20"/>
      <c r="B1" s="20"/>
      <c r="C1" s="20"/>
      <c r="D1" s="20"/>
      <c r="E1" s="20"/>
      <c r="F1" s="20"/>
      <c r="G1" s="20"/>
      <c r="H1" s="21" t="s">
        <v>25</v>
      </c>
      <c r="I1" s="22" t="s">
        <v>26</v>
      </c>
      <c r="J1" s="22" t="s">
        <v>27</v>
      </c>
      <c r="K1" s="23" t="s">
        <v>67</v>
      </c>
      <c r="L1" s="69" t="s">
        <v>68</v>
      </c>
      <c r="M1" s="70"/>
      <c r="N1" s="24"/>
    </row>
    <row r="2" spans="1:37" ht="15">
      <c r="A2" s="20"/>
      <c r="B2" s="26" t="s">
        <v>29</v>
      </c>
      <c r="C2" s="92" t="s">
        <v>69</v>
      </c>
      <c r="D2" s="92"/>
      <c r="E2" s="27"/>
      <c r="F2" s="27"/>
      <c r="G2" s="27"/>
      <c r="H2" s="28">
        <v>5</v>
      </c>
      <c r="I2" s="29">
        <v>50</v>
      </c>
      <c r="J2" s="29">
        <v>10</v>
      </c>
      <c r="K2" s="30">
        <f>3*H2^(1/3)</f>
        <v>5.1299278400300903</v>
      </c>
      <c r="L2" s="71">
        <f>1.2</f>
        <v>1.2</v>
      </c>
      <c r="M2" s="24"/>
      <c r="N2" s="24"/>
    </row>
    <row r="3" spans="1:37" ht="14.25" customHeight="1">
      <c r="A3" s="20"/>
      <c r="B3" s="31" t="s">
        <v>31</v>
      </c>
      <c r="C3" s="93" t="s">
        <v>70</v>
      </c>
      <c r="D3" s="93"/>
      <c r="E3" s="32"/>
      <c r="F3" s="32"/>
      <c r="G3" s="32"/>
      <c r="H3" s="24"/>
      <c r="I3" s="24"/>
      <c r="J3" s="33"/>
      <c r="K3" s="24"/>
      <c r="L3" s="24"/>
      <c r="M3" s="24"/>
      <c r="N3" s="24"/>
    </row>
    <row r="4" spans="1:37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  <c r="N4" s="24"/>
    </row>
    <row r="5" spans="1:37" ht="34.700000000000003">
      <c r="A5" s="1" t="s">
        <v>33</v>
      </c>
      <c r="B5" s="35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34"/>
      <c r="H5" s="36" t="s">
        <v>39</v>
      </c>
      <c r="I5" s="37" t="s">
        <v>40</v>
      </c>
      <c r="J5" s="38" t="s">
        <v>41</v>
      </c>
      <c r="K5" s="37" t="s">
        <v>42</v>
      </c>
      <c r="L5" s="37" t="s">
        <v>43</v>
      </c>
      <c r="M5" s="36" t="s">
        <v>44</v>
      </c>
      <c r="N5" s="36" t="s">
        <v>71</v>
      </c>
    </row>
    <row r="6" spans="1:37" ht="14.45" customHeight="1">
      <c r="A6" s="39">
        <f>N6</f>
        <v>114.46774022410833</v>
      </c>
      <c r="B6" s="40">
        <f>IF(H6&gt;$H$2,"",(ROW()-5))</f>
        <v>1</v>
      </c>
      <c r="C6" s="41" t="s">
        <v>18</v>
      </c>
      <c r="D6" s="41" t="s">
        <v>56</v>
      </c>
      <c r="E6" s="41"/>
      <c r="F6" s="41" t="s">
        <v>62</v>
      </c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3</v>
      </c>
      <c r="K6" s="42">
        <f t="shared" ref="K6:K69" si="1">J6*$J$2</f>
        <v>30</v>
      </c>
      <c r="L6" s="44">
        <f>3*K2</f>
        <v>15.389783520090271</v>
      </c>
      <c r="M6" s="44">
        <f t="shared" ref="M6:M69" si="2">IF(I6&lt;&gt;"",K6+I6+L6,0)</f>
        <v>95.389783520090276</v>
      </c>
      <c r="N6" s="44">
        <f t="shared" ref="N6:N69" si="3">IF(I6&lt;&gt;"",M6*L$2,0)</f>
        <v>114.46774022410833</v>
      </c>
    </row>
    <row r="7" spans="1:37" ht="14.45" customHeight="1">
      <c r="A7" s="45">
        <f t="shared" ref="A7:A70" si="4">N7</f>
        <v>70.988045201356712</v>
      </c>
      <c r="B7" s="46">
        <f t="shared" ref="B7:B10" si="5">IF(H7&gt;$H$2,"",(ROW()-5))</f>
        <v>2</v>
      </c>
      <c r="C7" s="47" t="s">
        <v>17</v>
      </c>
      <c r="D7" s="47" t="s">
        <v>72</v>
      </c>
      <c r="E7" s="47"/>
      <c r="F7" s="47" t="s">
        <v>62</v>
      </c>
      <c r="G7" s="34"/>
      <c r="H7" s="48">
        <v>2</v>
      </c>
      <c r="I7" s="49">
        <f t="shared" si="0"/>
        <v>28.896848654403744</v>
      </c>
      <c r="J7" s="48">
        <f t="shared" ref="J7:J70" si="6">INT(LOG($H$2,2))-ROUNDUP(LOG(H7,2),0)+IF(OR($H$2=1,$H$2=2,$H$2=4,$H$2=8,$H$2=16,$H$2=32,$H$2=64,$H$2=128,$H$2=256),0,1)</f>
        <v>2</v>
      </c>
      <c r="K7" s="48">
        <f t="shared" si="1"/>
        <v>20</v>
      </c>
      <c r="L7" s="50">
        <f>2*K2</f>
        <v>10.259855680060181</v>
      </c>
      <c r="M7" s="50">
        <f t="shared" si="2"/>
        <v>59.156704334463925</v>
      </c>
      <c r="N7" s="50">
        <f t="shared" si="3"/>
        <v>70.988045201356712</v>
      </c>
    </row>
    <row r="8" spans="1:37" ht="14.45" customHeight="1">
      <c r="A8" s="39">
        <f t="shared" si="4"/>
        <v>38.018669172260182</v>
      </c>
      <c r="B8" s="40">
        <f t="shared" si="5"/>
        <v>3</v>
      </c>
      <c r="C8" s="41" t="s">
        <v>21</v>
      </c>
      <c r="D8" s="41" t="s">
        <v>73</v>
      </c>
      <c r="E8" s="41"/>
      <c r="F8" s="41" t="s">
        <v>62</v>
      </c>
      <c r="G8" s="34"/>
      <c r="H8" s="42">
        <v>3</v>
      </c>
      <c r="I8" s="43">
        <f t="shared" si="0"/>
        <v>16.552296470186725</v>
      </c>
      <c r="J8" s="42">
        <f t="shared" si="6"/>
        <v>1</v>
      </c>
      <c r="K8" s="42">
        <f t="shared" si="1"/>
        <v>10</v>
      </c>
      <c r="L8" s="44">
        <f>K2</f>
        <v>5.1299278400300903</v>
      </c>
      <c r="M8" s="44">
        <f t="shared" si="2"/>
        <v>31.682224310216817</v>
      </c>
      <c r="N8" s="44">
        <f t="shared" si="3"/>
        <v>38.018669172260182</v>
      </c>
    </row>
    <row r="9" spans="1:37" ht="14.45" customHeight="1">
      <c r="A9" s="45">
        <f t="shared" si="4"/>
        <v>21.352436770568985</v>
      </c>
      <c r="B9" s="46">
        <f t="shared" si="5"/>
        <v>4</v>
      </c>
      <c r="C9" s="47" t="s">
        <v>22</v>
      </c>
      <c r="D9" s="47" t="s">
        <v>74</v>
      </c>
      <c r="E9" s="47"/>
      <c r="F9" s="47" t="s">
        <v>62</v>
      </c>
      <c r="G9" s="34"/>
      <c r="H9" s="48">
        <v>4</v>
      </c>
      <c r="I9" s="49">
        <f t="shared" si="0"/>
        <v>7.7936973088074879</v>
      </c>
      <c r="J9" s="48">
        <f t="shared" si="6"/>
        <v>1</v>
      </c>
      <c r="K9" s="48">
        <f t="shared" si="1"/>
        <v>10</v>
      </c>
      <c r="L9" s="50"/>
      <c r="M9" s="50">
        <f t="shared" si="2"/>
        <v>17.793697308807488</v>
      </c>
      <c r="N9" s="50">
        <f t="shared" si="3"/>
        <v>21.352436770568985</v>
      </c>
      <c r="W9" s="51"/>
      <c r="AA9" s="52"/>
      <c r="AB9" s="52"/>
      <c r="AH9" s="53"/>
      <c r="AI9" s="25" t="s">
        <v>46</v>
      </c>
      <c r="AJ9" s="25">
        <v>23</v>
      </c>
    </row>
    <row r="10" spans="1:37" ht="14.45" customHeight="1">
      <c r="A10" s="39">
        <f t="shared" si="4"/>
        <v>1.2</v>
      </c>
      <c r="B10" s="40">
        <f t="shared" si="5"/>
        <v>5</v>
      </c>
      <c r="C10" s="41" t="s">
        <v>19</v>
      </c>
      <c r="D10" s="41" t="s">
        <v>74</v>
      </c>
      <c r="E10" s="41"/>
      <c r="F10" s="41" t="s">
        <v>62</v>
      </c>
      <c r="G10" s="34"/>
      <c r="H10" s="42">
        <v>5</v>
      </c>
      <c r="I10" s="43">
        <f t="shared" si="0"/>
        <v>1</v>
      </c>
      <c r="J10" s="42">
        <f t="shared" si="6"/>
        <v>0</v>
      </c>
      <c r="K10" s="42">
        <f t="shared" si="1"/>
        <v>0</v>
      </c>
      <c r="L10" s="42"/>
      <c r="M10" s="44">
        <f t="shared" si="2"/>
        <v>1</v>
      </c>
      <c r="N10" s="44">
        <f t="shared" si="3"/>
        <v>1.2</v>
      </c>
      <c r="W10" s="51"/>
      <c r="AA10" s="52"/>
      <c r="AB10" s="52"/>
      <c r="AH10" s="53"/>
      <c r="AI10" s="25" t="s">
        <v>47</v>
      </c>
      <c r="AJ10" s="25">
        <v>45</v>
      </c>
    </row>
    <row r="11" spans="1:37" ht="14.45" customHeight="1">
      <c r="A11" s="45">
        <f t="shared" si="4"/>
        <v>0</v>
      </c>
      <c r="B11" s="46" t="str">
        <f t="shared" ref="B11:B13" si="7">IF(H11&gt;$H$2,"",(ROW()-5))</f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6"/>
        <v>0</v>
      </c>
      <c r="K11" s="48">
        <f t="shared" si="1"/>
        <v>0</v>
      </c>
      <c r="L11" s="48"/>
      <c r="M11" s="50">
        <f t="shared" si="2"/>
        <v>0</v>
      </c>
      <c r="N11" s="50">
        <f t="shared" si="3"/>
        <v>0</v>
      </c>
      <c r="W11" s="54"/>
      <c r="AA11" s="52"/>
      <c r="AB11" s="52"/>
      <c r="AH11" s="53"/>
      <c r="AI11" s="25" t="s">
        <v>48</v>
      </c>
      <c r="AJ11" s="25">
        <v>50</v>
      </c>
    </row>
    <row r="12" spans="1:37" ht="14.45" customHeight="1">
      <c r="A12" s="39">
        <f t="shared" si="4"/>
        <v>0</v>
      </c>
      <c r="B12" s="40" t="str">
        <f>IF(H12&gt;$H$2,"",(ROW()-5))</f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6"/>
        <v>0</v>
      </c>
      <c r="K12" s="42">
        <f t="shared" si="1"/>
        <v>0</v>
      </c>
      <c r="L12" s="42"/>
      <c r="M12" s="44">
        <f t="shared" si="2"/>
        <v>0</v>
      </c>
      <c r="N12" s="44">
        <f t="shared" si="3"/>
        <v>0</v>
      </c>
      <c r="AA12" s="52"/>
      <c r="AB12" s="52"/>
      <c r="AH12" s="53"/>
      <c r="AI12" s="25" t="s">
        <v>49</v>
      </c>
      <c r="AJ12" s="25">
        <f>AJ11-1</f>
        <v>49</v>
      </c>
    </row>
    <row r="13" spans="1:37" ht="14.45" customHeight="1">
      <c r="A13" s="55">
        <f t="shared" si="4"/>
        <v>0</v>
      </c>
      <c r="B13" s="46" t="str">
        <f t="shared" si="7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6"/>
        <v>0</v>
      </c>
      <c r="K13" s="48">
        <f t="shared" si="1"/>
        <v>0</v>
      </c>
      <c r="L13" s="48"/>
      <c r="M13" s="50">
        <f t="shared" si="2"/>
        <v>0</v>
      </c>
      <c r="N13" s="50">
        <f t="shared" si="3"/>
        <v>0</v>
      </c>
      <c r="Y13" s="51"/>
      <c r="AH13" s="53"/>
      <c r="AI13" s="25" t="s">
        <v>50</v>
      </c>
      <c r="AJ13" s="25">
        <f>LOG(AJ9)</f>
        <v>1.3617278360175928</v>
      </c>
    </row>
    <row r="14" spans="1:37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6"/>
        <v>-1</v>
      </c>
      <c r="K14" s="42">
        <f t="shared" si="1"/>
        <v>-10</v>
      </c>
      <c r="L14" s="42"/>
      <c r="M14" s="44">
        <f t="shared" si="2"/>
        <v>0</v>
      </c>
      <c r="N14" s="44">
        <f t="shared" si="3"/>
        <v>0</v>
      </c>
      <c r="Y14" s="57"/>
      <c r="AA14" s="52"/>
      <c r="AB14" s="52"/>
      <c r="AH14" s="53"/>
      <c r="AI14" s="25" t="s">
        <v>51</v>
      </c>
      <c r="AJ14" s="25">
        <f>LOG(AJ10)</f>
        <v>1.6532125137753437</v>
      </c>
    </row>
    <row r="15" spans="1:37">
      <c r="A15" s="55">
        <f t="shared" si="4"/>
        <v>0</v>
      </c>
      <c r="B15" s="46" t="str">
        <f t="shared" ref="B15:B65" si="8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6"/>
        <v>-1</v>
      </c>
      <c r="K15" s="48">
        <f t="shared" si="1"/>
        <v>-10</v>
      </c>
      <c r="L15" s="48"/>
      <c r="M15" s="50">
        <f t="shared" si="2"/>
        <v>0</v>
      </c>
      <c r="N15" s="50">
        <f t="shared" si="3"/>
        <v>0</v>
      </c>
      <c r="Y15" s="51"/>
      <c r="AA15" s="52"/>
      <c r="AB15" s="52"/>
    </row>
    <row r="16" spans="1:37">
      <c r="A16" s="56">
        <f t="shared" si="4"/>
        <v>0</v>
      </c>
      <c r="B16" s="40" t="str">
        <f t="shared" si="8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6"/>
        <v>-1</v>
      </c>
      <c r="K16" s="42">
        <f t="shared" si="1"/>
        <v>-10</v>
      </c>
      <c r="L16" s="42"/>
      <c r="M16" s="44">
        <f t="shared" si="2"/>
        <v>0</v>
      </c>
      <c r="N16" s="44">
        <f t="shared" si="3"/>
        <v>0</v>
      </c>
      <c r="S16" s="58"/>
      <c r="AA16" s="52"/>
      <c r="AB16" s="52"/>
      <c r="AI16" s="59" t="s">
        <v>52</v>
      </c>
      <c r="AJ16" s="25">
        <f>AJ11-AJ12*AJ13/AJ14</f>
        <v>9.6393909380186855</v>
      </c>
      <c r="AK16" s="25" t="s">
        <v>53</v>
      </c>
    </row>
    <row r="17" spans="1:20">
      <c r="A17" s="55">
        <f t="shared" si="4"/>
        <v>0</v>
      </c>
      <c r="B17" s="46" t="str">
        <f t="shared" si="8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6"/>
        <v>-1</v>
      </c>
      <c r="K17" s="48">
        <f t="shared" si="1"/>
        <v>-10</v>
      </c>
      <c r="L17" s="48"/>
      <c r="M17" s="50">
        <f t="shared" si="2"/>
        <v>0</v>
      </c>
      <c r="N17" s="50">
        <f t="shared" si="3"/>
        <v>0</v>
      </c>
    </row>
    <row r="18" spans="1:20">
      <c r="A18" s="56">
        <f t="shared" si="4"/>
        <v>0</v>
      </c>
      <c r="B18" s="40" t="str">
        <f t="shared" si="8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6"/>
        <v>-1</v>
      </c>
      <c r="K18" s="42">
        <f t="shared" si="1"/>
        <v>-10</v>
      </c>
      <c r="L18" s="42"/>
      <c r="M18" s="44">
        <f t="shared" si="2"/>
        <v>0</v>
      </c>
      <c r="N18" s="44">
        <f t="shared" si="3"/>
        <v>0</v>
      </c>
    </row>
    <row r="19" spans="1:20">
      <c r="A19" s="55">
        <f t="shared" si="4"/>
        <v>0</v>
      </c>
      <c r="B19" s="46" t="str">
        <f t="shared" si="8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6"/>
        <v>-1</v>
      </c>
      <c r="K19" s="48">
        <f t="shared" si="1"/>
        <v>-10</v>
      </c>
      <c r="L19" s="48"/>
      <c r="M19" s="50">
        <f t="shared" si="2"/>
        <v>0</v>
      </c>
      <c r="N19" s="50">
        <f t="shared" si="3"/>
        <v>0</v>
      </c>
    </row>
    <row r="20" spans="1:20">
      <c r="A20" s="56">
        <f t="shared" si="4"/>
        <v>0</v>
      </c>
      <c r="B20" s="40" t="str">
        <f t="shared" si="8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6"/>
        <v>-1</v>
      </c>
      <c r="K20" s="42">
        <f t="shared" si="1"/>
        <v>-10</v>
      </c>
      <c r="L20" s="42"/>
      <c r="M20" s="44">
        <f t="shared" si="2"/>
        <v>0</v>
      </c>
      <c r="N20" s="44">
        <f t="shared" si="3"/>
        <v>0</v>
      </c>
      <c r="S20" s="60"/>
      <c r="T20" s="61"/>
    </row>
    <row r="21" spans="1:20">
      <c r="A21" s="55">
        <f t="shared" si="4"/>
        <v>0</v>
      </c>
      <c r="B21" s="46" t="str">
        <f t="shared" si="8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6"/>
        <v>-1</v>
      </c>
      <c r="K21" s="48">
        <f t="shared" si="1"/>
        <v>-10</v>
      </c>
      <c r="L21" s="48"/>
      <c r="M21" s="50">
        <f t="shared" si="2"/>
        <v>0</v>
      </c>
      <c r="N21" s="50">
        <f t="shared" si="3"/>
        <v>0</v>
      </c>
    </row>
    <row r="22" spans="1:20">
      <c r="A22" s="56">
        <f t="shared" si="4"/>
        <v>0</v>
      </c>
      <c r="B22" s="40" t="str">
        <f t="shared" si="8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6"/>
        <v>-2</v>
      </c>
      <c r="K22" s="42">
        <f t="shared" si="1"/>
        <v>-20</v>
      </c>
      <c r="L22" s="42"/>
      <c r="M22" s="44">
        <f t="shared" si="2"/>
        <v>0</v>
      </c>
      <c r="N22" s="44">
        <f t="shared" si="3"/>
        <v>0</v>
      </c>
    </row>
    <row r="23" spans="1:20">
      <c r="A23" s="55">
        <f t="shared" si="4"/>
        <v>0</v>
      </c>
      <c r="B23" s="46" t="str">
        <f t="shared" si="8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6"/>
        <v>-2</v>
      </c>
      <c r="K23" s="48">
        <f t="shared" si="1"/>
        <v>-20</v>
      </c>
      <c r="L23" s="48"/>
      <c r="M23" s="50">
        <f t="shared" si="2"/>
        <v>0</v>
      </c>
      <c r="N23" s="50">
        <f t="shared" si="3"/>
        <v>0</v>
      </c>
    </row>
    <row r="24" spans="1:20">
      <c r="A24" s="56">
        <f t="shared" si="4"/>
        <v>0</v>
      </c>
      <c r="B24" s="40" t="str">
        <f t="shared" si="8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6"/>
        <v>-2</v>
      </c>
      <c r="K24" s="42">
        <f t="shared" si="1"/>
        <v>-20</v>
      </c>
      <c r="L24" s="42"/>
      <c r="M24" s="44">
        <f t="shared" si="2"/>
        <v>0</v>
      </c>
      <c r="N24" s="44">
        <f t="shared" si="3"/>
        <v>0</v>
      </c>
      <c r="S24" s="60"/>
      <c r="T24" s="61"/>
    </row>
    <row r="25" spans="1:20">
      <c r="A25" s="55">
        <f t="shared" si="4"/>
        <v>0</v>
      </c>
      <c r="B25" s="46" t="str">
        <f t="shared" si="8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6"/>
        <v>-2</v>
      </c>
      <c r="K25" s="48">
        <f t="shared" si="1"/>
        <v>-20</v>
      </c>
      <c r="L25" s="48"/>
      <c r="M25" s="50">
        <f t="shared" si="2"/>
        <v>0</v>
      </c>
      <c r="N25" s="50">
        <f t="shared" si="3"/>
        <v>0</v>
      </c>
    </row>
    <row r="26" spans="1:20">
      <c r="A26" s="56">
        <f t="shared" si="4"/>
        <v>0</v>
      </c>
      <c r="B26" s="40" t="str">
        <f t="shared" si="8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6"/>
        <v>-2</v>
      </c>
      <c r="K26" s="42">
        <f t="shared" si="1"/>
        <v>-20</v>
      </c>
      <c r="L26" s="42"/>
      <c r="M26" s="44">
        <f t="shared" si="2"/>
        <v>0</v>
      </c>
      <c r="N26" s="44">
        <f t="shared" si="3"/>
        <v>0</v>
      </c>
    </row>
    <row r="27" spans="1:20">
      <c r="A27" s="55">
        <f t="shared" si="4"/>
        <v>0</v>
      </c>
      <c r="B27" s="46" t="str">
        <f t="shared" si="8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6"/>
        <v>-2</v>
      </c>
      <c r="K27" s="48">
        <f t="shared" si="1"/>
        <v>-20</v>
      </c>
      <c r="L27" s="48"/>
      <c r="M27" s="50">
        <f t="shared" si="2"/>
        <v>0</v>
      </c>
      <c r="N27" s="50">
        <f t="shared" si="3"/>
        <v>0</v>
      </c>
    </row>
    <row r="28" spans="1:20">
      <c r="A28" s="56">
        <f t="shared" si="4"/>
        <v>0</v>
      </c>
      <c r="B28" s="40" t="str">
        <f t="shared" si="8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6"/>
        <v>-2</v>
      </c>
      <c r="K28" s="42">
        <f t="shared" si="1"/>
        <v>-20</v>
      </c>
      <c r="L28" s="42"/>
      <c r="M28" s="44">
        <f t="shared" si="2"/>
        <v>0</v>
      </c>
      <c r="N28" s="44">
        <f t="shared" si="3"/>
        <v>0</v>
      </c>
      <c r="S28" s="60"/>
      <c r="T28" s="61"/>
    </row>
    <row r="29" spans="1:20">
      <c r="A29" s="55">
        <f t="shared" si="4"/>
        <v>0</v>
      </c>
      <c r="B29" s="46" t="str">
        <f t="shared" si="8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6"/>
        <v>-2</v>
      </c>
      <c r="K29" s="48">
        <f t="shared" si="1"/>
        <v>-20</v>
      </c>
      <c r="L29" s="48"/>
      <c r="M29" s="50">
        <f t="shared" si="2"/>
        <v>0</v>
      </c>
      <c r="N29" s="50">
        <f t="shared" si="3"/>
        <v>0</v>
      </c>
    </row>
    <row r="30" spans="1:20">
      <c r="A30" s="56">
        <f t="shared" si="4"/>
        <v>0</v>
      </c>
      <c r="B30" s="40" t="str">
        <f t="shared" si="8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6"/>
        <v>-2</v>
      </c>
      <c r="K30" s="42">
        <f t="shared" si="1"/>
        <v>-20</v>
      </c>
      <c r="L30" s="42"/>
      <c r="M30" s="44">
        <f t="shared" si="2"/>
        <v>0</v>
      </c>
      <c r="N30" s="44">
        <f t="shared" si="3"/>
        <v>0</v>
      </c>
    </row>
    <row r="31" spans="1:20">
      <c r="A31" s="55">
        <f t="shared" si="4"/>
        <v>0</v>
      </c>
      <c r="B31" s="46" t="str">
        <f t="shared" si="8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6"/>
        <v>-2</v>
      </c>
      <c r="K31" s="48">
        <f t="shared" si="1"/>
        <v>-20</v>
      </c>
      <c r="L31" s="48"/>
      <c r="M31" s="50">
        <f t="shared" si="2"/>
        <v>0</v>
      </c>
      <c r="N31" s="50">
        <f t="shared" si="3"/>
        <v>0</v>
      </c>
    </row>
    <row r="32" spans="1:20">
      <c r="A32" s="56">
        <f t="shared" si="4"/>
        <v>0</v>
      </c>
      <c r="B32" s="40" t="str">
        <f t="shared" si="8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6"/>
        <v>-2</v>
      </c>
      <c r="K32" s="42">
        <f t="shared" si="1"/>
        <v>-20</v>
      </c>
      <c r="L32" s="42"/>
      <c r="M32" s="44">
        <f t="shared" si="2"/>
        <v>0</v>
      </c>
      <c r="N32" s="44">
        <f t="shared" si="3"/>
        <v>0</v>
      </c>
      <c r="S32" s="60"/>
      <c r="T32" s="61"/>
    </row>
    <row r="33" spans="1:22">
      <c r="A33" s="55">
        <f t="shared" si="4"/>
        <v>0</v>
      </c>
      <c r="B33" s="46" t="str">
        <f t="shared" si="8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6"/>
        <v>-2</v>
      </c>
      <c r="K33" s="48">
        <f t="shared" si="1"/>
        <v>-20</v>
      </c>
      <c r="L33" s="48"/>
      <c r="M33" s="50">
        <f t="shared" si="2"/>
        <v>0</v>
      </c>
      <c r="N33" s="50">
        <f t="shared" si="3"/>
        <v>0</v>
      </c>
    </row>
    <row r="34" spans="1:22">
      <c r="A34" s="56">
        <f t="shared" si="4"/>
        <v>0</v>
      </c>
      <c r="B34" s="40" t="str">
        <f t="shared" si="8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6"/>
        <v>-2</v>
      </c>
      <c r="K34" s="42">
        <f t="shared" si="1"/>
        <v>-20</v>
      </c>
      <c r="L34" s="42"/>
      <c r="M34" s="44">
        <f t="shared" si="2"/>
        <v>0</v>
      </c>
      <c r="N34" s="44">
        <f t="shared" si="3"/>
        <v>0</v>
      </c>
    </row>
    <row r="35" spans="1:22">
      <c r="A35" s="55">
        <f t="shared" si="4"/>
        <v>0</v>
      </c>
      <c r="B35" s="46" t="str">
        <f t="shared" si="8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6"/>
        <v>-2</v>
      </c>
      <c r="K35" s="48">
        <f t="shared" si="1"/>
        <v>-20</v>
      </c>
      <c r="L35" s="48"/>
      <c r="M35" s="50">
        <f t="shared" si="2"/>
        <v>0</v>
      </c>
      <c r="N35" s="50">
        <f t="shared" si="3"/>
        <v>0</v>
      </c>
    </row>
    <row r="36" spans="1:22">
      <c r="A36" s="56">
        <f t="shared" si="4"/>
        <v>0</v>
      </c>
      <c r="B36" s="40" t="str">
        <f t="shared" si="8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6"/>
        <v>-2</v>
      </c>
      <c r="K36" s="42">
        <f t="shared" si="1"/>
        <v>-20</v>
      </c>
      <c r="L36" s="42"/>
      <c r="M36" s="44">
        <f t="shared" si="2"/>
        <v>0</v>
      </c>
      <c r="N36" s="44">
        <f t="shared" si="3"/>
        <v>0</v>
      </c>
      <c r="S36" s="60"/>
      <c r="T36" s="61"/>
    </row>
    <row r="37" spans="1:22">
      <c r="A37" s="55">
        <f t="shared" si="4"/>
        <v>0</v>
      </c>
      <c r="B37" s="46" t="str">
        <f t="shared" si="8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6"/>
        <v>-2</v>
      </c>
      <c r="K37" s="48">
        <f t="shared" si="1"/>
        <v>-20</v>
      </c>
      <c r="L37" s="48"/>
      <c r="M37" s="50">
        <f t="shared" si="2"/>
        <v>0</v>
      </c>
      <c r="N37" s="50">
        <f t="shared" si="3"/>
        <v>0</v>
      </c>
    </row>
    <row r="38" spans="1:22">
      <c r="A38" s="56">
        <f t="shared" si="4"/>
        <v>0</v>
      </c>
      <c r="B38" s="40" t="str">
        <f t="shared" si="8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6"/>
        <v>-3</v>
      </c>
      <c r="K38" s="42">
        <f t="shared" si="1"/>
        <v>-30</v>
      </c>
      <c r="L38" s="42"/>
      <c r="M38" s="44">
        <f t="shared" si="2"/>
        <v>0</v>
      </c>
      <c r="N38" s="44">
        <f t="shared" si="3"/>
        <v>0</v>
      </c>
    </row>
    <row r="39" spans="1:22">
      <c r="A39" s="55">
        <f t="shared" si="4"/>
        <v>0</v>
      </c>
      <c r="B39" s="46" t="str">
        <f t="shared" si="8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6"/>
        <v>-3</v>
      </c>
      <c r="K39" s="48">
        <f t="shared" si="1"/>
        <v>-30</v>
      </c>
      <c r="L39" s="48"/>
      <c r="M39" s="50">
        <f t="shared" si="2"/>
        <v>0</v>
      </c>
      <c r="N39" s="50">
        <f t="shared" si="3"/>
        <v>0</v>
      </c>
    </row>
    <row r="40" spans="1:22">
      <c r="A40" s="56">
        <f t="shared" si="4"/>
        <v>0</v>
      </c>
      <c r="B40" s="40" t="str">
        <f t="shared" si="8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6"/>
        <v>-3</v>
      </c>
      <c r="K40" s="42">
        <f t="shared" si="1"/>
        <v>-30</v>
      </c>
      <c r="L40" s="42"/>
      <c r="M40" s="44">
        <f t="shared" si="2"/>
        <v>0</v>
      </c>
      <c r="N40" s="44">
        <f t="shared" si="3"/>
        <v>0</v>
      </c>
    </row>
    <row r="41" spans="1:22">
      <c r="A41" s="55">
        <f t="shared" si="4"/>
        <v>0</v>
      </c>
      <c r="B41" s="46" t="str">
        <f t="shared" si="8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6"/>
        <v>-3</v>
      </c>
      <c r="K41" s="48">
        <f t="shared" si="1"/>
        <v>-30</v>
      </c>
      <c r="L41" s="48"/>
      <c r="M41" s="50">
        <f t="shared" si="2"/>
        <v>0</v>
      </c>
      <c r="N41" s="50">
        <f t="shared" si="3"/>
        <v>0</v>
      </c>
      <c r="T41" s="62"/>
    </row>
    <row r="42" spans="1:22">
      <c r="A42" s="56">
        <f t="shared" si="4"/>
        <v>0</v>
      </c>
      <c r="B42" s="40" t="str">
        <f t="shared" si="8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6"/>
        <v>-3</v>
      </c>
      <c r="K42" s="42">
        <f t="shared" si="1"/>
        <v>-30</v>
      </c>
      <c r="L42" s="42"/>
      <c r="M42" s="44">
        <f t="shared" si="2"/>
        <v>0</v>
      </c>
      <c r="N42" s="44">
        <f t="shared" si="3"/>
        <v>0</v>
      </c>
    </row>
    <row r="43" spans="1:22">
      <c r="A43" s="55">
        <f t="shared" si="4"/>
        <v>0</v>
      </c>
      <c r="B43" s="46" t="str">
        <f t="shared" si="8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6"/>
        <v>-3</v>
      </c>
      <c r="K43" s="48">
        <f t="shared" si="1"/>
        <v>-30</v>
      </c>
      <c r="L43" s="48"/>
      <c r="M43" s="50">
        <f t="shared" si="2"/>
        <v>0</v>
      </c>
      <c r="N43" s="50">
        <f t="shared" si="3"/>
        <v>0</v>
      </c>
    </row>
    <row r="44" spans="1:22">
      <c r="A44" s="56">
        <f t="shared" si="4"/>
        <v>0</v>
      </c>
      <c r="B44" s="40" t="str">
        <f t="shared" si="8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6"/>
        <v>-3</v>
      </c>
      <c r="K44" s="42">
        <f t="shared" si="1"/>
        <v>-30</v>
      </c>
      <c r="L44" s="42"/>
      <c r="M44" s="44">
        <f t="shared" si="2"/>
        <v>0</v>
      </c>
      <c r="N44" s="44">
        <f t="shared" si="3"/>
        <v>0</v>
      </c>
    </row>
    <row r="45" spans="1:22">
      <c r="A45" s="55">
        <f t="shared" si="4"/>
        <v>0</v>
      </c>
      <c r="B45" s="46" t="str">
        <f t="shared" si="8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6"/>
        <v>-3</v>
      </c>
      <c r="K45" s="48">
        <f t="shared" si="1"/>
        <v>-30</v>
      </c>
      <c r="L45" s="48"/>
      <c r="M45" s="50">
        <f t="shared" si="2"/>
        <v>0</v>
      </c>
      <c r="N45" s="50">
        <f t="shared" si="3"/>
        <v>0</v>
      </c>
    </row>
    <row r="46" spans="1:22">
      <c r="A46" s="56">
        <f t="shared" si="4"/>
        <v>0</v>
      </c>
      <c r="B46" s="40" t="str">
        <f t="shared" si="8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6"/>
        <v>-3</v>
      </c>
      <c r="K46" s="42">
        <f t="shared" si="1"/>
        <v>-30</v>
      </c>
      <c r="L46" s="42"/>
      <c r="M46" s="44">
        <f t="shared" si="2"/>
        <v>0</v>
      </c>
      <c r="N46" s="44">
        <f t="shared" si="3"/>
        <v>0</v>
      </c>
      <c r="S46" s="20">
        <f>LOG($H$2,2)</f>
        <v>2.3219280948873622</v>
      </c>
      <c r="U46" s="25">
        <f>LOG(H38,2)</f>
        <v>5.0443941193584534</v>
      </c>
      <c r="V46" s="25">
        <f>S46-U46</f>
        <v>-2.7224660244710912</v>
      </c>
    </row>
    <row r="47" spans="1:22">
      <c r="A47" s="55">
        <f t="shared" si="4"/>
        <v>0</v>
      </c>
      <c r="B47" s="46" t="str">
        <f t="shared" si="8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6"/>
        <v>-3</v>
      </c>
      <c r="K47" s="48">
        <f t="shared" si="1"/>
        <v>-30</v>
      </c>
      <c r="L47" s="48"/>
      <c r="M47" s="50">
        <f t="shared" si="2"/>
        <v>0</v>
      </c>
      <c r="N47" s="50">
        <f t="shared" si="3"/>
        <v>0</v>
      </c>
    </row>
    <row r="48" spans="1:22">
      <c r="A48" s="56">
        <f t="shared" si="4"/>
        <v>0</v>
      </c>
      <c r="B48" s="40" t="str">
        <f t="shared" si="8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6"/>
        <v>-3</v>
      </c>
      <c r="K48" s="42">
        <f t="shared" si="1"/>
        <v>-30</v>
      </c>
      <c r="L48" s="42"/>
      <c r="M48" s="44">
        <f t="shared" si="2"/>
        <v>0</v>
      </c>
      <c r="N48" s="44">
        <f t="shared" si="3"/>
        <v>0</v>
      </c>
    </row>
    <row r="49" spans="1:14">
      <c r="A49" s="55">
        <f t="shared" si="4"/>
        <v>0</v>
      </c>
      <c r="B49" s="46" t="str">
        <f t="shared" si="8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6"/>
        <v>-3</v>
      </c>
      <c r="K49" s="48">
        <f t="shared" si="1"/>
        <v>-30</v>
      </c>
      <c r="L49" s="48"/>
      <c r="M49" s="50">
        <f t="shared" si="2"/>
        <v>0</v>
      </c>
      <c r="N49" s="50">
        <f t="shared" si="3"/>
        <v>0</v>
      </c>
    </row>
    <row r="50" spans="1:14">
      <c r="A50" s="56">
        <f t="shared" si="4"/>
        <v>0</v>
      </c>
      <c r="B50" s="40" t="str">
        <f t="shared" si="8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6"/>
        <v>-3</v>
      </c>
      <c r="K50" s="42">
        <f t="shared" si="1"/>
        <v>-30</v>
      </c>
      <c r="L50" s="42"/>
      <c r="M50" s="44">
        <f t="shared" si="2"/>
        <v>0</v>
      </c>
      <c r="N50" s="44">
        <f t="shared" si="3"/>
        <v>0</v>
      </c>
    </row>
    <row r="51" spans="1:14">
      <c r="A51" s="55">
        <f t="shared" si="4"/>
        <v>0</v>
      </c>
      <c r="B51" s="46" t="str">
        <f t="shared" si="8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6"/>
        <v>-3</v>
      </c>
      <c r="K51" s="48">
        <f t="shared" si="1"/>
        <v>-30</v>
      </c>
      <c r="L51" s="48"/>
      <c r="M51" s="50">
        <f t="shared" si="2"/>
        <v>0</v>
      </c>
      <c r="N51" s="50">
        <f t="shared" si="3"/>
        <v>0</v>
      </c>
    </row>
    <row r="52" spans="1:14">
      <c r="A52" s="56">
        <f t="shared" si="4"/>
        <v>0</v>
      </c>
      <c r="B52" s="40" t="str">
        <f t="shared" si="8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6"/>
        <v>-3</v>
      </c>
      <c r="K52" s="42">
        <f t="shared" si="1"/>
        <v>-30</v>
      </c>
      <c r="L52" s="42"/>
      <c r="M52" s="44">
        <f t="shared" si="2"/>
        <v>0</v>
      </c>
      <c r="N52" s="44">
        <f t="shared" si="3"/>
        <v>0</v>
      </c>
    </row>
    <row r="53" spans="1:14">
      <c r="A53" s="55">
        <f t="shared" si="4"/>
        <v>0</v>
      </c>
      <c r="B53" s="46" t="str">
        <f t="shared" si="8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6"/>
        <v>-3</v>
      </c>
      <c r="K53" s="48">
        <f t="shared" si="1"/>
        <v>-30</v>
      </c>
      <c r="L53" s="48"/>
      <c r="M53" s="50">
        <f t="shared" si="2"/>
        <v>0</v>
      </c>
      <c r="N53" s="50">
        <f t="shared" si="3"/>
        <v>0</v>
      </c>
    </row>
    <row r="54" spans="1:14">
      <c r="A54" s="56">
        <f t="shared" si="4"/>
        <v>0</v>
      </c>
      <c r="B54" s="40" t="str">
        <f t="shared" si="8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6"/>
        <v>-3</v>
      </c>
      <c r="K54" s="42">
        <f t="shared" si="1"/>
        <v>-30</v>
      </c>
      <c r="L54" s="42"/>
      <c r="M54" s="44">
        <f t="shared" si="2"/>
        <v>0</v>
      </c>
      <c r="N54" s="44">
        <f t="shared" si="3"/>
        <v>0</v>
      </c>
    </row>
    <row r="55" spans="1:14">
      <c r="A55" s="55">
        <f t="shared" si="4"/>
        <v>0</v>
      </c>
      <c r="B55" s="46" t="str">
        <f t="shared" si="8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6"/>
        <v>-3</v>
      </c>
      <c r="K55" s="48">
        <f t="shared" si="1"/>
        <v>-30</v>
      </c>
      <c r="L55" s="48"/>
      <c r="M55" s="50">
        <f t="shared" si="2"/>
        <v>0</v>
      </c>
      <c r="N55" s="50">
        <f t="shared" si="3"/>
        <v>0</v>
      </c>
    </row>
    <row r="56" spans="1:14">
      <c r="A56" s="56">
        <f t="shared" si="4"/>
        <v>0</v>
      </c>
      <c r="B56" s="40" t="str">
        <f t="shared" si="8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6"/>
        <v>-3</v>
      </c>
      <c r="K56" s="42">
        <f t="shared" si="1"/>
        <v>-30</v>
      </c>
      <c r="L56" s="42"/>
      <c r="M56" s="44">
        <f t="shared" si="2"/>
        <v>0</v>
      </c>
      <c r="N56" s="44">
        <f t="shared" si="3"/>
        <v>0</v>
      </c>
    </row>
    <row r="57" spans="1:14">
      <c r="A57" s="55">
        <f t="shared" si="4"/>
        <v>0</v>
      </c>
      <c r="B57" s="46" t="str">
        <f t="shared" si="8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6"/>
        <v>-3</v>
      </c>
      <c r="K57" s="48">
        <f t="shared" si="1"/>
        <v>-30</v>
      </c>
      <c r="L57" s="48"/>
      <c r="M57" s="50">
        <f t="shared" si="2"/>
        <v>0</v>
      </c>
      <c r="N57" s="50">
        <f t="shared" si="3"/>
        <v>0</v>
      </c>
    </row>
    <row r="58" spans="1:14">
      <c r="A58" s="56">
        <f t="shared" si="4"/>
        <v>0</v>
      </c>
      <c r="B58" s="40" t="str">
        <f t="shared" si="8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6"/>
        <v>-3</v>
      </c>
      <c r="K58" s="42">
        <f t="shared" si="1"/>
        <v>-30</v>
      </c>
      <c r="L58" s="42"/>
      <c r="M58" s="44">
        <f t="shared" si="2"/>
        <v>0</v>
      </c>
      <c r="N58" s="44">
        <f t="shared" si="3"/>
        <v>0</v>
      </c>
    </row>
    <row r="59" spans="1:14">
      <c r="A59" s="55">
        <f t="shared" si="4"/>
        <v>0</v>
      </c>
      <c r="B59" s="46" t="str">
        <f t="shared" si="8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6"/>
        <v>-3</v>
      </c>
      <c r="K59" s="48">
        <f t="shared" si="1"/>
        <v>-30</v>
      </c>
      <c r="L59" s="48"/>
      <c r="M59" s="50">
        <f t="shared" si="2"/>
        <v>0</v>
      </c>
      <c r="N59" s="50">
        <f t="shared" si="3"/>
        <v>0</v>
      </c>
    </row>
    <row r="60" spans="1:14">
      <c r="A60" s="56">
        <f t="shared" si="4"/>
        <v>0</v>
      </c>
      <c r="B60" s="40" t="str">
        <f t="shared" si="8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6"/>
        <v>-3</v>
      </c>
      <c r="K60" s="42">
        <f t="shared" si="1"/>
        <v>-30</v>
      </c>
      <c r="L60" s="42"/>
      <c r="M60" s="44">
        <f t="shared" si="2"/>
        <v>0</v>
      </c>
      <c r="N60" s="44">
        <f t="shared" si="3"/>
        <v>0</v>
      </c>
    </row>
    <row r="61" spans="1:14">
      <c r="A61" s="55">
        <f t="shared" si="4"/>
        <v>0</v>
      </c>
      <c r="B61" s="46" t="str">
        <f t="shared" si="8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6"/>
        <v>-3</v>
      </c>
      <c r="K61" s="48">
        <f t="shared" si="1"/>
        <v>-30</v>
      </c>
      <c r="L61" s="48"/>
      <c r="M61" s="50">
        <f t="shared" si="2"/>
        <v>0</v>
      </c>
      <c r="N61" s="50">
        <f t="shared" si="3"/>
        <v>0</v>
      </c>
    </row>
    <row r="62" spans="1:14">
      <c r="A62" s="56">
        <f t="shared" si="4"/>
        <v>0</v>
      </c>
      <c r="B62" s="40" t="str">
        <f t="shared" si="8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6"/>
        <v>-3</v>
      </c>
      <c r="K62" s="42">
        <f t="shared" si="1"/>
        <v>-30</v>
      </c>
      <c r="L62" s="42"/>
      <c r="M62" s="44">
        <f t="shared" si="2"/>
        <v>0</v>
      </c>
      <c r="N62" s="44">
        <f t="shared" si="3"/>
        <v>0</v>
      </c>
    </row>
    <row r="63" spans="1:14">
      <c r="A63" s="55">
        <f t="shared" si="4"/>
        <v>0</v>
      </c>
      <c r="B63" s="46" t="str">
        <f t="shared" si="8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6"/>
        <v>-3</v>
      </c>
      <c r="K63" s="48">
        <f t="shared" si="1"/>
        <v>-30</v>
      </c>
      <c r="L63" s="48"/>
      <c r="M63" s="50">
        <f t="shared" si="2"/>
        <v>0</v>
      </c>
      <c r="N63" s="50">
        <f t="shared" si="3"/>
        <v>0</v>
      </c>
    </row>
    <row r="64" spans="1:14">
      <c r="A64" s="56">
        <f t="shared" si="4"/>
        <v>0</v>
      </c>
      <c r="B64" s="40" t="str">
        <f t="shared" si="8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6"/>
        <v>-3</v>
      </c>
      <c r="K64" s="42">
        <f t="shared" si="1"/>
        <v>-30</v>
      </c>
      <c r="L64" s="42"/>
      <c r="M64" s="44">
        <f t="shared" si="2"/>
        <v>0</v>
      </c>
      <c r="N64" s="44">
        <f t="shared" si="3"/>
        <v>0</v>
      </c>
    </row>
    <row r="65" spans="1:14">
      <c r="A65" s="55">
        <f t="shared" si="4"/>
        <v>0</v>
      </c>
      <c r="B65" s="46" t="str">
        <f t="shared" si="8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6"/>
        <v>-3</v>
      </c>
      <c r="K65" s="48">
        <f t="shared" si="1"/>
        <v>-30</v>
      </c>
      <c r="L65" s="48"/>
      <c r="M65" s="50">
        <f t="shared" si="2"/>
        <v>0</v>
      </c>
      <c r="N65" s="50">
        <f t="shared" si="3"/>
        <v>0</v>
      </c>
    </row>
    <row r="66" spans="1:14">
      <c r="A66" s="63">
        <f t="shared" si="4"/>
        <v>0</v>
      </c>
      <c r="B66" s="40"/>
      <c r="G66" s="20"/>
      <c r="H66" s="42">
        <v>61</v>
      </c>
      <c r="I66" s="43" t="str">
        <f t="shared" si="0"/>
        <v/>
      </c>
      <c r="J66" s="42">
        <f t="shared" si="6"/>
        <v>-3</v>
      </c>
      <c r="K66" s="42">
        <f t="shared" si="1"/>
        <v>-30</v>
      </c>
      <c r="L66" s="42"/>
      <c r="M66" s="44">
        <f t="shared" si="2"/>
        <v>0</v>
      </c>
      <c r="N66" s="44">
        <f t="shared" si="3"/>
        <v>0</v>
      </c>
    </row>
    <row r="67" spans="1:14">
      <c r="A67" s="63">
        <f t="shared" si="4"/>
        <v>0</v>
      </c>
      <c r="B67" s="46"/>
      <c r="G67" s="20"/>
      <c r="H67" s="42">
        <v>62</v>
      </c>
      <c r="I67" s="43" t="str">
        <f t="shared" si="0"/>
        <v/>
      </c>
      <c r="J67" s="42">
        <f t="shared" si="6"/>
        <v>-3</v>
      </c>
      <c r="K67" s="42">
        <f t="shared" si="1"/>
        <v>-30</v>
      </c>
      <c r="L67" s="42"/>
      <c r="M67" s="44">
        <f t="shared" si="2"/>
        <v>0</v>
      </c>
      <c r="N67" s="44">
        <f t="shared" si="3"/>
        <v>0</v>
      </c>
    </row>
    <row r="68" spans="1:14">
      <c r="A68" s="63">
        <f t="shared" si="4"/>
        <v>0</v>
      </c>
      <c r="B68" s="40"/>
      <c r="G68" s="20"/>
      <c r="H68" s="42">
        <v>63</v>
      </c>
      <c r="I68" s="43" t="str">
        <f t="shared" si="0"/>
        <v/>
      </c>
      <c r="J68" s="42">
        <f t="shared" si="6"/>
        <v>-3</v>
      </c>
      <c r="K68" s="42">
        <f t="shared" si="1"/>
        <v>-30</v>
      </c>
      <c r="L68" s="42"/>
      <c r="M68" s="44">
        <f t="shared" si="2"/>
        <v>0</v>
      </c>
      <c r="N68" s="44">
        <f t="shared" si="3"/>
        <v>0</v>
      </c>
    </row>
    <row r="69" spans="1:14">
      <c r="A69" s="63">
        <f t="shared" si="4"/>
        <v>0</v>
      </c>
      <c r="B69" s="46"/>
      <c r="G69" s="20"/>
      <c r="H69" s="42">
        <v>64</v>
      </c>
      <c r="I69" s="43" t="str">
        <f t="shared" si="0"/>
        <v/>
      </c>
      <c r="J69" s="42">
        <f t="shared" si="6"/>
        <v>-3</v>
      </c>
      <c r="K69" s="42">
        <f t="shared" si="1"/>
        <v>-30</v>
      </c>
      <c r="L69" s="42"/>
      <c r="M69" s="44">
        <f t="shared" si="2"/>
        <v>0</v>
      </c>
      <c r="N69" s="44">
        <f t="shared" si="3"/>
        <v>0</v>
      </c>
    </row>
    <row r="70" spans="1:14">
      <c r="A70" s="63">
        <f t="shared" si="4"/>
        <v>0</v>
      </c>
      <c r="G70" s="20"/>
      <c r="H70" s="42">
        <v>65</v>
      </c>
      <c r="I70" s="43" t="str">
        <f t="shared" ref="I70:I133" si="9">IF(H70&lt;$H$2+1,($I$2-($I$2-1)*(LOG(H70)/LOG($H$2))),"")</f>
        <v/>
      </c>
      <c r="J70" s="42">
        <f t="shared" si="6"/>
        <v>-4</v>
      </c>
      <c r="K70" s="42">
        <f t="shared" ref="K70:K133" si="10">J70*$J$2</f>
        <v>-40</v>
      </c>
      <c r="L70" s="42"/>
      <c r="M70" s="44">
        <f t="shared" ref="M70:M133" si="11">IF(I70&lt;&gt;"",K70+I70+L70,0)</f>
        <v>0</v>
      </c>
      <c r="N70" s="44">
        <f t="shared" ref="N70:N133" si="12">IF(I70&lt;&gt;"",M70*L$2,0)</f>
        <v>0</v>
      </c>
    </row>
    <row r="71" spans="1:14">
      <c r="A71" s="63">
        <f t="shared" ref="A71:A134" si="13">N71</f>
        <v>0</v>
      </c>
      <c r="G71" s="20"/>
      <c r="H71" s="42">
        <v>66</v>
      </c>
      <c r="I71" s="43" t="str">
        <f t="shared" si="9"/>
        <v/>
      </c>
      <c r="J71" s="42">
        <f t="shared" ref="J71:J134" si="14">INT(LOG($H$2,2))-ROUNDUP(LOG(H71,2),0)+IF(OR($H$2=1,$H$2=2,$H$2=4,$H$2=8,$H$2=16,$H$2=32,$H$2=64,$H$2=128,$H$2=256),0,1)</f>
        <v>-4</v>
      </c>
      <c r="K71" s="42">
        <f t="shared" si="10"/>
        <v>-40</v>
      </c>
      <c r="L71" s="42"/>
      <c r="M71" s="44">
        <f t="shared" si="11"/>
        <v>0</v>
      </c>
      <c r="N71" s="44">
        <f t="shared" si="12"/>
        <v>0</v>
      </c>
    </row>
    <row r="72" spans="1:14">
      <c r="A72" s="63">
        <f t="shared" si="13"/>
        <v>0</v>
      </c>
      <c r="G72" s="20"/>
      <c r="H72" s="42">
        <v>67</v>
      </c>
      <c r="I72" s="43" t="str">
        <f t="shared" si="9"/>
        <v/>
      </c>
      <c r="J72" s="42">
        <f t="shared" si="14"/>
        <v>-4</v>
      </c>
      <c r="K72" s="42">
        <f t="shared" si="10"/>
        <v>-40</v>
      </c>
      <c r="L72" s="42"/>
      <c r="M72" s="44">
        <f t="shared" si="11"/>
        <v>0</v>
      </c>
      <c r="N72" s="44">
        <f t="shared" si="12"/>
        <v>0</v>
      </c>
    </row>
    <row r="73" spans="1:14">
      <c r="A73" s="63">
        <f t="shared" si="13"/>
        <v>0</v>
      </c>
      <c r="G73" s="20"/>
      <c r="H73" s="42">
        <v>68</v>
      </c>
      <c r="I73" s="43" t="str">
        <f t="shared" si="9"/>
        <v/>
      </c>
      <c r="J73" s="42">
        <f t="shared" si="14"/>
        <v>-4</v>
      </c>
      <c r="K73" s="42">
        <f t="shared" si="10"/>
        <v>-40</v>
      </c>
      <c r="L73" s="42"/>
      <c r="M73" s="44">
        <f t="shared" si="11"/>
        <v>0</v>
      </c>
      <c r="N73" s="44">
        <f t="shared" si="12"/>
        <v>0</v>
      </c>
    </row>
    <row r="74" spans="1:14">
      <c r="A74" s="63">
        <f t="shared" si="13"/>
        <v>0</v>
      </c>
      <c r="G74" s="20"/>
      <c r="H74" s="42">
        <v>69</v>
      </c>
      <c r="I74" s="43" t="str">
        <f t="shared" si="9"/>
        <v/>
      </c>
      <c r="J74" s="42">
        <f t="shared" si="14"/>
        <v>-4</v>
      </c>
      <c r="K74" s="42">
        <f t="shared" si="10"/>
        <v>-40</v>
      </c>
      <c r="L74" s="42"/>
      <c r="M74" s="44">
        <f t="shared" si="11"/>
        <v>0</v>
      </c>
      <c r="N74" s="44">
        <f t="shared" si="12"/>
        <v>0</v>
      </c>
    </row>
    <row r="75" spans="1:14">
      <c r="A75" s="63">
        <f t="shared" si="13"/>
        <v>0</v>
      </c>
      <c r="G75" s="20"/>
      <c r="H75" s="42">
        <v>70</v>
      </c>
      <c r="I75" s="43" t="str">
        <f t="shared" si="9"/>
        <v/>
      </c>
      <c r="J75" s="42">
        <f t="shared" si="14"/>
        <v>-4</v>
      </c>
      <c r="K75" s="42">
        <f t="shared" si="10"/>
        <v>-40</v>
      </c>
      <c r="L75" s="42"/>
      <c r="M75" s="44">
        <f t="shared" si="11"/>
        <v>0</v>
      </c>
      <c r="N75" s="44">
        <f t="shared" si="12"/>
        <v>0</v>
      </c>
    </row>
    <row r="76" spans="1:14">
      <c r="A76" s="63">
        <f t="shared" si="13"/>
        <v>0</v>
      </c>
      <c r="G76" s="20"/>
      <c r="H76" s="42">
        <v>71</v>
      </c>
      <c r="I76" s="43" t="str">
        <f t="shared" si="9"/>
        <v/>
      </c>
      <c r="J76" s="42">
        <f t="shared" si="14"/>
        <v>-4</v>
      </c>
      <c r="K76" s="42">
        <f t="shared" si="10"/>
        <v>-40</v>
      </c>
      <c r="L76" s="42"/>
      <c r="M76" s="44">
        <f t="shared" si="11"/>
        <v>0</v>
      </c>
      <c r="N76" s="44">
        <f t="shared" si="12"/>
        <v>0</v>
      </c>
    </row>
    <row r="77" spans="1:14">
      <c r="A77" s="63">
        <f t="shared" si="13"/>
        <v>0</v>
      </c>
      <c r="G77" s="20"/>
      <c r="H77" s="42">
        <v>72</v>
      </c>
      <c r="I77" s="43" t="str">
        <f t="shared" si="9"/>
        <v/>
      </c>
      <c r="J77" s="42">
        <f t="shared" si="14"/>
        <v>-4</v>
      </c>
      <c r="K77" s="42">
        <f t="shared" si="10"/>
        <v>-40</v>
      </c>
      <c r="L77" s="42"/>
      <c r="M77" s="44">
        <f t="shared" si="11"/>
        <v>0</v>
      </c>
      <c r="N77" s="44">
        <f t="shared" si="12"/>
        <v>0</v>
      </c>
    </row>
    <row r="78" spans="1:14">
      <c r="A78" s="63">
        <f t="shared" si="13"/>
        <v>0</v>
      </c>
      <c r="G78" s="20"/>
      <c r="H78" s="42">
        <v>73</v>
      </c>
      <c r="I78" s="43" t="str">
        <f t="shared" si="9"/>
        <v/>
      </c>
      <c r="J78" s="42">
        <f t="shared" si="14"/>
        <v>-4</v>
      </c>
      <c r="K78" s="42">
        <f t="shared" si="10"/>
        <v>-40</v>
      </c>
      <c r="L78" s="42"/>
      <c r="M78" s="44">
        <f t="shared" si="11"/>
        <v>0</v>
      </c>
      <c r="N78" s="44">
        <f t="shared" si="12"/>
        <v>0</v>
      </c>
    </row>
    <row r="79" spans="1:14">
      <c r="A79" s="63">
        <f t="shared" si="13"/>
        <v>0</v>
      </c>
      <c r="G79" s="20"/>
      <c r="H79" s="42">
        <v>74</v>
      </c>
      <c r="I79" s="43" t="str">
        <f t="shared" si="9"/>
        <v/>
      </c>
      <c r="J79" s="42">
        <f t="shared" si="14"/>
        <v>-4</v>
      </c>
      <c r="K79" s="42">
        <f t="shared" si="10"/>
        <v>-40</v>
      </c>
      <c r="L79" s="42"/>
      <c r="M79" s="44">
        <f t="shared" si="11"/>
        <v>0</v>
      </c>
      <c r="N79" s="44">
        <f t="shared" si="12"/>
        <v>0</v>
      </c>
    </row>
    <row r="80" spans="1:14">
      <c r="A80" s="63">
        <f t="shared" si="13"/>
        <v>0</v>
      </c>
      <c r="G80" s="20"/>
      <c r="H80" s="42">
        <v>75</v>
      </c>
      <c r="I80" s="43" t="str">
        <f t="shared" si="9"/>
        <v/>
      </c>
      <c r="J80" s="42">
        <f t="shared" si="14"/>
        <v>-4</v>
      </c>
      <c r="K80" s="42">
        <f t="shared" si="10"/>
        <v>-40</v>
      </c>
      <c r="L80" s="42"/>
      <c r="M80" s="44">
        <f t="shared" si="11"/>
        <v>0</v>
      </c>
      <c r="N80" s="44">
        <f t="shared" si="12"/>
        <v>0</v>
      </c>
    </row>
    <row r="81" spans="1:14">
      <c r="A81" s="63">
        <f t="shared" si="13"/>
        <v>0</v>
      </c>
      <c r="G81" s="20"/>
      <c r="H81" s="42">
        <v>76</v>
      </c>
      <c r="I81" s="43" t="str">
        <f t="shared" si="9"/>
        <v/>
      </c>
      <c r="J81" s="42">
        <f t="shared" si="14"/>
        <v>-4</v>
      </c>
      <c r="K81" s="42">
        <f t="shared" si="10"/>
        <v>-40</v>
      </c>
      <c r="L81" s="42"/>
      <c r="M81" s="44">
        <f t="shared" si="11"/>
        <v>0</v>
      </c>
      <c r="N81" s="44">
        <f t="shared" si="12"/>
        <v>0</v>
      </c>
    </row>
    <row r="82" spans="1:14">
      <c r="A82" s="63">
        <f t="shared" si="13"/>
        <v>0</v>
      </c>
      <c r="G82" s="20"/>
      <c r="H82" s="42">
        <v>77</v>
      </c>
      <c r="I82" s="43" t="str">
        <f t="shared" si="9"/>
        <v/>
      </c>
      <c r="J82" s="42">
        <f t="shared" si="14"/>
        <v>-4</v>
      </c>
      <c r="K82" s="42">
        <f t="shared" si="10"/>
        <v>-40</v>
      </c>
      <c r="L82" s="42"/>
      <c r="M82" s="44">
        <f t="shared" si="11"/>
        <v>0</v>
      </c>
      <c r="N82" s="44">
        <f t="shared" si="12"/>
        <v>0</v>
      </c>
    </row>
    <row r="83" spans="1:14">
      <c r="A83" s="63">
        <f t="shared" si="13"/>
        <v>0</v>
      </c>
      <c r="G83" s="20"/>
      <c r="H83" s="42">
        <v>78</v>
      </c>
      <c r="I83" s="43" t="str">
        <f t="shared" si="9"/>
        <v/>
      </c>
      <c r="J83" s="42">
        <f t="shared" si="14"/>
        <v>-4</v>
      </c>
      <c r="K83" s="42">
        <f t="shared" si="10"/>
        <v>-40</v>
      </c>
      <c r="L83" s="42"/>
      <c r="M83" s="44">
        <f t="shared" si="11"/>
        <v>0</v>
      </c>
      <c r="N83" s="44">
        <f t="shared" si="12"/>
        <v>0</v>
      </c>
    </row>
    <row r="84" spans="1:14">
      <c r="A84" s="63">
        <f t="shared" si="13"/>
        <v>0</v>
      </c>
      <c r="G84" s="20"/>
      <c r="H84" s="42">
        <v>79</v>
      </c>
      <c r="I84" s="43" t="str">
        <f t="shared" si="9"/>
        <v/>
      </c>
      <c r="J84" s="42">
        <f t="shared" si="14"/>
        <v>-4</v>
      </c>
      <c r="K84" s="42">
        <f t="shared" si="10"/>
        <v>-40</v>
      </c>
      <c r="L84" s="42"/>
      <c r="M84" s="44">
        <f t="shared" si="11"/>
        <v>0</v>
      </c>
      <c r="N84" s="44">
        <f t="shared" si="12"/>
        <v>0</v>
      </c>
    </row>
    <row r="85" spans="1:14">
      <c r="A85" s="63">
        <f t="shared" si="13"/>
        <v>0</v>
      </c>
      <c r="G85" s="20"/>
      <c r="H85" s="42">
        <v>80</v>
      </c>
      <c r="I85" s="43" t="str">
        <f t="shared" si="9"/>
        <v/>
      </c>
      <c r="J85" s="42">
        <f t="shared" si="14"/>
        <v>-4</v>
      </c>
      <c r="K85" s="42">
        <f t="shared" si="10"/>
        <v>-40</v>
      </c>
      <c r="L85" s="42"/>
      <c r="M85" s="44">
        <f t="shared" si="11"/>
        <v>0</v>
      </c>
      <c r="N85" s="44">
        <f t="shared" si="12"/>
        <v>0</v>
      </c>
    </row>
    <row r="86" spans="1:14">
      <c r="A86" s="63">
        <f t="shared" si="13"/>
        <v>0</v>
      </c>
      <c r="G86" s="20"/>
      <c r="H86" s="42">
        <v>81</v>
      </c>
      <c r="I86" s="43" t="str">
        <f t="shared" si="9"/>
        <v/>
      </c>
      <c r="J86" s="42">
        <f t="shared" si="14"/>
        <v>-4</v>
      </c>
      <c r="K86" s="42">
        <f t="shared" si="10"/>
        <v>-40</v>
      </c>
      <c r="L86" s="42"/>
      <c r="M86" s="44">
        <f t="shared" si="11"/>
        <v>0</v>
      </c>
      <c r="N86" s="44">
        <f t="shared" si="12"/>
        <v>0</v>
      </c>
    </row>
    <row r="87" spans="1:14">
      <c r="A87" s="63">
        <f t="shared" si="13"/>
        <v>0</v>
      </c>
      <c r="G87" s="20"/>
      <c r="H87" s="42">
        <v>82</v>
      </c>
      <c r="I87" s="43" t="str">
        <f t="shared" si="9"/>
        <v/>
      </c>
      <c r="J87" s="42">
        <f t="shared" si="14"/>
        <v>-4</v>
      </c>
      <c r="K87" s="42">
        <f t="shared" si="10"/>
        <v>-40</v>
      </c>
      <c r="L87" s="42"/>
      <c r="M87" s="44">
        <f t="shared" si="11"/>
        <v>0</v>
      </c>
      <c r="N87" s="44">
        <f t="shared" si="12"/>
        <v>0</v>
      </c>
    </row>
    <row r="88" spans="1:14">
      <c r="A88" s="63">
        <f t="shared" si="13"/>
        <v>0</v>
      </c>
      <c r="G88" s="20"/>
      <c r="H88" s="42">
        <v>83</v>
      </c>
      <c r="I88" s="43" t="str">
        <f t="shared" si="9"/>
        <v/>
      </c>
      <c r="J88" s="42">
        <f t="shared" si="14"/>
        <v>-4</v>
      </c>
      <c r="K88" s="42">
        <f t="shared" si="10"/>
        <v>-40</v>
      </c>
      <c r="L88" s="42"/>
      <c r="M88" s="44">
        <f t="shared" si="11"/>
        <v>0</v>
      </c>
      <c r="N88" s="44">
        <f t="shared" si="12"/>
        <v>0</v>
      </c>
    </row>
    <row r="89" spans="1:14">
      <c r="A89" s="63">
        <f t="shared" si="13"/>
        <v>0</v>
      </c>
      <c r="G89" s="20"/>
      <c r="H89" s="42">
        <v>84</v>
      </c>
      <c r="I89" s="43" t="str">
        <f t="shared" si="9"/>
        <v/>
      </c>
      <c r="J89" s="42">
        <f t="shared" si="14"/>
        <v>-4</v>
      </c>
      <c r="K89" s="42">
        <f t="shared" si="10"/>
        <v>-40</v>
      </c>
      <c r="L89" s="42"/>
      <c r="M89" s="44">
        <f t="shared" si="11"/>
        <v>0</v>
      </c>
      <c r="N89" s="44">
        <f t="shared" si="12"/>
        <v>0</v>
      </c>
    </row>
    <row r="90" spans="1:14">
      <c r="A90" s="63">
        <f t="shared" si="13"/>
        <v>0</v>
      </c>
      <c r="G90" s="20"/>
      <c r="H90" s="42">
        <v>85</v>
      </c>
      <c r="I90" s="43" t="str">
        <f t="shared" si="9"/>
        <v/>
      </c>
      <c r="J90" s="42">
        <f t="shared" si="14"/>
        <v>-4</v>
      </c>
      <c r="K90" s="42">
        <f t="shared" si="10"/>
        <v>-40</v>
      </c>
      <c r="L90" s="42"/>
      <c r="M90" s="44">
        <f t="shared" si="11"/>
        <v>0</v>
      </c>
      <c r="N90" s="44">
        <f t="shared" si="12"/>
        <v>0</v>
      </c>
    </row>
    <row r="91" spans="1:14">
      <c r="A91" s="63">
        <f t="shared" si="13"/>
        <v>0</v>
      </c>
      <c r="G91" s="20"/>
      <c r="H91" s="42">
        <v>86</v>
      </c>
      <c r="I91" s="43" t="str">
        <f t="shared" si="9"/>
        <v/>
      </c>
      <c r="J91" s="42">
        <f t="shared" si="14"/>
        <v>-4</v>
      </c>
      <c r="K91" s="42">
        <f t="shared" si="10"/>
        <v>-40</v>
      </c>
      <c r="L91" s="42"/>
      <c r="M91" s="44">
        <f t="shared" si="11"/>
        <v>0</v>
      </c>
      <c r="N91" s="44">
        <f t="shared" si="12"/>
        <v>0</v>
      </c>
    </row>
    <row r="92" spans="1:14">
      <c r="A92" s="63">
        <f t="shared" si="13"/>
        <v>0</v>
      </c>
      <c r="G92" s="20"/>
      <c r="H92" s="42">
        <v>87</v>
      </c>
      <c r="I92" s="43" t="str">
        <f t="shared" si="9"/>
        <v/>
      </c>
      <c r="J92" s="42">
        <f t="shared" si="14"/>
        <v>-4</v>
      </c>
      <c r="K92" s="42">
        <f t="shared" si="10"/>
        <v>-40</v>
      </c>
      <c r="L92" s="42"/>
      <c r="M92" s="44">
        <f t="shared" si="11"/>
        <v>0</v>
      </c>
      <c r="N92" s="44">
        <f t="shared" si="12"/>
        <v>0</v>
      </c>
    </row>
    <row r="93" spans="1:14">
      <c r="A93" s="63">
        <f t="shared" si="13"/>
        <v>0</v>
      </c>
      <c r="G93" s="20"/>
      <c r="H93" s="42">
        <v>88</v>
      </c>
      <c r="I93" s="43" t="str">
        <f t="shared" si="9"/>
        <v/>
      </c>
      <c r="J93" s="42">
        <f t="shared" si="14"/>
        <v>-4</v>
      </c>
      <c r="K93" s="42">
        <f t="shared" si="10"/>
        <v>-40</v>
      </c>
      <c r="L93" s="42"/>
      <c r="M93" s="44">
        <f t="shared" si="11"/>
        <v>0</v>
      </c>
      <c r="N93" s="44">
        <f t="shared" si="12"/>
        <v>0</v>
      </c>
    </row>
    <row r="94" spans="1:14">
      <c r="A94" s="63">
        <f t="shared" si="13"/>
        <v>0</v>
      </c>
      <c r="G94" s="20"/>
      <c r="H94" s="42">
        <v>89</v>
      </c>
      <c r="I94" s="43" t="str">
        <f t="shared" si="9"/>
        <v/>
      </c>
      <c r="J94" s="42">
        <f t="shared" si="14"/>
        <v>-4</v>
      </c>
      <c r="K94" s="42">
        <f t="shared" si="10"/>
        <v>-40</v>
      </c>
      <c r="L94" s="42"/>
      <c r="M94" s="44">
        <f t="shared" si="11"/>
        <v>0</v>
      </c>
      <c r="N94" s="44">
        <f t="shared" si="12"/>
        <v>0</v>
      </c>
    </row>
    <row r="95" spans="1:14">
      <c r="A95" s="63">
        <f t="shared" si="13"/>
        <v>0</v>
      </c>
      <c r="G95" s="20"/>
      <c r="H95" s="42">
        <v>90</v>
      </c>
      <c r="I95" s="43" t="str">
        <f t="shared" si="9"/>
        <v/>
      </c>
      <c r="J95" s="42">
        <f t="shared" si="14"/>
        <v>-4</v>
      </c>
      <c r="K95" s="42">
        <f t="shared" si="10"/>
        <v>-40</v>
      </c>
      <c r="L95" s="42"/>
      <c r="M95" s="44">
        <f t="shared" si="11"/>
        <v>0</v>
      </c>
      <c r="N95" s="44">
        <f t="shared" si="12"/>
        <v>0</v>
      </c>
    </row>
    <row r="96" spans="1:14">
      <c r="A96" s="63">
        <f t="shared" si="13"/>
        <v>0</v>
      </c>
      <c r="G96" s="20"/>
      <c r="H96" s="42">
        <v>91</v>
      </c>
      <c r="I96" s="43" t="str">
        <f t="shared" si="9"/>
        <v/>
      </c>
      <c r="J96" s="42">
        <f t="shared" si="14"/>
        <v>-4</v>
      </c>
      <c r="K96" s="42">
        <f t="shared" si="10"/>
        <v>-40</v>
      </c>
      <c r="L96" s="42"/>
      <c r="M96" s="44">
        <f t="shared" si="11"/>
        <v>0</v>
      </c>
      <c r="N96" s="44">
        <f t="shared" si="12"/>
        <v>0</v>
      </c>
    </row>
    <row r="97" spans="1:14">
      <c r="A97" s="63">
        <f t="shared" si="13"/>
        <v>0</v>
      </c>
      <c r="G97" s="20"/>
      <c r="H97" s="42">
        <v>92</v>
      </c>
      <c r="I97" s="43" t="str">
        <f t="shared" si="9"/>
        <v/>
      </c>
      <c r="J97" s="42">
        <f t="shared" si="14"/>
        <v>-4</v>
      </c>
      <c r="K97" s="42">
        <f t="shared" si="10"/>
        <v>-40</v>
      </c>
      <c r="L97" s="42"/>
      <c r="M97" s="44">
        <f t="shared" si="11"/>
        <v>0</v>
      </c>
      <c r="N97" s="44">
        <f t="shared" si="12"/>
        <v>0</v>
      </c>
    </row>
    <row r="98" spans="1:14">
      <c r="A98" s="63">
        <f t="shared" si="13"/>
        <v>0</v>
      </c>
      <c r="G98" s="20"/>
      <c r="H98" s="42">
        <v>93</v>
      </c>
      <c r="I98" s="43" t="str">
        <f t="shared" si="9"/>
        <v/>
      </c>
      <c r="J98" s="42">
        <f t="shared" si="14"/>
        <v>-4</v>
      </c>
      <c r="K98" s="42">
        <f t="shared" si="10"/>
        <v>-40</v>
      </c>
      <c r="L98" s="42"/>
      <c r="M98" s="44">
        <f t="shared" si="11"/>
        <v>0</v>
      </c>
      <c r="N98" s="44">
        <f t="shared" si="12"/>
        <v>0</v>
      </c>
    </row>
    <row r="99" spans="1:14">
      <c r="A99" s="63">
        <f t="shared" si="13"/>
        <v>0</v>
      </c>
      <c r="G99" s="20"/>
      <c r="H99" s="42">
        <v>94</v>
      </c>
      <c r="I99" s="43" t="str">
        <f t="shared" si="9"/>
        <v/>
      </c>
      <c r="J99" s="42">
        <f t="shared" si="14"/>
        <v>-4</v>
      </c>
      <c r="K99" s="42">
        <f t="shared" si="10"/>
        <v>-40</v>
      </c>
      <c r="L99" s="42"/>
      <c r="M99" s="44">
        <f t="shared" si="11"/>
        <v>0</v>
      </c>
      <c r="N99" s="44">
        <f t="shared" si="12"/>
        <v>0</v>
      </c>
    </row>
    <row r="100" spans="1:14">
      <c r="A100" s="63">
        <f t="shared" si="13"/>
        <v>0</v>
      </c>
      <c r="G100" s="20"/>
      <c r="H100" s="42">
        <v>95</v>
      </c>
      <c r="I100" s="43" t="str">
        <f t="shared" si="9"/>
        <v/>
      </c>
      <c r="J100" s="42">
        <f t="shared" si="14"/>
        <v>-4</v>
      </c>
      <c r="K100" s="42">
        <f t="shared" si="10"/>
        <v>-40</v>
      </c>
      <c r="L100" s="42"/>
      <c r="M100" s="44">
        <f t="shared" si="11"/>
        <v>0</v>
      </c>
      <c r="N100" s="44">
        <f t="shared" si="12"/>
        <v>0</v>
      </c>
    </row>
    <row r="101" spans="1:14">
      <c r="A101" s="63">
        <f t="shared" si="13"/>
        <v>0</v>
      </c>
      <c r="G101" s="20"/>
      <c r="H101" s="42">
        <v>96</v>
      </c>
      <c r="I101" s="43" t="str">
        <f t="shared" si="9"/>
        <v/>
      </c>
      <c r="J101" s="42">
        <f t="shared" si="14"/>
        <v>-4</v>
      </c>
      <c r="K101" s="42">
        <f t="shared" si="10"/>
        <v>-40</v>
      </c>
      <c r="L101" s="42"/>
      <c r="M101" s="44">
        <f t="shared" si="11"/>
        <v>0</v>
      </c>
      <c r="N101" s="44">
        <f t="shared" si="12"/>
        <v>0</v>
      </c>
    </row>
    <row r="102" spans="1:14">
      <c r="A102" s="63">
        <f t="shared" si="13"/>
        <v>0</v>
      </c>
      <c r="G102" s="20"/>
      <c r="H102" s="42">
        <v>97</v>
      </c>
      <c r="I102" s="43" t="str">
        <f t="shared" si="9"/>
        <v/>
      </c>
      <c r="J102" s="42">
        <f t="shared" si="14"/>
        <v>-4</v>
      </c>
      <c r="K102" s="42">
        <f t="shared" si="10"/>
        <v>-40</v>
      </c>
      <c r="L102" s="42"/>
      <c r="M102" s="44">
        <f t="shared" si="11"/>
        <v>0</v>
      </c>
      <c r="N102" s="44">
        <f t="shared" si="12"/>
        <v>0</v>
      </c>
    </row>
    <row r="103" spans="1:14">
      <c r="A103" s="63">
        <f t="shared" si="13"/>
        <v>0</v>
      </c>
      <c r="G103" s="20"/>
      <c r="H103" s="42">
        <v>98</v>
      </c>
      <c r="I103" s="43" t="str">
        <f t="shared" si="9"/>
        <v/>
      </c>
      <c r="J103" s="42">
        <f t="shared" si="14"/>
        <v>-4</v>
      </c>
      <c r="K103" s="42">
        <f t="shared" si="10"/>
        <v>-40</v>
      </c>
      <c r="L103" s="42"/>
      <c r="M103" s="44">
        <f t="shared" si="11"/>
        <v>0</v>
      </c>
      <c r="N103" s="44">
        <f t="shared" si="12"/>
        <v>0</v>
      </c>
    </row>
    <row r="104" spans="1:14">
      <c r="A104" s="63">
        <f t="shared" si="13"/>
        <v>0</v>
      </c>
      <c r="G104" s="20"/>
      <c r="H104" s="42">
        <v>99</v>
      </c>
      <c r="I104" s="43" t="str">
        <f t="shared" si="9"/>
        <v/>
      </c>
      <c r="J104" s="42">
        <f t="shared" si="14"/>
        <v>-4</v>
      </c>
      <c r="K104" s="42">
        <f t="shared" si="10"/>
        <v>-40</v>
      </c>
      <c r="L104" s="42"/>
      <c r="M104" s="44">
        <f t="shared" si="11"/>
        <v>0</v>
      </c>
      <c r="N104" s="44">
        <f t="shared" si="12"/>
        <v>0</v>
      </c>
    </row>
    <row r="105" spans="1:14">
      <c r="A105" s="63">
        <f t="shared" si="13"/>
        <v>0</v>
      </c>
      <c r="G105" s="20"/>
      <c r="H105" s="42">
        <v>100</v>
      </c>
      <c r="I105" s="43" t="str">
        <f t="shared" si="9"/>
        <v/>
      </c>
      <c r="J105" s="42">
        <f t="shared" si="14"/>
        <v>-4</v>
      </c>
      <c r="K105" s="42">
        <f t="shared" si="10"/>
        <v>-40</v>
      </c>
      <c r="L105" s="42"/>
      <c r="M105" s="44">
        <f t="shared" si="11"/>
        <v>0</v>
      </c>
      <c r="N105" s="44">
        <f t="shared" si="12"/>
        <v>0</v>
      </c>
    </row>
    <row r="106" spans="1:14">
      <c r="A106" s="63">
        <f t="shared" si="13"/>
        <v>0</v>
      </c>
      <c r="G106" s="20"/>
      <c r="H106" s="42">
        <v>101</v>
      </c>
      <c r="I106" s="43" t="str">
        <f t="shared" si="9"/>
        <v/>
      </c>
      <c r="J106" s="42">
        <f t="shared" si="14"/>
        <v>-4</v>
      </c>
      <c r="K106" s="42">
        <f t="shared" si="10"/>
        <v>-40</v>
      </c>
      <c r="L106" s="42"/>
      <c r="M106" s="44">
        <f t="shared" si="11"/>
        <v>0</v>
      </c>
      <c r="N106" s="44">
        <f t="shared" si="12"/>
        <v>0</v>
      </c>
    </row>
    <row r="107" spans="1:14">
      <c r="A107" s="63">
        <f t="shared" si="13"/>
        <v>0</v>
      </c>
      <c r="G107" s="20"/>
      <c r="H107" s="42">
        <v>102</v>
      </c>
      <c r="I107" s="43" t="str">
        <f t="shared" si="9"/>
        <v/>
      </c>
      <c r="J107" s="42">
        <f t="shared" si="14"/>
        <v>-4</v>
      </c>
      <c r="K107" s="42">
        <f t="shared" si="10"/>
        <v>-40</v>
      </c>
      <c r="L107" s="42"/>
      <c r="M107" s="44">
        <f t="shared" si="11"/>
        <v>0</v>
      </c>
      <c r="N107" s="44">
        <f t="shared" si="12"/>
        <v>0</v>
      </c>
    </row>
    <row r="108" spans="1:14">
      <c r="A108" s="63">
        <f t="shared" si="13"/>
        <v>0</v>
      </c>
      <c r="G108" s="20"/>
      <c r="H108" s="42">
        <v>103</v>
      </c>
      <c r="I108" s="43" t="str">
        <f t="shared" si="9"/>
        <v/>
      </c>
      <c r="J108" s="42">
        <f t="shared" si="14"/>
        <v>-4</v>
      </c>
      <c r="K108" s="42">
        <f t="shared" si="10"/>
        <v>-40</v>
      </c>
      <c r="L108" s="42"/>
      <c r="M108" s="44">
        <f t="shared" si="11"/>
        <v>0</v>
      </c>
      <c r="N108" s="44">
        <f t="shared" si="12"/>
        <v>0</v>
      </c>
    </row>
    <row r="109" spans="1:14">
      <c r="A109" s="63">
        <f t="shared" si="13"/>
        <v>0</v>
      </c>
      <c r="G109" s="20"/>
      <c r="H109" s="42">
        <v>104</v>
      </c>
      <c r="I109" s="43" t="str">
        <f t="shared" si="9"/>
        <v/>
      </c>
      <c r="J109" s="42">
        <f t="shared" si="14"/>
        <v>-4</v>
      </c>
      <c r="K109" s="42">
        <f t="shared" si="10"/>
        <v>-40</v>
      </c>
      <c r="L109" s="42"/>
      <c r="M109" s="44">
        <f t="shared" si="11"/>
        <v>0</v>
      </c>
      <c r="N109" s="44">
        <f t="shared" si="12"/>
        <v>0</v>
      </c>
    </row>
    <row r="110" spans="1:14">
      <c r="A110" s="63">
        <f t="shared" si="13"/>
        <v>0</v>
      </c>
      <c r="G110" s="20"/>
      <c r="H110" s="42">
        <v>105</v>
      </c>
      <c r="I110" s="43" t="str">
        <f t="shared" si="9"/>
        <v/>
      </c>
      <c r="J110" s="42">
        <f t="shared" si="14"/>
        <v>-4</v>
      </c>
      <c r="K110" s="42">
        <f t="shared" si="10"/>
        <v>-40</v>
      </c>
      <c r="L110" s="42"/>
      <c r="M110" s="44">
        <f t="shared" si="11"/>
        <v>0</v>
      </c>
      <c r="N110" s="44">
        <f t="shared" si="12"/>
        <v>0</v>
      </c>
    </row>
    <row r="111" spans="1:14">
      <c r="A111" s="63">
        <f t="shared" si="13"/>
        <v>0</v>
      </c>
      <c r="G111" s="20"/>
      <c r="H111" s="42">
        <v>106</v>
      </c>
      <c r="I111" s="43" t="str">
        <f t="shared" si="9"/>
        <v/>
      </c>
      <c r="J111" s="42">
        <f t="shared" si="14"/>
        <v>-4</v>
      </c>
      <c r="K111" s="42">
        <f t="shared" si="10"/>
        <v>-40</v>
      </c>
      <c r="L111" s="42"/>
      <c r="M111" s="44">
        <f t="shared" si="11"/>
        <v>0</v>
      </c>
      <c r="N111" s="44">
        <f t="shared" si="12"/>
        <v>0</v>
      </c>
    </row>
    <row r="112" spans="1:14">
      <c r="A112" s="63">
        <f t="shared" si="13"/>
        <v>0</v>
      </c>
      <c r="G112" s="20"/>
      <c r="H112" s="42">
        <v>107</v>
      </c>
      <c r="I112" s="43" t="str">
        <f t="shared" si="9"/>
        <v/>
      </c>
      <c r="J112" s="42">
        <f t="shared" si="14"/>
        <v>-4</v>
      </c>
      <c r="K112" s="42">
        <f t="shared" si="10"/>
        <v>-40</v>
      </c>
      <c r="L112" s="42"/>
      <c r="M112" s="44">
        <f t="shared" si="11"/>
        <v>0</v>
      </c>
      <c r="N112" s="44">
        <f t="shared" si="12"/>
        <v>0</v>
      </c>
    </row>
    <row r="113" spans="1:14">
      <c r="A113" s="63">
        <f t="shared" si="13"/>
        <v>0</v>
      </c>
      <c r="G113" s="20"/>
      <c r="H113" s="42">
        <v>108</v>
      </c>
      <c r="I113" s="43" t="str">
        <f t="shared" si="9"/>
        <v/>
      </c>
      <c r="J113" s="42">
        <f t="shared" si="14"/>
        <v>-4</v>
      </c>
      <c r="K113" s="42">
        <f t="shared" si="10"/>
        <v>-40</v>
      </c>
      <c r="L113" s="42"/>
      <c r="M113" s="44">
        <f t="shared" si="11"/>
        <v>0</v>
      </c>
      <c r="N113" s="44">
        <f t="shared" si="12"/>
        <v>0</v>
      </c>
    </row>
    <row r="114" spans="1:14">
      <c r="A114" s="63">
        <f t="shared" si="13"/>
        <v>0</v>
      </c>
      <c r="G114" s="20"/>
      <c r="H114" s="42">
        <v>109</v>
      </c>
      <c r="I114" s="43" t="str">
        <f t="shared" si="9"/>
        <v/>
      </c>
      <c r="J114" s="42">
        <f t="shared" si="14"/>
        <v>-4</v>
      </c>
      <c r="K114" s="42">
        <f t="shared" si="10"/>
        <v>-40</v>
      </c>
      <c r="L114" s="42"/>
      <c r="M114" s="44">
        <f t="shared" si="11"/>
        <v>0</v>
      </c>
      <c r="N114" s="44">
        <f t="shared" si="12"/>
        <v>0</v>
      </c>
    </row>
    <row r="115" spans="1:14">
      <c r="A115" s="63">
        <f t="shared" si="13"/>
        <v>0</v>
      </c>
      <c r="G115" s="20"/>
      <c r="H115" s="42">
        <v>110</v>
      </c>
      <c r="I115" s="43" t="str">
        <f t="shared" si="9"/>
        <v/>
      </c>
      <c r="J115" s="42">
        <f t="shared" si="14"/>
        <v>-4</v>
      </c>
      <c r="K115" s="42">
        <f t="shared" si="10"/>
        <v>-40</v>
      </c>
      <c r="L115" s="42"/>
      <c r="M115" s="44">
        <f t="shared" si="11"/>
        <v>0</v>
      </c>
      <c r="N115" s="44">
        <f t="shared" si="12"/>
        <v>0</v>
      </c>
    </row>
    <row r="116" spans="1:14">
      <c r="A116" s="63">
        <f t="shared" si="13"/>
        <v>0</v>
      </c>
      <c r="G116" s="20"/>
      <c r="H116" s="42">
        <v>111</v>
      </c>
      <c r="I116" s="43" t="str">
        <f t="shared" si="9"/>
        <v/>
      </c>
      <c r="J116" s="42">
        <f t="shared" si="14"/>
        <v>-4</v>
      </c>
      <c r="K116" s="42">
        <f t="shared" si="10"/>
        <v>-40</v>
      </c>
      <c r="L116" s="42"/>
      <c r="M116" s="44">
        <f t="shared" si="11"/>
        <v>0</v>
      </c>
      <c r="N116" s="44">
        <f t="shared" si="12"/>
        <v>0</v>
      </c>
    </row>
    <row r="117" spans="1:14">
      <c r="A117" s="63">
        <f t="shared" si="13"/>
        <v>0</v>
      </c>
      <c r="G117" s="20"/>
      <c r="H117" s="42">
        <v>112</v>
      </c>
      <c r="I117" s="43" t="str">
        <f t="shared" si="9"/>
        <v/>
      </c>
      <c r="J117" s="42">
        <f t="shared" si="14"/>
        <v>-4</v>
      </c>
      <c r="K117" s="42">
        <f t="shared" si="10"/>
        <v>-40</v>
      </c>
      <c r="L117" s="42"/>
      <c r="M117" s="44">
        <f t="shared" si="11"/>
        <v>0</v>
      </c>
      <c r="N117" s="44">
        <f t="shared" si="12"/>
        <v>0</v>
      </c>
    </row>
    <row r="118" spans="1:14">
      <c r="A118" s="63">
        <f t="shared" si="13"/>
        <v>0</v>
      </c>
      <c r="G118" s="20"/>
      <c r="H118" s="42">
        <v>113</v>
      </c>
      <c r="I118" s="43" t="str">
        <f t="shared" si="9"/>
        <v/>
      </c>
      <c r="J118" s="42">
        <f t="shared" si="14"/>
        <v>-4</v>
      </c>
      <c r="K118" s="42">
        <f t="shared" si="10"/>
        <v>-40</v>
      </c>
      <c r="L118" s="42"/>
      <c r="M118" s="44">
        <f t="shared" si="11"/>
        <v>0</v>
      </c>
      <c r="N118" s="44">
        <f t="shared" si="12"/>
        <v>0</v>
      </c>
    </row>
    <row r="119" spans="1:14">
      <c r="A119" s="63">
        <f t="shared" si="13"/>
        <v>0</v>
      </c>
      <c r="G119" s="20"/>
      <c r="H119" s="42">
        <v>114</v>
      </c>
      <c r="I119" s="43" t="str">
        <f t="shared" si="9"/>
        <v/>
      </c>
      <c r="J119" s="42">
        <f t="shared" si="14"/>
        <v>-4</v>
      </c>
      <c r="K119" s="42">
        <f t="shared" si="10"/>
        <v>-40</v>
      </c>
      <c r="L119" s="42"/>
      <c r="M119" s="44">
        <f t="shared" si="11"/>
        <v>0</v>
      </c>
      <c r="N119" s="44">
        <f t="shared" si="12"/>
        <v>0</v>
      </c>
    </row>
    <row r="120" spans="1:14">
      <c r="A120" s="63">
        <f t="shared" si="13"/>
        <v>0</v>
      </c>
      <c r="G120" s="20"/>
      <c r="H120" s="42">
        <v>115</v>
      </c>
      <c r="I120" s="43" t="str">
        <f t="shared" si="9"/>
        <v/>
      </c>
      <c r="J120" s="42">
        <f t="shared" si="14"/>
        <v>-4</v>
      </c>
      <c r="K120" s="42">
        <f t="shared" si="10"/>
        <v>-40</v>
      </c>
      <c r="L120" s="42"/>
      <c r="M120" s="44">
        <f t="shared" si="11"/>
        <v>0</v>
      </c>
      <c r="N120" s="44">
        <f t="shared" si="12"/>
        <v>0</v>
      </c>
    </row>
    <row r="121" spans="1:14">
      <c r="A121" s="63">
        <f t="shared" si="13"/>
        <v>0</v>
      </c>
      <c r="G121" s="20"/>
      <c r="H121" s="42">
        <v>116</v>
      </c>
      <c r="I121" s="43" t="str">
        <f t="shared" si="9"/>
        <v/>
      </c>
      <c r="J121" s="42">
        <f t="shared" si="14"/>
        <v>-4</v>
      </c>
      <c r="K121" s="42">
        <f t="shared" si="10"/>
        <v>-40</v>
      </c>
      <c r="L121" s="42"/>
      <c r="M121" s="44">
        <f t="shared" si="11"/>
        <v>0</v>
      </c>
      <c r="N121" s="44">
        <f t="shared" si="12"/>
        <v>0</v>
      </c>
    </row>
    <row r="122" spans="1:14">
      <c r="A122" s="63">
        <f t="shared" si="13"/>
        <v>0</v>
      </c>
      <c r="G122" s="20"/>
      <c r="H122" s="42">
        <v>117</v>
      </c>
      <c r="I122" s="43" t="str">
        <f t="shared" si="9"/>
        <v/>
      </c>
      <c r="J122" s="42">
        <f t="shared" si="14"/>
        <v>-4</v>
      </c>
      <c r="K122" s="42">
        <f t="shared" si="10"/>
        <v>-40</v>
      </c>
      <c r="L122" s="42"/>
      <c r="M122" s="44">
        <f t="shared" si="11"/>
        <v>0</v>
      </c>
      <c r="N122" s="44">
        <f t="shared" si="12"/>
        <v>0</v>
      </c>
    </row>
    <row r="123" spans="1:14">
      <c r="A123" s="63">
        <f t="shared" si="13"/>
        <v>0</v>
      </c>
      <c r="G123" s="20"/>
      <c r="H123" s="42">
        <v>118</v>
      </c>
      <c r="I123" s="43" t="str">
        <f t="shared" si="9"/>
        <v/>
      </c>
      <c r="J123" s="42">
        <f t="shared" si="14"/>
        <v>-4</v>
      </c>
      <c r="K123" s="42">
        <f t="shared" si="10"/>
        <v>-40</v>
      </c>
      <c r="L123" s="42"/>
      <c r="M123" s="44">
        <f t="shared" si="11"/>
        <v>0</v>
      </c>
      <c r="N123" s="44">
        <f t="shared" si="12"/>
        <v>0</v>
      </c>
    </row>
    <row r="124" spans="1:14">
      <c r="A124" s="63">
        <f t="shared" si="13"/>
        <v>0</v>
      </c>
      <c r="G124" s="20"/>
      <c r="H124" s="42">
        <v>119</v>
      </c>
      <c r="I124" s="43" t="str">
        <f t="shared" si="9"/>
        <v/>
      </c>
      <c r="J124" s="42">
        <f t="shared" si="14"/>
        <v>-4</v>
      </c>
      <c r="K124" s="42">
        <f t="shared" si="10"/>
        <v>-40</v>
      </c>
      <c r="L124" s="42"/>
      <c r="M124" s="44">
        <f t="shared" si="11"/>
        <v>0</v>
      </c>
      <c r="N124" s="44">
        <f t="shared" si="12"/>
        <v>0</v>
      </c>
    </row>
    <row r="125" spans="1:14">
      <c r="A125" s="63">
        <f t="shared" si="13"/>
        <v>0</v>
      </c>
      <c r="G125" s="20"/>
      <c r="H125" s="42">
        <v>120</v>
      </c>
      <c r="I125" s="43" t="str">
        <f t="shared" si="9"/>
        <v/>
      </c>
      <c r="J125" s="42">
        <f t="shared" si="14"/>
        <v>-4</v>
      </c>
      <c r="K125" s="42">
        <f t="shared" si="10"/>
        <v>-40</v>
      </c>
      <c r="L125" s="42"/>
      <c r="M125" s="44">
        <f t="shared" si="11"/>
        <v>0</v>
      </c>
      <c r="N125" s="44">
        <f t="shared" si="12"/>
        <v>0</v>
      </c>
    </row>
    <row r="126" spans="1:14">
      <c r="A126" s="63">
        <f t="shared" si="13"/>
        <v>0</v>
      </c>
      <c r="G126" s="20"/>
      <c r="H126" s="42">
        <v>121</v>
      </c>
      <c r="I126" s="43" t="str">
        <f t="shared" si="9"/>
        <v/>
      </c>
      <c r="J126" s="42">
        <f t="shared" si="14"/>
        <v>-4</v>
      </c>
      <c r="K126" s="42">
        <f t="shared" si="10"/>
        <v>-40</v>
      </c>
      <c r="L126" s="42"/>
      <c r="M126" s="44">
        <f t="shared" si="11"/>
        <v>0</v>
      </c>
      <c r="N126" s="44">
        <f t="shared" si="12"/>
        <v>0</v>
      </c>
    </row>
    <row r="127" spans="1:14">
      <c r="A127" s="63">
        <f t="shared" si="13"/>
        <v>0</v>
      </c>
      <c r="G127" s="20"/>
      <c r="H127" s="42">
        <v>122</v>
      </c>
      <c r="I127" s="43" t="str">
        <f t="shared" si="9"/>
        <v/>
      </c>
      <c r="J127" s="42">
        <f t="shared" si="14"/>
        <v>-4</v>
      </c>
      <c r="K127" s="42">
        <f t="shared" si="10"/>
        <v>-40</v>
      </c>
      <c r="L127" s="42"/>
      <c r="M127" s="44">
        <f t="shared" si="11"/>
        <v>0</v>
      </c>
      <c r="N127" s="44">
        <f t="shared" si="12"/>
        <v>0</v>
      </c>
    </row>
    <row r="128" spans="1:14">
      <c r="A128" s="63">
        <f t="shared" si="13"/>
        <v>0</v>
      </c>
      <c r="G128" s="20"/>
      <c r="H128" s="42">
        <v>123</v>
      </c>
      <c r="I128" s="43" t="str">
        <f t="shared" si="9"/>
        <v/>
      </c>
      <c r="J128" s="42">
        <f t="shared" si="14"/>
        <v>-4</v>
      </c>
      <c r="K128" s="42">
        <f t="shared" si="10"/>
        <v>-40</v>
      </c>
      <c r="L128" s="42"/>
      <c r="M128" s="44">
        <f t="shared" si="11"/>
        <v>0</v>
      </c>
      <c r="N128" s="44">
        <f t="shared" si="12"/>
        <v>0</v>
      </c>
    </row>
    <row r="129" spans="1:14">
      <c r="A129" s="63">
        <f t="shared" si="13"/>
        <v>0</v>
      </c>
      <c r="G129" s="20"/>
      <c r="H129" s="42">
        <v>124</v>
      </c>
      <c r="I129" s="43" t="str">
        <f t="shared" si="9"/>
        <v/>
      </c>
      <c r="J129" s="42">
        <f t="shared" si="14"/>
        <v>-4</v>
      </c>
      <c r="K129" s="42">
        <f t="shared" si="10"/>
        <v>-40</v>
      </c>
      <c r="L129" s="42"/>
      <c r="M129" s="44">
        <f t="shared" si="11"/>
        <v>0</v>
      </c>
      <c r="N129" s="44">
        <f t="shared" si="12"/>
        <v>0</v>
      </c>
    </row>
    <row r="130" spans="1:14">
      <c r="A130" s="63">
        <f t="shared" si="13"/>
        <v>0</v>
      </c>
      <c r="G130" s="20"/>
      <c r="H130" s="42">
        <v>125</v>
      </c>
      <c r="I130" s="43" t="str">
        <f t="shared" si="9"/>
        <v/>
      </c>
      <c r="J130" s="42">
        <f t="shared" si="14"/>
        <v>-4</v>
      </c>
      <c r="K130" s="42">
        <f t="shared" si="10"/>
        <v>-40</v>
      </c>
      <c r="L130" s="42"/>
      <c r="M130" s="44">
        <f t="shared" si="11"/>
        <v>0</v>
      </c>
      <c r="N130" s="44">
        <f t="shared" si="12"/>
        <v>0</v>
      </c>
    </row>
    <row r="131" spans="1:14">
      <c r="A131" s="63">
        <f t="shared" si="13"/>
        <v>0</v>
      </c>
      <c r="G131" s="20"/>
      <c r="H131" s="42">
        <v>126</v>
      </c>
      <c r="I131" s="43" t="str">
        <f t="shared" si="9"/>
        <v/>
      </c>
      <c r="J131" s="42">
        <f t="shared" si="14"/>
        <v>-4</v>
      </c>
      <c r="K131" s="42">
        <f t="shared" si="10"/>
        <v>-40</v>
      </c>
      <c r="L131" s="42"/>
      <c r="M131" s="44">
        <f t="shared" si="11"/>
        <v>0</v>
      </c>
      <c r="N131" s="44">
        <f t="shared" si="12"/>
        <v>0</v>
      </c>
    </row>
    <row r="132" spans="1:14">
      <c r="A132" s="63">
        <f t="shared" si="13"/>
        <v>0</v>
      </c>
      <c r="G132" s="20"/>
      <c r="H132" s="42">
        <v>127</v>
      </c>
      <c r="I132" s="43" t="str">
        <f t="shared" si="9"/>
        <v/>
      </c>
      <c r="J132" s="42">
        <f t="shared" si="14"/>
        <v>-4</v>
      </c>
      <c r="K132" s="42">
        <f t="shared" si="10"/>
        <v>-40</v>
      </c>
      <c r="L132" s="42"/>
      <c r="M132" s="44">
        <f t="shared" si="11"/>
        <v>0</v>
      </c>
      <c r="N132" s="44">
        <f t="shared" si="12"/>
        <v>0</v>
      </c>
    </row>
    <row r="133" spans="1:14">
      <c r="A133" s="63">
        <f t="shared" si="13"/>
        <v>0</v>
      </c>
      <c r="G133" s="20"/>
      <c r="H133" s="42">
        <v>128</v>
      </c>
      <c r="I133" s="43" t="str">
        <f t="shared" si="9"/>
        <v/>
      </c>
      <c r="J133" s="42">
        <f t="shared" si="14"/>
        <v>-4</v>
      </c>
      <c r="K133" s="42">
        <f t="shared" si="10"/>
        <v>-40</v>
      </c>
      <c r="L133" s="42"/>
      <c r="M133" s="44">
        <f t="shared" si="11"/>
        <v>0</v>
      </c>
      <c r="N133" s="44">
        <f t="shared" si="12"/>
        <v>0</v>
      </c>
    </row>
    <row r="134" spans="1:14">
      <c r="A134" s="63">
        <f t="shared" si="13"/>
        <v>0</v>
      </c>
      <c r="G134" s="20"/>
      <c r="H134" s="42">
        <v>129</v>
      </c>
      <c r="I134" s="43" t="str">
        <f t="shared" ref="I134:I197" si="15">IF(H134&lt;$H$2+1,($I$2-($I$2-1)*(LOG(H134)/LOG($H$2))),"")</f>
        <v/>
      </c>
      <c r="J134" s="42">
        <f t="shared" si="14"/>
        <v>-5</v>
      </c>
      <c r="K134" s="42">
        <f t="shared" ref="K134:K197" si="16">J134*$J$2</f>
        <v>-50</v>
      </c>
      <c r="L134" s="42"/>
      <c r="M134" s="44">
        <f t="shared" ref="M134:M197" si="17">IF(I134&lt;&gt;"",K134+I134+L134,0)</f>
        <v>0</v>
      </c>
      <c r="N134" s="44">
        <f t="shared" ref="N134:N197" si="18">IF(I134&lt;&gt;"",M134*L$2,0)</f>
        <v>0</v>
      </c>
    </row>
    <row r="135" spans="1:14">
      <c r="A135" s="63">
        <f t="shared" ref="A135:A198" si="19">N135</f>
        <v>0</v>
      </c>
      <c r="G135" s="20"/>
      <c r="H135" s="42">
        <v>130</v>
      </c>
      <c r="I135" s="43" t="str">
        <f t="shared" si="15"/>
        <v/>
      </c>
      <c r="J135" s="42">
        <f t="shared" ref="J135:J198" si="20">INT(LOG($H$2,2))-ROUNDUP(LOG(H135,2),0)+IF(OR($H$2=1,$H$2=2,$H$2=4,$H$2=8,$H$2=16,$H$2=32,$H$2=64,$H$2=128,$H$2=256),0,1)</f>
        <v>-5</v>
      </c>
      <c r="K135" s="42">
        <f t="shared" si="16"/>
        <v>-50</v>
      </c>
      <c r="L135" s="42"/>
      <c r="M135" s="44">
        <f t="shared" si="17"/>
        <v>0</v>
      </c>
      <c r="N135" s="44">
        <f t="shared" si="18"/>
        <v>0</v>
      </c>
    </row>
    <row r="136" spans="1:14">
      <c r="A136" s="63">
        <f t="shared" si="19"/>
        <v>0</v>
      </c>
      <c r="G136" s="20"/>
      <c r="H136" s="42">
        <v>131</v>
      </c>
      <c r="I136" s="43" t="str">
        <f t="shared" si="15"/>
        <v/>
      </c>
      <c r="J136" s="42">
        <f t="shared" si="20"/>
        <v>-5</v>
      </c>
      <c r="K136" s="42">
        <f t="shared" si="16"/>
        <v>-50</v>
      </c>
      <c r="L136" s="42"/>
      <c r="M136" s="44">
        <f t="shared" si="17"/>
        <v>0</v>
      </c>
      <c r="N136" s="44">
        <f t="shared" si="18"/>
        <v>0</v>
      </c>
    </row>
    <row r="137" spans="1:14">
      <c r="A137" s="63">
        <f t="shared" si="19"/>
        <v>0</v>
      </c>
      <c r="G137" s="20"/>
      <c r="H137" s="42">
        <v>132</v>
      </c>
      <c r="I137" s="43" t="str">
        <f t="shared" si="15"/>
        <v/>
      </c>
      <c r="J137" s="42">
        <f t="shared" si="20"/>
        <v>-5</v>
      </c>
      <c r="K137" s="42">
        <f t="shared" si="16"/>
        <v>-50</v>
      </c>
      <c r="L137" s="42"/>
      <c r="M137" s="44">
        <f t="shared" si="17"/>
        <v>0</v>
      </c>
      <c r="N137" s="44">
        <f t="shared" si="18"/>
        <v>0</v>
      </c>
    </row>
    <row r="138" spans="1:14">
      <c r="A138" s="63">
        <f t="shared" si="19"/>
        <v>0</v>
      </c>
      <c r="G138" s="20"/>
      <c r="H138" s="42">
        <v>133</v>
      </c>
      <c r="I138" s="43" t="str">
        <f t="shared" si="15"/>
        <v/>
      </c>
      <c r="J138" s="42">
        <f t="shared" si="20"/>
        <v>-5</v>
      </c>
      <c r="K138" s="42">
        <f t="shared" si="16"/>
        <v>-50</v>
      </c>
      <c r="L138" s="42"/>
      <c r="M138" s="44">
        <f t="shared" si="17"/>
        <v>0</v>
      </c>
      <c r="N138" s="44">
        <f t="shared" si="18"/>
        <v>0</v>
      </c>
    </row>
    <row r="139" spans="1:14">
      <c r="A139" s="63">
        <f t="shared" si="19"/>
        <v>0</v>
      </c>
      <c r="G139" s="20"/>
      <c r="H139" s="42">
        <v>134</v>
      </c>
      <c r="I139" s="43" t="str">
        <f t="shared" si="15"/>
        <v/>
      </c>
      <c r="J139" s="42">
        <f t="shared" si="20"/>
        <v>-5</v>
      </c>
      <c r="K139" s="42">
        <f t="shared" si="16"/>
        <v>-50</v>
      </c>
      <c r="L139" s="42"/>
      <c r="M139" s="44">
        <f t="shared" si="17"/>
        <v>0</v>
      </c>
      <c r="N139" s="44">
        <f t="shared" si="18"/>
        <v>0</v>
      </c>
    </row>
    <row r="140" spans="1:14">
      <c r="A140" s="63">
        <f t="shared" si="19"/>
        <v>0</v>
      </c>
      <c r="G140" s="20"/>
      <c r="H140" s="42">
        <v>135</v>
      </c>
      <c r="I140" s="43" t="str">
        <f t="shared" si="15"/>
        <v/>
      </c>
      <c r="J140" s="42">
        <f t="shared" si="20"/>
        <v>-5</v>
      </c>
      <c r="K140" s="42">
        <f t="shared" si="16"/>
        <v>-50</v>
      </c>
      <c r="L140" s="42"/>
      <c r="M140" s="44">
        <f t="shared" si="17"/>
        <v>0</v>
      </c>
      <c r="N140" s="44">
        <f t="shared" si="18"/>
        <v>0</v>
      </c>
    </row>
    <row r="141" spans="1:14">
      <c r="A141" s="63">
        <f t="shared" si="19"/>
        <v>0</v>
      </c>
      <c r="G141" s="20"/>
      <c r="H141" s="42">
        <v>136</v>
      </c>
      <c r="I141" s="43" t="str">
        <f t="shared" si="15"/>
        <v/>
      </c>
      <c r="J141" s="42">
        <f t="shared" si="20"/>
        <v>-5</v>
      </c>
      <c r="K141" s="42">
        <f t="shared" si="16"/>
        <v>-50</v>
      </c>
      <c r="L141" s="42"/>
      <c r="M141" s="44">
        <f t="shared" si="17"/>
        <v>0</v>
      </c>
      <c r="N141" s="44">
        <f t="shared" si="18"/>
        <v>0</v>
      </c>
    </row>
    <row r="142" spans="1:14">
      <c r="A142" s="63">
        <f t="shared" si="19"/>
        <v>0</v>
      </c>
      <c r="G142" s="20"/>
      <c r="H142" s="42">
        <v>137</v>
      </c>
      <c r="I142" s="43" t="str">
        <f t="shared" si="15"/>
        <v/>
      </c>
      <c r="J142" s="42">
        <f t="shared" si="20"/>
        <v>-5</v>
      </c>
      <c r="K142" s="42">
        <f t="shared" si="16"/>
        <v>-50</v>
      </c>
      <c r="L142" s="42"/>
      <c r="M142" s="44">
        <f t="shared" si="17"/>
        <v>0</v>
      </c>
      <c r="N142" s="44">
        <f t="shared" si="18"/>
        <v>0</v>
      </c>
    </row>
    <row r="143" spans="1:14">
      <c r="A143" s="63">
        <f t="shared" si="19"/>
        <v>0</v>
      </c>
      <c r="G143" s="20"/>
      <c r="H143" s="42">
        <v>138</v>
      </c>
      <c r="I143" s="43" t="str">
        <f t="shared" si="15"/>
        <v/>
      </c>
      <c r="J143" s="42">
        <f t="shared" si="20"/>
        <v>-5</v>
      </c>
      <c r="K143" s="42">
        <f t="shared" si="16"/>
        <v>-50</v>
      </c>
      <c r="L143" s="42"/>
      <c r="M143" s="44">
        <f t="shared" si="17"/>
        <v>0</v>
      </c>
      <c r="N143" s="44">
        <f t="shared" si="18"/>
        <v>0</v>
      </c>
    </row>
    <row r="144" spans="1:14">
      <c r="A144" s="63">
        <f t="shared" si="19"/>
        <v>0</v>
      </c>
      <c r="G144" s="20"/>
      <c r="H144" s="42">
        <v>139</v>
      </c>
      <c r="I144" s="43" t="str">
        <f t="shared" si="15"/>
        <v/>
      </c>
      <c r="J144" s="42">
        <f t="shared" si="20"/>
        <v>-5</v>
      </c>
      <c r="K144" s="42">
        <f t="shared" si="16"/>
        <v>-50</v>
      </c>
      <c r="L144" s="42"/>
      <c r="M144" s="44">
        <f t="shared" si="17"/>
        <v>0</v>
      </c>
      <c r="N144" s="44">
        <f t="shared" si="18"/>
        <v>0</v>
      </c>
    </row>
    <row r="145" spans="1:14">
      <c r="A145" s="63">
        <f t="shared" si="19"/>
        <v>0</v>
      </c>
      <c r="G145" s="20"/>
      <c r="H145" s="42">
        <v>140</v>
      </c>
      <c r="I145" s="43" t="str">
        <f t="shared" si="15"/>
        <v/>
      </c>
      <c r="J145" s="42">
        <f t="shared" si="20"/>
        <v>-5</v>
      </c>
      <c r="K145" s="42">
        <f t="shared" si="16"/>
        <v>-50</v>
      </c>
      <c r="L145" s="42"/>
      <c r="M145" s="44">
        <f t="shared" si="17"/>
        <v>0</v>
      </c>
      <c r="N145" s="44">
        <f t="shared" si="18"/>
        <v>0</v>
      </c>
    </row>
    <row r="146" spans="1:14">
      <c r="A146" s="63">
        <f t="shared" si="19"/>
        <v>0</v>
      </c>
      <c r="G146" s="20"/>
      <c r="H146" s="42">
        <v>141</v>
      </c>
      <c r="I146" s="43" t="str">
        <f t="shared" si="15"/>
        <v/>
      </c>
      <c r="J146" s="42">
        <f t="shared" si="20"/>
        <v>-5</v>
      </c>
      <c r="K146" s="42">
        <f t="shared" si="16"/>
        <v>-50</v>
      </c>
      <c r="L146" s="42"/>
      <c r="M146" s="44">
        <f t="shared" si="17"/>
        <v>0</v>
      </c>
      <c r="N146" s="44">
        <f t="shared" si="18"/>
        <v>0</v>
      </c>
    </row>
    <row r="147" spans="1:14">
      <c r="A147" s="63">
        <f t="shared" si="19"/>
        <v>0</v>
      </c>
      <c r="G147" s="20"/>
      <c r="H147" s="42">
        <v>142</v>
      </c>
      <c r="I147" s="43" t="str">
        <f t="shared" si="15"/>
        <v/>
      </c>
      <c r="J147" s="42">
        <f t="shared" si="20"/>
        <v>-5</v>
      </c>
      <c r="K147" s="42">
        <f t="shared" si="16"/>
        <v>-50</v>
      </c>
      <c r="L147" s="42"/>
      <c r="M147" s="44">
        <f t="shared" si="17"/>
        <v>0</v>
      </c>
      <c r="N147" s="44">
        <f t="shared" si="18"/>
        <v>0</v>
      </c>
    </row>
    <row r="148" spans="1:14">
      <c r="A148" s="63">
        <f t="shared" si="19"/>
        <v>0</v>
      </c>
      <c r="G148" s="20"/>
      <c r="H148" s="42">
        <v>143</v>
      </c>
      <c r="I148" s="43" t="str">
        <f t="shared" si="15"/>
        <v/>
      </c>
      <c r="J148" s="42">
        <f t="shared" si="20"/>
        <v>-5</v>
      </c>
      <c r="K148" s="42">
        <f t="shared" si="16"/>
        <v>-50</v>
      </c>
      <c r="L148" s="42"/>
      <c r="M148" s="44">
        <f t="shared" si="17"/>
        <v>0</v>
      </c>
      <c r="N148" s="44">
        <f t="shared" si="18"/>
        <v>0</v>
      </c>
    </row>
    <row r="149" spans="1:14">
      <c r="A149" s="63">
        <f t="shared" si="19"/>
        <v>0</v>
      </c>
      <c r="G149" s="20"/>
      <c r="H149" s="42">
        <v>144</v>
      </c>
      <c r="I149" s="43" t="str">
        <f t="shared" si="15"/>
        <v/>
      </c>
      <c r="J149" s="42">
        <f t="shared" si="20"/>
        <v>-5</v>
      </c>
      <c r="K149" s="42">
        <f t="shared" si="16"/>
        <v>-50</v>
      </c>
      <c r="L149" s="42"/>
      <c r="M149" s="44">
        <f t="shared" si="17"/>
        <v>0</v>
      </c>
      <c r="N149" s="44">
        <f t="shared" si="18"/>
        <v>0</v>
      </c>
    </row>
    <row r="150" spans="1:14">
      <c r="A150" s="63">
        <f t="shared" si="19"/>
        <v>0</v>
      </c>
      <c r="G150" s="20"/>
      <c r="H150" s="42">
        <v>145</v>
      </c>
      <c r="I150" s="43" t="str">
        <f t="shared" si="15"/>
        <v/>
      </c>
      <c r="J150" s="42">
        <f t="shared" si="20"/>
        <v>-5</v>
      </c>
      <c r="K150" s="42">
        <f t="shared" si="16"/>
        <v>-50</v>
      </c>
      <c r="L150" s="42"/>
      <c r="M150" s="44">
        <f t="shared" si="17"/>
        <v>0</v>
      </c>
      <c r="N150" s="44">
        <f t="shared" si="18"/>
        <v>0</v>
      </c>
    </row>
    <row r="151" spans="1:14">
      <c r="A151" s="63">
        <f t="shared" si="19"/>
        <v>0</v>
      </c>
      <c r="G151" s="20"/>
      <c r="H151" s="42">
        <v>146</v>
      </c>
      <c r="I151" s="43" t="str">
        <f t="shared" si="15"/>
        <v/>
      </c>
      <c r="J151" s="42">
        <f t="shared" si="20"/>
        <v>-5</v>
      </c>
      <c r="K151" s="42">
        <f t="shared" si="16"/>
        <v>-50</v>
      </c>
      <c r="L151" s="42"/>
      <c r="M151" s="44">
        <f t="shared" si="17"/>
        <v>0</v>
      </c>
      <c r="N151" s="44">
        <f t="shared" si="18"/>
        <v>0</v>
      </c>
    </row>
    <row r="152" spans="1:14">
      <c r="A152" s="63">
        <f t="shared" si="19"/>
        <v>0</v>
      </c>
      <c r="G152" s="20"/>
      <c r="H152" s="42">
        <v>147</v>
      </c>
      <c r="I152" s="43" t="str">
        <f t="shared" si="15"/>
        <v/>
      </c>
      <c r="J152" s="42">
        <f t="shared" si="20"/>
        <v>-5</v>
      </c>
      <c r="K152" s="42">
        <f t="shared" si="16"/>
        <v>-50</v>
      </c>
      <c r="L152" s="42"/>
      <c r="M152" s="44">
        <f t="shared" si="17"/>
        <v>0</v>
      </c>
      <c r="N152" s="44">
        <f t="shared" si="18"/>
        <v>0</v>
      </c>
    </row>
    <row r="153" spans="1:14">
      <c r="A153" s="63">
        <f t="shared" si="19"/>
        <v>0</v>
      </c>
      <c r="G153" s="20"/>
      <c r="H153" s="42">
        <v>148</v>
      </c>
      <c r="I153" s="43" t="str">
        <f t="shared" si="15"/>
        <v/>
      </c>
      <c r="J153" s="42">
        <f t="shared" si="20"/>
        <v>-5</v>
      </c>
      <c r="K153" s="42">
        <f t="shared" si="16"/>
        <v>-50</v>
      </c>
      <c r="L153" s="42"/>
      <c r="M153" s="44">
        <f t="shared" si="17"/>
        <v>0</v>
      </c>
      <c r="N153" s="44">
        <f t="shared" si="18"/>
        <v>0</v>
      </c>
    </row>
    <row r="154" spans="1:14">
      <c r="A154" s="63">
        <f t="shared" si="19"/>
        <v>0</v>
      </c>
      <c r="G154" s="20"/>
      <c r="H154" s="42">
        <v>149</v>
      </c>
      <c r="I154" s="43" t="str">
        <f t="shared" si="15"/>
        <v/>
      </c>
      <c r="J154" s="42">
        <f t="shared" si="20"/>
        <v>-5</v>
      </c>
      <c r="K154" s="42">
        <f t="shared" si="16"/>
        <v>-50</v>
      </c>
      <c r="L154" s="42"/>
      <c r="M154" s="44">
        <f t="shared" si="17"/>
        <v>0</v>
      </c>
      <c r="N154" s="44">
        <f t="shared" si="18"/>
        <v>0</v>
      </c>
    </row>
    <row r="155" spans="1:14">
      <c r="A155" s="63">
        <f t="shared" si="19"/>
        <v>0</v>
      </c>
      <c r="G155" s="20"/>
      <c r="H155" s="42">
        <v>150</v>
      </c>
      <c r="I155" s="43" t="str">
        <f t="shared" si="15"/>
        <v/>
      </c>
      <c r="J155" s="42">
        <f t="shared" si="20"/>
        <v>-5</v>
      </c>
      <c r="K155" s="42">
        <f t="shared" si="16"/>
        <v>-50</v>
      </c>
      <c r="L155" s="42"/>
      <c r="M155" s="44">
        <f t="shared" si="17"/>
        <v>0</v>
      </c>
      <c r="N155" s="44">
        <f t="shared" si="18"/>
        <v>0</v>
      </c>
    </row>
    <row r="156" spans="1:14">
      <c r="A156" s="63">
        <f t="shared" si="19"/>
        <v>0</v>
      </c>
      <c r="G156" s="20"/>
      <c r="H156" s="42">
        <v>151</v>
      </c>
      <c r="I156" s="43" t="str">
        <f t="shared" si="15"/>
        <v/>
      </c>
      <c r="J156" s="42">
        <f t="shared" si="20"/>
        <v>-5</v>
      </c>
      <c r="K156" s="42">
        <f t="shared" si="16"/>
        <v>-50</v>
      </c>
      <c r="L156" s="42"/>
      <c r="M156" s="44">
        <f t="shared" si="17"/>
        <v>0</v>
      </c>
      <c r="N156" s="44">
        <f t="shared" si="18"/>
        <v>0</v>
      </c>
    </row>
    <row r="157" spans="1:14">
      <c r="A157" s="63">
        <f t="shared" si="19"/>
        <v>0</v>
      </c>
      <c r="G157" s="20"/>
      <c r="H157" s="42">
        <v>152</v>
      </c>
      <c r="I157" s="43" t="str">
        <f t="shared" si="15"/>
        <v/>
      </c>
      <c r="J157" s="42">
        <f t="shared" si="20"/>
        <v>-5</v>
      </c>
      <c r="K157" s="42">
        <f t="shared" si="16"/>
        <v>-50</v>
      </c>
      <c r="L157" s="42"/>
      <c r="M157" s="44">
        <f t="shared" si="17"/>
        <v>0</v>
      </c>
      <c r="N157" s="44">
        <f t="shared" si="18"/>
        <v>0</v>
      </c>
    </row>
    <row r="158" spans="1:14">
      <c r="A158" s="63">
        <f t="shared" si="19"/>
        <v>0</v>
      </c>
      <c r="G158" s="20"/>
      <c r="H158" s="42">
        <v>153</v>
      </c>
      <c r="I158" s="43" t="str">
        <f t="shared" si="15"/>
        <v/>
      </c>
      <c r="J158" s="42">
        <f t="shared" si="20"/>
        <v>-5</v>
      </c>
      <c r="K158" s="42">
        <f t="shared" si="16"/>
        <v>-50</v>
      </c>
      <c r="L158" s="42"/>
      <c r="M158" s="44">
        <f t="shared" si="17"/>
        <v>0</v>
      </c>
      <c r="N158" s="44">
        <f t="shared" si="18"/>
        <v>0</v>
      </c>
    </row>
    <row r="159" spans="1:14">
      <c r="A159" s="63">
        <f t="shared" si="19"/>
        <v>0</v>
      </c>
      <c r="G159" s="20"/>
      <c r="H159" s="42">
        <v>154</v>
      </c>
      <c r="I159" s="43" t="str">
        <f t="shared" si="15"/>
        <v/>
      </c>
      <c r="J159" s="42">
        <f t="shared" si="20"/>
        <v>-5</v>
      </c>
      <c r="K159" s="42">
        <f t="shared" si="16"/>
        <v>-50</v>
      </c>
      <c r="L159" s="42"/>
      <c r="M159" s="44">
        <f t="shared" si="17"/>
        <v>0</v>
      </c>
      <c r="N159" s="44">
        <f t="shared" si="18"/>
        <v>0</v>
      </c>
    </row>
    <row r="160" spans="1:14">
      <c r="A160" s="63">
        <f t="shared" si="19"/>
        <v>0</v>
      </c>
      <c r="G160" s="20"/>
      <c r="H160" s="42">
        <v>155</v>
      </c>
      <c r="I160" s="43" t="str">
        <f t="shared" si="15"/>
        <v/>
      </c>
      <c r="J160" s="42">
        <f t="shared" si="20"/>
        <v>-5</v>
      </c>
      <c r="K160" s="42">
        <f t="shared" si="16"/>
        <v>-50</v>
      </c>
      <c r="L160" s="42"/>
      <c r="M160" s="44">
        <f t="shared" si="17"/>
        <v>0</v>
      </c>
      <c r="N160" s="44">
        <f t="shared" si="18"/>
        <v>0</v>
      </c>
    </row>
    <row r="161" spans="1:14">
      <c r="A161" s="63">
        <f t="shared" si="19"/>
        <v>0</v>
      </c>
      <c r="G161" s="20"/>
      <c r="H161" s="42">
        <v>156</v>
      </c>
      <c r="I161" s="43" t="str">
        <f t="shared" si="15"/>
        <v/>
      </c>
      <c r="J161" s="42">
        <f t="shared" si="20"/>
        <v>-5</v>
      </c>
      <c r="K161" s="42">
        <f t="shared" si="16"/>
        <v>-50</v>
      </c>
      <c r="L161" s="42"/>
      <c r="M161" s="44">
        <f t="shared" si="17"/>
        <v>0</v>
      </c>
      <c r="N161" s="44">
        <f t="shared" si="18"/>
        <v>0</v>
      </c>
    </row>
    <row r="162" spans="1:14">
      <c r="A162" s="63">
        <f t="shared" si="19"/>
        <v>0</v>
      </c>
      <c r="G162" s="20"/>
      <c r="H162" s="42">
        <v>157</v>
      </c>
      <c r="I162" s="43" t="str">
        <f t="shared" si="15"/>
        <v/>
      </c>
      <c r="J162" s="42">
        <f t="shared" si="20"/>
        <v>-5</v>
      </c>
      <c r="K162" s="42">
        <f t="shared" si="16"/>
        <v>-50</v>
      </c>
      <c r="L162" s="42"/>
      <c r="M162" s="44">
        <f t="shared" si="17"/>
        <v>0</v>
      </c>
      <c r="N162" s="44">
        <f t="shared" si="18"/>
        <v>0</v>
      </c>
    </row>
    <row r="163" spans="1:14">
      <c r="A163" s="63">
        <f t="shared" si="19"/>
        <v>0</v>
      </c>
      <c r="G163" s="20"/>
      <c r="H163" s="42">
        <v>158</v>
      </c>
      <c r="I163" s="43" t="str">
        <f t="shared" si="15"/>
        <v/>
      </c>
      <c r="J163" s="42">
        <f t="shared" si="20"/>
        <v>-5</v>
      </c>
      <c r="K163" s="42">
        <f t="shared" si="16"/>
        <v>-50</v>
      </c>
      <c r="L163" s="42"/>
      <c r="M163" s="44">
        <f t="shared" si="17"/>
        <v>0</v>
      </c>
      <c r="N163" s="44">
        <f t="shared" si="18"/>
        <v>0</v>
      </c>
    </row>
    <row r="164" spans="1:14">
      <c r="A164" s="63">
        <f t="shared" si="19"/>
        <v>0</v>
      </c>
      <c r="G164" s="20"/>
      <c r="H164" s="42">
        <v>159</v>
      </c>
      <c r="I164" s="43" t="str">
        <f t="shared" si="15"/>
        <v/>
      </c>
      <c r="J164" s="42">
        <f t="shared" si="20"/>
        <v>-5</v>
      </c>
      <c r="K164" s="42">
        <f t="shared" si="16"/>
        <v>-50</v>
      </c>
      <c r="L164" s="42"/>
      <c r="M164" s="44">
        <f t="shared" si="17"/>
        <v>0</v>
      </c>
      <c r="N164" s="44">
        <f t="shared" si="18"/>
        <v>0</v>
      </c>
    </row>
    <row r="165" spans="1:14">
      <c r="A165" s="63">
        <f t="shared" si="19"/>
        <v>0</v>
      </c>
      <c r="G165" s="20"/>
      <c r="H165" s="42">
        <v>160</v>
      </c>
      <c r="I165" s="43" t="str">
        <f t="shared" si="15"/>
        <v/>
      </c>
      <c r="J165" s="42">
        <f t="shared" si="20"/>
        <v>-5</v>
      </c>
      <c r="K165" s="42">
        <f t="shared" si="16"/>
        <v>-50</v>
      </c>
      <c r="L165" s="42"/>
      <c r="M165" s="44">
        <f t="shared" si="17"/>
        <v>0</v>
      </c>
      <c r="N165" s="44">
        <f t="shared" si="18"/>
        <v>0</v>
      </c>
    </row>
    <row r="166" spans="1:14">
      <c r="A166" s="63">
        <f t="shared" si="19"/>
        <v>0</v>
      </c>
      <c r="G166" s="20"/>
      <c r="H166" s="42">
        <v>161</v>
      </c>
      <c r="I166" s="43" t="str">
        <f t="shared" si="15"/>
        <v/>
      </c>
      <c r="J166" s="42">
        <f t="shared" si="20"/>
        <v>-5</v>
      </c>
      <c r="K166" s="42">
        <f t="shared" si="16"/>
        <v>-50</v>
      </c>
      <c r="L166" s="42"/>
      <c r="M166" s="44">
        <f t="shared" si="17"/>
        <v>0</v>
      </c>
      <c r="N166" s="44">
        <f t="shared" si="18"/>
        <v>0</v>
      </c>
    </row>
    <row r="167" spans="1:14">
      <c r="A167" s="63">
        <f t="shared" si="19"/>
        <v>0</v>
      </c>
      <c r="G167" s="20"/>
      <c r="H167" s="42">
        <v>162</v>
      </c>
      <c r="I167" s="43" t="str">
        <f t="shared" si="15"/>
        <v/>
      </c>
      <c r="J167" s="42">
        <f t="shared" si="20"/>
        <v>-5</v>
      </c>
      <c r="K167" s="42">
        <f t="shared" si="16"/>
        <v>-50</v>
      </c>
      <c r="L167" s="42"/>
      <c r="M167" s="44">
        <f t="shared" si="17"/>
        <v>0</v>
      </c>
      <c r="N167" s="44">
        <f t="shared" si="18"/>
        <v>0</v>
      </c>
    </row>
    <row r="168" spans="1:14">
      <c r="A168" s="63">
        <f t="shared" si="19"/>
        <v>0</v>
      </c>
      <c r="G168" s="20"/>
      <c r="H168" s="42">
        <v>163</v>
      </c>
      <c r="I168" s="43" t="str">
        <f t="shared" si="15"/>
        <v/>
      </c>
      <c r="J168" s="42">
        <f t="shared" si="20"/>
        <v>-5</v>
      </c>
      <c r="K168" s="42">
        <f t="shared" si="16"/>
        <v>-50</v>
      </c>
      <c r="L168" s="42"/>
      <c r="M168" s="44">
        <f t="shared" si="17"/>
        <v>0</v>
      </c>
      <c r="N168" s="44">
        <f t="shared" si="18"/>
        <v>0</v>
      </c>
    </row>
    <row r="169" spans="1:14">
      <c r="A169" s="63">
        <f t="shared" si="19"/>
        <v>0</v>
      </c>
      <c r="G169" s="20"/>
      <c r="H169" s="42">
        <v>164</v>
      </c>
      <c r="I169" s="43" t="str">
        <f t="shared" si="15"/>
        <v/>
      </c>
      <c r="J169" s="42">
        <f t="shared" si="20"/>
        <v>-5</v>
      </c>
      <c r="K169" s="42">
        <f t="shared" si="16"/>
        <v>-50</v>
      </c>
      <c r="L169" s="42"/>
      <c r="M169" s="44">
        <f t="shared" si="17"/>
        <v>0</v>
      </c>
      <c r="N169" s="44">
        <f t="shared" si="18"/>
        <v>0</v>
      </c>
    </row>
    <row r="170" spans="1:14">
      <c r="A170" s="63">
        <f t="shared" si="19"/>
        <v>0</v>
      </c>
      <c r="G170" s="20"/>
      <c r="H170" s="42">
        <v>165</v>
      </c>
      <c r="I170" s="43" t="str">
        <f t="shared" si="15"/>
        <v/>
      </c>
      <c r="J170" s="42">
        <f t="shared" si="20"/>
        <v>-5</v>
      </c>
      <c r="K170" s="42">
        <f t="shared" si="16"/>
        <v>-50</v>
      </c>
      <c r="L170" s="42"/>
      <c r="M170" s="44">
        <f t="shared" si="17"/>
        <v>0</v>
      </c>
      <c r="N170" s="44">
        <f t="shared" si="18"/>
        <v>0</v>
      </c>
    </row>
    <row r="171" spans="1:14">
      <c r="A171" s="63">
        <f t="shared" si="19"/>
        <v>0</v>
      </c>
      <c r="G171" s="20"/>
      <c r="H171" s="42">
        <v>166</v>
      </c>
      <c r="I171" s="43" t="str">
        <f t="shared" si="15"/>
        <v/>
      </c>
      <c r="J171" s="42">
        <f t="shared" si="20"/>
        <v>-5</v>
      </c>
      <c r="K171" s="42">
        <f t="shared" si="16"/>
        <v>-50</v>
      </c>
      <c r="L171" s="42"/>
      <c r="M171" s="44">
        <f t="shared" si="17"/>
        <v>0</v>
      </c>
      <c r="N171" s="44">
        <f t="shared" si="18"/>
        <v>0</v>
      </c>
    </row>
    <row r="172" spans="1:14">
      <c r="A172" s="63">
        <f t="shared" si="19"/>
        <v>0</v>
      </c>
      <c r="G172" s="20"/>
      <c r="H172" s="42">
        <v>167</v>
      </c>
      <c r="I172" s="43" t="str">
        <f t="shared" si="15"/>
        <v/>
      </c>
      <c r="J172" s="42">
        <f t="shared" si="20"/>
        <v>-5</v>
      </c>
      <c r="K172" s="42">
        <f t="shared" si="16"/>
        <v>-50</v>
      </c>
      <c r="L172" s="42"/>
      <c r="M172" s="44">
        <f t="shared" si="17"/>
        <v>0</v>
      </c>
      <c r="N172" s="44">
        <f t="shared" si="18"/>
        <v>0</v>
      </c>
    </row>
    <row r="173" spans="1:14">
      <c r="A173" s="63">
        <f t="shared" si="19"/>
        <v>0</v>
      </c>
      <c r="G173" s="20"/>
      <c r="H173" s="42">
        <v>168</v>
      </c>
      <c r="I173" s="43" t="str">
        <f t="shared" si="15"/>
        <v/>
      </c>
      <c r="J173" s="42">
        <f t="shared" si="20"/>
        <v>-5</v>
      </c>
      <c r="K173" s="42">
        <f t="shared" si="16"/>
        <v>-50</v>
      </c>
      <c r="L173" s="42"/>
      <c r="M173" s="44">
        <f t="shared" si="17"/>
        <v>0</v>
      </c>
      <c r="N173" s="44">
        <f t="shared" si="18"/>
        <v>0</v>
      </c>
    </row>
    <row r="174" spans="1:14">
      <c r="A174" s="63">
        <f t="shared" si="19"/>
        <v>0</v>
      </c>
      <c r="G174" s="20"/>
      <c r="H174" s="42">
        <v>169</v>
      </c>
      <c r="I174" s="43" t="str">
        <f t="shared" si="15"/>
        <v/>
      </c>
      <c r="J174" s="42">
        <f t="shared" si="20"/>
        <v>-5</v>
      </c>
      <c r="K174" s="42">
        <f t="shared" si="16"/>
        <v>-50</v>
      </c>
      <c r="L174" s="42"/>
      <c r="M174" s="44">
        <f t="shared" si="17"/>
        <v>0</v>
      </c>
      <c r="N174" s="44">
        <f t="shared" si="18"/>
        <v>0</v>
      </c>
    </row>
    <row r="175" spans="1:14">
      <c r="A175" s="63">
        <f t="shared" si="19"/>
        <v>0</v>
      </c>
      <c r="G175" s="20"/>
      <c r="H175" s="42">
        <v>170</v>
      </c>
      <c r="I175" s="43" t="str">
        <f t="shared" si="15"/>
        <v/>
      </c>
      <c r="J175" s="42">
        <f t="shared" si="20"/>
        <v>-5</v>
      </c>
      <c r="K175" s="42">
        <f t="shared" si="16"/>
        <v>-50</v>
      </c>
      <c r="L175" s="42"/>
      <c r="M175" s="44">
        <f t="shared" si="17"/>
        <v>0</v>
      </c>
      <c r="N175" s="44">
        <f t="shared" si="18"/>
        <v>0</v>
      </c>
    </row>
    <row r="176" spans="1:14">
      <c r="A176" s="63">
        <f t="shared" si="19"/>
        <v>0</v>
      </c>
      <c r="G176" s="20"/>
      <c r="H176" s="42">
        <v>171</v>
      </c>
      <c r="I176" s="43" t="str">
        <f t="shared" si="15"/>
        <v/>
      </c>
      <c r="J176" s="42">
        <f t="shared" si="20"/>
        <v>-5</v>
      </c>
      <c r="K176" s="42">
        <f t="shared" si="16"/>
        <v>-50</v>
      </c>
      <c r="L176" s="42"/>
      <c r="M176" s="44">
        <f t="shared" si="17"/>
        <v>0</v>
      </c>
      <c r="N176" s="44">
        <f t="shared" si="18"/>
        <v>0</v>
      </c>
    </row>
    <row r="177" spans="1:14">
      <c r="A177" s="63">
        <f t="shared" si="19"/>
        <v>0</v>
      </c>
      <c r="G177" s="20"/>
      <c r="H177" s="42">
        <v>172</v>
      </c>
      <c r="I177" s="43" t="str">
        <f t="shared" si="15"/>
        <v/>
      </c>
      <c r="J177" s="42">
        <f t="shared" si="20"/>
        <v>-5</v>
      </c>
      <c r="K177" s="42">
        <f t="shared" si="16"/>
        <v>-50</v>
      </c>
      <c r="L177" s="42"/>
      <c r="M177" s="44">
        <f t="shared" si="17"/>
        <v>0</v>
      </c>
      <c r="N177" s="44">
        <f t="shared" si="18"/>
        <v>0</v>
      </c>
    </row>
    <row r="178" spans="1:14">
      <c r="A178" s="63">
        <f t="shared" si="19"/>
        <v>0</v>
      </c>
      <c r="G178" s="20"/>
      <c r="H178" s="42">
        <v>173</v>
      </c>
      <c r="I178" s="43" t="str">
        <f t="shared" si="15"/>
        <v/>
      </c>
      <c r="J178" s="42">
        <f t="shared" si="20"/>
        <v>-5</v>
      </c>
      <c r="K178" s="42">
        <f t="shared" si="16"/>
        <v>-50</v>
      </c>
      <c r="L178" s="42"/>
      <c r="M178" s="44">
        <f t="shared" si="17"/>
        <v>0</v>
      </c>
      <c r="N178" s="44">
        <f t="shared" si="18"/>
        <v>0</v>
      </c>
    </row>
    <row r="179" spans="1:14">
      <c r="A179" s="63">
        <f t="shared" si="19"/>
        <v>0</v>
      </c>
      <c r="G179" s="20"/>
      <c r="H179" s="42">
        <v>174</v>
      </c>
      <c r="I179" s="43" t="str">
        <f t="shared" si="15"/>
        <v/>
      </c>
      <c r="J179" s="42">
        <f t="shared" si="20"/>
        <v>-5</v>
      </c>
      <c r="K179" s="42">
        <f t="shared" si="16"/>
        <v>-50</v>
      </c>
      <c r="L179" s="42"/>
      <c r="M179" s="44">
        <f t="shared" si="17"/>
        <v>0</v>
      </c>
      <c r="N179" s="44">
        <f t="shared" si="18"/>
        <v>0</v>
      </c>
    </row>
    <row r="180" spans="1:14">
      <c r="A180" s="63">
        <f t="shared" si="19"/>
        <v>0</v>
      </c>
      <c r="G180" s="20"/>
      <c r="H180" s="42">
        <v>175</v>
      </c>
      <c r="I180" s="43" t="str">
        <f t="shared" si="15"/>
        <v/>
      </c>
      <c r="J180" s="42">
        <f t="shared" si="20"/>
        <v>-5</v>
      </c>
      <c r="K180" s="42">
        <f t="shared" si="16"/>
        <v>-50</v>
      </c>
      <c r="L180" s="42"/>
      <c r="M180" s="44">
        <f t="shared" si="17"/>
        <v>0</v>
      </c>
      <c r="N180" s="44">
        <f t="shared" si="18"/>
        <v>0</v>
      </c>
    </row>
    <row r="181" spans="1:14">
      <c r="A181" s="63">
        <f t="shared" si="19"/>
        <v>0</v>
      </c>
      <c r="G181" s="20"/>
      <c r="H181" s="42">
        <v>176</v>
      </c>
      <c r="I181" s="43" t="str">
        <f t="shared" si="15"/>
        <v/>
      </c>
      <c r="J181" s="42">
        <f t="shared" si="20"/>
        <v>-5</v>
      </c>
      <c r="K181" s="42">
        <f t="shared" si="16"/>
        <v>-50</v>
      </c>
      <c r="L181" s="42"/>
      <c r="M181" s="44">
        <f t="shared" si="17"/>
        <v>0</v>
      </c>
      <c r="N181" s="44">
        <f t="shared" si="18"/>
        <v>0</v>
      </c>
    </row>
    <row r="182" spans="1:14">
      <c r="A182" s="63">
        <f t="shared" si="19"/>
        <v>0</v>
      </c>
      <c r="G182" s="20"/>
      <c r="H182" s="42">
        <v>177</v>
      </c>
      <c r="I182" s="43" t="str">
        <f t="shared" si="15"/>
        <v/>
      </c>
      <c r="J182" s="42">
        <f t="shared" si="20"/>
        <v>-5</v>
      </c>
      <c r="K182" s="42">
        <f t="shared" si="16"/>
        <v>-50</v>
      </c>
      <c r="L182" s="42"/>
      <c r="M182" s="44">
        <f t="shared" si="17"/>
        <v>0</v>
      </c>
      <c r="N182" s="44">
        <f t="shared" si="18"/>
        <v>0</v>
      </c>
    </row>
    <row r="183" spans="1:14">
      <c r="A183" s="63">
        <f t="shared" si="19"/>
        <v>0</v>
      </c>
      <c r="G183" s="20"/>
      <c r="H183" s="42">
        <v>178</v>
      </c>
      <c r="I183" s="43" t="str">
        <f t="shared" si="15"/>
        <v/>
      </c>
      <c r="J183" s="42">
        <f t="shared" si="20"/>
        <v>-5</v>
      </c>
      <c r="K183" s="42">
        <f t="shared" si="16"/>
        <v>-50</v>
      </c>
      <c r="L183" s="42"/>
      <c r="M183" s="44">
        <f t="shared" si="17"/>
        <v>0</v>
      </c>
      <c r="N183" s="44">
        <f t="shared" si="18"/>
        <v>0</v>
      </c>
    </row>
    <row r="184" spans="1:14">
      <c r="A184" s="63">
        <f t="shared" si="19"/>
        <v>0</v>
      </c>
      <c r="G184" s="20"/>
      <c r="H184" s="42">
        <v>179</v>
      </c>
      <c r="I184" s="43" t="str">
        <f t="shared" si="15"/>
        <v/>
      </c>
      <c r="J184" s="42">
        <f t="shared" si="20"/>
        <v>-5</v>
      </c>
      <c r="K184" s="42">
        <f t="shared" si="16"/>
        <v>-50</v>
      </c>
      <c r="L184" s="42"/>
      <c r="M184" s="44">
        <f t="shared" si="17"/>
        <v>0</v>
      </c>
      <c r="N184" s="44">
        <f t="shared" si="18"/>
        <v>0</v>
      </c>
    </row>
    <row r="185" spans="1:14">
      <c r="A185" s="63">
        <f t="shared" si="19"/>
        <v>0</v>
      </c>
      <c r="G185" s="20"/>
      <c r="H185" s="42">
        <v>180</v>
      </c>
      <c r="I185" s="43" t="str">
        <f t="shared" si="15"/>
        <v/>
      </c>
      <c r="J185" s="42">
        <f t="shared" si="20"/>
        <v>-5</v>
      </c>
      <c r="K185" s="42">
        <f t="shared" si="16"/>
        <v>-50</v>
      </c>
      <c r="L185" s="42"/>
      <c r="M185" s="44">
        <f t="shared" si="17"/>
        <v>0</v>
      </c>
      <c r="N185" s="44">
        <f t="shared" si="18"/>
        <v>0</v>
      </c>
    </row>
    <row r="186" spans="1:14">
      <c r="A186" s="63">
        <f t="shared" si="19"/>
        <v>0</v>
      </c>
      <c r="G186" s="20"/>
      <c r="H186" s="42">
        <v>181</v>
      </c>
      <c r="I186" s="43" t="str">
        <f t="shared" si="15"/>
        <v/>
      </c>
      <c r="J186" s="42">
        <f t="shared" si="20"/>
        <v>-5</v>
      </c>
      <c r="K186" s="42">
        <f t="shared" si="16"/>
        <v>-50</v>
      </c>
      <c r="L186" s="42"/>
      <c r="M186" s="44">
        <f t="shared" si="17"/>
        <v>0</v>
      </c>
      <c r="N186" s="44">
        <f t="shared" si="18"/>
        <v>0</v>
      </c>
    </row>
    <row r="187" spans="1:14">
      <c r="A187" s="63">
        <f t="shared" si="19"/>
        <v>0</v>
      </c>
      <c r="G187" s="20"/>
      <c r="H187" s="42">
        <v>182</v>
      </c>
      <c r="I187" s="43" t="str">
        <f t="shared" si="15"/>
        <v/>
      </c>
      <c r="J187" s="42">
        <f t="shared" si="20"/>
        <v>-5</v>
      </c>
      <c r="K187" s="42">
        <f t="shared" si="16"/>
        <v>-50</v>
      </c>
      <c r="L187" s="42"/>
      <c r="M187" s="44">
        <f t="shared" si="17"/>
        <v>0</v>
      </c>
      <c r="N187" s="44">
        <f t="shared" si="18"/>
        <v>0</v>
      </c>
    </row>
    <row r="188" spans="1:14">
      <c r="A188" s="63">
        <f t="shared" si="19"/>
        <v>0</v>
      </c>
      <c r="G188" s="20"/>
      <c r="H188" s="42">
        <v>183</v>
      </c>
      <c r="I188" s="43" t="str">
        <f t="shared" si="15"/>
        <v/>
      </c>
      <c r="J188" s="42">
        <f t="shared" si="20"/>
        <v>-5</v>
      </c>
      <c r="K188" s="42">
        <f t="shared" si="16"/>
        <v>-50</v>
      </c>
      <c r="L188" s="42"/>
      <c r="M188" s="44">
        <f t="shared" si="17"/>
        <v>0</v>
      </c>
      <c r="N188" s="44">
        <f t="shared" si="18"/>
        <v>0</v>
      </c>
    </row>
    <row r="189" spans="1:14">
      <c r="A189" s="63">
        <f t="shared" si="19"/>
        <v>0</v>
      </c>
      <c r="G189" s="20"/>
      <c r="H189" s="42">
        <v>184</v>
      </c>
      <c r="I189" s="43" t="str">
        <f t="shared" si="15"/>
        <v/>
      </c>
      <c r="J189" s="42">
        <f t="shared" si="20"/>
        <v>-5</v>
      </c>
      <c r="K189" s="42">
        <f t="shared" si="16"/>
        <v>-50</v>
      </c>
      <c r="L189" s="42"/>
      <c r="M189" s="44">
        <f t="shared" si="17"/>
        <v>0</v>
      </c>
      <c r="N189" s="44">
        <f t="shared" si="18"/>
        <v>0</v>
      </c>
    </row>
    <row r="190" spans="1:14">
      <c r="A190" s="63">
        <f t="shared" si="19"/>
        <v>0</v>
      </c>
      <c r="G190" s="20"/>
      <c r="H190" s="42">
        <v>185</v>
      </c>
      <c r="I190" s="43" t="str">
        <f t="shared" si="15"/>
        <v/>
      </c>
      <c r="J190" s="42">
        <f t="shared" si="20"/>
        <v>-5</v>
      </c>
      <c r="K190" s="42">
        <f t="shared" si="16"/>
        <v>-50</v>
      </c>
      <c r="L190" s="42"/>
      <c r="M190" s="44">
        <f t="shared" si="17"/>
        <v>0</v>
      </c>
      <c r="N190" s="44">
        <f t="shared" si="18"/>
        <v>0</v>
      </c>
    </row>
    <row r="191" spans="1:14">
      <c r="A191" s="63">
        <f t="shared" si="19"/>
        <v>0</v>
      </c>
      <c r="G191" s="20"/>
      <c r="H191" s="42">
        <v>186</v>
      </c>
      <c r="I191" s="43" t="str">
        <f t="shared" si="15"/>
        <v/>
      </c>
      <c r="J191" s="42">
        <f t="shared" si="20"/>
        <v>-5</v>
      </c>
      <c r="K191" s="42">
        <f t="shared" si="16"/>
        <v>-50</v>
      </c>
      <c r="L191" s="42"/>
      <c r="M191" s="44">
        <f t="shared" si="17"/>
        <v>0</v>
      </c>
      <c r="N191" s="44">
        <f t="shared" si="18"/>
        <v>0</v>
      </c>
    </row>
    <row r="192" spans="1:14">
      <c r="A192" s="63">
        <f t="shared" si="19"/>
        <v>0</v>
      </c>
      <c r="G192" s="20"/>
      <c r="H192" s="42">
        <v>187</v>
      </c>
      <c r="I192" s="43" t="str">
        <f t="shared" si="15"/>
        <v/>
      </c>
      <c r="J192" s="42">
        <f t="shared" si="20"/>
        <v>-5</v>
      </c>
      <c r="K192" s="42">
        <f t="shared" si="16"/>
        <v>-50</v>
      </c>
      <c r="L192" s="42"/>
      <c r="M192" s="44">
        <f t="shared" si="17"/>
        <v>0</v>
      </c>
      <c r="N192" s="44">
        <f t="shared" si="18"/>
        <v>0</v>
      </c>
    </row>
    <row r="193" spans="1:14">
      <c r="A193" s="63">
        <f t="shared" si="19"/>
        <v>0</v>
      </c>
      <c r="G193" s="20"/>
      <c r="H193" s="42">
        <v>188</v>
      </c>
      <c r="I193" s="43" t="str">
        <f t="shared" si="15"/>
        <v/>
      </c>
      <c r="J193" s="42">
        <f t="shared" si="20"/>
        <v>-5</v>
      </c>
      <c r="K193" s="42">
        <f t="shared" si="16"/>
        <v>-50</v>
      </c>
      <c r="L193" s="42"/>
      <c r="M193" s="44">
        <f t="shared" si="17"/>
        <v>0</v>
      </c>
      <c r="N193" s="44">
        <f t="shared" si="18"/>
        <v>0</v>
      </c>
    </row>
    <row r="194" spans="1:14">
      <c r="A194" s="63">
        <f t="shared" si="19"/>
        <v>0</v>
      </c>
      <c r="G194" s="20"/>
      <c r="H194" s="42">
        <v>189</v>
      </c>
      <c r="I194" s="43" t="str">
        <f t="shared" si="15"/>
        <v/>
      </c>
      <c r="J194" s="42">
        <f t="shared" si="20"/>
        <v>-5</v>
      </c>
      <c r="K194" s="42">
        <f t="shared" si="16"/>
        <v>-50</v>
      </c>
      <c r="L194" s="42"/>
      <c r="M194" s="44">
        <f t="shared" si="17"/>
        <v>0</v>
      </c>
      <c r="N194" s="44">
        <f t="shared" si="18"/>
        <v>0</v>
      </c>
    </row>
    <row r="195" spans="1:14">
      <c r="A195" s="63">
        <f t="shared" si="19"/>
        <v>0</v>
      </c>
      <c r="G195" s="20"/>
      <c r="H195" s="42">
        <v>190</v>
      </c>
      <c r="I195" s="43" t="str">
        <f t="shared" si="15"/>
        <v/>
      </c>
      <c r="J195" s="42">
        <f t="shared" si="20"/>
        <v>-5</v>
      </c>
      <c r="K195" s="42">
        <f t="shared" si="16"/>
        <v>-50</v>
      </c>
      <c r="L195" s="42"/>
      <c r="M195" s="44">
        <f t="shared" si="17"/>
        <v>0</v>
      </c>
      <c r="N195" s="44">
        <f t="shared" si="18"/>
        <v>0</v>
      </c>
    </row>
    <row r="196" spans="1:14">
      <c r="A196" s="63">
        <f t="shared" si="19"/>
        <v>0</v>
      </c>
      <c r="G196" s="20"/>
      <c r="H196" s="42">
        <v>191</v>
      </c>
      <c r="I196" s="43" t="str">
        <f t="shared" si="15"/>
        <v/>
      </c>
      <c r="J196" s="42">
        <f t="shared" si="20"/>
        <v>-5</v>
      </c>
      <c r="K196" s="42">
        <f t="shared" si="16"/>
        <v>-50</v>
      </c>
      <c r="L196" s="42"/>
      <c r="M196" s="44">
        <f t="shared" si="17"/>
        <v>0</v>
      </c>
      <c r="N196" s="44">
        <f t="shared" si="18"/>
        <v>0</v>
      </c>
    </row>
    <row r="197" spans="1:14">
      <c r="A197" s="63">
        <f t="shared" si="19"/>
        <v>0</v>
      </c>
      <c r="G197" s="20"/>
      <c r="H197" s="42">
        <v>192</v>
      </c>
      <c r="I197" s="43" t="str">
        <f t="shared" si="15"/>
        <v/>
      </c>
      <c r="J197" s="42">
        <f t="shared" si="20"/>
        <v>-5</v>
      </c>
      <c r="K197" s="42">
        <f t="shared" si="16"/>
        <v>-50</v>
      </c>
      <c r="L197" s="42"/>
      <c r="M197" s="44">
        <f t="shared" si="17"/>
        <v>0</v>
      </c>
      <c r="N197" s="44">
        <f t="shared" si="18"/>
        <v>0</v>
      </c>
    </row>
    <row r="198" spans="1:14">
      <c r="A198" s="63">
        <f t="shared" si="19"/>
        <v>0</v>
      </c>
      <c r="G198" s="20"/>
      <c r="H198" s="42">
        <v>193</v>
      </c>
      <c r="I198" s="43" t="str">
        <f t="shared" ref="I198:I261" si="21">IF(H198&lt;$H$2+1,($I$2-($I$2-1)*(LOG(H198)/LOG($H$2))),"")</f>
        <v/>
      </c>
      <c r="J198" s="42">
        <f t="shared" si="20"/>
        <v>-5</v>
      </c>
      <c r="K198" s="42">
        <f t="shared" ref="K198:K261" si="22">J198*$J$2</f>
        <v>-50</v>
      </c>
      <c r="L198" s="42"/>
      <c r="M198" s="44">
        <f t="shared" ref="M198:M261" si="23">IF(I198&lt;&gt;"",K198+I198+L198,0)</f>
        <v>0</v>
      </c>
      <c r="N198" s="44">
        <f t="shared" ref="N198:N261" si="24">IF(I198&lt;&gt;"",M198*L$2,0)</f>
        <v>0</v>
      </c>
    </row>
    <row r="199" spans="1:14">
      <c r="A199" s="63">
        <f t="shared" ref="A199:A262" si="25">N199</f>
        <v>0</v>
      </c>
      <c r="G199" s="20"/>
      <c r="H199" s="42">
        <v>194</v>
      </c>
      <c r="I199" s="43" t="str">
        <f t="shared" si="21"/>
        <v/>
      </c>
      <c r="J199" s="42">
        <f t="shared" ref="J199:J262" si="26">INT(LOG($H$2,2))-ROUNDUP(LOG(H199,2),0)+IF(OR($H$2=1,$H$2=2,$H$2=4,$H$2=8,$H$2=16,$H$2=32,$H$2=64,$H$2=128,$H$2=256),0,1)</f>
        <v>-5</v>
      </c>
      <c r="K199" s="42">
        <f t="shared" si="22"/>
        <v>-50</v>
      </c>
      <c r="L199" s="42"/>
      <c r="M199" s="44">
        <f t="shared" si="23"/>
        <v>0</v>
      </c>
      <c r="N199" s="44">
        <f t="shared" si="24"/>
        <v>0</v>
      </c>
    </row>
    <row r="200" spans="1:14">
      <c r="A200" s="63">
        <f t="shared" si="25"/>
        <v>0</v>
      </c>
      <c r="G200" s="20"/>
      <c r="H200" s="42">
        <v>195</v>
      </c>
      <c r="I200" s="43" t="str">
        <f t="shared" si="21"/>
        <v/>
      </c>
      <c r="J200" s="42">
        <f t="shared" si="26"/>
        <v>-5</v>
      </c>
      <c r="K200" s="42">
        <f t="shared" si="22"/>
        <v>-50</v>
      </c>
      <c r="L200" s="42"/>
      <c r="M200" s="44">
        <f t="shared" si="23"/>
        <v>0</v>
      </c>
      <c r="N200" s="44">
        <f t="shared" si="24"/>
        <v>0</v>
      </c>
    </row>
    <row r="201" spans="1:14">
      <c r="A201" s="63">
        <f t="shared" si="25"/>
        <v>0</v>
      </c>
      <c r="G201" s="20"/>
      <c r="H201" s="42">
        <v>196</v>
      </c>
      <c r="I201" s="43" t="str">
        <f t="shared" si="21"/>
        <v/>
      </c>
      <c r="J201" s="42">
        <f t="shared" si="26"/>
        <v>-5</v>
      </c>
      <c r="K201" s="42">
        <f t="shared" si="22"/>
        <v>-50</v>
      </c>
      <c r="L201" s="42"/>
      <c r="M201" s="44">
        <f t="shared" si="23"/>
        <v>0</v>
      </c>
      <c r="N201" s="44">
        <f t="shared" si="24"/>
        <v>0</v>
      </c>
    </row>
    <row r="202" spans="1:14">
      <c r="A202" s="63">
        <f t="shared" si="25"/>
        <v>0</v>
      </c>
      <c r="G202" s="20"/>
      <c r="H202" s="42">
        <v>197</v>
      </c>
      <c r="I202" s="43" t="str">
        <f t="shared" si="21"/>
        <v/>
      </c>
      <c r="J202" s="42">
        <f t="shared" si="26"/>
        <v>-5</v>
      </c>
      <c r="K202" s="42">
        <f t="shared" si="22"/>
        <v>-50</v>
      </c>
      <c r="L202" s="42"/>
      <c r="M202" s="44">
        <f t="shared" si="23"/>
        <v>0</v>
      </c>
      <c r="N202" s="44">
        <f t="shared" si="24"/>
        <v>0</v>
      </c>
    </row>
    <row r="203" spans="1:14">
      <c r="A203" s="63">
        <f t="shared" si="25"/>
        <v>0</v>
      </c>
      <c r="G203" s="20"/>
      <c r="H203" s="42">
        <v>198</v>
      </c>
      <c r="I203" s="43" t="str">
        <f t="shared" si="21"/>
        <v/>
      </c>
      <c r="J203" s="42">
        <f t="shared" si="26"/>
        <v>-5</v>
      </c>
      <c r="K203" s="42">
        <f t="shared" si="22"/>
        <v>-50</v>
      </c>
      <c r="L203" s="42"/>
      <c r="M203" s="44">
        <f t="shared" si="23"/>
        <v>0</v>
      </c>
      <c r="N203" s="44">
        <f t="shared" si="24"/>
        <v>0</v>
      </c>
    </row>
    <row r="204" spans="1:14">
      <c r="A204" s="63">
        <f t="shared" si="25"/>
        <v>0</v>
      </c>
      <c r="G204" s="20"/>
      <c r="H204" s="42">
        <v>199</v>
      </c>
      <c r="I204" s="43" t="str">
        <f t="shared" si="21"/>
        <v/>
      </c>
      <c r="J204" s="42">
        <f t="shared" si="26"/>
        <v>-5</v>
      </c>
      <c r="K204" s="42">
        <f t="shared" si="22"/>
        <v>-50</v>
      </c>
      <c r="L204" s="42"/>
      <c r="M204" s="44">
        <f t="shared" si="23"/>
        <v>0</v>
      </c>
      <c r="N204" s="44">
        <f t="shared" si="24"/>
        <v>0</v>
      </c>
    </row>
    <row r="205" spans="1:14">
      <c r="A205" s="63">
        <f t="shared" si="25"/>
        <v>0</v>
      </c>
      <c r="G205" s="20"/>
      <c r="H205" s="42">
        <v>200</v>
      </c>
      <c r="I205" s="43" t="str">
        <f t="shared" si="21"/>
        <v/>
      </c>
      <c r="J205" s="42">
        <f t="shared" si="26"/>
        <v>-5</v>
      </c>
      <c r="K205" s="42">
        <f t="shared" si="22"/>
        <v>-50</v>
      </c>
      <c r="L205" s="42"/>
      <c r="M205" s="44">
        <f t="shared" si="23"/>
        <v>0</v>
      </c>
      <c r="N205" s="44">
        <f t="shared" si="24"/>
        <v>0</v>
      </c>
    </row>
    <row r="206" spans="1:14">
      <c r="A206" s="63">
        <f t="shared" si="25"/>
        <v>0</v>
      </c>
      <c r="G206" s="20"/>
      <c r="H206" s="42">
        <v>201</v>
      </c>
      <c r="I206" s="43" t="str">
        <f t="shared" si="21"/>
        <v/>
      </c>
      <c r="J206" s="42">
        <f t="shared" si="26"/>
        <v>-5</v>
      </c>
      <c r="K206" s="42">
        <f t="shared" si="22"/>
        <v>-50</v>
      </c>
      <c r="L206" s="42"/>
      <c r="M206" s="44">
        <f t="shared" si="23"/>
        <v>0</v>
      </c>
      <c r="N206" s="44">
        <f t="shared" si="24"/>
        <v>0</v>
      </c>
    </row>
    <row r="207" spans="1:14">
      <c r="A207" s="63">
        <f t="shared" si="25"/>
        <v>0</v>
      </c>
      <c r="G207" s="20"/>
      <c r="H207" s="42">
        <v>202</v>
      </c>
      <c r="I207" s="43" t="str">
        <f t="shared" si="21"/>
        <v/>
      </c>
      <c r="J207" s="42">
        <f t="shared" si="26"/>
        <v>-5</v>
      </c>
      <c r="K207" s="42">
        <f t="shared" si="22"/>
        <v>-50</v>
      </c>
      <c r="L207" s="42"/>
      <c r="M207" s="44">
        <f t="shared" si="23"/>
        <v>0</v>
      </c>
      <c r="N207" s="44">
        <f t="shared" si="24"/>
        <v>0</v>
      </c>
    </row>
    <row r="208" spans="1:14">
      <c r="A208" s="63">
        <f t="shared" si="25"/>
        <v>0</v>
      </c>
      <c r="G208" s="20"/>
      <c r="H208" s="42">
        <v>203</v>
      </c>
      <c r="I208" s="43" t="str">
        <f t="shared" si="21"/>
        <v/>
      </c>
      <c r="J208" s="42">
        <f t="shared" si="26"/>
        <v>-5</v>
      </c>
      <c r="K208" s="42">
        <f t="shared" si="22"/>
        <v>-50</v>
      </c>
      <c r="L208" s="42"/>
      <c r="M208" s="44">
        <f t="shared" si="23"/>
        <v>0</v>
      </c>
      <c r="N208" s="44">
        <f t="shared" si="24"/>
        <v>0</v>
      </c>
    </row>
    <row r="209" spans="1:14">
      <c r="A209" s="63">
        <f t="shared" si="25"/>
        <v>0</v>
      </c>
      <c r="G209" s="20"/>
      <c r="H209" s="42">
        <v>204</v>
      </c>
      <c r="I209" s="43" t="str">
        <f t="shared" si="21"/>
        <v/>
      </c>
      <c r="J209" s="42">
        <f t="shared" si="26"/>
        <v>-5</v>
      </c>
      <c r="K209" s="42">
        <f t="shared" si="22"/>
        <v>-50</v>
      </c>
      <c r="L209" s="42"/>
      <c r="M209" s="44">
        <f t="shared" si="23"/>
        <v>0</v>
      </c>
      <c r="N209" s="44">
        <f t="shared" si="24"/>
        <v>0</v>
      </c>
    </row>
    <row r="210" spans="1:14">
      <c r="A210" s="63">
        <f t="shared" si="25"/>
        <v>0</v>
      </c>
      <c r="G210" s="20"/>
      <c r="H210" s="42">
        <v>205</v>
      </c>
      <c r="I210" s="43" t="str">
        <f t="shared" si="21"/>
        <v/>
      </c>
      <c r="J210" s="42">
        <f t="shared" si="26"/>
        <v>-5</v>
      </c>
      <c r="K210" s="42">
        <f t="shared" si="22"/>
        <v>-50</v>
      </c>
      <c r="L210" s="42"/>
      <c r="M210" s="44">
        <f t="shared" si="23"/>
        <v>0</v>
      </c>
      <c r="N210" s="44">
        <f t="shared" si="24"/>
        <v>0</v>
      </c>
    </row>
    <row r="211" spans="1:14">
      <c r="A211" s="63">
        <f t="shared" si="25"/>
        <v>0</v>
      </c>
      <c r="G211" s="20"/>
      <c r="H211" s="42">
        <v>206</v>
      </c>
      <c r="I211" s="43" t="str">
        <f t="shared" si="21"/>
        <v/>
      </c>
      <c r="J211" s="42">
        <f t="shared" si="26"/>
        <v>-5</v>
      </c>
      <c r="K211" s="42">
        <f t="shared" si="22"/>
        <v>-50</v>
      </c>
      <c r="L211" s="42"/>
      <c r="M211" s="44">
        <f t="shared" si="23"/>
        <v>0</v>
      </c>
      <c r="N211" s="44">
        <f t="shared" si="24"/>
        <v>0</v>
      </c>
    </row>
    <row r="212" spans="1:14">
      <c r="A212" s="63">
        <f t="shared" si="25"/>
        <v>0</v>
      </c>
      <c r="G212" s="20"/>
      <c r="H212" s="42">
        <v>207</v>
      </c>
      <c r="I212" s="43" t="str">
        <f t="shared" si="21"/>
        <v/>
      </c>
      <c r="J212" s="42">
        <f t="shared" si="26"/>
        <v>-5</v>
      </c>
      <c r="K212" s="42">
        <f t="shared" si="22"/>
        <v>-50</v>
      </c>
      <c r="L212" s="42"/>
      <c r="M212" s="44">
        <f t="shared" si="23"/>
        <v>0</v>
      </c>
      <c r="N212" s="44">
        <f t="shared" si="24"/>
        <v>0</v>
      </c>
    </row>
    <row r="213" spans="1:14">
      <c r="A213" s="63">
        <f t="shared" si="25"/>
        <v>0</v>
      </c>
      <c r="G213" s="20"/>
      <c r="H213" s="42">
        <v>208</v>
      </c>
      <c r="I213" s="43" t="str">
        <f t="shared" si="21"/>
        <v/>
      </c>
      <c r="J213" s="42">
        <f t="shared" si="26"/>
        <v>-5</v>
      </c>
      <c r="K213" s="42">
        <f t="shared" si="22"/>
        <v>-50</v>
      </c>
      <c r="L213" s="42"/>
      <c r="M213" s="44">
        <f t="shared" si="23"/>
        <v>0</v>
      </c>
      <c r="N213" s="44">
        <f t="shared" si="24"/>
        <v>0</v>
      </c>
    </row>
    <row r="214" spans="1:14">
      <c r="A214" s="63">
        <f t="shared" si="25"/>
        <v>0</v>
      </c>
      <c r="G214" s="20"/>
      <c r="H214" s="42">
        <v>209</v>
      </c>
      <c r="I214" s="43" t="str">
        <f t="shared" si="21"/>
        <v/>
      </c>
      <c r="J214" s="42">
        <f t="shared" si="26"/>
        <v>-5</v>
      </c>
      <c r="K214" s="42">
        <f t="shared" si="22"/>
        <v>-50</v>
      </c>
      <c r="L214" s="42"/>
      <c r="M214" s="44">
        <f t="shared" si="23"/>
        <v>0</v>
      </c>
      <c r="N214" s="44">
        <f t="shared" si="24"/>
        <v>0</v>
      </c>
    </row>
    <row r="215" spans="1:14">
      <c r="A215" s="63">
        <f t="shared" si="25"/>
        <v>0</v>
      </c>
      <c r="G215" s="20"/>
      <c r="H215" s="42">
        <v>210</v>
      </c>
      <c r="I215" s="43" t="str">
        <f t="shared" si="21"/>
        <v/>
      </c>
      <c r="J215" s="42">
        <f t="shared" si="26"/>
        <v>-5</v>
      </c>
      <c r="K215" s="42">
        <f t="shared" si="22"/>
        <v>-50</v>
      </c>
      <c r="L215" s="42"/>
      <c r="M215" s="44">
        <f t="shared" si="23"/>
        <v>0</v>
      </c>
      <c r="N215" s="44">
        <f t="shared" si="24"/>
        <v>0</v>
      </c>
    </row>
    <row r="216" spans="1:14">
      <c r="A216" s="63">
        <f t="shared" si="25"/>
        <v>0</v>
      </c>
      <c r="G216" s="20"/>
      <c r="H216" s="42">
        <v>211</v>
      </c>
      <c r="I216" s="43" t="str">
        <f t="shared" si="21"/>
        <v/>
      </c>
      <c r="J216" s="42">
        <f t="shared" si="26"/>
        <v>-5</v>
      </c>
      <c r="K216" s="42">
        <f t="shared" si="22"/>
        <v>-50</v>
      </c>
      <c r="L216" s="42"/>
      <c r="M216" s="44">
        <f t="shared" si="23"/>
        <v>0</v>
      </c>
      <c r="N216" s="44">
        <f t="shared" si="24"/>
        <v>0</v>
      </c>
    </row>
    <row r="217" spans="1:14">
      <c r="A217" s="63">
        <f t="shared" si="25"/>
        <v>0</v>
      </c>
      <c r="G217" s="20"/>
      <c r="H217" s="42">
        <v>212</v>
      </c>
      <c r="I217" s="43" t="str">
        <f t="shared" si="21"/>
        <v/>
      </c>
      <c r="J217" s="42">
        <f t="shared" si="26"/>
        <v>-5</v>
      </c>
      <c r="K217" s="42">
        <f t="shared" si="22"/>
        <v>-50</v>
      </c>
      <c r="L217" s="42"/>
      <c r="M217" s="44">
        <f t="shared" si="23"/>
        <v>0</v>
      </c>
      <c r="N217" s="44">
        <f t="shared" si="24"/>
        <v>0</v>
      </c>
    </row>
    <row r="218" spans="1:14">
      <c r="A218" s="63">
        <f t="shared" si="25"/>
        <v>0</v>
      </c>
      <c r="G218" s="20"/>
      <c r="H218" s="42">
        <v>213</v>
      </c>
      <c r="I218" s="43" t="str">
        <f t="shared" si="21"/>
        <v/>
      </c>
      <c r="J218" s="42">
        <f t="shared" si="26"/>
        <v>-5</v>
      </c>
      <c r="K218" s="42">
        <f t="shared" si="22"/>
        <v>-50</v>
      </c>
      <c r="L218" s="42"/>
      <c r="M218" s="44">
        <f t="shared" si="23"/>
        <v>0</v>
      </c>
      <c r="N218" s="44">
        <f t="shared" si="24"/>
        <v>0</v>
      </c>
    </row>
    <row r="219" spans="1:14">
      <c r="A219" s="63">
        <f t="shared" si="25"/>
        <v>0</v>
      </c>
      <c r="G219" s="20"/>
      <c r="H219" s="42">
        <v>214</v>
      </c>
      <c r="I219" s="43" t="str">
        <f t="shared" si="21"/>
        <v/>
      </c>
      <c r="J219" s="42">
        <f t="shared" si="26"/>
        <v>-5</v>
      </c>
      <c r="K219" s="42">
        <f t="shared" si="22"/>
        <v>-50</v>
      </c>
      <c r="L219" s="42"/>
      <c r="M219" s="44">
        <f t="shared" si="23"/>
        <v>0</v>
      </c>
      <c r="N219" s="44">
        <f t="shared" si="24"/>
        <v>0</v>
      </c>
    </row>
    <row r="220" spans="1:14">
      <c r="A220" s="63">
        <f t="shared" si="25"/>
        <v>0</v>
      </c>
      <c r="G220" s="20"/>
      <c r="H220" s="42">
        <v>215</v>
      </c>
      <c r="I220" s="43" t="str">
        <f t="shared" si="21"/>
        <v/>
      </c>
      <c r="J220" s="42">
        <f t="shared" si="26"/>
        <v>-5</v>
      </c>
      <c r="K220" s="42">
        <f t="shared" si="22"/>
        <v>-50</v>
      </c>
      <c r="L220" s="42"/>
      <c r="M220" s="44">
        <f t="shared" si="23"/>
        <v>0</v>
      </c>
      <c r="N220" s="44">
        <f t="shared" si="24"/>
        <v>0</v>
      </c>
    </row>
    <row r="221" spans="1:14">
      <c r="A221" s="63">
        <f t="shared" si="25"/>
        <v>0</v>
      </c>
      <c r="G221" s="20"/>
      <c r="H221" s="42">
        <v>216</v>
      </c>
      <c r="I221" s="43" t="str">
        <f t="shared" si="21"/>
        <v/>
      </c>
      <c r="J221" s="42">
        <f t="shared" si="26"/>
        <v>-5</v>
      </c>
      <c r="K221" s="42">
        <f t="shared" si="22"/>
        <v>-50</v>
      </c>
      <c r="L221" s="42"/>
      <c r="M221" s="44">
        <f t="shared" si="23"/>
        <v>0</v>
      </c>
      <c r="N221" s="44">
        <f t="shared" si="24"/>
        <v>0</v>
      </c>
    </row>
    <row r="222" spans="1:14">
      <c r="A222" s="63">
        <f t="shared" si="25"/>
        <v>0</v>
      </c>
      <c r="G222" s="20"/>
      <c r="H222" s="42">
        <v>217</v>
      </c>
      <c r="I222" s="43" t="str">
        <f t="shared" si="21"/>
        <v/>
      </c>
      <c r="J222" s="42">
        <f t="shared" si="26"/>
        <v>-5</v>
      </c>
      <c r="K222" s="42">
        <f t="shared" si="22"/>
        <v>-50</v>
      </c>
      <c r="L222" s="42"/>
      <c r="M222" s="44">
        <f t="shared" si="23"/>
        <v>0</v>
      </c>
      <c r="N222" s="44">
        <f t="shared" si="24"/>
        <v>0</v>
      </c>
    </row>
    <row r="223" spans="1:14">
      <c r="A223" s="63">
        <f t="shared" si="25"/>
        <v>0</v>
      </c>
      <c r="G223" s="20"/>
      <c r="H223" s="42">
        <v>218</v>
      </c>
      <c r="I223" s="43" t="str">
        <f t="shared" si="21"/>
        <v/>
      </c>
      <c r="J223" s="42">
        <f t="shared" si="26"/>
        <v>-5</v>
      </c>
      <c r="K223" s="42">
        <f t="shared" si="22"/>
        <v>-50</v>
      </c>
      <c r="L223" s="42"/>
      <c r="M223" s="44">
        <f t="shared" si="23"/>
        <v>0</v>
      </c>
      <c r="N223" s="44">
        <f t="shared" si="24"/>
        <v>0</v>
      </c>
    </row>
    <row r="224" spans="1:14">
      <c r="A224" s="63">
        <f t="shared" si="25"/>
        <v>0</v>
      </c>
      <c r="G224" s="20"/>
      <c r="H224" s="42">
        <v>219</v>
      </c>
      <c r="I224" s="43" t="str">
        <f t="shared" si="21"/>
        <v/>
      </c>
      <c r="J224" s="42">
        <f t="shared" si="26"/>
        <v>-5</v>
      </c>
      <c r="K224" s="42">
        <f t="shared" si="22"/>
        <v>-50</v>
      </c>
      <c r="L224" s="42"/>
      <c r="M224" s="44">
        <f t="shared" si="23"/>
        <v>0</v>
      </c>
      <c r="N224" s="44">
        <f t="shared" si="24"/>
        <v>0</v>
      </c>
    </row>
    <row r="225" spans="1:14">
      <c r="A225" s="63">
        <f t="shared" si="25"/>
        <v>0</v>
      </c>
      <c r="G225" s="20"/>
      <c r="H225" s="42">
        <v>220</v>
      </c>
      <c r="I225" s="43" t="str">
        <f t="shared" si="21"/>
        <v/>
      </c>
      <c r="J225" s="42">
        <f t="shared" si="26"/>
        <v>-5</v>
      </c>
      <c r="K225" s="42">
        <f t="shared" si="22"/>
        <v>-50</v>
      </c>
      <c r="L225" s="42"/>
      <c r="M225" s="44">
        <f t="shared" si="23"/>
        <v>0</v>
      </c>
      <c r="N225" s="44">
        <f t="shared" si="24"/>
        <v>0</v>
      </c>
    </row>
    <row r="226" spans="1:14">
      <c r="A226" s="63">
        <f t="shared" si="25"/>
        <v>0</v>
      </c>
      <c r="G226" s="20"/>
      <c r="H226" s="42">
        <v>221</v>
      </c>
      <c r="I226" s="43" t="str">
        <f t="shared" si="21"/>
        <v/>
      </c>
      <c r="J226" s="42">
        <f t="shared" si="26"/>
        <v>-5</v>
      </c>
      <c r="K226" s="42">
        <f t="shared" si="22"/>
        <v>-50</v>
      </c>
      <c r="L226" s="42"/>
      <c r="M226" s="44">
        <f t="shared" si="23"/>
        <v>0</v>
      </c>
      <c r="N226" s="44">
        <f t="shared" si="24"/>
        <v>0</v>
      </c>
    </row>
    <row r="227" spans="1:14">
      <c r="A227" s="63">
        <f t="shared" si="25"/>
        <v>0</v>
      </c>
      <c r="G227" s="20"/>
      <c r="H227" s="42">
        <v>222</v>
      </c>
      <c r="I227" s="43" t="str">
        <f t="shared" si="21"/>
        <v/>
      </c>
      <c r="J227" s="42">
        <f t="shared" si="26"/>
        <v>-5</v>
      </c>
      <c r="K227" s="42">
        <f t="shared" si="22"/>
        <v>-50</v>
      </c>
      <c r="L227" s="42"/>
      <c r="M227" s="44">
        <f t="shared" si="23"/>
        <v>0</v>
      </c>
      <c r="N227" s="44">
        <f t="shared" si="24"/>
        <v>0</v>
      </c>
    </row>
    <row r="228" spans="1:14">
      <c r="A228" s="63">
        <f t="shared" si="25"/>
        <v>0</v>
      </c>
      <c r="G228" s="20"/>
      <c r="H228" s="42">
        <v>223</v>
      </c>
      <c r="I228" s="43" t="str">
        <f t="shared" si="21"/>
        <v/>
      </c>
      <c r="J228" s="42">
        <f t="shared" si="26"/>
        <v>-5</v>
      </c>
      <c r="K228" s="42">
        <f t="shared" si="22"/>
        <v>-50</v>
      </c>
      <c r="L228" s="42"/>
      <c r="M228" s="44">
        <f t="shared" si="23"/>
        <v>0</v>
      </c>
      <c r="N228" s="44">
        <f t="shared" si="24"/>
        <v>0</v>
      </c>
    </row>
    <row r="229" spans="1:14">
      <c r="A229" s="63">
        <f t="shared" si="25"/>
        <v>0</v>
      </c>
      <c r="G229" s="20"/>
      <c r="H229" s="42">
        <v>224</v>
      </c>
      <c r="I229" s="43" t="str">
        <f t="shared" si="21"/>
        <v/>
      </c>
      <c r="J229" s="42">
        <f t="shared" si="26"/>
        <v>-5</v>
      </c>
      <c r="K229" s="42">
        <f t="shared" si="22"/>
        <v>-50</v>
      </c>
      <c r="L229" s="42"/>
      <c r="M229" s="44">
        <f t="shared" si="23"/>
        <v>0</v>
      </c>
      <c r="N229" s="44">
        <f t="shared" si="24"/>
        <v>0</v>
      </c>
    </row>
    <row r="230" spans="1:14">
      <c r="A230" s="63">
        <f t="shared" si="25"/>
        <v>0</v>
      </c>
      <c r="G230" s="20"/>
      <c r="H230" s="42">
        <v>225</v>
      </c>
      <c r="I230" s="43" t="str">
        <f t="shared" si="21"/>
        <v/>
      </c>
      <c r="J230" s="42">
        <f t="shared" si="26"/>
        <v>-5</v>
      </c>
      <c r="K230" s="42">
        <f t="shared" si="22"/>
        <v>-50</v>
      </c>
      <c r="L230" s="42"/>
      <c r="M230" s="44">
        <f t="shared" si="23"/>
        <v>0</v>
      </c>
      <c r="N230" s="44">
        <f t="shared" si="24"/>
        <v>0</v>
      </c>
    </row>
    <row r="231" spans="1:14">
      <c r="A231" s="63">
        <f t="shared" si="25"/>
        <v>0</v>
      </c>
      <c r="G231" s="20"/>
      <c r="H231" s="42">
        <v>226</v>
      </c>
      <c r="I231" s="43" t="str">
        <f t="shared" si="21"/>
        <v/>
      </c>
      <c r="J231" s="42">
        <f t="shared" si="26"/>
        <v>-5</v>
      </c>
      <c r="K231" s="42">
        <f t="shared" si="22"/>
        <v>-50</v>
      </c>
      <c r="L231" s="42"/>
      <c r="M231" s="44">
        <f t="shared" si="23"/>
        <v>0</v>
      </c>
      <c r="N231" s="44">
        <f t="shared" si="24"/>
        <v>0</v>
      </c>
    </row>
    <row r="232" spans="1:14">
      <c r="A232" s="63">
        <f t="shared" si="25"/>
        <v>0</v>
      </c>
      <c r="G232" s="20"/>
      <c r="H232" s="42">
        <v>227</v>
      </c>
      <c r="I232" s="43" t="str">
        <f t="shared" si="21"/>
        <v/>
      </c>
      <c r="J232" s="42">
        <f t="shared" si="26"/>
        <v>-5</v>
      </c>
      <c r="K232" s="42">
        <f t="shared" si="22"/>
        <v>-50</v>
      </c>
      <c r="L232" s="42"/>
      <c r="M232" s="44">
        <f t="shared" si="23"/>
        <v>0</v>
      </c>
      <c r="N232" s="44">
        <f t="shared" si="24"/>
        <v>0</v>
      </c>
    </row>
    <row r="233" spans="1:14">
      <c r="A233" s="63">
        <f t="shared" si="25"/>
        <v>0</v>
      </c>
      <c r="G233" s="20"/>
      <c r="H233" s="42">
        <v>228</v>
      </c>
      <c r="I233" s="43" t="str">
        <f t="shared" si="21"/>
        <v/>
      </c>
      <c r="J233" s="42">
        <f t="shared" si="26"/>
        <v>-5</v>
      </c>
      <c r="K233" s="42">
        <f t="shared" si="22"/>
        <v>-50</v>
      </c>
      <c r="L233" s="42"/>
      <c r="M233" s="44">
        <f t="shared" si="23"/>
        <v>0</v>
      </c>
      <c r="N233" s="44">
        <f t="shared" si="24"/>
        <v>0</v>
      </c>
    </row>
    <row r="234" spans="1:14">
      <c r="A234" s="63">
        <f t="shared" si="25"/>
        <v>0</v>
      </c>
      <c r="G234" s="20"/>
      <c r="H234" s="42">
        <v>229</v>
      </c>
      <c r="I234" s="43" t="str">
        <f t="shared" si="21"/>
        <v/>
      </c>
      <c r="J234" s="42">
        <f t="shared" si="26"/>
        <v>-5</v>
      </c>
      <c r="K234" s="42">
        <f t="shared" si="22"/>
        <v>-50</v>
      </c>
      <c r="L234" s="42"/>
      <c r="M234" s="44">
        <f t="shared" si="23"/>
        <v>0</v>
      </c>
      <c r="N234" s="44">
        <f t="shared" si="24"/>
        <v>0</v>
      </c>
    </row>
    <row r="235" spans="1:14">
      <c r="A235" s="63">
        <f t="shared" si="25"/>
        <v>0</v>
      </c>
      <c r="G235" s="20"/>
      <c r="H235" s="42">
        <v>230</v>
      </c>
      <c r="I235" s="43" t="str">
        <f t="shared" si="21"/>
        <v/>
      </c>
      <c r="J235" s="42">
        <f t="shared" si="26"/>
        <v>-5</v>
      </c>
      <c r="K235" s="42">
        <f t="shared" si="22"/>
        <v>-50</v>
      </c>
      <c r="L235" s="42"/>
      <c r="M235" s="44">
        <f t="shared" si="23"/>
        <v>0</v>
      </c>
      <c r="N235" s="44">
        <f t="shared" si="24"/>
        <v>0</v>
      </c>
    </row>
    <row r="236" spans="1:14">
      <c r="A236" s="63">
        <f t="shared" si="25"/>
        <v>0</v>
      </c>
      <c r="G236" s="20"/>
      <c r="H236" s="42">
        <v>231</v>
      </c>
      <c r="I236" s="43" t="str">
        <f t="shared" si="21"/>
        <v/>
      </c>
      <c r="J236" s="42">
        <f t="shared" si="26"/>
        <v>-5</v>
      </c>
      <c r="K236" s="42">
        <f t="shared" si="22"/>
        <v>-50</v>
      </c>
      <c r="L236" s="42"/>
      <c r="M236" s="44">
        <f t="shared" si="23"/>
        <v>0</v>
      </c>
      <c r="N236" s="44">
        <f t="shared" si="24"/>
        <v>0</v>
      </c>
    </row>
    <row r="237" spans="1:14">
      <c r="A237" s="63">
        <f t="shared" si="25"/>
        <v>0</v>
      </c>
      <c r="G237" s="20"/>
      <c r="H237" s="42">
        <v>232</v>
      </c>
      <c r="I237" s="43" t="str">
        <f t="shared" si="21"/>
        <v/>
      </c>
      <c r="J237" s="42">
        <f t="shared" si="26"/>
        <v>-5</v>
      </c>
      <c r="K237" s="42">
        <f t="shared" si="22"/>
        <v>-50</v>
      </c>
      <c r="L237" s="42"/>
      <c r="M237" s="44">
        <f t="shared" si="23"/>
        <v>0</v>
      </c>
      <c r="N237" s="44">
        <f t="shared" si="24"/>
        <v>0</v>
      </c>
    </row>
    <row r="238" spans="1:14">
      <c r="A238" s="63">
        <f t="shared" si="25"/>
        <v>0</v>
      </c>
      <c r="G238" s="20"/>
      <c r="H238" s="42">
        <v>233</v>
      </c>
      <c r="I238" s="43" t="str">
        <f t="shared" si="21"/>
        <v/>
      </c>
      <c r="J238" s="42">
        <f t="shared" si="26"/>
        <v>-5</v>
      </c>
      <c r="K238" s="42">
        <f t="shared" si="22"/>
        <v>-50</v>
      </c>
      <c r="L238" s="42"/>
      <c r="M238" s="44">
        <f t="shared" si="23"/>
        <v>0</v>
      </c>
      <c r="N238" s="44">
        <f t="shared" si="24"/>
        <v>0</v>
      </c>
    </row>
    <row r="239" spans="1:14">
      <c r="A239" s="63">
        <f t="shared" si="25"/>
        <v>0</v>
      </c>
      <c r="G239" s="20"/>
      <c r="H239" s="42">
        <v>234</v>
      </c>
      <c r="I239" s="43" t="str">
        <f t="shared" si="21"/>
        <v/>
      </c>
      <c r="J239" s="42">
        <f t="shared" si="26"/>
        <v>-5</v>
      </c>
      <c r="K239" s="42">
        <f t="shared" si="22"/>
        <v>-50</v>
      </c>
      <c r="L239" s="42"/>
      <c r="M239" s="44">
        <f t="shared" si="23"/>
        <v>0</v>
      </c>
      <c r="N239" s="44">
        <f t="shared" si="24"/>
        <v>0</v>
      </c>
    </row>
    <row r="240" spans="1:14">
      <c r="A240" s="63">
        <f t="shared" si="25"/>
        <v>0</v>
      </c>
      <c r="G240" s="20"/>
      <c r="H240" s="42">
        <v>235</v>
      </c>
      <c r="I240" s="43" t="str">
        <f t="shared" si="21"/>
        <v/>
      </c>
      <c r="J240" s="42">
        <f t="shared" si="26"/>
        <v>-5</v>
      </c>
      <c r="K240" s="42">
        <f t="shared" si="22"/>
        <v>-50</v>
      </c>
      <c r="L240" s="42"/>
      <c r="M240" s="44">
        <f t="shared" si="23"/>
        <v>0</v>
      </c>
      <c r="N240" s="44">
        <f t="shared" si="24"/>
        <v>0</v>
      </c>
    </row>
    <row r="241" spans="1:14">
      <c r="A241" s="63">
        <f t="shared" si="25"/>
        <v>0</v>
      </c>
      <c r="G241" s="20"/>
      <c r="H241" s="42">
        <v>236</v>
      </c>
      <c r="I241" s="43" t="str">
        <f t="shared" si="21"/>
        <v/>
      </c>
      <c r="J241" s="42">
        <f t="shared" si="26"/>
        <v>-5</v>
      </c>
      <c r="K241" s="42">
        <f t="shared" si="22"/>
        <v>-50</v>
      </c>
      <c r="L241" s="42"/>
      <c r="M241" s="44">
        <f t="shared" si="23"/>
        <v>0</v>
      </c>
      <c r="N241" s="44">
        <f t="shared" si="24"/>
        <v>0</v>
      </c>
    </row>
    <row r="242" spans="1:14">
      <c r="A242" s="63">
        <f t="shared" si="25"/>
        <v>0</v>
      </c>
      <c r="G242" s="20"/>
      <c r="H242" s="42">
        <v>237</v>
      </c>
      <c r="I242" s="43" t="str">
        <f t="shared" si="21"/>
        <v/>
      </c>
      <c r="J242" s="42">
        <f t="shared" si="26"/>
        <v>-5</v>
      </c>
      <c r="K242" s="42">
        <f t="shared" si="22"/>
        <v>-50</v>
      </c>
      <c r="L242" s="42"/>
      <c r="M242" s="44">
        <f t="shared" si="23"/>
        <v>0</v>
      </c>
      <c r="N242" s="44">
        <f t="shared" si="24"/>
        <v>0</v>
      </c>
    </row>
    <row r="243" spans="1:14">
      <c r="A243" s="63">
        <f t="shared" si="25"/>
        <v>0</v>
      </c>
      <c r="G243" s="20"/>
      <c r="H243" s="42">
        <v>238</v>
      </c>
      <c r="I243" s="43" t="str">
        <f t="shared" si="21"/>
        <v/>
      </c>
      <c r="J243" s="42">
        <f t="shared" si="26"/>
        <v>-5</v>
      </c>
      <c r="K243" s="42">
        <f t="shared" si="22"/>
        <v>-50</v>
      </c>
      <c r="L243" s="42"/>
      <c r="M243" s="44">
        <f t="shared" si="23"/>
        <v>0</v>
      </c>
      <c r="N243" s="44">
        <f t="shared" si="24"/>
        <v>0</v>
      </c>
    </row>
    <row r="244" spans="1:14">
      <c r="A244" s="63">
        <f t="shared" si="25"/>
        <v>0</v>
      </c>
      <c r="G244" s="20"/>
      <c r="H244" s="42">
        <v>239</v>
      </c>
      <c r="I244" s="43" t="str">
        <f t="shared" si="21"/>
        <v/>
      </c>
      <c r="J244" s="42">
        <f t="shared" si="26"/>
        <v>-5</v>
      </c>
      <c r="K244" s="42">
        <f t="shared" si="22"/>
        <v>-50</v>
      </c>
      <c r="L244" s="42"/>
      <c r="M244" s="44">
        <f t="shared" si="23"/>
        <v>0</v>
      </c>
      <c r="N244" s="44">
        <f t="shared" si="24"/>
        <v>0</v>
      </c>
    </row>
    <row r="245" spans="1:14">
      <c r="A245" s="63">
        <f t="shared" si="25"/>
        <v>0</v>
      </c>
      <c r="G245" s="20"/>
      <c r="H245" s="42">
        <v>240</v>
      </c>
      <c r="I245" s="43" t="str">
        <f t="shared" si="21"/>
        <v/>
      </c>
      <c r="J245" s="42">
        <f t="shared" si="26"/>
        <v>-5</v>
      </c>
      <c r="K245" s="42">
        <f t="shared" si="22"/>
        <v>-50</v>
      </c>
      <c r="L245" s="42"/>
      <c r="M245" s="44">
        <f t="shared" si="23"/>
        <v>0</v>
      </c>
      <c r="N245" s="44">
        <f t="shared" si="24"/>
        <v>0</v>
      </c>
    </row>
    <row r="246" spans="1:14">
      <c r="A246" s="63">
        <f t="shared" si="25"/>
        <v>0</v>
      </c>
      <c r="G246" s="20"/>
      <c r="H246" s="42">
        <v>241</v>
      </c>
      <c r="I246" s="43" t="str">
        <f t="shared" si="21"/>
        <v/>
      </c>
      <c r="J246" s="42">
        <f t="shared" si="26"/>
        <v>-5</v>
      </c>
      <c r="K246" s="42">
        <f t="shared" si="22"/>
        <v>-50</v>
      </c>
      <c r="L246" s="42"/>
      <c r="M246" s="44">
        <f t="shared" si="23"/>
        <v>0</v>
      </c>
      <c r="N246" s="44">
        <f t="shared" si="24"/>
        <v>0</v>
      </c>
    </row>
    <row r="247" spans="1:14">
      <c r="A247" s="63">
        <f t="shared" si="25"/>
        <v>0</v>
      </c>
      <c r="G247" s="20"/>
      <c r="H247" s="42">
        <v>242</v>
      </c>
      <c r="I247" s="43" t="str">
        <f t="shared" si="21"/>
        <v/>
      </c>
      <c r="J247" s="42">
        <f t="shared" si="26"/>
        <v>-5</v>
      </c>
      <c r="K247" s="42">
        <f t="shared" si="22"/>
        <v>-50</v>
      </c>
      <c r="L247" s="42"/>
      <c r="M247" s="44">
        <f t="shared" si="23"/>
        <v>0</v>
      </c>
      <c r="N247" s="44">
        <f t="shared" si="24"/>
        <v>0</v>
      </c>
    </row>
    <row r="248" spans="1:14">
      <c r="A248" s="63">
        <f t="shared" si="25"/>
        <v>0</v>
      </c>
      <c r="G248" s="20"/>
      <c r="H248" s="42">
        <v>243</v>
      </c>
      <c r="I248" s="43" t="str">
        <f t="shared" si="21"/>
        <v/>
      </c>
      <c r="J248" s="42">
        <f t="shared" si="26"/>
        <v>-5</v>
      </c>
      <c r="K248" s="42">
        <f t="shared" si="22"/>
        <v>-50</v>
      </c>
      <c r="L248" s="42"/>
      <c r="M248" s="44">
        <f t="shared" si="23"/>
        <v>0</v>
      </c>
      <c r="N248" s="44">
        <f t="shared" si="24"/>
        <v>0</v>
      </c>
    </row>
    <row r="249" spans="1:14">
      <c r="A249" s="63">
        <f t="shared" si="25"/>
        <v>0</v>
      </c>
      <c r="G249" s="20"/>
      <c r="H249" s="42">
        <v>244</v>
      </c>
      <c r="I249" s="43" t="str">
        <f t="shared" si="21"/>
        <v/>
      </c>
      <c r="J249" s="42">
        <f t="shared" si="26"/>
        <v>-5</v>
      </c>
      <c r="K249" s="42">
        <f t="shared" si="22"/>
        <v>-50</v>
      </c>
      <c r="L249" s="42"/>
      <c r="M249" s="44">
        <f t="shared" si="23"/>
        <v>0</v>
      </c>
      <c r="N249" s="44">
        <f t="shared" si="24"/>
        <v>0</v>
      </c>
    </row>
    <row r="250" spans="1:14">
      <c r="A250" s="63">
        <f t="shared" si="25"/>
        <v>0</v>
      </c>
      <c r="G250" s="20"/>
      <c r="H250" s="42">
        <v>245</v>
      </c>
      <c r="I250" s="43" t="str">
        <f t="shared" si="21"/>
        <v/>
      </c>
      <c r="J250" s="42">
        <f t="shared" si="26"/>
        <v>-5</v>
      </c>
      <c r="K250" s="42">
        <f t="shared" si="22"/>
        <v>-50</v>
      </c>
      <c r="L250" s="42"/>
      <c r="M250" s="44">
        <f t="shared" si="23"/>
        <v>0</v>
      </c>
      <c r="N250" s="44">
        <f t="shared" si="24"/>
        <v>0</v>
      </c>
    </row>
    <row r="251" spans="1:14">
      <c r="A251" s="63">
        <f t="shared" si="25"/>
        <v>0</v>
      </c>
      <c r="G251" s="20"/>
      <c r="H251" s="42">
        <v>246</v>
      </c>
      <c r="I251" s="43" t="str">
        <f t="shared" si="21"/>
        <v/>
      </c>
      <c r="J251" s="42">
        <f t="shared" si="26"/>
        <v>-5</v>
      </c>
      <c r="K251" s="42">
        <f t="shared" si="22"/>
        <v>-50</v>
      </c>
      <c r="L251" s="42"/>
      <c r="M251" s="44">
        <f t="shared" si="23"/>
        <v>0</v>
      </c>
      <c r="N251" s="44">
        <f t="shared" si="24"/>
        <v>0</v>
      </c>
    </row>
    <row r="252" spans="1:14">
      <c r="A252" s="63">
        <f t="shared" si="25"/>
        <v>0</v>
      </c>
      <c r="G252" s="20"/>
      <c r="H252" s="42">
        <v>247</v>
      </c>
      <c r="I252" s="43" t="str">
        <f t="shared" si="21"/>
        <v/>
      </c>
      <c r="J252" s="42">
        <f t="shared" si="26"/>
        <v>-5</v>
      </c>
      <c r="K252" s="42">
        <f t="shared" si="22"/>
        <v>-50</v>
      </c>
      <c r="L252" s="42"/>
      <c r="M252" s="44">
        <f t="shared" si="23"/>
        <v>0</v>
      </c>
      <c r="N252" s="44">
        <f t="shared" si="24"/>
        <v>0</v>
      </c>
    </row>
    <row r="253" spans="1:14">
      <c r="A253" s="63">
        <f t="shared" si="25"/>
        <v>0</v>
      </c>
      <c r="G253" s="20"/>
      <c r="H253" s="42">
        <v>248</v>
      </c>
      <c r="I253" s="43" t="str">
        <f t="shared" si="21"/>
        <v/>
      </c>
      <c r="J253" s="42">
        <f t="shared" si="26"/>
        <v>-5</v>
      </c>
      <c r="K253" s="42">
        <f t="shared" si="22"/>
        <v>-50</v>
      </c>
      <c r="L253" s="42"/>
      <c r="M253" s="44">
        <f t="shared" si="23"/>
        <v>0</v>
      </c>
      <c r="N253" s="44">
        <f t="shared" si="24"/>
        <v>0</v>
      </c>
    </row>
    <row r="254" spans="1:14">
      <c r="A254" s="63">
        <f t="shared" si="25"/>
        <v>0</v>
      </c>
      <c r="G254" s="20"/>
      <c r="H254" s="42">
        <v>249</v>
      </c>
      <c r="I254" s="43" t="str">
        <f t="shared" si="21"/>
        <v/>
      </c>
      <c r="J254" s="42">
        <f t="shared" si="26"/>
        <v>-5</v>
      </c>
      <c r="K254" s="42">
        <f t="shared" si="22"/>
        <v>-50</v>
      </c>
      <c r="L254" s="42"/>
      <c r="M254" s="44">
        <f t="shared" si="23"/>
        <v>0</v>
      </c>
      <c r="N254" s="44">
        <f t="shared" si="24"/>
        <v>0</v>
      </c>
    </row>
    <row r="255" spans="1:14">
      <c r="A255" s="63">
        <f t="shared" si="25"/>
        <v>0</v>
      </c>
      <c r="G255" s="20"/>
      <c r="H255" s="42">
        <v>250</v>
      </c>
      <c r="I255" s="43" t="str">
        <f t="shared" si="21"/>
        <v/>
      </c>
      <c r="J255" s="42">
        <f t="shared" si="26"/>
        <v>-5</v>
      </c>
      <c r="K255" s="42">
        <f t="shared" si="22"/>
        <v>-50</v>
      </c>
      <c r="L255" s="42"/>
      <c r="M255" s="44">
        <f t="shared" si="23"/>
        <v>0</v>
      </c>
      <c r="N255" s="44">
        <f t="shared" si="24"/>
        <v>0</v>
      </c>
    </row>
    <row r="256" spans="1:14">
      <c r="A256" s="63">
        <f t="shared" si="25"/>
        <v>0</v>
      </c>
      <c r="G256" s="20"/>
      <c r="H256" s="42">
        <v>251</v>
      </c>
      <c r="I256" s="43" t="str">
        <f t="shared" si="21"/>
        <v/>
      </c>
      <c r="J256" s="42">
        <f t="shared" si="26"/>
        <v>-5</v>
      </c>
      <c r="K256" s="42">
        <f t="shared" si="22"/>
        <v>-50</v>
      </c>
      <c r="L256" s="42"/>
      <c r="M256" s="44">
        <f t="shared" si="23"/>
        <v>0</v>
      </c>
      <c r="N256" s="44">
        <f t="shared" si="24"/>
        <v>0</v>
      </c>
    </row>
    <row r="257" spans="1:14">
      <c r="A257" s="63">
        <f t="shared" si="25"/>
        <v>0</v>
      </c>
      <c r="G257" s="20"/>
      <c r="H257" s="42">
        <v>252</v>
      </c>
      <c r="I257" s="43" t="str">
        <f t="shared" si="21"/>
        <v/>
      </c>
      <c r="J257" s="42">
        <f t="shared" si="26"/>
        <v>-5</v>
      </c>
      <c r="K257" s="42">
        <f t="shared" si="22"/>
        <v>-50</v>
      </c>
      <c r="L257" s="42"/>
      <c r="M257" s="44">
        <f t="shared" si="23"/>
        <v>0</v>
      </c>
      <c r="N257" s="44">
        <f t="shared" si="24"/>
        <v>0</v>
      </c>
    </row>
    <row r="258" spans="1:14">
      <c r="A258" s="63">
        <f t="shared" si="25"/>
        <v>0</v>
      </c>
      <c r="G258" s="20"/>
      <c r="H258" s="42">
        <v>253</v>
      </c>
      <c r="I258" s="43" t="str">
        <f t="shared" si="21"/>
        <v/>
      </c>
      <c r="J258" s="42">
        <f t="shared" si="26"/>
        <v>-5</v>
      </c>
      <c r="K258" s="42">
        <f t="shared" si="22"/>
        <v>-50</v>
      </c>
      <c r="L258" s="42"/>
      <c r="M258" s="44">
        <f t="shared" si="23"/>
        <v>0</v>
      </c>
      <c r="N258" s="44">
        <f t="shared" si="24"/>
        <v>0</v>
      </c>
    </row>
    <row r="259" spans="1:14">
      <c r="A259" s="63">
        <f t="shared" si="25"/>
        <v>0</v>
      </c>
      <c r="G259" s="20"/>
      <c r="H259" s="42">
        <v>254</v>
      </c>
      <c r="I259" s="43" t="str">
        <f t="shared" si="21"/>
        <v/>
      </c>
      <c r="J259" s="42">
        <f t="shared" si="26"/>
        <v>-5</v>
      </c>
      <c r="K259" s="42">
        <f t="shared" si="22"/>
        <v>-50</v>
      </c>
      <c r="L259" s="42"/>
      <c r="M259" s="44">
        <f t="shared" si="23"/>
        <v>0</v>
      </c>
      <c r="N259" s="44">
        <f t="shared" si="24"/>
        <v>0</v>
      </c>
    </row>
    <row r="260" spans="1:14">
      <c r="A260" s="63">
        <f t="shared" si="25"/>
        <v>0</v>
      </c>
      <c r="G260" s="20"/>
      <c r="H260" s="42">
        <v>255</v>
      </c>
      <c r="I260" s="43" t="str">
        <f t="shared" si="21"/>
        <v/>
      </c>
      <c r="J260" s="42">
        <f t="shared" si="26"/>
        <v>-5</v>
      </c>
      <c r="K260" s="42">
        <f t="shared" si="22"/>
        <v>-50</v>
      </c>
      <c r="L260" s="42"/>
      <c r="M260" s="44">
        <f t="shared" si="23"/>
        <v>0</v>
      </c>
      <c r="N260" s="44">
        <f t="shared" si="24"/>
        <v>0</v>
      </c>
    </row>
    <row r="261" spans="1:14">
      <c r="A261" s="63">
        <f t="shared" si="25"/>
        <v>0</v>
      </c>
      <c r="G261" s="20"/>
      <c r="H261" s="42">
        <v>256</v>
      </c>
      <c r="I261" s="43" t="str">
        <f t="shared" si="21"/>
        <v/>
      </c>
      <c r="J261" s="42">
        <f t="shared" si="26"/>
        <v>-5</v>
      </c>
      <c r="K261" s="42">
        <f t="shared" si="22"/>
        <v>-50</v>
      </c>
      <c r="L261" s="42"/>
      <c r="M261" s="44">
        <f t="shared" si="23"/>
        <v>0</v>
      </c>
      <c r="N261" s="44">
        <f t="shared" si="24"/>
        <v>0</v>
      </c>
    </row>
    <row r="262" spans="1:14">
      <c r="A262" s="63">
        <f t="shared" si="25"/>
        <v>0</v>
      </c>
      <c r="G262" s="20"/>
      <c r="H262" s="42">
        <v>257</v>
      </c>
      <c r="I262" s="43" t="str">
        <f t="shared" ref="I262:I305" si="27">IF(H262&lt;$H$2+1,($I$2-($I$2-1)*(LOG(H262)/LOG($H$2))),"")</f>
        <v/>
      </c>
      <c r="J262" s="42">
        <f t="shared" si="26"/>
        <v>-6</v>
      </c>
      <c r="K262" s="42">
        <f t="shared" ref="K262:K305" si="28">J262*$J$2</f>
        <v>-60</v>
      </c>
      <c r="L262" s="42"/>
      <c r="M262" s="44">
        <f t="shared" ref="M262:M305" si="29">IF(I262&lt;&gt;"",K262+I262+L262,0)</f>
        <v>0</v>
      </c>
      <c r="N262" s="44">
        <f t="shared" ref="N262:N305" si="30">IF(I262&lt;&gt;"",M262*L$2,0)</f>
        <v>0</v>
      </c>
    </row>
    <row r="263" spans="1:14">
      <c r="A263" s="63">
        <f t="shared" ref="A263:A305" si="31">N263</f>
        <v>0</v>
      </c>
      <c r="G263" s="20"/>
      <c r="H263" s="42">
        <v>258</v>
      </c>
      <c r="I263" s="43" t="str">
        <f t="shared" si="27"/>
        <v/>
      </c>
      <c r="J263" s="42">
        <f t="shared" ref="J263:J305" si="32">INT(LOG($H$2,2))-ROUNDUP(LOG(H263,2),0)+IF(OR($H$2=1,$H$2=2,$H$2=4,$H$2=8,$H$2=16,$H$2=32,$H$2=64,$H$2=128,$H$2=256),0,1)</f>
        <v>-6</v>
      </c>
      <c r="K263" s="42">
        <f t="shared" si="28"/>
        <v>-60</v>
      </c>
      <c r="L263" s="42"/>
      <c r="M263" s="44">
        <f t="shared" si="29"/>
        <v>0</v>
      </c>
      <c r="N263" s="44">
        <f t="shared" si="30"/>
        <v>0</v>
      </c>
    </row>
    <row r="264" spans="1:14">
      <c r="A264" s="63">
        <f t="shared" si="31"/>
        <v>0</v>
      </c>
      <c r="G264" s="20"/>
      <c r="H264" s="42">
        <v>259</v>
      </c>
      <c r="I264" s="43" t="str">
        <f t="shared" si="27"/>
        <v/>
      </c>
      <c r="J264" s="42">
        <f t="shared" si="32"/>
        <v>-6</v>
      </c>
      <c r="K264" s="42">
        <f t="shared" si="28"/>
        <v>-60</v>
      </c>
      <c r="L264" s="42"/>
      <c r="M264" s="44">
        <f t="shared" si="29"/>
        <v>0</v>
      </c>
      <c r="N264" s="44">
        <f t="shared" si="30"/>
        <v>0</v>
      </c>
    </row>
    <row r="265" spans="1:14">
      <c r="A265" s="63">
        <f t="shared" si="31"/>
        <v>0</v>
      </c>
      <c r="G265" s="20"/>
      <c r="H265" s="42">
        <v>260</v>
      </c>
      <c r="I265" s="43" t="str">
        <f t="shared" si="27"/>
        <v/>
      </c>
      <c r="J265" s="42">
        <f t="shared" si="32"/>
        <v>-6</v>
      </c>
      <c r="K265" s="42">
        <f t="shared" si="28"/>
        <v>-60</v>
      </c>
      <c r="L265" s="42"/>
      <c r="M265" s="44">
        <f t="shared" si="29"/>
        <v>0</v>
      </c>
      <c r="N265" s="44">
        <f t="shared" si="30"/>
        <v>0</v>
      </c>
    </row>
    <row r="266" spans="1:14">
      <c r="A266" s="63">
        <f t="shared" si="31"/>
        <v>0</v>
      </c>
      <c r="G266" s="20"/>
      <c r="H266" s="42">
        <v>261</v>
      </c>
      <c r="I266" s="43" t="str">
        <f t="shared" si="27"/>
        <v/>
      </c>
      <c r="J266" s="42">
        <f t="shared" si="32"/>
        <v>-6</v>
      </c>
      <c r="K266" s="42">
        <f t="shared" si="28"/>
        <v>-60</v>
      </c>
      <c r="L266" s="42"/>
      <c r="M266" s="44">
        <f t="shared" si="29"/>
        <v>0</v>
      </c>
      <c r="N266" s="44">
        <f t="shared" si="30"/>
        <v>0</v>
      </c>
    </row>
    <row r="267" spans="1:14">
      <c r="A267" s="63">
        <f t="shared" si="31"/>
        <v>0</v>
      </c>
      <c r="G267" s="20"/>
      <c r="H267" s="42">
        <v>262</v>
      </c>
      <c r="I267" s="43" t="str">
        <f t="shared" si="27"/>
        <v/>
      </c>
      <c r="J267" s="42">
        <f t="shared" si="32"/>
        <v>-6</v>
      </c>
      <c r="K267" s="42">
        <f t="shared" si="28"/>
        <v>-60</v>
      </c>
      <c r="L267" s="42"/>
      <c r="M267" s="44">
        <f t="shared" si="29"/>
        <v>0</v>
      </c>
      <c r="N267" s="44">
        <f t="shared" si="30"/>
        <v>0</v>
      </c>
    </row>
    <row r="268" spans="1:14">
      <c r="A268" s="63">
        <f t="shared" si="31"/>
        <v>0</v>
      </c>
      <c r="G268" s="20"/>
      <c r="H268" s="42">
        <v>263</v>
      </c>
      <c r="I268" s="43" t="str">
        <f t="shared" si="27"/>
        <v/>
      </c>
      <c r="J268" s="42">
        <f t="shared" si="32"/>
        <v>-6</v>
      </c>
      <c r="K268" s="42">
        <f t="shared" si="28"/>
        <v>-60</v>
      </c>
      <c r="L268" s="42"/>
      <c r="M268" s="44">
        <f t="shared" si="29"/>
        <v>0</v>
      </c>
      <c r="N268" s="44">
        <f t="shared" si="30"/>
        <v>0</v>
      </c>
    </row>
    <row r="269" spans="1:14">
      <c r="A269" s="63">
        <f t="shared" si="31"/>
        <v>0</v>
      </c>
      <c r="G269" s="20"/>
      <c r="H269" s="42">
        <v>264</v>
      </c>
      <c r="I269" s="43" t="str">
        <f t="shared" si="27"/>
        <v/>
      </c>
      <c r="J269" s="42">
        <f t="shared" si="32"/>
        <v>-6</v>
      </c>
      <c r="K269" s="42">
        <f t="shared" si="28"/>
        <v>-60</v>
      </c>
      <c r="L269" s="42"/>
      <c r="M269" s="44">
        <f t="shared" si="29"/>
        <v>0</v>
      </c>
      <c r="N269" s="44">
        <f t="shared" si="30"/>
        <v>0</v>
      </c>
    </row>
    <row r="270" spans="1:14">
      <c r="A270" s="63">
        <f t="shared" si="31"/>
        <v>0</v>
      </c>
      <c r="G270" s="20"/>
      <c r="H270" s="42">
        <v>265</v>
      </c>
      <c r="I270" s="43" t="str">
        <f t="shared" si="27"/>
        <v/>
      </c>
      <c r="J270" s="42">
        <f t="shared" si="32"/>
        <v>-6</v>
      </c>
      <c r="K270" s="42">
        <f t="shared" si="28"/>
        <v>-60</v>
      </c>
      <c r="L270" s="42"/>
      <c r="M270" s="44">
        <f t="shared" si="29"/>
        <v>0</v>
      </c>
      <c r="N270" s="44">
        <f t="shared" si="30"/>
        <v>0</v>
      </c>
    </row>
    <row r="271" spans="1:14">
      <c r="A271" s="63">
        <f t="shared" si="31"/>
        <v>0</v>
      </c>
      <c r="G271" s="20"/>
      <c r="H271" s="42">
        <v>266</v>
      </c>
      <c r="I271" s="43" t="str">
        <f t="shared" si="27"/>
        <v/>
      </c>
      <c r="J271" s="42">
        <f t="shared" si="32"/>
        <v>-6</v>
      </c>
      <c r="K271" s="42">
        <f t="shared" si="28"/>
        <v>-60</v>
      </c>
      <c r="L271" s="42"/>
      <c r="M271" s="44">
        <f t="shared" si="29"/>
        <v>0</v>
      </c>
      <c r="N271" s="44">
        <f t="shared" si="30"/>
        <v>0</v>
      </c>
    </row>
    <row r="272" spans="1:14">
      <c r="A272" s="63">
        <f t="shared" si="31"/>
        <v>0</v>
      </c>
      <c r="G272" s="20"/>
      <c r="H272" s="42">
        <v>267</v>
      </c>
      <c r="I272" s="43" t="str">
        <f t="shared" si="27"/>
        <v/>
      </c>
      <c r="J272" s="42">
        <f t="shared" si="32"/>
        <v>-6</v>
      </c>
      <c r="K272" s="42">
        <f t="shared" si="28"/>
        <v>-60</v>
      </c>
      <c r="L272" s="42"/>
      <c r="M272" s="44">
        <f t="shared" si="29"/>
        <v>0</v>
      </c>
      <c r="N272" s="44">
        <f t="shared" si="30"/>
        <v>0</v>
      </c>
    </row>
    <row r="273" spans="1:14">
      <c r="A273" s="63">
        <f t="shared" si="31"/>
        <v>0</v>
      </c>
      <c r="G273" s="20"/>
      <c r="H273" s="42">
        <v>268</v>
      </c>
      <c r="I273" s="43" t="str">
        <f t="shared" si="27"/>
        <v/>
      </c>
      <c r="J273" s="42">
        <f t="shared" si="32"/>
        <v>-6</v>
      </c>
      <c r="K273" s="42">
        <f t="shared" si="28"/>
        <v>-60</v>
      </c>
      <c r="L273" s="42"/>
      <c r="M273" s="44">
        <f t="shared" si="29"/>
        <v>0</v>
      </c>
      <c r="N273" s="44">
        <f t="shared" si="30"/>
        <v>0</v>
      </c>
    </row>
    <row r="274" spans="1:14">
      <c r="A274" s="63">
        <f t="shared" si="31"/>
        <v>0</v>
      </c>
      <c r="G274" s="20"/>
      <c r="H274" s="42">
        <v>269</v>
      </c>
      <c r="I274" s="43" t="str">
        <f t="shared" si="27"/>
        <v/>
      </c>
      <c r="J274" s="42">
        <f t="shared" si="32"/>
        <v>-6</v>
      </c>
      <c r="K274" s="42">
        <f t="shared" si="28"/>
        <v>-60</v>
      </c>
      <c r="L274" s="42"/>
      <c r="M274" s="44">
        <f t="shared" si="29"/>
        <v>0</v>
      </c>
      <c r="N274" s="44">
        <f t="shared" si="30"/>
        <v>0</v>
      </c>
    </row>
    <row r="275" spans="1:14">
      <c r="A275" s="63">
        <f t="shared" si="31"/>
        <v>0</v>
      </c>
      <c r="G275" s="20"/>
      <c r="H275" s="42">
        <v>270</v>
      </c>
      <c r="I275" s="43" t="str">
        <f t="shared" si="27"/>
        <v/>
      </c>
      <c r="J275" s="42">
        <f t="shared" si="32"/>
        <v>-6</v>
      </c>
      <c r="K275" s="42">
        <f t="shared" si="28"/>
        <v>-60</v>
      </c>
      <c r="L275" s="42"/>
      <c r="M275" s="44">
        <f t="shared" si="29"/>
        <v>0</v>
      </c>
      <c r="N275" s="44">
        <f t="shared" si="30"/>
        <v>0</v>
      </c>
    </row>
    <row r="276" spans="1:14">
      <c r="A276" s="63">
        <f t="shared" si="31"/>
        <v>0</v>
      </c>
      <c r="G276" s="20"/>
      <c r="H276" s="42">
        <v>271</v>
      </c>
      <c r="I276" s="43" t="str">
        <f t="shared" si="27"/>
        <v/>
      </c>
      <c r="J276" s="42">
        <f t="shared" si="32"/>
        <v>-6</v>
      </c>
      <c r="K276" s="42">
        <f t="shared" si="28"/>
        <v>-60</v>
      </c>
      <c r="L276" s="42"/>
      <c r="M276" s="44">
        <f t="shared" si="29"/>
        <v>0</v>
      </c>
      <c r="N276" s="44">
        <f t="shared" si="30"/>
        <v>0</v>
      </c>
    </row>
    <row r="277" spans="1:14">
      <c r="A277" s="63">
        <f t="shared" si="31"/>
        <v>0</v>
      </c>
      <c r="G277" s="20"/>
      <c r="H277" s="42">
        <v>272</v>
      </c>
      <c r="I277" s="43" t="str">
        <f t="shared" si="27"/>
        <v/>
      </c>
      <c r="J277" s="42">
        <f t="shared" si="32"/>
        <v>-6</v>
      </c>
      <c r="K277" s="42">
        <f t="shared" si="28"/>
        <v>-60</v>
      </c>
      <c r="L277" s="42"/>
      <c r="M277" s="44">
        <f t="shared" si="29"/>
        <v>0</v>
      </c>
      <c r="N277" s="44">
        <f t="shared" si="30"/>
        <v>0</v>
      </c>
    </row>
    <row r="278" spans="1:14">
      <c r="A278" s="63">
        <f t="shared" si="31"/>
        <v>0</v>
      </c>
      <c r="G278" s="20"/>
      <c r="H278" s="42">
        <v>273</v>
      </c>
      <c r="I278" s="43" t="str">
        <f t="shared" si="27"/>
        <v/>
      </c>
      <c r="J278" s="42">
        <f t="shared" si="32"/>
        <v>-6</v>
      </c>
      <c r="K278" s="42">
        <f t="shared" si="28"/>
        <v>-60</v>
      </c>
      <c r="L278" s="42"/>
      <c r="M278" s="44">
        <f t="shared" si="29"/>
        <v>0</v>
      </c>
      <c r="N278" s="44">
        <f t="shared" si="30"/>
        <v>0</v>
      </c>
    </row>
    <row r="279" spans="1:14">
      <c r="A279" s="63">
        <f t="shared" si="31"/>
        <v>0</v>
      </c>
      <c r="G279" s="20"/>
      <c r="H279" s="42">
        <v>274</v>
      </c>
      <c r="I279" s="43" t="str">
        <f t="shared" si="27"/>
        <v/>
      </c>
      <c r="J279" s="42">
        <f t="shared" si="32"/>
        <v>-6</v>
      </c>
      <c r="K279" s="42">
        <f t="shared" si="28"/>
        <v>-60</v>
      </c>
      <c r="L279" s="42"/>
      <c r="M279" s="44">
        <f t="shared" si="29"/>
        <v>0</v>
      </c>
      <c r="N279" s="44">
        <f t="shared" si="30"/>
        <v>0</v>
      </c>
    </row>
    <row r="280" spans="1:14">
      <c r="A280" s="63">
        <f t="shared" si="31"/>
        <v>0</v>
      </c>
      <c r="G280" s="20"/>
      <c r="H280" s="42">
        <v>275</v>
      </c>
      <c r="I280" s="43" t="str">
        <f t="shared" si="27"/>
        <v/>
      </c>
      <c r="J280" s="42">
        <f t="shared" si="32"/>
        <v>-6</v>
      </c>
      <c r="K280" s="42">
        <f t="shared" si="28"/>
        <v>-60</v>
      </c>
      <c r="L280" s="42"/>
      <c r="M280" s="44">
        <f t="shared" si="29"/>
        <v>0</v>
      </c>
      <c r="N280" s="44">
        <f t="shared" si="30"/>
        <v>0</v>
      </c>
    </row>
    <row r="281" spans="1:14">
      <c r="A281" s="63">
        <f t="shared" si="31"/>
        <v>0</v>
      </c>
      <c r="G281" s="20"/>
      <c r="H281" s="42">
        <v>276</v>
      </c>
      <c r="I281" s="43" t="str">
        <f t="shared" si="27"/>
        <v/>
      </c>
      <c r="J281" s="42">
        <f t="shared" si="32"/>
        <v>-6</v>
      </c>
      <c r="K281" s="42">
        <f t="shared" si="28"/>
        <v>-60</v>
      </c>
      <c r="L281" s="42"/>
      <c r="M281" s="44">
        <f t="shared" si="29"/>
        <v>0</v>
      </c>
      <c r="N281" s="44">
        <f t="shared" si="30"/>
        <v>0</v>
      </c>
    </row>
    <row r="282" spans="1:14">
      <c r="A282" s="63">
        <f t="shared" si="31"/>
        <v>0</v>
      </c>
      <c r="G282" s="20"/>
      <c r="H282" s="42">
        <v>277</v>
      </c>
      <c r="I282" s="43" t="str">
        <f t="shared" si="27"/>
        <v/>
      </c>
      <c r="J282" s="42">
        <f t="shared" si="32"/>
        <v>-6</v>
      </c>
      <c r="K282" s="42">
        <f t="shared" si="28"/>
        <v>-60</v>
      </c>
      <c r="L282" s="42"/>
      <c r="M282" s="44">
        <f t="shared" si="29"/>
        <v>0</v>
      </c>
      <c r="N282" s="44">
        <f t="shared" si="30"/>
        <v>0</v>
      </c>
    </row>
    <row r="283" spans="1:14">
      <c r="A283" s="63">
        <f t="shared" si="31"/>
        <v>0</v>
      </c>
      <c r="G283" s="20"/>
      <c r="H283" s="42">
        <v>278</v>
      </c>
      <c r="I283" s="43" t="str">
        <f t="shared" si="27"/>
        <v/>
      </c>
      <c r="J283" s="42">
        <f t="shared" si="32"/>
        <v>-6</v>
      </c>
      <c r="K283" s="42">
        <f t="shared" si="28"/>
        <v>-60</v>
      </c>
      <c r="L283" s="42"/>
      <c r="M283" s="44">
        <f t="shared" si="29"/>
        <v>0</v>
      </c>
      <c r="N283" s="44">
        <f t="shared" si="30"/>
        <v>0</v>
      </c>
    </row>
    <row r="284" spans="1:14">
      <c r="A284" s="63">
        <f t="shared" si="31"/>
        <v>0</v>
      </c>
      <c r="G284" s="20"/>
      <c r="H284" s="42">
        <v>279</v>
      </c>
      <c r="I284" s="43" t="str">
        <f t="shared" si="27"/>
        <v/>
      </c>
      <c r="J284" s="42">
        <f t="shared" si="32"/>
        <v>-6</v>
      </c>
      <c r="K284" s="42">
        <f t="shared" si="28"/>
        <v>-60</v>
      </c>
      <c r="L284" s="42"/>
      <c r="M284" s="44">
        <f t="shared" si="29"/>
        <v>0</v>
      </c>
      <c r="N284" s="44">
        <f t="shared" si="30"/>
        <v>0</v>
      </c>
    </row>
    <row r="285" spans="1:14">
      <c r="A285" s="63">
        <f t="shared" si="31"/>
        <v>0</v>
      </c>
      <c r="G285" s="20"/>
      <c r="H285" s="42">
        <v>280</v>
      </c>
      <c r="I285" s="43" t="str">
        <f t="shared" si="27"/>
        <v/>
      </c>
      <c r="J285" s="42">
        <f t="shared" si="32"/>
        <v>-6</v>
      </c>
      <c r="K285" s="42">
        <f t="shared" si="28"/>
        <v>-60</v>
      </c>
      <c r="L285" s="42"/>
      <c r="M285" s="44">
        <f t="shared" si="29"/>
        <v>0</v>
      </c>
      <c r="N285" s="44">
        <f t="shared" si="30"/>
        <v>0</v>
      </c>
    </row>
    <row r="286" spans="1:14">
      <c r="A286" s="63">
        <f t="shared" si="31"/>
        <v>0</v>
      </c>
      <c r="G286" s="20"/>
      <c r="H286" s="42">
        <v>281</v>
      </c>
      <c r="I286" s="43" t="str">
        <f t="shared" si="27"/>
        <v/>
      </c>
      <c r="J286" s="42">
        <f t="shared" si="32"/>
        <v>-6</v>
      </c>
      <c r="K286" s="42">
        <f t="shared" si="28"/>
        <v>-60</v>
      </c>
      <c r="L286" s="42"/>
      <c r="M286" s="44">
        <f t="shared" si="29"/>
        <v>0</v>
      </c>
      <c r="N286" s="44">
        <f t="shared" si="30"/>
        <v>0</v>
      </c>
    </row>
    <row r="287" spans="1:14">
      <c r="A287" s="63">
        <f t="shared" si="31"/>
        <v>0</v>
      </c>
      <c r="G287" s="20"/>
      <c r="H287" s="42">
        <v>282</v>
      </c>
      <c r="I287" s="43" t="str">
        <f t="shared" si="27"/>
        <v/>
      </c>
      <c r="J287" s="42">
        <f t="shared" si="32"/>
        <v>-6</v>
      </c>
      <c r="K287" s="42">
        <f t="shared" si="28"/>
        <v>-60</v>
      </c>
      <c r="L287" s="42"/>
      <c r="M287" s="44">
        <f t="shared" si="29"/>
        <v>0</v>
      </c>
      <c r="N287" s="44">
        <f t="shared" si="30"/>
        <v>0</v>
      </c>
    </row>
    <row r="288" spans="1:14">
      <c r="A288" s="63">
        <f t="shared" si="31"/>
        <v>0</v>
      </c>
      <c r="G288" s="20"/>
      <c r="H288" s="42">
        <v>283</v>
      </c>
      <c r="I288" s="43" t="str">
        <f t="shared" si="27"/>
        <v/>
      </c>
      <c r="J288" s="42">
        <f t="shared" si="32"/>
        <v>-6</v>
      </c>
      <c r="K288" s="42">
        <f t="shared" si="28"/>
        <v>-60</v>
      </c>
      <c r="L288" s="42"/>
      <c r="M288" s="44">
        <f t="shared" si="29"/>
        <v>0</v>
      </c>
      <c r="N288" s="44">
        <f t="shared" si="30"/>
        <v>0</v>
      </c>
    </row>
    <row r="289" spans="1:14">
      <c r="A289" s="63">
        <f t="shared" si="31"/>
        <v>0</v>
      </c>
      <c r="G289" s="20"/>
      <c r="H289" s="42">
        <v>284</v>
      </c>
      <c r="I289" s="43" t="str">
        <f t="shared" si="27"/>
        <v/>
      </c>
      <c r="J289" s="42">
        <f t="shared" si="32"/>
        <v>-6</v>
      </c>
      <c r="K289" s="42">
        <f t="shared" si="28"/>
        <v>-60</v>
      </c>
      <c r="L289" s="42"/>
      <c r="M289" s="44">
        <f t="shared" si="29"/>
        <v>0</v>
      </c>
      <c r="N289" s="44">
        <f t="shared" si="30"/>
        <v>0</v>
      </c>
    </row>
    <row r="290" spans="1:14">
      <c r="A290" s="63">
        <f t="shared" si="31"/>
        <v>0</v>
      </c>
      <c r="G290" s="20"/>
      <c r="H290" s="42">
        <v>285</v>
      </c>
      <c r="I290" s="43" t="str">
        <f t="shared" si="27"/>
        <v/>
      </c>
      <c r="J290" s="42">
        <f t="shared" si="32"/>
        <v>-6</v>
      </c>
      <c r="K290" s="42">
        <f t="shared" si="28"/>
        <v>-60</v>
      </c>
      <c r="L290" s="42"/>
      <c r="M290" s="44">
        <f t="shared" si="29"/>
        <v>0</v>
      </c>
      <c r="N290" s="44">
        <f t="shared" si="30"/>
        <v>0</v>
      </c>
    </row>
    <row r="291" spans="1:14">
      <c r="A291" s="63">
        <f t="shared" si="31"/>
        <v>0</v>
      </c>
      <c r="G291" s="20"/>
      <c r="H291" s="42">
        <v>286</v>
      </c>
      <c r="I291" s="43" t="str">
        <f t="shared" si="27"/>
        <v/>
      </c>
      <c r="J291" s="42">
        <f t="shared" si="32"/>
        <v>-6</v>
      </c>
      <c r="K291" s="42">
        <f t="shared" si="28"/>
        <v>-60</v>
      </c>
      <c r="L291" s="42"/>
      <c r="M291" s="44">
        <f t="shared" si="29"/>
        <v>0</v>
      </c>
      <c r="N291" s="44">
        <f t="shared" si="30"/>
        <v>0</v>
      </c>
    </row>
    <row r="292" spans="1:14">
      <c r="A292" s="63">
        <f t="shared" si="31"/>
        <v>0</v>
      </c>
      <c r="G292" s="20"/>
      <c r="H292" s="42">
        <v>287</v>
      </c>
      <c r="I292" s="43" t="str">
        <f t="shared" si="27"/>
        <v/>
      </c>
      <c r="J292" s="42">
        <f t="shared" si="32"/>
        <v>-6</v>
      </c>
      <c r="K292" s="42">
        <f t="shared" si="28"/>
        <v>-60</v>
      </c>
      <c r="L292" s="42"/>
      <c r="M292" s="44">
        <f t="shared" si="29"/>
        <v>0</v>
      </c>
      <c r="N292" s="44">
        <f t="shared" si="30"/>
        <v>0</v>
      </c>
    </row>
    <row r="293" spans="1:14">
      <c r="A293" s="63">
        <f t="shared" si="31"/>
        <v>0</v>
      </c>
      <c r="G293" s="20"/>
      <c r="H293" s="42">
        <v>288</v>
      </c>
      <c r="I293" s="43" t="str">
        <f t="shared" si="27"/>
        <v/>
      </c>
      <c r="J293" s="42">
        <f t="shared" si="32"/>
        <v>-6</v>
      </c>
      <c r="K293" s="42">
        <f t="shared" si="28"/>
        <v>-60</v>
      </c>
      <c r="L293" s="42"/>
      <c r="M293" s="44">
        <f t="shared" si="29"/>
        <v>0</v>
      </c>
      <c r="N293" s="44">
        <f t="shared" si="30"/>
        <v>0</v>
      </c>
    </row>
    <row r="294" spans="1:14">
      <c r="A294" s="63">
        <f t="shared" si="31"/>
        <v>0</v>
      </c>
      <c r="G294" s="20"/>
      <c r="H294" s="42">
        <v>289</v>
      </c>
      <c r="I294" s="43" t="str">
        <f t="shared" si="27"/>
        <v/>
      </c>
      <c r="J294" s="42">
        <f t="shared" si="32"/>
        <v>-6</v>
      </c>
      <c r="K294" s="42">
        <f t="shared" si="28"/>
        <v>-60</v>
      </c>
      <c r="L294" s="42"/>
      <c r="M294" s="44">
        <f t="shared" si="29"/>
        <v>0</v>
      </c>
      <c r="N294" s="44">
        <f t="shared" si="30"/>
        <v>0</v>
      </c>
    </row>
    <row r="295" spans="1:14">
      <c r="A295" s="63">
        <f t="shared" si="31"/>
        <v>0</v>
      </c>
      <c r="G295" s="20"/>
      <c r="H295" s="42">
        <v>290</v>
      </c>
      <c r="I295" s="43" t="str">
        <f t="shared" si="27"/>
        <v/>
      </c>
      <c r="J295" s="42">
        <f t="shared" si="32"/>
        <v>-6</v>
      </c>
      <c r="K295" s="42">
        <f t="shared" si="28"/>
        <v>-60</v>
      </c>
      <c r="L295" s="42"/>
      <c r="M295" s="44">
        <f t="shared" si="29"/>
        <v>0</v>
      </c>
      <c r="N295" s="44">
        <f t="shared" si="30"/>
        <v>0</v>
      </c>
    </row>
    <row r="296" spans="1:14">
      <c r="A296" s="63">
        <f t="shared" si="31"/>
        <v>0</v>
      </c>
      <c r="G296" s="20"/>
      <c r="H296" s="42">
        <v>291</v>
      </c>
      <c r="I296" s="43" t="str">
        <f t="shared" si="27"/>
        <v/>
      </c>
      <c r="J296" s="42">
        <f t="shared" si="32"/>
        <v>-6</v>
      </c>
      <c r="K296" s="42">
        <f t="shared" si="28"/>
        <v>-60</v>
      </c>
      <c r="L296" s="42"/>
      <c r="M296" s="44">
        <f t="shared" si="29"/>
        <v>0</v>
      </c>
      <c r="N296" s="44">
        <f t="shared" si="30"/>
        <v>0</v>
      </c>
    </row>
    <row r="297" spans="1:14">
      <c r="A297" s="63">
        <f t="shared" si="31"/>
        <v>0</v>
      </c>
      <c r="G297" s="20"/>
      <c r="H297" s="42">
        <v>292</v>
      </c>
      <c r="I297" s="43" t="str">
        <f t="shared" si="27"/>
        <v/>
      </c>
      <c r="J297" s="42">
        <f t="shared" si="32"/>
        <v>-6</v>
      </c>
      <c r="K297" s="42">
        <f t="shared" si="28"/>
        <v>-60</v>
      </c>
      <c r="L297" s="42"/>
      <c r="M297" s="44">
        <f t="shared" si="29"/>
        <v>0</v>
      </c>
      <c r="N297" s="44">
        <f t="shared" si="30"/>
        <v>0</v>
      </c>
    </row>
    <row r="298" spans="1:14">
      <c r="A298" s="63">
        <f t="shared" si="31"/>
        <v>0</v>
      </c>
      <c r="G298" s="20"/>
      <c r="H298" s="42">
        <v>293</v>
      </c>
      <c r="I298" s="43" t="str">
        <f t="shared" si="27"/>
        <v/>
      </c>
      <c r="J298" s="42">
        <f t="shared" si="32"/>
        <v>-6</v>
      </c>
      <c r="K298" s="42">
        <f t="shared" si="28"/>
        <v>-60</v>
      </c>
      <c r="L298" s="42"/>
      <c r="M298" s="44">
        <f t="shared" si="29"/>
        <v>0</v>
      </c>
      <c r="N298" s="44">
        <f t="shared" si="30"/>
        <v>0</v>
      </c>
    </row>
    <row r="299" spans="1:14">
      <c r="A299" s="63">
        <f t="shared" si="31"/>
        <v>0</v>
      </c>
      <c r="G299" s="20"/>
      <c r="H299" s="42">
        <v>294</v>
      </c>
      <c r="I299" s="43" t="str">
        <f t="shared" si="27"/>
        <v/>
      </c>
      <c r="J299" s="42">
        <f t="shared" si="32"/>
        <v>-6</v>
      </c>
      <c r="K299" s="42">
        <f t="shared" si="28"/>
        <v>-60</v>
      </c>
      <c r="L299" s="42"/>
      <c r="M299" s="44">
        <f t="shared" si="29"/>
        <v>0</v>
      </c>
      <c r="N299" s="44">
        <f t="shared" si="30"/>
        <v>0</v>
      </c>
    </row>
    <row r="300" spans="1:14">
      <c r="A300" s="63">
        <f t="shared" si="31"/>
        <v>0</v>
      </c>
      <c r="G300" s="20"/>
      <c r="H300" s="42">
        <v>295</v>
      </c>
      <c r="I300" s="43" t="str">
        <f t="shared" si="27"/>
        <v/>
      </c>
      <c r="J300" s="42">
        <f t="shared" si="32"/>
        <v>-6</v>
      </c>
      <c r="K300" s="42">
        <f t="shared" si="28"/>
        <v>-60</v>
      </c>
      <c r="L300" s="42"/>
      <c r="M300" s="44">
        <f t="shared" si="29"/>
        <v>0</v>
      </c>
      <c r="N300" s="44">
        <f t="shared" si="30"/>
        <v>0</v>
      </c>
    </row>
    <row r="301" spans="1:14">
      <c r="A301" s="63">
        <f t="shared" si="31"/>
        <v>0</v>
      </c>
      <c r="G301" s="20"/>
      <c r="H301" s="42">
        <v>296</v>
      </c>
      <c r="I301" s="43" t="str">
        <f t="shared" si="27"/>
        <v/>
      </c>
      <c r="J301" s="42">
        <f t="shared" si="32"/>
        <v>-6</v>
      </c>
      <c r="K301" s="42">
        <f t="shared" si="28"/>
        <v>-60</v>
      </c>
      <c r="L301" s="42"/>
      <c r="M301" s="44">
        <f t="shared" si="29"/>
        <v>0</v>
      </c>
      <c r="N301" s="44">
        <f t="shared" si="30"/>
        <v>0</v>
      </c>
    </row>
    <row r="302" spans="1:14">
      <c r="A302" s="63">
        <f t="shared" si="31"/>
        <v>0</v>
      </c>
      <c r="G302" s="20"/>
      <c r="H302" s="42">
        <v>297</v>
      </c>
      <c r="I302" s="43" t="str">
        <f t="shared" si="27"/>
        <v/>
      </c>
      <c r="J302" s="42">
        <f t="shared" si="32"/>
        <v>-6</v>
      </c>
      <c r="K302" s="42">
        <f t="shared" si="28"/>
        <v>-60</v>
      </c>
      <c r="L302" s="42"/>
      <c r="M302" s="44">
        <f t="shared" si="29"/>
        <v>0</v>
      </c>
      <c r="N302" s="44">
        <f t="shared" si="30"/>
        <v>0</v>
      </c>
    </row>
    <row r="303" spans="1:14">
      <c r="A303" s="63">
        <f t="shared" si="31"/>
        <v>0</v>
      </c>
      <c r="G303" s="20"/>
      <c r="H303" s="42">
        <v>298</v>
      </c>
      <c r="I303" s="43" t="str">
        <f t="shared" si="27"/>
        <v/>
      </c>
      <c r="J303" s="42">
        <f t="shared" si="32"/>
        <v>-6</v>
      </c>
      <c r="K303" s="42">
        <f t="shared" si="28"/>
        <v>-60</v>
      </c>
      <c r="L303" s="42"/>
      <c r="M303" s="44">
        <f t="shared" si="29"/>
        <v>0</v>
      </c>
      <c r="N303" s="44">
        <f t="shared" si="30"/>
        <v>0</v>
      </c>
    </row>
    <row r="304" spans="1:14">
      <c r="A304" s="63">
        <f t="shared" si="31"/>
        <v>0</v>
      </c>
      <c r="G304" s="20"/>
      <c r="H304" s="42">
        <v>299</v>
      </c>
      <c r="I304" s="43" t="str">
        <f t="shared" si="27"/>
        <v/>
      </c>
      <c r="J304" s="42">
        <f t="shared" si="32"/>
        <v>-6</v>
      </c>
      <c r="K304" s="42">
        <f t="shared" si="28"/>
        <v>-60</v>
      </c>
      <c r="L304" s="42"/>
      <c r="M304" s="44">
        <f t="shared" si="29"/>
        <v>0</v>
      </c>
      <c r="N304" s="44">
        <f t="shared" si="30"/>
        <v>0</v>
      </c>
    </row>
    <row r="305" spans="1:17">
      <c r="A305" s="63">
        <f t="shared" si="31"/>
        <v>0</v>
      </c>
      <c r="G305" s="20"/>
      <c r="H305" s="42">
        <v>300</v>
      </c>
      <c r="I305" s="43" t="str">
        <f t="shared" si="27"/>
        <v/>
      </c>
      <c r="J305" s="42">
        <f t="shared" si="32"/>
        <v>-6</v>
      </c>
      <c r="K305" s="42">
        <f t="shared" si="28"/>
        <v>-60</v>
      </c>
      <c r="L305" s="42"/>
      <c r="M305" s="44">
        <f t="shared" si="29"/>
        <v>0</v>
      </c>
      <c r="N305" s="44">
        <f t="shared" si="30"/>
        <v>0</v>
      </c>
    </row>
    <row r="306" spans="1:17">
      <c r="A306" s="65"/>
    </row>
    <row r="314" spans="1:17">
      <c r="L314" s="68"/>
      <c r="M314" s="68"/>
      <c r="Q314" s="58"/>
    </row>
    <row r="315" spans="1:17">
      <c r="L315" s="68"/>
      <c r="M315" s="68"/>
      <c r="Q315" s="58"/>
    </row>
    <row r="316" spans="1:17">
      <c r="L316" s="68"/>
      <c r="M316" s="68"/>
      <c r="Q316" s="58"/>
    </row>
    <row r="317" spans="1:17">
      <c r="L317" s="68"/>
      <c r="M317" s="68"/>
      <c r="Q317" s="58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4572B952-9073-48A7-9234-5618387ED018}">
      <formula1>#REF!</formula1>
    </dataValidation>
  </dataValidations>
  <hyperlinks>
    <hyperlink ref="C2:D2" r:id="rId1" display="KRAKÓW" xr:uid="{53424BE9-76D1-4843-81E4-424B008AF49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2022-12-06T09:08:01Z</dcterms:modified>
  <cp:category/>
  <cp:contentStatus/>
</cp:coreProperties>
</file>