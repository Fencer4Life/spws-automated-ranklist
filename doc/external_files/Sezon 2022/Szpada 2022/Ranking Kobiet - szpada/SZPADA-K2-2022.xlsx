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Kobiet - szpada/"/>
    </mc:Choice>
  </mc:AlternateContent>
  <xr:revisionPtr revIDLastSave="1039" documentId="8_{0F30A1D5-6AB1-408C-A32C-C3051CEBD443}" xr6:coauthVersionLast="47" xr6:coauthVersionMax="47" xr10:uidLastSave="{D1275032-2444-4938-A2D3-57A0BF8853BD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7" i="13"/>
  <c r="O9" i="13"/>
  <c r="O10" i="13"/>
  <c r="O8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B6" i="18"/>
  <c r="B8" i="18"/>
  <c r="M6" i="13"/>
  <c r="M9" i="13"/>
  <c r="M10" i="13"/>
  <c r="M18" i="13"/>
  <c r="M19" i="13"/>
  <c r="M20" i="13"/>
  <c r="M21" i="13"/>
  <c r="M22" i="13"/>
  <c r="M23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K9" i="13"/>
  <c r="K18" i="13"/>
  <c r="K19" i="13"/>
  <c r="K20" i="13"/>
  <c r="K21" i="13"/>
  <c r="K22" i="13"/>
  <c r="K23" i="13"/>
  <c r="B14" i="17"/>
  <c r="B13" i="17"/>
  <c r="B12" i="17"/>
  <c r="B11" i="17"/>
  <c r="B10" i="17"/>
  <c r="B9" i="17"/>
  <c r="B8" i="17"/>
  <c r="K10" i="13" s="1"/>
  <c r="B7" i="17"/>
  <c r="K7" i="13" s="1"/>
  <c r="B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I23" i="13"/>
  <c r="I22" i="13"/>
  <c r="I21" i="13"/>
  <c r="I20" i="13"/>
  <c r="I19" i="13"/>
  <c r="I18" i="13"/>
  <c r="I10" i="13"/>
  <c r="I7" i="13"/>
  <c r="I9" i="13"/>
  <c r="I6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E8" i="13"/>
  <c r="G8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K125" i="16" s="1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A23" i="13"/>
  <c r="A22" i="13"/>
  <c r="A21" i="13"/>
  <c r="A20" i="13"/>
  <c r="A19" i="13"/>
  <c r="A18" i="13"/>
  <c r="A17" i="13"/>
  <c r="A10" i="13"/>
  <c r="A16" i="13"/>
  <c r="A15" i="13"/>
  <c r="A7" i="13"/>
  <c r="A14" i="13"/>
  <c r="A11" i="13"/>
  <c r="A9" i="13"/>
  <c r="A6" i="13"/>
  <c r="A13" i="13"/>
  <c r="A12" i="13"/>
  <c r="A8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7" i="13"/>
  <c r="E10" i="13"/>
  <c r="E16" i="13"/>
  <c r="E15" i="13"/>
  <c r="E14" i="13"/>
  <c r="E11" i="13"/>
  <c r="E9" i="13"/>
  <c r="E13" i="13"/>
  <c r="E12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K7" i="18"/>
  <c r="I7" i="18"/>
  <c r="B7" i="18"/>
  <c r="K6" i="18"/>
  <c r="I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A9" i="17" s="1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M23" i="16" s="1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16" i="13" s="1"/>
  <c r="I9" i="16"/>
  <c r="M9" i="16" s="1"/>
  <c r="A9" i="16" s="1"/>
  <c r="K8" i="16"/>
  <c r="I8" i="16"/>
  <c r="K7" i="16"/>
  <c r="I7" i="16"/>
  <c r="K6" i="16"/>
  <c r="I6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I36" i="15"/>
  <c r="K35" i="15"/>
  <c r="I35" i="15"/>
  <c r="M35" i="15" s="1"/>
  <c r="I34" i="15"/>
  <c r="M34" i="15" s="1"/>
  <c r="A34" i="15" s="1"/>
  <c r="K33" i="15"/>
  <c r="I33" i="15"/>
  <c r="I32" i="15"/>
  <c r="M32" i="15" s="1"/>
  <c r="K31" i="15"/>
  <c r="I31" i="15"/>
  <c r="I30" i="15"/>
  <c r="M30" i="15" s="1"/>
  <c r="A30" i="15" s="1"/>
  <c r="K29" i="15"/>
  <c r="I29" i="15"/>
  <c r="M29" i="15" s="1"/>
  <c r="I28" i="15"/>
  <c r="M28" i="15" s="1"/>
  <c r="I27" i="15"/>
  <c r="M27" i="15" s="1"/>
  <c r="I26" i="15"/>
  <c r="M26" i="15" s="1"/>
  <c r="A26" i="15" s="1"/>
  <c r="K25" i="15"/>
  <c r="I25" i="15"/>
  <c r="I24" i="15"/>
  <c r="K23" i="15"/>
  <c r="I23" i="15"/>
  <c r="M23" i="15" s="1"/>
  <c r="I22" i="15"/>
  <c r="M22" i="15" s="1"/>
  <c r="A22" i="15" s="1"/>
  <c r="K21" i="15"/>
  <c r="I21" i="15"/>
  <c r="I20" i="15"/>
  <c r="M20" i="15" s="1"/>
  <c r="I19" i="15"/>
  <c r="M19" i="15" s="1"/>
  <c r="I18" i="15"/>
  <c r="M18" i="15" s="1"/>
  <c r="A18" i="15" s="1"/>
  <c r="K17" i="15"/>
  <c r="I17" i="15"/>
  <c r="I16" i="15"/>
  <c r="M16" i="15" s="1"/>
  <c r="K15" i="15"/>
  <c r="I15" i="15"/>
  <c r="M15" i="15" s="1"/>
  <c r="A15" i="15" s="1"/>
  <c r="AI14" i="15"/>
  <c r="I14" i="15"/>
  <c r="M14" i="15" s="1"/>
  <c r="A14" i="15" s="1"/>
  <c r="AI13" i="15"/>
  <c r="K13" i="15"/>
  <c r="I13" i="15"/>
  <c r="AI12" i="15"/>
  <c r="I12" i="15"/>
  <c r="M12" i="15" s="1"/>
  <c r="I11" i="15"/>
  <c r="M11" i="15" s="1"/>
  <c r="I10" i="15"/>
  <c r="M10" i="15" s="1"/>
  <c r="K9" i="15"/>
  <c r="I9" i="15"/>
  <c r="M9" i="15" s="1"/>
  <c r="G10" i="13"/>
  <c r="I8" i="15"/>
  <c r="G9" i="13"/>
  <c r="K7" i="15"/>
  <c r="I7" i="15"/>
  <c r="G7" i="13"/>
  <c r="K6" i="15"/>
  <c r="I6" i="15"/>
  <c r="B6" i="15"/>
  <c r="G6" i="13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K36" i="14"/>
  <c r="I36" i="14"/>
  <c r="M36" i="14" s="1"/>
  <c r="A36" i="14" s="1"/>
  <c r="K35" i="14"/>
  <c r="I35" i="14"/>
  <c r="K34" i="14"/>
  <c r="I34" i="14"/>
  <c r="M34" i="14" s="1"/>
  <c r="K33" i="14"/>
  <c r="I33" i="14"/>
  <c r="K32" i="14"/>
  <c r="I32" i="14"/>
  <c r="M32" i="14" s="1"/>
  <c r="A32" i="14" s="1"/>
  <c r="K31" i="14"/>
  <c r="I31" i="14"/>
  <c r="M31" i="14" s="1"/>
  <c r="K30" i="14"/>
  <c r="I30" i="14"/>
  <c r="K29" i="14"/>
  <c r="I29" i="14"/>
  <c r="I28" i="14"/>
  <c r="K27" i="14"/>
  <c r="I27" i="14"/>
  <c r="K26" i="14"/>
  <c r="I26" i="14"/>
  <c r="M26" i="14" s="1"/>
  <c r="A26" i="14" s="1"/>
  <c r="K25" i="14"/>
  <c r="I25" i="14"/>
  <c r="K24" i="14"/>
  <c r="I24" i="14"/>
  <c r="M24" i="14" s="1"/>
  <c r="A24" i="14" s="1"/>
  <c r="K23" i="14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K17" i="14"/>
  <c r="I17" i="14"/>
  <c r="M17" i="14" s="1"/>
  <c r="I16" i="14"/>
  <c r="M16" i="14" s="1"/>
  <c r="K15" i="14"/>
  <c r="I15" i="14"/>
  <c r="M15" i="14" s="1"/>
  <c r="AI14" i="14"/>
  <c r="K14" i="14"/>
  <c r="I14" i="14"/>
  <c r="M14" i="14" s="1"/>
  <c r="AI13" i="14"/>
  <c r="K13" i="14"/>
  <c r="I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M9" i="14" s="1"/>
  <c r="K8" i="14"/>
  <c r="I8" i="14"/>
  <c r="M8" i="14" s="1"/>
  <c r="K7" i="14"/>
  <c r="I7" i="14"/>
  <c r="E7" i="13"/>
  <c r="K6" i="14"/>
  <c r="I6" i="14"/>
  <c r="E6" i="13"/>
  <c r="K2" i="14"/>
  <c r="L7" i="14" s="1"/>
  <c r="P12" i="13" l="1"/>
  <c r="P13" i="13"/>
  <c r="P14" i="13"/>
  <c r="P15" i="13"/>
  <c r="P16" i="13"/>
  <c r="P17" i="13"/>
  <c r="M7" i="13"/>
  <c r="M8" i="13"/>
  <c r="M11" i="13"/>
  <c r="M12" i="13"/>
  <c r="M13" i="13"/>
  <c r="M14" i="13"/>
  <c r="M15" i="13"/>
  <c r="M16" i="13"/>
  <c r="M17" i="13"/>
  <c r="M7" i="14"/>
  <c r="AI16" i="14"/>
  <c r="M8" i="15"/>
  <c r="AI16" i="15"/>
  <c r="M6" i="16"/>
  <c r="A6" i="16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6" i="13"/>
  <c r="L9" i="13"/>
  <c r="L18" i="13"/>
  <c r="L19" i="13"/>
  <c r="L20" i="13"/>
  <c r="L21" i="13"/>
  <c r="L22" i="13"/>
  <c r="L23" i="13"/>
  <c r="K8" i="13"/>
  <c r="L8" i="13" s="1"/>
  <c r="K11" i="13"/>
  <c r="L11" i="13" s="1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J16" i="13"/>
  <c r="I17" i="13"/>
  <c r="J17" i="13" s="1"/>
  <c r="J10" i="13"/>
  <c r="J18" i="13"/>
  <c r="J7" i="13"/>
  <c r="I8" i="13"/>
  <c r="J19" i="13"/>
  <c r="I11" i="13"/>
  <c r="J11" i="13" s="1"/>
  <c r="J20" i="13"/>
  <c r="A36" i="16"/>
  <c r="A17" i="16"/>
  <c r="M29" i="16"/>
  <c r="A29" i="16" s="1"/>
  <c r="M37" i="16"/>
  <c r="A37" i="16" s="1"/>
  <c r="I12" i="13"/>
  <c r="J12" i="13" s="1"/>
  <c r="J21" i="13"/>
  <c r="L8" i="16"/>
  <c r="M8" i="16" s="1"/>
  <c r="A8" i="16" s="1"/>
  <c r="J6" i="13" s="1"/>
  <c r="M22" i="16"/>
  <c r="A22" i="16" s="1"/>
  <c r="I13" i="13"/>
  <c r="J13" i="13" s="1"/>
  <c r="J22" i="13"/>
  <c r="M15" i="16"/>
  <c r="A15" i="16" s="1"/>
  <c r="I14" i="13"/>
  <c r="J14" i="13" s="1"/>
  <c r="J23" i="13"/>
  <c r="A23" i="16"/>
  <c r="A28" i="16"/>
  <c r="M24" i="16"/>
  <c r="A24" i="16" s="1"/>
  <c r="J9" i="13"/>
  <c r="I15" i="13"/>
  <c r="J15" i="13" s="1"/>
  <c r="A27" i="15"/>
  <c r="M36" i="15"/>
  <c r="A36" i="15" s="1"/>
  <c r="M13" i="15"/>
  <c r="A13" i="15" s="1"/>
  <c r="M21" i="15"/>
  <c r="A21" i="15" s="1"/>
  <c r="M37" i="15"/>
  <c r="A37" i="15" s="1"/>
  <c r="A28" i="15"/>
  <c r="M31" i="15"/>
  <c r="A31" i="15" s="1"/>
  <c r="A19" i="15"/>
  <c r="A29" i="15"/>
  <c r="A35" i="15"/>
  <c r="M24" i="15"/>
  <c r="A24" i="15" s="1"/>
  <c r="A16" i="15"/>
  <c r="A32" i="15"/>
  <c r="M17" i="15"/>
  <c r="A17" i="15" s="1"/>
  <c r="M25" i="15"/>
  <c r="A25" i="15" s="1"/>
  <c r="M33" i="15"/>
  <c r="A33" i="15" s="1"/>
  <c r="A20" i="15"/>
  <c r="A23" i="15"/>
  <c r="A10" i="15"/>
  <c r="H13" i="13"/>
  <c r="M30" i="14"/>
  <c r="A30" i="14" s="1"/>
  <c r="A15" i="14"/>
  <c r="A23" i="14"/>
  <c r="A31" i="14"/>
  <c r="M25" i="14"/>
  <c r="A25" i="14" s="1"/>
  <c r="M33" i="14"/>
  <c r="A33" i="14" s="1"/>
  <c r="M18" i="14"/>
  <c r="A18" i="14" s="1"/>
  <c r="A9" i="14"/>
  <c r="A16" i="14"/>
  <c r="A34" i="14"/>
  <c r="M19" i="14"/>
  <c r="A19" i="14" s="1"/>
  <c r="M27" i="14"/>
  <c r="A27" i="14" s="1"/>
  <c r="M35" i="14"/>
  <c r="A35" i="14" s="1"/>
  <c r="M28" i="14"/>
  <c r="A28" i="14" s="1"/>
  <c r="A14" i="14"/>
  <c r="A17" i="14"/>
  <c r="A22" i="14"/>
  <c r="M13" i="14"/>
  <c r="A13" i="14" s="1"/>
  <c r="M21" i="14"/>
  <c r="A21" i="14" s="1"/>
  <c r="M29" i="14"/>
  <c r="A29" i="14" s="1"/>
  <c r="M37" i="14"/>
  <c r="A37" i="14" s="1"/>
  <c r="A19" i="18"/>
  <c r="A34" i="18"/>
  <c r="A26" i="18"/>
  <c r="A35" i="18"/>
  <c r="A11" i="18"/>
  <c r="A10" i="17"/>
  <c r="A26" i="16"/>
  <c r="A34" i="16"/>
  <c r="A12" i="15"/>
  <c r="A8" i="15"/>
  <c r="H9" i="13" s="1"/>
  <c r="A9" i="15"/>
  <c r="H10" i="13" s="1"/>
  <c r="A11" i="15"/>
  <c r="A8" i="14"/>
  <c r="L6" i="14"/>
  <c r="A7" i="14"/>
  <c r="F7" i="13" s="1"/>
  <c r="L8" i="14"/>
  <c r="A10" i="14"/>
  <c r="F12" i="13" s="1"/>
  <c r="A11" i="14"/>
  <c r="A12" i="14"/>
  <c r="L7" i="15"/>
  <c r="L6" i="15"/>
  <c r="M6" i="15" s="1"/>
  <c r="L8" i="17"/>
  <c r="M8" i="17" s="1"/>
  <c r="A8" i="17" s="1"/>
  <c r="L10" i="13" s="1"/>
  <c r="L6" i="17"/>
  <c r="L7" i="16"/>
  <c r="M7" i="16" s="1"/>
  <c r="L7" i="17"/>
  <c r="M7" i="17" s="1"/>
  <c r="A7" i="17" s="1"/>
  <c r="L7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P6" i="13" s="1"/>
  <c r="L6" i="18"/>
  <c r="L7" i="18"/>
  <c r="M7" i="18" s="1"/>
  <c r="A7" i="18" s="1"/>
  <c r="A7" i="19"/>
  <c r="P7" i="13" s="1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F8" i="13" l="1"/>
  <c r="F11" i="13"/>
  <c r="H16" i="13"/>
  <c r="H12" i="13"/>
  <c r="H17" i="13"/>
  <c r="H15" i="13"/>
  <c r="H14" i="13"/>
  <c r="H8" i="13"/>
  <c r="H11" i="13"/>
  <c r="P9" i="13"/>
  <c r="P8" i="13"/>
  <c r="P11" i="13"/>
  <c r="P18" i="13"/>
  <c r="P19" i="13"/>
  <c r="P20" i="13"/>
  <c r="P21" i="13"/>
  <c r="P22" i="13"/>
  <c r="P23" i="13"/>
  <c r="N6" i="13"/>
  <c r="N9" i="13"/>
  <c r="N10" i="13"/>
  <c r="N18" i="13"/>
  <c r="N19" i="13"/>
  <c r="N20" i="13"/>
  <c r="N21" i="13"/>
  <c r="N22" i="13"/>
  <c r="N23" i="13"/>
  <c r="N17" i="13"/>
  <c r="N16" i="13"/>
  <c r="N15" i="13"/>
  <c r="N14" i="13"/>
  <c r="N13" i="13"/>
  <c r="N12" i="13"/>
  <c r="N11" i="13"/>
  <c r="N8" i="13"/>
  <c r="M8" i="18"/>
  <c r="A8" i="18" s="1"/>
  <c r="M6" i="18"/>
  <c r="N7" i="13" s="1"/>
  <c r="M8" i="19"/>
  <c r="N8" i="19" s="1"/>
  <c r="A8" i="19" s="1"/>
  <c r="P10" i="13" s="1"/>
  <c r="M6" i="17"/>
  <c r="A6" i="17" s="1"/>
  <c r="L6" i="13"/>
  <c r="A7" i="16"/>
  <c r="J8" i="13" s="1"/>
  <c r="H21" i="13"/>
  <c r="H23" i="13"/>
  <c r="H19" i="13"/>
  <c r="H20" i="13"/>
  <c r="H18" i="13"/>
  <c r="H22" i="13"/>
  <c r="A6" i="15"/>
  <c r="H6" i="13" s="1"/>
  <c r="M7" i="15"/>
  <c r="A7" i="15" s="1"/>
  <c r="H7" i="13" s="1"/>
  <c r="D7" i="13" s="1"/>
  <c r="D12" i="13"/>
  <c r="M6" i="14"/>
  <c r="A6" i="14" s="1"/>
  <c r="F6" i="13" s="1"/>
  <c r="D11" i="13"/>
  <c r="F22" i="13"/>
  <c r="F20" i="13"/>
  <c r="D20" i="13" s="1"/>
  <c r="F18" i="13"/>
  <c r="D18" i="13" s="1"/>
  <c r="F23" i="13"/>
  <c r="F10" i="13"/>
  <c r="D10" i="13" s="1"/>
  <c r="F21" i="13"/>
  <c r="F15" i="13"/>
  <c r="D15" i="13" s="1"/>
  <c r="F19" i="13"/>
  <c r="F14" i="13"/>
  <c r="D14" i="13" s="1"/>
  <c r="F17" i="13"/>
  <c r="D17" i="13" s="1"/>
  <c r="F9" i="13"/>
  <c r="D9" i="13" s="1"/>
  <c r="F16" i="13"/>
  <c r="D16" i="13" s="1"/>
  <c r="F13" i="13"/>
  <c r="D13" i="13" s="1"/>
  <c r="D8" i="13"/>
  <c r="D22" i="13" l="1"/>
  <c r="D21" i="13"/>
  <c r="D6" i="13"/>
  <c r="D19" i="13"/>
  <c r="D23" i="13"/>
</calcChain>
</file>

<file path=xl/sharedStrings.xml><?xml version="1.0" encoding="utf-8"?>
<sst xmlns="http://schemas.openxmlformats.org/spreadsheetml/2006/main" count="273" uniqueCount="79">
  <si>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</si>
  <si>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</si>
  <si>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</si>
  <si>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</si>
  <si>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</si>
  <si>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</si>
  <si>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</si>
  <si>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</si>
  <si>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</si>
  <si>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</si>
  <si>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</si>
  <si>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</si>
  <si>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</si>
  <si>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</si>
  <si>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</si>
  <si>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</si>
  <si>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WASILCZUK Beata</t>
  </si>
  <si>
    <t>GANSZCZYK Anna</t>
  </si>
  <si>
    <t>FITKEVICIENE Audrone</t>
  </si>
  <si>
    <t>BEDNARSKA Halina</t>
  </si>
  <si>
    <t>SADOWIŃSKA Adriana</t>
  </si>
  <si>
    <t>KARMAN Irene</t>
  </si>
  <si>
    <t xml:space="preserve"> </t>
  </si>
  <si>
    <t>Liczba uczestników:</t>
  </si>
  <si>
    <t>GP Punkty</t>
  </si>
  <si>
    <t>Bonus za rundę</t>
  </si>
  <si>
    <t>Bonus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</si>
  <si>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</si>
  <si>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</si>
  <si>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</si>
  <si>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</si>
  <si>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</si>
  <si>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</si>
  <si>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</si>
  <si>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</si>
  <si>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</si>
  <si>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</si>
  <si>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</si>
  <si>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</si>
  <si>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</si>
  <si>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</si>
  <si>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</si>
  <si>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</si>
  <si>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</si>
  <si>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</si>
  <si>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</si>
  <si>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</si>
  <si>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</si>
  <si>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</si>
  <si>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</si>
  <si>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</si>
  <si>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</si>
  <si>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IKS WARSZAWA</t>
  </si>
  <si>
    <t>KAMIŃSKA Gabriela</t>
  </si>
  <si>
    <t>AZS AWF WARSZAWA</t>
  </si>
  <si>
    <t xml:space="preserve"> POL</t>
  </si>
  <si>
    <t>BYTOMSKIE TOWARZYSTWO SZERMIERCZE</t>
  </si>
  <si>
    <t>PIAST GLIWICE</t>
  </si>
  <si>
    <t>SADOWSKA Małgorzata</t>
  </si>
  <si>
    <t>KSz WARSZAWIANKA</t>
  </si>
  <si>
    <t>AZS AWF KRAKÓW</t>
  </si>
  <si>
    <t>KASPRZYK-KUŹNIAK Michalina</t>
  </si>
  <si>
    <t>NIEPOŁOMICE</t>
  </si>
  <si>
    <t>18/06/2022</t>
  </si>
  <si>
    <t>Lithuania club Florete</t>
  </si>
  <si>
    <t>LTU</t>
  </si>
  <si>
    <t>IKS AWF WARSZAWA</t>
  </si>
  <si>
    <t>EVC EGYETEMI VIVO CLUB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</si>
  <si>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</si>
  <si>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</si>
  <si>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</si>
  <si>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</si>
  <si>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</si>
  <si>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</si>
  <si>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</si>
  <si>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</si>
  <si>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</si>
  <si>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IKS AWF Warszawa</t>
  </si>
  <si>
    <t>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</si>
</sst>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12"/>
      <color rgb="FF212529"/>
      <name val="Roboto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1" fillId="0" borderId="0" xfId="0" applyFont="1"/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F78E39912A242559CF7F660F67812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CB1F983981894102A1D802283FC3D9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2A6668939534E93AAFFA5129569148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3A1E86D6D8C42CBB612452343AF6DA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11C3B2072FC4D47B4E3F60919F866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10" sqref="B10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78" t="s">
        <v>2</v>
      </c>
      <c r="S2" s="79"/>
      <c r="T2" s="79"/>
      <c r="U2" s="80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1"/>
      <c r="S3" s="82"/>
      <c r="T3" s="82"/>
      <c r="U3" s="83"/>
    </row>
    <row r="4" spans="1:21" ht="24.75" customHeight="1">
      <c r="A4" s="89" t="s">
        <v>4</v>
      </c>
      <c r="B4" s="91" t="s">
        <v>5</v>
      </c>
      <c r="C4" s="91" t="s">
        <v>6</v>
      </c>
      <c r="D4" s="91" t="s">
        <v>7</v>
      </c>
      <c r="E4" s="87" t="s">
        <v>8</v>
      </c>
      <c r="F4" s="88"/>
      <c r="G4" s="87" t="s">
        <v>9</v>
      </c>
      <c r="H4" s="88"/>
      <c r="I4" s="87" t="s">
        <v>10</v>
      </c>
      <c r="J4" s="88"/>
      <c r="K4" s="87" t="s">
        <v>11</v>
      </c>
      <c r="L4" s="88"/>
      <c r="M4" s="87" t="s">
        <v>12</v>
      </c>
      <c r="N4" s="88"/>
      <c r="O4" s="87" t="s">
        <v>13</v>
      </c>
      <c r="P4" s="88"/>
      <c r="R4" s="84"/>
      <c r="S4" s="85"/>
      <c r="T4" s="85"/>
      <c r="U4" s="86"/>
    </row>
    <row r="5" spans="1:21" ht="18" customHeight="1">
      <c r="A5" s="90"/>
      <c r="B5" s="92"/>
      <c r="C5" s="92"/>
      <c r="D5" s="93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73"/>
      <c r="D6" s="11">
        <f>SUM(F6,H6,J6,L6,N6,P6)-MIN(F6,H6,J6,L6,N6)</f>
        <v>344.11306229709055</v>
      </c>
      <c r="E6" s="12">
        <f>_xlfn.XLOOKUP($B6,'GP1'!$C$6:$C$101,'GP1'!$B$6:$B$101,"")</f>
        <v>1</v>
      </c>
      <c r="F6" s="13">
        <f>_xlfn.XLOOKUP(E6,'GP1'!$B$6:$B$55,'GP1'!$A$6:$A$55,0)</f>
        <v>71.339289449053865</v>
      </c>
      <c r="G6" s="12">
        <f>_xlfn.XLOOKUP($B6,'GP2'!$C$6:$C$101,'GP2'!$B$6:$B$101,"")</f>
        <v>1</v>
      </c>
      <c r="H6" s="13">
        <f>_xlfn.XLOOKUP(G6,'GP2'!$B$6:$B$55,'GP2'!$A$6:$A$55,0)</f>
        <v>74.286609467713788</v>
      </c>
      <c r="I6" s="12">
        <f>_xlfn.XLOOKUP($B6,'GP3'!$C$6:$C$101,'GP3'!$B$6:$B$101,"")</f>
        <v>3</v>
      </c>
      <c r="J6" s="13">
        <f>_xlfn.XLOOKUP(I6,'GP3'!$B$6:$B$55,'GP3'!$A$6:$A$55,0)</f>
        <v>15.930621888236271</v>
      </c>
      <c r="K6" s="12">
        <f>_xlfn.XLOOKUP($B6,'GP4'!$C$6:$C$101,'GP4'!$B$6:$B$101,"")</f>
        <v>1</v>
      </c>
      <c r="L6" s="13">
        <f>_xlfn.XLOOKUP(K6,'GP4'!$B$6:$B$55,'GP4'!$A$6:$A$55,0)</f>
        <v>82.980246132766666</v>
      </c>
      <c r="M6" s="12" t="str">
        <f>_xlfn.XLOOKUP($B6,'GP5'!$C$6:$C$101,'GP5'!$B$6:$B$101,"")</f>
        <v/>
      </c>
      <c r="N6" s="13">
        <f>_xlfn.XLOOKUP(M6,'GP5'!$B$6:$B$55,'GP5'!$A$6:$A$55,0)</f>
        <v>0</v>
      </c>
      <c r="O6" s="12">
        <f>_xlfn.XLOOKUP(B6,MPW!C$6:C$101,MPW!B$6:B$101,"")</f>
        <v>1</v>
      </c>
      <c r="P6" s="18">
        <f>_xlfn.XLOOKUP(O6,MPW!$B$6:$B$55,MPW!$A$6:$A$55,0)</f>
        <v>99.57629535932</v>
      </c>
    </row>
    <row r="7" spans="1:21" ht="14.85" customHeight="1">
      <c r="A7" s="9">
        <f>ROW()-5</f>
        <v>2</v>
      </c>
      <c r="B7" s="14" t="s">
        <v>17</v>
      </c>
      <c r="C7" s="15"/>
      <c r="D7" s="11">
        <f>SUM(F7,H7,J7,L7,N7,P7)-MIN(F7,H7,J7,L7,N7)</f>
        <v>261.33448267257768</v>
      </c>
      <c r="E7" s="16">
        <f>_xlfn.XLOOKUP($B7,'GP1'!$C$6:$C$101,'GP1'!$B$6:$B$101,"")</f>
        <v>2</v>
      </c>
      <c r="F7" s="17">
        <f>_xlfn.XLOOKUP(E7,'GP1'!$B$6:$B$55,'GP1'!$A$6:$A$55,0)</f>
        <v>8.5595262993692387</v>
      </c>
      <c r="G7" s="12">
        <f>_xlfn.XLOOKUP($B7,'GP2'!$C$6:$C$101,'GP2'!$B$6:$B$101,"")</f>
        <v>2</v>
      </c>
      <c r="H7" s="13">
        <f>_xlfn.XLOOKUP(G7,'GP2'!$B$6:$B$55,'GP2'!$A$6:$A$55,0)</f>
        <v>35.024406311809194</v>
      </c>
      <c r="I7" s="12">
        <f>_xlfn.XLOOKUP($B7,'GP3'!$C$6:$C$101,'GP3'!$B$6:$B$101,"")</f>
        <v>1</v>
      </c>
      <c r="J7" s="13">
        <f>_xlfn.XLOOKUP(I7,'GP3'!$B$6:$B$55,'GP3'!$A$6:$A$55,0)</f>
        <v>84.286609467713788</v>
      </c>
      <c r="K7" s="12">
        <f>_xlfn.XLOOKUP($B7,'GP4'!$C$6:$C$101,'GP4'!$B$6:$B$101,"")</f>
        <v>2</v>
      </c>
      <c r="L7" s="13">
        <f>_xlfn.XLOOKUP(K7,'GP4'!$B$6:$B$55,'GP4'!$A$6:$A$55,0)</f>
        <v>37.73793949684304</v>
      </c>
      <c r="M7" s="12">
        <f>_xlfn.XLOOKUP($B7,'GP5'!$C$6:$C$101,'GP5'!$B$6:$B$101,"")</f>
        <v>1</v>
      </c>
      <c r="N7" s="13">
        <f>_xlfn.XLOOKUP(M7,'GP5'!$B$6:$B$55,'GP5'!$A$6:$A$55,0)</f>
        <v>59</v>
      </c>
      <c r="O7" s="12">
        <f>_xlfn.XLOOKUP(B7,MPW!C$6:C$101,MPW!B$6:B$101,"")</f>
        <v>2</v>
      </c>
      <c r="P7" s="18">
        <f>_xlfn.XLOOKUP(O7,MPW!$B$6:$B$55,MPW!$A$6:$A$55,0)</f>
        <v>45.285527396211648</v>
      </c>
    </row>
    <row r="8" spans="1:21" ht="15.75" customHeight="1">
      <c r="A8" s="9">
        <f>ROW()-5</f>
        <v>3</v>
      </c>
      <c r="B8" s="14" t="s">
        <v>18</v>
      </c>
      <c r="C8" s="74"/>
      <c r="D8" s="11">
        <f>SUM(F8,H8,J8,L8,N8,P8)-MIN(F8,H8,J8,L8,N8)</f>
        <v>45.024406311809194</v>
      </c>
      <c r="E8" s="16" t="str">
        <f>_xlfn.XLOOKUP($B8,'GP1'!$C$6:$C$101,'GP1'!$B$6:$B$101,"")</f>
        <v/>
      </c>
      <c r="F8" s="17">
        <f>_xlfn.XLOOKUP(E8,'GP1'!$B$6:$B$55,'GP1'!$A$6:$A$55,0)</f>
        <v>0</v>
      </c>
      <c r="G8" s="12" t="str">
        <f>_xlfn.XLOOKUP($B8,'GP2'!$C$6:$C$101,'GP2'!$B$6:$B$101,"")</f>
        <v/>
      </c>
      <c r="H8" s="13">
        <f>_xlfn.XLOOKUP(G8,'GP2'!$B$6:$B$55,'GP2'!$A$6:$A$55,0)</f>
        <v>0</v>
      </c>
      <c r="I8" s="12">
        <f>_xlfn.XLOOKUP($B8,'GP3'!$C$6:$C$101,'GP3'!$B$6:$B$101,"")</f>
        <v>2</v>
      </c>
      <c r="J8" s="13">
        <f>_xlfn.XLOOKUP(I8,'GP3'!$B$6:$B$55,'GP3'!$A$6:$A$55,0)</f>
        <v>45.024406311809194</v>
      </c>
      <c r="K8" s="12" t="str">
        <f>_xlfn.XLOOKUP($B8,'GP4'!$C$6:$C$101,'GP4'!$B$6:$B$101,"")</f>
        <v/>
      </c>
      <c r="L8" s="13">
        <f>_xlfn.XLOOKUP(K8,'GP4'!$B$6:$B$55,'GP4'!$A$6:$A$55,0)</f>
        <v>0</v>
      </c>
      <c r="M8" s="12" t="str">
        <f>_xlfn.XLOOKUP($B8,'GP5'!$C$6:$C$101,'GP5'!$B$6:$B$101,"")</f>
        <v/>
      </c>
      <c r="N8" s="13">
        <f>_xlfn.XLOOKUP(M8,'GP5'!$B$6:$B$55,'GP5'!$A$6:$A$55,0)</f>
        <v>0</v>
      </c>
      <c r="O8" s="12" t="str">
        <f>_xlfn.XLOOKUP(B8,MPW!C$6:C$101,MPW!B$6:B$101,"")</f>
        <v/>
      </c>
      <c r="P8" s="18">
        <f>_xlfn.XLOOKUP(O8,MPW!$B$6:$B$55,MPW!$A$6:$A$55,0)</f>
        <v>0</v>
      </c>
    </row>
    <row r="9" spans="1:21" ht="14.85" customHeight="1">
      <c r="A9" s="9">
        <f>ROW()-5</f>
        <v>4</v>
      </c>
      <c r="B9" s="14" t="s">
        <v>19</v>
      </c>
      <c r="C9" s="15"/>
      <c r="D9" s="11">
        <f>SUM(F9,H9,J9,L9,N9,P9)-MIN(F9,H9,J9,L9,N9)</f>
        <v>15.930621888236271</v>
      </c>
      <c r="E9" s="16" t="str">
        <f>_xlfn.XLOOKUP($B9,'GP1'!$C$6:$C$101,'GP1'!$B$6:$B$101,"")</f>
        <v/>
      </c>
      <c r="F9" s="17">
        <f>_xlfn.XLOOKUP(E9,'GP1'!$B$6:$B$55,'GP1'!$A$6:$A$55,0)</f>
        <v>0</v>
      </c>
      <c r="G9" s="12">
        <f>_xlfn.XLOOKUP($B9,'GP2'!$C$6:$C$101,'GP2'!$B$6:$B$101,"")</f>
        <v>3</v>
      </c>
      <c r="H9" s="13">
        <f>_xlfn.XLOOKUP(G9,'GP2'!$B$6:$B$55,'GP2'!$A$6:$A$55,0)</f>
        <v>15.930621888236271</v>
      </c>
      <c r="I9" s="12" t="str">
        <f>_xlfn.XLOOKUP($B9,'GP3'!$C$6:$C$101,'GP3'!$B$6:$B$101,"")</f>
        <v/>
      </c>
      <c r="J9" s="13">
        <f>_xlfn.XLOOKUP(I9,'GP3'!$B$6:$B$55,'GP3'!$A$6:$A$55,0)</f>
        <v>0</v>
      </c>
      <c r="K9" s="12" t="str">
        <f>_xlfn.XLOOKUP($B9,'GP4'!$C$6:$C$101,'GP4'!$B$6:$B$101,"")</f>
        <v/>
      </c>
      <c r="L9" s="13">
        <f>_xlfn.XLOOKUP(K9,'GP4'!$B$6:$B$55,'GP4'!$A$6:$A$55,0)</f>
        <v>0</v>
      </c>
      <c r="M9" s="12" t="str">
        <f>_xlfn.XLOOKUP($B9,'GP5'!$C$6:$C$101,'GP5'!$B$6:$B$101,"")</f>
        <v/>
      </c>
      <c r="N9" s="13">
        <f>_xlfn.XLOOKUP(M9,'GP5'!$B$6:$B$55,'GP5'!$A$6:$A$55,0)</f>
        <v>0</v>
      </c>
      <c r="O9" s="12" t="str">
        <f>_xlfn.XLOOKUP(B9,MPW!C$6:C$101,MPW!B$6:B$101,"")</f>
        <v/>
      </c>
      <c r="P9" s="18">
        <f>_xlfn.XLOOKUP(O9,MPW!$B$6:$B$55,MPW!$A$6:$A$55,0)</f>
        <v>0</v>
      </c>
    </row>
    <row r="10" spans="1:21" ht="14.85" customHeight="1">
      <c r="A10" s="9">
        <f>ROW()-5</f>
        <v>5</v>
      </c>
      <c r="B10" s="14" t="s">
        <v>20</v>
      </c>
      <c r="C10" s="15"/>
      <c r="D10" s="11">
        <f>SUM(F10,H10,J10,L10,N10,P10)-MIN(F10,H10,J10,L10,N10)</f>
        <v>12.718847164028894</v>
      </c>
      <c r="E10" s="16" t="str">
        <f>_xlfn.XLOOKUP($B10,'GP1'!$C$6:$C$101,'GP1'!$B$6:$B$101,"")</f>
        <v/>
      </c>
      <c r="F10" s="17">
        <f>_xlfn.XLOOKUP(E10,'GP1'!$B$6:$B$55,'GP1'!$A$6:$A$55,0)</f>
        <v>0</v>
      </c>
      <c r="G10" s="12">
        <f>_xlfn.XLOOKUP($B10,'GP2'!$C$6:$C$101,'GP2'!$B$6:$B$101,"")</f>
        <v>4</v>
      </c>
      <c r="H10" s="13">
        <f>_xlfn.XLOOKUP(G10,'GP2'!$B$6:$B$55,'GP2'!$A$6:$A$55,0)</f>
        <v>1</v>
      </c>
      <c r="I10" s="12" t="str">
        <f>_xlfn.XLOOKUP($B10,'GP3'!$C$6:$C$101,'GP3'!$B$6:$B$101,"")</f>
        <v/>
      </c>
      <c r="J10" s="13">
        <f>_xlfn.XLOOKUP(I10,'GP3'!$B$6:$B$55,'GP3'!$A$6:$A$55,0)</f>
        <v>0</v>
      </c>
      <c r="K10" s="12">
        <f>_xlfn.XLOOKUP($B10,'GP4'!$C$6:$C$101,'GP4'!$B$6:$B$101,"")</f>
        <v>3</v>
      </c>
      <c r="L10" s="13">
        <f>_xlfn.XLOOKUP(K10,'GP4'!$B$6:$B$55,'GP4'!$A$6:$A$55,0)</f>
        <v>5.3267487109222245</v>
      </c>
      <c r="M10" s="12" t="str">
        <f>_xlfn.XLOOKUP($B10,'GP5'!$C$6:$C$101,'GP5'!$B$6:$B$101,"")</f>
        <v/>
      </c>
      <c r="N10" s="13">
        <f>_xlfn.XLOOKUP(M10,'GP5'!$B$6:$B$55,'GP5'!$A$6:$A$55,0)</f>
        <v>0</v>
      </c>
      <c r="O10" s="12">
        <f>_xlfn.XLOOKUP(B10,MPW!C$6:C$101,MPW!B$6:B$101,"")</f>
        <v>3</v>
      </c>
      <c r="P10" s="18">
        <f>_xlfn.XLOOKUP(O10,MPW!$B$6:$B$55,MPW!$A$6:$A$55,0)</f>
        <v>6.3920984531066694</v>
      </c>
    </row>
    <row r="11" spans="1:21" ht="14.85" customHeight="1">
      <c r="A11" s="9">
        <f>ROW()-5</f>
        <v>6</v>
      </c>
      <c r="B11" s="14" t="s">
        <v>21</v>
      </c>
      <c r="C11" s="15"/>
      <c r="D11" s="11">
        <f>SUM(F11,H11,J11,L11,N11,P11)-MIN(F11,H11,J11,L11,N11)</f>
        <v>1</v>
      </c>
      <c r="E11" s="16" t="str">
        <f>_xlfn.XLOOKUP($B11,'GP1'!$C$6:$C$101,'GP1'!$B$6:$B$101,"")</f>
        <v/>
      </c>
      <c r="F11" s="17">
        <f>_xlfn.XLOOKUP(E11,'GP1'!$B$6:$B$55,'GP1'!$A$6:$A$55,0)</f>
        <v>0</v>
      </c>
      <c r="G11" s="12" t="str">
        <f>_xlfn.XLOOKUP($B11,'GP2'!$C$6:$C$101,'GP2'!$B$6:$B$101,"")</f>
        <v/>
      </c>
      <c r="H11" s="13">
        <f>_xlfn.XLOOKUP(G11,'GP2'!$B$6:$B$55,'GP2'!$A$6:$A$55,0)</f>
        <v>0</v>
      </c>
      <c r="I11" s="12">
        <f>_xlfn.XLOOKUP($B11,'GP3'!$C$6:$C$101,'GP3'!$B$6:$B$101,"")</f>
        <v>4</v>
      </c>
      <c r="J11" s="13">
        <f>_xlfn.XLOOKUP(I11,'GP3'!$B$6:$B$55,'GP3'!$A$6:$A$55,0)</f>
        <v>1</v>
      </c>
      <c r="K11" s="12" t="str">
        <f>_xlfn.XLOOKUP($B11,'GP4'!$C$6:$C$101,'GP4'!$B$6:$B$101,"")</f>
        <v/>
      </c>
      <c r="L11" s="13">
        <f>_xlfn.XLOOKUP(K11,'GP4'!$B$6:$B$55,'GP4'!$A$6:$A$55,0)</f>
        <v>0</v>
      </c>
      <c r="M11" s="12" t="str">
        <f>_xlfn.XLOOKUP($B11,'GP5'!$C$6:$C$101,'GP5'!$B$6:$B$101,"")</f>
        <v/>
      </c>
      <c r="N11" s="13">
        <f>_xlfn.XLOOKUP(M11,'GP5'!$B$6:$B$55,'GP5'!$A$6:$A$55,0)</f>
        <v>0</v>
      </c>
      <c r="O11" s="12" t="str">
        <f>_xlfn.XLOOKUP(B11,MPW!C$6:C$101,MPW!B$6:B$101,"")</f>
        <v/>
      </c>
      <c r="P11" s="18">
        <f>_xlfn.XLOOKUP(O11,MPW!$B$6:$B$55,MPW!$A$6:$A$55,0)</f>
        <v>0</v>
      </c>
    </row>
    <row r="12" spans="1:21" ht="14.85" customHeight="1">
      <c r="A12" s="9">
        <f>ROW()-5</f>
        <v>7</v>
      </c>
      <c r="B12" s="14"/>
      <c r="C12" s="15"/>
      <c r="D12" s="11">
        <f>SUM(F12,H12,J12,L12,N12,P12)-MIN(F12,H12,J12,L12,N12)</f>
        <v>0</v>
      </c>
      <c r="E12" s="16" t="str">
        <f>_xlfn.XLOOKUP($B12,'GP1'!$C$6:$C$101,'GP1'!$B$6:$B$101,"")</f>
        <v/>
      </c>
      <c r="F12" s="17">
        <f>_xlfn.XLOOKUP(E12,'GP1'!$B$6:$B$55,'GP1'!$A$6:$A$55,0)</f>
        <v>0</v>
      </c>
      <c r="G12" s="12" t="str">
        <f>_xlfn.XLOOKUP($B12,'GP2'!$C$6:$C$101,'GP2'!$B$6:$B$101,"")</f>
        <v/>
      </c>
      <c r="H12" s="13">
        <f>_xlfn.XLOOKUP(G12,'GP2'!$B$6:$B$55,'GP2'!$A$6:$A$55,0)</f>
        <v>0</v>
      </c>
      <c r="I12" s="12" t="str">
        <f>_xlfn.XLOOKUP($B12,'GP3'!$C$6:$C$101,'GP3'!$B$6:$B$101,"")</f>
        <v/>
      </c>
      <c r="J12" s="13">
        <f>_xlfn.XLOOKUP(I12,'GP3'!$B$6:$B$55,'GP3'!$A$6:$A$55,0)</f>
        <v>0</v>
      </c>
      <c r="K12" s="12" t="str">
        <f>_xlfn.XLOOKUP($B12,'GP4'!$C$6:$C$101,'GP4'!$B$6:$B$101,"")</f>
        <v/>
      </c>
      <c r="L12" s="13">
        <f>_xlfn.XLOOKUP(K12,'GP4'!$B$6:$B$55,'GP4'!$A$6:$A$55,0)</f>
        <v>0</v>
      </c>
      <c r="M12" s="12" t="str">
        <f>_xlfn.XLOOKUP($B12,'GP5'!$C$6:$C$101,'GP5'!$B$6:$B$101,"")</f>
        <v/>
      </c>
      <c r="N12" s="13">
        <f>_xlfn.XLOOKUP(M12,'GP5'!$B$6:$B$55,'GP5'!$A$6:$A$55,0)</f>
        <v>0</v>
      </c>
      <c r="O12" s="12">
        <f>_xlfn.XLOOKUP(B12,MPW!C$6:C$101,MPW!B$6:B$101,"")</f>
        <v>0</v>
      </c>
      <c r="P12" s="18">
        <f>_xlfn.XLOOKUP(O12,MPW!$B$6:$B$55,MPW!$A$6:$A$55,0)</f>
        <v>0</v>
      </c>
    </row>
    <row r="13" spans="1:21" ht="14.85" customHeight="1">
      <c r="A13" s="9">
        <f>ROW()-5</f>
        <v>8</v>
      </c>
      <c r="B13" s="14"/>
      <c r="C13" s="15"/>
      <c r="D13" s="11">
        <f>SUM(F13,H13,J13,L13,N13,P13)-MIN(F13,H13,J13,L13,N13)</f>
        <v>0</v>
      </c>
      <c r="E13" s="16" t="str">
        <f>_xlfn.XLOOKUP($B13,'GP1'!$C$6:$C$101,'GP1'!$B$6:$B$101,"")</f>
        <v/>
      </c>
      <c r="F13" s="17">
        <f>_xlfn.XLOOKUP(E13,'GP1'!$B$6:$B$55,'GP1'!$A$6:$A$55,0)</f>
        <v>0</v>
      </c>
      <c r="G13" s="12" t="str">
        <f>_xlfn.XLOOKUP($B13,'GP2'!$C$6:$C$101,'GP2'!$B$6:$B$101,"")</f>
        <v/>
      </c>
      <c r="H13" s="13">
        <f>_xlfn.XLOOKUP(G13,'GP2'!$B$6:$B$55,'GP2'!$A$6:$A$55,0)</f>
        <v>0</v>
      </c>
      <c r="I13" s="12" t="str">
        <f>_xlfn.XLOOKUP($B13,'GP3'!$C$6:$C$101,'GP3'!$B$6:$B$101,"")</f>
        <v/>
      </c>
      <c r="J13" s="13">
        <f>_xlfn.XLOOKUP(I13,'GP3'!$B$6:$B$55,'GP3'!$A$6:$A$55,0)</f>
        <v>0</v>
      </c>
      <c r="K13" s="12" t="str">
        <f>_xlfn.XLOOKUP($B13,'GP4'!$C$6:$C$101,'GP4'!$B$6:$B$101,"")</f>
        <v/>
      </c>
      <c r="L13" s="13">
        <f>_xlfn.XLOOKUP(K13,'GP4'!$B$6:$B$55,'GP4'!$A$6:$A$55,0)</f>
        <v>0</v>
      </c>
      <c r="M13" s="12" t="str">
        <f>_xlfn.XLOOKUP($B13,'GP5'!$C$6:$C$101,'GP5'!$B$6:$B$101,"")</f>
        <v/>
      </c>
      <c r="N13" s="13">
        <f>_xlfn.XLOOKUP(M13,'GP5'!$B$6:$B$55,'GP5'!$A$6:$A$55,0)</f>
        <v>0</v>
      </c>
      <c r="O13" s="12">
        <f>_xlfn.XLOOKUP(B13,MPW!C$6:C$101,MPW!B$6:B$101,"")</f>
        <v>0</v>
      </c>
      <c r="P13" s="18">
        <f>_xlfn.XLOOKUP(O13,MPW!$B$6:$B$55,MPW!$A$6:$A$55,0)</f>
        <v>0</v>
      </c>
    </row>
    <row r="14" spans="1:21" ht="14.85" customHeight="1">
      <c r="A14" s="9">
        <f>ROW()-5</f>
        <v>9</v>
      </c>
      <c r="B14" s="14"/>
      <c r="C14" s="15"/>
      <c r="D14" s="11">
        <f>SUM(F14,H14,J14,L14,N14,P14)-MIN(F14,H14,J14,L14,N14)</f>
        <v>0</v>
      </c>
      <c r="E14" s="16" t="str">
        <f>_xlfn.XLOOKUP($B14,'GP1'!$C$6:$C$101,'GP1'!$B$6:$B$101,"")</f>
        <v/>
      </c>
      <c r="F14" s="17">
        <f>_xlfn.XLOOKUP(E14,'GP1'!$B$6:$B$55,'GP1'!$A$6:$A$55,0)</f>
        <v>0</v>
      </c>
      <c r="G14" s="12" t="str">
        <f>_xlfn.XLOOKUP($B14,'GP2'!$C$6:$C$101,'GP2'!$B$6:$B$101,"")</f>
        <v/>
      </c>
      <c r="H14" s="13">
        <f>_xlfn.XLOOKUP(G14,'GP2'!$B$6:$B$55,'GP2'!$A$6:$A$55,0)</f>
        <v>0</v>
      </c>
      <c r="I14" s="12" t="str">
        <f>_xlfn.XLOOKUP($B14,'GP3'!$C$6:$C$101,'GP3'!$B$6:$B$101,"")</f>
        <v/>
      </c>
      <c r="J14" s="13">
        <f>_xlfn.XLOOKUP(I14,'GP3'!$B$6:$B$55,'GP3'!$A$6:$A$55,0)</f>
        <v>0</v>
      </c>
      <c r="K14" s="12" t="str">
        <f>_xlfn.XLOOKUP($B14,'GP4'!$C$6:$C$101,'GP4'!$B$6:$B$101,"")</f>
        <v/>
      </c>
      <c r="L14" s="13">
        <f>_xlfn.XLOOKUP(K14,'GP4'!$B$6:$B$55,'GP4'!$A$6:$A$55,0)</f>
        <v>0</v>
      </c>
      <c r="M14" s="12" t="str">
        <f>_xlfn.XLOOKUP($B14,'GP5'!$C$6:$C$101,'GP5'!$B$6:$B$101,"")</f>
        <v/>
      </c>
      <c r="N14" s="13">
        <f>_xlfn.XLOOKUP(M14,'GP5'!$B$6:$B$55,'GP5'!$A$6:$A$55,0)</f>
        <v>0</v>
      </c>
      <c r="O14" s="12">
        <f>_xlfn.XLOOKUP(B14,MPW!C$6:C$101,MPW!B$6:B$101,"")</f>
        <v>0</v>
      </c>
      <c r="P14" s="18">
        <f>_xlfn.XLOOKUP(O14,MPW!$B$6:$B$55,MPW!$A$6:$A$55,0)</f>
        <v>0</v>
      </c>
    </row>
    <row r="15" spans="1:21" ht="14.85" customHeight="1">
      <c r="A15" s="9">
        <f>ROW()-5</f>
        <v>10</v>
      </c>
      <c r="B15" s="14"/>
      <c r="C15" s="15"/>
      <c r="D15" s="11">
        <f>SUM(F15,H15,J15,L15,N15,P15)-MIN(F15,H15,J15,L15,N15)</f>
        <v>0</v>
      </c>
      <c r="E15" s="16" t="str">
        <f>_xlfn.XLOOKUP($B15,'GP1'!$C$6:$C$101,'GP1'!$B$6:$B$101,"")</f>
        <v/>
      </c>
      <c r="F15" s="17">
        <f>_xlfn.XLOOKUP(E15,'GP1'!$B$6:$B$55,'GP1'!$A$6:$A$55,0)</f>
        <v>0</v>
      </c>
      <c r="G15" s="12" t="str">
        <f>_xlfn.XLOOKUP($B15,'GP2'!$C$6:$C$101,'GP2'!$B$6:$B$101,"")</f>
        <v/>
      </c>
      <c r="H15" s="13">
        <f>_xlfn.XLOOKUP(G15,'GP2'!$B$6:$B$55,'GP2'!$A$6:$A$55,0)</f>
        <v>0</v>
      </c>
      <c r="I15" s="12" t="str">
        <f>_xlfn.XLOOKUP($B15,'GP3'!$C$6:$C$101,'GP3'!$B$6:$B$101,"")</f>
        <v/>
      </c>
      <c r="J15" s="13">
        <f>_xlfn.XLOOKUP(I15,'GP3'!$B$6:$B$55,'GP3'!$A$6:$A$55,0)</f>
        <v>0</v>
      </c>
      <c r="K15" s="12" t="str">
        <f>_xlfn.XLOOKUP($B15,'GP4'!$C$6:$C$101,'GP4'!$B$6:$B$101,"")</f>
        <v/>
      </c>
      <c r="L15" s="13">
        <f>_xlfn.XLOOKUP(K15,'GP4'!$B$6:$B$55,'GP4'!$A$6:$A$55,0)</f>
        <v>0</v>
      </c>
      <c r="M15" s="12" t="str">
        <f>_xlfn.XLOOKUP($B15,'GP5'!$C$6:$C$101,'GP5'!$B$6:$B$101,"")</f>
        <v/>
      </c>
      <c r="N15" s="13">
        <f>_xlfn.XLOOKUP(M15,'GP5'!$B$6:$B$55,'GP5'!$A$6:$A$55,0)</f>
        <v>0</v>
      </c>
      <c r="O15" s="12">
        <f>_xlfn.XLOOKUP(B15,MPW!C$6:C$101,MPW!B$6:B$101,"")</f>
        <v>0</v>
      </c>
      <c r="P15" s="18">
        <f>_xlfn.XLOOKUP(O15,MPW!$B$6:$B$55,MPW!$A$6:$A$55,0)</f>
        <v>0</v>
      </c>
    </row>
    <row r="16" spans="1:21" ht="14.85" customHeight="1">
      <c r="A16" s="9">
        <f>ROW()-5</f>
        <v>11</v>
      </c>
      <c r="B16" s="14"/>
      <c r="C16" s="15"/>
      <c r="D16" s="11">
        <f>SUM(F16,H16,J16,L16,N16,P16)-MIN(F16,H16,J16,L16,N16)</f>
        <v>0</v>
      </c>
      <c r="E16" s="16" t="str">
        <f>_xlfn.XLOOKUP($B16,'GP1'!$C$6:$C$101,'GP1'!$B$6:$B$101,"")</f>
        <v/>
      </c>
      <c r="F16" s="17">
        <f>_xlfn.XLOOKUP(E16,'GP1'!$B$6:$B$55,'GP1'!$A$6:$A$55,0)</f>
        <v>0</v>
      </c>
      <c r="G16" s="12" t="str">
        <f>_xlfn.XLOOKUP($B16,'GP2'!$C$6:$C$101,'GP2'!$B$6:$B$101,"")</f>
        <v/>
      </c>
      <c r="H16" s="13">
        <f>_xlfn.XLOOKUP(G16,'GP2'!$B$6:$B$55,'GP2'!$A$6:$A$55,0)</f>
        <v>0</v>
      </c>
      <c r="I16" s="12" t="str">
        <f>_xlfn.XLOOKUP($B16,'GP3'!$C$6:$C$101,'GP3'!$B$6:$B$101,"")</f>
        <v/>
      </c>
      <c r="J16" s="13">
        <f>_xlfn.XLOOKUP(I16,'GP3'!$B$6:$B$55,'GP3'!$A$6:$A$55,0)</f>
        <v>0</v>
      </c>
      <c r="K16" s="12" t="str">
        <f>_xlfn.XLOOKUP($B16,'GP4'!$C$6:$C$101,'GP4'!$B$6:$B$101,"")</f>
        <v/>
      </c>
      <c r="L16" s="13">
        <f>_xlfn.XLOOKUP(K16,'GP4'!$B$6:$B$55,'GP4'!$A$6:$A$55,0)</f>
        <v>0</v>
      </c>
      <c r="M16" s="12" t="str">
        <f>_xlfn.XLOOKUP($B16,'GP5'!$C$6:$C$101,'GP5'!$B$6:$B$101,"")</f>
        <v/>
      </c>
      <c r="N16" s="13">
        <f>_xlfn.XLOOKUP(M16,'GP5'!$B$6:$B$55,'GP5'!$A$6:$A$55,0)</f>
        <v>0</v>
      </c>
      <c r="O16" s="12">
        <f>_xlfn.XLOOKUP(B16,MPW!C$6:C$101,MPW!B$6:B$101,"")</f>
        <v>0</v>
      </c>
      <c r="P16" s="18">
        <f>_xlfn.XLOOKUP(O16,MPW!$B$6:$B$55,MPW!$A$6:$A$55,0)</f>
        <v>0</v>
      </c>
    </row>
    <row r="17" spans="1:16" ht="14.85" customHeight="1">
      <c r="A17" s="9">
        <f>ROW()-5</f>
        <v>12</v>
      </c>
      <c r="B17" s="14"/>
      <c r="C17" s="15"/>
      <c r="D17" s="11">
        <f>SUM(F17,H17,J17,L17,N17,P17)-MIN(F17,H17,J17,L17,N17)</f>
        <v>0</v>
      </c>
      <c r="E17" s="16" t="str">
        <f>_xlfn.XLOOKUP($B17,'GP1'!$C$6:$C$101,'GP1'!$B$6:$B$101,"")</f>
        <v/>
      </c>
      <c r="F17" s="17">
        <f>_xlfn.XLOOKUP(E17,'GP1'!$B$6:$B$55,'GP1'!$A$6:$A$55,0)</f>
        <v>0</v>
      </c>
      <c r="G17" s="12" t="str">
        <f>_xlfn.XLOOKUP($B17,'GP2'!$C$6:$C$101,'GP2'!$B$6:$B$101,"")</f>
        <v/>
      </c>
      <c r="H17" s="13">
        <f>_xlfn.XLOOKUP(G17,'GP2'!$B$6:$B$55,'GP2'!$A$6:$A$55,0)</f>
        <v>0</v>
      </c>
      <c r="I17" s="12" t="str">
        <f>_xlfn.XLOOKUP($B17,'GP3'!$C$6:$C$101,'GP3'!$B$6:$B$101,"")</f>
        <v/>
      </c>
      <c r="J17" s="13">
        <f>_xlfn.XLOOKUP(I17,'GP3'!$B$6:$B$55,'GP3'!$A$6:$A$55,0)</f>
        <v>0</v>
      </c>
      <c r="K17" s="12" t="str">
        <f>_xlfn.XLOOKUP($B17,'GP4'!$C$6:$C$101,'GP4'!$B$6:$B$101,"")</f>
        <v/>
      </c>
      <c r="L17" s="13">
        <f>_xlfn.XLOOKUP(K17,'GP4'!$B$6:$B$55,'GP4'!$A$6:$A$55,0)</f>
        <v>0</v>
      </c>
      <c r="M17" s="12" t="str">
        <f>_xlfn.XLOOKUP($B17,'GP5'!$C$6:$C$101,'GP5'!$B$6:$B$101,"")</f>
        <v/>
      </c>
      <c r="N17" s="13">
        <f>_xlfn.XLOOKUP(M17,'GP5'!$B$6:$B$55,'GP5'!$A$6:$A$55,0)</f>
        <v>0</v>
      </c>
      <c r="O17" s="12">
        <f>_xlfn.XLOOKUP(B17,MPW!C$6:C$101,MPW!B$6:B$101,"")</f>
        <v>0</v>
      </c>
      <c r="P17" s="18">
        <f>_xlfn.XLOOKUP(O17,MPW!$B$6:$B$55,MPW!$A$6:$A$55,0)</f>
        <v>0</v>
      </c>
    </row>
    <row r="18" spans="1:16" ht="14.85" customHeight="1">
      <c r="A18" s="9">
        <f>ROW()-5</f>
        <v>13</v>
      </c>
      <c r="B18" s="14" t="s">
        <v>22</v>
      </c>
      <c r="C18" s="15"/>
      <c r="D18" s="11">
        <f>SUM(F18,H18,J18,L18,N18,P18)-MIN(F18,H18,J18,L18,N18)</f>
        <v>0</v>
      </c>
      <c r="E18" s="16" t="str">
        <f>_xlfn.XLOOKUP($B18,'GP1'!$C$6:$C$101,'GP1'!$B$6:$B$101,"")</f>
        <v/>
      </c>
      <c r="F18" s="17">
        <f>_xlfn.XLOOKUP(E18,'GP1'!$B$6:$B$55,'GP1'!$A$6:$A$55,0)</f>
        <v>0</v>
      </c>
      <c r="G18" s="12" t="str">
        <f>_xlfn.XLOOKUP($B18,'GP2'!$C$6:$C$101,'GP2'!$B$6:$B$101,"")</f>
        <v/>
      </c>
      <c r="H18" s="13">
        <f>_xlfn.XLOOKUP(G18,'GP2'!$B$6:$B$55,'GP2'!$A$6:$A$55,0)</f>
        <v>0</v>
      </c>
      <c r="I18" s="12" t="str">
        <f>_xlfn.XLOOKUP($B18,'GP3'!$C$6:$C$101,'GP3'!$B$6:$B$101,"")</f>
        <v/>
      </c>
      <c r="J18" s="13">
        <f>_xlfn.XLOOKUP(I18,'GP3'!$B$6:$B$55,'GP3'!$A$6:$A$55,0)</f>
        <v>0</v>
      </c>
      <c r="K18" s="12" t="str">
        <f>_xlfn.XLOOKUP($B18,'GP4'!$C$6:$C$101,'GP4'!$B$6:$B$101,"")</f>
        <v/>
      </c>
      <c r="L18" s="13">
        <f>_xlfn.XLOOKUP(K18,'GP4'!$B$6:$B$55,'GP4'!$A$6:$A$55,0)</f>
        <v>0</v>
      </c>
      <c r="M18" s="12" t="str">
        <f>_xlfn.XLOOKUP($B18,'GP5'!$C$6:$C$101,'GP5'!$B$6:$B$101,"")</f>
        <v/>
      </c>
      <c r="N18" s="13">
        <f>_xlfn.XLOOKUP(M18,'GP5'!$B$6:$B$55,'GP5'!$A$6:$A$55,0)</f>
        <v>0</v>
      </c>
      <c r="O18" s="12" t="str">
        <f>_xlfn.XLOOKUP(B18,MPW!C$6:C$101,MPW!B$6:B$101,"")</f>
        <v/>
      </c>
      <c r="P18" s="18">
        <f>_xlfn.XLOOKUP(O18,MPW!$B$6:$B$55,MPW!$A$6:$A$55,0)</f>
        <v>0</v>
      </c>
    </row>
    <row r="19" spans="1:16" ht="14.85" customHeight="1">
      <c r="A19" s="9">
        <f>ROW()-5</f>
        <v>14</v>
      </c>
      <c r="B19" s="14" t="s">
        <v>22</v>
      </c>
      <c r="C19" s="15"/>
      <c r="D19" s="11">
        <f>SUM(F19,H19,J19,L19,N19,P19)-MIN(F19,H19,J19,L19,N19)</f>
        <v>0</v>
      </c>
      <c r="E19" s="16" t="str">
        <f>_xlfn.XLOOKUP($B19,'GP1'!$C$6:$C$101,'GP1'!$B$6:$B$101,"")</f>
        <v/>
      </c>
      <c r="F19" s="17">
        <f>_xlfn.XLOOKUP(E19,'GP1'!$B$6:$B$55,'GP1'!$A$6:$A$55,0)</f>
        <v>0</v>
      </c>
      <c r="G19" s="12" t="str">
        <f>_xlfn.XLOOKUP($B19,'GP2'!$C$6:$C$101,'GP2'!$B$6:$B$101,"")</f>
        <v/>
      </c>
      <c r="H19" s="13">
        <f>_xlfn.XLOOKUP(G19,'GP2'!$B$6:$B$55,'GP2'!$A$6:$A$55,0)</f>
        <v>0</v>
      </c>
      <c r="I19" s="12" t="str">
        <f>_xlfn.XLOOKUP($B19,'GP3'!$C$6:$C$101,'GP3'!$B$6:$B$101,"")</f>
        <v/>
      </c>
      <c r="J19" s="13">
        <f>_xlfn.XLOOKUP(I19,'GP3'!$B$6:$B$55,'GP3'!$A$6:$A$55,0)</f>
        <v>0</v>
      </c>
      <c r="K19" s="12" t="str">
        <f>_xlfn.XLOOKUP($B19,'GP4'!$C$6:$C$101,'GP4'!$B$6:$B$101,"")</f>
        <v/>
      </c>
      <c r="L19" s="13">
        <f>_xlfn.XLOOKUP(K19,'GP4'!$B$6:$B$55,'GP4'!$A$6:$A$55,0)</f>
        <v>0</v>
      </c>
      <c r="M19" s="12" t="str">
        <f>_xlfn.XLOOKUP($B19,'GP5'!$C$6:$C$101,'GP5'!$B$6:$B$101,"")</f>
        <v/>
      </c>
      <c r="N19" s="13">
        <f>_xlfn.XLOOKUP(M19,'GP5'!$B$6:$B$55,'GP5'!$A$6:$A$55,0)</f>
        <v>0</v>
      </c>
      <c r="O19" s="12" t="str">
        <f>_xlfn.XLOOKUP(B19,MPW!C$6:C$101,MPW!B$6:B$101,"")</f>
        <v/>
      </c>
      <c r="P19" s="18">
        <f>_xlfn.XLOOKUP(O19,MPW!$B$6:$B$55,MPW!$A$6:$A$55,0)</f>
        <v>0</v>
      </c>
    </row>
    <row r="20" spans="1:16" ht="14.85" customHeight="1">
      <c r="A20" s="9">
        <f>ROW()-5</f>
        <v>15</v>
      </c>
      <c r="B20" s="14" t="s">
        <v>22</v>
      </c>
      <c r="C20" s="15"/>
      <c r="D20" s="11">
        <f>SUM(F20,H20,J20,L20,N20,P20)-MIN(F20,H20,J20,L20,N20)</f>
        <v>0</v>
      </c>
      <c r="E20" s="16" t="str">
        <f>_xlfn.XLOOKUP($B20,'GP1'!$C$6:$C$101,'GP1'!$B$6:$B$101,"")</f>
        <v/>
      </c>
      <c r="F20" s="17">
        <f>_xlfn.XLOOKUP(E20,'GP1'!$B$6:$B$55,'GP1'!$A$6:$A$55,0)</f>
        <v>0</v>
      </c>
      <c r="G20" s="12" t="str">
        <f>_xlfn.XLOOKUP($B20,'GP2'!$C$6:$C$101,'GP2'!$B$6:$B$101,"")</f>
        <v/>
      </c>
      <c r="H20" s="13">
        <f>_xlfn.XLOOKUP(G20,'GP2'!$B$6:$B$55,'GP2'!$A$6:$A$55,0)</f>
        <v>0</v>
      </c>
      <c r="I20" s="12" t="str">
        <f>_xlfn.XLOOKUP($B20,'GP3'!$C$6:$C$101,'GP3'!$B$6:$B$101,"")</f>
        <v/>
      </c>
      <c r="J20" s="13">
        <f>_xlfn.XLOOKUP(I20,'GP3'!$B$6:$B$55,'GP3'!$A$6:$A$55,0)</f>
        <v>0</v>
      </c>
      <c r="K20" s="12" t="str">
        <f>_xlfn.XLOOKUP($B20,'GP4'!$C$6:$C$101,'GP4'!$B$6:$B$101,"")</f>
        <v/>
      </c>
      <c r="L20" s="13">
        <f>_xlfn.XLOOKUP(K20,'GP4'!$B$6:$B$55,'GP4'!$A$6:$A$55,0)</f>
        <v>0</v>
      </c>
      <c r="M20" s="12" t="str">
        <f>_xlfn.XLOOKUP($B20,'GP5'!$C$6:$C$101,'GP5'!$B$6:$B$101,"")</f>
        <v/>
      </c>
      <c r="N20" s="13">
        <f>_xlfn.XLOOKUP(M20,'GP5'!$B$6:$B$55,'GP5'!$A$6:$A$55,0)</f>
        <v>0</v>
      </c>
      <c r="O20" s="12" t="str">
        <f>_xlfn.XLOOKUP(B20,MPW!C$6:C$101,MPW!B$6:B$101,"")</f>
        <v/>
      </c>
      <c r="P20" s="18">
        <f>_xlfn.XLOOKUP(O20,MPW!$B$6:$B$55,MPW!$A$6:$A$55,0)</f>
        <v>0</v>
      </c>
    </row>
    <row r="21" spans="1:16" ht="14.85" customHeight="1">
      <c r="A21" s="9">
        <f>ROW()-5</f>
        <v>16</v>
      </c>
      <c r="B21" s="14" t="s">
        <v>22</v>
      </c>
      <c r="C21" s="15"/>
      <c r="D21" s="11">
        <f>SUM(F21,H21,J21,L21,N21,P21)-MIN(F21,H21,J21,L21,N21)</f>
        <v>0</v>
      </c>
      <c r="E21" s="16" t="str">
        <f>_xlfn.XLOOKUP($B21,'GP1'!$C$6:$C$101,'GP1'!$B$6:$B$101,"")</f>
        <v/>
      </c>
      <c r="F21" s="17">
        <f>_xlfn.XLOOKUP(E21,'GP1'!$B$6:$B$55,'GP1'!$A$6:$A$55,0)</f>
        <v>0</v>
      </c>
      <c r="G21" s="12" t="str">
        <f>_xlfn.XLOOKUP($B21,'GP2'!$C$6:$C$101,'GP2'!$B$6:$B$101,"")</f>
        <v/>
      </c>
      <c r="H21" s="13">
        <f>_xlfn.XLOOKUP(G21,'GP2'!$B$6:$B$55,'GP2'!$A$6:$A$55,0)</f>
        <v>0</v>
      </c>
      <c r="I21" s="12" t="str">
        <f>_xlfn.XLOOKUP($B21,'GP3'!$C$6:$C$101,'GP3'!$B$6:$B$101,"")</f>
        <v/>
      </c>
      <c r="J21" s="13">
        <f>_xlfn.XLOOKUP(I21,'GP3'!$B$6:$B$55,'GP3'!$A$6:$A$55,0)</f>
        <v>0</v>
      </c>
      <c r="K21" s="12" t="str">
        <f>_xlfn.XLOOKUP($B21,'GP4'!$C$6:$C$101,'GP4'!$B$6:$B$101,"")</f>
        <v/>
      </c>
      <c r="L21" s="13">
        <f>_xlfn.XLOOKUP(K21,'GP4'!$B$6:$B$55,'GP4'!$A$6:$A$55,0)</f>
        <v>0</v>
      </c>
      <c r="M21" s="12" t="str">
        <f>_xlfn.XLOOKUP($B21,'GP5'!$C$6:$C$101,'GP5'!$B$6:$B$101,"")</f>
        <v/>
      </c>
      <c r="N21" s="13">
        <f>_xlfn.XLOOKUP(M21,'GP5'!$B$6:$B$55,'GP5'!$A$6:$A$55,0)</f>
        <v>0</v>
      </c>
      <c r="O21" s="12" t="str">
        <f>_xlfn.XLOOKUP(B21,MPW!C$6:C$101,MPW!B$6:B$101,"")</f>
        <v/>
      </c>
      <c r="P21" s="18">
        <f>_xlfn.XLOOKUP(O21,MPW!$B$6:$B$55,MPW!$A$6:$A$55,0)</f>
        <v>0</v>
      </c>
    </row>
    <row r="22" spans="1:16" ht="14.85" customHeight="1">
      <c r="A22" s="9">
        <f>ROW()-5</f>
        <v>17</v>
      </c>
      <c r="B22" s="14" t="s">
        <v>22</v>
      </c>
      <c r="C22" s="15"/>
      <c r="D22" s="11">
        <f>SUM(F22,H22,J22,L22,N22,P22)-MIN(F22,H22,J22,L22,N22)</f>
        <v>0</v>
      </c>
      <c r="E22" s="16" t="str">
        <f>_xlfn.XLOOKUP($B22,'GP1'!$C$6:$C$101,'GP1'!$B$6:$B$101,"")</f>
        <v/>
      </c>
      <c r="F22" s="17">
        <f>_xlfn.XLOOKUP(E22,'GP1'!$B$6:$B$55,'GP1'!$A$6:$A$55,0)</f>
        <v>0</v>
      </c>
      <c r="G22" s="12" t="str">
        <f>_xlfn.XLOOKUP($B22,'GP2'!$C$6:$C$101,'GP2'!$B$6:$B$101,"")</f>
        <v/>
      </c>
      <c r="H22" s="13">
        <f>_xlfn.XLOOKUP(G22,'GP2'!$B$6:$B$55,'GP2'!$A$6:$A$55,0)</f>
        <v>0</v>
      </c>
      <c r="I22" s="12" t="str">
        <f>_xlfn.XLOOKUP($B22,'GP3'!$C$6:$C$101,'GP3'!$B$6:$B$101,"")</f>
        <v/>
      </c>
      <c r="J22" s="13">
        <f>_xlfn.XLOOKUP(I22,'GP3'!$B$6:$B$55,'GP3'!$A$6:$A$55,0)</f>
        <v>0</v>
      </c>
      <c r="K22" s="12" t="str">
        <f>_xlfn.XLOOKUP($B22,'GP4'!$C$6:$C$101,'GP4'!$B$6:$B$101,"")</f>
        <v/>
      </c>
      <c r="L22" s="13">
        <f>_xlfn.XLOOKUP(K22,'GP4'!$B$6:$B$55,'GP4'!$A$6:$A$55,0)</f>
        <v>0</v>
      </c>
      <c r="M22" s="12" t="str">
        <f>_xlfn.XLOOKUP($B22,'GP5'!$C$6:$C$101,'GP5'!$B$6:$B$101,"")</f>
        <v/>
      </c>
      <c r="N22" s="13">
        <f>_xlfn.XLOOKUP(M22,'GP5'!$B$6:$B$55,'GP5'!$A$6:$A$55,0)</f>
        <v>0</v>
      </c>
      <c r="O22" s="12" t="str">
        <f>_xlfn.XLOOKUP(B22,MPW!C$6:C$101,MPW!B$6:B$101,"")</f>
        <v/>
      </c>
      <c r="P22" s="18">
        <f>_xlfn.XLOOKUP(O22,MPW!$B$6:$B$55,MPW!$A$6:$A$55,0)</f>
        <v>0</v>
      </c>
    </row>
    <row r="23" spans="1:16" ht="14.85" customHeight="1">
      <c r="A23" s="9">
        <f>ROW()-5</f>
        <v>18</v>
      </c>
      <c r="B23" s="14" t="s">
        <v>22</v>
      </c>
      <c r="C23" s="15"/>
      <c r="D23" s="11">
        <f>SUM(F23,H23,J23,L23,N23,P23)-MIN(F23,H23,J23,L23,N23)</f>
        <v>0</v>
      </c>
      <c r="E23" s="16" t="str">
        <f>_xlfn.XLOOKUP($B23,'GP1'!$C$6:$C$101,'GP1'!$B$6:$B$101,"")</f>
        <v/>
      </c>
      <c r="F23" s="17">
        <f>_xlfn.XLOOKUP(E23,'GP1'!$B$6:$B$55,'GP1'!$A$6:$A$55,0)</f>
        <v>0</v>
      </c>
      <c r="G23" s="12" t="str">
        <f>_xlfn.XLOOKUP($B23,'GP2'!$C$6:$C$101,'GP2'!$B$6:$B$101,"")</f>
        <v/>
      </c>
      <c r="H23" s="13">
        <f>_xlfn.XLOOKUP(G23,'GP2'!$B$6:$B$55,'GP2'!$A$6:$A$55,0)</f>
        <v>0</v>
      </c>
      <c r="I23" s="12" t="str">
        <f>_xlfn.XLOOKUP($B23,'GP3'!$C$6:$C$101,'GP3'!$B$6:$B$101,"")</f>
        <v/>
      </c>
      <c r="J23" s="13">
        <f>_xlfn.XLOOKUP(I23,'GP3'!$B$6:$B$55,'GP3'!$A$6:$A$55,0)</f>
        <v>0</v>
      </c>
      <c r="K23" s="12" t="str">
        <f>_xlfn.XLOOKUP($B23,'GP4'!$C$6:$C$101,'GP4'!$B$6:$B$101,"")</f>
        <v/>
      </c>
      <c r="L23" s="13">
        <f>_xlfn.XLOOKUP(K23,'GP4'!$B$6:$B$55,'GP4'!$A$6:$A$55,0)</f>
        <v>0</v>
      </c>
      <c r="M23" s="12" t="str">
        <f>_xlfn.XLOOKUP($B23,'GP5'!$C$6:$C$101,'GP5'!$B$6:$B$101,"")</f>
        <v/>
      </c>
      <c r="N23" s="13">
        <f>_xlfn.XLOOKUP(M23,'GP5'!$B$6:$B$55,'GP5'!$A$6:$A$55,0)</f>
        <v>0</v>
      </c>
      <c r="O23" s="12" t="str">
        <f>_xlfn.XLOOKUP(B23,MPW!C$6:C$101,MPW!B$6:B$101,"")</f>
        <v/>
      </c>
      <c r="P23" s="18">
        <f>_xlfn.XLOOKUP(O23,MPW!$B$6:$B$55,MPW!$A$6:$A$55,0)</f>
        <v>0</v>
      </c>
    </row>
    <row r="24" spans="1:1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29" sqref="C29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4" t="s">
        <v>28</v>
      </c>
      <c r="D2" s="94"/>
      <c r="E2" s="27"/>
      <c r="F2" s="27"/>
      <c r="G2" s="27"/>
      <c r="H2" s="28">
        <v>2</v>
      </c>
      <c r="I2" s="29">
        <v>50</v>
      </c>
      <c r="J2" s="29">
        <v>10</v>
      </c>
      <c r="K2" s="72">
        <f>3*H2^(1/3)</f>
        <v>3.7797631496846193</v>
      </c>
      <c r="L2" s="24"/>
      <c r="M2" s="24"/>
    </row>
    <row r="3" spans="1:36">
      <c r="A3" s="20"/>
      <c r="B3" s="31" t="s">
        <v>29</v>
      </c>
      <c r="C3" s="95">
        <v>44611</v>
      </c>
      <c r="D3" s="95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71.339289449053865</v>
      </c>
      <c r="B6" s="40">
        <f t="shared" ref="B6:B37" si="0">IF(H6&gt;$H$2,"",(ROW()-5))</f>
        <v>1</v>
      </c>
      <c r="C6" s="41" t="s">
        <v>16</v>
      </c>
      <c r="D6" s="41"/>
      <c r="E6" s="41"/>
      <c r="F6" s="41" t="s">
        <v>42</v>
      </c>
      <c r="G6" s="34"/>
      <c r="H6" s="42">
        <v>1</v>
      </c>
      <c r="I6" s="43">
        <f t="shared" ref="I6:I69" si="1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2">J6*$J$2</f>
        <v>10</v>
      </c>
      <c r="L6" s="44">
        <f>3*K2</f>
        <v>11.339289449053858</v>
      </c>
      <c r="M6" s="44">
        <f t="shared" ref="M6:M69" si="3">IF(I6&lt;&gt;"",K6+I6+L6,0)</f>
        <v>71.339289449053865</v>
      </c>
    </row>
    <row r="7" spans="1:36" ht="14.45" customHeight="1">
      <c r="A7" s="45">
        <f t="shared" ref="A7:A37" si="4">M7</f>
        <v>8.5595262993692387</v>
      </c>
      <c r="B7" s="46">
        <f t="shared" si="0"/>
        <v>2</v>
      </c>
      <c r="C7" s="47" t="s">
        <v>17</v>
      </c>
      <c r="D7" s="47"/>
      <c r="E7" s="47"/>
      <c r="F7" s="47" t="s">
        <v>42</v>
      </c>
      <c r="G7" s="34"/>
      <c r="H7" s="48">
        <v>2</v>
      </c>
      <c r="I7" s="49">
        <f t="shared" si="1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2"/>
        <v>0</v>
      </c>
      <c r="L7" s="50">
        <f>2*K2</f>
        <v>7.5595262993692387</v>
      </c>
      <c r="M7" s="50">
        <f t="shared" si="3"/>
        <v>8.5595262993692387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 t="s">
        <v>42</v>
      </c>
      <c r="G8" s="34"/>
      <c r="H8" s="42">
        <v>3</v>
      </c>
      <c r="I8" s="43" t="str">
        <f t="shared" si="1"/>
        <v/>
      </c>
      <c r="J8" s="42">
        <f t="shared" si="5"/>
        <v>-1</v>
      </c>
      <c r="K8" s="42">
        <f t="shared" si="2"/>
        <v>-10</v>
      </c>
      <c r="L8" s="44">
        <f>K2</f>
        <v>3.7797631496846193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 t="s">
        <v>42</v>
      </c>
      <c r="G9" s="34"/>
      <c r="H9" s="48">
        <v>4</v>
      </c>
      <c r="I9" s="49" t="str">
        <f t="shared" si="1"/>
        <v/>
      </c>
      <c r="J9" s="48">
        <f t="shared" si="5"/>
        <v>-1</v>
      </c>
      <c r="K9" s="48">
        <f t="shared" si="2"/>
        <v>-10</v>
      </c>
      <c r="L9" s="50"/>
      <c r="M9" s="50">
        <f t="shared" si="3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 t="s">
        <v>42</v>
      </c>
      <c r="G10" s="34"/>
      <c r="H10" s="42">
        <v>5</v>
      </c>
      <c r="I10" s="43" t="str">
        <f t="shared" si="1"/>
        <v/>
      </c>
      <c r="J10" s="42">
        <f t="shared" si="5"/>
        <v>-2</v>
      </c>
      <c r="K10" s="42">
        <f t="shared" si="2"/>
        <v>-20</v>
      </c>
      <c r="L10" s="42"/>
      <c r="M10" s="44">
        <f t="shared" si="3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-2</v>
      </c>
      <c r="K11" s="48">
        <f t="shared" si="2"/>
        <v>-20</v>
      </c>
      <c r="L11" s="48"/>
      <c r="M11" s="50">
        <f t="shared" si="3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-2</v>
      </c>
      <c r="K12" s="42">
        <f t="shared" si="2"/>
        <v>-20</v>
      </c>
      <c r="L12" s="42"/>
      <c r="M12" s="44">
        <f t="shared" si="3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-2</v>
      </c>
      <c r="K13" s="48">
        <f t="shared" si="2"/>
        <v>-20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 t="shared" si="0"/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-3</v>
      </c>
      <c r="K14" s="42">
        <f t="shared" si="2"/>
        <v>-30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si="0"/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-3</v>
      </c>
      <c r="K15" s="48">
        <f t="shared" si="2"/>
        <v>-30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0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-3</v>
      </c>
      <c r="K16" s="42">
        <f t="shared" si="2"/>
        <v>-30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0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-3</v>
      </c>
      <c r="K17" s="48">
        <f t="shared" si="2"/>
        <v>-30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0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-3</v>
      </c>
      <c r="K18" s="42">
        <f t="shared" si="2"/>
        <v>-30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0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-3</v>
      </c>
      <c r="K19" s="48">
        <f t="shared" si="2"/>
        <v>-30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0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-3</v>
      </c>
      <c r="K20" s="42">
        <f t="shared" si="2"/>
        <v>-30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0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-3</v>
      </c>
      <c r="K21" s="48">
        <f t="shared" si="2"/>
        <v>-30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0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-4</v>
      </c>
      <c r="K22" s="42">
        <f t="shared" si="2"/>
        <v>-40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0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-4</v>
      </c>
      <c r="K23" s="48">
        <f t="shared" si="2"/>
        <v>-40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0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-4</v>
      </c>
      <c r="K24" s="42">
        <f t="shared" si="2"/>
        <v>-40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0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-4</v>
      </c>
      <c r="K25" s="48">
        <f t="shared" si="2"/>
        <v>-40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0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-4</v>
      </c>
      <c r="K26" s="42">
        <f t="shared" si="2"/>
        <v>-40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0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-4</v>
      </c>
      <c r="K27" s="48">
        <f t="shared" si="2"/>
        <v>-40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0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-4</v>
      </c>
      <c r="K28" s="42">
        <f t="shared" si="2"/>
        <v>-40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0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-4</v>
      </c>
      <c r="K29" s="48">
        <f t="shared" si="2"/>
        <v>-40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0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-4</v>
      </c>
      <c r="K30" s="42">
        <f t="shared" si="2"/>
        <v>-40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0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-4</v>
      </c>
      <c r="K31" s="48">
        <f t="shared" si="2"/>
        <v>-40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0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-4</v>
      </c>
      <c r="K32" s="42">
        <f t="shared" si="2"/>
        <v>-40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0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-4</v>
      </c>
      <c r="K33" s="48">
        <f t="shared" si="2"/>
        <v>-40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0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-4</v>
      </c>
      <c r="K34" s="42">
        <f t="shared" si="2"/>
        <v>-40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0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-4</v>
      </c>
      <c r="K35" s="48">
        <f t="shared" si="2"/>
        <v>-40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0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-4</v>
      </c>
      <c r="K36" s="42">
        <f t="shared" si="2"/>
        <v>-40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0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-4</v>
      </c>
      <c r="K37" s="48">
        <f t="shared" si="2"/>
        <v>-40</v>
      </c>
      <c r="L37" s="48"/>
      <c r="M37" s="50">
        <f t="shared" si="3"/>
        <v>0</v>
      </c>
    </row>
    <row r="38" spans="1:21">
      <c r="A38" s="56"/>
      <c r="B38" s="40" t="str">
        <f t="shared" ref="B38:B65" si="6">IF(H38&gt;$H$2,"",(ROW()-5))</f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-5</v>
      </c>
      <c r="K38" s="42">
        <f t="shared" si="2"/>
        <v>-50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-5</v>
      </c>
      <c r="K39" s="48">
        <f t="shared" si="2"/>
        <v>-50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-5</v>
      </c>
      <c r="K40" s="42">
        <f t="shared" si="2"/>
        <v>-50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-5</v>
      </c>
      <c r="K41" s="48">
        <f t="shared" si="2"/>
        <v>-50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-5</v>
      </c>
      <c r="K42" s="42">
        <f t="shared" si="2"/>
        <v>-50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-5</v>
      </c>
      <c r="K43" s="48">
        <f t="shared" si="2"/>
        <v>-50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-5</v>
      </c>
      <c r="K44" s="42">
        <f t="shared" si="2"/>
        <v>-50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-5</v>
      </c>
      <c r="K45" s="48">
        <f t="shared" si="2"/>
        <v>-50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-5</v>
      </c>
      <c r="K46" s="42">
        <f t="shared" si="2"/>
        <v>-50</v>
      </c>
      <c r="L46" s="42"/>
      <c r="M46" s="44">
        <f t="shared" si="3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-5</v>
      </c>
      <c r="K47" s="48">
        <f t="shared" si="2"/>
        <v>-50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-5</v>
      </c>
      <c r="K48" s="42">
        <f t="shared" si="2"/>
        <v>-50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-5</v>
      </c>
      <c r="K49" s="48">
        <f t="shared" si="2"/>
        <v>-50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-5</v>
      </c>
      <c r="K50" s="42">
        <f t="shared" si="2"/>
        <v>-50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-5</v>
      </c>
      <c r="K51" s="48">
        <f t="shared" si="2"/>
        <v>-50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-5</v>
      </c>
      <c r="K52" s="42">
        <f t="shared" si="2"/>
        <v>-50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-5</v>
      </c>
      <c r="K53" s="48">
        <f t="shared" si="2"/>
        <v>-50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-5</v>
      </c>
      <c r="K54" s="42">
        <f t="shared" si="2"/>
        <v>-50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-5</v>
      </c>
      <c r="K55" s="48">
        <f t="shared" si="2"/>
        <v>-50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-5</v>
      </c>
      <c r="K56" s="42">
        <f t="shared" si="2"/>
        <v>-50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-5</v>
      </c>
      <c r="K57" s="48">
        <f t="shared" si="2"/>
        <v>-50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-5</v>
      </c>
      <c r="K58" s="42">
        <f t="shared" si="2"/>
        <v>-50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-5</v>
      </c>
      <c r="K59" s="48">
        <f t="shared" si="2"/>
        <v>-50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-5</v>
      </c>
      <c r="K60" s="42">
        <f t="shared" si="2"/>
        <v>-50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-5</v>
      </c>
      <c r="K61" s="48">
        <f t="shared" si="2"/>
        <v>-50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-5</v>
      </c>
      <c r="K62" s="42">
        <f t="shared" si="2"/>
        <v>-50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-5</v>
      </c>
      <c r="K63" s="48">
        <f t="shared" si="2"/>
        <v>-50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-5</v>
      </c>
      <c r="K64" s="42">
        <f t="shared" si="2"/>
        <v>-50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-5</v>
      </c>
      <c r="K65" s="48">
        <f t="shared" si="2"/>
        <v>-50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-5</v>
      </c>
      <c r="K66" s="42">
        <f t="shared" si="2"/>
        <v>-50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-5</v>
      </c>
      <c r="K67" s="42">
        <f t="shared" si="2"/>
        <v>-50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-5</v>
      </c>
      <c r="K68" s="42">
        <f t="shared" si="2"/>
        <v>-50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-5</v>
      </c>
      <c r="K69" s="42">
        <f t="shared" si="2"/>
        <v>-50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-6</v>
      </c>
      <c r="K70" s="42">
        <f t="shared" ref="K70:K133" si="8">J70*$J$2</f>
        <v>-60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-6</v>
      </c>
      <c r="K71" s="42">
        <f t="shared" si="8"/>
        <v>-60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-6</v>
      </c>
      <c r="K72" s="42">
        <f t="shared" si="8"/>
        <v>-60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-6</v>
      </c>
      <c r="K73" s="42">
        <f t="shared" si="8"/>
        <v>-60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-6</v>
      </c>
      <c r="K74" s="42">
        <f t="shared" si="8"/>
        <v>-60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-6</v>
      </c>
      <c r="K75" s="42">
        <f t="shared" si="8"/>
        <v>-60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-6</v>
      </c>
      <c r="K76" s="42">
        <f t="shared" si="8"/>
        <v>-60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-6</v>
      </c>
      <c r="K77" s="42">
        <f t="shared" si="8"/>
        <v>-60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-6</v>
      </c>
      <c r="K78" s="42">
        <f t="shared" si="8"/>
        <v>-60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-6</v>
      </c>
      <c r="K79" s="42">
        <f t="shared" si="8"/>
        <v>-60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-6</v>
      </c>
      <c r="K80" s="42">
        <f t="shared" si="8"/>
        <v>-60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-6</v>
      </c>
      <c r="K81" s="42">
        <f t="shared" si="8"/>
        <v>-60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-6</v>
      </c>
      <c r="K82" s="42">
        <f t="shared" si="8"/>
        <v>-60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-6</v>
      </c>
      <c r="K83" s="42">
        <f t="shared" si="8"/>
        <v>-60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-6</v>
      </c>
      <c r="K84" s="42">
        <f t="shared" si="8"/>
        <v>-60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-6</v>
      </c>
      <c r="K85" s="42">
        <f t="shared" si="8"/>
        <v>-60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-6</v>
      </c>
      <c r="K86" s="42">
        <f t="shared" si="8"/>
        <v>-60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-6</v>
      </c>
      <c r="K87" s="42">
        <f t="shared" si="8"/>
        <v>-60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-6</v>
      </c>
      <c r="K88" s="42">
        <f t="shared" si="8"/>
        <v>-60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-6</v>
      </c>
      <c r="K89" s="42">
        <f t="shared" si="8"/>
        <v>-60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-6</v>
      </c>
      <c r="K90" s="42">
        <f t="shared" si="8"/>
        <v>-60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-6</v>
      </c>
      <c r="K91" s="42">
        <f t="shared" si="8"/>
        <v>-60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-6</v>
      </c>
      <c r="K92" s="42">
        <f t="shared" si="8"/>
        <v>-60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-6</v>
      </c>
      <c r="K93" s="42">
        <f t="shared" si="8"/>
        <v>-60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-6</v>
      </c>
      <c r="K94" s="42">
        <f t="shared" si="8"/>
        <v>-60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-6</v>
      </c>
      <c r="K95" s="42">
        <f t="shared" si="8"/>
        <v>-60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-6</v>
      </c>
      <c r="K96" s="42">
        <f t="shared" si="8"/>
        <v>-60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-6</v>
      </c>
      <c r="K97" s="42">
        <f t="shared" si="8"/>
        <v>-60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-6</v>
      </c>
      <c r="K98" s="42">
        <f t="shared" si="8"/>
        <v>-60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-6</v>
      </c>
      <c r="K99" s="42">
        <f t="shared" si="8"/>
        <v>-60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-6</v>
      </c>
      <c r="K100" s="42">
        <f t="shared" si="8"/>
        <v>-60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-6</v>
      </c>
      <c r="K101" s="42">
        <f t="shared" si="8"/>
        <v>-60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-6</v>
      </c>
      <c r="K102" s="42">
        <f t="shared" si="8"/>
        <v>-60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-6</v>
      </c>
      <c r="K103" s="42">
        <f t="shared" si="8"/>
        <v>-60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-6</v>
      </c>
      <c r="K104" s="42">
        <f t="shared" si="8"/>
        <v>-60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-6</v>
      </c>
      <c r="K105" s="42">
        <f t="shared" si="8"/>
        <v>-60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-6</v>
      </c>
      <c r="K106" s="42">
        <f t="shared" si="8"/>
        <v>-60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-6</v>
      </c>
      <c r="K107" s="42">
        <f t="shared" si="8"/>
        <v>-60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-6</v>
      </c>
      <c r="K108" s="42">
        <f t="shared" si="8"/>
        <v>-60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-6</v>
      </c>
      <c r="K109" s="42">
        <f t="shared" si="8"/>
        <v>-60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-6</v>
      </c>
      <c r="K110" s="42">
        <f t="shared" si="8"/>
        <v>-60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-6</v>
      </c>
      <c r="K111" s="42">
        <f t="shared" si="8"/>
        <v>-60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-6</v>
      </c>
      <c r="K112" s="42">
        <f t="shared" si="8"/>
        <v>-60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-6</v>
      </c>
      <c r="K113" s="42">
        <f t="shared" si="8"/>
        <v>-60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-6</v>
      </c>
      <c r="K114" s="42">
        <f t="shared" si="8"/>
        <v>-60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-6</v>
      </c>
      <c r="K115" s="42">
        <f t="shared" si="8"/>
        <v>-60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-6</v>
      </c>
      <c r="K116" s="42">
        <f t="shared" si="8"/>
        <v>-60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-6</v>
      </c>
      <c r="K117" s="42">
        <f t="shared" si="8"/>
        <v>-60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-6</v>
      </c>
      <c r="K118" s="42">
        <f t="shared" si="8"/>
        <v>-60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-6</v>
      </c>
      <c r="K119" s="42">
        <f t="shared" si="8"/>
        <v>-60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-6</v>
      </c>
      <c r="K120" s="42">
        <f t="shared" si="8"/>
        <v>-60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-6</v>
      </c>
      <c r="K121" s="42">
        <f t="shared" si="8"/>
        <v>-60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-6</v>
      </c>
      <c r="K122" s="42">
        <f t="shared" si="8"/>
        <v>-60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-6</v>
      </c>
      <c r="K123" s="42">
        <f t="shared" si="8"/>
        <v>-60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-6</v>
      </c>
      <c r="K124" s="42">
        <f t="shared" si="8"/>
        <v>-60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-6</v>
      </c>
      <c r="K125" s="42">
        <f t="shared" si="8"/>
        <v>-60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-6</v>
      </c>
      <c r="K126" s="42">
        <f t="shared" si="8"/>
        <v>-60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-6</v>
      </c>
      <c r="K127" s="42">
        <f t="shared" si="8"/>
        <v>-60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-6</v>
      </c>
      <c r="K128" s="42">
        <f t="shared" si="8"/>
        <v>-60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-6</v>
      </c>
      <c r="K129" s="42">
        <f t="shared" si="8"/>
        <v>-60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-6</v>
      </c>
      <c r="K130" s="42">
        <f t="shared" si="8"/>
        <v>-60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-6</v>
      </c>
      <c r="K131" s="42">
        <f t="shared" si="8"/>
        <v>-60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-6</v>
      </c>
      <c r="K132" s="42">
        <f t="shared" si="8"/>
        <v>-60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-6</v>
      </c>
      <c r="K133" s="42">
        <f t="shared" si="8"/>
        <v>-60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-7</v>
      </c>
      <c r="K134" s="42">
        <f t="shared" ref="K134:K197" si="12">J134*$J$2</f>
        <v>-70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-7</v>
      </c>
      <c r="K135" s="42">
        <f t="shared" si="12"/>
        <v>-70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-7</v>
      </c>
      <c r="K136" s="42">
        <f t="shared" si="12"/>
        <v>-70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-7</v>
      </c>
      <c r="K137" s="42">
        <f t="shared" si="12"/>
        <v>-70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-7</v>
      </c>
      <c r="K138" s="42">
        <f t="shared" si="12"/>
        <v>-70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-7</v>
      </c>
      <c r="K139" s="42">
        <f t="shared" si="12"/>
        <v>-70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-7</v>
      </c>
      <c r="K140" s="42">
        <f t="shared" si="12"/>
        <v>-70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-7</v>
      </c>
      <c r="K141" s="42">
        <f t="shared" si="12"/>
        <v>-70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-7</v>
      </c>
      <c r="K142" s="42">
        <f t="shared" si="12"/>
        <v>-70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-7</v>
      </c>
      <c r="K143" s="42">
        <f t="shared" si="12"/>
        <v>-70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-7</v>
      </c>
      <c r="K144" s="42">
        <f t="shared" si="12"/>
        <v>-70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-7</v>
      </c>
      <c r="K145" s="42">
        <f t="shared" si="12"/>
        <v>-70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-7</v>
      </c>
      <c r="K146" s="42">
        <f t="shared" si="12"/>
        <v>-70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-7</v>
      </c>
      <c r="K147" s="42">
        <f t="shared" si="12"/>
        <v>-70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-7</v>
      </c>
      <c r="K148" s="42">
        <f t="shared" si="12"/>
        <v>-70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-7</v>
      </c>
      <c r="K149" s="42">
        <f t="shared" si="12"/>
        <v>-70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-7</v>
      </c>
      <c r="K150" s="42">
        <f t="shared" si="12"/>
        <v>-70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-7</v>
      </c>
      <c r="K151" s="42">
        <f t="shared" si="12"/>
        <v>-70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-7</v>
      </c>
      <c r="K152" s="42">
        <f t="shared" si="12"/>
        <v>-70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-7</v>
      </c>
      <c r="K153" s="42">
        <f t="shared" si="12"/>
        <v>-70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-7</v>
      </c>
      <c r="K154" s="42">
        <f t="shared" si="12"/>
        <v>-70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-7</v>
      </c>
      <c r="K155" s="42">
        <f t="shared" si="12"/>
        <v>-70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-7</v>
      </c>
      <c r="K156" s="42">
        <f t="shared" si="12"/>
        <v>-70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-7</v>
      </c>
      <c r="K157" s="42">
        <f t="shared" si="12"/>
        <v>-70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-7</v>
      </c>
      <c r="K158" s="42">
        <f t="shared" si="12"/>
        <v>-70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-7</v>
      </c>
      <c r="K159" s="42">
        <f t="shared" si="12"/>
        <v>-70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-7</v>
      </c>
      <c r="K160" s="42">
        <f t="shared" si="12"/>
        <v>-70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-7</v>
      </c>
      <c r="K161" s="42">
        <f t="shared" si="12"/>
        <v>-70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-7</v>
      </c>
      <c r="K162" s="42">
        <f t="shared" si="12"/>
        <v>-70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-7</v>
      </c>
      <c r="K163" s="42">
        <f t="shared" si="12"/>
        <v>-70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-7</v>
      </c>
      <c r="K164" s="42">
        <f t="shared" si="12"/>
        <v>-70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-7</v>
      </c>
      <c r="K165" s="42">
        <f t="shared" si="12"/>
        <v>-70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-7</v>
      </c>
      <c r="K166" s="42">
        <f t="shared" si="12"/>
        <v>-70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-7</v>
      </c>
      <c r="K167" s="42">
        <f t="shared" si="12"/>
        <v>-70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-7</v>
      </c>
      <c r="K168" s="42">
        <f t="shared" si="12"/>
        <v>-70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-7</v>
      </c>
      <c r="K169" s="42">
        <f t="shared" si="12"/>
        <v>-70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-7</v>
      </c>
      <c r="K170" s="42">
        <f t="shared" si="12"/>
        <v>-70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-7</v>
      </c>
      <c r="K171" s="42">
        <f t="shared" si="12"/>
        <v>-70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-7</v>
      </c>
      <c r="K172" s="42">
        <f t="shared" si="12"/>
        <v>-70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-7</v>
      </c>
      <c r="K173" s="42">
        <f t="shared" si="12"/>
        <v>-70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-7</v>
      </c>
      <c r="K174" s="42">
        <f t="shared" si="12"/>
        <v>-70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-7</v>
      </c>
      <c r="K175" s="42">
        <f t="shared" si="12"/>
        <v>-70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-7</v>
      </c>
      <c r="K176" s="42">
        <f t="shared" si="12"/>
        <v>-70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-7</v>
      </c>
      <c r="K177" s="42">
        <f t="shared" si="12"/>
        <v>-70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-7</v>
      </c>
      <c r="K178" s="42">
        <f t="shared" si="12"/>
        <v>-70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-7</v>
      </c>
      <c r="K179" s="42">
        <f t="shared" si="12"/>
        <v>-70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-7</v>
      </c>
      <c r="K180" s="42">
        <f t="shared" si="12"/>
        <v>-70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-7</v>
      </c>
      <c r="K181" s="42">
        <f t="shared" si="12"/>
        <v>-70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-7</v>
      </c>
      <c r="K182" s="42">
        <f t="shared" si="12"/>
        <v>-70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-7</v>
      </c>
      <c r="K183" s="42">
        <f t="shared" si="12"/>
        <v>-70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-7</v>
      </c>
      <c r="K184" s="42">
        <f t="shared" si="12"/>
        <v>-70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-7</v>
      </c>
      <c r="K185" s="42">
        <f t="shared" si="12"/>
        <v>-70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-7</v>
      </c>
      <c r="K186" s="42">
        <f t="shared" si="12"/>
        <v>-70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-7</v>
      </c>
      <c r="K187" s="42">
        <f t="shared" si="12"/>
        <v>-70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-7</v>
      </c>
      <c r="K188" s="42">
        <f t="shared" si="12"/>
        <v>-70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-7</v>
      </c>
      <c r="K189" s="42">
        <f t="shared" si="12"/>
        <v>-70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-7</v>
      </c>
      <c r="K190" s="42">
        <f t="shared" si="12"/>
        <v>-70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-7</v>
      </c>
      <c r="K191" s="42">
        <f t="shared" si="12"/>
        <v>-70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-7</v>
      </c>
      <c r="K192" s="42">
        <f t="shared" si="12"/>
        <v>-70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-7</v>
      </c>
      <c r="K193" s="42">
        <f t="shared" si="12"/>
        <v>-70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-7</v>
      </c>
      <c r="K194" s="42">
        <f t="shared" si="12"/>
        <v>-70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-7</v>
      </c>
      <c r="K195" s="42">
        <f t="shared" si="12"/>
        <v>-70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-7</v>
      </c>
      <c r="K196" s="42">
        <f t="shared" si="12"/>
        <v>-70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-7</v>
      </c>
      <c r="K197" s="42">
        <f t="shared" si="12"/>
        <v>-70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-7</v>
      </c>
      <c r="K198" s="42">
        <f t="shared" ref="K198:K261" si="16">J198*$J$2</f>
        <v>-70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-7</v>
      </c>
      <c r="K199" s="42">
        <f t="shared" si="16"/>
        <v>-70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-7</v>
      </c>
      <c r="K200" s="42">
        <f t="shared" si="16"/>
        <v>-70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-7</v>
      </c>
      <c r="K201" s="42">
        <f t="shared" si="16"/>
        <v>-70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-7</v>
      </c>
      <c r="K202" s="42">
        <f t="shared" si="16"/>
        <v>-70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-7</v>
      </c>
      <c r="K203" s="42">
        <f t="shared" si="16"/>
        <v>-70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-7</v>
      </c>
      <c r="K204" s="42">
        <f t="shared" si="16"/>
        <v>-70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-7</v>
      </c>
      <c r="K205" s="42">
        <f t="shared" si="16"/>
        <v>-70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-7</v>
      </c>
      <c r="K206" s="42">
        <f t="shared" si="16"/>
        <v>-70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-7</v>
      </c>
      <c r="K207" s="42">
        <f t="shared" si="16"/>
        <v>-70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-7</v>
      </c>
      <c r="K208" s="42">
        <f t="shared" si="16"/>
        <v>-70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-7</v>
      </c>
      <c r="K209" s="42">
        <f t="shared" si="16"/>
        <v>-70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-7</v>
      </c>
      <c r="K210" s="42">
        <f t="shared" si="16"/>
        <v>-70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-7</v>
      </c>
      <c r="K211" s="42">
        <f t="shared" si="16"/>
        <v>-70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-7</v>
      </c>
      <c r="K212" s="42">
        <f t="shared" si="16"/>
        <v>-70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-7</v>
      </c>
      <c r="K213" s="42">
        <f t="shared" si="16"/>
        <v>-70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-7</v>
      </c>
      <c r="K214" s="42">
        <f t="shared" si="16"/>
        <v>-70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-7</v>
      </c>
      <c r="K215" s="42">
        <f t="shared" si="16"/>
        <v>-70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-7</v>
      </c>
      <c r="K216" s="42">
        <f t="shared" si="16"/>
        <v>-70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-7</v>
      </c>
      <c r="K217" s="42">
        <f t="shared" si="16"/>
        <v>-70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-7</v>
      </c>
      <c r="K218" s="42">
        <f t="shared" si="16"/>
        <v>-70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-7</v>
      </c>
      <c r="K219" s="42">
        <f t="shared" si="16"/>
        <v>-70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-7</v>
      </c>
      <c r="K220" s="42">
        <f t="shared" si="16"/>
        <v>-70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-7</v>
      </c>
      <c r="K221" s="42">
        <f t="shared" si="16"/>
        <v>-70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-7</v>
      </c>
      <c r="K222" s="42">
        <f t="shared" si="16"/>
        <v>-70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-7</v>
      </c>
      <c r="K223" s="42">
        <f t="shared" si="16"/>
        <v>-70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-7</v>
      </c>
      <c r="K224" s="42">
        <f t="shared" si="16"/>
        <v>-70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-7</v>
      </c>
      <c r="K225" s="42">
        <f t="shared" si="16"/>
        <v>-70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-7</v>
      </c>
      <c r="K226" s="42">
        <f t="shared" si="16"/>
        <v>-70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-7</v>
      </c>
      <c r="K227" s="42">
        <f t="shared" si="16"/>
        <v>-70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-7</v>
      </c>
      <c r="K228" s="42">
        <f t="shared" si="16"/>
        <v>-70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-7</v>
      </c>
      <c r="K229" s="42">
        <f t="shared" si="16"/>
        <v>-70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-7</v>
      </c>
      <c r="K230" s="42">
        <f t="shared" si="16"/>
        <v>-70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-7</v>
      </c>
      <c r="K231" s="42">
        <f t="shared" si="16"/>
        <v>-70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-7</v>
      </c>
      <c r="K232" s="42">
        <f t="shared" si="16"/>
        <v>-70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-7</v>
      </c>
      <c r="K233" s="42">
        <f t="shared" si="16"/>
        <v>-70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-7</v>
      </c>
      <c r="K234" s="42">
        <f t="shared" si="16"/>
        <v>-70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-7</v>
      </c>
      <c r="K235" s="42">
        <f t="shared" si="16"/>
        <v>-70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-7</v>
      </c>
      <c r="K236" s="42">
        <f t="shared" si="16"/>
        <v>-70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-7</v>
      </c>
      <c r="K237" s="42">
        <f t="shared" si="16"/>
        <v>-70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-7</v>
      </c>
      <c r="K238" s="42">
        <f t="shared" si="16"/>
        <v>-70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-7</v>
      </c>
      <c r="K239" s="42">
        <f t="shared" si="16"/>
        <v>-70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-7</v>
      </c>
      <c r="K240" s="42">
        <f t="shared" si="16"/>
        <v>-70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-7</v>
      </c>
      <c r="K241" s="42">
        <f t="shared" si="16"/>
        <v>-70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-7</v>
      </c>
      <c r="K242" s="42">
        <f t="shared" si="16"/>
        <v>-70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-7</v>
      </c>
      <c r="K243" s="42">
        <f t="shared" si="16"/>
        <v>-70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-7</v>
      </c>
      <c r="K244" s="42">
        <f t="shared" si="16"/>
        <v>-70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-7</v>
      </c>
      <c r="K245" s="42">
        <f t="shared" si="16"/>
        <v>-70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-7</v>
      </c>
      <c r="K246" s="42">
        <f t="shared" si="16"/>
        <v>-70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-7</v>
      </c>
      <c r="K247" s="42">
        <f t="shared" si="16"/>
        <v>-70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-7</v>
      </c>
      <c r="K248" s="42">
        <f t="shared" si="16"/>
        <v>-70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-7</v>
      </c>
      <c r="K249" s="42">
        <f t="shared" si="16"/>
        <v>-70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-7</v>
      </c>
      <c r="K250" s="42">
        <f t="shared" si="16"/>
        <v>-70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-7</v>
      </c>
      <c r="K251" s="42">
        <f t="shared" si="16"/>
        <v>-70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-7</v>
      </c>
      <c r="K252" s="42">
        <f t="shared" si="16"/>
        <v>-70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-7</v>
      </c>
      <c r="K253" s="42">
        <f t="shared" si="16"/>
        <v>-70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-7</v>
      </c>
      <c r="K254" s="42">
        <f t="shared" si="16"/>
        <v>-70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-7</v>
      </c>
      <c r="K255" s="42">
        <f t="shared" si="16"/>
        <v>-70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-7</v>
      </c>
      <c r="K256" s="42">
        <f t="shared" si="16"/>
        <v>-70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-7</v>
      </c>
      <c r="K257" s="42">
        <f t="shared" si="16"/>
        <v>-70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-7</v>
      </c>
      <c r="K258" s="42">
        <f t="shared" si="16"/>
        <v>-70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-7</v>
      </c>
      <c r="K259" s="42">
        <f t="shared" si="16"/>
        <v>-70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-7</v>
      </c>
      <c r="K260" s="42">
        <f t="shared" si="16"/>
        <v>-70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-7</v>
      </c>
      <c r="K261" s="42">
        <f t="shared" si="16"/>
        <v>-70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-8</v>
      </c>
      <c r="K262" s="42">
        <f t="shared" ref="K262:K305" si="20">J262*$J$2</f>
        <v>-80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26" si="22">INT(LOG($H$2,2))-ROUNDUP(LOG(H263,2),0)+IF(OR($H$2=1,$H$2=2,$H$2=4,$H$2=8,$H$2=16,$H$2=32,$H$2=64,$H$2=128,$H$2=256),0,1)</f>
        <v>-8</v>
      </c>
      <c r="K263" s="42">
        <f t="shared" si="20"/>
        <v>-80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-8</v>
      </c>
      <c r="K264" s="42">
        <f t="shared" si="20"/>
        <v>-80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-8</v>
      </c>
      <c r="K265" s="42">
        <f t="shared" si="20"/>
        <v>-80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-8</v>
      </c>
      <c r="K266" s="42">
        <f t="shared" si="20"/>
        <v>-80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-8</v>
      </c>
      <c r="K267" s="42">
        <f t="shared" si="20"/>
        <v>-80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-8</v>
      </c>
      <c r="K268" s="42">
        <f t="shared" si="20"/>
        <v>-80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-8</v>
      </c>
      <c r="K269" s="42">
        <f t="shared" si="20"/>
        <v>-80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-8</v>
      </c>
      <c r="K270" s="42">
        <f t="shared" si="20"/>
        <v>-80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-8</v>
      </c>
      <c r="K271" s="42">
        <f t="shared" si="20"/>
        <v>-80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-8</v>
      </c>
      <c r="K272" s="42">
        <f t="shared" si="20"/>
        <v>-80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-8</v>
      </c>
      <c r="K273" s="42">
        <f t="shared" si="20"/>
        <v>-80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-8</v>
      </c>
      <c r="K274" s="42">
        <f t="shared" si="20"/>
        <v>-80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-8</v>
      </c>
      <c r="K275" s="42">
        <f t="shared" si="20"/>
        <v>-80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-8</v>
      </c>
      <c r="K276" s="42">
        <f t="shared" si="20"/>
        <v>-80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-8</v>
      </c>
      <c r="K277" s="42">
        <f t="shared" si="20"/>
        <v>-80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-8</v>
      </c>
      <c r="K278" s="42">
        <f t="shared" si="20"/>
        <v>-80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-8</v>
      </c>
      <c r="K279" s="42">
        <f t="shared" si="20"/>
        <v>-80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-8</v>
      </c>
      <c r="K280" s="42">
        <f t="shared" si="20"/>
        <v>-80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-8</v>
      </c>
      <c r="K281" s="42">
        <f t="shared" si="20"/>
        <v>-80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-8</v>
      </c>
      <c r="K282" s="42">
        <f t="shared" si="20"/>
        <v>-80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-8</v>
      </c>
      <c r="K283" s="42">
        <f t="shared" si="20"/>
        <v>-80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-8</v>
      </c>
      <c r="K284" s="42">
        <f t="shared" si="20"/>
        <v>-80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-8</v>
      </c>
      <c r="K285" s="42">
        <f t="shared" si="20"/>
        <v>-80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-8</v>
      </c>
      <c r="K286" s="42">
        <f t="shared" si="20"/>
        <v>-80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-8</v>
      </c>
      <c r="K287" s="42">
        <f t="shared" si="20"/>
        <v>-80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-8</v>
      </c>
      <c r="K288" s="42">
        <f t="shared" si="20"/>
        <v>-80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-8</v>
      </c>
      <c r="K289" s="42">
        <f t="shared" si="20"/>
        <v>-80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-8</v>
      </c>
      <c r="K290" s="42">
        <f t="shared" si="20"/>
        <v>-80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-8</v>
      </c>
      <c r="K291" s="42">
        <f t="shared" si="20"/>
        <v>-80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-8</v>
      </c>
      <c r="K292" s="42">
        <f t="shared" si="20"/>
        <v>-80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-8</v>
      </c>
      <c r="K293" s="42">
        <f t="shared" si="20"/>
        <v>-80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-8</v>
      </c>
      <c r="K294" s="42">
        <f t="shared" si="20"/>
        <v>-80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-8</v>
      </c>
      <c r="K295" s="42">
        <f t="shared" si="20"/>
        <v>-80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-8</v>
      </c>
      <c r="K296" s="42">
        <f t="shared" si="20"/>
        <v>-80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-8</v>
      </c>
      <c r="K297" s="42">
        <f t="shared" si="20"/>
        <v>-80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-8</v>
      </c>
      <c r="K298" s="42">
        <f t="shared" si="20"/>
        <v>-80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-8</v>
      </c>
      <c r="K299" s="42">
        <f t="shared" si="20"/>
        <v>-80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-8</v>
      </c>
      <c r="K300" s="42">
        <f t="shared" si="20"/>
        <v>-80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-8</v>
      </c>
      <c r="K301" s="42">
        <f t="shared" si="20"/>
        <v>-80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-8</v>
      </c>
      <c r="K302" s="42">
        <f t="shared" si="20"/>
        <v>-80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-8</v>
      </c>
      <c r="K303" s="42">
        <f t="shared" si="20"/>
        <v>-80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-8</v>
      </c>
      <c r="K304" s="42">
        <f t="shared" si="20"/>
        <v>-80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-8</v>
      </c>
      <c r="K305" s="42">
        <f t="shared" si="20"/>
        <v>-80</v>
      </c>
      <c r="L305" s="42"/>
      <c r="M305" s="44">
        <f t="shared" si="21"/>
        <v>0</v>
      </c>
    </row>
    <row r="306" spans="1:16">
      <c r="A306" s="65"/>
      <c r="J306" s="66" t="e">
        <f t="shared" si="22"/>
        <v>#NUM!</v>
      </c>
    </row>
    <row r="307" spans="1:16">
      <c r="J307" s="66" t="e">
        <f t="shared" si="22"/>
        <v>#NUM!</v>
      </c>
    </row>
    <row r="308" spans="1:16">
      <c r="J308" s="66" t="e">
        <f t="shared" si="22"/>
        <v>#NUM!</v>
      </c>
    </row>
    <row r="309" spans="1:16">
      <c r="J309" s="66" t="e">
        <f t="shared" si="22"/>
        <v>#NUM!</v>
      </c>
    </row>
    <row r="310" spans="1:16">
      <c r="J310" s="66" t="e">
        <f t="shared" si="22"/>
        <v>#NUM!</v>
      </c>
    </row>
    <row r="311" spans="1:16">
      <c r="J311" s="66" t="e">
        <f t="shared" si="22"/>
        <v>#NUM!</v>
      </c>
    </row>
    <row r="312" spans="1:16">
      <c r="J312" s="66" t="e">
        <f t="shared" si="22"/>
        <v>#NUM!</v>
      </c>
    </row>
    <row r="313" spans="1:16">
      <c r="J313" s="66" t="e">
        <f t="shared" si="22"/>
        <v>#NUM!</v>
      </c>
    </row>
    <row r="314" spans="1:16">
      <c r="J314" s="66" t="e">
        <f t="shared" si="22"/>
        <v>#NUM!</v>
      </c>
      <c r="L314" s="68"/>
      <c r="P314" s="58"/>
    </row>
    <row r="315" spans="1:16">
      <c r="J315" s="66" t="e">
        <f t="shared" si="22"/>
        <v>#NUM!</v>
      </c>
      <c r="L315" s="68"/>
      <c r="P315" s="58"/>
    </row>
    <row r="316" spans="1:16">
      <c r="J316" s="66" t="e">
        <f t="shared" si="22"/>
        <v>#NUM!</v>
      </c>
      <c r="L316" s="68"/>
      <c r="P316" s="58"/>
    </row>
    <row r="317" spans="1:16">
      <c r="J317" s="66" t="e">
        <f t="shared" si="22"/>
        <v>#NUM!</v>
      </c>
      <c r="L317" s="68"/>
      <c r="P317" s="58"/>
    </row>
    <row r="318" spans="1:16">
      <c r="J318" s="66" t="e">
        <f t="shared" si="22"/>
        <v>#NUM!</v>
      </c>
    </row>
    <row r="319" spans="1:16">
      <c r="J319" s="66" t="e">
        <f t="shared" si="22"/>
        <v>#NUM!</v>
      </c>
    </row>
    <row r="320" spans="1:16">
      <c r="J320" s="66" t="e">
        <f t="shared" si="22"/>
        <v>#NUM!</v>
      </c>
    </row>
    <row r="321" spans="10:10">
      <c r="J321" s="66" t="e">
        <f t="shared" si="22"/>
        <v>#NUM!</v>
      </c>
    </row>
    <row r="322" spans="10:10">
      <c r="J322" s="66" t="e">
        <f t="shared" si="22"/>
        <v>#NUM!</v>
      </c>
    </row>
    <row r="323" spans="10:10">
      <c r="J323" s="66" t="e">
        <f t="shared" si="22"/>
        <v>#NUM!</v>
      </c>
    </row>
    <row r="324" spans="10:10">
      <c r="J324" s="66" t="e">
        <f t="shared" si="22"/>
        <v>#NUM!</v>
      </c>
    </row>
    <row r="325" spans="10:10">
      <c r="J325" s="66" t="e">
        <f t="shared" si="22"/>
        <v>#NUM!</v>
      </c>
    </row>
    <row r="326" spans="10:10">
      <c r="J326" s="66" t="e">
        <f t="shared" si="22"/>
        <v>#NUM!</v>
      </c>
    </row>
    <row r="327" spans="10:10">
      <c r="J327" s="66" t="e">
        <f t="shared" ref="J327:J374" si="23">INT(LOG($H$2,2))-ROUNDUP(LOG(H327,2),0)+IF(OR($H$2=1,$H$2=2,$H$2=4,$H$2=8,$H$2=16,$H$2=32,$H$2=64,$H$2=128,$H$2=256),0,1)</f>
        <v>#NUM!</v>
      </c>
    </row>
    <row r="328" spans="10:10">
      <c r="J328" s="66" t="e">
        <f t="shared" si="23"/>
        <v>#NUM!</v>
      </c>
    </row>
    <row r="329" spans="10:10">
      <c r="J329" s="66" t="e">
        <f t="shared" si="23"/>
        <v>#NUM!</v>
      </c>
    </row>
    <row r="330" spans="10:10">
      <c r="J330" s="66" t="e">
        <f t="shared" si="23"/>
        <v>#NUM!</v>
      </c>
    </row>
    <row r="331" spans="10:10">
      <c r="J331" s="66" t="e">
        <f t="shared" si="23"/>
        <v>#NUM!</v>
      </c>
    </row>
    <row r="332" spans="10:10">
      <c r="J332" s="66" t="e">
        <f t="shared" si="23"/>
        <v>#NUM!</v>
      </c>
    </row>
    <row r="333" spans="10:10">
      <c r="J333" s="66" t="e">
        <f t="shared" si="23"/>
        <v>#NUM!</v>
      </c>
    </row>
    <row r="334" spans="10:10">
      <c r="J334" s="66" t="e">
        <f t="shared" si="23"/>
        <v>#NUM!</v>
      </c>
    </row>
    <row r="335" spans="10:10">
      <c r="J335" s="66" t="e">
        <f t="shared" si="23"/>
        <v>#NUM!</v>
      </c>
    </row>
    <row r="336" spans="10:10">
      <c r="J336" s="66" t="e">
        <f t="shared" si="23"/>
        <v>#NUM!</v>
      </c>
    </row>
    <row r="337" spans="10:10">
      <c r="J337" s="66" t="e">
        <f t="shared" si="23"/>
        <v>#NUM!</v>
      </c>
    </row>
    <row r="338" spans="10:10">
      <c r="J338" s="66" t="e">
        <f t="shared" si="23"/>
        <v>#NUM!</v>
      </c>
    </row>
    <row r="339" spans="10:10">
      <c r="J339" s="66" t="e">
        <f t="shared" si="23"/>
        <v>#NUM!</v>
      </c>
    </row>
    <row r="340" spans="10:10">
      <c r="J340" s="66" t="e">
        <f t="shared" si="23"/>
        <v>#NUM!</v>
      </c>
    </row>
    <row r="341" spans="10:10">
      <c r="J341" s="66" t="e">
        <f t="shared" si="23"/>
        <v>#NUM!</v>
      </c>
    </row>
    <row r="342" spans="10:10">
      <c r="J342" s="66" t="e">
        <f t="shared" si="23"/>
        <v>#NUM!</v>
      </c>
    </row>
    <row r="343" spans="10:10">
      <c r="J343" s="66" t="e">
        <f t="shared" si="23"/>
        <v>#NUM!</v>
      </c>
    </row>
    <row r="344" spans="10:10">
      <c r="J344" s="66" t="e">
        <f t="shared" si="23"/>
        <v>#NUM!</v>
      </c>
    </row>
    <row r="345" spans="10:10">
      <c r="J345" s="66" t="e">
        <f t="shared" si="23"/>
        <v>#NUM!</v>
      </c>
    </row>
    <row r="346" spans="10:10">
      <c r="J346" s="66" t="e">
        <f t="shared" si="23"/>
        <v>#NUM!</v>
      </c>
    </row>
    <row r="347" spans="10:10">
      <c r="J347" s="66" t="e">
        <f t="shared" si="23"/>
        <v>#NUM!</v>
      </c>
    </row>
    <row r="348" spans="10:10">
      <c r="J348" s="66" t="e">
        <f t="shared" si="23"/>
        <v>#NUM!</v>
      </c>
    </row>
    <row r="349" spans="10:10">
      <c r="J349" s="66" t="e">
        <f t="shared" si="23"/>
        <v>#NUM!</v>
      </c>
    </row>
    <row r="350" spans="10:10">
      <c r="J350" s="66" t="e">
        <f t="shared" si="23"/>
        <v>#NUM!</v>
      </c>
    </row>
    <row r="351" spans="10:10">
      <c r="J351" s="66" t="e">
        <f t="shared" si="23"/>
        <v>#NUM!</v>
      </c>
    </row>
    <row r="352" spans="10:10">
      <c r="J352" s="66" t="e">
        <f t="shared" si="23"/>
        <v>#NUM!</v>
      </c>
    </row>
    <row r="353" spans="10:10">
      <c r="J353" s="66" t="e">
        <f t="shared" si="23"/>
        <v>#NUM!</v>
      </c>
    </row>
    <row r="354" spans="10:10">
      <c r="J354" s="66" t="e">
        <f t="shared" si="23"/>
        <v>#NUM!</v>
      </c>
    </row>
    <row r="355" spans="10:10">
      <c r="J355" s="66" t="e">
        <f t="shared" si="23"/>
        <v>#NUM!</v>
      </c>
    </row>
    <row r="356" spans="10:10">
      <c r="J356" s="66" t="e">
        <f t="shared" si="23"/>
        <v>#NUM!</v>
      </c>
    </row>
    <row r="357" spans="10:10">
      <c r="J357" s="66" t="e">
        <f t="shared" si="23"/>
        <v>#NUM!</v>
      </c>
    </row>
    <row r="358" spans="10:10">
      <c r="J358" s="66" t="e">
        <f t="shared" si="23"/>
        <v>#NUM!</v>
      </c>
    </row>
    <row r="359" spans="10:10">
      <c r="J359" s="66" t="e">
        <f t="shared" si="23"/>
        <v>#NUM!</v>
      </c>
    </row>
    <row r="360" spans="10:10">
      <c r="J360" s="66" t="e">
        <f t="shared" si="23"/>
        <v>#NUM!</v>
      </c>
    </row>
    <row r="361" spans="10:10">
      <c r="J361" s="66" t="e">
        <f t="shared" si="23"/>
        <v>#NUM!</v>
      </c>
    </row>
    <row r="362" spans="10:10">
      <c r="J362" s="66" t="e">
        <f t="shared" si="23"/>
        <v>#NUM!</v>
      </c>
    </row>
    <row r="363" spans="10:10">
      <c r="J363" s="66" t="e">
        <f t="shared" si="23"/>
        <v>#NUM!</v>
      </c>
    </row>
    <row r="364" spans="10:10">
      <c r="J364" s="66" t="e">
        <f t="shared" si="23"/>
        <v>#NUM!</v>
      </c>
    </row>
    <row r="365" spans="10:10">
      <c r="J365" s="66" t="e">
        <f t="shared" si="23"/>
        <v>#NUM!</v>
      </c>
    </row>
    <row r="366" spans="10:10">
      <c r="J366" s="66" t="e">
        <f t="shared" si="23"/>
        <v>#NUM!</v>
      </c>
    </row>
    <row r="367" spans="10:10">
      <c r="J367" s="66" t="e">
        <f t="shared" si="23"/>
        <v>#NUM!</v>
      </c>
    </row>
    <row r="368" spans="10:10">
      <c r="J368" s="66" t="e">
        <f t="shared" si="23"/>
        <v>#NUM!</v>
      </c>
    </row>
    <row r="369" spans="10:10">
      <c r="J369" s="66" t="e">
        <f t="shared" si="23"/>
        <v>#NUM!</v>
      </c>
    </row>
    <row r="370" spans="10:10">
      <c r="J370" s="66" t="e">
        <f t="shared" si="23"/>
        <v>#NUM!</v>
      </c>
    </row>
    <row r="371" spans="10:10">
      <c r="J371" s="66" t="e">
        <f t="shared" si="23"/>
        <v>#NUM!</v>
      </c>
    </row>
    <row r="372" spans="10:10">
      <c r="J372" s="66" t="e">
        <f t="shared" si="23"/>
        <v>#NUM!</v>
      </c>
    </row>
    <row r="373" spans="10:10">
      <c r="J373" s="66" t="e">
        <f t="shared" si="23"/>
        <v>#NUM!</v>
      </c>
    </row>
    <row r="374" spans="10:10">
      <c r="J374" s="66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topLeftCell="A12" workbookViewId="0">
      <selection activeCell="B7" sqref="B7:B3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43.710937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4" t="s">
        <v>51</v>
      </c>
      <c r="D2" s="94"/>
      <c r="E2" s="27"/>
      <c r="F2" s="27"/>
      <c r="G2" s="27"/>
      <c r="H2" s="28">
        <v>4</v>
      </c>
      <c r="I2" s="29">
        <v>50</v>
      </c>
      <c r="J2" s="29">
        <v>10</v>
      </c>
      <c r="K2" s="30">
        <f>3*H2^(1/3)</f>
        <v>4.7622031559045981</v>
      </c>
      <c r="L2" s="24"/>
      <c r="M2" s="24"/>
    </row>
    <row r="3" spans="1:36">
      <c r="A3" s="20"/>
      <c r="B3" s="31" t="s">
        <v>29</v>
      </c>
      <c r="C3" s="95">
        <v>44898</v>
      </c>
      <c r="D3" s="95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74.286609467713788</v>
      </c>
      <c r="B6" s="40">
        <f t="shared" ref="B6:B37" si="0">IF(H6&gt;$H$2,"",(ROW()-5))</f>
        <v>1</v>
      </c>
      <c r="C6" s="41" t="s">
        <v>16</v>
      </c>
      <c r="D6" s="41" t="s">
        <v>52</v>
      </c>
      <c r="E6" s="41"/>
      <c r="F6" s="41"/>
      <c r="G6" s="34"/>
      <c r="H6" s="42">
        <v>1</v>
      </c>
      <c r="I6" s="43">
        <f t="shared" ref="I6:I69" si="1">IF(H6&lt;$H$2+1,($I$2-($I$2-1)*(LOG(H6)/LOG($H$2))),"")</f>
        <v>50</v>
      </c>
      <c r="J6" s="42">
        <v>1</v>
      </c>
      <c r="K6" s="42">
        <f t="shared" ref="K6:K69" si="2">J6*$J$2</f>
        <v>10</v>
      </c>
      <c r="L6" s="44">
        <f>3*K2</f>
        <v>14.286609467713795</v>
      </c>
      <c r="M6" s="44">
        <f t="shared" ref="M6:M69" si="3">IF(I6&lt;&gt;"",K6+I6+L6,0)</f>
        <v>74.286609467713788</v>
      </c>
      <c r="T6" s="25">
        <v>1</v>
      </c>
      <c r="U6" s="25" t="s">
        <v>53</v>
      </c>
      <c r="V6" s="25" t="s">
        <v>54</v>
      </c>
      <c r="W6" s="25" t="s">
        <v>55</v>
      </c>
    </row>
    <row r="7" spans="1:36" ht="14.45" customHeight="1">
      <c r="A7" s="45">
        <f t="shared" ref="A7:A37" si="4">M7</f>
        <v>35.024406311809194</v>
      </c>
      <c r="B7" s="46">
        <f t="shared" si="0"/>
        <v>2</v>
      </c>
      <c r="C7" s="47" t="s">
        <v>17</v>
      </c>
      <c r="D7" s="47" t="s">
        <v>56</v>
      </c>
      <c r="E7" s="47"/>
      <c r="F7" s="47"/>
      <c r="G7" s="34"/>
      <c r="H7" s="48">
        <v>2</v>
      </c>
      <c r="I7" s="49">
        <f t="shared" si="1"/>
        <v>25.5</v>
      </c>
      <c r="J7" s="48">
        <v>0</v>
      </c>
      <c r="K7" s="48">
        <f t="shared" si="2"/>
        <v>0</v>
      </c>
      <c r="L7" s="50">
        <f>2*K2</f>
        <v>9.5244063118091962</v>
      </c>
      <c r="M7" s="50">
        <f t="shared" si="3"/>
        <v>35.024406311809194</v>
      </c>
      <c r="T7" s="25">
        <v>2</v>
      </c>
      <c r="U7" s="25" t="s">
        <v>16</v>
      </c>
      <c r="V7" s="25" t="s">
        <v>52</v>
      </c>
      <c r="W7" s="25" t="s">
        <v>55</v>
      </c>
    </row>
    <row r="8" spans="1:36" ht="14.45" customHeight="1">
      <c r="A8" s="39">
        <f t="shared" si="4"/>
        <v>15.930621888236271</v>
      </c>
      <c r="B8" s="40">
        <f t="shared" si="0"/>
        <v>3</v>
      </c>
      <c r="C8" s="41" t="s">
        <v>19</v>
      </c>
      <c r="D8" s="41" t="s">
        <v>57</v>
      </c>
      <c r="E8" s="41"/>
      <c r="F8" s="41"/>
      <c r="G8" s="34"/>
      <c r="H8" s="42">
        <v>3</v>
      </c>
      <c r="I8" s="43">
        <f t="shared" si="1"/>
        <v>11.168418732331673</v>
      </c>
      <c r="J8" s="42">
        <f t="shared" ref="J8:J70" si="5">INT(LOG($H$2,2))-ROUNDUP(LOG(H8,2),0)+IF(OR($H$2=1,$H$2=2,$H$2=4,$H$2=8,$H$2=16,$H$2=32,$H$2=64,$H$2=128,$H$2=256),0,1)</f>
        <v>0</v>
      </c>
      <c r="K8" s="42">
        <f t="shared" si="2"/>
        <v>0</v>
      </c>
      <c r="L8" s="44">
        <f>K2</f>
        <v>4.7622031559045981</v>
      </c>
      <c r="M8" s="44">
        <f t="shared" si="3"/>
        <v>15.930621888236271</v>
      </c>
      <c r="T8" s="25">
        <v>3</v>
      </c>
      <c r="U8" s="25" t="s">
        <v>58</v>
      </c>
      <c r="V8" s="25" t="s">
        <v>59</v>
      </c>
      <c r="W8" s="25" t="s">
        <v>55</v>
      </c>
    </row>
    <row r="9" spans="1:36" ht="14.45" customHeight="1">
      <c r="A9" s="45">
        <f t="shared" si="4"/>
        <v>1</v>
      </c>
      <c r="B9" s="46">
        <f t="shared" si="0"/>
        <v>4</v>
      </c>
      <c r="C9" s="47" t="s">
        <v>20</v>
      </c>
      <c r="D9" s="47" t="s">
        <v>60</v>
      </c>
      <c r="E9" s="47"/>
      <c r="F9" s="47"/>
      <c r="G9" s="34"/>
      <c r="H9" s="48">
        <v>4</v>
      </c>
      <c r="I9" s="49">
        <f t="shared" si="1"/>
        <v>1</v>
      </c>
      <c r="J9" s="48">
        <f t="shared" si="5"/>
        <v>0</v>
      </c>
      <c r="K9" s="48">
        <f t="shared" si="2"/>
        <v>0</v>
      </c>
      <c r="L9" s="50"/>
      <c r="M9" s="50">
        <f t="shared" si="3"/>
        <v>1</v>
      </c>
      <c r="T9" s="25">
        <v>4</v>
      </c>
      <c r="U9" s="25" t="s">
        <v>17</v>
      </c>
      <c r="V9" s="51" t="s">
        <v>56</v>
      </c>
      <c r="W9" s="25" t="s">
        <v>55</v>
      </c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-1</v>
      </c>
      <c r="K10" s="42">
        <f t="shared" si="2"/>
        <v>-10</v>
      </c>
      <c r="L10" s="42"/>
      <c r="M10" s="44">
        <f t="shared" si="3"/>
        <v>0</v>
      </c>
      <c r="T10" s="25">
        <v>5</v>
      </c>
      <c r="U10" s="25" t="s">
        <v>19</v>
      </c>
      <c r="V10" s="51" t="s">
        <v>57</v>
      </c>
      <c r="W10" s="25" t="s">
        <v>55</v>
      </c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-1</v>
      </c>
      <c r="K11" s="48">
        <f t="shared" si="2"/>
        <v>-10</v>
      </c>
      <c r="L11" s="48"/>
      <c r="M11" s="50">
        <f t="shared" si="3"/>
        <v>0</v>
      </c>
      <c r="T11" s="25">
        <v>6</v>
      </c>
      <c r="U11" s="25" t="s">
        <v>20</v>
      </c>
      <c r="V11" s="54" t="s">
        <v>60</v>
      </c>
      <c r="W11" s="25" t="s">
        <v>55</v>
      </c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-1</v>
      </c>
      <c r="K12" s="42">
        <f t="shared" si="2"/>
        <v>-10</v>
      </c>
      <c r="L12" s="42"/>
      <c r="M12" s="44">
        <f t="shared" si="3"/>
        <v>0</v>
      </c>
      <c r="T12" s="25">
        <v>7</v>
      </c>
      <c r="U12" s="25" t="s">
        <v>61</v>
      </c>
      <c r="V12" s="25" t="s">
        <v>56</v>
      </c>
      <c r="W12" s="25" t="s">
        <v>55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-1</v>
      </c>
      <c r="K13" s="48">
        <f t="shared" si="2"/>
        <v>-10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 t="shared" si="0"/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-2</v>
      </c>
      <c r="K14" s="42">
        <f t="shared" si="2"/>
        <v>-20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si="0"/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-2</v>
      </c>
      <c r="K15" s="48">
        <f t="shared" si="2"/>
        <v>-20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0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-2</v>
      </c>
      <c r="K16" s="42">
        <f t="shared" si="2"/>
        <v>-20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0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-2</v>
      </c>
      <c r="K17" s="48">
        <f t="shared" si="2"/>
        <v>-20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0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-2</v>
      </c>
      <c r="K18" s="42">
        <f t="shared" si="2"/>
        <v>-20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0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-2</v>
      </c>
      <c r="K19" s="48">
        <f t="shared" si="2"/>
        <v>-20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0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-2</v>
      </c>
      <c r="K20" s="42">
        <f t="shared" si="2"/>
        <v>-20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0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-2</v>
      </c>
      <c r="K21" s="48">
        <f t="shared" si="2"/>
        <v>-20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0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-3</v>
      </c>
      <c r="K22" s="42">
        <f t="shared" si="2"/>
        <v>-30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0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-3</v>
      </c>
      <c r="K23" s="48">
        <f t="shared" si="2"/>
        <v>-30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0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-3</v>
      </c>
      <c r="K24" s="42">
        <f t="shared" si="2"/>
        <v>-30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0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-3</v>
      </c>
      <c r="K25" s="48">
        <f t="shared" si="2"/>
        <v>-30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0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-3</v>
      </c>
      <c r="K26" s="42">
        <f t="shared" si="2"/>
        <v>-30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0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-3</v>
      </c>
      <c r="K27" s="48">
        <f t="shared" si="2"/>
        <v>-30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0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-3</v>
      </c>
      <c r="K28" s="42">
        <f t="shared" si="2"/>
        <v>-30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0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-3</v>
      </c>
      <c r="K29" s="48">
        <f t="shared" si="2"/>
        <v>-30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0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-3</v>
      </c>
      <c r="K30" s="42">
        <f t="shared" si="2"/>
        <v>-30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0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-3</v>
      </c>
      <c r="K31" s="48">
        <f t="shared" si="2"/>
        <v>-30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0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-3</v>
      </c>
      <c r="K32" s="42">
        <f t="shared" si="2"/>
        <v>-30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0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-3</v>
      </c>
      <c r="K33" s="48">
        <f t="shared" si="2"/>
        <v>-30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0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-3</v>
      </c>
      <c r="K34" s="42">
        <f t="shared" si="2"/>
        <v>-30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0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-3</v>
      </c>
      <c r="K35" s="48">
        <f t="shared" si="2"/>
        <v>-30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0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-3</v>
      </c>
      <c r="K36" s="42">
        <f t="shared" si="2"/>
        <v>-30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0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-3</v>
      </c>
      <c r="K37" s="48">
        <f t="shared" si="2"/>
        <v>-30</v>
      </c>
      <c r="L37" s="48"/>
      <c r="M37" s="50">
        <f t="shared" si="3"/>
        <v>0</v>
      </c>
    </row>
    <row r="38" spans="1:21">
      <c r="A38" s="56"/>
      <c r="B38" s="40" t="str">
        <f t="shared" ref="B38:B65" si="6">IF(H38&gt;$H$2,"",(ROW()-5))</f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-4</v>
      </c>
      <c r="K38" s="42">
        <f t="shared" si="2"/>
        <v>-40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-4</v>
      </c>
      <c r="K39" s="48">
        <f t="shared" si="2"/>
        <v>-40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-4</v>
      </c>
      <c r="K40" s="42">
        <f t="shared" si="2"/>
        <v>-40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-4</v>
      </c>
      <c r="K41" s="48">
        <f t="shared" si="2"/>
        <v>-40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-4</v>
      </c>
      <c r="K42" s="42">
        <f t="shared" si="2"/>
        <v>-40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-4</v>
      </c>
      <c r="K43" s="48">
        <f t="shared" si="2"/>
        <v>-40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-4</v>
      </c>
      <c r="K44" s="42">
        <f t="shared" si="2"/>
        <v>-40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-4</v>
      </c>
      <c r="K45" s="48">
        <f t="shared" si="2"/>
        <v>-40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-4</v>
      </c>
      <c r="K46" s="42">
        <f t="shared" si="2"/>
        <v>-40</v>
      </c>
      <c r="L46" s="42"/>
      <c r="M46" s="44">
        <f t="shared" si="3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-4</v>
      </c>
      <c r="K47" s="48">
        <f t="shared" si="2"/>
        <v>-40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-4</v>
      </c>
      <c r="K48" s="42">
        <f t="shared" si="2"/>
        <v>-40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-4</v>
      </c>
      <c r="K49" s="48">
        <f t="shared" si="2"/>
        <v>-40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-4</v>
      </c>
      <c r="K50" s="42">
        <f t="shared" si="2"/>
        <v>-40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-4</v>
      </c>
      <c r="K51" s="48">
        <f t="shared" si="2"/>
        <v>-40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-4</v>
      </c>
      <c r="K52" s="42">
        <f t="shared" si="2"/>
        <v>-40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-4</v>
      </c>
      <c r="K53" s="48">
        <f t="shared" si="2"/>
        <v>-40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-4</v>
      </c>
      <c r="K54" s="42">
        <f t="shared" si="2"/>
        <v>-40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-4</v>
      </c>
      <c r="K55" s="48">
        <f t="shared" si="2"/>
        <v>-40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-4</v>
      </c>
      <c r="K56" s="42">
        <f t="shared" si="2"/>
        <v>-40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-4</v>
      </c>
      <c r="K57" s="48">
        <f t="shared" si="2"/>
        <v>-40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-4</v>
      </c>
      <c r="K58" s="42">
        <f t="shared" si="2"/>
        <v>-40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-4</v>
      </c>
      <c r="K59" s="48">
        <f t="shared" si="2"/>
        <v>-40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-4</v>
      </c>
      <c r="K60" s="42">
        <f t="shared" si="2"/>
        <v>-40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-4</v>
      </c>
      <c r="K61" s="48">
        <f t="shared" si="2"/>
        <v>-40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-4</v>
      </c>
      <c r="K62" s="42">
        <f t="shared" si="2"/>
        <v>-40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-4</v>
      </c>
      <c r="K63" s="48">
        <f t="shared" si="2"/>
        <v>-40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-4</v>
      </c>
      <c r="K64" s="42">
        <f t="shared" si="2"/>
        <v>-40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-4</v>
      </c>
      <c r="K65" s="48">
        <f t="shared" si="2"/>
        <v>-40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-4</v>
      </c>
      <c r="K66" s="42">
        <f t="shared" si="2"/>
        <v>-40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-4</v>
      </c>
      <c r="K67" s="42">
        <f t="shared" si="2"/>
        <v>-40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-4</v>
      </c>
      <c r="K68" s="42">
        <f t="shared" si="2"/>
        <v>-40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-4</v>
      </c>
      <c r="K69" s="42">
        <f t="shared" si="2"/>
        <v>-40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WISŁA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26" sqref="C26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4" t="s">
        <v>62</v>
      </c>
      <c r="D2" s="94"/>
      <c r="E2" s="27"/>
      <c r="F2" s="27"/>
      <c r="G2" s="27"/>
      <c r="H2" s="28">
        <v>4</v>
      </c>
      <c r="I2" s="29">
        <v>50</v>
      </c>
      <c r="J2" s="29">
        <v>10</v>
      </c>
      <c r="K2" s="30">
        <f>3*H2^(1/3)</f>
        <v>4.7622031559045981</v>
      </c>
      <c r="L2" s="24"/>
      <c r="M2" s="24"/>
    </row>
    <row r="3" spans="1:36">
      <c r="A3" s="20"/>
      <c r="B3" s="31" t="s">
        <v>29</v>
      </c>
      <c r="C3" s="95" t="s">
        <v>63</v>
      </c>
      <c r="D3" s="95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84.286609467713788</v>
      </c>
      <c r="B6" s="40">
        <v>1</v>
      </c>
      <c r="C6" s="75" t="s">
        <v>17</v>
      </c>
      <c r="D6" s="75" t="s">
        <v>56</v>
      </c>
      <c r="E6" s="75" t="s">
        <v>42</v>
      </c>
      <c r="F6" s="41"/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14.286609467713795</v>
      </c>
      <c r="M6" s="44">
        <f t="shared" ref="M6:M69" si="2">IF(I6&lt;&gt;"",K6+I6+L6,0)</f>
        <v>84.286609467713788</v>
      </c>
    </row>
    <row r="7" spans="1:36" ht="14.45" customHeight="1">
      <c r="A7" s="45">
        <f t="shared" ref="A7:A37" si="3">M7</f>
        <v>45.024406311809194</v>
      </c>
      <c r="B7" s="46">
        <v>2</v>
      </c>
      <c r="C7" s="76" t="s">
        <v>18</v>
      </c>
      <c r="D7" s="76" t="s">
        <v>64</v>
      </c>
      <c r="E7" s="76" t="s">
        <v>65</v>
      </c>
      <c r="F7" s="47"/>
      <c r="G7" s="34"/>
      <c r="H7" s="48">
        <v>2</v>
      </c>
      <c r="I7" s="49">
        <f t="shared" si="0"/>
        <v>25.5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9.5244063118091962</v>
      </c>
      <c r="M7" s="50">
        <f t="shared" si="2"/>
        <v>45.024406311809194</v>
      </c>
    </row>
    <row r="8" spans="1:36" ht="14.45" customHeight="1">
      <c r="A8" s="39">
        <f t="shared" si="3"/>
        <v>15.930621888236271</v>
      </c>
      <c r="B8" s="40">
        <v>3</v>
      </c>
      <c r="C8" s="75" t="s">
        <v>16</v>
      </c>
      <c r="D8" s="75" t="s">
        <v>66</v>
      </c>
      <c r="E8" s="75" t="s">
        <v>42</v>
      </c>
      <c r="F8" s="41"/>
      <c r="G8" s="34"/>
      <c r="H8" s="42">
        <v>3</v>
      </c>
      <c r="I8" s="43">
        <f t="shared" si="0"/>
        <v>11.168418732331673</v>
      </c>
      <c r="J8" s="42">
        <f t="shared" si="4"/>
        <v>0</v>
      </c>
      <c r="K8" s="42">
        <f t="shared" si="1"/>
        <v>0</v>
      </c>
      <c r="L8" s="44">
        <f>K2</f>
        <v>4.7622031559045981</v>
      </c>
      <c r="M8" s="44">
        <f t="shared" si="2"/>
        <v>15.930621888236271</v>
      </c>
    </row>
    <row r="9" spans="1:36" ht="14.45" customHeight="1">
      <c r="A9" s="45">
        <f t="shared" si="3"/>
        <v>1</v>
      </c>
      <c r="B9" s="46">
        <v>4</v>
      </c>
      <c r="C9" s="76" t="s">
        <v>21</v>
      </c>
      <c r="D9" s="76" t="s">
        <v>67</v>
      </c>
      <c r="E9" s="76" t="s">
        <v>42</v>
      </c>
      <c r="F9" s="47"/>
      <c r="G9" s="34"/>
      <c r="H9" s="48">
        <v>4</v>
      </c>
      <c r="I9" s="49">
        <f t="shared" si="0"/>
        <v>1</v>
      </c>
      <c r="J9" s="48">
        <f t="shared" si="4"/>
        <v>0</v>
      </c>
      <c r="K9" s="48">
        <f t="shared" si="1"/>
        <v>0</v>
      </c>
      <c r="L9" s="50"/>
      <c r="M9" s="50">
        <f t="shared" si="2"/>
        <v>1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3"/>
        <v>0</v>
      </c>
      <c r="B10" s="40" t="str">
        <f t="shared" ref="B10:B13" si="5">IF(H10&gt;$H$2,"",(ROW()-5))</f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 ht="14.45" customHeight="1">
      <c r="A2" s="20"/>
      <c r="B2" s="26" t="s">
        <v>27</v>
      </c>
      <c r="C2" s="94" t="s">
        <v>68</v>
      </c>
      <c r="D2" s="94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24"/>
      <c r="M2" s="24"/>
    </row>
    <row r="3" spans="1:36" ht="14.45" customHeight="1">
      <c r="A3" s="20"/>
      <c r="B3" s="31" t="s">
        <v>29</v>
      </c>
      <c r="C3" s="95" t="s">
        <v>69</v>
      </c>
      <c r="D3" s="95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82.980246132766666</v>
      </c>
      <c r="B6" s="40">
        <f t="shared" ref="B6:B14" si="0">IF(H6&gt;$H$2,"",(ROW()-5))</f>
        <v>1</v>
      </c>
      <c r="C6" s="41" t="s">
        <v>16</v>
      </c>
      <c r="D6" s="41" t="s">
        <v>66</v>
      </c>
      <c r="E6" s="41"/>
      <c r="F6" s="41" t="s">
        <v>55</v>
      </c>
      <c r="G6" s="34"/>
      <c r="H6" s="42">
        <v>1</v>
      </c>
      <c r="I6" s="43">
        <f t="shared" ref="I6:I69" si="1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2">J6*$J$2</f>
        <v>20</v>
      </c>
      <c r="L6" s="44">
        <f>3*K2</f>
        <v>12.980246132766673</v>
      </c>
      <c r="M6" s="44">
        <f t="shared" ref="M6:M69" si="3">IF(I6&lt;&gt;"",K6+I6+L6,0)</f>
        <v>82.980246132766666</v>
      </c>
    </row>
    <row r="7" spans="1:36" ht="14.45" customHeight="1">
      <c r="A7" s="45">
        <f t="shared" ref="A7:A37" si="4">M7</f>
        <v>37.73793949684304</v>
      </c>
      <c r="B7" s="46">
        <f t="shared" si="0"/>
        <v>2</v>
      </c>
      <c r="C7" s="47" t="s">
        <v>17</v>
      </c>
      <c r="D7" s="47" t="s">
        <v>56</v>
      </c>
      <c r="E7" s="47"/>
      <c r="F7" s="47" t="s">
        <v>55</v>
      </c>
      <c r="G7" s="34"/>
      <c r="H7" s="48">
        <v>2</v>
      </c>
      <c r="I7" s="49">
        <f t="shared" si="1"/>
        <v>19.084442074998588</v>
      </c>
      <c r="J7" s="48">
        <f t="shared" ref="J7:J70" si="5">INT(LOG($H$2,2))-ROUNDUP(LOG(H7,2),0)+IF(OR($H$2=1,$H$2=2,$H$2=4,$H$2=8,$H$2=16,$H$2=32,$H$2=64,$H$2=128,$H$2=256),0,1)</f>
        <v>1</v>
      </c>
      <c r="K7" s="48">
        <f t="shared" si="2"/>
        <v>10</v>
      </c>
      <c r="L7" s="50">
        <f>2*K2</f>
        <v>8.6534974218444489</v>
      </c>
      <c r="M7" s="50">
        <f t="shared" si="3"/>
        <v>37.73793949684304</v>
      </c>
    </row>
    <row r="8" spans="1:36" ht="14.45" customHeight="1">
      <c r="A8" s="39">
        <f t="shared" si="4"/>
        <v>5.3267487109222245</v>
      </c>
      <c r="B8" s="40">
        <f t="shared" si="0"/>
        <v>3</v>
      </c>
      <c r="C8" s="41" t="s">
        <v>20</v>
      </c>
      <c r="D8" s="41" t="s">
        <v>60</v>
      </c>
      <c r="E8" s="41"/>
      <c r="F8" s="41" t="s">
        <v>55</v>
      </c>
      <c r="G8" s="34"/>
      <c r="H8" s="42">
        <v>3</v>
      </c>
      <c r="I8" s="43">
        <f t="shared" si="1"/>
        <v>1</v>
      </c>
      <c r="J8" s="42">
        <f t="shared" si="5"/>
        <v>0</v>
      </c>
      <c r="K8" s="42">
        <f t="shared" si="2"/>
        <v>0</v>
      </c>
      <c r="L8" s="44">
        <f>K2</f>
        <v>4.3267487109222245</v>
      </c>
      <c r="M8" s="44">
        <f t="shared" si="3"/>
        <v>5.3267487109222245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0</v>
      </c>
      <c r="K9" s="48">
        <f t="shared" si="2"/>
        <v>0</v>
      </c>
      <c r="L9" s="50"/>
      <c r="M9" s="50">
        <f t="shared" si="3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-1</v>
      </c>
      <c r="K10" s="42">
        <f t="shared" si="2"/>
        <v>-10</v>
      </c>
      <c r="L10" s="42"/>
      <c r="M10" s="44">
        <f t="shared" si="3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-1</v>
      </c>
      <c r="K11" s="48">
        <f t="shared" si="2"/>
        <v>-10</v>
      </c>
      <c r="L11" s="48"/>
      <c r="M11" s="50">
        <f t="shared" si="3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-1</v>
      </c>
      <c r="K12" s="42">
        <f t="shared" si="2"/>
        <v>-10</v>
      </c>
      <c r="L12" s="42"/>
      <c r="M12" s="44">
        <f t="shared" si="3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-1</v>
      </c>
      <c r="K13" s="48">
        <f t="shared" si="2"/>
        <v>-10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 t="shared" si="0"/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-2</v>
      </c>
      <c r="K14" s="42">
        <f t="shared" si="2"/>
        <v>-20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/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-2</v>
      </c>
      <c r="K15" s="48">
        <f t="shared" si="2"/>
        <v>-20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ref="B16:B65" si="6">IF(H16&gt;$H$2,"",(ROW()-5))</f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-2</v>
      </c>
      <c r="K16" s="42">
        <f t="shared" si="2"/>
        <v>-20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-2</v>
      </c>
      <c r="K17" s="48">
        <f t="shared" si="2"/>
        <v>-20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-2</v>
      </c>
      <c r="K18" s="42">
        <f t="shared" si="2"/>
        <v>-20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-2</v>
      </c>
      <c r="K19" s="48">
        <f t="shared" si="2"/>
        <v>-20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-2</v>
      </c>
      <c r="K20" s="42">
        <f t="shared" si="2"/>
        <v>-20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-2</v>
      </c>
      <c r="K21" s="48">
        <f t="shared" si="2"/>
        <v>-20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-3</v>
      </c>
      <c r="K22" s="42">
        <f t="shared" si="2"/>
        <v>-30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-3</v>
      </c>
      <c r="K23" s="48">
        <f t="shared" si="2"/>
        <v>-30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-3</v>
      </c>
      <c r="K24" s="42">
        <f t="shared" si="2"/>
        <v>-30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-3</v>
      </c>
      <c r="K25" s="48">
        <f t="shared" si="2"/>
        <v>-30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-3</v>
      </c>
      <c r="K26" s="42">
        <f t="shared" si="2"/>
        <v>-30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-3</v>
      </c>
      <c r="K27" s="48">
        <f t="shared" si="2"/>
        <v>-30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-3</v>
      </c>
      <c r="K28" s="42">
        <f t="shared" si="2"/>
        <v>-30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-3</v>
      </c>
      <c r="K29" s="48">
        <f t="shared" si="2"/>
        <v>-30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-3</v>
      </c>
      <c r="K30" s="42">
        <f t="shared" si="2"/>
        <v>-30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-3</v>
      </c>
      <c r="K31" s="48">
        <f t="shared" si="2"/>
        <v>-30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-3</v>
      </c>
      <c r="K32" s="42">
        <f t="shared" si="2"/>
        <v>-30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-3</v>
      </c>
      <c r="K33" s="48">
        <f t="shared" si="2"/>
        <v>-30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-3</v>
      </c>
      <c r="K34" s="42">
        <f t="shared" si="2"/>
        <v>-30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-3</v>
      </c>
      <c r="K35" s="48">
        <f t="shared" si="2"/>
        <v>-30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-3</v>
      </c>
      <c r="K36" s="42">
        <f t="shared" si="2"/>
        <v>-30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-3</v>
      </c>
      <c r="K37" s="48">
        <f t="shared" si="2"/>
        <v>-30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-4</v>
      </c>
      <c r="K38" s="42">
        <f t="shared" si="2"/>
        <v>-40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-4</v>
      </c>
      <c r="K39" s="48">
        <f t="shared" si="2"/>
        <v>-40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-4</v>
      </c>
      <c r="K40" s="42">
        <f t="shared" si="2"/>
        <v>-40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-4</v>
      </c>
      <c r="K41" s="48">
        <f t="shared" si="2"/>
        <v>-40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-4</v>
      </c>
      <c r="K42" s="42">
        <f t="shared" si="2"/>
        <v>-40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-4</v>
      </c>
      <c r="K43" s="48">
        <f t="shared" si="2"/>
        <v>-40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-4</v>
      </c>
      <c r="K44" s="42">
        <f t="shared" si="2"/>
        <v>-40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-4</v>
      </c>
      <c r="K45" s="48">
        <f t="shared" si="2"/>
        <v>-40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-4</v>
      </c>
      <c r="K46" s="42">
        <f t="shared" si="2"/>
        <v>-40</v>
      </c>
      <c r="L46" s="42"/>
      <c r="M46" s="44">
        <f t="shared" si="3"/>
        <v>0</v>
      </c>
      <c r="R46" s="20">
        <f>LOG($H$2,2)</f>
        <v>1.5849625007211563</v>
      </c>
      <c r="T46" s="25">
        <f>LOG(H38,2)</f>
        <v>5.0443941193584534</v>
      </c>
      <c r="U46" s="25">
        <f>R46-T46</f>
        <v>-3.4594316186372973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-4</v>
      </c>
      <c r="K47" s="48">
        <f t="shared" si="2"/>
        <v>-40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-4</v>
      </c>
      <c r="K48" s="42">
        <f t="shared" si="2"/>
        <v>-40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-4</v>
      </c>
      <c r="K49" s="48">
        <f t="shared" si="2"/>
        <v>-40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-4</v>
      </c>
      <c r="K50" s="42">
        <f t="shared" si="2"/>
        <v>-40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-4</v>
      </c>
      <c r="K51" s="48">
        <f t="shared" si="2"/>
        <v>-40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-4</v>
      </c>
      <c r="K52" s="42">
        <f t="shared" si="2"/>
        <v>-40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-4</v>
      </c>
      <c r="K53" s="48">
        <f t="shared" si="2"/>
        <v>-40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-4</v>
      </c>
      <c r="K54" s="42">
        <f t="shared" si="2"/>
        <v>-40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-4</v>
      </c>
      <c r="K55" s="48">
        <f t="shared" si="2"/>
        <v>-40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-4</v>
      </c>
      <c r="K56" s="42">
        <f t="shared" si="2"/>
        <v>-40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-4</v>
      </c>
      <c r="K57" s="48">
        <f t="shared" si="2"/>
        <v>-40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-4</v>
      </c>
      <c r="K58" s="42">
        <f t="shared" si="2"/>
        <v>-40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-4</v>
      </c>
      <c r="K59" s="48">
        <f t="shared" si="2"/>
        <v>-40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-4</v>
      </c>
      <c r="K60" s="42">
        <f t="shared" si="2"/>
        <v>-40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-4</v>
      </c>
      <c r="K61" s="48">
        <f t="shared" si="2"/>
        <v>-40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-4</v>
      </c>
      <c r="K62" s="42">
        <f t="shared" si="2"/>
        <v>-40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-4</v>
      </c>
      <c r="K63" s="48">
        <f t="shared" si="2"/>
        <v>-40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-4</v>
      </c>
      <c r="K64" s="42">
        <f t="shared" si="2"/>
        <v>-40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-4</v>
      </c>
      <c r="K65" s="48">
        <f t="shared" si="2"/>
        <v>-40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-4</v>
      </c>
      <c r="K66" s="42">
        <f t="shared" si="2"/>
        <v>-40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-4</v>
      </c>
      <c r="K67" s="42">
        <f t="shared" si="2"/>
        <v>-40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-4</v>
      </c>
      <c r="K68" s="42">
        <f t="shared" si="2"/>
        <v>-40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-4</v>
      </c>
      <c r="K69" s="42">
        <f t="shared" si="2"/>
        <v>-40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2C989504-0E90-4DFB-A93B-A3DEA4B46F4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24" sqref="C24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4" t="s">
        <v>70</v>
      </c>
      <c r="D2" s="94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>
      <c r="A3" s="20"/>
      <c r="B3" s="31" t="s">
        <v>29</v>
      </c>
      <c r="C3" s="95" t="s">
        <v>71</v>
      </c>
      <c r="D3" s="95"/>
      <c r="E3" s="32"/>
      <c r="F3" s="32"/>
      <c r="G3" s="32"/>
      <c r="H3" s="24"/>
      <c r="I3" s="24"/>
      <c r="J3" s="24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24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7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v>59</v>
      </c>
      <c r="B6" s="46">
        <f t="shared" ref="B6:B13" si="0">IF(H6&gt;$H$2,"",(ROW()-5))</f>
        <v>1</v>
      </c>
      <c r="C6" s="77" t="s">
        <v>17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3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9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3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9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3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9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3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9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3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9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3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9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3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9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3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9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3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9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3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9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3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9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3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9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3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9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3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9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3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9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3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9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3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9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3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9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3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9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3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9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3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9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3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9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3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9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3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9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3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9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3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9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3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9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3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9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3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9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3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3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3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3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3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3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3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3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3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3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3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3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3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3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3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3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3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3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3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3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3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3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3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3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3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3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3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3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3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3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3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3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3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3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3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3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3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3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3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3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3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3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3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3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3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3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3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3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3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3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3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3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3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3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3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3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3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3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3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3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3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3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3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3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3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3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3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3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3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3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3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3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3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3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3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3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3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3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3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3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3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3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3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3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3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3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3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3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3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3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3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3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3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3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3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3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3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3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3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3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3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3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3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3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3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3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3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3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3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3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3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3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3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3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3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3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3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3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3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3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3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3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3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3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3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3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3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3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3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3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3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3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3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3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3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3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3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3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3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3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3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3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3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3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3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3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3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3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3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3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3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3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3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3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3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3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3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3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3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3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3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3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3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3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3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3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3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3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3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3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3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3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3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3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3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3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3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3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3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3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3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3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3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3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3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3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3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3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3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3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3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3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3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3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3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3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3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3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3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3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3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3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3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3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3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3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3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3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3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3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3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3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3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3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3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3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3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3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3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3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3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3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3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3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3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3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3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3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3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3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3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3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3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3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3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3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72</v>
      </c>
      <c r="L1" s="69" t="s">
        <v>73</v>
      </c>
      <c r="M1" s="70"/>
      <c r="N1" s="24"/>
    </row>
    <row r="2" spans="1:37">
      <c r="A2" s="20"/>
      <c r="B2" s="26" t="s">
        <v>27</v>
      </c>
      <c r="C2" s="94" t="s">
        <v>74</v>
      </c>
      <c r="D2" s="94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71">
        <f>1.2</f>
        <v>1.2</v>
      </c>
      <c r="M2" s="24"/>
      <c r="N2" s="24"/>
    </row>
    <row r="3" spans="1:37" ht="14.25" customHeight="1">
      <c r="A3" s="20"/>
      <c r="B3" s="31" t="s">
        <v>29</v>
      </c>
      <c r="C3" s="95" t="s">
        <v>75</v>
      </c>
      <c r="D3" s="95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  <c r="N5" s="36" t="s">
        <v>76</v>
      </c>
    </row>
    <row r="6" spans="1:37" ht="14.45" customHeight="1">
      <c r="A6" s="39">
        <f>N6</f>
        <v>99.57629535932</v>
      </c>
      <c r="B6" s="40">
        <v>1</v>
      </c>
      <c r="C6" s="41" t="s">
        <v>16</v>
      </c>
      <c r="D6" s="41" t="s">
        <v>77</v>
      </c>
      <c r="E6" s="41"/>
      <c r="F6" s="41" t="s">
        <v>55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12.980246132766673</v>
      </c>
      <c r="M6" s="44">
        <f t="shared" ref="M6:M69" si="2">IF(I6&lt;&gt;"",K6+I6+L6,0)</f>
        <v>82.980246132766666</v>
      </c>
      <c r="N6" s="44">
        <f t="shared" ref="N6:N69" si="3">IF(I6&lt;&gt;"",M6*L$2,0)</f>
        <v>99.57629535932</v>
      </c>
    </row>
    <row r="7" spans="1:37" ht="14.45" customHeight="1">
      <c r="A7" s="45">
        <f t="shared" ref="A7:A70" si="4">N7</f>
        <v>45.285527396211648</v>
      </c>
      <c r="B7" s="46">
        <v>2</v>
      </c>
      <c r="C7" s="47" t="s">
        <v>17</v>
      </c>
      <c r="D7" s="47" t="s">
        <v>78</v>
      </c>
      <c r="E7" s="47"/>
      <c r="F7" s="47" t="s">
        <v>55</v>
      </c>
      <c r="G7" s="34"/>
      <c r="H7" s="48">
        <v>2</v>
      </c>
      <c r="I7" s="49">
        <f t="shared" si="0"/>
        <v>19.084442074998588</v>
      </c>
      <c r="J7" s="48">
        <f t="shared" ref="J7:J70" si="5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8.6534974218444489</v>
      </c>
      <c r="M7" s="50">
        <f t="shared" si="2"/>
        <v>37.73793949684304</v>
      </c>
      <c r="N7" s="50">
        <f t="shared" si="3"/>
        <v>45.285527396211648</v>
      </c>
    </row>
    <row r="8" spans="1:37" ht="14.45" customHeight="1">
      <c r="A8" s="39">
        <f t="shared" si="4"/>
        <v>6.3920984531066694</v>
      </c>
      <c r="B8" s="40">
        <v>3</v>
      </c>
      <c r="C8" s="41" t="s">
        <v>20</v>
      </c>
      <c r="D8" s="41" t="s">
        <v>60</v>
      </c>
      <c r="E8" s="41"/>
      <c r="F8" s="41" t="s">
        <v>55</v>
      </c>
      <c r="G8" s="34"/>
      <c r="H8" s="42">
        <v>3</v>
      </c>
      <c r="I8" s="43">
        <f t="shared" si="0"/>
        <v>1</v>
      </c>
      <c r="J8" s="42">
        <f t="shared" si="5"/>
        <v>0</v>
      </c>
      <c r="K8" s="42">
        <f t="shared" si="1"/>
        <v>0</v>
      </c>
      <c r="L8" s="44">
        <f>K2</f>
        <v>4.3267487109222245</v>
      </c>
      <c r="M8" s="44">
        <f t="shared" si="2"/>
        <v>5.3267487109222245</v>
      </c>
      <c r="N8" s="44">
        <f t="shared" si="3"/>
        <v>6.3920984531066694</v>
      </c>
    </row>
    <row r="9" spans="1:37" ht="14.45" customHeight="1">
      <c r="A9" s="45">
        <f t="shared" si="4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0</v>
      </c>
      <c r="K9" s="48">
        <f t="shared" si="1"/>
        <v>0</v>
      </c>
      <c r="L9" s="50"/>
      <c r="M9" s="50">
        <f t="shared" si="2"/>
        <v>0</v>
      </c>
      <c r="N9" s="50">
        <f t="shared" si="3"/>
        <v>0</v>
      </c>
      <c r="W9" s="51"/>
      <c r="AA9" s="52"/>
      <c r="AB9" s="52"/>
      <c r="AH9" s="53"/>
      <c r="AI9" s="25" t="s">
        <v>43</v>
      </c>
      <c r="AJ9" s="25">
        <v>23</v>
      </c>
    </row>
    <row r="10" spans="1:37" ht="14.45" customHeight="1">
      <c r="A10" s="39">
        <f t="shared" si="4"/>
        <v>0</v>
      </c>
      <c r="B10" s="40" t="str">
        <f t="shared" ref="B10:B13" si="6">IF(H10&gt;$H$2,"",(ROW()-5))</f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-1</v>
      </c>
      <c r="K10" s="42">
        <f t="shared" si="1"/>
        <v>-10</v>
      </c>
      <c r="L10" s="42"/>
      <c r="M10" s="44">
        <f t="shared" si="2"/>
        <v>0</v>
      </c>
      <c r="N10" s="44">
        <f t="shared" si="3"/>
        <v>0</v>
      </c>
      <c r="W10" s="51"/>
      <c r="AA10" s="52"/>
      <c r="AB10" s="52"/>
      <c r="AH10" s="53"/>
      <c r="AI10" s="25" t="s">
        <v>44</v>
      </c>
      <c r="AJ10" s="25">
        <v>45</v>
      </c>
    </row>
    <row r="11" spans="1:37" ht="14.45" customHeight="1">
      <c r="A11" s="45">
        <f t="shared" si="4"/>
        <v>0</v>
      </c>
      <c r="B11" s="46" t="str">
        <f t="shared" si="6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-1</v>
      </c>
      <c r="K11" s="48">
        <f t="shared" si="1"/>
        <v>-10</v>
      </c>
      <c r="L11" s="48"/>
      <c r="M11" s="50">
        <f t="shared" si="2"/>
        <v>0</v>
      </c>
      <c r="N11" s="50">
        <f t="shared" si="3"/>
        <v>0</v>
      </c>
      <c r="W11" s="54"/>
      <c r="AA11" s="52"/>
      <c r="AB11" s="52"/>
      <c r="AH11" s="53"/>
      <c r="AI11" s="25" t="s">
        <v>45</v>
      </c>
      <c r="AJ11" s="25">
        <v>50</v>
      </c>
    </row>
    <row r="12" spans="1:37" ht="14.45" customHeight="1">
      <c r="A12" s="39">
        <f t="shared" si="4"/>
        <v>0</v>
      </c>
      <c r="B12" s="40" t="str">
        <f t="shared" si="6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-1</v>
      </c>
      <c r="K12" s="42">
        <f t="shared" si="1"/>
        <v>-10</v>
      </c>
      <c r="L12" s="42"/>
      <c r="M12" s="44">
        <f t="shared" si="2"/>
        <v>0</v>
      </c>
      <c r="N12" s="44">
        <f t="shared" si="3"/>
        <v>0</v>
      </c>
      <c r="AA12" s="52"/>
      <c r="AB12" s="52"/>
      <c r="AH12" s="53"/>
      <c r="AI12" s="25" t="s">
        <v>46</v>
      </c>
      <c r="AJ12" s="25">
        <f>AJ11-1</f>
        <v>49</v>
      </c>
    </row>
    <row r="13" spans="1:37" ht="14.45" customHeight="1">
      <c r="A13" s="55">
        <f t="shared" si="4"/>
        <v>0</v>
      </c>
      <c r="B13" s="46" t="str">
        <f t="shared" si="6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-1</v>
      </c>
      <c r="K13" s="48">
        <f t="shared" si="1"/>
        <v>-10</v>
      </c>
      <c r="L13" s="48"/>
      <c r="M13" s="50">
        <f t="shared" si="2"/>
        <v>0</v>
      </c>
      <c r="N13" s="50">
        <f t="shared" si="3"/>
        <v>0</v>
      </c>
      <c r="Y13" s="51"/>
      <c r="AH13" s="53"/>
      <c r="AI13" s="25" t="s">
        <v>47</v>
      </c>
      <c r="AJ13" s="25">
        <f>LOG(AJ9)</f>
        <v>1.3617278360175928</v>
      </c>
    </row>
    <row r="14" spans="1:37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-2</v>
      </c>
      <c r="K14" s="42">
        <f t="shared" si="1"/>
        <v>-20</v>
      </c>
      <c r="L14" s="42"/>
      <c r="M14" s="44">
        <f t="shared" si="2"/>
        <v>0</v>
      </c>
      <c r="N14" s="44">
        <f t="shared" si="3"/>
        <v>0</v>
      </c>
      <c r="Y14" s="57"/>
      <c r="AA14" s="52"/>
      <c r="AB14" s="52"/>
      <c r="AH14" s="53"/>
      <c r="AI14" s="25" t="s">
        <v>48</v>
      </c>
      <c r="AJ14" s="25">
        <f>LOG(AJ10)</f>
        <v>1.6532125137753437</v>
      </c>
    </row>
    <row r="15" spans="1:37">
      <c r="A15" s="55">
        <f t="shared" si="4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-2</v>
      </c>
      <c r="K15" s="48">
        <f t="shared" si="1"/>
        <v>-20</v>
      </c>
      <c r="L15" s="48"/>
      <c r="M15" s="50">
        <f t="shared" si="2"/>
        <v>0</v>
      </c>
      <c r="N15" s="50">
        <f t="shared" si="3"/>
        <v>0</v>
      </c>
      <c r="Y15" s="51"/>
      <c r="AA15" s="52"/>
      <c r="AB15" s="52"/>
    </row>
    <row r="16" spans="1:37">
      <c r="A16" s="56">
        <f t="shared" si="4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-2</v>
      </c>
      <c r="K16" s="42">
        <f t="shared" si="1"/>
        <v>-20</v>
      </c>
      <c r="L16" s="42"/>
      <c r="M16" s="44">
        <f t="shared" si="2"/>
        <v>0</v>
      </c>
      <c r="N16" s="44">
        <f t="shared" si="3"/>
        <v>0</v>
      </c>
      <c r="S16" s="58"/>
      <c r="AA16" s="52"/>
      <c r="AB16" s="52"/>
      <c r="AI16" s="59" t="s">
        <v>49</v>
      </c>
      <c r="AJ16" s="25">
        <f>AJ11-AJ12*AJ13/AJ14</f>
        <v>9.6393909380186855</v>
      </c>
      <c r="AK16" s="25" t="s">
        <v>50</v>
      </c>
    </row>
    <row r="17" spans="1:20">
      <c r="A17" s="55">
        <f t="shared" si="4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-2</v>
      </c>
      <c r="K17" s="48">
        <f t="shared" si="1"/>
        <v>-20</v>
      </c>
      <c r="L17" s="48"/>
      <c r="M17" s="50">
        <f t="shared" si="2"/>
        <v>0</v>
      </c>
      <c r="N17" s="50">
        <f t="shared" si="3"/>
        <v>0</v>
      </c>
    </row>
    <row r="18" spans="1:20">
      <c r="A18" s="56">
        <f t="shared" si="4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-2</v>
      </c>
      <c r="K18" s="42">
        <f t="shared" si="1"/>
        <v>-20</v>
      </c>
      <c r="L18" s="42"/>
      <c r="M18" s="44">
        <f t="shared" si="2"/>
        <v>0</v>
      </c>
      <c r="N18" s="44">
        <f t="shared" si="3"/>
        <v>0</v>
      </c>
    </row>
    <row r="19" spans="1:20">
      <c r="A19" s="55">
        <f t="shared" si="4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-2</v>
      </c>
      <c r="K19" s="48">
        <f t="shared" si="1"/>
        <v>-20</v>
      </c>
      <c r="L19" s="48"/>
      <c r="M19" s="50">
        <f t="shared" si="2"/>
        <v>0</v>
      </c>
      <c r="N19" s="50">
        <f t="shared" si="3"/>
        <v>0</v>
      </c>
    </row>
    <row r="20" spans="1:20">
      <c r="A20" s="56">
        <f t="shared" si="4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-2</v>
      </c>
      <c r="K20" s="42">
        <f t="shared" si="1"/>
        <v>-20</v>
      </c>
      <c r="L20" s="42"/>
      <c r="M20" s="44">
        <f t="shared" si="2"/>
        <v>0</v>
      </c>
      <c r="N20" s="44">
        <f t="shared" si="3"/>
        <v>0</v>
      </c>
      <c r="S20" s="60"/>
      <c r="T20" s="61"/>
    </row>
    <row r="21" spans="1:20">
      <c r="A21" s="55">
        <f t="shared" si="4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-2</v>
      </c>
      <c r="K21" s="48">
        <f t="shared" si="1"/>
        <v>-20</v>
      </c>
      <c r="L21" s="48"/>
      <c r="M21" s="50">
        <f t="shared" si="2"/>
        <v>0</v>
      </c>
      <c r="N21" s="50">
        <f t="shared" si="3"/>
        <v>0</v>
      </c>
    </row>
    <row r="22" spans="1:20">
      <c r="A22" s="56">
        <f t="shared" si="4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-3</v>
      </c>
      <c r="K22" s="42">
        <f t="shared" si="1"/>
        <v>-30</v>
      </c>
      <c r="L22" s="42"/>
      <c r="M22" s="44">
        <f t="shared" si="2"/>
        <v>0</v>
      </c>
      <c r="N22" s="44">
        <f t="shared" si="3"/>
        <v>0</v>
      </c>
    </row>
    <row r="23" spans="1:20">
      <c r="A23" s="55">
        <f t="shared" si="4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-3</v>
      </c>
      <c r="K23" s="48">
        <f t="shared" si="1"/>
        <v>-30</v>
      </c>
      <c r="L23" s="48"/>
      <c r="M23" s="50">
        <f t="shared" si="2"/>
        <v>0</v>
      </c>
      <c r="N23" s="50">
        <f t="shared" si="3"/>
        <v>0</v>
      </c>
    </row>
    <row r="24" spans="1:20">
      <c r="A24" s="56">
        <f t="shared" si="4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-3</v>
      </c>
      <c r="K24" s="42">
        <f t="shared" si="1"/>
        <v>-30</v>
      </c>
      <c r="L24" s="42"/>
      <c r="M24" s="44">
        <f t="shared" si="2"/>
        <v>0</v>
      </c>
      <c r="N24" s="44">
        <f t="shared" si="3"/>
        <v>0</v>
      </c>
      <c r="S24" s="60"/>
      <c r="T24" s="61"/>
    </row>
    <row r="25" spans="1:20">
      <c r="A25" s="55">
        <f t="shared" si="4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-3</v>
      </c>
      <c r="K25" s="48">
        <f t="shared" si="1"/>
        <v>-30</v>
      </c>
      <c r="L25" s="48"/>
      <c r="M25" s="50">
        <f t="shared" si="2"/>
        <v>0</v>
      </c>
      <c r="N25" s="50">
        <f t="shared" si="3"/>
        <v>0</v>
      </c>
    </row>
    <row r="26" spans="1:20">
      <c r="A26" s="56">
        <f t="shared" si="4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-3</v>
      </c>
      <c r="K26" s="42">
        <f t="shared" si="1"/>
        <v>-30</v>
      </c>
      <c r="L26" s="42"/>
      <c r="M26" s="44">
        <f t="shared" si="2"/>
        <v>0</v>
      </c>
      <c r="N26" s="44">
        <f t="shared" si="3"/>
        <v>0</v>
      </c>
    </row>
    <row r="27" spans="1:20">
      <c r="A27" s="55">
        <f t="shared" si="4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-3</v>
      </c>
      <c r="K27" s="48">
        <f t="shared" si="1"/>
        <v>-30</v>
      </c>
      <c r="L27" s="48"/>
      <c r="M27" s="50">
        <f t="shared" si="2"/>
        <v>0</v>
      </c>
      <c r="N27" s="50">
        <f t="shared" si="3"/>
        <v>0</v>
      </c>
    </row>
    <row r="28" spans="1:20">
      <c r="A28" s="56">
        <f t="shared" si="4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-3</v>
      </c>
      <c r="K28" s="42">
        <f t="shared" si="1"/>
        <v>-30</v>
      </c>
      <c r="L28" s="42"/>
      <c r="M28" s="44">
        <f t="shared" si="2"/>
        <v>0</v>
      </c>
      <c r="N28" s="44">
        <f t="shared" si="3"/>
        <v>0</v>
      </c>
      <c r="S28" s="60"/>
      <c r="T28" s="61"/>
    </row>
    <row r="29" spans="1:20">
      <c r="A29" s="55">
        <f t="shared" si="4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-3</v>
      </c>
      <c r="K29" s="48">
        <f t="shared" si="1"/>
        <v>-30</v>
      </c>
      <c r="L29" s="48"/>
      <c r="M29" s="50">
        <f t="shared" si="2"/>
        <v>0</v>
      </c>
      <c r="N29" s="50">
        <f t="shared" si="3"/>
        <v>0</v>
      </c>
    </row>
    <row r="30" spans="1:20">
      <c r="A30" s="56">
        <f t="shared" si="4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-3</v>
      </c>
      <c r="K30" s="42">
        <f t="shared" si="1"/>
        <v>-30</v>
      </c>
      <c r="L30" s="42"/>
      <c r="M30" s="44">
        <f t="shared" si="2"/>
        <v>0</v>
      </c>
      <c r="N30" s="44">
        <f t="shared" si="3"/>
        <v>0</v>
      </c>
    </row>
    <row r="31" spans="1:20">
      <c r="A31" s="55">
        <f t="shared" si="4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-3</v>
      </c>
      <c r="K31" s="48">
        <f t="shared" si="1"/>
        <v>-30</v>
      </c>
      <c r="L31" s="48"/>
      <c r="M31" s="50">
        <f t="shared" si="2"/>
        <v>0</v>
      </c>
      <c r="N31" s="50">
        <f t="shared" si="3"/>
        <v>0</v>
      </c>
    </row>
    <row r="32" spans="1:20">
      <c r="A32" s="56">
        <f t="shared" si="4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-3</v>
      </c>
      <c r="K32" s="42">
        <f t="shared" si="1"/>
        <v>-30</v>
      </c>
      <c r="L32" s="42"/>
      <c r="M32" s="44">
        <f t="shared" si="2"/>
        <v>0</v>
      </c>
      <c r="N32" s="44">
        <f t="shared" si="3"/>
        <v>0</v>
      </c>
      <c r="S32" s="60"/>
      <c r="T32" s="61"/>
    </row>
    <row r="33" spans="1:22">
      <c r="A33" s="55">
        <f t="shared" si="4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-3</v>
      </c>
      <c r="K33" s="48">
        <f t="shared" si="1"/>
        <v>-30</v>
      </c>
      <c r="L33" s="48"/>
      <c r="M33" s="50">
        <f t="shared" si="2"/>
        <v>0</v>
      </c>
      <c r="N33" s="50">
        <f t="shared" si="3"/>
        <v>0</v>
      </c>
    </row>
    <row r="34" spans="1:22">
      <c r="A34" s="56">
        <f t="shared" si="4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-3</v>
      </c>
      <c r="K34" s="42">
        <f t="shared" si="1"/>
        <v>-30</v>
      </c>
      <c r="L34" s="42"/>
      <c r="M34" s="44">
        <f t="shared" si="2"/>
        <v>0</v>
      </c>
      <c r="N34" s="44">
        <f t="shared" si="3"/>
        <v>0</v>
      </c>
    </row>
    <row r="35" spans="1:22">
      <c r="A35" s="55">
        <f t="shared" si="4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-3</v>
      </c>
      <c r="K35" s="48">
        <f t="shared" si="1"/>
        <v>-30</v>
      </c>
      <c r="L35" s="48"/>
      <c r="M35" s="50">
        <f t="shared" si="2"/>
        <v>0</v>
      </c>
      <c r="N35" s="50">
        <f t="shared" si="3"/>
        <v>0</v>
      </c>
    </row>
    <row r="36" spans="1:22">
      <c r="A36" s="56">
        <f t="shared" si="4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-3</v>
      </c>
      <c r="K36" s="42">
        <f t="shared" si="1"/>
        <v>-30</v>
      </c>
      <c r="L36" s="42"/>
      <c r="M36" s="44">
        <f t="shared" si="2"/>
        <v>0</v>
      </c>
      <c r="N36" s="44">
        <f t="shared" si="3"/>
        <v>0</v>
      </c>
      <c r="S36" s="60"/>
      <c r="T36" s="61"/>
    </row>
    <row r="37" spans="1:22">
      <c r="A37" s="55">
        <f t="shared" si="4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-3</v>
      </c>
      <c r="K37" s="48">
        <f t="shared" si="1"/>
        <v>-30</v>
      </c>
      <c r="L37" s="48"/>
      <c r="M37" s="50">
        <f t="shared" si="2"/>
        <v>0</v>
      </c>
      <c r="N37" s="50">
        <f t="shared" si="3"/>
        <v>0</v>
      </c>
    </row>
    <row r="38" spans="1:22">
      <c r="A38" s="56">
        <f t="shared" si="4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-4</v>
      </c>
      <c r="K38" s="42">
        <f t="shared" si="1"/>
        <v>-40</v>
      </c>
      <c r="L38" s="42"/>
      <c r="M38" s="44">
        <f t="shared" si="2"/>
        <v>0</v>
      </c>
      <c r="N38" s="44">
        <f t="shared" si="3"/>
        <v>0</v>
      </c>
    </row>
    <row r="39" spans="1:22">
      <c r="A39" s="55">
        <f t="shared" si="4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-4</v>
      </c>
      <c r="K39" s="48">
        <f t="shared" si="1"/>
        <v>-40</v>
      </c>
      <c r="L39" s="48"/>
      <c r="M39" s="50">
        <f t="shared" si="2"/>
        <v>0</v>
      </c>
      <c r="N39" s="50">
        <f t="shared" si="3"/>
        <v>0</v>
      </c>
    </row>
    <row r="40" spans="1:22">
      <c r="A40" s="56">
        <f t="shared" si="4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-4</v>
      </c>
      <c r="K40" s="42">
        <f t="shared" si="1"/>
        <v>-40</v>
      </c>
      <c r="L40" s="42"/>
      <c r="M40" s="44">
        <f t="shared" si="2"/>
        <v>0</v>
      </c>
      <c r="N40" s="44">
        <f t="shared" si="3"/>
        <v>0</v>
      </c>
    </row>
    <row r="41" spans="1:22">
      <c r="A41" s="55">
        <f t="shared" si="4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-4</v>
      </c>
      <c r="K41" s="48">
        <f t="shared" si="1"/>
        <v>-40</v>
      </c>
      <c r="L41" s="48"/>
      <c r="M41" s="50">
        <f t="shared" si="2"/>
        <v>0</v>
      </c>
      <c r="N41" s="50">
        <f t="shared" si="3"/>
        <v>0</v>
      </c>
      <c r="T41" s="62"/>
    </row>
    <row r="42" spans="1:22">
      <c r="A42" s="56">
        <f t="shared" si="4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-4</v>
      </c>
      <c r="K42" s="42">
        <f t="shared" si="1"/>
        <v>-40</v>
      </c>
      <c r="L42" s="42"/>
      <c r="M42" s="44">
        <f t="shared" si="2"/>
        <v>0</v>
      </c>
      <c r="N42" s="44">
        <f t="shared" si="3"/>
        <v>0</v>
      </c>
    </row>
    <row r="43" spans="1:22">
      <c r="A43" s="55">
        <f t="shared" si="4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-4</v>
      </c>
      <c r="K43" s="48">
        <f t="shared" si="1"/>
        <v>-40</v>
      </c>
      <c r="L43" s="48"/>
      <c r="M43" s="50">
        <f t="shared" si="2"/>
        <v>0</v>
      </c>
      <c r="N43" s="50">
        <f t="shared" si="3"/>
        <v>0</v>
      </c>
    </row>
    <row r="44" spans="1:22">
      <c r="A44" s="56">
        <f t="shared" si="4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-4</v>
      </c>
      <c r="K44" s="42">
        <f t="shared" si="1"/>
        <v>-40</v>
      </c>
      <c r="L44" s="42"/>
      <c r="M44" s="44">
        <f t="shared" si="2"/>
        <v>0</v>
      </c>
      <c r="N44" s="44">
        <f t="shared" si="3"/>
        <v>0</v>
      </c>
    </row>
    <row r="45" spans="1:22">
      <c r="A45" s="55">
        <f t="shared" si="4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-4</v>
      </c>
      <c r="K45" s="48">
        <f t="shared" si="1"/>
        <v>-40</v>
      </c>
      <c r="L45" s="48"/>
      <c r="M45" s="50">
        <f t="shared" si="2"/>
        <v>0</v>
      </c>
      <c r="N45" s="50">
        <f t="shared" si="3"/>
        <v>0</v>
      </c>
    </row>
    <row r="46" spans="1:22">
      <c r="A46" s="56">
        <f t="shared" si="4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-4</v>
      </c>
      <c r="K46" s="42">
        <f t="shared" si="1"/>
        <v>-40</v>
      </c>
      <c r="L46" s="42"/>
      <c r="M46" s="44">
        <f t="shared" si="2"/>
        <v>0</v>
      </c>
      <c r="N46" s="44">
        <f t="shared" si="3"/>
        <v>0</v>
      </c>
      <c r="S46" s="20">
        <f>LOG($H$2,2)</f>
        <v>1.5849625007211563</v>
      </c>
      <c r="U46" s="25">
        <f>LOG(H38,2)</f>
        <v>5.0443941193584534</v>
      </c>
      <c r="V46" s="25">
        <f>S46-U46</f>
        <v>-3.4594316186372973</v>
      </c>
    </row>
    <row r="47" spans="1:22">
      <c r="A47" s="55">
        <f t="shared" si="4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-4</v>
      </c>
      <c r="K47" s="48">
        <f t="shared" si="1"/>
        <v>-40</v>
      </c>
      <c r="L47" s="48"/>
      <c r="M47" s="50">
        <f t="shared" si="2"/>
        <v>0</v>
      </c>
      <c r="N47" s="50">
        <f t="shared" si="3"/>
        <v>0</v>
      </c>
    </row>
    <row r="48" spans="1:22">
      <c r="A48" s="56">
        <f t="shared" si="4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-4</v>
      </c>
      <c r="K48" s="42">
        <f t="shared" si="1"/>
        <v>-40</v>
      </c>
      <c r="L48" s="42"/>
      <c r="M48" s="44">
        <f t="shared" si="2"/>
        <v>0</v>
      </c>
      <c r="N48" s="44">
        <f t="shared" si="3"/>
        <v>0</v>
      </c>
    </row>
    <row r="49" spans="1:14">
      <c r="A49" s="55">
        <f t="shared" si="4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-4</v>
      </c>
      <c r="K49" s="48">
        <f t="shared" si="1"/>
        <v>-40</v>
      </c>
      <c r="L49" s="48"/>
      <c r="M49" s="50">
        <f t="shared" si="2"/>
        <v>0</v>
      </c>
      <c r="N49" s="50">
        <f t="shared" si="3"/>
        <v>0</v>
      </c>
    </row>
    <row r="50" spans="1:14">
      <c r="A50" s="56">
        <f t="shared" si="4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-4</v>
      </c>
      <c r="K50" s="42">
        <f t="shared" si="1"/>
        <v>-40</v>
      </c>
      <c r="L50" s="42"/>
      <c r="M50" s="44">
        <f t="shared" si="2"/>
        <v>0</v>
      </c>
      <c r="N50" s="44">
        <f t="shared" si="3"/>
        <v>0</v>
      </c>
    </row>
    <row r="51" spans="1:14">
      <c r="A51" s="55">
        <f t="shared" si="4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-4</v>
      </c>
      <c r="K51" s="48">
        <f t="shared" si="1"/>
        <v>-40</v>
      </c>
      <c r="L51" s="48"/>
      <c r="M51" s="50">
        <f t="shared" si="2"/>
        <v>0</v>
      </c>
      <c r="N51" s="50">
        <f t="shared" si="3"/>
        <v>0</v>
      </c>
    </row>
    <row r="52" spans="1:14">
      <c r="A52" s="56">
        <f t="shared" si="4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-4</v>
      </c>
      <c r="K52" s="42">
        <f t="shared" si="1"/>
        <v>-40</v>
      </c>
      <c r="L52" s="42"/>
      <c r="M52" s="44">
        <f t="shared" si="2"/>
        <v>0</v>
      </c>
      <c r="N52" s="44">
        <f t="shared" si="3"/>
        <v>0</v>
      </c>
    </row>
    <row r="53" spans="1:14">
      <c r="A53" s="55">
        <f t="shared" si="4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-4</v>
      </c>
      <c r="K53" s="48">
        <f t="shared" si="1"/>
        <v>-40</v>
      </c>
      <c r="L53" s="48"/>
      <c r="M53" s="50">
        <f t="shared" si="2"/>
        <v>0</v>
      </c>
      <c r="N53" s="50">
        <f t="shared" si="3"/>
        <v>0</v>
      </c>
    </row>
    <row r="54" spans="1:14">
      <c r="A54" s="56">
        <f t="shared" si="4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-4</v>
      </c>
      <c r="K54" s="42">
        <f t="shared" si="1"/>
        <v>-40</v>
      </c>
      <c r="L54" s="42"/>
      <c r="M54" s="44">
        <f t="shared" si="2"/>
        <v>0</v>
      </c>
      <c r="N54" s="44">
        <f t="shared" si="3"/>
        <v>0</v>
      </c>
    </row>
    <row r="55" spans="1:14">
      <c r="A55" s="55">
        <f t="shared" si="4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-4</v>
      </c>
      <c r="K55" s="48">
        <f t="shared" si="1"/>
        <v>-40</v>
      </c>
      <c r="L55" s="48"/>
      <c r="M55" s="50">
        <f t="shared" si="2"/>
        <v>0</v>
      </c>
      <c r="N55" s="50">
        <f t="shared" si="3"/>
        <v>0</v>
      </c>
    </row>
    <row r="56" spans="1:14">
      <c r="A56" s="56">
        <f t="shared" si="4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-4</v>
      </c>
      <c r="K56" s="42">
        <f t="shared" si="1"/>
        <v>-40</v>
      </c>
      <c r="L56" s="42"/>
      <c r="M56" s="44">
        <f t="shared" si="2"/>
        <v>0</v>
      </c>
      <c r="N56" s="44">
        <f t="shared" si="3"/>
        <v>0</v>
      </c>
    </row>
    <row r="57" spans="1:14">
      <c r="A57" s="55">
        <f t="shared" si="4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-4</v>
      </c>
      <c r="K57" s="48">
        <f t="shared" si="1"/>
        <v>-40</v>
      </c>
      <c r="L57" s="48"/>
      <c r="M57" s="50">
        <f t="shared" si="2"/>
        <v>0</v>
      </c>
      <c r="N57" s="50">
        <f t="shared" si="3"/>
        <v>0</v>
      </c>
    </row>
    <row r="58" spans="1:14">
      <c r="A58" s="56">
        <f t="shared" si="4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-4</v>
      </c>
      <c r="K58" s="42">
        <f t="shared" si="1"/>
        <v>-40</v>
      </c>
      <c r="L58" s="42"/>
      <c r="M58" s="44">
        <f t="shared" si="2"/>
        <v>0</v>
      </c>
      <c r="N58" s="44">
        <f t="shared" si="3"/>
        <v>0</v>
      </c>
    </row>
    <row r="59" spans="1:14">
      <c r="A59" s="55">
        <f t="shared" si="4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-4</v>
      </c>
      <c r="K59" s="48">
        <f t="shared" si="1"/>
        <v>-40</v>
      </c>
      <c r="L59" s="48"/>
      <c r="M59" s="50">
        <f t="shared" si="2"/>
        <v>0</v>
      </c>
      <c r="N59" s="50">
        <f t="shared" si="3"/>
        <v>0</v>
      </c>
    </row>
    <row r="60" spans="1:14">
      <c r="A60" s="56">
        <f t="shared" si="4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-4</v>
      </c>
      <c r="K60" s="42">
        <f t="shared" si="1"/>
        <v>-40</v>
      </c>
      <c r="L60" s="42"/>
      <c r="M60" s="44">
        <f t="shared" si="2"/>
        <v>0</v>
      </c>
      <c r="N60" s="44">
        <f t="shared" si="3"/>
        <v>0</v>
      </c>
    </row>
    <row r="61" spans="1:14">
      <c r="A61" s="55">
        <f t="shared" si="4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-4</v>
      </c>
      <c r="K61" s="48">
        <f t="shared" si="1"/>
        <v>-40</v>
      </c>
      <c r="L61" s="48"/>
      <c r="M61" s="50">
        <f t="shared" si="2"/>
        <v>0</v>
      </c>
      <c r="N61" s="50">
        <f t="shared" si="3"/>
        <v>0</v>
      </c>
    </row>
    <row r="62" spans="1:14">
      <c r="A62" s="56">
        <f t="shared" si="4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-4</v>
      </c>
      <c r="K62" s="42">
        <f t="shared" si="1"/>
        <v>-40</v>
      </c>
      <c r="L62" s="42"/>
      <c r="M62" s="44">
        <f t="shared" si="2"/>
        <v>0</v>
      </c>
      <c r="N62" s="44">
        <f t="shared" si="3"/>
        <v>0</v>
      </c>
    </row>
    <row r="63" spans="1:14">
      <c r="A63" s="55">
        <f t="shared" si="4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-4</v>
      </c>
      <c r="K63" s="48">
        <f t="shared" si="1"/>
        <v>-40</v>
      </c>
      <c r="L63" s="48"/>
      <c r="M63" s="50">
        <f t="shared" si="2"/>
        <v>0</v>
      </c>
      <c r="N63" s="50">
        <f t="shared" si="3"/>
        <v>0</v>
      </c>
    </row>
    <row r="64" spans="1:14">
      <c r="A64" s="56">
        <f t="shared" si="4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-4</v>
      </c>
      <c r="K64" s="42">
        <f t="shared" si="1"/>
        <v>-40</v>
      </c>
      <c r="L64" s="42"/>
      <c r="M64" s="44">
        <f t="shared" si="2"/>
        <v>0</v>
      </c>
      <c r="N64" s="44">
        <f t="shared" si="3"/>
        <v>0</v>
      </c>
    </row>
    <row r="65" spans="1:14">
      <c r="A65" s="55">
        <f t="shared" si="4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-4</v>
      </c>
      <c r="K65" s="48">
        <f t="shared" si="1"/>
        <v>-40</v>
      </c>
      <c r="L65" s="48"/>
      <c r="M65" s="50">
        <f t="shared" si="2"/>
        <v>0</v>
      </c>
      <c r="N65" s="50">
        <f t="shared" si="3"/>
        <v>0</v>
      </c>
    </row>
    <row r="66" spans="1:14">
      <c r="A66" s="63">
        <f t="shared" si="4"/>
        <v>0</v>
      </c>
      <c r="B66" s="40"/>
      <c r="G66" s="20"/>
      <c r="H66" s="42">
        <v>61</v>
      </c>
      <c r="I66" s="43" t="str">
        <f t="shared" si="0"/>
        <v/>
      </c>
      <c r="J66" s="42">
        <f t="shared" si="5"/>
        <v>-4</v>
      </c>
      <c r="K66" s="42">
        <f t="shared" si="1"/>
        <v>-40</v>
      </c>
      <c r="L66" s="42"/>
      <c r="M66" s="44">
        <f t="shared" si="2"/>
        <v>0</v>
      </c>
      <c r="N66" s="44">
        <f t="shared" si="3"/>
        <v>0</v>
      </c>
    </row>
    <row r="67" spans="1:14">
      <c r="A67" s="63">
        <f t="shared" si="4"/>
        <v>0</v>
      </c>
      <c r="B67" s="46"/>
      <c r="G67" s="20"/>
      <c r="H67" s="42">
        <v>62</v>
      </c>
      <c r="I67" s="43" t="str">
        <f t="shared" si="0"/>
        <v/>
      </c>
      <c r="J67" s="42">
        <f t="shared" si="5"/>
        <v>-4</v>
      </c>
      <c r="K67" s="42">
        <f t="shared" si="1"/>
        <v>-40</v>
      </c>
      <c r="L67" s="42"/>
      <c r="M67" s="44">
        <f t="shared" si="2"/>
        <v>0</v>
      </c>
      <c r="N67" s="44">
        <f t="shared" si="3"/>
        <v>0</v>
      </c>
    </row>
    <row r="68" spans="1:14">
      <c r="A68" s="63">
        <f t="shared" si="4"/>
        <v>0</v>
      </c>
      <c r="B68" s="40"/>
      <c r="G68" s="20"/>
      <c r="H68" s="42">
        <v>63</v>
      </c>
      <c r="I68" s="43" t="str">
        <f t="shared" si="0"/>
        <v/>
      </c>
      <c r="J68" s="42">
        <f t="shared" si="5"/>
        <v>-4</v>
      </c>
      <c r="K68" s="42">
        <f t="shared" si="1"/>
        <v>-40</v>
      </c>
      <c r="L68" s="42"/>
      <c r="M68" s="44">
        <f t="shared" si="2"/>
        <v>0</v>
      </c>
      <c r="N68" s="44">
        <f t="shared" si="3"/>
        <v>0</v>
      </c>
    </row>
    <row r="69" spans="1:14">
      <c r="A69" s="63">
        <f t="shared" si="4"/>
        <v>0</v>
      </c>
      <c r="B69" s="46"/>
      <c r="G69" s="20"/>
      <c r="H69" s="42">
        <v>64</v>
      </c>
      <c r="I69" s="43" t="str">
        <f t="shared" si="0"/>
        <v/>
      </c>
      <c r="J69" s="42">
        <f t="shared" si="5"/>
        <v>-4</v>
      </c>
      <c r="K69" s="42">
        <f t="shared" si="1"/>
        <v>-40</v>
      </c>
      <c r="L69" s="42"/>
      <c r="M69" s="44">
        <f t="shared" si="2"/>
        <v>0</v>
      </c>
      <c r="N69" s="44">
        <f t="shared" si="3"/>
        <v>0</v>
      </c>
    </row>
    <row r="70" spans="1:14">
      <c r="A70" s="63">
        <f t="shared" si="4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5"/>
        <v>-5</v>
      </c>
      <c r="K70" s="42">
        <f t="shared" ref="K70:K133" si="9">J70*$J$2</f>
        <v>-50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-5</v>
      </c>
      <c r="K71" s="42">
        <f t="shared" si="9"/>
        <v>-50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-5</v>
      </c>
      <c r="K72" s="42">
        <f t="shared" si="9"/>
        <v>-50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-5</v>
      </c>
      <c r="K73" s="42">
        <f t="shared" si="9"/>
        <v>-50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-5</v>
      </c>
      <c r="K74" s="42">
        <f t="shared" si="9"/>
        <v>-50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-5</v>
      </c>
      <c r="K75" s="42">
        <f t="shared" si="9"/>
        <v>-50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-5</v>
      </c>
      <c r="K76" s="42">
        <f t="shared" si="9"/>
        <v>-50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-5</v>
      </c>
      <c r="K77" s="42">
        <f t="shared" si="9"/>
        <v>-50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-5</v>
      </c>
      <c r="K78" s="42">
        <f t="shared" si="9"/>
        <v>-50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-5</v>
      </c>
      <c r="K79" s="42">
        <f t="shared" si="9"/>
        <v>-50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-5</v>
      </c>
      <c r="K80" s="42">
        <f t="shared" si="9"/>
        <v>-50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-5</v>
      </c>
      <c r="K81" s="42">
        <f t="shared" si="9"/>
        <v>-50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-5</v>
      </c>
      <c r="K82" s="42">
        <f t="shared" si="9"/>
        <v>-50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-5</v>
      </c>
      <c r="K83" s="42">
        <f t="shared" si="9"/>
        <v>-50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-5</v>
      </c>
      <c r="K84" s="42">
        <f t="shared" si="9"/>
        <v>-50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-5</v>
      </c>
      <c r="K85" s="42">
        <f t="shared" si="9"/>
        <v>-50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-5</v>
      </c>
      <c r="K86" s="42">
        <f t="shared" si="9"/>
        <v>-50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-5</v>
      </c>
      <c r="K87" s="42">
        <f t="shared" si="9"/>
        <v>-50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-5</v>
      </c>
      <c r="K88" s="42">
        <f t="shared" si="9"/>
        <v>-50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-5</v>
      </c>
      <c r="K89" s="42">
        <f t="shared" si="9"/>
        <v>-50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-5</v>
      </c>
      <c r="K90" s="42">
        <f t="shared" si="9"/>
        <v>-50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-5</v>
      </c>
      <c r="K91" s="42">
        <f t="shared" si="9"/>
        <v>-50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-5</v>
      </c>
      <c r="K92" s="42">
        <f t="shared" si="9"/>
        <v>-50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-5</v>
      </c>
      <c r="K93" s="42">
        <f t="shared" si="9"/>
        <v>-50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-5</v>
      </c>
      <c r="K94" s="42">
        <f t="shared" si="9"/>
        <v>-50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-5</v>
      </c>
      <c r="K95" s="42">
        <f t="shared" si="9"/>
        <v>-50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-5</v>
      </c>
      <c r="K96" s="42">
        <f t="shared" si="9"/>
        <v>-50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-5</v>
      </c>
      <c r="K97" s="42">
        <f t="shared" si="9"/>
        <v>-50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-5</v>
      </c>
      <c r="K98" s="42">
        <f t="shared" si="9"/>
        <v>-50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-5</v>
      </c>
      <c r="K99" s="42">
        <f t="shared" si="9"/>
        <v>-50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-5</v>
      </c>
      <c r="K100" s="42">
        <f t="shared" si="9"/>
        <v>-50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-5</v>
      </c>
      <c r="K101" s="42">
        <f t="shared" si="9"/>
        <v>-50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-5</v>
      </c>
      <c r="K102" s="42">
        <f t="shared" si="9"/>
        <v>-50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-5</v>
      </c>
      <c r="K103" s="42">
        <f t="shared" si="9"/>
        <v>-50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-5</v>
      </c>
      <c r="K104" s="42">
        <f t="shared" si="9"/>
        <v>-50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-5</v>
      </c>
      <c r="K105" s="42">
        <f t="shared" si="9"/>
        <v>-50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-5</v>
      </c>
      <c r="K106" s="42">
        <f t="shared" si="9"/>
        <v>-50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-5</v>
      </c>
      <c r="K107" s="42">
        <f t="shared" si="9"/>
        <v>-50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-5</v>
      </c>
      <c r="K108" s="42">
        <f t="shared" si="9"/>
        <v>-50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-5</v>
      </c>
      <c r="K109" s="42">
        <f t="shared" si="9"/>
        <v>-50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-5</v>
      </c>
      <c r="K110" s="42">
        <f t="shared" si="9"/>
        <v>-50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-5</v>
      </c>
      <c r="K111" s="42">
        <f t="shared" si="9"/>
        <v>-50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-5</v>
      </c>
      <c r="K112" s="42">
        <f t="shared" si="9"/>
        <v>-50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-5</v>
      </c>
      <c r="K113" s="42">
        <f t="shared" si="9"/>
        <v>-50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-5</v>
      </c>
      <c r="K114" s="42">
        <f t="shared" si="9"/>
        <v>-50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-5</v>
      </c>
      <c r="K115" s="42">
        <f t="shared" si="9"/>
        <v>-50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-5</v>
      </c>
      <c r="K116" s="42">
        <f t="shared" si="9"/>
        <v>-50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-5</v>
      </c>
      <c r="K117" s="42">
        <f t="shared" si="9"/>
        <v>-50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-5</v>
      </c>
      <c r="K118" s="42">
        <f t="shared" si="9"/>
        <v>-50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-5</v>
      </c>
      <c r="K119" s="42">
        <f t="shared" si="9"/>
        <v>-50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-5</v>
      </c>
      <c r="K120" s="42">
        <f t="shared" si="9"/>
        <v>-50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-5</v>
      </c>
      <c r="K121" s="42">
        <f t="shared" si="9"/>
        <v>-50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-5</v>
      </c>
      <c r="K122" s="42">
        <f t="shared" si="9"/>
        <v>-50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-5</v>
      </c>
      <c r="K123" s="42">
        <f t="shared" si="9"/>
        <v>-50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-5</v>
      </c>
      <c r="K124" s="42">
        <f t="shared" si="9"/>
        <v>-50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-5</v>
      </c>
      <c r="K125" s="42">
        <f t="shared" si="9"/>
        <v>-50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-5</v>
      </c>
      <c r="K126" s="42">
        <f t="shared" si="9"/>
        <v>-50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-5</v>
      </c>
      <c r="K127" s="42">
        <f t="shared" si="9"/>
        <v>-50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-5</v>
      </c>
      <c r="K128" s="42">
        <f t="shared" si="9"/>
        <v>-50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-5</v>
      </c>
      <c r="K129" s="42">
        <f t="shared" si="9"/>
        <v>-50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-5</v>
      </c>
      <c r="K130" s="42">
        <f t="shared" si="9"/>
        <v>-50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-5</v>
      </c>
      <c r="K131" s="42">
        <f t="shared" si="9"/>
        <v>-50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-5</v>
      </c>
      <c r="K132" s="42">
        <f t="shared" si="9"/>
        <v>-50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-5</v>
      </c>
      <c r="K133" s="42">
        <f t="shared" si="9"/>
        <v>-50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-6</v>
      </c>
      <c r="K134" s="42">
        <f t="shared" ref="K134:K197" si="15">J134*$J$2</f>
        <v>-60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-6</v>
      </c>
      <c r="K135" s="42">
        <f t="shared" si="15"/>
        <v>-60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-6</v>
      </c>
      <c r="K136" s="42">
        <f t="shared" si="15"/>
        <v>-60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-6</v>
      </c>
      <c r="K137" s="42">
        <f t="shared" si="15"/>
        <v>-60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-6</v>
      </c>
      <c r="K138" s="42">
        <f t="shared" si="15"/>
        <v>-60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-6</v>
      </c>
      <c r="K139" s="42">
        <f t="shared" si="15"/>
        <v>-60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-6</v>
      </c>
      <c r="K140" s="42">
        <f t="shared" si="15"/>
        <v>-60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-6</v>
      </c>
      <c r="K141" s="42">
        <f t="shared" si="15"/>
        <v>-60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-6</v>
      </c>
      <c r="K142" s="42">
        <f t="shared" si="15"/>
        <v>-60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-6</v>
      </c>
      <c r="K143" s="42">
        <f t="shared" si="15"/>
        <v>-60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-6</v>
      </c>
      <c r="K144" s="42">
        <f t="shared" si="15"/>
        <v>-60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-6</v>
      </c>
      <c r="K145" s="42">
        <f t="shared" si="15"/>
        <v>-60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-6</v>
      </c>
      <c r="K146" s="42">
        <f t="shared" si="15"/>
        <v>-60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-6</v>
      </c>
      <c r="K147" s="42">
        <f t="shared" si="15"/>
        <v>-60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-6</v>
      </c>
      <c r="K148" s="42">
        <f t="shared" si="15"/>
        <v>-60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-6</v>
      </c>
      <c r="K149" s="42">
        <f t="shared" si="15"/>
        <v>-60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-6</v>
      </c>
      <c r="K150" s="42">
        <f t="shared" si="15"/>
        <v>-60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-6</v>
      </c>
      <c r="K151" s="42">
        <f t="shared" si="15"/>
        <v>-60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-6</v>
      </c>
      <c r="K152" s="42">
        <f t="shared" si="15"/>
        <v>-60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-6</v>
      </c>
      <c r="K153" s="42">
        <f t="shared" si="15"/>
        <v>-60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-6</v>
      </c>
      <c r="K154" s="42">
        <f t="shared" si="15"/>
        <v>-60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-6</v>
      </c>
      <c r="K155" s="42">
        <f t="shared" si="15"/>
        <v>-60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-6</v>
      </c>
      <c r="K156" s="42">
        <f t="shared" si="15"/>
        <v>-60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-6</v>
      </c>
      <c r="K157" s="42">
        <f t="shared" si="15"/>
        <v>-60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-6</v>
      </c>
      <c r="K158" s="42">
        <f t="shared" si="15"/>
        <v>-60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-6</v>
      </c>
      <c r="K159" s="42">
        <f t="shared" si="15"/>
        <v>-60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-6</v>
      </c>
      <c r="K160" s="42">
        <f t="shared" si="15"/>
        <v>-60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-6</v>
      </c>
      <c r="K161" s="42">
        <f t="shared" si="15"/>
        <v>-60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-6</v>
      </c>
      <c r="K162" s="42">
        <f t="shared" si="15"/>
        <v>-60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-6</v>
      </c>
      <c r="K163" s="42">
        <f t="shared" si="15"/>
        <v>-60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-6</v>
      </c>
      <c r="K164" s="42">
        <f t="shared" si="15"/>
        <v>-60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-6</v>
      </c>
      <c r="K165" s="42">
        <f t="shared" si="15"/>
        <v>-60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-6</v>
      </c>
      <c r="K166" s="42">
        <f t="shared" si="15"/>
        <v>-60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-6</v>
      </c>
      <c r="K167" s="42">
        <f t="shared" si="15"/>
        <v>-60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-6</v>
      </c>
      <c r="K168" s="42">
        <f t="shared" si="15"/>
        <v>-60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-6</v>
      </c>
      <c r="K169" s="42">
        <f t="shared" si="15"/>
        <v>-60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-6</v>
      </c>
      <c r="K170" s="42">
        <f t="shared" si="15"/>
        <v>-60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-6</v>
      </c>
      <c r="K171" s="42">
        <f t="shared" si="15"/>
        <v>-60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-6</v>
      </c>
      <c r="K172" s="42">
        <f t="shared" si="15"/>
        <v>-60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-6</v>
      </c>
      <c r="K173" s="42">
        <f t="shared" si="15"/>
        <v>-60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-6</v>
      </c>
      <c r="K174" s="42">
        <f t="shared" si="15"/>
        <v>-60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-6</v>
      </c>
      <c r="K175" s="42">
        <f t="shared" si="15"/>
        <v>-60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-6</v>
      </c>
      <c r="K176" s="42">
        <f t="shared" si="15"/>
        <v>-60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-6</v>
      </c>
      <c r="K177" s="42">
        <f t="shared" si="15"/>
        <v>-60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-6</v>
      </c>
      <c r="K178" s="42">
        <f t="shared" si="15"/>
        <v>-60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-6</v>
      </c>
      <c r="K179" s="42">
        <f t="shared" si="15"/>
        <v>-60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-6</v>
      </c>
      <c r="K180" s="42">
        <f t="shared" si="15"/>
        <v>-60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-6</v>
      </c>
      <c r="K181" s="42">
        <f t="shared" si="15"/>
        <v>-60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-6</v>
      </c>
      <c r="K182" s="42">
        <f t="shared" si="15"/>
        <v>-60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-6</v>
      </c>
      <c r="K183" s="42">
        <f t="shared" si="15"/>
        <v>-60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-6</v>
      </c>
      <c r="K184" s="42">
        <f t="shared" si="15"/>
        <v>-60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-6</v>
      </c>
      <c r="K185" s="42">
        <f t="shared" si="15"/>
        <v>-60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-6</v>
      </c>
      <c r="K186" s="42">
        <f t="shared" si="15"/>
        <v>-60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-6</v>
      </c>
      <c r="K187" s="42">
        <f t="shared" si="15"/>
        <v>-60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-6</v>
      </c>
      <c r="K188" s="42">
        <f t="shared" si="15"/>
        <v>-60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-6</v>
      </c>
      <c r="K189" s="42">
        <f t="shared" si="15"/>
        <v>-60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-6</v>
      </c>
      <c r="K190" s="42">
        <f t="shared" si="15"/>
        <v>-60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-6</v>
      </c>
      <c r="K191" s="42">
        <f t="shared" si="15"/>
        <v>-60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-6</v>
      </c>
      <c r="K192" s="42">
        <f t="shared" si="15"/>
        <v>-60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-6</v>
      </c>
      <c r="K193" s="42">
        <f t="shared" si="15"/>
        <v>-60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-6</v>
      </c>
      <c r="K194" s="42">
        <f t="shared" si="15"/>
        <v>-60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-6</v>
      </c>
      <c r="K195" s="42">
        <f t="shared" si="15"/>
        <v>-60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-6</v>
      </c>
      <c r="K196" s="42">
        <f t="shared" si="15"/>
        <v>-60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-6</v>
      </c>
      <c r="K197" s="42">
        <f t="shared" si="15"/>
        <v>-60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-6</v>
      </c>
      <c r="K198" s="42">
        <f t="shared" ref="K198:K261" si="21">J198*$J$2</f>
        <v>-60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-6</v>
      </c>
      <c r="K199" s="42">
        <f t="shared" si="21"/>
        <v>-60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-6</v>
      </c>
      <c r="K200" s="42">
        <f t="shared" si="21"/>
        <v>-60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-6</v>
      </c>
      <c r="K201" s="42">
        <f t="shared" si="21"/>
        <v>-60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-6</v>
      </c>
      <c r="K202" s="42">
        <f t="shared" si="21"/>
        <v>-60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-6</v>
      </c>
      <c r="K203" s="42">
        <f t="shared" si="21"/>
        <v>-60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-6</v>
      </c>
      <c r="K204" s="42">
        <f t="shared" si="21"/>
        <v>-60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-6</v>
      </c>
      <c r="K205" s="42">
        <f t="shared" si="21"/>
        <v>-60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-6</v>
      </c>
      <c r="K206" s="42">
        <f t="shared" si="21"/>
        <v>-60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-6</v>
      </c>
      <c r="K207" s="42">
        <f t="shared" si="21"/>
        <v>-60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-6</v>
      </c>
      <c r="K208" s="42">
        <f t="shared" si="21"/>
        <v>-60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-6</v>
      </c>
      <c r="K209" s="42">
        <f t="shared" si="21"/>
        <v>-60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-6</v>
      </c>
      <c r="K210" s="42">
        <f t="shared" si="21"/>
        <v>-60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-6</v>
      </c>
      <c r="K211" s="42">
        <f t="shared" si="21"/>
        <v>-60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-6</v>
      </c>
      <c r="K212" s="42">
        <f t="shared" si="21"/>
        <v>-60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-6</v>
      </c>
      <c r="K213" s="42">
        <f t="shared" si="21"/>
        <v>-60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-6</v>
      </c>
      <c r="K214" s="42">
        <f t="shared" si="21"/>
        <v>-60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-6</v>
      </c>
      <c r="K215" s="42">
        <f t="shared" si="21"/>
        <v>-60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-6</v>
      </c>
      <c r="K216" s="42">
        <f t="shared" si="21"/>
        <v>-60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-6</v>
      </c>
      <c r="K217" s="42">
        <f t="shared" si="21"/>
        <v>-60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-6</v>
      </c>
      <c r="K218" s="42">
        <f t="shared" si="21"/>
        <v>-60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-6</v>
      </c>
      <c r="K219" s="42">
        <f t="shared" si="21"/>
        <v>-60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-6</v>
      </c>
      <c r="K220" s="42">
        <f t="shared" si="21"/>
        <v>-60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-6</v>
      </c>
      <c r="K221" s="42">
        <f t="shared" si="21"/>
        <v>-60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-6</v>
      </c>
      <c r="K222" s="42">
        <f t="shared" si="21"/>
        <v>-60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-6</v>
      </c>
      <c r="K223" s="42">
        <f t="shared" si="21"/>
        <v>-60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-6</v>
      </c>
      <c r="K224" s="42">
        <f t="shared" si="21"/>
        <v>-60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-6</v>
      </c>
      <c r="K225" s="42">
        <f t="shared" si="21"/>
        <v>-60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-6</v>
      </c>
      <c r="K226" s="42">
        <f t="shared" si="21"/>
        <v>-60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-6</v>
      </c>
      <c r="K227" s="42">
        <f t="shared" si="21"/>
        <v>-60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-6</v>
      </c>
      <c r="K228" s="42">
        <f t="shared" si="21"/>
        <v>-60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-6</v>
      </c>
      <c r="K229" s="42">
        <f t="shared" si="21"/>
        <v>-60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-6</v>
      </c>
      <c r="K230" s="42">
        <f t="shared" si="21"/>
        <v>-60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-6</v>
      </c>
      <c r="K231" s="42">
        <f t="shared" si="21"/>
        <v>-60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-6</v>
      </c>
      <c r="K232" s="42">
        <f t="shared" si="21"/>
        <v>-60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-6</v>
      </c>
      <c r="K233" s="42">
        <f t="shared" si="21"/>
        <v>-60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-6</v>
      </c>
      <c r="K234" s="42">
        <f t="shared" si="21"/>
        <v>-60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-6</v>
      </c>
      <c r="K235" s="42">
        <f t="shared" si="21"/>
        <v>-60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-6</v>
      </c>
      <c r="K236" s="42">
        <f t="shared" si="21"/>
        <v>-60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-6</v>
      </c>
      <c r="K237" s="42">
        <f t="shared" si="21"/>
        <v>-60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-6</v>
      </c>
      <c r="K238" s="42">
        <f t="shared" si="21"/>
        <v>-60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-6</v>
      </c>
      <c r="K239" s="42">
        <f t="shared" si="21"/>
        <v>-60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-6</v>
      </c>
      <c r="K240" s="42">
        <f t="shared" si="21"/>
        <v>-60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-6</v>
      </c>
      <c r="K241" s="42">
        <f t="shared" si="21"/>
        <v>-60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-6</v>
      </c>
      <c r="K242" s="42">
        <f t="shared" si="21"/>
        <v>-60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-6</v>
      </c>
      <c r="K243" s="42">
        <f t="shared" si="21"/>
        <v>-60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-6</v>
      </c>
      <c r="K244" s="42">
        <f t="shared" si="21"/>
        <v>-60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-6</v>
      </c>
      <c r="K245" s="42">
        <f t="shared" si="21"/>
        <v>-60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-6</v>
      </c>
      <c r="K246" s="42">
        <f t="shared" si="21"/>
        <v>-60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-6</v>
      </c>
      <c r="K247" s="42">
        <f t="shared" si="21"/>
        <v>-60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-6</v>
      </c>
      <c r="K248" s="42">
        <f t="shared" si="21"/>
        <v>-60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-6</v>
      </c>
      <c r="K249" s="42">
        <f t="shared" si="21"/>
        <v>-60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-6</v>
      </c>
      <c r="K250" s="42">
        <f t="shared" si="21"/>
        <v>-60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-6</v>
      </c>
      <c r="K251" s="42">
        <f t="shared" si="21"/>
        <v>-60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-6</v>
      </c>
      <c r="K252" s="42">
        <f t="shared" si="21"/>
        <v>-60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-6</v>
      </c>
      <c r="K253" s="42">
        <f t="shared" si="21"/>
        <v>-60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-6</v>
      </c>
      <c r="K254" s="42">
        <f t="shared" si="21"/>
        <v>-60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-6</v>
      </c>
      <c r="K255" s="42">
        <f t="shared" si="21"/>
        <v>-60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-6</v>
      </c>
      <c r="K256" s="42">
        <f t="shared" si="21"/>
        <v>-60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-6</v>
      </c>
      <c r="K257" s="42">
        <f t="shared" si="21"/>
        <v>-60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-6</v>
      </c>
      <c r="K258" s="42">
        <f t="shared" si="21"/>
        <v>-60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-6</v>
      </c>
      <c r="K259" s="42">
        <f t="shared" si="21"/>
        <v>-60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-6</v>
      </c>
      <c r="K260" s="42">
        <f t="shared" si="21"/>
        <v>-60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-6</v>
      </c>
      <c r="K261" s="42">
        <f t="shared" si="21"/>
        <v>-60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-7</v>
      </c>
      <c r="K262" s="42">
        <f t="shared" ref="K262:K305" si="27">J262*$J$2</f>
        <v>-70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-7</v>
      </c>
      <c r="K263" s="42">
        <f t="shared" si="27"/>
        <v>-70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-7</v>
      </c>
      <c r="K264" s="42">
        <f t="shared" si="27"/>
        <v>-70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-7</v>
      </c>
      <c r="K265" s="42">
        <f t="shared" si="27"/>
        <v>-70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-7</v>
      </c>
      <c r="K266" s="42">
        <f t="shared" si="27"/>
        <v>-70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-7</v>
      </c>
      <c r="K267" s="42">
        <f t="shared" si="27"/>
        <v>-70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-7</v>
      </c>
      <c r="K268" s="42">
        <f t="shared" si="27"/>
        <v>-70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-7</v>
      </c>
      <c r="K269" s="42">
        <f t="shared" si="27"/>
        <v>-70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-7</v>
      </c>
      <c r="K270" s="42">
        <f t="shared" si="27"/>
        <v>-70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-7</v>
      </c>
      <c r="K271" s="42">
        <f t="shared" si="27"/>
        <v>-70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-7</v>
      </c>
      <c r="K272" s="42">
        <f t="shared" si="27"/>
        <v>-70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-7</v>
      </c>
      <c r="K273" s="42">
        <f t="shared" si="27"/>
        <v>-70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-7</v>
      </c>
      <c r="K274" s="42">
        <f t="shared" si="27"/>
        <v>-70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-7</v>
      </c>
      <c r="K275" s="42">
        <f t="shared" si="27"/>
        <v>-70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-7</v>
      </c>
      <c r="K276" s="42">
        <f t="shared" si="27"/>
        <v>-70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-7</v>
      </c>
      <c r="K277" s="42">
        <f t="shared" si="27"/>
        <v>-70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-7</v>
      </c>
      <c r="K278" s="42">
        <f t="shared" si="27"/>
        <v>-70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-7</v>
      </c>
      <c r="K279" s="42">
        <f t="shared" si="27"/>
        <v>-70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-7</v>
      </c>
      <c r="K280" s="42">
        <f t="shared" si="27"/>
        <v>-70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-7</v>
      </c>
      <c r="K281" s="42">
        <f t="shared" si="27"/>
        <v>-70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-7</v>
      </c>
      <c r="K282" s="42">
        <f t="shared" si="27"/>
        <v>-70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-7</v>
      </c>
      <c r="K283" s="42">
        <f t="shared" si="27"/>
        <v>-70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-7</v>
      </c>
      <c r="K284" s="42">
        <f t="shared" si="27"/>
        <v>-70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-7</v>
      </c>
      <c r="K285" s="42">
        <f t="shared" si="27"/>
        <v>-70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-7</v>
      </c>
      <c r="K286" s="42">
        <f t="shared" si="27"/>
        <v>-70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-7</v>
      </c>
      <c r="K287" s="42">
        <f t="shared" si="27"/>
        <v>-70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-7</v>
      </c>
      <c r="K288" s="42">
        <f t="shared" si="27"/>
        <v>-70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-7</v>
      </c>
      <c r="K289" s="42">
        <f t="shared" si="27"/>
        <v>-70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-7</v>
      </c>
      <c r="K290" s="42">
        <f t="shared" si="27"/>
        <v>-70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-7</v>
      </c>
      <c r="K291" s="42">
        <f t="shared" si="27"/>
        <v>-70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-7</v>
      </c>
      <c r="K292" s="42">
        <f t="shared" si="27"/>
        <v>-70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-7</v>
      </c>
      <c r="K293" s="42">
        <f t="shared" si="27"/>
        <v>-70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-7</v>
      </c>
      <c r="K294" s="42">
        <f t="shared" si="27"/>
        <v>-70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-7</v>
      </c>
      <c r="K295" s="42">
        <f t="shared" si="27"/>
        <v>-70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-7</v>
      </c>
      <c r="K296" s="42">
        <f t="shared" si="27"/>
        <v>-70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-7</v>
      </c>
      <c r="K297" s="42">
        <f t="shared" si="27"/>
        <v>-70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-7</v>
      </c>
      <c r="K298" s="42">
        <f t="shared" si="27"/>
        <v>-70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-7</v>
      </c>
      <c r="K299" s="42">
        <f t="shared" si="27"/>
        <v>-70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-7</v>
      </c>
      <c r="K300" s="42">
        <f t="shared" si="27"/>
        <v>-70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-7</v>
      </c>
      <c r="K301" s="42">
        <f t="shared" si="27"/>
        <v>-70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-7</v>
      </c>
      <c r="K302" s="42">
        <f t="shared" si="27"/>
        <v>-70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-7</v>
      </c>
      <c r="K303" s="42">
        <f t="shared" si="27"/>
        <v>-70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-7</v>
      </c>
      <c r="K304" s="42">
        <f t="shared" si="27"/>
        <v>-70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-7</v>
      </c>
      <c r="K305" s="42">
        <f t="shared" si="27"/>
        <v>-70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2022-12-06T09:21:23Z</dcterms:modified>
  <cp:category/>
  <cp:contentStatus/>
</cp:coreProperties>
</file>