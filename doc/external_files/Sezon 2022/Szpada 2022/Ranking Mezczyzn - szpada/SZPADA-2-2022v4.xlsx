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Mezczyzn - szpada/"/>
    </mc:Choice>
  </mc:AlternateContent>
  <xr:revisionPtr revIDLastSave="214" documentId="13_ncr:1_{3F226B10-4F83-8745-866B-42DEA19D504A}" xr6:coauthVersionLast="47" xr6:coauthVersionMax="47" xr10:uidLastSave="{18D3C8D5-6549-4C08-84D9-9580E36BFEF6}"/>
  <bookViews>
    <workbookView xWindow="25974" yWindow="-109" windowWidth="26301" windowHeight="15800" tabRatio="956" xr2:uid="{00000000-000D-0000-FFFF-FFFF00000000}"/>
  </bookViews>
  <sheets>
    <sheet name="KlasyfikacjaGP" sheetId="1" r:id="rId1"/>
    <sheet name="GP1" sheetId="14" r:id="rId2"/>
    <sheet name="GP2" sheetId="16" r:id="rId3"/>
    <sheet name="GP3" sheetId="17" r:id="rId4"/>
    <sheet name="GP4" sheetId="18" r:id="rId5"/>
    <sheet name="GP5" sheetId="19" r:id="rId6"/>
    <sheet name="MPW" sheetId="20" r:id="rId7"/>
    <sheet name="KlasyfikacjaEVF" sheetId="21" r:id="rId8"/>
    <sheet name="EVF4'21" sheetId="22" r:id="rId9"/>
    <sheet name="EVF1" sheetId="24" r:id="rId10"/>
    <sheet name="EVF2" sheetId="26" r:id="rId11"/>
    <sheet name="EVF3" sheetId="25" r:id="rId12"/>
    <sheet name="EVF4" sheetId="30" r:id="rId13"/>
    <sheet name="EVF5" sheetId="27" r:id="rId14"/>
    <sheet name="EVF6" sheetId="28" r:id="rId15"/>
    <sheet name="RankingPL" sheetId="29" r:id="rId16"/>
  </sheets>
  <definedNames>
    <definedName name="_xlnm._FilterDatabase" localSheetId="7" hidden="1">KlasyfikacjaEVF!$A$5:$P$5</definedName>
    <definedName name="_xlnm._FilterDatabase" localSheetId="0" hidden="1">KlasyfikacjaGP!$A$5:$P$5</definedName>
    <definedName name="_xlnm._FilterDatabase" localSheetId="15" hidden="1">RankingPL!$A$5:$F$5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10" i="1"/>
  <c r="O9" i="1"/>
  <c r="O11" i="1"/>
  <c r="O18" i="1"/>
  <c r="O19" i="1"/>
  <c r="O13" i="1"/>
  <c r="O12" i="1"/>
  <c r="O15" i="1"/>
  <c r="O14" i="1"/>
  <c r="O16" i="1"/>
  <c r="O17" i="1"/>
  <c r="O20" i="1"/>
  <c r="O21" i="1"/>
  <c r="O22" i="1"/>
  <c r="O23" i="1"/>
  <c r="M6" i="1"/>
  <c r="M7" i="1"/>
  <c r="M8" i="1"/>
  <c r="M11" i="1"/>
  <c r="M18" i="1"/>
  <c r="M10" i="1"/>
  <c r="M19" i="1"/>
  <c r="M9" i="1"/>
  <c r="M13" i="1"/>
  <c r="M15" i="1"/>
  <c r="M14" i="1"/>
  <c r="M16" i="1"/>
  <c r="M17" i="1"/>
  <c r="M20" i="1"/>
  <c r="M21" i="1"/>
  <c r="M22" i="1"/>
  <c r="M23" i="1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8" i="18"/>
  <c r="B7" i="18"/>
  <c r="B6" i="18"/>
  <c r="K6" i="1"/>
  <c r="K7" i="1"/>
  <c r="K8" i="1"/>
  <c r="K11" i="1"/>
  <c r="K18" i="1"/>
  <c r="K10" i="1"/>
  <c r="K19" i="1"/>
  <c r="K17" i="1"/>
  <c r="K20" i="1"/>
  <c r="K21" i="1"/>
  <c r="K9" i="1"/>
  <c r="K13" i="1"/>
  <c r="K16" i="1"/>
  <c r="K14" i="1"/>
  <c r="K22" i="1"/>
  <c r="K23" i="1"/>
  <c r="K15" i="1"/>
  <c r="K12" i="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J374" i="30"/>
  <c r="J373" i="30"/>
  <c r="J372" i="30"/>
  <c r="J371" i="30"/>
  <c r="J370" i="30"/>
  <c r="J369" i="30"/>
  <c r="J368" i="30"/>
  <c r="J367" i="30"/>
  <c r="J366" i="30"/>
  <c r="J365" i="30"/>
  <c r="J364" i="30"/>
  <c r="J363" i="30"/>
  <c r="J362" i="30"/>
  <c r="J361" i="30"/>
  <c r="J360" i="30"/>
  <c r="J359" i="30"/>
  <c r="J358" i="30"/>
  <c r="J357" i="30"/>
  <c r="J356" i="30"/>
  <c r="J355" i="30"/>
  <c r="J354" i="30"/>
  <c r="J353" i="30"/>
  <c r="J352" i="30"/>
  <c r="J351" i="30"/>
  <c r="J350" i="30"/>
  <c r="J349" i="30"/>
  <c r="J348" i="30"/>
  <c r="J347" i="30"/>
  <c r="J346" i="30"/>
  <c r="J345" i="30"/>
  <c r="J344" i="30"/>
  <c r="J343" i="30"/>
  <c r="J342" i="30"/>
  <c r="J341" i="30"/>
  <c r="J340" i="30"/>
  <c r="J339" i="30"/>
  <c r="J338" i="30"/>
  <c r="J337" i="30"/>
  <c r="J336" i="30"/>
  <c r="J335" i="30"/>
  <c r="J334" i="30"/>
  <c r="J333" i="30"/>
  <c r="J332" i="30"/>
  <c r="J331" i="30"/>
  <c r="J330" i="30"/>
  <c r="J329" i="30"/>
  <c r="J328" i="30"/>
  <c r="J327" i="30"/>
  <c r="J326" i="30"/>
  <c r="J325" i="30"/>
  <c r="J324" i="30"/>
  <c r="J323" i="30"/>
  <c r="J322" i="30"/>
  <c r="J321" i="30"/>
  <c r="J320" i="30"/>
  <c r="J319" i="30"/>
  <c r="J318" i="30"/>
  <c r="J317" i="30"/>
  <c r="J316" i="30"/>
  <c r="J315" i="30"/>
  <c r="J314" i="30"/>
  <c r="J313" i="30"/>
  <c r="J312" i="30"/>
  <c r="J311" i="30"/>
  <c r="J310" i="30"/>
  <c r="J309" i="30"/>
  <c r="J308" i="30"/>
  <c r="J307" i="30"/>
  <c r="J306" i="30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A65" i="30"/>
  <c r="J64" i="30"/>
  <c r="K64" i="30" s="1"/>
  <c r="I64" i="30"/>
  <c r="M64" i="30" s="1"/>
  <c r="B64" i="30"/>
  <c r="A64" i="30"/>
  <c r="J63" i="30"/>
  <c r="K63" i="30" s="1"/>
  <c r="I63" i="30"/>
  <c r="M63" i="30" s="1"/>
  <c r="B63" i="30"/>
  <c r="A63" i="30"/>
  <c r="J62" i="30"/>
  <c r="K62" i="30" s="1"/>
  <c r="I62" i="30"/>
  <c r="M62" i="30" s="1"/>
  <c r="B62" i="30"/>
  <c r="A62" i="30"/>
  <c r="J61" i="30"/>
  <c r="K61" i="30" s="1"/>
  <c r="I61" i="30"/>
  <c r="M61" i="30" s="1"/>
  <c r="B61" i="30"/>
  <c r="A61" i="30"/>
  <c r="J60" i="30"/>
  <c r="K60" i="30" s="1"/>
  <c r="I60" i="30"/>
  <c r="M60" i="30" s="1"/>
  <c r="B60" i="30"/>
  <c r="A60" i="30"/>
  <c r="J59" i="30"/>
  <c r="K59" i="30" s="1"/>
  <c r="I59" i="30"/>
  <c r="M59" i="30" s="1"/>
  <c r="B59" i="30"/>
  <c r="A59" i="30"/>
  <c r="J58" i="30"/>
  <c r="K58" i="30" s="1"/>
  <c r="I58" i="30"/>
  <c r="M58" i="30" s="1"/>
  <c r="B58" i="30"/>
  <c r="A58" i="30"/>
  <c r="J57" i="30"/>
  <c r="K57" i="30" s="1"/>
  <c r="I57" i="30"/>
  <c r="M57" i="30" s="1"/>
  <c r="B57" i="30"/>
  <c r="A57" i="30"/>
  <c r="J56" i="30"/>
  <c r="K56" i="30" s="1"/>
  <c r="I56" i="30"/>
  <c r="M56" i="30" s="1"/>
  <c r="B56" i="30"/>
  <c r="A56" i="30"/>
  <c r="J55" i="30"/>
  <c r="K55" i="30" s="1"/>
  <c r="I55" i="30"/>
  <c r="M55" i="30" s="1"/>
  <c r="B55" i="30"/>
  <c r="A55" i="30"/>
  <c r="J54" i="30"/>
  <c r="K54" i="30" s="1"/>
  <c r="I54" i="30"/>
  <c r="M54" i="30" s="1"/>
  <c r="B54" i="30"/>
  <c r="A54" i="30"/>
  <c r="J53" i="30"/>
  <c r="K53" i="30" s="1"/>
  <c r="I53" i="30"/>
  <c r="M53" i="30" s="1"/>
  <c r="B53" i="30"/>
  <c r="A53" i="30"/>
  <c r="J52" i="30"/>
  <c r="K52" i="30" s="1"/>
  <c r="I52" i="30"/>
  <c r="M52" i="30" s="1"/>
  <c r="B52" i="30"/>
  <c r="A52" i="30"/>
  <c r="J51" i="30"/>
  <c r="K51" i="30" s="1"/>
  <c r="I51" i="30"/>
  <c r="M51" i="30" s="1"/>
  <c r="B51" i="30"/>
  <c r="A51" i="30"/>
  <c r="J50" i="30"/>
  <c r="K50" i="30" s="1"/>
  <c r="I50" i="30"/>
  <c r="M50" i="30" s="1"/>
  <c r="B50" i="30"/>
  <c r="A50" i="30"/>
  <c r="J49" i="30"/>
  <c r="K49" i="30" s="1"/>
  <c r="I49" i="30"/>
  <c r="M49" i="30" s="1"/>
  <c r="B49" i="30"/>
  <c r="A49" i="30"/>
  <c r="J48" i="30"/>
  <c r="K48" i="30" s="1"/>
  <c r="I48" i="30"/>
  <c r="M48" i="30" s="1"/>
  <c r="B48" i="30"/>
  <c r="A48" i="30"/>
  <c r="J47" i="30"/>
  <c r="K47" i="30" s="1"/>
  <c r="I47" i="30"/>
  <c r="M47" i="30" s="1"/>
  <c r="B47" i="30"/>
  <c r="A47" i="30"/>
  <c r="J46" i="30"/>
  <c r="K46" i="30" s="1"/>
  <c r="I46" i="30"/>
  <c r="M46" i="30" s="1"/>
  <c r="B46" i="30"/>
  <c r="A46" i="30"/>
  <c r="J45" i="30"/>
  <c r="K45" i="30" s="1"/>
  <c r="I45" i="30"/>
  <c r="M45" i="30" s="1"/>
  <c r="B45" i="30"/>
  <c r="A45" i="30"/>
  <c r="J44" i="30"/>
  <c r="K44" i="30" s="1"/>
  <c r="I44" i="30"/>
  <c r="M44" i="30" s="1"/>
  <c r="B44" i="30"/>
  <c r="A44" i="30"/>
  <c r="J43" i="30"/>
  <c r="K43" i="30" s="1"/>
  <c r="I43" i="30"/>
  <c r="M43" i="30" s="1"/>
  <c r="B43" i="30"/>
  <c r="A43" i="30"/>
  <c r="J42" i="30"/>
  <c r="K42" i="30" s="1"/>
  <c r="I42" i="30"/>
  <c r="M42" i="30" s="1"/>
  <c r="B42" i="30"/>
  <c r="A42" i="30"/>
  <c r="J41" i="30"/>
  <c r="K41" i="30" s="1"/>
  <c r="I41" i="30"/>
  <c r="M41" i="30" s="1"/>
  <c r="B41" i="30"/>
  <c r="A41" i="30"/>
  <c r="J40" i="30"/>
  <c r="K40" i="30" s="1"/>
  <c r="I40" i="30"/>
  <c r="M40" i="30" s="1"/>
  <c r="B40" i="30"/>
  <c r="A40" i="30"/>
  <c r="J39" i="30"/>
  <c r="K39" i="30" s="1"/>
  <c r="I39" i="30"/>
  <c r="M39" i="30" s="1"/>
  <c r="B39" i="30"/>
  <c r="A39" i="30"/>
  <c r="J38" i="30"/>
  <c r="K38" i="30" s="1"/>
  <c r="I38" i="30"/>
  <c r="M38" i="30" s="1"/>
  <c r="F38" i="30"/>
  <c r="A38" i="30" s="1"/>
  <c r="B38" i="30"/>
  <c r="J37" i="30"/>
  <c r="K37" i="30" s="1"/>
  <c r="I37" i="30"/>
  <c r="M37" i="30" s="1"/>
  <c r="F37" i="30" s="1"/>
  <c r="A37" i="30" s="1"/>
  <c r="B37" i="30"/>
  <c r="J36" i="30"/>
  <c r="K36" i="30" s="1"/>
  <c r="I36" i="30"/>
  <c r="M36" i="30" s="1"/>
  <c r="F36" i="30" s="1"/>
  <c r="A36" i="30" s="1"/>
  <c r="B36" i="30"/>
  <c r="J35" i="30"/>
  <c r="K35" i="30" s="1"/>
  <c r="I35" i="30"/>
  <c r="M35" i="30" s="1"/>
  <c r="F35" i="30" s="1"/>
  <c r="A35" i="30" s="1"/>
  <c r="B35" i="30"/>
  <c r="J34" i="30"/>
  <c r="K34" i="30" s="1"/>
  <c r="I34" i="30"/>
  <c r="M34" i="30" s="1"/>
  <c r="F34" i="30" s="1"/>
  <c r="A34" i="30" s="1"/>
  <c r="B34" i="30"/>
  <c r="J33" i="30"/>
  <c r="K33" i="30" s="1"/>
  <c r="I33" i="30"/>
  <c r="M33" i="30" s="1"/>
  <c r="F33" i="30"/>
  <c r="A33" i="30" s="1"/>
  <c r="B33" i="30"/>
  <c r="J32" i="30"/>
  <c r="K32" i="30" s="1"/>
  <c r="I32" i="30"/>
  <c r="M32" i="30" s="1"/>
  <c r="F32" i="30" s="1"/>
  <c r="A32" i="30" s="1"/>
  <c r="J31" i="30"/>
  <c r="K31" i="30" s="1"/>
  <c r="I31" i="30"/>
  <c r="M31" i="30" s="1"/>
  <c r="F31" i="30"/>
  <c r="A31" i="30"/>
  <c r="J30" i="30"/>
  <c r="K30" i="30" s="1"/>
  <c r="I30" i="30"/>
  <c r="M30" i="30" s="1"/>
  <c r="F30" i="30" s="1"/>
  <c r="A30" i="30" s="1"/>
  <c r="J29" i="30"/>
  <c r="K29" i="30" s="1"/>
  <c r="I29" i="30"/>
  <c r="M29" i="30" s="1"/>
  <c r="A29" i="30"/>
  <c r="J28" i="30"/>
  <c r="K28" i="30" s="1"/>
  <c r="I28" i="30"/>
  <c r="M28" i="30" s="1"/>
  <c r="A28" i="30"/>
  <c r="J27" i="30"/>
  <c r="K27" i="30" s="1"/>
  <c r="I27" i="30"/>
  <c r="M27" i="30" s="1"/>
  <c r="A27" i="30"/>
  <c r="J26" i="30"/>
  <c r="K26" i="30" s="1"/>
  <c r="I26" i="30"/>
  <c r="M26" i="30" s="1"/>
  <c r="A26" i="30"/>
  <c r="J25" i="30"/>
  <c r="K25" i="30" s="1"/>
  <c r="I25" i="30"/>
  <c r="M25" i="30" s="1"/>
  <c r="A25" i="30"/>
  <c r="J24" i="30"/>
  <c r="K24" i="30" s="1"/>
  <c r="I24" i="30"/>
  <c r="M24" i="30" s="1"/>
  <c r="A24" i="30"/>
  <c r="J23" i="30"/>
  <c r="K23" i="30" s="1"/>
  <c r="I23" i="30"/>
  <c r="M23" i="30" s="1"/>
  <c r="A23" i="30"/>
  <c r="J22" i="30"/>
  <c r="K22" i="30" s="1"/>
  <c r="I22" i="30"/>
  <c r="M22" i="30" s="1"/>
  <c r="A22" i="30"/>
  <c r="J21" i="30"/>
  <c r="K21" i="30" s="1"/>
  <c r="I21" i="30"/>
  <c r="M21" i="30" s="1"/>
  <c r="A21" i="30"/>
  <c r="J20" i="30"/>
  <c r="K20" i="30" s="1"/>
  <c r="I20" i="30"/>
  <c r="M20" i="30" s="1"/>
  <c r="A20" i="30"/>
  <c r="J19" i="30"/>
  <c r="K19" i="30" s="1"/>
  <c r="I19" i="30"/>
  <c r="M19" i="30" s="1"/>
  <c r="A19" i="30"/>
  <c r="J18" i="30"/>
  <c r="K18" i="30" s="1"/>
  <c r="I18" i="30"/>
  <c r="M18" i="30" s="1"/>
  <c r="A18" i="30"/>
  <c r="J17" i="30"/>
  <c r="K17" i="30" s="1"/>
  <c r="I17" i="30"/>
  <c r="M17" i="30" s="1"/>
  <c r="A17" i="30"/>
  <c r="J16" i="30"/>
  <c r="K16" i="30" s="1"/>
  <c r="I16" i="30"/>
  <c r="M16" i="30" s="1"/>
  <c r="A16" i="30"/>
  <c r="J15" i="30"/>
  <c r="K15" i="30" s="1"/>
  <c r="I15" i="30"/>
  <c r="M15" i="30" s="1"/>
  <c r="A15" i="30"/>
  <c r="J14" i="30"/>
  <c r="K14" i="30" s="1"/>
  <c r="I14" i="30"/>
  <c r="M14" i="30" s="1"/>
  <c r="A14" i="30"/>
  <c r="J13" i="30"/>
  <c r="K13" i="30" s="1"/>
  <c r="I13" i="30"/>
  <c r="M13" i="30" s="1"/>
  <c r="A13" i="30"/>
  <c r="J12" i="30"/>
  <c r="K12" i="30" s="1"/>
  <c r="I12" i="30"/>
  <c r="M12" i="30" s="1"/>
  <c r="A12" i="30"/>
  <c r="J11" i="30"/>
  <c r="K11" i="30" s="1"/>
  <c r="I11" i="30"/>
  <c r="M11" i="30" s="1"/>
  <c r="A11" i="30"/>
  <c r="J10" i="30"/>
  <c r="K10" i="30" s="1"/>
  <c r="I10" i="30"/>
  <c r="M10" i="30" s="1"/>
  <c r="A10" i="30"/>
  <c r="J9" i="30"/>
  <c r="K9" i="30" s="1"/>
  <c r="I9" i="30"/>
  <c r="A9" i="30"/>
  <c r="J8" i="30"/>
  <c r="K8" i="30" s="1"/>
  <c r="I8" i="30"/>
  <c r="A8" i="30"/>
  <c r="J7" i="30"/>
  <c r="K7" i="30" s="1"/>
  <c r="I7" i="30"/>
  <c r="A7" i="30"/>
  <c r="J6" i="30"/>
  <c r="K6" i="30" s="1"/>
  <c r="I6" i="30"/>
  <c r="A6" i="30"/>
  <c r="K2" i="30"/>
  <c r="L9" i="30" s="1"/>
  <c r="I23" i="1"/>
  <c r="I22" i="1"/>
  <c r="I14" i="1"/>
  <c r="I9" i="1"/>
  <c r="I21" i="1"/>
  <c r="I20" i="1"/>
  <c r="I17" i="1"/>
  <c r="I19" i="1"/>
  <c r="I10" i="1"/>
  <c r="I18" i="1"/>
  <c r="I11" i="1"/>
  <c r="I8" i="1"/>
  <c r="I7" i="1"/>
  <c r="I6" i="1"/>
  <c r="G15" i="1"/>
  <c r="E15" i="1"/>
  <c r="G16" i="1"/>
  <c r="E16" i="1"/>
  <c r="G13" i="1"/>
  <c r="E13" i="1"/>
  <c r="G23" i="1"/>
  <c r="E23" i="1"/>
  <c r="G22" i="1"/>
  <c r="E22" i="1"/>
  <c r="G9" i="1"/>
  <c r="G21" i="1"/>
  <c r="E21" i="1"/>
  <c r="G20" i="1"/>
  <c r="E20" i="1"/>
  <c r="E17" i="1"/>
  <c r="G19" i="1"/>
  <c r="E19" i="1"/>
  <c r="G18" i="1"/>
  <c r="E18" i="1"/>
  <c r="F23" i="29"/>
  <c r="F22" i="29"/>
  <c r="F21" i="29"/>
  <c r="F20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O23" i="21"/>
  <c r="M23" i="21"/>
  <c r="I23" i="21"/>
  <c r="G23" i="21"/>
  <c r="O22" i="21"/>
  <c r="M22" i="21"/>
  <c r="I22" i="21"/>
  <c r="G22" i="21"/>
  <c r="O21" i="21"/>
  <c r="M21" i="21"/>
  <c r="I21" i="21"/>
  <c r="G21" i="21"/>
  <c r="O12" i="21"/>
  <c r="M12" i="21"/>
  <c r="I12" i="21"/>
  <c r="G12" i="21"/>
  <c r="O20" i="21"/>
  <c r="M20" i="21"/>
  <c r="I20" i="21"/>
  <c r="G20" i="21"/>
  <c r="O13" i="21"/>
  <c r="M13" i="21"/>
  <c r="I13" i="21"/>
  <c r="G13" i="21"/>
  <c r="O19" i="21"/>
  <c r="M19" i="21"/>
  <c r="I19" i="21"/>
  <c r="G19" i="21"/>
  <c r="O18" i="21"/>
  <c r="M18" i="21"/>
  <c r="I18" i="21"/>
  <c r="G18" i="21"/>
  <c r="O17" i="21"/>
  <c r="M17" i="21"/>
  <c r="I17" i="21"/>
  <c r="G17" i="21"/>
  <c r="O16" i="21"/>
  <c r="M16" i="21"/>
  <c r="I16" i="21"/>
  <c r="G16" i="21"/>
  <c r="O15" i="21"/>
  <c r="M15" i="21"/>
  <c r="I15" i="21"/>
  <c r="G15" i="21"/>
  <c r="O14" i="21"/>
  <c r="M14" i="21"/>
  <c r="I14" i="21"/>
  <c r="G14" i="21"/>
  <c r="O9" i="21"/>
  <c r="M9" i="21"/>
  <c r="I9" i="21"/>
  <c r="G9" i="21"/>
  <c r="O11" i="21"/>
  <c r="M11" i="21"/>
  <c r="I11" i="21"/>
  <c r="G11" i="21"/>
  <c r="O10" i="21"/>
  <c r="M10" i="21"/>
  <c r="I10" i="21"/>
  <c r="G10" i="21"/>
  <c r="O7" i="21"/>
  <c r="M7" i="21"/>
  <c r="I7" i="21"/>
  <c r="G7" i="21"/>
  <c r="O8" i="21"/>
  <c r="M8" i="21"/>
  <c r="I8" i="21"/>
  <c r="G8" i="21"/>
  <c r="O6" i="21"/>
  <c r="J374" i="28"/>
  <c r="J373" i="28"/>
  <c r="J372" i="28"/>
  <c r="J371" i="28"/>
  <c r="J370" i="28"/>
  <c r="J369" i="28"/>
  <c r="J368" i="28"/>
  <c r="J367" i="28"/>
  <c r="J366" i="28"/>
  <c r="J365" i="28"/>
  <c r="J364" i="28"/>
  <c r="J363" i="28"/>
  <c r="J362" i="28"/>
  <c r="J361" i="28"/>
  <c r="J360" i="28"/>
  <c r="J359" i="28"/>
  <c r="J358" i="28"/>
  <c r="J357" i="28"/>
  <c r="J356" i="28"/>
  <c r="J355" i="28"/>
  <c r="J354" i="28"/>
  <c r="J353" i="28"/>
  <c r="J352" i="28"/>
  <c r="J351" i="28"/>
  <c r="J350" i="28"/>
  <c r="J349" i="28"/>
  <c r="J348" i="28"/>
  <c r="J347" i="28"/>
  <c r="J346" i="28"/>
  <c r="J345" i="28"/>
  <c r="J344" i="28"/>
  <c r="J343" i="28"/>
  <c r="J342" i="28"/>
  <c r="J341" i="28"/>
  <c r="J340" i="28"/>
  <c r="J339" i="28"/>
  <c r="J338" i="28"/>
  <c r="J337" i="28"/>
  <c r="J336" i="28"/>
  <c r="J335" i="28"/>
  <c r="J334" i="28"/>
  <c r="J333" i="28"/>
  <c r="J332" i="28"/>
  <c r="J331" i="28"/>
  <c r="J330" i="28"/>
  <c r="J329" i="28"/>
  <c r="J328" i="28"/>
  <c r="J327" i="28"/>
  <c r="J326" i="28"/>
  <c r="J325" i="28"/>
  <c r="J324" i="28"/>
  <c r="J323" i="28"/>
  <c r="J322" i="28"/>
  <c r="J321" i="28"/>
  <c r="J320" i="28"/>
  <c r="J319" i="28"/>
  <c r="J318" i="28"/>
  <c r="J317" i="28"/>
  <c r="J316" i="28"/>
  <c r="J315" i="28"/>
  <c r="J314" i="28"/>
  <c r="J313" i="28"/>
  <c r="J312" i="28"/>
  <c r="J311" i="28"/>
  <c r="J310" i="28"/>
  <c r="J309" i="28"/>
  <c r="J308" i="28"/>
  <c r="J307" i="28"/>
  <c r="J306" i="28"/>
  <c r="J305" i="28"/>
  <c r="K305" i="28" s="1"/>
  <c r="I305" i="28"/>
  <c r="M305" i="28" s="1"/>
  <c r="J304" i="28"/>
  <c r="K304" i="28" s="1"/>
  <c r="I304" i="28"/>
  <c r="M304" i="28" s="1"/>
  <c r="J303" i="28"/>
  <c r="K303" i="28" s="1"/>
  <c r="I303" i="28"/>
  <c r="M303" i="28" s="1"/>
  <c r="J302" i="28"/>
  <c r="K302" i="28" s="1"/>
  <c r="I302" i="28"/>
  <c r="M302" i="28" s="1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J296" i="28"/>
  <c r="K296" i="28" s="1"/>
  <c r="I296" i="28"/>
  <c r="M296" i="28" s="1"/>
  <c r="J295" i="28"/>
  <c r="K295" i="28" s="1"/>
  <c r="I295" i="28"/>
  <c r="M295" i="28" s="1"/>
  <c r="J294" i="28"/>
  <c r="K294" i="28" s="1"/>
  <c r="I294" i="28"/>
  <c r="M294" i="28" s="1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J288" i="28"/>
  <c r="K288" i="28" s="1"/>
  <c r="I288" i="28"/>
  <c r="M288" i="28" s="1"/>
  <c r="J287" i="28"/>
  <c r="K287" i="28" s="1"/>
  <c r="I287" i="28"/>
  <c r="M287" i="28" s="1"/>
  <c r="J286" i="28"/>
  <c r="K286" i="28" s="1"/>
  <c r="I286" i="28"/>
  <c r="M286" i="28" s="1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J280" i="28"/>
  <c r="K280" i="28" s="1"/>
  <c r="I280" i="28"/>
  <c r="M280" i="28" s="1"/>
  <c r="J279" i="28"/>
  <c r="K279" i="28" s="1"/>
  <c r="I279" i="28"/>
  <c r="M279" i="28" s="1"/>
  <c r="J278" i="28"/>
  <c r="K278" i="28" s="1"/>
  <c r="I278" i="28"/>
  <c r="M278" i="28" s="1"/>
  <c r="J277" i="28"/>
  <c r="K277" i="28" s="1"/>
  <c r="I277" i="28"/>
  <c r="M277" i="28" s="1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J272" i="28"/>
  <c r="K272" i="28" s="1"/>
  <c r="I272" i="28"/>
  <c r="M272" i="28" s="1"/>
  <c r="J271" i="28"/>
  <c r="K271" i="28" s="1"/>
  <c r="I271" i="28"/>
  <c r="M271" i="28" s="1"/>
  <c r="J270" i="28"/>
  <c r="K270" i="28" s="1"/>
  <c r="I270" i="28"/>
  <c r="M270" i="28" s="1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J264" i="28"/>
  <c r="K264" i="28" s="1"/>
  <c r="I264" i="28"/>
  <c r="M264" i="28" s="1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J258" i="28"/>
  <c r="K258" i="28" s="1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J254" i="28"/>
  <c r="K254" i="28" s="1"/>
  <c r="I254" i="28"/>
  <c r="M254" i="28" s="1"/>
  <c r="J253" i="28"/>
  <c r="K253" i="28" s="1"/>
  <c r="I253" i="28"/>
  <c r="M253" i="28" s="1"/>
  <c r="J252" i="28"/>
  <c r="K252" i="28" s="1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J248" i="28"/>
  <c r="K248" i="28" s="1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J244" i="28"/>
  <c r="K244" i="28" s="1"/>
  <c r="I244" i="28"/>
  <c r="M244" i="28" s="1"/>
  <c r="J243" i="28"/>
  <c r="K243" i="28" s="1"/>
  <c r="I243" i="28"/>
  <c r="M243" i="28" s="1"/>
  <c r="J242" i="28"/>
  <c r="K242" i="28" s="1"/>
  <c r="I242" i="28"/>
  <c r="M242" i="28" s="1"/>
  <c r="J241" i="28"/>
  <c r="K241" i="28" s="1"/>
  <c r="I241" i="28"/>
  <c r="M241" i="28" s="1"/>
  <c r="J240" i="28"/>
  <c r="K240" i="28" s="1"/>
  <c r="I240" i="28"/>
  <c r="M240" i="28" s="1"/>
  <c r="J239" i="28"/>
  <c r="K239" i="28" s="1"/>
  <c r="I239" i="28"/>
  <c r="M239" i="28" s="1"/>
  <c r="J238" i="28"/>
  <c r="K238" i="28" s="1"/>
  <c r="I238" i="28"/>
  <c r="M238" i="28" s="1"/>
  <c r="J237" i="28"/>
  <c r="K237" i="28" s="1"/>
  <c r="I237" i="28"/>
  <c r="M237" i="28" s="1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J230" i="28"/>
  <c r="K230" i="28" s="1"/>
  <c r="I230" i="28"/>
  <c r="M230" i="28" s="1"/>
  <c r="J229" i="28"/>
  <c r="K229" i="28" s="1"/>
  <c r="I229" i="28"/>
  <c r="M229" i="28" s="1"/>
  <c r="J228" i="28"/>
  <c r="K228" i="28" s="1"/>
  <c r="I228" i="28"/>
  <c r="M228" i="28" s="1"/>
  <c r="J227" i="28"/>
  <c r="K227" i="28" s="1"/>
  <c r="I227" i="28"/>
  <c r="M227" i="28" s="1"/>
  <c r="J226" i="28"/>
  <c r="K226" i="28" s="1"/>
  <c r="I226" i="28"/>
  <c r="M226" i="28" s="1"/>
  <c r="J225" i="28"/>
  <c r="K225" i="28" s="1"/>
  <c r="I225" i="28"/>
  <c r="M225" i="28" s="1"/>
  <c r="J224" i="28"/>
  <c r="K224" i="28" s="1"/>
  <c r="I224" i="28"/>
  <c r="M224" i="28" s="1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J218" i="28"/>
  <c r="K218" i="28" s="1"/>
  <c r="I218" i="28"/>
  <c r="M218" i="28" s="1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J210" i="28"/>
  <c r="K210" i="28" s="1"/>
  <c r="I210" i="28"/>
  <c r="M210" i="28" s="1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J204" i="28"/>
  <c r="K204" i="28" s="1"/>
  <c r="I204" i="28"/>
  <c r="M204" i="28" s="1"/>
  <c r="J203" i="28"/>
  <c r="K203" i="28" s="1"/>
  <c r="I203" i="28"/>
  <c r="M203" i="28" s="1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J199" i="28"/>
  <c r="K199" i="28" s="1"/>
  <c r="I199" i="28"/>
  <c r="M199" i="28" s="1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J190" i="28"/>
  <c r="K190" i="28" s="1"/>
  <c r="I190" i="28"/>
  <c r="M190" i="28" s="1"/>
  <c r="J189" i="28"/>
  <c r="K189" i="28" s="1"/>
  <c r="I189" i="28"/>
  <c r="M189" i="28" s="1"/>
  <c r="J188" i="28"/>
  <c r="K188" i="28" s="1"/>
  <c r="I188" i="28"/>
  <c r="M188" i="28" s="1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J174" i="28"/>
  <c r="K174" i="28" s="1"/>
  <c r="I174" i="28"/>
  <c r="M174" i="28" s="1"/>
  <c r="J173" i="28"/>
  <c r="K173" i="28" s="1"/>
  <c r="I173" i="28"/>
  <c r="M173" i="28" s="1"/>
  <c r="J172" i="28"/>
  <c r="K172" i="28" s="1"/>
  <c r="I172" i="28"/>
  <c r="M172" i="28" s="1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J163" i="28"/>
  <c r="K163" i="28" s="1"/>
  <c r="I163" i="28"/>
  <c r="M163" i="28" s="1"/>
  <c r="J162" i="28"/>
  <c r="K162" i="28" s="1"/>
  <c r="I162" i="28"/>
  <c r="M162" i="28" s="1"/>
  <c r="J161" i="28"/>
  <c r="K161" i="28" s="1"/>
  <c r="I161" i="28"/>
  <c r="M161" i="28" s="1"/>
  <c r="J160" i="28"/>
  <c r="K160" i="28" s="1"/>
  <c r="I160" i="28"/>
  <c r="M160" i="28" s="1"/>
  <c r="J159" i="28"/>
  <c r="K159" i="28" s="1"/>
  <c r="I159" i="28"/>
  <c r="M159" i="28" s="1"/>
  <c r="J158" i="28"/>
  <c r="K158" i="28" s="1"/>
  <c r="I158" i="28"/>
  <c r="M158" i="28" s="1"/>
  <c r="J157" i="28"/>
  <c r="K157" i="28" s="1"/>
  <c r="I157" i="28"/>
  <c r="M157" i="28" s="1"/>
  <c r="J156" i="28"/>
  <c r="K156" i="28" s="1"/>
  <c r="I156" i="28"/>
  <c r="M156" i="28" s="1"/>
  <c r="J155" i="28"/>
  <c r="K155" i="28" s="1"/>
  <c r="I155" i="28"/>
  <c r="M155" i="28" s="1"/>
  <c r="J154" i="28"/>
  <c r="K154" i="28" s="1"/>
  <c r="I154" i="28"/>
  <c r="M154" i="28" s="1"/>
  <c r="J153" i="28"/>
  <c r="K153" i="28" s="1"/>
  <c r="I153" i="28"/>
  <c r="M153" i="28" s="1"/>
  <c r="J152" i="28"/>
  <c r="K152" i="28" s="1"/>
  <c r="I152" i="28"/>
  <c r="M152" i="28" s="1"/>
  <c r="J151" i="28"/>
  <c r="K151" i="28" s="1"/>
  <c r="I151" i="28"/>
  <c r="M151" i="28" s="1"/>
  <c r="J150" i="28"/>
  <c r="K150" i="28" s="1"/>
  <c r="I150" i="28"/>
  <c r="M150" i="28" s="1"/>
  <c r="J149" i="28"/>
  <c r="K149" i="28" s="1"/>
  <c r="I149" i="28"/>
  <c r="M149" i="28" s="1"/>
  <c r="J148" i="28"/>
  <c r="K148" i="28" s="1"/>
  <c r="I148" i="28"/>
  <c r="M148" i="28" s="1"/>
  <c r="J147" i="28"/>
  <c r="K147" i="28" s="1"/>
  <c r="I147" i="28"/>
  <c r="M147" i="28" s="1"/>
  <c r="J146" i="28"/>
  <c r="K146" i="28" s="1"/>
  <c r="I146" i="28"/>
  <c r="M146" i="28" s="1"/>
  <c r="J145" i="28"/>
  <c r="K145" i="28" s="1"/>
  <c r="I145" i="28"/>
  <c r="M145" i="28" s="1"/>
  <c r="J144" i="28"/>
  <c r="K144" i="28" s="1"/>
  <c r="I144" i="28"/>
  <c r="M144" i="28" s="1"/>
  <c r="J143" i="28"/>
  <c r="K143" i="28" s="1"/>
  <c r="I143" i="28"/>
  <c r="M143" i="28" s="1"/>
  <c r="J142" i="28"/>
  <c r="K142" i="28" s="1"/>
  <c r="I142" i="28"/>
  <c r="M142" i="28" s="1"/>
  <c r="J141" i="28"/>
  <c r="K141" i="28" s="1"/>
  <c r="I141" i="28"/>
  <c r="M141" i="28" s="1"/>
  <c r="J140" i="28"/>
  <c r="K140" i="28" s="1"/>
  <c r="I140" i="28"/>
  <c r="M140" i="28" s="1"/>
  <c r="J139" i="28"/>
  <c r="K139" i="28" s="1"/>
  <c r="I139" i="28"/>
  <c r="M139" i="28" s="1"/>
  <c r="J138" i="28"/>
  <c r="K138" i="28" s="1"/>
  <c r="I138" i="28"/>
  <c r="M138" i="28" s="1"/>
  <c r="J137" i="28"/>
  <c r="K137" i="28" s="1"/>
  <c r="I137" i="28"/>
  <c r="M137" i="28" s="1"/>
  <c r="J136" i="28"/>
  <c r="K136" i="28" s="1"/>
  <c r="I136" i="28"/>
  <c r="M136" i="28" s="1"/>
  <c r="J135" i="28"/>
  <c r="K135" i="28" s="1"/>
  <c r="I135" i="28"/>
  <c r="M135" i="28" s="1"/>
  <c r="J134" i="28"/>
  <c r="K134" i="28" s="1"/>
  <c r="I134" i="28"/>
  <c r="M134" i="28" s="1"/>
  <c r="J133" i="28"/>
  <c r="K133" i="28" s="1"/>
  <c r="I133" i="28"/>
  <c r="M133" i="28" s="1"/>
  <c r="J132" i="28"/>
  <c r="K132" i="28" s="1"/>
  <c r="I132" i="28"/>
  <c r="M132" i="28" s="1"/>
  <c r="J131" i="28"/>
  <c r="K131" i="28" s="1"/>
  <c r="I131" i="28"/>
  <c r="M131" i="28" s="1"/>
  <c r="J130" i="28"/>
  <c r="K130" i="28" s="1"/>
  <c r="I130" i="28"/>
  <c r="M130" i="28" s="1"/>
  <c r="J129" i="28"/>
  <c r="K129" i="28" s="1"/>
  <c r="I129" i="28"/>
  <c r="M129" i="28" s="1"/>
  <c r="J128" i="28"/>
  <c r="K128" i="28" s="1"/>
  <c r="I128" i="28"/>
  <c r="M128" i="28" s="1"/>
  <c r="J127" i="28"/>
  <c r="K127" i="28" s="1"/>
  <c r="I127" i="28"/>
  <c r="M127" i="28" s="1"/>
  <c r="J126" i="28"/>
  <c r="K126" i="28" s="1"/>
  <c r="I126" i="28"/>
  <c r="M126" i="28" s="1"/>
  <c r="J125" i="28"/>
  <c r="K125" i="28" s="1"/>
  <c r="I125" i="28"/>
  <c r="M125" i="28" s="1"/>
  <c r="J124" i="28"/>
  <c r="K124" i="28" s="1"/>
  <c r="I124" i="28"/>
  <c r="M124" i="28" s="1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J120" i="28"/>
  <c r="K120" i="28" s="1"/>
  <c r="I120" i="28"/>
  <c r="M120" i="28" s="1"/>
  <c r="J119" i="28"/>
  <c r="K119" i="28" s="1"/>
  <c r="I119" i="28"/>
  <c r="M119" i="28" s="1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M116" i="28" s="1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J112" i="28"/>
  <c r="K112" i="28" s="1"/>
  <c r="I112" i="28"/>
  <c r="M112" i="28" s="1"/>
  <c r="J111" i="28"/>
  <c r="K111" i="28" s="1"/>
  <c r="I111" i="28"/>
  <c r="M111" i="28" s="1"/>
  <c r="J110" i="28"/>
  <c r="K110" i="28" s="1"/>
  <c r="I110" i="28"/>
  <c r="M110" i="28" s="1"/>
  <c r="J109" i="28"/>
  <c r="K109" i="28" s="1"/>
  <c r="I109" i="28"/>
  <c r="M109" i="28" s="1"/>
  <c r="J108" i="28"/>
  <c r="K108" i="28" s="1"/>
  <c r="I108" i="28"/>
  <c r="M108" i="28" s="1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J104" i="28"/>
  <c r="K104" i="28" s="1"/>
  <c r="I104" i="28"/>
  <c r="M104" i="28" s="1"/>
  <c r="J103" i="28"/>
  <c r="K103" i="28" s="1"/>
  <c r="I103" i="28"/>
  <c r="M103" i="28" s="1"/>
  <c r="J102" i="28"/>
  <c r="K102" i="28" s="1"/>
  <c r="I102" i="28"/>
  <c r="M102" i="28" s="1"/>
  <c r="J101" i="28"/>
  <c r="K101" i="28" s="1"/>
  <c r="I101" i="28"/>
  <c r="M101" i="28" s="1"/>
  <c r="J100" i="28"/>
  <c r="K100" i="28" s="1"/>
  <c r="I100" i="28"/>
  <c r="M100" i="28" s="1"/>
  <c r="J99" i="28"/>
  <c r="K99" i="28" s="1"/>
  <c r="I99" i="28"/>
  <c r="M99" i="28" s="1"/>
  <c r="J98" i="28"/>
  <c r="K98" i="28" s="1"/>
  <c r="I98" i="28"/>
  <c r="M98" i="28" s="1"/>
  <c r="J97" i="28"/>
  <c r="K97" i="28" s="1"/>
  <c r="I97" i="28"/>
  <c r="M97" i="28" s="1"/>
  <c r="J96" i="28"/>
  <c r="K96" i="28" s="1"/>
  <c r="I96" i="28"/>
  <c r="M96" i="28" s="1"/>
  <c r="J95" i="28"/>
  <c r="K95" i="28" s="1"/>
  <c r="I95" i="28"/>
  <c r="M95" i="28" s="1"/>
  <c r="J94" i="28"/>
  <c r="K94" i="28" s="1"/>
  <c r="I94" i="28"/>
  <c r="M94" i="28" s="1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M91" i="28" s="1"/>
  <c r="J90" i="28"/>
  <c r="K90" i="28" s="1"/>
  <c r="I90" i="28"/>
  <c r="M90" i="28" s="1"/>
  <c r="J89" i="28"/>
  <c r="K89" i="28" s="1"/>
  <c r="I89" i="28"/>
  <c r="M89" i="28" s="1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M86" i="28" s="1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J82" i="28"/>
  <c r="K82" i="28" s="1"/>
  <c r="I82" i="28"/>
  <c r="M82" i="28" s="1"/>
  <c r="J81" i="28"/>
  <c r="K81" i="28" s="1"/>
  <c r="I81" i="28"/>
  <c r="M81" i="28" s="1"/>
  <c r="J80" i="28"/>
  <c r="K80" i="28" s="1"/>
  <c r="I80" i="28"/>
  <c r="M80" i="28" s="1"/>
  <c r="J79" i="28"/>
  <c r="K79" i="28" s="1"/>
  <c r="I79" i="28"/>
  <c r="M79" i="28" s="1"/>
  <c r="J78" i="28"/>
  <c r="K78" i="28" s="1"/>
  <c r="I78" i="28"/>
  <c r="M78" i="28" s="1"/>
  <c r="J77" i="28"/>
  <c r="K77" i="28" s="1"/>
  <c r="I77" i="28"/>
  <c r="M77" i="28" s="1"/>
  <c r="J76" i="28"/>
  <c r="K76" i="28" s="1"/>
  <c r="I76" i="28"/>
  <c r="M76" i="28" s="1"/>
  <c r="J75" i="28"/>
  <c r="K75" i="28" s="1"/>
  <c r="I75" i="28"/>
  <c r="M75" i="28" s="1"/>
  <c r="J74" i="28"/>
  <c r="K74" i="28" s="1"/>
  <c r="I74" i="28"/>
  <c r="M74" i="28" s="1"/>
  <c r="J73" i="28"/>
  <c r="K73" i="28" s="1"/>
  <c r="I73" i="28"/>
  <c r="M73" i="28" s="1"/>
  <c r="J72" i="28"/>
  <c r="K72" i="28" s="1"/>
  <c r="I72" i="28"/>
  <c r="M72" i="28" s="1"/>
  <c r="J71" i="28"/>
  <c r="K71" i="28" s="1"/>
  <c r="I71" i="28"/>
  <c r="M71" i="28" s="1"/>
  <c r="J70" i="28"/>
  <c r="K70" i="28" s="1"/>
  <c r="I70" i="28"/>
  <c r="M70" i="28" s="1"/>
  <c r="J69" i="28"/>
  <c r="K69" i="28" s="1"/>
  <c r="I69" i="28"/>
  <c r="M69" i="28" s="1"/>
  <c r="J68" i="28"/>
  <c r="K68" i="28" s="1"/>
  <c r="I68" i="28"/>
  <c r="M68" i="28" s="1"/>
  <c r="J67" i="28"/>
  <c r="K67" i="28" s="1"/>
  <c r="I67" i="28"/>
  <c r="M67" i="28" s="1"/>
  <c r="J66" i="28"/>
  <c r="K66" i="28" s="1"/>
  <c r="I66" i="28"/>
  <c r="M66" i="28" s="1"/>
  <c r="J65" i="28"/>
  <c r="K65" i="28" s="1"/>
  <c r="I65" i="28"/>
  <c r="M65" i="28" s="1"/>
  <c r="B65" i="28"/>
  <c r="A65" i="28"/>
  <c r="J64" i="28"/>
  <c r="K64" i="28" s="1"/>
  <c r="I64" i="28"/>
  <c r="M64" i="28" s="1"/>
  <c r="B64" i="28"/>
  <c r="A64" i="28"/>
  <c r="J63" i="28"/>
  <c r="K63" i="28" s="1"/>
  <c r="I63" i="28"/>
  <c r="M63" i="28" s="1"/>
  <c r="B63" i="28"/>
  <c r="A63" i="28"/>
  <c r="J62" i="28"/>
  <c r="K62" i="28" s="1"/>
  <c r="I62" i="28"/>
  <c r="M62" i="28" s="1"/>
  <c r="B62" i="28"/>
  <c r="A62" i="28"/>
  <c r="J61" i="28"/>
  <c r="K61" i="28" s="1"/>
  <c r="I61" i="28"/>
  <c r="M61" i="28" s="1"/>
  <c r="B61" i="28"/>
  <c r="A61" i="28"/>
  <c r="J60" i="28"/>
  <c r="K60" i="28" s="1"/>
  <c r="I60" i="28"/>
  <c r="M60" i="28" s="1"/>
  <c r="B60" i="28"/>
  <c r="A60" i="28"/>
  <c r="J59" i="28"/>
  <c r="K59" i="28" s="1"/>
  <c r="I59" i="28"/>
  <c r="M59" i="28" s="1"/>
  <c r="B59" i="28"/>
  <c r="A59" i="28"/>
  <c r="J58" i="28"/>
  <c r="K58" i="28" s="1"/>
  <c r="I58" i="28"/>
  <c r="M58" i="28" s="1"/>
  <c r="B58" i="28"/>
  <c r="A58" i="28"/>
  <c r="J57" i="28"/>
  <c r="K57" i="28" s="1"/>
  <c r="I57" i="28"/>
  <c r="M57" i="28" s="1"/>
  <c r="B57" i="28"/>
  <c r="A57" i="28"/>
  <c r="J56" i="28"/>
  <c r="K56" i="28" s="1"/>
  <c r="I56" i="28"/>
  <c r="M56" i="28" s="1"/>
  <c r="B56" i="28"/>
  <c r="A56" i="28"/>
  <c r="J55" i="28"/>
  <c r="K55" i="28" s="1"/>
  <c r="I55" i="28"/>
  <c r="M55" i="28" s="1"/>
  <c r="B55" i="28"/>
  <c r="A55" i="28"/>
  <c r="J54" i="28"/>
  <c r="K54" i="28" s="1"/>
  <c r="I54" i="28"/>
  <c r="M54" i="28" s="1"/>
  <c r="B54" i="28"/>
  <c r="A54" i="28"/>
  <c r="J53" i="28"/>
  <c r="K53" i="28" s="1"/>
  <c r="I53" i="28"/>
  <c r="M53" i="28" s="1"/>
  <c r="B53" i="28"/>
  <c r="A53" i="28"/>
  <c r="J52" i="28"/>
  <c r="K52" i="28" s="1"/>
  <c r="I52" i="28"/>
  <c r="M52" i="28" s="1"/>
  <c r="B52" i="28"/>
  <c r="A52" i="28"/>
  <c r="J51" i="28"/>
  <c r="K51" i="28" s="1"/>
  <c r="I51" i="28"/>
  <c r="M51" i="28" s="1"/>
  <c r="B51" i="28"/>
  <c r="A51" i="28"/>
  <c r="J50" i="28"/>
  <c r="K50" i="28" s="1"/>
  <c r="I50" i="28"/>
  <c r="M50" i="28" s="1"/>
  <c r="B50" i="28"/>
  <c r="A50" i="28"/>
  <c r="J49" i="28"/>
  <c r="K49" i="28" s="1"/>
  <c r="I49" i="28"/>
  <c r="M49" i="28" s="1"/>
  <c r="B49" i="28"/>
  <c r="A49" i="28"/>
  <c r="J48" i="28"/>
  <c r="K48" i="28" s="1"/>
  <c r="I48" i="28"/>
  <c r="M48" i="28" s="1"/>
  <c r="B48" i="28"/>
  <c r="A48" i="28"/>
  <c r="J47" i="28"/>
  <c r="K47" i="28" s="1"/>
  <c r="I47" i="28"/>
  <c r="M47" i="28" s="1"/>
  <c r="B47" i="28"/>
  <c r="A47" i="28"/>
  <c r="J46" i="28"/>
  <c r="K46" i="28" s="1"/>
  <c r="I46" i="28"/>
  <c r="M46" i="28" s="1"/>
  <c r="B46" i="28"/>
  <c r="A46" i="28"/>
  <c r="J45" i="28"/>
  <c r="K45" i="28" s="1"/>
  <c r="I45" i="28"/>
  <c r="M45" i="28" s="1"/>
  <c r="B45" i="28"/>
  <c r="A45" i="28"/>
  <c r="J44" i="28"/>
  <c r="K44" i="28" s="1"/>
  <c r="I44" i="28"/>
  <c r="M44" i="28" s="1"/>
  <c r="B44" i="28"/>
  <c r="A44" i="28"/>
  <c r="J43" i="28"/>
  <c r="K43" i="28" s="1"/>
  <c r="I43" i="28"/>
  <c r="M43" i="28" s="1"/>
  <c r="B43" i="28"/>
  <c r="A43" i="28"/>
  <c r="J42" i="28"/>
  <c r="K42" i="28" s="1"/>
  <c r="I42" i="28"/>
  <c r="M42" i="28" s="1"/>
  <c r="B42" i="28"/>
  <c r="A42" i="28"/>
  <c r="J41" i="28"/>
  <c r="K41" i="28" s="1"/>
  <c r="I41" i="28"/>
  <c r="M41" i="28" s="1"/>
  <c r="B41" i="28"/>
  <c r="A41" i="28"/>
  <c r="J40" i="28"/>
  <c r="K40" i="28" s="1"/>
  <c r="I40" i="28"/>
  <c r="M40" i="28" s="1"/>
  <c r="B40" i="28"/>
  <c r="A40" i="28"/>
  <c r="J39" i="28"/>
  <c r="K39" i="28" s="1"/>
  <c r="I39" i="28"/>
  <c r="M39" i="28" s="1"/>
  <c r="B39" i="28"/>
  <c r="A39" i="28"/>
  <c r="J38" i="28"/>
  <c r="K38" i="28" s="1"/>
  <c r="I38" i="28"/>
  <c r="M38" i="28" s="1"/>
  <c r="F38" i="28"/>
  <c r="A38" i="28" s="1"/>
  <c r="B38" i="28"/>
  <c r="J37" i="28"/>
  <c r="K37" i="28" s="1"/>
  <c r="I37" i="28"/>
  <c r="M37" i="28" s="1"/>
  <c r="F37" i="28" s="1"/>
  <c r="A37" i="28" s="1"/>
  <c r="B37" i="28"/>
  <c r="J36" i="28"/>
  <c r="K36" i="28" s="1"/>
  <c r="I36" i="28"/>
  <c r="M36" i="28" s="1"/>
  <c r="F36" i="28" s="1"/>
  <c r="A36" i="28" s="1"/>
  <c r="B36" i="28"/>
  <c r="J35" i="28"/>
  <c r="K35" i="28" s="1"/>
  <c r="I35" i="28"/>
  <c r="M35" i="28" s="1"/>
  <c r="F35" i="28"/>
  <c r="A35" i="28" s="1"/>
  <c r="B35" i="28"/>
  <c r="J34" i="28"/>
  <c r="K34" i="28" s="1"/>
  <c r="I34" i="28"/>
  <c r="M34" i="28" s="1"/>
  <c r="F34" i="28"/>
  <c r="B34" i="28"/>
  <c r="A34" i="28"/>
  <c r="J33" i="28"/>
  <c r="K33" i="28" s="1"/>
  <c r="I33" i="28"/>
  <c r="M33" i="28" s="1"/>
  <c r="F33" i="28" s="1"/>
  <c r="A33" i="28" s="1"/>
  <c r="B33" i="28"/>
  <c r="J32" i="28"/>
  <c r="K32" i="28" s="1"/>
  <c r="I32" i="28"/>
  <c r="M32" i="28" s="1"/>
  <c r="F32" i="28" s="1"/>
  <c r="A32" i="28" s="1"/>
  <c r="J31" i="28"/>
  <c r="K31" i="28" s="1"/>
  <c r="I31" i="28"/>
  <c r="M31" i="28" s="1"/>
  <c r="F31" i="28"/>
  <c r="A31" i="28"/>
  <c r="J30" i="28"/>
  <c r="K30" i="28" s="1"/>
  <c r="I30" i="28"/>
  <c r="M30" i="28" s="1"/>
  <c r="F30" i="28" s="1"/>
  <c r="A30" i="28" s="1"/>
  <c r="J29" i="28"/>
  <c r="K29" i="28" s="1"/>
  <c r="I29" i="28"/>
  <c r="M29" i="28" s="1"/>
  <c r="A29" i="28"/>
  <c r="J28" i="28"/>
  <c r="K28" i="28" s="1"/>
  <c r="I28" i="28"/>
  <c r="M28" i="28" s="1"/>
  <c r="A28" i="28"/>
  <c r="J27" i="28"/>
  <c r="K27" i="28" s="1"/>
  <c r="I27" i="28"/>
  <c r="M27" i="28" s="1"/>
  <c r="A27" i="28"/>
  <c r="J26" i="28"/>
  <c r="K26" i="28" s="1"/>
  <c r="I26" i="28"/>
  <c r="M26" i="28" s="1"/>
  <c r="A26" i="28"/>
  <c r="J25" i="28"/>
  <c r="K25" i="28" s="1"/>
  <c r="I25" i="28"/>
  <c r="M25" i="28" s="1"/>
  <c r="A25" i="28"/>
  <c r="J24" i="28"/>
  <c r="K24" i="28" s="1"/>
  <c r="I24" i="28"/>
  <c r="M24" i="28" s="1"/>
  <c r="A24" i="28"/>
  <c r="J23" i="28"/>
  <c r="K23" i="28" s="1"/>
  <c r="I23" i="28"/>
  <c r="M23" i="28" s="1"/>
  <c r="A23" i="28"/>
  <c r="J22" i="28"/>
  <c r="K22" i="28" s="1"/>
  <c r="I22" i="28"/>
  <c r="M22" i="28" s="1"/>
  <c r="A22" i="28"/>
  <c r="J21" i="28"/>
  <c r="K21" i="28" s="1"/>
  <c r="I21" i="28"/>
  <c r="M21" i="28" s="1"/>
  <c r="A21" i="28"/>
  <c r="J20" i="28"/>
  <c r="K20" i="28" s="1"/>
  <c r="I20" i="28"/>
  <c r="M20" i="28" s="1"/>
  <c r="A20" i="28"/>
  <c r="J19" i="28"/>
  <c r="K19" i="28" s="1"/>
  <c r="I19" i="28"/>
  <c r="M19" i="28" s="1"/>
  <c r="A19" i="28"/>
  <c r="J18" i="28"/>
  <c r="K18" i="28" s="1"/>
  <c r="I18" i="28"/>
  <c r="M18" i="28" s="1"/>
  <c r="A18" i="28"/>
  <c r="J17" i="28"/>
  <c r="K17" i="28" s="1"/>
  <c r="I17" i="28"/>
  <c r="M17" i="28" s="1"/>
  <c r="A17" i="28"/>
  <c r="J16" i="28"/>
  <c r="K16" i="28" s="1"/>
  <c r="I16" i="28"/>
  <c r="M16" i="28" s="1"/>
  <c r="A16" i="28"/>
  <c r="J15" i="28"/>
  <c r="K15" i="28" s="1"/>
  <c r="I15" i="28"/>
  <c r="M15" i="28" s="1"/>
  <c r="A15" i="28"/>
  <c r="J14" i="28"/>
  <c r="K14" i="28" s="1"/>
  <c r="I14" i="28"/>
  <c r="M14" i="28" s="1"/>
  <c r="A14" i="28"/>
  <c r="J13" i="28"/>
  <c r="K13" i="28" s="1"/>
  <c r="I13" i="28"/>
  <c r="M13" i="28" s="1"/>
  <c r="A13" i="28"/>
  <c r="J12" i="28"/>
  <c r="K12" i="28" s="1"/>
  <c r="I12" i="28"/>
  <c r="M12" i="28" s="1"/>
  <c r="A12" i="28"/>
  <c r="J11" i="28"/>
  <c r="K11" i="28" s="1"/>
  <c r="I11" i="28"/>
  <c r="M11" i="28" s="1"/>
  <c r="A11" i="28"/>
  <c r="J10" i="28"/>
  <c r="K10" i="28" s="1"/>
  <c r="I10" i="28"/>
  <c r="M10" i="28" s="1"/>
  <c r="A10" i="28"/>
  <c r="J9" i="28"/>
  <c r="K9" i="28" s="1"/>
  <c r="I9" i="28"/>
  <c r="A9" i="28"/>
  <c r="J8" i="28"/>
  <c r="K8" i="28" s="1"/>
  <c r="I8" i="28"/>
  <c r="A8" i="28"/>
  <c r="J7" i="28"/>
  <c r="K7" i="28" s="1"/>
  <c r="I7" i="28"/>
  <c r="A7" i="28"/>
  <c r="J6" i="28"/>
  <c r="K6" i="28" s="1"/>
  <c r="I6" i="28"/>
  <c r="A6" i="28"/>
  <c r="K2" i="28"/>
  <c r="M6" i="21"/>
  <c r="I6" i="21"/>
  <c r="G6" i="21"/>
  <c r="J374" i="27"/>
  <c r="J373" i="27"/>
  <c r="J372" i="27"/>
  <c r="J371" i="27"/>
  <c r="J370" i="27"/>
  <c r="J369" i="27"/>
  <c r="J368" i="27"/>
  <c r="J367" i="27"/>
  <c r="J366" i="27"/>
  <c r="J365" i="27"/>
  <c r="J364" i="27"/>
  <c r="J363" i="27"/>
  <c r="J362" i="27"/>
  <c r="J361" i="27"/>
  <c r="J360" i="27"/>
  <c r="J359" i="27"/>
  <c r="J358" i="27"/>
  <c r="J357" i="27"/>
  <c r="J356" i="27"/>
  <c r="J355" i="27"/>
  <c r="J354" i="27"/>
  <c r="J353" i="27"/>
  <c r="J352" i="27"/>
  <c r="J351" i="27"/>
  <c r="J350" i="27"/>
  <c r="J349" i="27"/>
  <c r="J348" i="27"/>
  <c r="J347" i="27"/>
  <c r="J346" i="27"/>
  <c r="J345" i="27"/>
  <c r="J344" i="27"/>
  <c r="J343" i="27"/>
  <c r="J342" i="27"/>
  <c r="J341" i="27"/>
  <c r="J340" i="27"/>
  <c r="J339" i="27"/>
  <c r="J338" i="27"/>
  <c r="J337" i="27"/>
  <c r="J336" i="27"/>
  <c r="J335" i="27"/>
  <c r="J334" i="27"/>
  <c r="J333" i="27"/>
  <c r="J332" i="27"/>
  <c r="J331" i="27"/>
  <c r="J330" i="27"/>
  <c r="J329" i="27"/>
  <c r="J328" i="27"/>
  <c r="J327" i="27"/>
  <c r="J326" i="27"/>
  <c r="J325" i="27"/>
  <c r="J324" i="27"/>
  <c r="J323" i="27"/>
  <c r="J322" i="27"/>
  <c r="J321" i="27"/>
  <c r="J320" i="27"/>
  <c r="J319" i="27"/>
  <c r="J318" i="27"/>
  <c r="J317" i="27"/>
  <c r="J316" i="27"/>
  <c r="J315" i="27"/>
  <c r="J314" i="27"/>
  <c r="J313" i="27"/>
  <c r="J312" i="27"/>
  <c r="J311" i="27"/>
  <c r="J310" i="27"/>
  <c r="J309" i="27"/>
  <c r="J308" i="27"/>
  <c r="J307" i="27"/>
  <c r="J306" i="27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J78" i="27"/>
  <c r="K78" i="27" s="1"/>
  <c r="I78" i="27"/>
  <c r="M78" i="27" s="1"/>
  <c r="J77" i="27"/>
  <c r="K77" i="27" s="1"/>
  <c r="I77" i="27"/>
  <c r="M77" i="27" s="1"/>
  <c r="J76" i="27"/>
  <c r="K76" i="27" s="1"/>
  <c r="I76" i="27"/>
  <c r="M76" i="27" s="1"/>
  <c r="J75" i="27"/>
  <c r="K75" i="27" s="1"/>
  <c r="I75" i="27"/>
  <c r="M75" i="27" s="1"/>
  <c r="J74" i="27"/>
  <c r="K74" i="27" s="1"/>
  <c r="I74" i="27"/>
  <c r="M74" i="27" s="1"/>
  <c r="J73" i="27"/>
  <c r="K73" i="27" s="1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J69" i="27"/>
  <c r="K69" i="27" s="1"/>
  <c r="I69" i="27"/>
  <c r="M69" i="27" s="1"/>
  <c r="J68" i="27"/>
  <c r="K68" i="27" s="1"/>
  <c r="I68" i="27"/>
  <c r="M68" i="27" s="1"/>
  <c r="J67" i="27"/>
  <c r="K67" i="27" s="1"/>
  <c r="I67" i="27"/>
  <c r="M67" i="27" s="1"/>
  <c r="J66" i="27"/>
  <c r="K66" i="27" s="1"/>
  <c r="I66" i="27"/>
  <c r="M66" i="27" s="1"/>
  <c r="J65" i="27"/>
  <c r="K65" i="27" s="1"/>
  <c r="I65" i="27"/>
  <c r="M65" i="27" s="1"/>
  <c r="B65" i="27"/>
  <c r="A65" i="27"/>
  <c r="J64" i="27"/>
  <c r="K64" i="27" s="1"/>
  <c r="I64" i="27"/>
  <c r="M64" i="27" s="1"/>
  <c r="B64" i="27"/>
  <c r="A64" i="27"/>
  <c r="J63" i="27"/>
  <c r="K63" i="27" s="1"/>
  <c r="I63" i="27"/>
  <c r="M63" i="27" s="1"/>
  <c r="B63" i="27"/>
  <c r="A63" i="27"/>
  <c r="J62" i="27"/>
  <c r="K62" i="27" s="1"/>
  <c r="I62" i="27"/>
  <c r="M62" i="27" s="1"/>
  <c r="B62" i="27"/>
  <c r="A62" i="27"/>
  <c r="J61" i="27"/>
  <c r="K61" i="27" s="1"/>
  <c r="I61" i="27"/>
  <c r="M61" i="27" s="1"/>
  <c r="B61" i="27"/>
  <c r="A61" i="27"/>
  <c r="J60" i="27"/>
  <c r="K60" i="27" s="1"/>
  <c r="I60" i="27"/>
  <c r="M60" i="27" s="1"/>
  <c r="B60" i="27"/>
  <c r="A60" i="27"/>
  <c r="J59" i="27"/>
  <c r="K59" i="27" s="1"/>
  <c r="I59" i="27"/>
  <c r="M59" i="27" s="1"/>
  <c r="B59" i="27"/>
  <c r="A59" i="27"/>
  <c r="J58" i="27"/>
  <c r="K58" i="27" s="1"/>
  <c r="I58" i="27"/>
  <c r="M58" i="27" s="1"/>
  <c r="B58" i="27"/>
  <c r="A58" i="27"/>
  <c r="J57" i="27"/>
  <c r="K57" i="27" s="1"/>
  <c r="I57" i="27"/>
  <c r="M57" i="27" s="1"/>
  <c r="B57" i="27"/>
  <c r="A57" i="27"/>
  <c r="J56" i="27"/>
  <c r="K56" i="27" s="1"/>
  <c r="I56" i="27"/>
  <c r="M56" i="27" s="1"/>
  <c r="B56" i="27"/>
  <c r="A56" i="27"/>
  <c r="J55" i="27"/>
  <c r="K55" i="27" s="1"/>
  <c r="I55" i="27"/>
  <c r="M55" i="27" s="1"/>
  <c r="B55" i="27"/>
  <c r="A55" i="27"/>
  <c r="J54" i="27"/>
  <c r="K54" i="27" s="1"/>
  <c r="I54" i="27"/>
  <c r="M54" i="27" s="1"/>
  <c r="B54" i="27"/>
  <c r="A54" i="27"/>
  <c r="J53" i="27"/>
  <c r="K53" i="27" s="1"/>
  <c r="I53" i="27"/>
  <c r="M53" i="27" s="1"/>
  <c r="B53" i="27"/>
  <c r="A53" i="27"/>
  <c r="J52" i="27"/>
  <c r="K52" i="27" s="1"/>
  <c r="I52" i="27"/>
  <c r="M52" i="27" s="1"/>
  <c r="B52" i="27"/>
  <c r="A52" i="27"/>
  <c r="J51" i="27"/>
  <c r="K51" i="27" s="1"/>
  <c r="I51" i="27"/>
  <c r="M51" i="27" s="1"/>
  <c r="B51" i="27"/>
  <c r="A51" i="27"/>
  <c r="J50" i="27"/>
  <c r="K50" i="27" s="1"/>
  <c r="I50" i="27"/>
  <c r="M50" i="27" s="1"/>
  <c r="B50" i="27"/>
  <c r="A50" i="27"/>
  <c r="J49" i="27"/>
  <c r="K49" i="27" s="1"/>
  <c r="I49" i="27"/>
  <c r="M49" i="27" s="1"/>
  <c r="B49" i="27"/>
  <c r="A49" i="27"/>
  <c r="J48" i="27"/>
  <c r="K48" i="27" s="1"/>
  <c r="I48" i="27"/>
  <c r="M48" i="27" s="1"/>
  <c r="B48" i="27"/>
  <c r="A48" i="27"/>
  <c r="J47" i="27"/>
  <c r="K47" i="27" s="1"/>
  <c r="I47" i="27"/>
  <c r="M47" i="27" s="1"/>
  <c r="B47" i="27"/>
  <c r="A47" i="27"/>
  <c r="J46" i="27"/>
  <c r="K46" i="27" s="1"/>
  <c r="I46" i="27"/>
  <c r="M46" i="27" s="1"/>
  <c r="B46" i="27"/>
  <c r="A46" i="27"/>
  <c r="J45" i="27"/>
  <c r="K45" i="27" s="1"/>
  <c r="I45" i="27"/>
  <c r="M45" i="27" s="1"/>
  <c r="B45" i="27"/>
  <c r="A45" i="27"/>
  <c r="J44" i="27"/>
  <c r="K44" i="27" s="1"/>
  <c r="I44" i="27"/>
  <c r="M44" i="27" s="1"/>
  <c r="B44" i="27"/>
  <c r="A44" i="27"/>
  <c r="J43" i="27"/>
  <c r="K43" i="27" s="1"/>
  <c r="I43" i="27"/>
  <c r="M43" i="27" s="1"/>
  <c r="B43" i="27"/>
  <c r="A43" i="27"/>
  <c r="J42" i="27"/>
  <c r="K42" i="27" s="1"/>
  <c r="I42" i="27"/>
  <c r="M42" i="27" s="1"/>
  <c r="B42" i="27"/>
  <c r="A42" i="27"/>
  <c r="J41" i="27"/>
  <c r="K41" i="27" s="1"/>
  <c r="I41" i="27"/>
  <c r="M41" i="27" s="1"/>
  <c r="B41" i="27"/>
  <c r="A41" i="27"/>
  <c r="J40" i="27"/>
  <c r="K40" i="27" s="1"/>
  <c r="I40" i="27"/>
  <c r="M40" i="27" s="1"/>
  <c r="B40" i="27"/>
  <c r="A40" i="27"/>
  <c r="J39" i="27"/>
  <c r="K39" i="27" s="1"/>
  <c r="I39" i="27"/>
  <c r="M39" i="27" s="1"/>
  <c r="B39" i="27"/>
  <c r="A39" i="27"/>
  <c r="J38" i="27"/>
  <c r="K38" i="27" s="1"/>
  <c r="I38" i="27"/>
  <c r="M38" i="27" s="1"/>
  <c r="F38" i="27" s="1"/>
  <c r="A38" i="27" s="1"/>
  <c r="B38" i="27"/>
  <c r="J37" i="27"/>
  <c r="K37" i="27" s="1"/>
  <c r="I37" i="27"/>
  <c r="M37" i="27" s="1"/>
  <c r="F37" i="27" s="1"/>
  <c r="A37" i="27" s="1"/>
  <c r="B37" i="27"/>
  <c r="J36" i="27"/>
  <c r="K36" i="27" s="1"/>
  <c r="I36" i="27"/>
  <c r="M36" i="27" s="1"/>
  <c r="F36" i="27" s="1"/>
  <c r="A36" i="27" s="1"/>
  <c r="B36" i="27"/>
  <c r="J35" i="27"/>
  <c r="K35" i="27" s="1"/>
  <c r="I35" i="27"/>
  <c r="M35" i="27" s="1"/>
  <c r="F35" i="27" s="1"/>
  <c r="A35" i="27" s="1"/>
  <c r="B35" i="27"/>
  <c r="J34" i="27"/>
  <c r="K34" i="27" s="1"/>
  <c r="I34" i="27"/>
  <c r="M34" i="27" s="1"/>
  <c r="F34" i="27" s="1"/>
  <c r="A34" i="27" s="1"/>
  <c r="B34" i="27"/>
  <c r="J33" i="27"/>
  <c r="K33" i="27" s="1"/>
  <c r="I33" i="27"/>
  <c r="M33" i="27" s="1"/>
  <c r="F33" i="27" s="1"/>
  <c r="A33" i="27" s="1"/>
  <c r="B33" i="27"/>
  <c r="J32" i="27"/>
  <c r="K32" i="27" s="1"/>
  <c r="I32" i="27"/>
  <c r="M32" i="27" s="1"/>
  <c r="F32" i="27" s="1"/>
  <c r="A32" i="27" s="1"/>
  <c r="J31" i="27"/>
  <c r="K31" i="27" s="1"/>
  <c r="I31" i="27"/>
  <c r="M31" i="27" s="1"/>
  <c r="F31" i="27" s="1"/>
  <c r="A31" i="27" s="1"/>
  <c r="J30" i="27"/>
  <c r="K30" i="27" s="1"/>
  <c r="I30" i="27"/>
  <c r="M30" i="27" s="1"/>
  <c r="F30" i="27"/>
  <c r="A30" i="27"/>
  <c r="J29" i="27"/>
  <c r="K29" i="27" s="1"/>
  <c r="I29" i="27"/>
  <c r="M29" i="27" s="1"/>
  <c r="A29" i="27"/>
  <c r="J28" i="27"/>
  <c r="K28" i="27" s="1"/>
  <c r="I28" i="27"/>
  <c r="M28" i="27" s="1"/>
  <c r="A28" i="27"/>
  <c r="J27" i="27"/>
  <c r="K27" i="27" s="1"/>
  <c r="I27" i="27"/>
  <c r="M27" i="27" s="1"/>
  <c r="A27" i="27"/>
  <c r="J26" i="27"/>
  <c r="K26" i="27" s="1"/>
  <c r="I26" i="27"/>
  <c r="M26" i="27" s="1"/>
  <c r="A26" i="27"/>
  <c r="J25" i="27"/>
  <c r="K25" i="27" s="1"/>
  <c r="I25" i="27"/>
  <c r="M25" i="27" s="1"/>
  <c r="A25" i="27"/>
  <c r="J24" i="27"/>
  <c r="K24" i="27" s="1"/>
  <c r="I24" i="27"/>
  <c r="M24" i="27" s="1"/>
  <c r="A24" i="27"/>
  <c r="J23" i="27"/>
  <c r="K23" i="27" s="1"/>
  <c r="I23" i="27"/>
  <c r="M23" i="27" s="1"/>
  <c r="A23" i="27"/>
  <c r="J22" i="27"/>
  <c r="K22" i="27" s="1"/>
  <c r="I22" i="27"/>
  <c r="M22" i="27" s="1"/>
  <c r="A22" i="27"/>
  <c r="J21" i="27"/>
  <c r="K21" i="27" s="1"/>
  <c r="I21" i="27"/>
  <c r="M21" i="27" s="1"/>
  <c r="A21" i="27"/>
  <c r="J20" i="27"/>
  <c r="K20" i="27" s="1"/>
  <c r="I20" i="27"/>
  <c r="M20" i="27" s="1"/>
  <c r="A20" i="27"/>
  <c r="J19" i="27"/>
  <c r="K19" i="27" s="1"/>
  <c r="I19" i="27"/>
  <c r="M19" i="27" s="1"/>
  <c r="A19" i="27"/>
  <c r="J18" i="27"/>
  <c r="K18" i="27" s="1"/>
  <c r="I18" i="27"/>
  <c r="M18" i="27" s="1"/>
  <c r="A18" i="27"/>
  <c r="J17" i="27"/>
  <c r="K17" i="27" s="1"/>
  <c r="I17" i="27"/>
  <c r="M17" i="27" s="1"/>
  <c r="A17" i="27"/>
  <c r="J16" i="27"/>
  <c r="K16" i="27" s="1"/>
  <c r="I16" i="27"/>
  <c r="M16" i="27" s="1"/>
  <c r="A16" i="27"/>
  <c r="J15" i="27"/>
  <c r="K15" i="27" s="1"/>
  <c r="I15" i="27"/>
  <c r="M15" i="27" s="1"/>
  <c r="A15" i="27"/>
  <c r="J14" i="27"/>
  <c r="K14" i="27" s="1"/>
  <c r="I14" i="27"/>
  <c r="M14" i="27" s="1"/>
  <c r="A14" i="27"/>
  <c r="J13" i="27"/>
  <c r="K13" i="27" s="1"/>
  <c r="I13" i="27"/>
  <c r="M13" i="27" s="1"/>
  <c r="A13" i="27"/>
  <c r="J12" i="27"/>
  <c r="K12" i="27" s="1"/>
  <c r="I12" i="27"/>
  <c r="M12" i="27" s="1"/>
  <c r="A12" i="27"/>
  <c r="J11" i="27"/>
  <c r="K11" i="27" s="1"/>
  <c r="I11" i="27"/>
  <c r="M11" i="27" s="1"/>
  <c r="A11" i="27"/>
  <c r="J10" i="27"/>
  <c r="K10" i="27" s="1"/>
  <c r="I10" i="27"/>
  <c r="M10" i="27" s="1"/>
  <c r="A10" i="27"/>
  <c r="J9" i="27"/>
  <c r="K9" i="27" s="1"/>
  <c r="I9" i="27"/>
  <c r="A9" i="27"/>
  <c r="J8" i="27"/>
  <c r="K8" i="27" s="1"/>
  <c r="I8" i="27"/>
  <c r="A8" i="27"/>
  <c r="J7" i="27"/>
  <c r="K7" i="27" s="1"/>
  <c r="I7" i="27"/>
  <c r="A7" i="27"/>
  <c r="J6" i="27"/>
  <c r="K6" i="27" s="1"/>
  <c r="I6" i="27"/>
  <c r="A6" i="27"/>
  <c r="K2" i="27"/>
  <c r="J374" i="26"/>
  <c r="J373" i="26"/>
  <c r="J372" i="26"/>
  <c r="J371" i="26"/>
  <c r="J370" i="26"/>
  <c r="J369" i="26"/>
  <c r="J368" i="26"/>
  <c r="J367" i="26"/>
  <c r="J366" i="26"/>
  <c r="J365" i="26"/>
  <c r="J364" i="26"/>
  <c r="J363" i="26"/>
  <c r="J362" i="26"/>
  <c r="J361" i="26"/>
  <c r="J360" i="26"/>
  <c r="J359" i="26"/>
  <c r="J358" i="26"/>
  <c r="J357" i="26"/>
  <c r="J356" i="26"/>
  <c r="J355" i="26"/>
  <c r="J354" i="26"/>
  <c r="J353" i="26"/>
  <c r="J352" i="26"/>
  <c r="J351" i="26"/>
  <c r="J350" i="26"/>
  <c r="J349" i="26"/>
  <c r="J348" i="26"/>
  <c r="J347" i="26"/>
  <c r="J346" i="26"/>
  <c r="J345" i="26"/>
  <c r="J344" i="26"/>
  <c r="J343" i="26"/>
  <c r="J342" i="26"/>
  <c r="J341" i="26"/>
  <c r="J340" i="26"/>
  <c r="J339" i="26"/>
  <c r="J338" i="26"/>
  <c r="J337" i="26"/>
  <c r="J336" i="26"/>
  <c r="J335" i="26"/>
  <c r="J334" i="26"/>
  <c r="J333" i="26"/>
  <c r="J332" i="26"/>
  <c r="J331" i="26"/>
  <c r="J330" i="26"/>
  <c r="J329" i="26"/>
  <c r="J328" i="26"/>
  <c r="J327" i="26"/>
  <c r="J326" i="26"/>
  <c r="J325" i="26"/>
  <c r="J324" i="26"/>
  <c r="J323" i="26"/>
  <c r="J322" i="26"/>
  <c r="J321" i="26"/>
  <c r="J320" i="26"/>
  <c r="J319" i="26"/>
  <c r="J318" i="26"/>
  <c r="J317" i="26"/>
  <c r="J316" i="26"/>
  <c r="J315" i="26"/>
  <c r="J314" i="26"/>
  <c r="J313" i="26"/>
  <c r="J312" i="26"/>
  <c r="J311" i="26"/>
  <c r="J310" i="26"/>
  <c r="J309" i="26"/>
  <c r="J308" i="26"/>
  <c r="J307" i="26"/>
  <c r="J306" i="26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A65" i="26"/>
  <c r="J64" i="26"/>
  <c r="K64" i="26" s="1"/>
  <c r="I64" i="26"/>
  <c r="M64" i="26" s="1"/>
  <c r="B64" i="26"/>
  <c r="A64" i="26"/>
  <c r="J63" i="26"/>
  <c r="K63" i="26" s="1"/>
  <c r="I63" i="26"/>
  <c r="M63" i="26" s="1"/>
  <c r="B63" i="26"/>
  <c r="A63" i="26"/>
  <c r="J62" i="26"/>
  <c r="K62" i="26" s="1"/>
  <c r="I62" i="26"/>
  <c r="M62" i="26" s="1"/>
  <c r="B62" i="26"/>
  <c r="A62" i="26"/>
  <c r="J61" i="26"/>
  <c r="K61" i="26" s="1"/>
  <c r="I61" i="26"/>
  <c r="M61" i="26" s="1"/>
  <c r="B61" i="26"/>
  <c r="A61" i="26"/>
  <c r="J60" i="26"/>
  <c r="K60" i="26" s="1"/>
  <c r="I60" i="26"/>
  <c r="M60" i="26" s="1"/>
  <c r="B60" i="26"/>
  <c r="A60" i="26"/>
  <c r="J59" i="26"/>
  <c r="K59" i="26" s="1"/>
  <c r="I59" i="26"/>
  <c r="M59" i="26" s="1"/>
  <c r="B59" i="26"/>
  <c r="A59" i="26"/>
  <c r="J58" i="26"/>
  <c r="K58" i="26" s="1"/>
  <c r="I58" i="26"/>
  <c r="M58" i="26" s="1"/>
  <c r="B58" i="26"/>
  <c r="A58" i="26"/>
  <c r="J57" i="26"/>
  <c r="K57" i="26" s="1"/>
  <c r="I57" i="26"/>
  <c r="M57" i="26" s="1"/>
  <c r="B57" i="26"/>
  <c r="A57" i="26"/>
  <c r="J56" i="26"/>
  <c r="K56" i="26" s="1"/>
  <c r="I56" i="26"/>
  <c r="M56" i="26" s="1"/>
  <c r="B56" i="26"/>
  <c r="A56" i="26"/>
  <c r="J55" i="26"/>
  <c r="K55" i="26" s="1"/>
  <c r="I55" i="26"/>
  <c r="M55" i="26" s="1"/>
  <c r="B55" i="26"/>
  <c r="A55" i="26"/>
  <c r="J54" i="26"/>
  <c r="K54" i="26" s="1"/>
  <c r="I54" i="26"/>
  <c r="M54" i="26" s="1"/>
  <c r="B54" i="26"/>
  <c r="A54" i="26"/>
  <c r="J53" i="26"/>
  <c r="K53" i="26" s="1"/>
  <c r="I53" i="26"/>
  <c r="M53" i="26" s="1"/>
  <c r="B53" i="26"/>
  <c r="A53" i="26"/>
  <c r="J52" i="26"/>
  <c r="K52" i="26" s="1"/>
  <c r="I52" i="26"/>
  <c r="M52" i="26" s="1"/>
  <c r="B52" i="26"/>
  <c r="A52" i="26"/>
  <c r="J51" i="26"/>
  <c r="K51" i="26" s="1"/>
  <c r="I51" i="26"/>
  <c r="M51" i="26" s="1"/>
  <c r="B51" i="26"/>
  <c r="A51" i="26"/>
  <c r="J50" i="26"/>
  <c r="K50" i="26" s="1"/>
  <c r="I50" i="26"/>
  <c r="M50" i="26" s="1"/>
  <c r="B50" i="26"/>
  <c r="A50" i="26"/>
  <c r="J49" i="26"/>
  <c r="K49" i="26" s="1"/>
  <c r="I49" i="26"/>
  <c r="M49" i="26" s="1"/>
  <c r="B49" i="26"/>
  <c r="A49" i="26"/>
  <c r="J48" i="26"/>
  <c r="K48" i="26" s="1"/>
  <c r="I48" i="26"/>
  <c r="M48" i="26" s="1"/>
  <c r="B48" i="26"/>
  <c r="A48" i="26"/>
  <c r="J47" i="26"/>
  <c r="K47" i="26" s="1"/>
  <c r="I47" i="26"/>
  <c r="M47" i="26" s="1"/>
  <c r="B47" i="26"/>
  <c r="A47" i="26"/>
  <c r="J46" i="26"/>
  <c r="K46" i="26" s="1"/>
  <c r="I46" i="26"/>
  <c r="M46" i="26" s="1"/>
  <c r="B46" i="26"/>
  <c r="A46" i="26"/>
  <c r="J45" i="26"/>
  <c r="K45" i="26" s="1"/>
  <c r="I45" i="26"/>
  <c r="M45" i="26" s="1"/>
  <c r="B45" i="26"/>
  <c r="A45" i="26"/>
  <c r="J44" i="26"/>
  <c r="K44" i="26" s="1"/>
  <c r="I44" i="26"/>
  <c r="M44" i="26" s="1"/>
  <c r="B44" i="26"/>
  <c r="A44" i="26"/>
  <c r="J43" i="26"/>
  <c r="K43" i="26" s="1"/>
  <c r="I43" i="26"/>
  <c r="M43" i="26" s="1"/>
  <c r="B43" i="26"/>
  <c r="A43" i="26"/>
  <c r="J42" i="26"/>
  <c r="K42" i="26" s="1"/>
  <c r="I42" i="26"/>
  <c r="M42" i="26" s="1"/>
  <c r="B42" i="26"/>
  <c r="A42" i="26"/>
  <c r="J41" i="26"/>
  <c r="K41" i="26" s="1"/>
  <c r="I41" i="26"/>
  <c r="M41" i="26" s="1"/>
  <c r="B41" i="26"/>
  <c r="A41" i="26"/>
  <c r="J40" i="26"/>
  <c r="K40" i="26" s="1"/>
  <c r="I40" i="26"/>
  <c r="M40" i="26" s="1"/>
  <c r="B40" i="26"/>
  <c r="A40" i="26"/>
  <c r="J39" i="26"/>
  <c r="K39" i="26" s="1"/>
  <c r="I39" i="26"/>
  <c r="M39" i="26" s="1"/>
  <c r="B39" i="26"/>
  <c r="A39" i="26"/>
  <c r="J38" i="26"/>
  <c r="K38" i="26" s="1"/>
  <c r="I38" i="26"/>
  <c r="M38" i="26" s="1"/>
  <c r="F38" i="26"/>
  <c r="A38" i="26" s="1"/>
  <c r="B38" i="26"/>
  <c r="J37" i="26"/>
  <c r="K37" i="26" s="1"/>
  <c r="I37" i="26"/>
  <c r="M37" i="26" s="1"/>
  <c r="F37" i="26" s="1"/>
  <c r="A37" i="26" s="1"/>
  <c r="B37" i="26"/>
  <c r="J36" i="26"/>
  <c r="K36" i="26" s="1"/>
  <c r="I36" i="26"/>
  <c r="M36" i="26" s="1"/>
  <c r="F36" i="26" s="1"/>
  <c r="A36" i="26" s="1"/>
  <c r="B36" i="26"/>
  <c r="J35" i="26"/>
  <c r="K35" i="26" s="1"/>
  <c r="I35" i="26"/>
  <c r="M35" i="26" s="1"/>
  <c r="F35" i="26"/>
  <c r="A35" i="26" s="1"/>
  <c r="B35" i="26"/>
  <c r="J34" i="26"/>
  <c r="K34" i="26" s="1"/>
  <c r="I34" i="26"/>
  <c r="M34" i="26" s="1"/>
  <c r="F34" i="26" s="1"/>
  <c r="A34" i="26" s="1"/>
  <c r="B34" i="26"/>
  <c r="J33" i="26"/>
  <c r="K33" i="26" s="1"/>
  <c r="I33" i="26"/>
  <c r="M33" i="26" s="1"/>
  <c r="F33" i="26" s="1"/>
  <c r="A33" i="26" s="1"/>
  <c r="B33" i="26"/>
  <c r="J32" i="26"/>
  <c r="K32" i="26" s="1"/>
  <c r="I32" i="26"/>
  <c r="M32" i="26" s="1"/>
  <c r="F32" i="26" s="1"/>
  <c r="A32" i="26" s="1"/>
  <c r="J31" i="26"/>
  <c r="K31" i="26" s="1"/>
  <c r="I31" i="26"/>
  <c r="M31" i="26" s="1"/>
  <c r="F31" i="26" s="1"/>
  <c r="A31" i="26" s="1"/>
  <c r="J30" i="26"/>
  <c r="K30" i="26" s="1"/>
  <c r="I30" i="26"/>
  <c r="M30" i="26" s="1"/>
  <c r="F30" i="26" s="1"/>
  <c r="A30" i="26" s="1"/>
  <c r="J29" i="26"/>
  <c r="K29" i="26" s="1"/>
  <c r="I29" i="26"/>
  <c r="M29" i="26" s="1"/>
  <c r="A29" i="26"/>
  <c r="J28" i="26"/>
  <c r="K28" i="26" s="1"/>
  <c r="I28" i="26"/>
  <c r="M28" i="26" s="1"/>
  <c r="A28" i="26"/>
  <c r="J27" i="26"/>
  <c r="K27" i="26" s="1"/>
  <c r="I27" i="26"/>
  <c r="M27" i="26" s="1"/>
  <c r="A27" i="26"/>
  <c r="J26" i="26"/>
  <c r="K26" i="26" s="1"/>
  <c r="I26" i="26"/>
  <c r="M26" i="26" s="1"/>
  <c r="A26" i="26"/>
  <c r="J25" i="26"/>
  <c r="K25" i="26" s="1"/>
  <c r="I25" i="26"/>
  <c r="M25" i="26" s="1"/>
  <c r="A25" i="26"/>
  <c r="J24" i="26"/>
  <c r="K24" i="26" s="1"/>
  <c r="I24" i="26"/>
  <c r="M24" i="26" s="1"/>
  <c r="A24" i="26"/>
  <c r="J23" i="26"/>
  <c r="K23" i="26" s="1"/>
  <c r="I23" i="26"/>
  <c r="M23" i="26" s="1"/>
  <c r="A23" i="26"/>
  <c r="J22" i="26"/>
  <c r="K22" i="26" s="1"/>
  <c r="I22" i="26"/>
  <c r="M22" i="26" s="1"/>
  <c r="A22" i="26"/>
  <c r="J21" i="26"/>
  <c r="K21" i="26" s="1"/>
  <c r="I21" i="26"/>
  <c r="M21" i="26" s="1"/>
  <c r="A21" i="26"/>
  <c r="J20" i="26"/>
  <c r="K20" i="26" s="1"/>
  <c r="I20" i="26"/>
  <c r="M20" i="26" s="1"/>
  <c r="A20" i="26"/>
  <c r="J19" i="26"/>
  <c r="K19" i="26" s="1"/>
  <c r="I19" i="26"/>
  <c r="M19" i="26" s="1"/>
  <c r="A19" i="26"/>
  <c r="J18" i="26"/>
  <c r="K18" i="26" s="1"/>
  <c r="I18" i="26"/>
  <c r="M18" i="26" s="1"/>
  <c r="A18" i="26"/>
  <c r="J17" i="26"/>
  <c r="K17" i="26" s="1"/>
  <c r="I17" i="26"/>
  <c r="M17" i="26" s="1"/>
  <c r="A17" i="26"/>
  <c r="J16" i="26"/>
  <c r="K16" i="26" s="1"/>
  <c r="I16" i="26"/>
  <c r="M16" i="26" s="1"/>
  <c r="A16" i="26"/>
  <c r="J15" i="26"/>
  <c r="K15" i="26" s="1"/>
  <c r="I15" i="26"/>
  <c r="M15" i="26" s="1"/>
  <c r="A15" i="26"/>
  <c r="J14" i="26"/>
  <c r="K14" i="26" s="1"/>
  <c r="I14" i="26"/>
  <c r="M14" i="26" s="1"/>
  <c r="A14" i="26"/>
  <c r="J13" i="26"/>
  <c r="K13" i="26" s="1"/>
  <c r="I13" i="26"/>
  <c r="M13" i="26" s="1"/>
  <c r="A13" i="26"/>
  <c r="J12" i="26"/>
  <c r="K12" i="26" s="1"/>
  <c r="I12" i="26"/>
  <c r="M12" i="26" s="1"/>
  <c r="A12" i="26"/>
  <c r="J11" i="26"/>
  <c r="K11" i="26" s="1"/>
  <c r="I11" i="26"/>
  <c r="M11" i="26" s="1"/>
  <c r="A11" i="26"/>
  <c r="J10" i="26"/>
  <c r="K10" i="26" s="1"/>
  <c r="I10" i="26"/>
  <c r="M10" i="26" s="1"/>
  <c r="A10" i="26"/>
  <c r="J9" i="26"/>
  <c r="K9" i="26" s="1"/>
  <c r="I9" i="26"/>
  <c r="A9" i="26"/>
  <c r="J8" i="26"/>
  <c r="K8" i="26" s="1"/>
  <c r="I8" i="26"/>
  <c r="A8" i="26"/>
  <c r="J7" i="26"/>
  <c r="K7" i="26" s="1"/>
  <c r="I7" i="26"/>
  <c r="A7" i="26"/>
  <c r="J6" i="26"/>
  <c r="K6" i="26" s="1"/>
  <c r="I6" i="26"/>
  <c r="A6" i="26"/>
  <c r="K2" i="26"/>
  <c r="J374" i="25"/>
  <c r="J373" i="25"/>
  <c r="J372" i="25"/>
  <c r="J371" i="25"/>
  <c r="J370" i="25"/>
  <c r="J369" i="25"/>
  <c r="J368" i="25"/>
  <c r="J367" i="25"/>
  <c r="J366" i="25"/>
  <c r="J365" i="25"/>
  <c r="J364" i="25"/>
  <c r="J363" i="25"/>
  <c r="J362" i="25"/>
  <c r="J361" i="25"/>
  <c r="J360" i="25"/>
  <c r="J359" i="25"/>
  <c r="J358" i="25"/>
  <c r="J357" i="25"/>
  <c r="J356" i="25"/>
  <c r="J355" i="25"/>
  <c r="J354" i="25"/>
  <c r="J353" i="25"/>
  <c r="J352" i="25"/>
  <c r="J351" i="25"/>
  <c r="J350" i="25"/>
  <c r="J349" i="25"/>
  <c r="J348" i="25"/>
  <c r="J347" i="25"/>
  <c r="J346" i="25"/>
  <c r="J345" i="25"/>
  <c r="J344" i="25"/>
  <c r="J343" i="25"/>
  <c r="J342" i="25"/>
  <c r="J341" i="25"/>
  <c r="J340" i="25"/>
  <c r="J339" i="25"/>
  <c r="J338" i="25"/>
  <c r="J337" i="25"/>
  <c r="J336" i="25"/>
  <c r="J335" i="25"/>
  <c r="J334" i="25"/>
  <c r="J333" i="25"/>
  <c r="J332" i="25"/>
  <c r="J331" i="25"/>
  <c r="J330" i="25"/>
  <c r="J329" i="25"/>
  <c r="J328" i="25"/>
  <c r="J327" i="25"/>
  <c r="J326" i="25"/>
  <c r="J325" i="25"/>
  <c r="J324" i="25"/>
  <c r="J323" i="25"/>
  <c r="J322" i="25"/>
  <c r="J321" i="25"/>
  <c r="J320" i="25"/>
  <c r="J319" i="25"/>
  <c r="J318" i="25"/>
  <c r="J317" i="25"/>
  <c r="J316" i="25"/>
  <c r="J315" i="25"/>
  <c r="J314" i="25"/>
  <c r="J313" i="25"/>
  <c r="J312" i="25"/>
  <c r="J311" i="25"/>
  <c r="J310" i="25"/>
  <c r="J309" i="25"/>
  <c r="J308" i="25"/>
  <c r="J307" i="25"/>
  <c r="J306" i="25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A65" i="25"/>
  <c r="J64" i="25"/>
  <c r="K64" i="25" s="1"/>
  <c r="I64" i="25"/>
  <c r="M64" i="25" s="1"/>
  <c r="B64" i="25"/>
  <c r="A64" i="25"/>
  <c r="J63" i="25"/>
  <c r="K63" i="25" s="1"/>
  <c r="I63" i="25"/>
  <c r="M63" i="25" s="1"/>
  <c r="B63" i="25"/>
  <c r="A63" i="25"/>
  <c r="J62" i="25"/>
  <c r="K62" i="25" s="1"/>
  <c r="I62" i="25"/>
  <c r="M62" i="25" s="1"/>
  <c r="B62" i="25"/>
  <c r="A62" i="25"/>
  <c r="J61" i="25"/>
  <c r="K61" i="25" s="1"/>
  <c r="I61" i="25"/>
  <c r="M61" i="25" s="1"/>
  <c r="B61" i="25"/>
  <c r="A61" i="25"/>
  <c r="J60" i="25"/>
  <c r="K60" i="25" s="1"/>
  <c r="I60" i="25"/>
  <c r="M60" i="25" s="1"/>
  <c r="B60" i="25"/>
  <c r="A60" i="25"/>
  <c r="J59" i="25"/>
  <c r="K59" i="25" s="1"/>
  <c r="I59" i="25"/>
  <c r="M59" i="25" s="1"/>
  <c r="B59" i="25"/>
  <c r="A59" i="25"/>
  <c r="J58" i="25"/>
  <c r="K58" i="25" s="1"/>
  <c r="I58" i="25"/>
  <c r="M58" i="25" s="1"/>
  <c r="B58" i="25"/>
  <c r="A58" i="25"/>
  <c r="J57" i="25"/>
  <c r="K57" i="25" s="1"/>
  <c r="I57" i="25"/>
  <c r="M57" i="25" s="1"/>
  <c r="B57" i="25"/>
  <c r="A57" i="25"/>
  <c r="J56" i="25"/>
  <c r="K56" i="25" s="1"/>
  <c r="I56" i="25"/>
  <c r="M56" i="25" s="1"/>
  <c r="B56" i="25"/>
  <c r="A56" i="25"/>
  <c r="J55" i="25"/>
  <c r="K55" i="25" s="1"/>
  <c r="I55" i="25"/>
  <c r="M55" i="25" s="1"/>
  <c r="B55" i="25"/>
  <c r="A55" i="25"/>
  <c r="J54" i="25"/>
  <c r="K54" i="25" s="1"/>
  <c r="I54" i="25"/>
  <c r="M54" i="25" s="1"/>
  <c r="B54" i="25"/>
  <c r="A54" i="25"/>
  <c r="J53" i="25"/>
  <c r="K53" i="25" s="1"/>
  <c r="I53" i="25"/>
  <c r="M53" i="25" s="1"/>
  <c r="B53" i="25"/>
  <c r="A53" i="25"/>
  <c r="J52" i="25"/>
  <c r="K52" i="25" s="1"/>
  <c r="I52" i="25"/>
  <c r="M52" i="25" s="1"/>
  <c r="B52" i="25"/>
  <c r="A52" i="25"/>
  <c r="J51" i="25"/>
  <c r="K51" i="25" s="1"/>
  <c r="I51" i="25"/>
  <c r="M51" i="25" s="1"/>
  <c r="B51" i="25"/>
  <c r="A51" i="25"/>
  <c r="J50" i="25"/>
  <c r="K50" i="25" s="1"/>
  <c r="I50" i="25"/>
  <c r="M50" i="25" s="1"/>
  <c r="B50" i="25"/>
  <c r="A50" i="25"/>
  <c r="J49" i="25"/>
  <c r="K49" i="25" s="1"/>
  <c r="I49" i="25"/>
  <c r="M49" i="25" s="1"/>
  <c r="B49" i="25"/>
  <c r="A49" i="25"/>
  <c r="J48" i="25"/>
  <c r="K48" i="25" s="1"/>
  <c r="I48" i="25"/>
  <c r="M48" i="25" s="1"/>
  <c r="B48" i="25"/>
  <c r="A48" i="25"/>
  <c r="J47" i="25"/>
  <c r="K47" i="25" s="1"/>
  <c r="I47" i="25"/>
  <c r="M47" i="25" s="1"/>
  <c r="B47" i="25"/>
  <c r="A47" i="25"/>
  <c r="J46" i="25"/>
  <c r="K46" i="25" s="1"/>
  <c r="I46" i="25"/>
  <c r="M46" i="25" s="1"/>
  <c r="B46" i="25"/>
  <c r="A46" i="25"/>
  <c r="J45" i="25"/>
  <c r="K45" i="25" s="1"/>
  <c r="I45" i="25"/>
  <c r="M45" i="25" s="1"/>
  <c r="B45" i="25"/>
  <c r="A45" i="25"/>
  <c r="J44" i="25"/>
  <c r="K44" i="25" s="1"/>
  <c r="I44" i="25"/>
  <c r="M44" i="25" s="1"/>
  <c r="B44" i="25"/>
  <c r="A44" i="25"/>
  <c r="J43" i="25"/>
  <c r="K43" i="25" s="1"/>
  <c r="I43" i="25"/>
  <c r="M43" i="25" s="1"/>
  <c r="B43" i="25"/>
  <c r="A43" i="25"/>
  <c r="J42" i="25"/>
  <c r="K42" i="25" s="1"/>
  <c r="I42" i="25"/>
  <c r="M42" i="25" s="1"/>
  <c r="B42" i="25"/>
  <c r="A42" i="25"/>
  <c r="J41" i="25"/>
  <c r="K41" i="25" s="1"/>
  <c r="I41" i="25"/>
  <c r="M41" i="25" s="1"/>
  <c r="B41" i="25"/>
  <c r="A41" i="25"/>
  <c r="J40" i="25"/>
  <c r="K40" i="25" s="1"/>
  <c r="I40" i="25"/>
  <c r="M40" i="25" s="1"/>
  <c r="B40" i="25"/>
  <c r="A40" i="25"/>
  <c r="J39" i="25"/>
  <c r="K39" i="25" s="1"/>
  <c r="I39" i="25"/>
  <c r="M39" i="25" s="1"/>
  <c r="B39" i="25"/>
  <c r="A39" i="25"/>
  <c r="J38" i="25"/>
  <c r="K38" i="25" s="1"/>
  <c r="I38" i="25"/>
  <c r="M38" i="25" s="1"/>
  <c r="F38" i="25" s="1"/>
  <c r="A38" i="25" s="1"/>
  <c r="B38" i="25"/>
  <c r="J37" i="25"/>
  <c r="K37" i="25" s="1"/>
  <c r="I37" i="25"/>
  <c r="M37" i="25" s="1"/>
  <c r="F37" i="25" s="1"/>
  <c r="A37" i="25" s="1"/>
  <c r="B37" i="25"/>
  <c r="J36" i="25"/>
  <c r="K36" i="25" s="1"/>
  <c r="I36" i="25"/>
  <c r="M36" i="25" s="1"/>
  <c r="F36" i="25" s="1"/>
  <c r="A36" i="25" s="1"/>
  <c r="B36" i="25"/>
  <c r="J35" i="25"/>
  <c r="K35" i="25" s="1"/>
  <c r="I35" i="25"/>
  <c r="M35" i="25" s="1"/>
  <c r="F35" i="25" s="1"/>
  <c r="A35" i="25" s="1"/>
  <c r="B35" i="25"/>
  <c r="J34" i="25"/>
  <c r="K34" i="25" s="1"/>
  <c r="I34" i="25"/>
  <c r="M34" i="25" s="1"/>
  <c r="F34" i="25" s="1"/>
  <c r="A34" i="25" s="1"/>
  <c r="B34" i="25"/>
  <c r="J33" i="25"/>
  <c r="K33" i="25" s="1"/>
  <c r="I33" i="25"/>
  <c r="M33" i="25" s="1"/>
  <c r="F33" i="25" s="1"/>
  <c r="A33" i="25" s="1"/>
  <c r="B33" i="25"/>
  <c r="J32" i="25"/>
  <c r="K32" i="25" s="1"/>
  <c r="I32" i="25"/>
  <c r="M32" i="25" s="1"/>
  <c r="F32" i="25" s="1"/>
  <c r="A32" i="25" s="1"/>
  <c r="J31" i="25"/>
  <c r="K31" i="25" s="1"/>
  <c r="I31" i="25"/>
  <c r="M31" i="25" s="1"/>
  <c r="F31" i="25" s="1"/>
  <c r="A31" i="25" s="1"/>
  <c r="J30" i="25"/>
  <c r="K30" i="25" s="1"/>
  <c r="I30" i="25"/>
  <c r="M30" i="25" s="1"/>
  <c r="F30" i="25" s="1"/>
  <c r="A30" i="25" s="1"/>
  <c r="J29" i="25"/>
  <c r="K29" i="25" s="1"/>
  <c r="I29" i="25"/>
  <c r="M29" i="25" s="1"/>
  <c r="A29" i="25"/>
  <c r="J28" i="25"/>
  <c r="K28" i="25" s="1"/>
  <c r="I28" i="25"/>
  <c r="M28" i="25" s="1"/>
  <c r="A28" i="25" s="1"/>
  <c r="J27" i="25"/>
  <c r="K27" i="25" s="1"/>
  <c r="I27" i="25"/>
  <c r="M27" i="25" s="1"/>
  <c r="A27" i="25"/>
  <c r="J26" i="25"/>
  <c r="K26" i="25" s="1"/>
  <c r="I26" i="25"/>
  <c r="M26" i="25" s="1"/>
  <c r="A26" i="25" s="1"/>
  <c r="J25" i="25"/>
  <c r="K25" i="25" s="1"/>
  <c r="I25" i="25"/>
  <c r="M25" i="25" s="1"/>
  <c r="A25" i="25"/>
  <c r="J24" i="25"/>
  <c r="K24" i="25" s="1"/>
  <c r="I24" i="25"/>
  <c r="J23" i="25"/>
  <c r="K23" i="25" s="1"/>
  <c r="I23" i="25"/>
  <c r="M23" i="25" s="1"/>
  <c r="A23" i="25"/>
  <c r="J22" i="25"/>
  <c r="K22" i="25" s="1"/>
  <c r="I22" i="25"/>
  <c r="J21" i="25"/>
  <c r="K21" i="25" s="1"/>
  <c r="I21" i="25"/>
  <c r="M21" i="25" s="1"/>
  <c r="A21" i="25"/>
  <c r="J20" i="25"/>
  <c r="K20" i="25" s="1"/>
  <c r="I20" i="25"/>
  <c r="M20" i="25" s="1"/>
  <c r="A20" i="25" s="1"/>
  <c r="J19" i="25"/>
  <c r="K19" i="25" s="1"/>
  <c r="I19" i="25"/>
  <c r="M19" i="25" s="1"/>
  <c r="A19" i="25"/>
  <c r="J18" i="25"/>
  <c r="K18" i="25" s="1"/>
  <c r="I18" i="25"/>
  <c r="M18" i="25" s="1"/>
  <c r="A18" i="25" s="1"/>
  <c r="J17" i="25"/>
  <c r="K17" i="25" s="1"/>
  <c r="I17" i="25"/>
  <c r="M17" i="25" s="1"/>
  <c r="A17" i="25"/>
  <c r="J16" i="25"/>
  <c r="K16" i="25" s="1"/>
  <c r="I16" i="25"/>
  <c r="J15" i="25"/>
  <c r="K15" i="25" s="1"/>
  <c r="I15" i="25"/>
  <c r="J14" i="25"/>
  <c r="K14" i="25" s="1"/>
  <c r="I14" i="25"/>
  <c r="J13" i="25"/>
  <c r="K13" i="25" s="1"/>
  <c r="I13" i="25"/>
  <c r="J12" i="25"/>
  <c r="K12" i="25" s="1"/>
  <c r="I12" i="25"/>
  <c r="M12" i="25" s="1"/>
  <c r="J11" i="25"/>
  <c r="K11" i="25" s="1"/>
  <c r="I11" i="25"/>
  <c r="M11" i="25" s="1"/>
  <c r="F11" i="25" s="1"/>
  <c r="A11" i="25"/>
  <c r="J10" i="25"/>
  <c r="K10" i="25" s="1"/>
  <c r="I10" i="25"/>
  <c r="J9" i="25"/>
  <c r="K9" i="25" s="1"/>
  <c r="I9" i="25"/>
  <c r="J8" i="25"/>
  <c r="K8" i="25" s="1"/>
  <c r="I8" i="25"/>
  <c r="J7" i="25"/>
  <c r="K7" i="25" s="1"/>
  <c r="I7" i="25"/>
  <c r="J6" i="25"/>
  <c r="K6" i="25" s="1"/>
  <c r="I6" i="25"/>
  <c r="K2" i="25"/>
  <c r="L8" i="25" s="1"/>
  <c r="J374" i="24"/>
  <c r="J373" i="24"/>
  <c r="J372" i="24"/>
  <c r="J371" i="24"/>
  <c r="J370" i="24"/>
  <c r="J369" i="24"/>
  <c r="J368" i="24"/>
  <c r="J367" i="24"/>
  <c r="J366" i="24"/>
  <c r="J365" i="24"/>
  <c r="J364" i="24"/>
  <c r="J363" i="24"/>
  <c r="J362" i="24"/>
  <c r="J361" i="24"/>
  <c r="J360" i="24"/>
  <c r="J359" i="24"/>
  <c r="J358" i="24"/>
  <c r="J357" i="24"/>
  <c r="J356" i="24"/>
  <c r="J355" i="24"/>
  <c r="J354" i="24"/>
  <c r="J353" i="24"/>
  <c r="J352" i="24"/>
  <c r="J351" i="24"/>
  <c r="J350" i="24"/>
  <c r="J349" i="24"/>
  <c r="J348" i="24"/>
  <c r="J347" i="24"/>
  <c r="J346" i="24"/>
  <c r="J345" i="24"/>
  <c r="J344" i="24"/>
  <c r="J343" i="24"/>
  <c r="J342" i="24"/>
  <c r="J341" i="24"/>
  <c r="J340" i="24"/>
  <c r="J339" i="24"/>
  <c r="J338" i="24"/>
  <c r="J337" i="24"/>
  <c r="J336" i="24"/>
  <c r="J335" i="24"/>
  <c r="J334" i="24"/>
  <c r="J333" i="24"/>
  <c r="J332" i="24"/>
  <c r="J331" i="24"/>
  <c r="J330" i="24"/>
  <c r="J329" i="24"/>
  <c r="J328" i="24"/>
  <c r="J327" i="24"/>
  <c r="J326" i="24"/>
  <c r="J325" i="24"/>
  <c r="J324" i="24"/>
  <c r="J323" i="24"/>
  <c r="J322" i="24"/>
  <c r="J321" i="24"/>
  <c r="J320" i="24"/>
  <c r="J319" i="24"/>
  <c r="J318" i="24"/>
  <c r="J317" i="24"/>
  <c r="J316" i="24"/>
  <c r="J315" i="24"/>
  <c r="J314" i="24"/>
  <c r="J313" i="24"/>
  <c r="J312" i="24"/>
  <c r="J311" i="24"/>
  <c r="J310" i="24"/>
  <c r="J309" i="24"/>
  <c r="J308" i="24"/>
  <c r="J307" i="24"/>
  <c r="J306" i="24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J74" i="24"/>
  <c r="K74" i="24" s="1"/>
  <c r="I74" i="24"/>
  <c r="M74" i="24" s="1"/>
  <c r="J73" i="24"/>
  <c r="K73" i="24" s="1"/>
  <c r="I73" i="24"/>
  <c r="M73" i="24" s="1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A65" i="24"/>
  <c r="J64" i="24"/>
  <c r="K64" i="24" s="1"/>
  <c r="I64" i="24"/>
  <c r="M64" i="24" s="1"/>
  <c r="B64" i="24"/>
  <c r="A64" i="24"/>
  <c r="J63" i="24"/>
  <c r="K63" i="24" s="1"/>
  <c r="I63" i="24"/>
  <c r="M63" i="24" s="1"/>
  <c r="B63" i="24"/>
  <c r="A63" i="24"/>
  <c r="J62" i="24"/>
  <c r="K62" i="24" s="1"/>
  <c r="I62" i="24"/>
  <c r="M62" i="24" s="1"/>
  <c r="B62" i="24"/>
  <c r="A62" i="24"/>
  <c r="J61" i="24"/>
  <c r="K61" i="24" s="1"/>
  <c r="I61" i="24"/>
  <c r="M61" i="24" s="1"/>
  <c r="B61" i="24"/>
  <c r="A61" i="24"/>
  <c r="J60" i="24"/>
  <c r="K60" i="24" s="1"/>
  <c r="I60" i="24"/>
  <c r="M60" i="24" s="1"/>
  <c r="B60" i="24"/>
  <c r="A60" i="24"/>
  <c r="J59" i="24"/>
  <c r="K59" i="24" s="1"/>
  <c r="I59" i="24"/>
  <c r="M59" i="24" s="1"/>
  <c r="B59" i="24"/>
  <c r="A59" i="24"/>
  <c r="J58" i="24"/>
  <c r="K58" i="24" s="1"/>
  <c r="I58" i="24"/>
  <c r="M58" i="24" s="1"/>
  <c r="B58" i="24"/>
  <c r="A58" i="24"/>
  <c r="J57" i="24"/>
  <c r="K57" i="24" s="1"/>
  <c r="I57" i="24"/>
  <c r="M57" i="24" s="1"/>
  <c r="B57" i="24"/>
  <c r="A57" i="24"/>
  <c r="J56" i="24"/>
  <c r="K56" i="24" s="1"/>
  <c r="I56" i="24"/>
  <c r="M56" i="24" s="1"/>
  <c r="B56" i="24"/>
  <c r="A56" i="24"/>
  <c r="J55" i="24"/>
  <c r="K55" i="24" s="1"/>
  <c r="I55" i="24"/>
  <c r="M55" i="24" s="1"/>
  <c r="B55" i="24"/>
  <c r="A55" i="24"/>
  <c r="J54" i="24"/>
  <c r="K54" i="24" s="1"/>
  <c r="I54" i="24"/>
  <c r="M54" i="24" s="1"/>
  <c r="B54" i="24"/>
  <c r="A54" i="24"/>
  <c r="J53" i="24"/>
  <c r="K53" i="24" s="1"/>
  <c r="I53" i="24"/>
  <c r="M53" i="24" s="1"/>
  <c r="B53" i="24"/>
  <c r="A53" i="24"/>
  <c r="J52" i="24"/>
  <c r="K52" i="24" s="1"/>
  <c r="I52" i="24"/>
  <c r="M52" i="24" s="1"/>
  <c r="B52" i="24"/>
  <c r="A52" i="24"/>
  <c r="J51" i="24"/>
  <c r="K51" i="24" s="1"/>
  <c r="I51" i="24"/>
  <c r="M51" i="24" s="1"/>
  <c r="B51" i="24"/>
  <c r="A51" i="24"/>
  <c r="J50" i="24"/>
  <c r="K50" i="24" s="1"/>
  <c r="I50" i="24"/>
  <c r="M50" i="24" s="1"/>
  <c r="B50" i="24"/>
  <c r="A50" i="24"/>
  <c r="J49" i="24"/>
  <c r="K49" i="24" s="1"/>
  <c r="I49" i="24"/>
  <c r="M49" i="24" s="1"/>
  <c r="B49" i="24"/>
  <c r="A49" i="24"/>
  <c r="J48" i="24"/>
  <c r="K48" i="24" s="1"/>
  <c r="I48" i="24"/>
  <c r="M48" i="24" s="1"/>
  <c r="B48" i="24"/>
  <c r="A48" i="24"/>
  <c r="J47" i="24"/>
  <c r="K47" i="24" s="1"/>
  <c r="I47" i="24"/>
  <c r="M47" i="24" s="1"/>
  <c r="B47" i="24"/>
  <c r="A47" i="24"/>
  <c r="J46" i="24"/>
  <c r="K46" i="24" s="1"/>
  <c r="I46" i="24"/>
  <c r="M46" i="24" s="1"/>
  <c r="B46" i="24"/>
  <c r="A46" i="24"/>
  <c r="J45" i="24"/>
  <c r="K45" i="24" s="1"/>
  <c r="I45" i="24"/>
  <c r="M45" i="24" s="1"/>
  <c r="B45" i="24"/>
  <c r="A45" i="24"/>
  <c r="J44" i="24"/>
  <c r="K44" i="24" s="1"/>
  <c r="I44" i="24"/>
  <c r="M44" i="24" s="1"/>
  <c r="B44" i="24"/>
  <c r="A44" i="24"/>
  <c r="J43" i="24"/>
  <c r="K43" i="24" s="1"/>
  <c r="I43" i="24"/>
  <c r="M43" i="24" s="1"/>
  <c r="B43" i="24"/>
  <c r="A43" i="24"/>
  <c r="J42" i="24"/>
  <c r="K42" i="24" s="1"/>
  <c r="I42" i="24"/>
  <c r="M42" i="24" s="1"/>
  <c r="B42" i="24"/>
  <c r="A42" i="24"/>
  <c r="J41" i="24"/>
  <c r="K41" i="24" s="1"/>
  <c r="I41" i="24"/>
  <c r="M41" i="24" s="1"/>
  <c r="B41" i="24"/>
  <c r="A41" i="24"/>
  <c r="J40" i="24"/>
  <c r="K40" i="24" s="1"/>
  <c r="I40" i="24"/>
  <c r="M40" i="24" s="1"/>
  <c r="B40" i="24"/>
  <c r="A40" i="24"/>
  <c r="J39" i="24"/>
  <c r="K39" i="24" s="1"/>
  <c r="I39" i="24"/>
  <c r="M39" i="24" s="1"/>
  <c r="B39" i="24"/>
  <c r="A39" i="24"/>
  <c r="J38" i="24"/>
  <c r="K38" i="24" s="1"/>
  <c r="I38" i="24"/>
  <c r="M38" i="24" s="1"/>
  <c r="F38" i="24" s="1"/>
  <c r="B38" i="24"/>
  <c r="A38" i="24"/>
  <c r="J37" i="24"/>
  <c r="K37" i="24" s="1"/>
  <c r="I37" i="24"/>
  <c r="M37" i="24" s="1"/>
  <c r="F37" i="24" s="1"/>
  <c r="B37" i="24"/>
  <c r="A37" i="24"/>
  <c r="J36" i="24"/>
  <c r="K36" i="24" s="1"/>
  <c r="I36" i="24"/>
  <c r="M36" i="24" s="1"/>
  <c r="F36" i="24" s="1"/>
  <c r="B36" i="24"/>
  <c r="A36" i="24"/>
  <c r="J35" i="24"/>
  <c r="K35" i="24" s="1"/>
  <c r="I35" i="24"/>
  <c r="M35" i="24" s="1"/>
  <c r="F35" i="24" s="1"/>
  <c r="B35" i="24"/>
  <c r="A35" i="24"/>
  <c r="J34" i="24"/>
  <c r="K34" i="24" s="1"/>
  <c r="I34" i="24"/>
  <c r="M34" i="24" s="1"/>
  <c r="F34" i="24" s="1"/>
  <c r="B34" i="24"/>
  <c r="A34" i="24"/>
  <c r="J33" i="24"/>
  <c r="K33" i="24" s="1"/>
  <c r="I33" i="24"/>
  <c r="M33" i="24" s="1"/>
  <c r="F33" i="24" s="1"/>
  <c r="B33" i="24"/>
  <c r="A33" i="24"/>
  <c r="J32" i="24"/>
  <c r="K32" i="24" s="1"/>
  <c r="I32" i="24"/>
  <c r="J31" i="24"/>
  <c r="K31" i="24" s="1"/>
  <c r="I31" i="24"/>
  <c r="M31" i="24" s="1"/>
  <c r="F31" i="24" s="1"/>
  <c r="A31" i="24" s="1"/>
  <c r="J30" i="24"/>
  <c r="K30" i="24" s="1"/>
  <c r="I30" i="24"/>
  <c r="J29" i="24"/>
  <c r="K29" i="24" s="1"/>
  <c r="I29" i="24"/>
  <c r="M29" i="24" s="1"/>
  <c r="F29" i="24" s="1"/>
  <c r="A29" i="24"/>
  <c r="J28" i="24"/>
  <c r="K28" i="24" s="1"/>
  <c r="I28" i="24"/>
  <c r="J27" i="24"/>
  <c r="K27" i="24" s="1"/>
  <c r="I27" i="24"/>
  <c r="J26" i="24"/>
  <c r="K26" i="24" s="1"/>
  <c r="I26" i="24"/>
  <c r="J25" i="24"/>
  <c r="K25" i="24" s="1"/>
  <c r="I25" i="24"/>
  <c r="J24" i="24"/>
  <c r="K24" i="24" s="1"/>
  <c r="I24" i="24"/>
  <c r="J23" i="24"/>
  <c r="K23" i="24" s="1"/>
  <c r="I23" i="24"/>
  <c r="J22" i="24"/>
  <c r="K22" i="24" s="1"/>
  <c r="I22" i="24"/>
  <c r="J21" i="24"/>
  <c r="K21" i="24" s="1"/>
  <c r="I21" i="24"/>
  <c r="M21" i="24" s="1"/>
  <c r="F21" i="24" s="1"/>
  <c r="A21" i="24"/>
  <c r="J20" i="24"/>
  <c r="K20" i="24" s="1"/>
  <c r="I20" i="24"/>
  <c r="J19" i="24"/>
  <c r="K19" i="24" s="1"/>
  <c r="I19" i="24"/>
  <c r="J18" i="24"/>
  <c r="K18" i="24" s="1"/>
  <c r="I18" i="24"/>
  <c r="J17" i="24"/>
  <c r="K17" i="24" s="1"/>
  <c r="I17" i="24"/>
  <c r="J16" i="24"/>
  <c r="K16" i="24" s="1"/>
  <c r="I16" i="24"/>
  <c r="J15" i="24"/>
  <c r="K15" i="24" s="1"/>
  <c r="I15" i="24"/>
  <c r="J14" i="24"/>
  <c r="K14" i="24" s="1"/>
  <c r="I14" i="24"/>
  <c r="J13" i="24"/>
  <c r="K13" i="24" s="1"/>
  <c r="I13" i="24"/>
  <c r="M13" i="24" s="1"/>
  <c r="F13" i="24" s="1"/>
  <c r="A13" i="24"/>
  <c r="J12" i="24"/>
  <c r="K12" i="24" s="1"/>
  <c r="I12" i="24"/>
  <c r="J11" i="24"/>
  <c r="K11" i="24" s="1"/>
  <c r="I11" i="24"/>
  <c r="J10" i="24"/>
  <c r="K10" i="24" s="1"/>
  <c r="I10" i="24"/>
  <c r="J9" i="24"/>
  <c r="K9" i="24" s="1"/>
  <c r="I9" i="24"/>
  <c r="J8" i="24"/>
  <c r="K8" i="24" s="1"/>
  <c r="I8" i="24"/>
  <c r="J7" i="24"/>
  <c r="K7" i="24" s="1"/>
  <c r="I7" i="24"/>
  <c r="J6" i="24"/>
  <c r="K6" i="24" s="1"/>
  <c r="I6" i="24"/>
  <c r="K2" i="24"/>
  <c r="L9" i="24" s="1"/>
  <c r="I9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B33" i="22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B37" i="22"/>
  <c r="J36" i="22"/>
  <c r="K36" i="22" s="1"/>
  <c r="I36" i="22"/>
  <c r="M36" i="22" s="1"/>
  <c r="B36" i="22"/>
  <c r="J35" i="22"/>
  <c r="K35" i="22" s="1"/>
  <c r="I35" i="22"/>
  <c r="M35" i="22" s="1"/>
  <c r="B35" i="22"/>
  <c r="J34" i="22"/>
  <c r="K34" i="22" s="1"/>
  <c r="I34" i="22"/>
  <c r="M34" i="22" s="1"/>
  <c r="B34" i="22"/>
  <c r="J33" i="22"/>
  <c r="K33" i="22" s="1"/>
  <c r="I33" i="22"/>
  <c r="M33" i="22" s="1"/>
  <c r="J32" i="22"/>
  <c r="K32" i="22" s="1"/>
  <c r="I32" i="22"/>
  <c r="M32" i="22" s="1"/>
  <c r="J31" i="22"/>
  <c r="K31" i="22" s="1"/>
  <c r="I31" i="22"/>
  <c r="J30" i="22"/>
  <c r="K30" i="22" s="1"/>
  <c r="I30" i="22"/>
  <c r="M30" i="22" s="1"/>
  <c r="J29" i="22"/>
  <c r="K29" i="22" s="1"/>
  <c r="I29" i="22"/>
  <c r="J28" i="22"/>
  <c r="K28" i="22" s="1"/>
  <c r="I28" i="22"/>
  <c r="M28" i="22" s="1"/>
  <c r="J27" i="22"/>
  <c r="K27" i="22" s="1"/>
  <c r="I27" i="22"/>
  <c r="J26" i="22"/>
  <c r="K26" i="22" s="1"/>
  <c r="I26" i="22"/>
  <c r="M26" i="22" s="1"/>
  <c r="J25" i="22"/>
  <c r="K25" i="22" s="1"/>
  <c r="I25" i="22"/>
  <c r="M25" i="22" s="1"/>
  <c r="J24" i="22"/>
  <c r="K24" i="22" s="1"/>
  <c r="I24" i="22"/>
  <c r="J23" i="22"/>
  <c r="K23" i="22" s="1"/>
  <c r="I23" i="22"/>
  <c r="J22" i="22"/>
  <c r="K22" i="22" s="1"/>
  <c r="I22" i="22"/>
  <c r="J21" i="22"/>
  <c r="K21" i="22" s="1"/>
  <c r="I21" i="22"/>
  <c r="J20" i="22"/>
  <c r="K20" i="22" s="1"/>
  <c r="I20" i="22"/>
  <c r="J19" i="22"/>
  <c r="K19" i="22" s="1"/>
  <c r="I19" i="22"/>
  <c r="J18" i="22"/>
  <c r="K18" i="22" s="1"/>
  <c r="I18" i="22"/>
  <c r="J17" i="22"/>
  <c r="K17" i="22" s="1"/>
  <c r="I17" i="22"/>
  <c r="J16" i="22"/>
  <c r="K16" i="22" s="1"/>
  <c r="I16" i="22"/>
  <c r="J15" i="22"/>
  <c r="K15" i="22" s="1"/>
  <c r="I15" i="22"/>
  <c r="J14" i="22"/>
  <c r="K14" i="22" s="1"/>
  <c r="I14" i="22"/>
  <c r="J13" i="22"/>
  <c r="K13" i="22" s="1"/>
  <c r="I13" i="22"/>
  <c r="J12" i="22"/>
  <c r="K12" i="22" s="1"/>
  <c r="I12" i="22"/>
  <c r="J11" i="22"/>
  <c r="K11" i="22" s="1"/>
  <c r="I11" i="22"/>
  <c r="J10" i="22"/>
  <c r="K10" i="22" s="1"/>
  <c r="I10" i="22"/>
  <c r="J9" i="22"/>
  <c r="K9" i="22" s="1"/>
  <c r="J8" i="22"/>
  <c r="K8" i="22" s="1"/>
  <c r="I8" i="22"/>
  <c r="J7" i="22"/>
  <c r="K7" i="22" s="1"/>
  <c r="I7" i="22"/>
  <c r="J6" i="22"/>
  <c r="K6" i="22" s="1"/>
  <c r="I6" i="22"/>
  <c r="K2" i="22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J65" i="16"/>
  <c r="K65" i="16" s="1"/>
  <c r="I65" i="16"/>
  <c r="M65" i="16" s="1"/>
  <c r="J64" i="16"/>
  <c r="K64" i="16" s="1"/>
  <c r="I64" i="16"/>
  <c r="M64" i="16" s="1"/>
  <c r="J63" i="16"/>
  <c r="K63" i="16" s="1"/>
  <c r="I63" i="16"/>
  <c r="M63" i="16" s="1"/>
  <c r="J62" i="16"/>
  <c r="K62" i="16" s="1"/>
  <c r="I62" i="16"/>
  <c r="M62" i="16" s="1"/>
  <c r="J61" i="16"/>
  <c r="K61" i="16" s="1"/>
  <c r="I61" i="16"/>
  <c r="M61" i="16" s="1"/>
  <c r="J60" i="16"/>
  <c r="K60" i="16" s="1"/>
  <c r="I60" i="16"/>
  <c r="M60" i="16" s="1"/>
  <c r="J59" i="16"/>
  <c r="K59" i="16" s="1"/>
  <c r="I59" i="16"/>
  <c r="M59" i="16" s="1"/>
  <c r="J58" i="16"/>
  <c r="K58" i="16" s="1"/>
  <c r="I58" i="16"/>
  <c r="M58" i="16" s="1"/>
  <c r="J57" i="16"/>
  <c r="K57" i="16" s="1"/>
  <c r="I57" i="16"/>
  <c r="M57" i="16" s="1"/>
  <c r="J56" i="16"/>
  <c r="K56" i="16" s="1"/>
  <c r="I56" i="16"/>
  <c r="M56" i="16" s="1"/>
  <c r="J55" i="16"/>
  <c r="K55" i="16" s="1"/>
  <c r="I55" i="16"/>
  <c r="M55" i="16" s="1"/>
  <c r="J54" i="16"/>
  <c r="K54" i="16" s="1"/>
  <c r="I54" i="16"/>
  <c r="M54" i="16" s="1"/>
  <c r="J53" i="16"/>
  <c r="K53" i="16" s="1"/>
  <c r="I53" i="16"/>
  <c r="M53" i="16" s="1"/>
  <c r="J52" i="16"/>
  <c r="K52" i="16" s="1"/>
  <c r="I52" i="16"/>
  <c r="M52" i="16" s="1"/>
  <c r="J51" i="16"/>
  <c r="K51" i="16" s="1"/>
  <c r="I51" i="16"/>
  <c r="M51" i="16" s="1"/>
  <c r="J50" i="16"/>
  <c r="K50" i="16" s="1"/>
  <c r="I50" i="16"/>
  <c r="M50" i="16" s="1"/>
  <c r="J49" i="16"/>
  <c r="K49" i="16" s="1"/>
  <c r="I49" i="16"/>
  <c r="M49" i="16" s="1"/>
  <c r="J48" i="16"/>
  <c r="K48" i="16" s="1"/>
  <c r="I48" i="16"/>
  <c r="M48" i="16" s="1"/>
  <c r="J47" i="16"/>
  <c r="K47" i="16" s="1"/>
  <c r="I47" i="16"/>
  <c r="M47" i="16" s="1"/>
  <c r="J46" i="16"/>
  <c r="K46" i="16" s="1"/>
  <c r="I46" i="16"/>
  <c r="M46" i="16" s="1"/>
  <c r="J45" i="16"/>
  <c r="K45" i="16" s="1"/>
  <c r="I45" i="16"/>
  <c r="M45" i="16" s="1"/>
  <c r="J44" i="16"/>
  <c r="K44" i="16" s="1"/>
  <c r="I44" i="16"/>
  <c r="M44" i="16" s="1"/>
  <c r="J43" i="16"/>
  <c r="K43" i="16" s="1"/>
  <c r="I43" i="16"/>
  <c r="M43" i="16" s="1"/>
  <c r="J42" i="16"/>
  <c r="K42" i="16" s="1"/>
  <c r="I42" i="16"/>
  <c r="M42" i="16" s="1"/>
  <c r="J41" i="16"/>
  <c r="K41" i="16" s="1"/>
  <c r="I41" i="16"/>
  <c r="M41" i="16" s="1"/>
  <c r="J40" i="16"/>
  <c r="K40" i="16" s="1"/>
  <c r="I40" i="16"/>
  <c r="M40" i="16" s="1"/>
  <c r="J39" i="16"/>
  <c r="K39" i="16" s="1"/>
  <c r="I39" i="16"/>
  <c r="M39" i="16" s="1"/>
  <c r="J38" i="16"/>
  <c r="K38" i="16" s="1"/>
  <c r="I38" i="16"/>
  <c r="M38" i="16" s="1"/>
  <c r="J37" i="16"/>
  <c r="K37" i="16" s="1"/>
  <c r="I37" i="16"/>
  <c r="M37" i="16" s="1"/>
  <c r="J36" i="16"/>
  <c r="K36" i="16" s="1"/>
  <c r="I36" i="16"/>
  <c r="M36" i="16" s="1"/>
  <c r="J35" i="16"/>
  <c r="K35" i="16" s="1"/>
  <c r="I35" i="16"/>
  <c r="M35" i="16" s="1"/>
  <c r="J34" i="16"/>
  <c r="K34" i="16" s="1"/>
  <c r="I34" i="16"/>
  <c r="M34" i="16" s="1"/>
  <c r="J33" i="16"/>
  <c r="K33" i="16" s="1"/>
  <c r="I33" i="16"/>
  <c r="M33" i="16" s="1"/>
  <c r="J32" i="16"/>
  <c r="K32" i="16" s="1"/>
  <c r="I32" i="16"/>
  <c r="M32" i="16" s="1"/>
  <c r="J31" i="16"/>
  <c r="K31" i="16" s="1"/>
  <c r="I31" i="16"/>
  <c r="M31" i="16" s="1"/>
  <c r="J30" i="16"/>
  <c r="K30" i="16" s="1"/>
  <c r="I30" i="16"/>
  <c r="M30" i="16" s="1"/>
  <c r="J29" i="16"/>
  <c r="K29" i="16" s="1"/>
  <c r="I29" i="16"/>
  <c r="M29" i="16" s="1"/>
  <c r="J28" i="16"/>
  <c r="K28" i="16" s="1"/>
  <c r="I28" i="16"/>
  <c r="M28" i="16" s="1"/>
  <c r="J27" i="16"/>
  <c r="K27" i="16" s="1"/>
  <c r="I27" i="16"/>
  <c r="M27" i="16" s="1"/>
  <c r="J26" i="16"/>
  <c r="K26" i="16" s="1"/>
  <c r="I26" i="16"/>
  <c r="M26" i="16" s="1"/>
  <c r="J25" i="16"/>
  <c r="K25" i="16" s="1"/>
  <c r="I25" i="16"/>
  <c r="M25" i="16" s="1"/>
  <c r="J24" i="16"/>
  <c r="K24" i="16" s="1"/>
  <c r="I24" i="16"/>
  <c r="M24" i="16" s="1"/>
  <c r="J23" i="16"/>
  <c r="K23" i="16" s="1"/>
  <c r="I23" i="16"/>
  <c r="M23" i="16" s="1"/>
  <c r="J22" i="16"/>
  <c r="K22" i="16" s="1"/>
  <c r="I22" i="16"/>
  <c r="M22" i="16" s="1"/>
  <c r="J21" i="16"/>
  <c r="K21" i="16" s="1"/>
  <c r="I21" i="16"/>
  <c r="M21" i="16" s="1"/>
  <c r="J20" i="16"/>
  <c r="K20" i="16" s="1"/>
  <c r="I20" i="16"/>
  <c r="M20" i="16" s="1"/>
  <c r="J19" i="16"/>
  <c r="K19" i="16" s="1"/>
  <c r="I19" i="16"/>
  <c r="M19" i="16" s="1"/>
  <c r="J18" i="16"/>
  <c r="K18" i="16" s="1"/>
  <c r="I18" i="16"/>
  <c r="M18" i="16" s="1"/>
  <c r="J17" i="16"/>
  <c r="K17" i="16" s="1"/>
  <c r="I17" i="16"/>
  <c r="M17" i="16" s="1"/>
  <c r="J16" i="16"/>
  <c r="K16" i="16" s="1"/>
  <c r="I16" i="16"/>
  <c r="M16" i="16" s="1"/>
  <c r="J15" i="16"/>
  <c r="K15" i="16" s="1"/>
  <c r="I15" i="16"/>
  <c r="M15" i="16" s="1"/>
  <c r="J14" i="16"/>
  <c r="K14" i="16" s="1"/>
  <c r="I14" i="16"/>
  <c r="M14" i="16" s="1"/>
  <c r="J13" i="16"/>
  <c r="K13" i="16" s="1"/>
  <c r="I13" i="16"/>
  <c r="M13" i="16" s="1"/>
  <c r="J12" i="16"/>
  <c r="K12" i="16" s="1"/>
  <c r="I12" i="16"/>
  <c r="M12" i="16" s="1"/>
  <c r="J11" i="16"/>
  <c r="K11" i="16" s="1"/>
  <c r="I11" i="16"/>
  <c r="M11" i="16" s="1"/>
  <c r="J10" i="16"/>
  <c r="K10" i="16" s="1"/>
  <c r="I10" i="16"/>
  <c r="M10" i="16" s="1"/>
  <c r="J9" i="16"/>
  <c r="K9" i="16" s="1"/>
  <c r="I9" i="16"/>
  <c r="M9" i="16" s="1"/>
  <c r="J8" i="16"/>
  <c r="K8" i="16" s="1"/>
  <c r="I8" i="16"/>
  <c r="J7" i="16"/>
  <c r="K7" i="16" s="1"/>
  <c r="I7" i="16"/>
  <c r="J6" i="16"/>
  <c r="K6" i="16" s="1"/>
  <c r="I6" i="16"/>
  <c r="A12" i="1"/>
  <c r="A15" i="1"/>
  <c r="A16" i="1"/>
  <c r="A13" i="1"/>
  <c r="A23" i="1"/>
  <c r="A22" i="1"/>
  <c r="A14" i="1"/>
  <c r="A9" i="1"/>
  <c r="A21" i="1"/>
  <c r="A20" i="1"/>
  <c r="A17" i="1"/>
  <c r="A19" i="1"/>
  <c r="A18" i="1"/>
  <c r="A10" i="1"/>
  <c r="A11" i="1"/>
  <c r="A8" i="1"/>
  <c r="A7" i="1"/>
  <c r="A6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846" i="17"/>
  <c r="J845" i="17"/>
  <c r="J844" i="17"/>
  <c r="J843" i="17"/>
  <c r="J842" i="17"/>
  <c r="J841" i="17"/>
  <c r="J840" i="17"/>
  <c r="J839" i="17"/>
  <c r="J838" i="17"/>
  <c r="J837" i="17"/>
  <c r="J836" i="17"/>
  <c r="J835" i="17"/>
  <c r="J834" i="17"/>
  <c r="J833" i="17"/>
  <c r="J832" i="17"/>
  <c r="J831" i="17"/>
  <c r="J830" i="17"/>
  <c r="J829" i="17"/>
  <c r="J828" i="17"/>
  <c r="J827" i="17"/>
  <c r="J826" i="17"/>
  <c r="J825" i="17"/>
  <c r="J824" i="17"/>
  <c r="J823" i="17"/>
  <c r="J822" i="17"/>
  <c r="J821" i="17"/>
  <c r="J820" i="17"/>
  <c r="J819" i="17"/>
  <c r="J818" i="17"/>
  <c r="J817" i="17"/>
  <c r="J816" i="17"/>
  <c r="J815" i="17"/>
  <c r="J814" i="17"/>
  <c r="J813" i="17"/>
  <c r="J812" i="17"/>
  <c r="J811" i="17"/>
  <c r="J810" i="17"/>
  <c r="J809" i="17"/>
  <c r="J808" i="17"/>
  <c r="J807" i="17"/>
  <c r="J806" i="17"/>
  <c r="J805" i="17"/>
  <c r="J804" i="17"/>
  <c r="J803" i="17"/>
  <c r="J802" i="17"/>
  <c r="J801" i="17"/>
  <c r="J800" i="17"/>
  <c r="J799" i="17"/>
  <c r="J798" i="17"/>
  <c r="J797" i="17"/>
  <c r="J796" i="17"/>
  <c r="J795" i="17"/>
  <c r="J794" i="17"/>
  <c r="J793" i="17"/>
  <c r="J792" i="17"/>
  <c r="J791" i="17"/>
  <c r="J790" i="17"/>
  <c r="J789" i="17"/>
  <c r="J788" i="17"/>
  <c r="J787" i="17"/>
  <c r="J786" i="17"/>
  <c r="J785" i="17"/>
  <c r="J784" i="17"/>
  <c r="J783" i="17"/>
  <c r="J782" i="17"/>
  <c r="J781" i="17"/>
  <c r="J780" i="17"/>
  <c r="J779" i="17"/>
  <c r="J778" i="17"/>
  <c r="J777" i="17"/>
  <c r="J776" i="17"/>
  <c r="J775" i="17"/>
  <c r="J774" i="17"/>
  <c r="J773" i="17"/>
  <c r="J772" i="17"/>
  <c r="J771" i="17"/>
  <c r="J770" i="17"/>
  <c r="J769" i="17"/>
  <c r="J768" i="17"/>
  <c r="J767" i="17"/>
  <c r="J766" i="17"/>
  <c r="J765" i="17"/>
  <c r="J764" i="17"/>
  <c r="J763" i="17"/>
  <c r="J762" i="17"/>
  <c r="J761" i="17"/>
  <c r="J760" i="17"/>
  <c r="J759" i="17"/>
  <c r="J758" i="17"/>
  <c r="J757" i="17"/>
  <c r="J756" i="17"/>
  <c r="J755" i="17"/>
  <c r="J754" i="17"/>
  <c r="J753" i="17"/>
  <c r="J752" i="17"/>
  <c r="J751" i="17"/>
  <c r="J750" i="17"/>
  <c r="J749" i="17"/>
  <c r="J748" i="17"/>
  <c r="J747" i="17"/>
  <c r="J746" i="17"/>
  <c r="J745" i="17"/>
  <c r="J744" i="17"/>
  <c r="J743" i="17"/>
  <c r="J742" i="17"/>
  <c r="J741" i="17"/>
  <c r="J740" i="17"/>
  <c r="J739" i="17"/>
  <c r="J738" i="17"/>
  <c r="J737" i="17"/>
  <c r="J736" i="17"/>
  <c r="J735" i="17"/>
  <c r="J734" i="17"/>
  <c r="J733" i="17"/>
  <c r="J732" i="17"/>
  <c r="J731" i="17"/>
  <c r="J730" i="17"/>
  <c r="J729" i="17"/>
  <c r="J728" i="17"/>
  <c r="J727" i="17"/>
  <c r="J726" i="17"/>
  <c r="J725" i="17"/>
  <c r="J724" i="17"/>
  <c r="J723" i="17"/>
  <c r="J722" i="17"/>
  <c r="J721" i="17"/>
  <c r="J720" i="17"/>
  <c r="J719" i="17"/>
  <c r="J718" i="17"/>
  <c r="J717" i="17"/>
  <c r="J716" i="17"/>
  <c r="J715" i="17"/>
  <c r="J714" i="17"/>
  <c r="J713" i="17"/>
  <c r="J712" i="17"/>
  <c r="J711" i="17"/>
  <c r="J710" i="17"/>
  <c r="J709" i="17"/>
  <c r="J708" i="17"/>
  <c r="J707" i="17"/>
  <c r="J706" i="17"/>
  <c r="J705" i="17"/>
  <c r="J704" i="17"/>
  <c r="J703" i="17"/>
  <c r="J702" i="17"/>
  <c r="J701" i="17"/>
  <c r="J700" i="17"/>
  <c r="J699" i="17"/>
  <c r="J698" i="17"/>
  <c r="J697" i="17"/>
  <c r="J696" i="17"/>
  <c r="J695" i="17"/>
  <c r="J694" i="17"/>
  <c r="J693" i="17"/>
  <c r="J692" i="17"/>
  <c r="J691" i="17"/>
  <c r="J690" i="17"/>
  <c r="J689" i="17"/>
  <c r="J688" i="17"/>
  <c r="J687" i="17"/>
  <c r="J686" i="17"/>
  <c r="J685" i="17"/>
  <c r="J684" i="17"/>
  <c r="J683" i="17"/>
  <c r="J682" i="17"/>
  <c r="J681" i="17"/>
  <c r="J680" i="17"/>
  <c r="J679" i="17"/>
  <c r="J678" i="17"/>
  <c r="J677" i="17"/>
  <c r="J676" i="17"/>
  <c r="J675" i="17"/>
  <c r="J674" i="17"/>
  <c r="J673" i="17"/>
  <c r="J672" i="17"/>
  <c r="J671" i="17"/>
  <c r="J670" i="17"/>
  <c r="J669" i="17"/>
  <c r="J668" i="17"/>
  <c r="J667" i="17"/>
  <c r="J666" i="17"/>
  <c r="J665" i="17"/>
  <c r="J664" i="17"/>
  <c r="J663" i="17"/>
  <c r="J662" i="17"/>
  <c r="J661" i="17"/>
  <c r="J660" i="17"/>
  <c r="J659" i="17"/>
  <c r="J658" i="17"/>
  <c r="J657" i="17"/>
  <c r="J656" i="17"/>
  <c r="J655" i="17"/>
  <c r="J654" i="17"/>
  <c r="J653" i="17"/>
  <c r="J652" i="17"/>
  <c r="J651" i="17"/>
  <c r="J650" i="17"/>
  <c r="J649" i="17"/>
  <c r="J648" i="17"/>
  <c r="J647" i="17"/>
  <c r="J646" i="17"/>
  <c r="J645" i="17"/>
  <c r="J644" i="17"/>
  <c r="J643" i="17"/>
  <c r="J642" i="17"/>
  <c r="J641" i="17"/>
  <c r="J640" i="17"/>
  <c r="J639" i="17"/>
  <c r="J638" i="17"/>
  <c r="J637" i="17"/>
  <c r="J636" i="17"/>
  <c r="J635" i="17"/>
  <c r="J634" i="17"/>
  <c r="J633" i="17"/>
  <c r="J632" i="17"/>
  <c r="J631" i="17"/>
  <c r="J630" i="17"/>
  <c r="J629" i="17"/>
  <c r="J628" i="17"/>
  <c r="J627" i="17"/>
  <c r="J626" i="17"/>
  <c r="J625" i="17"/>
  <c r="J624" i="17"/>
  <c r="J623" i="17"/>
  <c r="J622" i="17"/>
  <c r="J621" i="17"/>
  <c r="J620" i="17"/>
  <c r="J619" i="17"/>
  <c r="J618" i="17"/>
  <c r="J617" i="17"/>
  <c r="J616" i="17"/>
  <c r="J615" i="17"/>
  <c r="J614" i="17"/>
  <c r="J613" i="17"/>
  <c r="J612" i="17"/>
  <c r="J611" i="17"/>
  <c r="J610" i="17"/>
  <c r="J609" i="17"/>
  <c r="J608" i="17"/>
  <c r="J607" i="17"/>
  <c r="J606" i="17"/>
  <c r="J605" i="17"/>
  <c r="J604" i="17"/>
  <c r="J603" i="17"/>
  <c r="J602" i="17"/>
  <c r="J601" i="17"/>
  <c r="J600" i="17"/>
  <c r="J599" i="17"/>
  <c r="J598" i="17"/>
  <c r="J597" i="17"/>
  <c r="J596" i="17"/>
  <c r="J595" i="17"/>
  <c r="J594" i="17"/>
  <c r="J593" i="17"/>
  <c r="J592" i="17"/>
  <c r="J591" i="17"/>
  <c r="J590" i="17"/>
  <c r="J589" i="17"/>
  <c r="J588" i="17"/>
  <c r="J587" i="17"/>
  <c r="J586" i="17"/>
  <c r="J585" i="17"/>
  <c r="J584" i="17"/>
  <c r="J583" i="17"/>
  <c r="J582" i="17"/>
  <c r="J581" i="17"/>
  <c r="J580" i="17"/>
  <c r="J579" i="17"/>
  <c r="J578" i="17"/>
  <c r="J577" i="17"/>
  <c r="J576" i="17"/>
  <c r="J575" i="17"/>
  <c r="J574" i="17"/>
  <c r="J573" i="17"/>
  <c r="J572" i="17"/>
  <c r="J571" i="17"/>
  <c r="J570" i="17"/>
  <c r="J569" i="17"/>
  <c r="J568" i="17"/>
  <c r="J567" i="17"/>
  <c r="J566" i="17"/>
  <c r="J565" i="17"/>
  <c r="J564" i="17"/>
  <c r="J563" i="17"/>
  <c r="J562" i="17"/>
  <c r="J561" i="17"/>
  <c r="J560" i="17"/>
  <c r="J559" i="17"/>
  <c r="J558" i="17"/>
  <c r="J557" i="17"/>
  <c r="J556" i="17"/>
  <c r="J555" i="17"/>
  <c r="J554" i="17"/>
  <c r="J553" i="17"/>
  <c r="J552" i="17"/>
  <c r="J551" i="17"/>
  <c r="J550" i="17"/>
  <c r="J549" i="17"/>
  <c r="J548" i="17"/>
  <c r="J547" i="17"/>
  <c r="J546" i="17"/>
  <c r="J545" i="17"/>
  <c r="J544" i="17"/>
  <c r="J543" i="17"/>
  <c r="J542" i="17"/>
  <c r="J541" i="17"/>
  <c r="J540" i="17"/>
  <c r="J539" i="17"/>
  <c r="J538" i="17"/>
  <c r="J537" i="17"/>
  <c r="J536" i="17"/>
  <c r="J535" i="17"/>
  <c r="J534" i="17"/>
  <c r="J533" i="17"/>
  <c r="J532" i="17"/>
  <c r="J531" i="17"/>
  <c r="J530" i="17"/>
  <c r="J529" i="17"/>
  <c r="J528" i="17"/>
  <c r="J527" i="17"/>
  <c r="J526" i="17"/>
  <c r="J525" i="17"/>
  <c r="J524" i="17"/>
  <c r="J523" i="17"/>
  <c r="J522" i="17"/>
  <c r="J521" i="17"/>
  <c r="J520" i="17"/>
  <c r="J519" i="17"/>
  <c r="J518" i="17"/>
  <c r="J517" i="17"/>
  <c r="J516" i="17"/>
  <c r="J515" i="17"/>
  <c r="J514" i="17"/>
  <c r="J513" i="17"/>
  <c r="J512" i="17"/>
  <c r="J511" i="17"/>
  <c r="J510" i="17"/>
  <c r="J509" i="17"/>
  <c r="J508" i="17"/>
  <c r="J507" i="17"/>
  <c r="J506" i="17"/>
  <c r="J505" i="17"/>
  <c r="J504" i="17"/>
  <c r="J503" i="17"/>
  <c r="J502" i="17"/>
  <c r="J501" i="17"/>
  <c r="J500" i="17"/>
  <c r="J499" i="17"/>
  <c r="J498" i="17"/>
  <c r="J497" i="17"/>
  <c r="J496" i="17"/>
  <c r="J495" i="17"/>
  <c r="J494" i="17"/>
  <c r="J493" i="17"/>
  <c r="J492" i="17"/>
  <c r="J491" i="17"/>
  <c r="J490" i="17"/>
  <c r="J489" i="17"/>
  <c r="J488" i="17"/>
  <c r="J487" i="17"/>
  <c r="J486" i="17"/>
  <c r="J485" i="17"/>
  <c r="J484" i="17"/>
  <c r="J483" i="17"/>
  <c r="J482" i="17"/>
  <c r="J481" i="17"/>
  <c r="J480" i="17"/>
  <c r="J479" i="17"/>
  <c r="J478" i="17"/>
  <c r="J477" i="17"/>
  <c r="J476" i="17"/>
  <c r="J475" i="17"/>
  <c r="J474" i="17"/>
  <c r="J473" i="17"/>
  <c r="J472" i="17"/>
  <c r="J471" i="17"/>
  <c r="J470" i="17"/>
  <c r="J469" i="17"/>
  <c r="J468" i="17"/>
  <c r="J467" i="17"/>
  <c r="J466" i="17"/>
  <c r="J465" i="17"/>
  <c r="J464" i="17"/>
  <c r="J463" i="17"/>
  <c r="J462" i="17"/>
  <c r="J461" i="17"/>
  <c r="J460" i="17"/>
  <c r="J459" i="17"/>
  <c r="J458" i="17"/>
  <c r="J457" i="17"/>
  <c r="J456" i="17"/>
  <c r="J455" i="17"/>
  <c r="J454" i="17"/>
  <c r="J453" i="17"/>
  <c r="J452" i="17"/>
  <c r="J451" i="17"/>
  <c r="J450" i="17"/>
  <c r="J449" i="17"/>
  <c r="J448" i="17"/>
  <c r="J447" i="17"/>
  <c r="J446" i="17"/>
  <c r="J445" i="17"/>
  <c r="J444" i="17"/>
  <c r="J443" i="17"/>
  <c r="J442" i="17"/>
  <c r="J441" i="17"/>
  <c r="J440" i="17"/>
  <c r="J439" i="17"/>
  <c r="J438" i="17"/>
  <c r="J437" i="17"/>
  <c r="J436" i="17"/>
  <c r="J435" i="17"/>
  <c r="J434" i="17"/>
  <c r="J433" i="17"/>
  <c r="J432" i="17"/>
  <c r="J431" i="17"/>
  <c r="J430" i="17"/>
  <c r="J429" i="17"/>
  <c r="J428" i="17"/>
  <c r="J427" i="17"/>
  <c r="J426" i="17"/>
  <c r="J425" i="17"/>
  <c r="J424" i="17"/>
  <c r="J423" i="17"/>
  <c r="J422" i="17"/>
  <c r="J421" i="17"/>
  <c r="J420" i="17"/>
  <c r="J419" i="17"/>
  <c r="J418" i="17"/>
  <c r="J417" i="17"/>
  <c r="J416" i="17"/>
  <c r="J415" i="17"/>
  <c r="J414" i="17"/>
  <c r="J413" i="17"/>
  <c r="J412" i="17"/>
  <c r="J411" i="17"/>
  <c r="J410" i="17"/>
  <c r="J409" i="17"/>
  <c r="J408" i="17"/>
  <c r="J407" i="17"/>
  <c r="J406" i="17"/>
  <c r="J405" i="17"/>
  <c r="J404" i="17"/>
  <c r="J403" i="17"/>
  <c r="J402" i="17"/>
  <c r="J401" i="17"/>
  <c r="J400" i="17"/>
  <c r="J399" i="17"/>
  <c r="J398" i="17"/>
  <c r="J397" i="17"/>
  <c r="J396" i="17"/>
  <c r="J395" i="17"/>
  <c r="J394" i="17"/>
  <c r="J393" i="17"/>
  <c r="J392" i="17"/>
  <c r="J391" i="17"/>
  <c r="J390" i="17"/>
  <c r="J389" i="17"/>
  <c r="J388" i="17"/>
  <c r="J387" i="17"/>
  <c r="J386" i="17"/>
  <c r="J385" i="17"/>
  <c r="J384" i="17"/>
  <c r="J383" i="17"/>
  <c r="J382" i="17"/>
  <c r="J381" i="17"/>
  <c r="J380" i="17"/>
  <c r="J379" i="17"/>
  <c r="J378" i="17"/>
  <c r="J377" i="17"/>
  <c r="J376" i="17"/>
  <c r="J375" i="17"/>
  <c r="J374" i="17"/>
  <c r="J373" i="17"/>
  <c r="J372" i="17"/>
  <c r="J371" i="17"/>
  <c r="J370" i="17"/>
  <c r="J369" i="17"/>
  <c r="J368" i="17"/>
  <c r="J367" i="17"/>
  <c r="J366" i="17"/>
  <c r="J365" i="17"/>
  <c r="J364" i="17"/>
  <c r="J363" i="17"/>
  <c r="J362" i="17"/>
  <c r="J361" i="17"/>
  <c r="J360" i="17"/>
  <c r="J359" i="17"/>
  <c r="J358" i="17"/>
  <c r="J357" i="17"/>
  <c r="J356" i="17"/>
  <c r="J355" i="17"/>
  <c r="J354" i="17"/>
  <c r="J353" i="17"/>
  <c r="J352" i="17"/>
  <c r="J351" i="17"/>
  <c r="J350" i="17"/>
  <c r="J349" i="17"/>
  <c r="J348" i="17"/>
  <c r="J347" i="17"/>
  <c r="J346" i="17"/>
  <c r="J345" i="17"/>
  <c r="J344" i="17"/>
  <c r="J343" i="17"/>
  <c r="J342" i="17"/>
  <c r="J341" i="17"/>
  <c r="J340" i="17"/>
  <c r="J339" i="17"/>
  <c r="J338" i="17"/>
  <c r="J337" i="17"/>
  <c r="J336" i="17"/>
  <c r="J335" i="17"/>
  <c r="J334" i="17"/>
  <c r="J333" i="17"/>
  <c r="J332" i="17"/>
  <c r="J331" i="17"/>
  <c r="J330" i="17"/>
  <c r="J329" i="17"/>
  <c r="J328" i="17"/>
  <c r="J327" i="17"/>
  <c r="J326" i="17"/>
  <c r="J325" i="17"/>
  <c r="J324" i="17"/>
  <c r="J323" i="17"/>
  <c r="J322" i="17"/>
  <c r="J321" i="17"/>
  <c r="J320" i="17"/>
  <c r="J319" i="17"/>
  <c r="J318" i="17"/>
  <c r="J317" i="17"/>
  <c r="J316" i="17"/>
  <c r="J315" i="17"/>
  <c r="J314" i="17"/>
  <c r="J313" i="17"/>
  <c r="J312" i="17"/>
  <c r="J311" i="17"/>
  <c r="J310" i="17"/>
  <c r="J309" i="17"/>
  <c r="J308" i="17"/>
  <c r="J307" i="17"/>
  <c r="J30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1159" i="16"/>
  <c r="J1158" i="16"/>
  <c r="J1157" i="16"/>
  <c r="J1156" i="16"/>
  <c r="J1155" i="16"/>
  <c r="J1154" i="16"/>
  <c r="J1153" i="16"/>
  <c r="J1152" i="16"/>
  <c r="J1151" i="16"/>
  <c r="J1150" i="16"/>
  <c r="J1149" i="16"/>
  <c r="J1148" i="16"/>
  <c r="J1147" i="16"/>
  <c r="J1146" i="16"/>
  <c r="J1145" i="16"/>
  <c r="J1144" i="16"/>
  <c r="J1143" i="16"/>
  <c r="J1142" i="16"/>
  <c r="J1141" i="16"/>
  <c r="J1140" i="16"/>
  <c r="J1139" i="16"/>
  <c r="J1138" i="16"/>
  <c r="J1137" i="16"/>
  <c r="J1136" i="16"/>
  <c r="J1135" i="16"/>
  <c r="J1134" i="16"/>
  <c r="J1133" i="16"/>
  <c r="J1132" i="16"/>
  <c r="J1131" i="16"/>
  <c r="J1130" i="16"/>
  <c r="J1129" i="16"/>
  <c r="J1128" i="16"/>
  <c r="J1127" i="16"/>
  <c r="J1126" i="16"/>
  <c r="J1125" i="16"/>
  <c r="J1124" i="16"/>
  <c r="J1123" i="16"/>
  <c r="J1122" i="16"/>
  <c r="J1121" i="16"/>
  <c r="J1120" i="16"/>
  <c r="J1119" i="16"/>
  <c r="J1118" i="16"/>
  <c r="J1117" i="16"/>
  <c r="J1116" i="16"/>
  <c r="J1115" i="16"/>
  <c r="J1114" i="16"/>
  <c r="J1113" i="16"/>
  <c r="J1112" i="16"/>
  <c r="J1111" i="16"/>
  <c r="J1110" i="16"/>
  <c r="J1109" i="16"/>
  <c r="J1108" i="16"/>
  <c r="J1107" i="16"/>
  <c r="J1106" i="16"/>
  <c r="J1105" i="16"/>
  <c r="J1104" i="16"/>
  <c r="J1103" i="16"/>
  <c r="J1102" i="16"/>
  <c r="J1101" i="16"/>
  <c r="J1100" i="16"/>
  <c r="J1099" i="16"/>
  <c r="J1098" i="16"/>
  <c r="J1097" i="16"/>
  <c r="J1096" i="16"/>
  <c r="J1095" i="16"/>
  <c r="J1094" i="16"/>
  <c r="J1093" i="16"/>
  <c r="J1092" i="16"/>
  <c r="J1091" i="16"/>
  <c r="J1090" i="16"/>
  <c r="J1089" i="16"/>
  <c r="J1088" i="16"/>
  <c r="J1087" i="16"/>
  <c r="J1086" i="16"/>
  <c r="J1085" i="16"/>
  <c r="J1084" i="16"/>
  <c r="J1083" i="16"/>
  <c r="J1082" i="16"/>
  <c r="J1081" i="16"/>
  <c r="J1080" i="16"/>
  <c r="J1079" i="16"/>
  <c r="J1078" i="16"/>
  <c r="J1077" i="16"/>
  <c r="J1076" i="16"/>
  <c r="J1075" i="16"/>
  <c r="J1074" i="16"/>
  <c r="J1073" i="16"/>
  <c r="J1072" i="16"/>
  <c r="J1071" i="16"/>
  <c r="J1070" i="16"/>
  <c r="J1069" i="16"/>
  <c r="J1068" i="16"/>
  <c r="J1067" i="16"/>
  <c r="J1066" i="16"/>
  <c r="J1065" i="16"/>
  <c r="J1064" i="16"/>
  <c r="J1063" i="16"/>
  <c r="J1062" i="16"/>
  <c r="J1061" i="16"/>
  <c r="J1060" i="16"/>
  <c r="J1059" i="16"/>
  <c r="J1058" i="16"/>
  <c r="J1057" i="16"/>
  <c r="J1056" i="16"/>
  <c r="J1055" i="16"/>
  <c r="J1054" i="16"/>
  <c r="J1053" i="16"/>
  <c r="J1052" i="16"/>
  <c r="J1051" i="16"/>
  <c r="J1050" i="16"/>
  <c r="J1049" i="16"/>
  <c r="J1048" i="16"/>
  <c r="J1047" i="16"/>
  <c r="J1046" i="16"/>
  <c r="J1045" i="16"/>
  <c r="J1044" i="16"/>
  <c r="J1043" i="16"/>
  <c r="J1042" i="16"/>
  <c r="J1041" i="16"/>
  <c r="J1040" i="16"/>
  <c r="J1039" i="16"/>
  <c r="J1038" i="16"/>
  <c r="J1037" i="16"/>
  <c r="J1036" i="16"/>
  <c r="J1035" i="16"/>
  <c r="J1034" i="16"/>
  <c r="J1033" i="16"/>
  <c r="J1032" i="16"/>
  <c r="J1031" i="16"/>
  <c r="J1030" i="16"/>
  <c r="J1029" i="16"/>
  <c r="J1028" i="16"/>
  <c r="J1027" i="16"/>
  <c r="J1026" i="16"/>
  <c r="J1025" i="16"/>
  <c r="J1024" i="16"/>
  <c r="J1023" i="16"/>
  <c r="J1022" i="16"/>
  <c r="J1021" i="16"/>
  <c r="J1020" i="16"/>
  <c r="J1019" i="16"/>
  <c r="J1018" i="16"/>
  <c r="J1017" i="16"/>
  <c r="J1016" i="16"/>
  <c r="J1015" i="16"/>
  <c r="J1014" i="16"/>
  <c r="J1013" i="16"/>
  <c r="J1012" i="16"/>
  <c r="J1011" i="16"/>
  <c r="J1010" i="16"/>
  <c r="J1009" i="16"/>
  <c r="J1008" i="16"/>
  <c r="J1007" i="16"/>
  <c r="J1006" i="16"/>
  <c r="J1005" i="16"/>
  <c r="J1004" i="16"/>
  <c r="J1003" i="16"/>
  <c r="J1002" i="16"/>
  <c r="J1001" i="16"/>
  <c r="J1000" i="16"/>
  <c r="J999" i="16"/>
  <c r="J998" i="16"/>
  <c r="J997" i="16"/>
  <c r="J996" i="16"/>
  <c r="J995" i="16"/>
  <c r="J994" i="16"/>
  <c r="J993" i="16"/>
  <c r="J992" i="16"/>
  <c r="J991" i="16"/>
  <c r="J990" i="16"/>
  <c r="J989" i="16"/>
  <c r="J988" i="16"/>
  <c r="J987" i="16"/>
  <c r="J986" i="16"/>
  <c r="J985" i="16"/>
  <c r="J984" i="16"/>
  <c r="J983" i="16"/>
  <c r="J982" i="16"/>
  <c r="J981" i="16"/>
  <c r="J980" i="16"/>
  <c r="J979" i="16"/>
  <c r="J978" i="16"/>
  <c r="J977" i="16"/>
  <c r="J976" i="16"/>
  <c r="J975" i="16"/>
  <c r="J974" i="16"/>
  <c r="J973" i="16"/>
  <c r="J972" i="16"/>
  <c r="J971" i="16"/>
  <c r="J970" i="16"/>
  <c r="J969" i="16"/>
  <c r="J968" i="16"/>
  <c r="J967" i="16"/>
  <c r="J966" i="16"/>
  <c r="J965" i="16"/>
  <c r="J964" i="16"/>
  <c r="J963" i="16"/>
  <c r="J962" i="16"/>
  <c r="J961" i="16"/>
  <c r="J960" i="16"/>
  <c r="J959" i="16"/>
  <c r="J958" i="16"/>
  <c r="J957" i="16"/>
  <c r="J956" i="16"/>
  <c r="J955" i="16"/>
  <c r="J954" i="16"/>
  <c r="J953" i="16"/>
  <c r="J952" i="16"/>
  <c r="J951" i="16"/>
  <c r="J950" i="16"/>
  <c r="J949" i="16"/>
  <c r="J948" i="16"/>
  <c r="J947" i="16"/>
  <c r="J946" i="16"/>
  <c r="J945" i="16"/>
  <c r="J944" i="16"/>
  <c r="J943" i="16"/>
  <c r="J942" i="16"/>
  <c r="J941" i="16"/>
  <c r="J940" i="16"/>
  <c r="J939" i="16"/>
  <c r="J938" i="16"/>
  <c r="J937" i="16"/>
  <c r="J936" i="16"/>
  <c r="J935" i="16"/>
  <c r="J934" i="16"/>
  <c r="J933" i="16"/>
  <c r="J932" i="16"/>
  <c r="J931" i="16"/>
  <c r="J930" i="16"/>
  <c r="J929" i="16"/>
  <c r="J928" i="16"/>
  <c r="J927" i="16"/>
  <c r="J926" i="16"/>
  <c r="J925" i="16"/>
  <c r="J924" i="16"/>
  <c r="J923" i="16"/>
  <c r="J922" i="16"/>
  <c r="J921" i="16"/>
  <c r="J920" i="16"/>
  <c r="J919" i="16"/>
  <c r="J918" i="16"/>
  <c r="J917" i="16"/>
  <c r="J916" i="16"/>
  <c r="J915" i="16"/>
  <c r="J914" i="16"/>
  <c r="J913" i="16"/>
  <c r="J912" i="16"/>
  <c r="J911" i="16"/>
  <c r="J910" i="16"/>
  <c r="J909" i="16"/>
  <c r="J908" i="16"/>
  <c r="J907" i="16"/>
  <c r="J906" i="16"/>
  <c r="J905" i="16"/>
  <c r="J904" i="16"/>
  <c r="J903" i="16"/>
  <c r="J902" i="16"/>
  <c r="J901" i="16"/>
  <c r="J900" i="16"/>
  <c r="J899" i="16"/>
  <c r="J898" i="16"/>
  <c r="J897" i="16"/>
  <c r="J896" i="16"/>
  <c r="J895" i="16"/>
  <c r="J894" i="16"/>
  <c r="J893" i="16"/>
  <c r="J892" i="16"/>
  <c r="J891" i="16"/>
  <c r="J890" i="16"/>
  <c r="J889" i="16"/>
  <c r="J888" i="16"/>
  <c r="J887" i="16"/>
  <c r="J886" i="16"/>
  <c r="J885" i="16"/>
  <c r="J884" i="16"/>
  <c r="J883" i="16"/>
  <c r="J882" i="16"/>
  <c r="J881" i="16"/>
  <c r="J880" i="16"/>
  <c r="J879" i="16"/>
  <c r="J878" i="16"/>
  <c r="J877" i="16"/>
  <c r="J876" i="16"/>
  <c r="J875" i="16"/>
  <c r="J874" i="16"/>
  <c r="J873" i="16"/>
  <c r="J872" i="16"/>
  <c r="J871" i="16"/>
  <c r="J870" i="16"/>
  <c r="J869" i="16"/>
  <c r="J868" i="16"/>
  <c r="J867" i="16"/>
  <c r="J866" i="16"/>
  <c r="J865" i="16"/>
  <c r="J864" i="16"/>
  <c r="J863" i="16"/>
  <c r="J862" i="16"/>
  <c r="J861" i="16"/>
  <c r="J860" i="16"/>
  <c r="J859" i="16"/>
  <c r="J858" i="16"/>
  <c r="J857" i="16"/>
  <c r="J856" i="16"/>
  <c r="J855" i="16"/>
  <c r="J854" i="16"/>
  <c r="J853" i="16"/>
  <c r="J852" i="16"/>
  <c r="J851" i="16"/>
  <c r="J850" i="16"/>
  <c r="J849" i="16"/>
  <c r="J848" i="16"/>
  <c r="J847" i="16"/>
  <c r="J846" i="16"/>
  <c r="J845" i="16"/>
  <c r="J844" i="16"/>
  <c r="J843" i="16"/>
  <c r="J842" i="16"/>
  <c r="J841" i="16"/>
  <c r="J840" i="16"/>
  <c r="J839" i="16"/>
  <c r="J838" i="16"/>
  <c r="J837" i="16"/>
  <c r="J836" i="16"/>
  <c r="J835" i="16"/>
  <c r="J834" i="16"/>
  <c r="J833" i="16"/>
  <c r="J832" i="16"/>
  <c r="J831" i="16"/>
  <c r="J830" i="16"/>
  <c r="J829" i="16"/>
  <c r="J828" i="16"/>
  <c r="J827" i="16"/>
  <c r="J826" i="16"/>
  <c r="J825" i="16"/>
  <c r="J824" i="16"/>
  <c r="J823" i="16"/>
  <c r="J822" i="16"/>
  <c r="J821" i="16"/>
  <c r="J820" i="16"/>
  <c r="J819" i="16"/>
  <c r="J818" i="16"/>
  <c r="J817" i="16"/>
  <c r="J816" i="16"/>
  <c r="J815" i="16"/>
  <c r="J814" i="16"/>
  <c r="J813" i="16"/>
  <c r="J812" i="16"/>
  <c r="J811" i="16"/>
  <c r="J810" i="16"/>
  <c r="J809" i="16"/>
  <c r="J808" i="16"/>
  <c r="J807" i="16"/>
  <c r="J806" i="16"/>
  <c r="J805" i="16"/>
  <c r="J804" i="16"/>
  <c r="J803" i="16"/>
  <c r="J802" i="16"/>
  <c r="J801" i="16"/>
  <c r="J800" i="16"/>
  <c r="J799" i="16"/>
  <c r="J798" i="16"/>
  <c r="J797" i="16"/>
  <c r="J796" i="16"/>
  <c r="J795" i="16"/>
  <c r="J794" i="16"/>
  <c r="J793" i="16"/>
  <c r="J792" i="16"/>
  <c r="J791" i="16"/>
  <c r="J790" i="16"/>
  <c r="J789" i="16"/>
  <c r="J788" i="16"/>
  <c r="J787" i="16"/>
  <c r="J786" i="16"/>
  <c r="J785" i="16"/>
  <c r="J784" i="16"/>
  <c r="J783" i="16"/>
  <c r="J782" i="16"/>
  <c r="J781" i="16"/>
  <c r="J780" i="16"/>
  <c r="J779" i="16"/>
  <c r="J778" i="16"/>
  <c r="J777" i="16"/>
  <c r="J776" i="16"/>
  <c r="J775" i="16"/>
  <c r="J774" i="16"/>
  <c r="J773" i="16"/>
  <c r="J772" i="16"/>
  <c r="J771" i="16"/>
  <c r="J770" i="16"/>
  <c r="J769" i="16"/>
  <c r="J768" i="16"/>
  <c r="J767" i="16"/>
  <c r="J766" i="16"/>
  <c r="J765" i="16"/>
  <c r="J764" i="16"/>
  <c r="J763" i="16"/>
  <c r="J762" i="16"/>
  <c r="J761" i="16"/>
  <c r="J760" i="16"/>
  <c r="J759" i="16"/>
  <c r="J758" i="16"/>
  <c r="J757" i="16"/>
  <c r="J756" i="16"/>
  <c r="J755" i="16"/>
  <c r="J754" i="16"/>
  <c r="J753" i="16"/>
  <c r="J752" i="16"/>
  <c r="J751" i="16"/>
  <c r="J750" i="16"/>
  <c r="J749" i="16"/>
  <c r="J748" i="16"/>
  <c r="J747" i="16"/>
  <c r="J746" i="16"/>
  <c r="J745" i="16"/>
  <c r="J744" i="16"/>
  <c r="J743" i="16"/>
  <c r="J742" i="16"/>
  <c r="J741" i="16"/>
  <c r="J740" i="16"/>
  <c r="J739" i="16"/>
  <c r="J738" i="16"/>
  <c r="J737" i="16"/>
  <c r="J736" i="16"/>
  <c r="J735" i="16"/>
  <c r="J734" i="16"/>
  <c r="J733" i="16"/>
  <c r="J732" i="16"/>
  <c r="J731" i="16"/>
  <c r="J730" i="16"/>
  <c r="J729" i="16"/>
  <c r="J728" i="16"/>
  <c r="J727" i="16"/>
  <c r="J726" i="16"/>
  <c r="J725" i="16"/>
  <c r="J724" i="16"/>
  <c r="J723" i="16"/>
  <c r="J722" i="16"/>
  <c r="J721" i="16"/>
  <c r="J720" i="16"/>
  <c r="J719" i="16"/>
  <c r="J718" i="16"/>
  <c r="J717" i="16"/>
  <c r="J716" i="16"/>
  <c r="J715" i="16"/>
  <c r="J714" i="16"/>
  <c r="J713" i="16"/>
  <c r="J712" i="16"/>
  <c r="J711" i="16"/>
  <c r="J710" i="16"/>
  <c r="J709" i="16"/>
  <c r="J708" i="16"/>
  <c r="J707" i="16"/>
  <c r="J706" i="16"/>
  <c r="J705" i="16"/>
  <c r="J704" i="16"/>
  <c r="J703" i="16"/>
  <c r="J702" i="16"/>
  <c r="J701" i="16"/>
  <c r="J700" i="16"/>
  <c r="J699" i="16"/>
  <c r="J698" i="16"/>
  <c r="J697" i="16"/>
  <c r="J696" i="16"/>
  <c r="J695" i="16"/>
  <c r="J694" i="16"/>
  <c r="J693" i="16"/>
  <c r="J692" i="16"/>
  <c r="J691" i="16"/>
  <c r="J690" i="16"/>
  <c r="J689" i="16"/>
  <c r="J688" i="16"/>
  <c r="J687" i="16"/>
  <c r="J686" i="16"/>
  <c r="J685" i="16"/>
  <c r="J684" i="16"/>
  <c r="J683" i="16"/>
  <c r="J682" i="16"/>
  <c r="J681" i="16"/>
  <c r="J680" i="16"/>
  <c r="J679" i="16"/>
  <c r="J678" i="16"/>
  <c r="J677" i="16"/>
  <c r="J676" i="16"/>
  <c r="J675" i="16"/>
  <c r="J674" i="16"/>
  <c r="J673" i="16"/>
  <c r="J672" i="16"/>
  <c r="J671" i="16"/>
  <c r="J670" i="16"/>
  <c r="J669" i="16"/>
  <c r="J668" i="16"/>
  <c r="J667" i="16"/>
  <c r="J666" i="16"/>
  <c r="J665" i="16"/>
  <c r="J664" i="16"/>
  <c r="J663" i="16"/>
  <c r="J662" i="16"/>
  <c r="J661" i="16"/>
  <c r="J660" i="16"/>
  <c r="J659" i="16"/>
  <c r="J658" i="16"/>
  <c r="J657" i="16"/>
  <c r="J656" i="16"/>
  <c r="J655" i="16"/>
  <c r="J654" i="16"/>
  <c r="J653" i="16"/>
  <c r="J652" i="16"/>
  <c r="J651" i="16"/>
  <c r="J650" i="16"/>
  <c r="J649" i="16"/>
  <c r="J648" i="16"/>
  <c r="J647" i="16"/>
  <c r="J646" i="16"/>
  <c r="J645" i="16"/>
  <c r="J644" i="16"/>
  <c r="J643" i="16"/>
  <c r="J642" i="16"/>
  <c r="J641" i="16"/>
  <c r="J640" i="16"/>
  <c r="J639" i="16"/>
  <c r="J638" i="16"/>
  <c r="J637" i="16"/>
  <c r="J636" i="16"/>
  <c r="J635" i="16"/>
  <c r="J634" i="16"/>
  <c r="J633" i="16"/>
  <c r="J632" i="16"/>
  <c r="J631" i="16"/>
  <c r="J630" i="16"/>
  <c r="J629" i="16"/>
  <c r="J628" i="16"/>
  <c r="J627" i="16"/>
  <c r="J626" i="16"/>
  <c r="J625" i="16"/>
  <c r="J624" i="16"/>
  <c r="J623" i="16"/>
  <c r="J622" i="16"/>
  <c r="J621" i="16"/>
  <c r="J620" i="16"/>
  <c r="J619" i="16"/>
  <c r="J618" i="16"/>
  <c r="J617" i="16"/>
  <c r="J616" i="16"/>
  <c r="J615" i="16"/>
  <c r="J614" i="16"/>
  <c r="J613" i="16"/>
  <c r="J612" i="16"/>
  <c r="J611" i="16"/>
  <c r="J610" i="16"/>
  <c r="J609" i="16"/>
  <c r="J608" i="16"/>
  <c r="J607" i="16"/>
  <c r="J606" i="16"/>
  <c r="J605" i="16"/>
  <c r="J604" i="16"/>
  <c r="J603" i="16"/>
  <c r="J602" i="16"/>
  <c r="J601" i="16"/>
  <c r="J600" i="16"/>
  <c r="J599" i="16"/>
  <c r="J598" i="16"/>
  <c r="J597" i="16"/>
  <c r="J596" i="16"/>
  <c r="J595" i="16"/>
  <c r="J594" i="16"/>
  <c r="J593" i="16"/>
  <c r="J592" i="16"/>
  <c r="J591" i="16"/>
  <c r="J590" i="16"/>
  <c r="J589" i="16"/>
  <c r="J588" i="16"/>
  <c r="J587" i="16"/>
  <c r="J586" i="16"/>
  <c r="J585" i="16"/>
  <c r="J584" i="16"/>
  <c r="J583" i="16"/>
  <c r="J582" i="16"/>
  <c r="J581" i="16"/>
  <c r="J580" i="16"/>
  <c r="J579" i="16"/>
  <c r="J578" i="16"/>
  <c r="J577" i="16"/>
  <c r="J576" i="16"/>
  <c r="J575" i="16"/>
  <c r="J574" i="16"/>
  <c r="J573" i="16"/>
  <c r="J572" i="16"/>
  <c r="J571" i="16"/>
  <c r="J570" i="16"/>
  <c r="J569" i="16"/>
  <c r="J568" i="16"/>
  <c r="J567" i="16"/>
  <c r="J566" i="16"/>
  <c r="J565" i="16"/>
  <c r="J564" i="16"/>
  <c r="J563" i="16"/>
  <c r="J562" i="16"/>
  <c r="J561" i="16"/>
  <c r="J560" i="16"/>
  <c r="J559" i="16"/>
  <c r="J558" i="16"/>
  <c r="J557" i="16"/>
  <c r="J556" i="16"/>
  <c r="J555" i="16"/>
  <c r="J554" i="16"/>
  <c r="J553" i="16"/>
  <c r="J552" i="16"/>
  <c r="J551" i="16"/>
  <c r="J550" i="16"/>
  <c r="J549" i="16"/>
  <c r="J548" i="16"/>
  <c r="J547" i="16"/>
  <c r="J546" i="16"/>
  <c r="J545" i="16"/>
  <c r="J544" i="16"/>
  <c r="J543" i="16"/>
  <c r="J542" i="16"/>
  <c r="J541" i="16"/>
  <c r="J540" i="16"/>
  <c r="J539" i="16"/>
  <c r="J538" i="16"/>
  <c r="J537" i="16"/>
  <c r="J536" i="16"/>
  <c r="J535" i="16"/>
  <c r="J534" i="16"/>
  <c r="J533" i="16"/>
  <c r="J532" i="16"/>
  <c r="J531" i="16"/>
  <c r="J530" i="16"/>
  <c r="J529" i="16"/>
  <c r="J528" i="16"/>
  <c r="J527" i="16"/>
  <c r="J526" i="16"/>
  <c r="J525" i="16"/>
  <c r="J524" i="16"/>
  <c r="J523" i="16"/>
  <c r="J522" i="16"/>
  <c r="J521" i="16"/>
  <c r="J520" i="16"/>
  <c r="J519" i="16"/>
  <c r="J518" i="16"/>
  <c r="J517" i="16"/>
  <c r="J516" i="16"/>
  <c r="J515" i="16"/>
  <c r="J514" i="16"/>
  <c r="J513" i="16"/>
  <c r="J512" i="16"/>
  <c r="J511" i="16"/>
  <c r="J510" i="16"/>
  <c r="J509" i="16"/>
  <c r="J508" i="16"/>
  <c r="J507" i="16"/>
  <c r="J506" i="16"/>
  <c r="J505" i="16"/>
  <c r="J504" i="16"/>
  <c r="J503" i="16"/>
  <c r="J502" i="16"/>
  <c r="J501" i="16"/>
  <c r="J500" i="16"/>
  <c r="J499" i="16"/>
  <c r="J498" i="16"/>
  <c r="J497" i="16"/>
  <c r="J496" i="16"/>
  <c r="J495" i="16"/>
  <c r="J494" i="16"/>
  <c r="J493" i="16"/>
  <c r="J492" i="16"/>
  <c r="J491" i="16"/>
  <c r="J490" i="16"/>
  <c r="J489" i="16"/>
  <c r="J488" i="16"/>
  <c r="J487" i="16"/>
  <c r="J486" i="16"/>
  <c r="J485" i="16"/>
  <c r="J484" i="16"/>
  <c r="J483" i="16"/>
  <c r="J482" i="16"/>
  <c r="J481" i="16"/>
  <c r="J480" i="16"/>
  <c r="J479" i="16"/>
  <c r="J478" i="16"/>
  <c r="J477" i="16"/>
  <c r="J476" i="16"/>
  <c r="J475" i="16"/>
  <c r="J474" i="16"/>
  <c r="J473" i="16"/>
  <c r="J472" i="16"/>
  <c r="J471" i="16"/>
  <c r="J470" i="16"/>
  <c r="J469" i="16"/>
  <c r="J468" i="16"/>
  <c r="J467" i="16"/>
  <c r="J466" i="16"/>
  <c r="J465" i="16"/>
  <c r="J464" i="16"/>
  <c r="J463" i="16"/>
  <c r="J462" i="16"/>
  <c r="J461" i="16"/>
  <c r="J460" i="16"/>
  <c r="J459" i="16"/>
  <c r="J458" i="16"/>
  <c r="J457" i="16"/>
  <c r="J456" i="16"/>
  <c r="J455" i="16"/>
  <c r="J454" i="16"/>
  <c r="J453" i="16"/>
  <c r="J452" i="16"/>
  <c r="J451" i="16"/>
  <c r="J450" i="16"/>
  <c r="J449" i="16"/>
  <c r="J448" i="16"/>
  <c r="J447" i="16"/>
  <c r="J446" i="16"/>
  <c r="J445" i="16"/>
  <c r="J444" i="16"/>
  <c r="J443" i="16"/>
  <c r="J442" i="16"/>
  <c r="J441" i="16"/>
  <c r="J440" i="16"/>
  <c r="J439" i="16"/>
  <c r="J438" i="16"/>
  <c r="J437" i="16"/>
  <c r="J436" i="16"/>
  <c r="J435" i="16"/>
  <c r="J434" i="16"/>
  <c r="J433" i="16"/>
  <c r="J432" i="16"/>
  <c r="J431" i="16"/>
  <c r="J430" i="16"/>
  <c r="J429" i="16"/>
  <c r="J428" i="16"/>
  <c r="J427" i="16"/>
  <c r="J426" i="16"/>
  <c r="J425" i="16"/>
  <c r="J424" i="16"/>
  <c r="J423" i="16"/>
  <c r="J422" i="16"/>
  <c r="J421" i="16"/>
  <c r="J420" i="16"/>
  <c r="J419" i="16"/>
  <c r="J418" i="16"/>
  <c r="J417" i="16"/>
  <c r="J416" i="16"/>
  <c r="J415" i="16"/>
  <c r="J414" i="16"/>
  <c r="J413" i="16"/>
  <c r="J412" i="16"/>
  <c r="J411" i="16"/>
  <c r="J410" i="16"/>
  <c r="J409" i="16"/>
  <c r="J408" i="16"/>
  <c r="J407" i="16"/>
  <c r="J406" i="16"/>
  <c r="J405" i="16"/>
  <c r="J404" i="16"/>
  <c r="J403" i="16"/>
  <c r="J402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6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70" i="16"/>
  <c r="J369" i="16"/>
  <c r="J368" i="16"/>
  <c r="J367" i="16"/>
  <c r="J366" i="16"/>
  <c r="J365" i="16"/>
  <c r="J364" i="16"/>
  <c r="J363" i="16"/>
  <c r="J362" i="16"/>
  <c r="J361" i="16"/>
  <c r="J360" i="16"/>
  <c r="J359" i="16"/>
  <c r="J358" i="16"/>
  <c r="J357" i="16"/>
  <c r="J356" i="16"/>
  <c r="J355" i="16"/>
  <c r="J354" i="16"/>
  <c r="J353" i="16"/>
  <c r="J352" i="16"/>
  <c r="J351" i="16"/>
  <c r="J350" i="16"/>
  <c r="J349" i="16"/>
  <c r="J348" i="16"/>
  <c r="J347" i="16"/>
  <c r="J346" i="16"/>
  <c r="J345" i="16"/>
  <c r="J344" i="16"/>
  <c r="J343" i="16"/>
  <c r="J342" i="16"/>
  <c r="J341" i="16"/>
  <c r="J340" i="16"/>
  <c r="J339" i="16"/>
  <c r="J338" i="16"/>
  <c r="J337" i="16"/>
  <c r="J336" i="16"/>
  <c r="J335" i="16"/>
  <c r="J334" i="16"/>
  <c r="J333" i="16"/>
  <c r="J332" i="16"/>
  <c r="J331" i="16"/>
  <c r="J330" i="16"/>
  <c r="J329" i="16"/>
  <c r="J328" i="16"/>
  <c r="J327" i="16"/>
  <c r="J326" i="16"/>
  <c r="J325" i="16"/>
  <c r="J324" i="16"/>
  <c r="J323" i="16"/>
  <c r="J322" i="16"/>
  <c r="J321" i="16"/>
  <c r="J320" i="16"/>
  <c r="J319" i="16"/>
  <c r="J318" i="16"/>
  <c r="J317" i="16"/>
  <c r="J316" i="16"/>
  <c r="J315" i="16"/>
  <c r="J314" i="16"/>
  <c r="J313" i="16"/>
  <c r="J312" i="16"/>
  <c r="J311" i="16"/>
  <c r="J310" i="16"/>
  <c r="J309" i="16"/>
  <c r="J308" i="16"/>
  <c r="J307" i="16"/>
  <c r="J306" i="16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" i="20"/>
  <c r="K6" i="20" s="1"/>
  <c r="J6" i="19"/>
  <c r="J6" i="18"/>
  <c r="K6" i="18" s="1"/>
  <c r="J6" i="17"/>
  <c r="K6" i="17" s="1"/>
  <c r="K6" i="19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L6" i="22" l="1"/>
  <c r="L9" i="22"/>
  <c r="M12" i="24"/>
  <c r="F12" i="24" s="1"/>
  <c r="A12" i="24" s="1"/>
  <c r="M16" i="24"/>
  <c r="F16" i="24" s="1"/>
  <c r="A16" i="24" s="1"/>
  <c r="M20" i="24"/>
  <c r="F20" i="24" s="1"/>
  <c r="A20" i="24" s="1"/>
  <c r="M24" i="24"/>
  <c r="F24" i="24" s="1"/>
  <c r="A24" i="24" s="1"/>
  <c r="M28" i="24"/>
  <c r="F28" i="24" s="1"/>
  <c r="A28" i="24" s="1"/>
  <c r="M32" i="24"/>
  <c r="F32" i="24" s="1"/>
  <c r="A32" i="24" s="1"/>
  <c r="F23" i="21"/>
  <c r="F22" i="21"/>
  <c r="F21" i="21"/>
  <c r="F12" i="21"/>
  <c r="F20" i="21"/>
  <c r="F13" i="21"/>
  <c r="F19" i="21"/>
  <c r="F18" i="21"/>
  <c r="F17" i="21"/>
  <c r="F16" i="21"/>
  <c r="F15" i="21"/>
  <c r="F14" i="21"/>
  <c r="F9" i="21"/>
  <c r="F11" i="21"/>
  <c r="F10" i="21"/>
  <c r="F7" i="21"/>
  <c r="F8" i="21"/>
  <c r="F6" i="21"/>
  <c r="F12" i="25"/>
  <c r="A12" i="25" s="1"/>
  <c r="L9" i="26"/>
  <c r="L8" i="26"/>
  <c r="L7" i="26"/>
  <c r="L6" i="26"/>
  <c r="M7" i="26"/>
  <c r="M9" i="26"/>
  <c r="L9" i="27"/>
  <c r="L8" i="27"/>
  <c r="L6" i="27"/>
  <c r="M6" i="27"/>
  <c r="M8" i="27"/>
  <c r="H6" i="21"/>
  <c r="N6" i="21"/>
  <c r="L8" i="28"/>
  <c r="L9" i="28"/>
  <c r="L7" i="28"/>
  <c r="M7" i="28"/>
  <c r="M9" i="28"/>
  <c r="P6" i="21"/>
  <c r="H8" i="21"/>
  <c r="N8" i="21"/>
  <c r="P8" i="21"/>
  <c r="H7" i="21"/>
  <c r="N7" i="21"/>
  <c r="P7" i="21"/>
  <c r="H10" i="21"/>
  <c r="N10" i="21"/>
  <c r="P10" i="21"/>
  <c r="H11" i="21"/>
  <c r="N11" i="21"/>
  <c r="P11" i="21"/>
  <c r="H9" i="21"/>
  <c r="N9" i="21"/>
  <c r="P9" i="21"/>
  <c r="H14" i="21"/>
  <c r="N14" i="21"/>
  <c r="P14" i="21"/>
  <c r="H15" i="21"/>
  <c r="N15" i="21"/>
  <c r="P15" i="21"/>
  <c r="H16" i="21"/>
  <c r="N16" i="21"/>
  <c r="P16" i="21"/>
  <c r="H17" i="21"/>
  <c r="N17" i="21"/>
  <c r="P17" i="21"/>
  <c r="H18" i="21"/>
  <c r="N18" i="21"/>
  <c r="P18" i="21"/>
  <c r="H19" i="21"/>
  <c r="N19" i="21"/>
  <c r="P19" i="21"/>
  <c r="H13" i="21"/>
  <c r="N13" i="21"/>
  <c r="P13" i="21"/>
  <c r="H20" i="21"/>
  <c r="N20" i="21"/>
  <c r="P20" i="21"/>
  <c r="H12" i="21"/>
  <c r="N12" i="21"/>
  <c r="P12" i="21"/>
  <c r="H21" i="21"/>
  <c r="N21" i="21"/>
  <c r="P21" i="21"/>
  <c r="H22" i="21"/>
  <c r="N22" i="21"/>
  <c r="P22" i="21"/>
  <c r="H23" i="21"/>
  <c r="N23" i="21"/>
  <c r="P23" i="21"/>
  <c r="M9" i="30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6" i="30"/>
  <c r="M6" i="30" s="1"/>
  <c r="L8" i="30"/>
  <c r="M8" i="30" s="1"/>
  <c r="L7" i="30"/>
  <c r="M7" i="30" s="1"/>
  <c r="J10" i="21"/>
  <c r="D10" i="21" s="1"/>
  <c r="J21" i="21"/>
  <c r="D21" i="21" s="1"/>
  <c r="J16" i="21"/>
  <c r="D16" i="21" s="1"/>
  <c r="J20" i="21"/>
  <c r="D20" i="21" s="1"/>
  <c r="J14" i="21"/>
  <c r="D14" i="21" s="1"/>
  <c r="J19" i="21"/>
  <c r="D19" i="21" s="1"/>
  <c r="J22" i="21"/>
  <c r="D22" i="21" s="1"/>
  <c r="M13" i="25"/>
  <c r="F13" i="25" s="1"/>
  <c r="A13" i="25" s="1"/>
  <c r="J11" i="21" s="1"/>
  <c r="D11" i="21" s="1"/>
  <c r="J17" i="21"/>
  <c r="D17" i="21" s="1"/>
  <c r="J15" i="21"/>
  <c r="D15" i="21" s="1"/>
  <c r="M10" i="25"/>
  <c r="J23" i="21"/>
  <c r="D23" i="21" s="1"/>
  <c r="M15" i="25"/>
  <c r="F15" i="25" s="1"/>
  <c r="A15" i="25" s="1"/>
  <c r="J13" i="21" s="1"/>
  <c r="D13" i="21" s="1"/>
  <c r="J18" i="21"/>
  <c r="D18" i="21" s="1"/>
  <c r="M8" i="28"/>
  <c r="L6" i="28"/>
  <c r="M6" i="28" s="1"/>
  <c r="M9" i="27"/>
  <c r="L7" i="27"/>
  <c r="M7" i="27" s="1"/>
  <c r="M6" i="26"/>
  <c r="M8" i="26"/>
  <c r="M8" i="25"/>
  <c r="M16" i="25"/>
  <c r="M24" i="25"/>
  <c r="A24" i="25" s="1"/>
  <c r="M14" i="25"/>
  <c r="M22" i="25"/>
  <c r="A22" i="25" s="1"/>
  <c r="L7" i="25"/>
  <c r="M7" i="25" s="1"/>
  <c r="L6" i="25"/>
  <c r="M6" i="25" s="1"/>
  <c r="L9" i="25"/>
  <c r="M9" i="25" s="1"/>
  <c r="L6" i="24"/>
  <c r="L7" i="24"/>
  <c r="L8" i="24"/>
  <c r="M11" i="24"/>
  <c r="F11" i="24" s="1"/>
  <c r="A11" i="24" s="1"/>
  <c r="M14" i="24"/>
  <c r="F14" i="24" s="1"/>
  <c r="A14" i="24" s="1"/>
  <c r="M19" i="24"/>
  <c r="F19" i="24" s="1"/>
  <c r="A19" i="24" s="1"/>
  <c r="M22" i="24"/>
  <c r="F22" i="24" s="1"/>
  <c r="A22" i="24" s="1"/>
  <c r="M27" i="24"/>
  <c r="F27" i="24" s="1"/>
  <c r="A27" i="24" s="1"/>
  <c r="M30" i="24"/>
  <c r="F30" i="24" s="1"/>
  <c r="A30" i="24" s="1"/>
  <c r="M6" i="24"/>
  <c r="F6" i="24" s="1"/>
  <c r="A6" i="24" s="1"/>
  <c r="M7" i="24"/>
  <c r="F7" i="24" s="1"/>
  <c r="A7" i="24" s="1"/>
  <c r="M8" i="24"/>
  <c r="F8" i="24" s="1"/>
  <c r="A8" i="24" s="1"/>
  <c r="M9" i="24"/>
  <c r="F9" i="24" s="1"/>
  <c r="A9" i="24" s="1"/>
  <c r="M17" i="24"/>
  <c r="F17" i="24" s="1"/>
  <c r="A17" i="24" s="1"/>
  <c r="M25" i="24"/>
  <c r="F25" i="24" s="1"/>
  <c r="A25" i="24" s="1"/>
  <c r="M10" i="24"/>
  <c r="F10" i="24" s="1"/>
  <c r="A10" i="24" s="1"/>
  <c r="M15" i="24"/>
  <c r="F15" i="24" s="1"/>
  <c r="A15" i="24" s="1"/>
  <c r="M18" i="24"/>
  <c r="F18" i="24" s="1"/>
  <c r="A18" i="24" s="1"/>
  <c r="M23" i="24"/>
  <c r="F23" i="24" s="1"/>
  <c r="A23" i="24" s="1"/>
  <c r="M26" i="24"/>
  <c r="F26" i="24" s="1"/>
  <c r="A26" i="24" s="1"/>
  <c r="M13" i="22"/>
  <c r="M15" i="22"/>
  <c r="M17" i="22"/>
  <c r="M19" i="22"/>
  <c r="M21" i="22"/>
  <c r="M23" i="22"/>
  <c r="M24" i="22"/>
  <c r="M14" i="22"/>
  <c r="M16" i="22"/>
  <c r="M18" i="22"/>
  <c r="M20" i="22"/>
  <c r="M22" i="22"/>
  <c r="M27" i="22"/>
  <c r="M29" i="22"/>
  <c r="M31" i="22"/>
  <c r="M11" i="22"/>
  <c r="M10" i="22"/>
  <c r="M9" i="22"/>
  <c r="M12" i="22"/>
  <c r="M6" i="22"/>
  <c r="L8" i="22"/>
  <c r="M8" i="22" s="1"/>
  <c r="L7" i="22"/>
  <c r="M7" i="22" s="1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B21" i="20"/>
  <c r="K20" i="20"/>
  <c r="I20" i="20"/>
  <c r="B20" i="20"/>
  <c r="K19" i="20"/>
  <c r="I19" i="20"/>
  <c r="B19" i="20"/>
  <c r="K18" i="20"/>
  <c r="I18" i="20"/>
  <c r="B18" i="20"/>
  <c r="K17" i="20"/>
  <c r="I17" i="20"/>
  <c r="B17" i="20"/>
  <c r="K16" i="20"/>
  <c r="I16" i="20"/>
  <c r="B16" i="20"/>
  <c r="K15" i="20"/>
  <c r="I15" i="20"/>
  <c r="K14" i="20"/>
  <c r="I14" i="20"/>
  <c r="K13" i="20"/>
  <c r="I13" i="20"/>
  <c r="K12" i="20"/>
  <c r="I12" i="20"/>
  <c r="M12" i="20" s="1"/>
  <c r="K11" i="20"/>
  <c r="I11" i="20"/>
  <c r="M11" i="20" s="1"/>
  <c r="K10" i="20"/>
  <c r="I10" i="20"/>
  <c r="M10" i="20" s="1"/>
  <c r="K9" i="20"/>
  <c r="I9" i="20"/>
  <c r="M9" i="20" s="1"/>
  <c r="K8" i="20"/>
  <c r="I8" i="20"/>
  <c r="K7" i="20"/>
  <c r="I7" i="20"/>
  <c r="I6" i="20"/>
  <c r="K2" i="20"/>
  <c r="L8" i="20" s="1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K301" i="19"/>
  <c r="I301" i="19"/>
  <c r="M301" i="19" s="1"/>
  <c r="K300" i="19"/>
  <c r="I300" i="19"/>
  <c r="M300" i="19" s="1"/>
  <c r="K299" i="19"/>
  <c r="I299" i="19"/>
  <c r="M299" i="19" s="1"/>
  <c r="K298" i="19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K294" i="19"/>
  <c r="I294" i="19"/>
  <c r="M294" i="19" s="1"/>
  <c r="K293" i="19"/>
  <c r="I293" i="19"/>
  <c r="M293" i="19" s="1"/>
  <c r="K292" i="19"/>
  <c r="I292" i="19"/>
  <c r="M292" i="19" s="1"/>
  <c r="K291" i="19"/>
  <c r="I291" i="19"/>
  <c r="M291" i="19" s="1"/>
  <c r="K290" i="19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K286" i="19"/>
  <c r="I286" i="19"/>
  <c r="M286" i="19" s="1"/>
  <c r="K285" i="19"/>
  <c r="I285" i="19"/>
  <c r="M285" i="19" s="1"/>
  <c r="K284" i="19"/>
  <c r="I284" i="19"/>
  <c r="M284" i="19" s="1"/>
  <c r="K283" i="19"/>
  <c r="I283" i="19"/>
  <c r="M283" i="19" s="1"/>
  <c r="K282" i="19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K278" i="19"/>
  <c r="I278" i="19"/>
  <c r="M278" i="19" s="1"/>
  <c r="K277" i="19"/>
  <c r="I277" i="19"/>
  <c r="M277" i="19" s="1"/>
  <c r="K276" i="19"/>
  <c r="I276" i="19"/>
  <c r="M276" i="19" s="1"/>
  <c r="K275" i="19"/>
  <c r="I275" i="19"/>
  <c r="M275" i="19" s="1"/>
  <c r="K274" i="19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M198" i="19" s="1"/>
  <c r="K197" i="19"/>
  <c r="I197" i="19"/>
  <c r="M197" i="19" s="1"/>
  <c r="K196" i="19"/>
  <c r="I196" i="19"/>
  <c r="M196" i="19" s="1"/>
  <c r="K195" i="19"/>
  <c r="I195" i="19"/>
  <c r="M195" i="19" s="1"/>
  <c r="K194" i="19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K190" i="19"/>
  <c r="I190" i="19"/>
  <c r="M190" i="19" s="1"/>
  <c r="K189" i="19"/>
  <c r="I189" i="19"/>
  <c r="M189" i="19" s="1"/>
  <c r="K188" i="19"/>
  <c r="I188" i="19"/>
  <c r="M188" i="19" s="1"/>
  <c r="K187" i="19"/>
  <c r="I187" i="19"/>
  <c r="M187" i="19" s="1"/>
  <c r="K186" i="19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K182" i="19"/>
  <c r="I182" i="19"/>
  <c r="M182" i="19" s="1"/>
  <c r="K181" i="19"/>
  <c r="I181" i="19"/>
  <c r="M181" i="19" s="1"/>
  <c r="K180" i="19"/>
  <c r="I180" i="19"/>
  <c r="M180" i="19" s="1"/>
  <c r="K179" i="19"/>
  <c r="I179" i="19"/>
  <c r="M179" i="19" s="1"/>
  <c r="K178" i="19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K173" i="19"/>
  <c r="I173" i="19"/>
  <c r="M173" i="19" s="1"/>
  <c r="K172" i="19"/>
  <c r="I172" i="19"/>
  <c r="M172" i="19" s="1"/>
  <c r="K171" i="19"/>
  <c r="I171" i="19"/>
  <c r="M171" i="19" s="1"/>
  <c r="K170" i="19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K165" i="19"/>
  <c r="I165" i="19"/>
  <c r="M165" i="19" s="1"/>
  <c r="K164" i="19"/>
  <c r="I164" i="19"/>
  <c r="M164" i="19" s="1"/>
  <c r="K163" i="19"/>
  <c r="I163" i="19"/>
  <c r="M163" i="19" s="1"/>
  <c r="K162" i="19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K158" i="19"/>
  <c r="I158" i="19"/>
  <c r="M158" i="19" s="1"/>
  <c r="K157" i="19"/>
  <c r="I157" i="19"/>
  <c r="M157" i="19" s="1"/>
  <c r="K156" i="19"/>
  <c r="I156" i="19"/>
  <c r="M156" i="19" s="1"/>
  <c r="K155" i="19"/>
  <c r="I155" i="19"/>
  <c r="M155" i="19" s="1"/>
  <c r="K154" i="19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K150" i="19"/>
  <c r="I150" i="19"/>
  <c r="M150" i="19" s="1"/>
  <c r="K149" i="19"/>
  <c r="I149" i="19"/>
  <c r="M149" i="19" s="1"/>
  <c r="K148" i="19"/>
  <c r="I148" i="19"/>
  <c r="M148" i="19" s="1"/>
  <c r="K147" i="19"/>
  <c r="I147" i="19"/>
  <c r="M147" i="19" s="1"/>
  <c r="K146" i="19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K142" i="19"/>
  <c r="I142" i="19"/>
  <c r="M142" i="19" s="1"/>
  <c r="K141" i="19"/>
  <c r="I141" i="19"/>
  <c r="M141" i="19" s="1"/>
  <c r="K140" i="19"/>
  <c r="I140" i="19"/>
  <c r="M140" i="19" s="1"/>
  <c r="K139" i="19"/>
  <c r="I139" i="19"/>
  <c r="M139" i="19" s="1"/>
  <c r="K138" i="19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K133" i="19"/>
  <c r="I133" i="19"/>
  <c r="M133" i="19" s="1"/>
  <c r="K132" i="19"/>
  <c r="I132" i="19"/>
  <c r="M132" i="19" s="1"/>
  <c r="K131" i="19"/>
  <c r="I131" i="19"/>
  <c r="M131" i="19" s="1"/>
  <c r="K130" i="19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K126" i="19"/>
  <c r="I126" i="19"/>
  <c r="M126" i="19" s="1"/>
  <c r="K125" i="19"/>
  <c r="I125" i="19"/>
  <c r="M125" i="19" s="1"/>
  <c r="K124" i="19"/>
  <c r="I124" i="19"/>
  <c r="M124" i="19" s="1"/>
  <c r="K123" i="19"/>
  <c r="I123" i="19"/>
  <c r="M123" i="19" s="1"/>
  <c r="K122" i="19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K118" i="19"/>
  <c r="I118" i="19"/>
  <c r="M118" i="19" s="1"/>
  <c r="K117" i="19"/>
  <c r="I117" i="19"/>
  <c r="M117" i="19" s="1"/>
  <c r="K116" i="19"/>
  <c r="I116" i="19"/>
  <c r="M116" i="19" s="1"/>
  <c r="K115" i="19"/>
  <c r="I115" i="19"/>
  <c r="M115" i="19" s="1"/>
  <c r="K114" i="19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K110" i="19"/>
  <c r="I110" i="19"/>
  <c r="M110" i="19" s="1"/>
  <c r="K109" i="19"/>
  <c r="I109" i="19"/>
  <c r="M109" i="19" s="1"/>
  <c r="K108" i="19"/>
  <c r="I108" i="19"/>
  <c r="M108" i="19" s="1"/>
  <c r="K107" i="19"/>
  <c r="I107" i="19"/>
  <c r="M107" i="19" s="1"/>
  <c r="K106" i="19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K102" i="19"/>
  <c r="I102" i="19"/>
  <c r="M102" i="19" s="1"/>
  <c r="K101" i="19"/>
  <c r="I101" i="19"/>
  <c r="M101" i="19" s="1"/>
  <c r="K100" i="19"/>
  <c r="I100" i="19"/>
  <c r="M100" i="19" s="1"/>
  <c r="K99" i="19"/>
  <c r="I99" i="19"/>
  <c r="M99" i="19" s="1"/>
  <c r="K98" i="19"/>
  <c r="I98" i="19"/>
  <c r="M98" i="19" s="1"/>
  <c r="K97" i="19"/>
  <c r="I97" i="19"/>
  <c r="M97" i="19" s="1"/>
  <c r="K96" i="19"/>
  <c r="I96" i="19"/>
  <c r="M96" i="19" s="1"/>
  <c r="K95" i="19"/>
  <c r="I95" i="19"/>
  <c r="M95" i="19" s="1"/>
  <c r="K94" i="19"/>
  <c r="I94" i="19"/>
  <c r="M94" i="19" s="1"/>
  <c r="K93" i="19"/>
  <c r="I93" i="19"/>
  <c r="M93" i="19" s="1"/>
  <c r="K92" i="19"/>
  <c r="I92" i="19"/>
  <c r="M92" i="19" s="1"/>
  <c r="K91" i="19"/>
  <c r="I91" i="19"/>
  <c r="M91" i="19" s="1"/>
  <c r="K90" i="19"/>
  <c r="I90" i="19"/>
  <c r="M90" i="19" s="1"/>
  <c r="K89" i="19"/>
  <c r="I89" i="19"/>
  <c r="M89" i="19" s="1"/>
  <c r="K88" i="19"/>
  <c r="I88" i="19"/>
  <c r="M88" i="19" s="1"/>
  <c r="K87" i="19"/>
  <c r="I87" i="19"/>
  <c r="M87" i="19" s="1"/>
  <c r="K86" i="19"/>
  <c r="I86" i="19"/>
  <c r="M86" i="19" s="1"/>
  <c r="K85" i="19"/>
  <c r="I85" i="19"/>
  <c r="M85" i="19" s="1"/>
  <c r="K84" i="19"/>
  <c r="I84" i="19"/>
  <c r="M84" i="19" s="1"/>
  <c r="K83" i="19"/>
  <c r="I83" i="19"/>
  <c r="M83" i="19" s="1"/>
  <c r="K82" i="19"/>
  <c r="I82" i="19"/>
  <c r="M82" i="19" s="1"/>
  <c r="K81" i="19"/>
  <c r="I81" i="19"/>
  <c r="M81" i="19" s="1"/>
  <c r="K80" i="19"/>
  <c r="I80" i="19"/>
  <c r="M80" i="19" s="1"/>
  <c r="K79" i="19"/>
  <c r="I79" i="19"/>
  <c r="M79" i="19" s="1"/>
  <c r="K78" i="19"/>
  <c r="I78" i="19"/>
  <c r="M78" i="19" s="1"/>
  <c r="K77" i="19"/>
  <c r="I77" i="19"/>
  <c r="M77" i="19" s="1"/>
  <c r="K76" i="19"/>
  <c r="I76" i="19"/>
  <c r="M76" i="19" s="1"/>
  <c r="K75" i="19"/>
  <c r="I75" i="19"/>
  <c r="M75" i="19" s="1"/>
  <c r="K74" i="19"/>
  <c r="I74" i="19"/>
  <c r="M74" i="19" s="1"/>
  <c r="K73" i="19"/>
  <c r="I73" i="19"/>
  <c r="M73" i="19" s="1"/>
  <c r="K72" i="19"/>
  <c r="I72" i="19"/>
  <c r="M72" i="19" s="1"/>
  <c r="K71" i="19"/>
  <c r="I71" i="19"/>
  <c r="M71" i="19" s="1"/>
  <c r="K70" i="19"/>
  <c r="I70" i="19"/>
  <c r="M70" i="19" s="1"/>
  <c r="K69" i="19"/>
  <c r="I69" i="19"/>
  <c r="M69" i="19" s="1"/>
  <c r="K68" i="19"/>
  <c r="I68" i="19"/>
  <c r="M68" i="19" s="1"/>
  <c r="K67" i="19"/>
  <c r="I67" i="19"/>
  <c r="M67" i="19" s="1"/>
  <c r="K66" i="19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K62" i="19"/>
  <c r="I62" i="19"/>
  <c r="M62" i="19" s="1"/>
  <c r="B62" i="19"/>
  <c r="K61" i="19"/>
  <c r="I61" i="19"/>
  <c r="M61" i="19" s="1"/>
  <c r="B61" i="19"/>
  <c r="K60" i="19"/>
  <c r="I60" i="19"/>
  <c r="M60" i="19" s="1"/>
  <c r="B60" i="19"/>
  <c r="K59" i="19"/>
  <c r="I59" i="19"/>
  <c r="M59" i="19" s="1"/>
  <c r="B59" i="19"/>
  <c r="K58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K54" i="19"/>
  <c r="I54" i="19"/>
  <c r="M54" i="19" s="1"/>
  <c r="B54" i="19"/>
  <c r="K53" i="19"/>
  <c r="I53" i="19"/>
  <c r="M53" i="19" s="1"/>
  <c r="B53" i="19"/>
  <c r="K52" i="19"/>
  <c r="I52" i="19"/>
  <c r="M52" i="19" s="1"/>
  <c r="B52" i="19"/>
  <c r="K51" i="19"/>
  <c r="I51" i="19"/>
  <c r="M51" i="19" s="1"/>
  <c r="B51" i="19"/>
  <c r="K50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K46" i="19"/>
  <c r="I46" i="19"/>
  <c r="M46" i="19" s="1"/>
  <c r="B46" i="19"/>
  <c r="K45" i="19"/>
  <c r="I45" i="19"/>
  <c r="M45" i="19" s="1"/>
  <c r="B45" i="19"/>
  <c r="K44" i="19"/>
  <c r="I44" i="19"/>
  <c r="M44" i="19" s="1"/>
  <c r="B44" i="19"/>
  <c r="K43" i="19"/>
  <c r="I43" i="19"/>
  <c r="M43" i="19" s="1"/>
  <c r="B43" i="19"/>
  <c r="K42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K38" i="19"/>
  <c r="I38" i="19"/>
  <c r="M38" i="19" s="1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K20" i="19"/>
  <c r="I20" i="19"/>
  <c r="B20" i="19"/>
  <c r="K19" i="19"/>
  <c r="I19" i="19"/>
  <c r="B19" i="19"/>
  <c r="K18" i="19"/>
  <c r="I18" i="19"/>
  <c r="B18" i="19"/>
  <c r="K17" i="19"/>
  <c r="I17" i="19"/>
  <c r="B17" i="19"/>
  <c r="K16" i="19"/>
  <c r="I16" i="19"/>
  <c r="B16" i="19"/>
  <c r="K15" i="19"/>
  <c r="I15" i="19"/>
  <c r="M15" i="19" s="1"/>
  <c r="B15" i="19"/>
  <c r="A15" i="19"/>
  <c r="K14" i="19"/>
  <c r="I14" i="19"/>
  <c r="M14" i="19" s="1"/>
  <c r="A14" i="19" s="1"/>
  <c r="B14" i="19"/>
  <c r="K13" i="19"/>
  <c r="I13" i="19"/>
  <c r="M13" i="19" s="1"/>
  <c r="B13" i="19"/>
  <c r="A13" i="19"/>
  <c r="K12" i="19"/>
  <c r="I12" i="19"/>
  <c r="B12" i="19"/>
  <c r="K11" i="19"/>
  <c r="I11" i="19"/>
  <c r="M11" i="19" s="1"/>
  <c r="A11" i="19" s="1"/>
  <c r="B11" i="19"/>
  <c r="K10" i="19"/>
  <c r="I10" i="19"/>
  <c r="K9" i="19"/>
  <c r="I9" i="19"/>
  <c r="M9" i="19" s="1"/>
  <c r="A9" i="19" s="1"/>
  <c r="K8" i="19"/>
  <c r="I8" i="19"/>
  <c r="K7" i="19"/>
  <c r="I7" i="19"/>
  <c r="I6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B36" i="18"/>
  <c r="A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B32" i="18"/>
  <c r="A32" i="18"/>
  <c r="K31" i="18"/>
  <c r="I31" i="18"/>
  <c r="M31" i="18" s="1"/>
  <c r="A31" i="18" s="1"/>
  <c r="B31" i="18"/>
  <c r="K30" i="18"/>
  <c r="I30" i="18"/>
  <c r="M30" i="18" s="1"/>
  <c r="B30" i="18"/>
  <c r="A30" i="18"/>
  <c r="K29" i="18"/>
  <c r="I29" i="18"/>
  <c r="M29" i="18" s="1"/>
  <c r="A29" i="18" s="1"/>
  <c r="B29" i="18"/>
  <c r="K28" i="18"/>
  <c r="I28" i="18"/>
  <c r="M28" i="18" s="1"/>
  <c r="B28" i="18"/>
  <c r="A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/>
  <c r="K19" i="18"/>
  <c r="I19" i="18"/>
  <c r="M19" i="18" s="1"/>
  <c r="A19" i="18" s="1"/>
  <c r="K18" i="18"/>
  <c r="I18" i="18"/>
  <c r="M18" i="18" s="1"/>
  <c r="A18" i="18" s="1"/>
  <c r="K17" i="18"/>
  <c r="I17" i="18"/>
  <c r="M17" i="18" s="1"/>
  <c r="A17" i="18" s="1"/>
  <c r="K16" i="18"/>
  <c r="I16" i="18"/>
  <c r="K15" i="18"/>
  <c r="I15" i="18"/>
  <c r="M15" i="18" s="1"/>
  <c r="A15" i="18" s="1"/>
  <c r="K14" i="18"/>
  <c r="I14" i="18"/>
  <c r="K13" i="18"/>
  <c r="I13" i="18"/>
  <c r="K12" i="18"/>
  <c r="I12" i="18"/>
  <c r="K11" i="18"/>
  <c r="I11" i="18"/>
  <c r="K10" i="18"/>
  <c r="I10" i="18"/>
  <c r="K9" i="18"/>
  <c r="I9" i="18"/>
  <c r="K8" i="18"/>
  <c r="I8" i="18"/>
  <c r="K7" i="18"/>
  <c r="I7" i="18"/>
  <c r="I6" i="18"/>
  <c r="K2" i="18"/>
  <c r="L9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B35" i="17"/>
  <c r="K34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K29" i="17"/>
  <c r="I29" i="17"/>
  <c r="B29" i="17"/>
  <c r="K28" i="17"/>
  <c r="I28" i="17"/>
  <c r="M28" i="17" s="1"/>
  <c r="A28" i="17" s="1"/>
  <c r="B28" i="17"/>
  <c r="K27" i="17"/>
  <c r="I27" i="17"/>
  <c r="B27" i="17"/>
  <c r="K26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K22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K18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K14" i="17"/>
  <c r="I14" i="17"/>
  <c r="M14" i="17" s="1"/>
  <c r="A14" i="17" s="1"/>
  <c r="B14" i="17"/>
  <c r="J18" i="1" s="1"/>
  <c r="K13" i="17"/>
  <c r="I13" i="17"/>
  <c r="K12" i="17"/>
  <c r="I12" i="17"/>
  <c r="K11" i="17"/>
  <c r="I11" i="17"/>
  <c r="K10" i="17"/>
  <c r="I10" i="17"/>
  <c r="K9" i="17"/>
  <c r="I9" i="17"/>
  <c r="K8" i="17"/>
  <c r="I8" i="17"/>
  <c r="K7" i="17"/>
  <c r="I7" i="17"/>
  <c r="I6" i="17"/>
  <c r="K2" i="17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E12" i="1" s="1"/>
  <c r="B12" i="14"/>
  <c r="E14" i="1" s="1"/>
  <c r="B11" i="14"/>
  <c r="E10" i="1" s="1"/>
  <c r="B10" i="14"/>
  <c r="E11" i="1" s="1"/>
  <c r="B9" i="14"/>
  <c r="E9" i="1" s="1"/>
  <c r="B8" i="14"/>
  <c r="E8" i="1" s="1"/>
  <c r="B7" i="14"/>
  <c r="E7" i="1" s="1"/>
  <c r="B6" i="14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3" i="16"/>
  <c r="G12" i="1" s="1"/>
  <c r="B12" i="16"/>
  <c r="G14" i="1" s="1"/>
  <c r="B11" i="16"/>
  <c r="G17" i="1" s="1"/>
  <c r="B10" i="16"/>
  <c r="G11" i="1" s="1"/>
  <c r="B9" i="16"/>
  <c r="G8" i="1" s="1"/>
  <c r="B8" i="16"/>
  <c r="G7" i="1" s="1"/>
  <c r="B7" i="16"/>
  <c r="G10" i="1" s="1"/>
  <c r="B6" i="16"/>
  <c r="G6" i="1" s="1"/>
  <c r="B14" i="16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A37" i="16"/>
  <c r="A36" i="16"/>
  <c r="A34" i="16"/>
  <c r="A33" i="16"/>
  <c r="A31" i="16"/>
  <c r="A25" i="16"/>
  <c r="A20" i="16"/>
  <c r="A19" i="16"/>
  <c r="A17" i="16"/>
  <c r="A16" i="16"/>
  <c r="A15" i="16"/>
  <c r="A14" i="16"/>
  <c r="K2" i="16"/>
  <c r="E6" i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K64" i="14"/>
  <c r="I64" i="14"/>
  <c r="M64" i="14" s="1"/>
  <c r="K63" i="14"/>
  <c r="I63" i="14"/>
  <c r="M63" i="14" s="1"/>
  <c r="K62" i="14"/>
  <c r="I62" i="14"/>
  <c r="M62" i="14" s="1"/>
  <c r="K61" i="14"/>
  <c r="I61" i="14"/>
  <c r="M61" i="14" s="1"/>
  <c r="K60" i="14"/>
  <c r="I60" i="14"/>
  <c r="M60" i="14" s="1"/>
  <c r="K59" i="14"/>
  <c r="I59" i="14"/>
  <c r="M59" i="14" s="1"/>
  <c r="K58" i="14"/>
  <c r="I58" i="14"/>
  <c r="M58" i="14" s="1"/>
  <c r="K57" i="14"/>
  <c r="I57" i="14"/>
  <c r="M57" i="14" s="1"/>
  <c r="K56" i="14"/>
  <c r="I56" i="14"/>
  <c r="M56" i="14" s="1"/>
  <c r="K55" i="14"/>
  <c r="I55" i="14"/>
  <c r="M55" i="14" s="1"/>
  <c r="K54" i="14"/>
  <c r="I54" i="14"/>
  <c r="M54" i="14" s="1"/>
  <c r="K53" i="14"/>
  <c r="I53" i="14"/>
  <c r="M53" i="14" s="1"/>
  <c r="K52" i="14"/>
  <c r="I52" i="14"/>
  <c r="M52" i="14" s="1"/>
  <c r="K51" i="14"/>
  <c r="I51" i="14"/>
  <c r="M51" i="14" s="1"/>
  <c r="K50" i="14"/>
  <c r="I50" i="14"/>
  <c r="M50" i="14" s="1"/>
  <c r="K49" i="14"/>
  <c r="I49" i="14"/>
  <c r="M49" i="14" s="1"/>
  <c r="K48" i="14"/>
  <c r="I48" i="14"/>
  <c r="M48" i="14" s="1"/>
  <c r="K47" i="14"/>
  <c r="I47" i="14"/>
  <c r="M47" i="14" s="1"/>
  <c r="K46" i="14"/>
  <c r="I46" i="14"/>
  <c r="M46" i="14" s="1"/>
  <c r="K45" i="14"/>
  <c r="I45" i="14"/>
  <c r="M45" i="14" s="1"/>
  <c r="K44" i="14"/>
  <c r="I44" i="14"/>
  <c r="M44" i="14" s="1"/>
  <c r="K43" i="14"/>
  <c r="I43" i="14"/>
  <c r="M43" i="14" s="1"/>
  <c r="K42" i="14"/>
  <c r="I42" i="14"/>
  <c r="M42" i="14" s="1"/>
  <c r="K41" i="14"/>
  <c r="I41" i="14"/>
  <c r="M41" i="14" s="1"/>
  <c r="K40" i="14"/>
  <c r="I40" i="14"/>
  <c r="M40" i="14" s="1"/>
  <c r="K39" i="14"/>
  <c r="I39" i="14"/>
  <c r="M39" i="14" s="1"/>
  <c r="K38" i="14"/>
  <c r="I38" i="14"/>
  <c r="M38" i="14" s="1"/>
  <c r="K37" i="14"/>
  <c r="I37" i="14"/>
  <c r="M37" i="14" s="1"/>
  <c r="K36" i="14"/>
  <c r="I36" i="14"/>
  <c r="M36" i="14" s="1"/>
  <c r="K35" i="14"/>
  <c r="I35" i="14"/>
  <c r="M35" i="14" s="1"/>
  <c r="K34" i="14"/>
  <c r="I34" i="14"/>
  <c r="M34" i="14" s="1"/>
  <c r="K33" i="14"/>
  <c r="I33" i="14"/>
  <c r="M33" i="14" s="1"/>
  <c r="K32" i="14"/>
  <c r="I32" i="14"/>
  <c r="M32" i="14" s="1"/>
  <c r="K31" i="14"/>
  <c r="I31" i="14"/>
  <c r="M31" i="14" s="1"/>
  <c r="K30" i="14"/>
  <c r="I30" i="14"/>
  <c r="M30" i="14" s="1"/>
  <c r="K29" i="14"/>
  <c r="I29" i="14"/>
  <c r="M29" i="14" s="1"/>
  <c r="K28" i="14"/>
  <c r="I28" i="14"/>
  <c r="M28" i="14" s="1"/>
  <c r="K27" i="14"/>
  <c r="I27" i="14"/>
  <c r="M27" i="14" s="1"/>
  <c r="K26" i="14"/>
  <c r="I26" i="14"/>
  <c r="M26" i="14" s="1"/>
  <c r="K25" i="14"/>
  <c r="I25" i="14"/>
  <c r="M25" i="14" s="1"/>
  <c r="K24" i="14"/>
  <c r="I24" i="14"/>
  <c r="M24" i="14" s="1"/>
  <c r="K23" i="14"/>
  <c r="I23" i="14"/>
  <c r="M23" i="14" s="1"/>
  <c r="K22" i="14"/>
  <c r="I22" i="14"/>
  <c r="M22" i="14" s="1"/>
  <c r="K21" i="14"/>
  <c r="I21" i="14"/>
  <c r="M21" i="14" s="1"/>
  <c r="K20" i="14"/>
  <c r="I20" i="14"/>
  <c r="M20" i="14" s="1"/>
  <c r="K19" i="14"/>
  <c r="I19" i="14"/>
  <c r="M19" i="14" s="1"/>
  <c r="K18" i="14"/>
  <c r="I18" i="14"/>
  <c r="M18" i="14" s="1"/>
  <c r="K17" i="14"/>
  <c r="I17" i="14"/>
  <c r="M17" i="14" s="1"/>
  <c r="K16" i="14"/>
  <c r="I16" i="14"/>
  <c r="M16" i="14" s="1"/>
  <c r="K15" i="14"/>
  <c r="I15" i="14"/>
  <c r="M15" i="14" s="1"/>
  <c r="K14" i="14"/>
  <c r="I14" i="14"/>
  <c r="M14" i="14" s="1"/>
  <c r="K13" i="14"/>
  <c r="I13" i="14"/>
  <c r="M13" i="14" s="1"/>
  <c r="K12" i="14"/>
  <c r="I12" i="14"/>
  <c r="M12" i="14" s="1"/>
  <c r="K11" i="14"/>
  <c r="I11" i="14"/>
  <c r="M11" i="14" s="1"/>
  <c r="K10" i="14"/>
  <c r="I10" i="14"/>
  <c r="M10" i="14" s="1"/>
  <c r="K9" i="14"/>
  <c r="I9" i="14"/>
  <c r="M9" i="14" s="1"/>
  <c r="K8" i="14"/>
  <c r="I8" i="14"/>
  <c r="K7" i="14"/>
  <c r="I7" i="14"/>
  <c r="K6" i="14"/>
  <c r="I6" i="14"/>
  <c r="K2" i="14"/>
  <c r="L7" i="14" s="1"/>
  <c r="N6" i="1" l="1"/>
  <c r="N7" i="1"/>
  <c r="N8" i="1"/>
  <c r="N11" i="1"/>
  <c r="N18" i="1"/>
  <c r="N19" i="1"/>
  <c r="N13" i="1"/>
  <c r="N15" i="1"/>
  <c r="N14" i="1"/>
  <c r="N17" i="1"/>
  <c r="N20" i="1"/>
  <c r="N21" i="1"/>
  <c r="N22" i="1"/>
  <c r="N23" i="1"/>
  <c r="M12" i="1"/>
  <c r="M7" i="14"/>
  <c r="L8" i="17"/>
  <c r="L7" i="17"/>
  <c r="L8" i="19"/>
  <c r="L7" i="19"/>
  <c r="L6" i="19"/>
  <c r="M6" i="19"/>
  <c r="A6" i="19" s="1"/>
  <c r="N10" i="1" s="1"/>
  <c r="M7" i="19"/>
  <c r="M8" i="19"/>
  <c r="A8" i="19" s="1"/>
  <c r="M10" i="19"/>
  <c r="A10" i="19" s="1"/>
  <c r="N16" i="1" s="1"/>
  <c r="M12" i="19"/>
  <c r="A12" i="19" s="1"/>
  <c r="M16" i="19"/>
  <c r="A16" i="19" s="1"/>
  <c r="M17" i="19"/>
  <c r="A17" i="19" s="1"/>
  <c r="M18" i="19"/>
  <c r="A18" i="19" s="1"/>
  <c r="M19" i="19"/>
  <c r="A19" i="19" s="1"/>
  <c r="M20" i="19"/>
  <c r="A20" i="19" s="1"/>
  <c r="M21" i="19"/>
  <c r="A21" i="19" s="1"/>
  <c r="M22" i="19"/>
  <c r="A22" i="19" s="1"/>
  <c r="M23" i="19"/>
  <c r="A23" i="19" s="1"/>
  <c r="M24" i="19"/>
  <c r="A24" i="19" s="1"/>
  <c r="M25" i="19"/>
  <c r="A25" i="19" s="1"/>
  <c r="M26" i="19"/>
  <c r="A26" i="19" s="1"/>
  <c r="M27" i="19"/>
  <c r="A27" i="19" s="1"/>
  <c r="M28" i="19"/>
  <c r="A28" i="19" s="1"/>
  <c r="M29" i="19"/>
  <c r="A29" i="19" s="1"/>
  <c r="M30" i="19"/>
  <c r="A30" i="19" s="1"/>
  <c r="M31" i="19"/>
  <c r="A31" i="19" s="1"/>
  <c r="M32" i="19"/>
  <c r="A32" i="19" s="1"/>
  <c r="M33" i="19"/>
  <c r="A33" i="19" s="1"/>
  <c r="M34" i="19"/>
  <c r="A34" i="19" s="1"/>
  <c r="M35" i="19"/>
  <c r="A35" i="19" s="1"/>
  <c r="M36" i="19"/>
  <c r="A36" i="19" s="1"/>
  <c r="M37" i="19"/>
  <c r="A37" i="19" s="1"/>
  <c r="M8" i="20"/>
  <c r="M13" i="20"/>
  <c r="N13" i="20" s="1"/>
  <c r="A13" i="20" s="1"/>
  <c r="P14" i="1" s="1"/>
  <c r="M14" i="20"/>
  <c r="N14" i="20" s="1"/>
  <c r="A14" i="20" s="1"/>
  <c r="P13" i="1" s="1"/>
  <c r="M15" i="20"/>
  <c r="N15" i="20" s="1"/>
  <c r="A15" i="20" s="1"/>
  <c r="P16" i="1" s="1"/>
  <c r="N16" i="20"/>
  <c r="A16" i="20" s="1"/>
  <c r="M16" i="20"/>
  <c r="N17" i="20"/>
  <c r="A17" i="20" s="1"/>
  <c r="M17" i="20"/>
  <c r="N18" i="20"/>
  <c r="A18" i="20" s="1"/>
  <c r="M18" i="20"/>
  <c r="N19" i="20"/>
  <c r="A19" i="20" s="1"/>
  <c r="M19" i="20"/>
  <c r="N20" i="20"/>
  <c r="A20" i="20" s="1"/>
  <c r="M20" i="20"/>
  <c r="N21" i="20"/>
  <c r="A21" i="20" s="1"/>
  <c r="M21" i="20"/>
  <c r="N22" i="20"/>
  <c r="A22" i="20" s="1"/>
  <c r="M22" i="20"/>
  <c r="N23" i="20"/>
  <c r="A23" i="20" s="1"/>
  <c r="M23" i="20"/>
  <c r="N24" i="20"/>
  <c r="A24" i="20" s="1"/>
  <c r="M24" i="20"/>
  <c r="N25" i="20"/>
  <c r="A25" i="20" s="1"/>
  <c r="M25" i="20"/>
  <c r="N26" i="20"/>
  <c r="A26" i="20" s="1"/>
  <c r="M26" i="20"/>
  <c r="N27" i="20"/>
  <c r="A27" i="20" s="1"/>
  <c r="M27" i="20"/>
  <c r="N29" i="20"/>
  <c r="A29" i="20" s="1"/>
  <c r="M29" i="20"/>
  <c r="N30" i="20"/>
  <c r="A30" i="20" s="1"/>
  <c r="M30" i="20"/>
  <c r="N31" i="20"/>
  <c r="A31" i="20" s="1"/>
  <c r="M31" i="20"/>
  <c r="N32" i="20"/>
  <c r="A32" i="20" s="1"/>
  <c r="M32" i="20"/>
  <c r="N33" i="20"/>
  <c r="A33" i="20" s="1"/>
  <c r="M33" i="20"/>
  <c r="N35" i="20"/>
  <c r="A35" i="20" s="1"/>
  <c r="M35" i="20"/>
  <c r="N36" i="20"/>
  <c r="A36" i="20" s="1"/>
  <c r="M36" i="20"/>
  <c r="N37" i="20"/>
  <c r="A37" i="20" s="1"/>
  <c r="M37" i="20"/>
  <c r="N38" i="20"/>
  <c r="A38" i="20" s="1"/>
  <c r="M38" i="20"/>
  <c r="N39" i="20"/>
  <c r="A39" i="20" s="1"/>
  <c r="M39" i="20"/>
  <c r="N40" i="20"/>
  <c r="A40" i="20" s="1"/>
  <c r="M40" i="20"/>
  <c r="N41" i="20"/>
  <c r="A41" i="20" s="1"/>
  <c r="M41" i="20"/>
  <c r="N42" i="20"/>
  <c r="A42" i="20" s="1"/>
  <c r="M42" i="20"/>
  <c r="N43" i="20"/>
  <c r="A43" i="20" s="1"/>
  <c r="M43" i="20"/>
  <c r="N44" i="20"/>
  <c r="A44" i="20" s="1"/>
  <c r="M44" i="20"/>
  <c r="N45" i="20"/>
  <c r="A45" i="20" s="1"/>
  <c r="M45" i="20"/>
  <c r="N46" i="20"/>
  <c r="A46" i="20" s="1"/>
  <c r="M46" i="20"/>
  <c r="N47" i="20"/>
  <c r="A47" i="20" s="1"/>
  <c r="M47" i="20"/>
  <c r="N48" i="20"/>
  <c r="A48" i="20" s="1"/>
  <c r="M48" i="20"/>
  <c r="N49" i="20"/>
  <c r="A49" i="20" s="1"/>
  <c r="M49" i="20"/>
  <c r="N50" i="20"/>
  <c r="A50" i="20" s="1"/>
  <c r="M50" i="20"/>
  <c r="N51" i="20"/>
  <c r="A51" i="20" s="1"/>
  <c r="M51" i="20"/>
  <c r="N52" i="20"/>
  <c r="A52" i="20" s="1"/>
  <c r="M52" i="20"/>
  <c r="N53" i="20"/>
  <c r="A53" i="20" s="1"/>
  <c r="M53" i="20"/>
  <c r="N54" i="20"/>
  <c r="A54" i="20" s="1"/>
  <c r="M54" i="20"/>
  <c r="N55" i="20"/>
  <c r="A55" i="20" s="1"/>
  <c r="M55" i="20"/>
  <c r="N56" i="20"/>
  <c r="A56" i="20" s="1"/>
  <c r="M56" i="20"/>
  <c r="N57" i="20"/>
  <c r="A57" i="20" s="1"/>
  <c r="M57" i="20"/>
  <c r="N58" i="20"/>
  <c r="A58" i="20" s="1"/>
  <c r="M58" i="20"/>
  <c r="N59" i="20"/>
  <c r="A59" i="20" s="1"/>
  <c r="M59" i="20"/>
  <c r="N60" i="20"/>
  <c r="A60" i="20" s="1"/>
  <c r="M60" i="20"/>
  <c r="N61" i="20"/>
  <c r="A61" i="20" s="1"/>
  <c r="M61" i="20"/>
  <c r="N62" i="20"/>
  <c r="A62" i="20" s="1"/>
  <c r="M62" i="20"/>
  <c r="N63" i="20"/>
  <c r="A63" i="20" s="1"/>
  <c r="M63" i="20"/>
  <c r="N64" i="20"/>
  <c r="A64" i="20" s="1"/>
  <c r="M64" i="20"/>
  <c r="N65" i="20"/>
  <c r="A65" i="20" s="1"/>
  <c r="M65" i="20"/>
  <c r="N66" i="20"/>
  <c r="A66" i="20" s="1"/>
  <c r="M66" i="20"/>
  <c r="N67" i="20"/>
  <c r="A67" i="20" s="1"/>
  <c r="M67" i="20"/>
  <c r="N68" i="20"/>
  <c r="A68" i="20" s="1"/>
  <c r="M68" i="20"/>
  <c r="N69" i="20"/>
  <c r="A69" i="20" s="1"/>
  <c r="M69" i="20"/>
  <c r="N70" i="20"/>
  <c r="A70" i="20" s="1"/>
  <c r="M70" i="20"/>
  <c r="N71" i="20"/>
  <c r="A71" i="20" s="1"/>
  <c r="M71" i="20"/>
  <c r="N72" i="20"/>
  <c r="A72" i="20" s="1"/>
  <c r="M72" i="20"/>
  <c r="N73" i="20"/>
  <c r="A73" i="20" s="1"/>
  <c r="M73" i="20"/>
  <c r="N74" i="20"/>
  <c r="A74" i="20" s="1"/>
  <c r="M74" i="20"/>
  <c r="N75" i="20"/>
  <c r="A75" i="20" s="1"/>
  <c r="M75" i="20"/>
  <c r="N76" i="20"/>
  <c r="A76" i="20" s="1"/>
  <c r="M76" i="20"/>
  <c r="N77" i="20"/>
  <c r="A77" i="20" s="1"/>
  <c r="M77" i="20"/>
  <c r="N78" i="20"/>
  <c r="A78" i="20" s="1"/>
  <c r="M78" i="20"/>
  <c r="N79" i="20"/>
  <c r="A79" i="20" s="1"/>
  <c r="M79" i="20"/>
  <c r="N80" i="20"/>
  <c r="A80" i="20" s="1"/>
  <c r="M80" i="20"/>
  <c r="N81" i="20"/>
  <c r="A81" i="20" s="1"/>
  <c r="M81" i="20"/>
  <c r="N82" i="20"/>
  <c r="A82" i="20" s="1"/>
  <c r="M82" i="20"/>
  <c r="N83" i="20"/>
  <c r="A83" i="20" s="1"/>
  <c r="M83" i="20"/>
  <c r="N84" i="20"/>
  <c r="A84" i="20" s="1"/>
  <c r="M84" i="20"/>
  <c r="N85" i="20"/>
  <c r="A85" i="20" s="1"/>
  <c r="M85" i="20"/>
  <c r="N86" i="20"/>
  <c r="A86" i="20" s="1"/>
  <c r="M86" i="20"/>
  <c r="N87" i="20"/>
  <c r="A87" i="20" s="1"/>
  <c r="M87" i="20"/>
  <c r="N88" i="20"/>
  <c r="A88" i="20" s="1"/>
  <c r="M88" i="20"/>
  <c r="N89" i="20"/>
  <c r="A89" i="20" s="1"/>
  <c r="M89" i="20"/>
  <c r="N90" i="20"/>
  <c r="A90" i="20" s="1"/>
  <c r="M90" i="20"/>
  <c r="N91" i="20"/>
  <c r="A91" i="20" s="1"/>
  <c r="M91" i="20"/>
  <c r="N92" i="20"/>
  <c r="A92" i="20" s="1"/>
  <c r="M92" i="20"/>
  <c r="N93" i="20"/>
  <c r="A93" i="20" s="1"/>
  <c r="M93" i="20"/>
  <c r="N94" i="20"/>
  <c r="A94" i="20" s="1"/>
  <c r="M94" i="20"/>
  <c r="N95" i="20"/>
  <c r="A95" i="20" s="1"/>
  <c r="M95" i="20"/>
  <c r="N96" i="20"/>
  <c r="A96" i="20" s="1"/>
  <c r="M96" i="20"/>
  <c r="N97" i="20"/>
  <c r="A97" i="20" s="1"/>
  <c r="M97" i="20"/>
  <c r="N98" i="20"/>
  <c r="A98" i="20" s="1"/>
  <c r="M98" i="20"/>
  <c r="N99" i="20"/>
  <c r="A99" i="20" s="1"/>
  <c r="M99" i="20"/>
  <c r="N100" i="20"/>
  <c r="A100" i="20" s="1"/>
  <c r="M100" i="20"/>
  <c r="N101" i="20"/>
  <c r="A101" i="20" s="1"/>
  <c r="M101" i="20"/>
  <c r="N102" i="20"/>
  <c r="A102" i="20" s="1"/>
  <c r="M102" i="20"/>
  <c r="N103" i="20"/>
  <c r="A103" i="20" s="1"/>
  <c r="M103" i="20"/>
  <c r="N104" i="20"/>
  <c r="A104" i="20" s="1"/>
  <c r="M104" i="20"/>
  <c r="N105" i="20"/>
  <c r="A105" i="20" s="1"/>
  <c r="M105" i="20"/>
  <c r="N106" i="20"/>
  <c r="A106" i="20" s="1"/>
  <c r="M106" i="20"/>
  <c r="N107" i="20"/>
  <c r="A107" i="20" s="1"/>
  <c r="M107" i="20"/>
  <c r="N108" i="20"/>
  <c r="A108" i="20" s="1"/>
  <c r="M108" i="20"/>
  <c r="N109" i="20"/>
  <c r="A109" i="20" s="1"/>
  <c r="M109" i="20"/>
  <c r="N110" i="20"/>
  <c r="A110" i="20" s="1"/>
  <c r="M110" i="20"/>
  <c r="N111" i="20"/>
  <c r="A111" i="20" s="1"/>
  <c r="M111" i="20"/>
  <c r="N112" i="20"/>
  <c r="A112" i="20" s="1"/>
  <c r="M112" i="20"/>
  <c r="N113" i="20"/>
  <c r="A113" i="20" s="1"/>
  <c r="M113" i="20"/>
  <c r="N114" i="20"/>
  <c r="A114" i="20" s="1"/>
  <c r="M114" i="20"/>
  <c r="N115" i="20"/>
  <c r="A115" i="20" s="1"/>
  <c r="M115" i="20"/>
  <c r="N116" i="20"/>
  <c r="A116" i="20" s="1"/>
  <c r="M116" i="20"/>
  <c r="N117" i="20"/>
  <c r="A117" i="20" s="1"/>
  <c r="M117" i="20"/>
  <c r="N118" i="20"/>
  <c r="A118" i="20" s="1"/>
  <c r="M118" i="20"/>
  <c r="N119" i="20"/>
  <c r="A119" i="20" s="1"/>
  <c r="M119" i="20"/>
  <c r="N120" i="20"/>
  <c r="A120" i="20" s="1"/>
  <c r="M120" i="20"/>
  <c r="N121" i="20"/>
  <c r="A121" i="20" s="1"/>
  <c r="M121" i="20"/>
  <c r="N122" i="20"/>
  <c r="A122" i="20" s="1"/>
  <c r="M122" i="20"/>
  <c r="N123" i="20"/>
  <c r="A123" i="20" s="1"/>
  <c r="M123" i="20"/>
  <c r="N124" i="20"/>
  <c r="A124" i="20" s="1"/>
  <c r="M124" i="20"/>
  <c r="N125" i="20"/>
  <c r="A125" i="20" s="1"/>
  <c r="M125" i="20"/>
  <c r="N126" i="20"/>
  <c r="A126" i="20" s="1"/>
  <c r="M126" i="20"/>
  <c r="N127" i="20"/>
  <c r="A127" i="20" s="1"/>
  <c r="M127" i="20"/>
  <c r="N128" i="20"/>
  <c r="A128" i="20" s="1"/>
  <c r="M128" i="20"/>
  <c r="N129" i="20"/>
  <c r="A129" i="20" s="1"/>
  <c r="M129" i="20"/>
  <c r="N130" i="20"/>
  <c r="A130" i="20" s="1"/>
  <c r="M130" i="20"/>
  <c r="N131" i="20"/>
  <c r="A131" i="20" s="1"/>
  <c r="M131" i="20"/>
  <c r="N132" i="20"/>
  <c r="A132" i="20" s="1"/>
  <c r="M132" i="20"/>
  <c r="N133" i="20"/>
  <c r="A133" i="20" s="1"/>
  <c r="M133" i="20"/>
  <c r="N134" i="20"/>
  <c r="A134" i="20" s="1"/>
  <c r="M134" i="20"/>
  <c r="N135" i="20"/>
  <c r="A135" i="20" s="1"/>
  <c r="M135" i="20"/>
  <c r="N136" i="20"/>
  <c r="A136" i="20" s="1"/>
  <c r="M136" i="20"/>
  <c r="N137" i="20"/>
  <c r="A137" i="20" s="1"/>
  <c r="M137" i="20"/>
  <c r="N138" i="20"/>
  <c r="A138" i="20" s="1"/>
  <c r="M138" i="20"/>
  <c r="N139" i="20"/>
  <c r="A139" i="20" s="1"/>
  <c r="M139" i="20"/>
  <c r="N140" i="20"/>
  <c r="A140" i="20" s="1"/>
  <c r="M140" i="20"/>
  <c r="N141" i="20"/>
  <c r="A141" i="20" s="1"/>
  <c r="M141" i="20"/>
  <c r="N142" i="20"/>
  <c r="A142" i="20" s="1"/>
  <c r="M142" i="20"/>
  <c r="N143" i="20"/>
  <c r="A143" i="20" s="1"/>
  <c r="M143" i="20"/>
  <c r="N144" i="20"/>
  <c r="A144" i="20" s="1"/>
  <c r="M144" i="20"/>
  <c r="N145" i="20"/>
  <c r="A145" i="20" s="1"/>
  <c r="M145" i="20"/>
  <c r="N146" i="20"/>
  <c r="A146" i="20" s="1"/>
  <c r="M146" i="20"/>
  <c r="N147" i="20"/>
  <c r="A147" i="20" s="1"/>
  <c r="M147" i="20"/>
  <c r="N148" i="20"/>
  <c r="A148" i="20" s="1"/>
  <c r="M148" i="20"/>
  <c r="N149" i="20"/>
  <c r="A149" i="20" s="1"/>
  <c r="M149" i="20"/>
  <c r="N150" i="20"/>
  <c r="A150" i="20" s="1"/>
  <c r="M150" i="20"/>
  <c r="N151" i="20"/>
  <c r="A151" i="20" s="1"/>
  <c r="M151" i="20"/>
  <c r="N152" i="20"/>
  <c r="A152" i="20" s="1"/>
  <c r="M152" i="20"/>
  <c r="N153" i="20"/>
  <c r="A153" i="20" s="1"/>
  <c r="M153" i="20"/>
  <c r="N154" i="20"/>
  <c r="A154" i="20" s="1"/>
  <c r="M154" i="20"/>
  <c r="N155" i="20"/>
  <c r="A155" i="20" s="1"/>
  <c r="M155" i="20"/>
  <c r="N156" i="20"/>
  <c r="A156" i="20" s="1"/>
  <c r="M156" i="20"/>
  <c r="N157" i="20"/>
  <c r="A157" i="20" s="1"/>
  <c r="M157" i="20"/>
  <c r="N158" i="20"/>
  <c r="A158" i="20" s="1"/>
  <c r="M158" i="20"/>
  <c r="N159" i="20"/>
  <c r="A159" i="20" s="1"/>
  <c r="M159" i="20"/>
  <c r="N160" i="20"/>
  <c r="A160" i="20" s="1"/>
  <c r="M160" i="20"/>
  <c r="N161" i="20"/>
  <c r="A161" i="20" s="1"/>
  <c r="M161" i="20"/>
  <c r="N162" i="20"/>
  <c r="A162" i="20" s="1"/>
  <c r="M162" i="20"/>
  <c r="N163" i="20"/>
  <c r="A163" i="20" s="1"/>
  <c r="M163" i="20"/>
  <c r="N164" i="20"/>
  <c r="A164" i="20" s="1"/>
  <c r="M164" i="20"/>
  <c r="N165" i="20"/>
  <c r="A165" i="20" s="1"/>
  <c r="M165" i="20"/>
  <c r="N166" i="20"/>
  <c r="A166" i="20" s="1"/>
  <c r="M166" i="20"/>
  <c r="N167" i="20"/>
  <c r="A167" i="20" s="1"/>
  <c r="M167" i="20"/>
  <c r="N168" i="20"/>
  <c r="A168" i="20" s="1"/>
  <c r="M168" i="20"/>
  <c r="N169" i="20"/>
  <c r="A169" i="20" s="1"/>
  <c r="M169" i="20"/>
  <c r="N170" i="20"/>
  <c r="A170" i="20" s="1"/>
  <c r="M170" i="20"/>
  <c r="N171" i="20"/>
  <c r="A171" i="20" s="1"/>
  <c r="M171" i="20"/>
  <c r="N172" i="20"/>
  <c r="A172" i="20" s="1"/>
  <c r="M172" i="20"/>
  <c r="N173" i="20"/>
  <c r="A173" i="20" s="1"/>
  <c r="M173" i="20"/>
  <c r="N174" i="20"/>
  <c r="A174" i="20" s="1"/>
  <c r="M174" i="20"/>
  <c r="N175" i="20"/>
  <c r="A175" i="20" s="1"/>
  <c r="M175" i="20"/>
  <c r="N176" i="20"/>
  <c r="A176" i="20" s="1"/>
  <c r="M176" i="20"/>
  <c r="N177" i="20"/>
  <c r="A177" i="20" s="1"/>
  <c r="M177" i="20"/>
  <c r="N178" i="20"/>
  <c r="A178" i="20" s="1"/>
  <c r="M178" i="20"/>
  <c r="N179" i="20"/>
  <c r="A179" i="20" s="1"/>
  <c r="M179" i="20"/>
  <c r="N180" i="20"/>
  <c r="A180" i="20" s="1"/>
  <c r="M180" i="20"/>
  <c r="N181" i="20"/>
  <c r="A181" i="20" s="1"/>
  <c r="M181" i="20"/>
  <c r="N182" i="20"/>
  <c r="A182" i="20" s="1"/>
  <c r="M182" i="20"/>
  <c r="N183" i="20"/>
  <c r="A183" i="20" s="1"/>
  <c r="M183" i="20"/>
  <c r="N184" i="20"/>
  <c r="A184" i="20" s="1"/>
  <c r="M184" i="20"/>
  <c r="N185" i="20"/>
  <c r="A185" i="20" s="1"/>
  <c r="M185" i="20"/>
  <c r="N186" i="20"/>
  <c r="A186" i="20" s="1"/>
  <c r="M186" i="20"/>
  <c r="N187" i="20"/>
  <c r="A187" i="20" s="1"/>
  <c r="M187" i="20"/>
  <c r="N188" i="20"/>
  <c r="A188" i="20" s="1"/>
  <c r="M188" i="20"/>
  <c r="N189" i="20"/>
  <c r="A189" i="20" s="1"/>
  <c r="M189" i="20"/>
  <c r="N190" i="20"/>
  <c r="A190" i="20" s="1"/>
  <c r="M190" i="20"/>
  <c r="N191" i="20"/>
  <c r="A191" i="20" s="1"/>
  <c r="M191" i="20"/>
  <c r="N192" i="20"/>
  <c r="A192" i="20" s="1"/>
  <c r="M192" i="20"/>
  <c r="N193" i="20"/>
  <c r="A193" i="20" s="1"/>
  <c r="M193" i="20"/>
  <c r="N194" i="20"/>
  <c r="A194" i="20" s="1"/>
  <c r="M194" i="20"/>
  <c r="N195" i="20"/>
  <c r="A195" i="20" s="1"/>
  <c r="M195" i="20"/>
  <c r="N196" i="20"/>
  <c r="A196" i="20" s="1"/>
  <c r="M196" i="20"/>
  <c r="N197" i="20"/>
  <c r="A197" i="20" s="1"/>
  <c r="M197" i="20"/>
  <c r="N198" i="20"/>
  <c r="A198" i="20" s="1"/>
  <c r="M198" i="20"/>
  <c r="N199" i="20"/>
  <c r="A199" i="20" s="1"/>
  <c r="M199" i="20"/>
  <c r="N200" i="20"/>
  <c r="A200" i="20" s="1"/>
  <c r="M200" i="20"/>
  <c r="N201" i="20"/>
  <c r="A201" i="20" s="1"/>
  <c r="M201" i="20"/>
  <c r="N202" i="20"/>
  <c r="A202" i="20" s="1"/>
  <c r="M202" i="20"/>
  <c r="N203" i="20"/>
  <c r="A203" i="20" s="1"/>
  <c r="M203" i="20"/>
  <c r="N204" i="20"/>
  <c r="A204" i="20" s="1"/>
  <c r="M204" i="20"/>
  <c r="N205" i="20"/>
  <c r="A205" i="20" s="1"/>
  <c r="M205" i="20"/>
  <c r="N206" i="20"/>
  <c r="A206" i="20" s="1"/>
  <c r="M206" i="20"/>
  <c r="N207" i="20"/>
  <c r="A207" i="20" s="1"/>
  <c r="M207" i="20"/>
  <c r="N208" i="20"/>
  <c r="A208" i="20" s="1"/>
  <c r="M208" i="20"/>
  <c r="N209" i="20"/>
  <c r="A209" i="20" s="1"/>
  <c r="M209" i="20"/>
  <c r="N210" i="20"/>
  <c r="A210" i="20" s="1"/>
  <c r="M210" i="20"/>
  <c r="N211" i="20"/>
  <c r="A211" i="20" s="1"/>
  <c r="M211" i="20"/>
  <c r="N212" i="20"/>
  <c r="A212" i="20" s="1"/>
  <c r="M212" i="20"/>
  <c r="N213" i="20"/>
  <c r="A213" i="20" s="1"/>
  <c r="M213" i="20"/>
  <c r="N214" i="20"/>
  <c r="A214" i="20" s="1"/>
  <c r="M214" i="20"/>
  <c r="N215" i="20"/>
  <c r="A215" i="20" s="1"/>
  <c r="M215" i="20"/>
  <c r="N216" i="20"/>
  <c r="A216" i="20" s="1"/>
  <c r="M216" i="20"/>
  <c r="N217" i="20"/>
  <c r="A217" i="20" s="1"/>
  <c r="M217" i="20"/>
  <c r="N218" i="20"/>
  <c r="A218" i="20" s="1"/>
  <c r="M218" i="20"/>
  <c r="N219" i="20"/>
  <c r="A219" i="20" s="1"/>
  <c r="M219" i="20"/>
  <c r="N220" i="20"/>
  <c r="A220" i="20" s="1"/>
  <c r="M220" i="20"/>
  <c r="N221" i="20"/>
  <c r="A221" i="20" s="1"/>
  <c r="M221" i="20"/>
  <c r="N222" i="20"/>
  <c r="A222" i="20" s="1"/>
  <c r="M222" i="20"/>
  <c r="N223" i="20"/>
  <c r="A223" i="20" s="1"/>
  <c r="M223" i="20"/>
  <c r="N224" i="20"/>
  <c r="A224" i="20" s="1"/>
  <c r="M224" i="20"/>
  <c r="N225" i="20"/>
  <c r="A225" i="20" s="1"/>
  <c r="M225" i="20"/>
  <c r="N226" i="20"/>
  <c r="A226" i="20" s="1"/>
  <c r="M226" i="20"/>
  <c r="N227" i="20"/>
  <c r="A227" i="20" s="1"/>
  <c r="M227" i="20"/>
  <c r="N228" i="20"/>
  <c r="A228" i="20" s="1"/>
  <c r="M228" i="20"/>
  <c r="N229" i="20"/>
  <c r="A229" i="20" s="1"/>
  <c r="M229" i="20"/>
  <c r="N230" i="20"/>
  <c r="A230" i="20" s="1"/>
  <c r="M230" i="20"/>
  <c r="N231" i="20"/>
  <c r="A231" i="20" s="1"/>
  <c r="M231" i="20"/>
  <c r="N232" i="20"/>
  <c r="A232" i="20" s="1"/>
  <c r="M232" i="20"/>
  <c r="N233" i="20"/>
  <c r="A233" i="20" s="1"/>
  <c r="M233" i="20"/>
  <c r="N234" i="20"/>
  <c r="A234" i="20" s="1"/>
  <c r="M234" i="20"/>
  <c r="N235" i="20"/>
  <c r="A235" i="20" s="1"/>
  <c r="M235" i="20"/>
  <c r="N236" i="20"/>
  <c r="A236" i="20" s="1"/>
  <c r="M236" i="20"/>
  <c r="N237" i="20"/>
  <c r="A237" i="20" s="1"/>
  <c r="M237" i="20"/>
  <c r="N238" i="20"/>
  <c r="A238" i="20" s="1"/>
  <c r="M238" i="20"/>
  <c r="N239" i="20"/>
  <c r="A239" i="20" s="1"/>
  <c r="M239" i="20"/>
  <c r="N240" i="20"/>
  <c r="A240" i="20" s="1"/>
  <c r="M240" i="20"/>
  <c r="N241" i="20"/>
  <c r="A241" i="20" s="1"/>
  <c r="M241" i="20"/>
  <c r="N242" i="20"/>
  <c r="A242" i="20" s="1"/>
  <c r="M242" i="20"/>
  <c r="N243" i="20"/>
  <c r="A243" i="20" s="1"/>
  <c r="M243" i="20"/>
  <c r="N244" i="20"/>
  <c r="A244" i="20" s="1"/>
  <c r="M244" i="20"/>
  <c r="N245" i="20"/>
  <c r="A245" i="20" s="1"/>
  <c r="M245" i="20"/>
  <c r="N246" i="20"/>
  <c r="A246" i="20" s="1"/>
  <c r="M246" i="20"/>
  <c r="N247" i="20"/>
  <c r="A247" i="20" s="1"/>
  <c r="M247" i="20"/>
  <c r="N248" i="20"/>
  <c r="A248" i="20" s="1"/>
  <c r="M248" i="20"/>
  <c r="N249" i="20"/>
  <c r="A249" i="20" s="1"/>
  <c r="M249" i="20"/>
  <c r="N250" i="20"/>
  <c r="A250" i="20" s="1"/>
  <c r="M250" i="20"/>
  <c r="N251" i="20"/>
  <c r="A251" i="20" s="1"/>
  <c r="M251" i="20"/>
  <c r="N252" i="20"/>
  <c r="A252" i="20" s="1"/>
  <c r="M252" i="20"/>
  <c r="N253" i="20"/>
  <c r="A253" i="20" s="1"/>
  <c r="M253" i="20"/>
  <c r="N254" i="20"/>
  <c r="A254" i="20" s="1"/>
  <c r="M254" i="20"/>
  <c r="N255" i="20"/>
  <c r="A255" i="20" s="1"/>
  <c r="M255" i="20"/>
  <c r="N256" i="20"/>
  <c r="A256" i="20" s="1"/>
  <c r="M256" i="20"/>
  <c r="N257" i="20"/>
  <c r="A257" i="20" s="1"/>
  <c r="M257" i="20"/>
  <c r="N258" i="20"/>
  <c r="A258" i="20" s="1"/>
  <c r="M258" i="20"/>
  <c r="M259" i="20"/>
  <c r="N259" i="20"/>
  <c r="A259" i="20" s="1"/>
  <c r="N260" i="20"/>
  <c r="A260" i="20" s="1"/>
  <c r="M260" i="20"/>
  <c r="N261" i="20"/>
  <c r="A261" i="20" s="1"/>
  <c r="M261" i="20"/>
  <c r="N262" i="20"/>
  <c r="A262" i="20" s="1"/>
  <c r="M262" i="20"/>
  <c r="N263" i="20"/>
  <c r="A263" i="20" s="1"/>
  <c r="M263" i="20"/>
  <c r="N264" i="20"/>
  <c r="A264" i="20" s="1"/>
  <c r="M264" i="20"/>
  <c r="N265" i="20"/>
  <c r="A265" i="20" s="1"/>
  <c r="M265" i="20"/>
  <c r="N266" i="20"/>
  <c r="A266" i="20" s="1"/>
  <c r="M266" i="20"/>
  <c r="N267" i="20"/>
  <c r="A267" i="20" s="1"/>
  <c r="M267" i="20"/>
  <c r="N268" i="20"/>
  <c r="A268" i="20" s="1"/>
  <c r="M268" i="20"/>
  <c r="N269" i="20"/>
  <c r="A269" i="20" s="1"/>
  <c r="M269" i="20"/>
  <c r="N270" i="20"/>
  <c r="A270" i="20" s="1"/>
  <c r="M270" i="20"/>
  <c r="M271" i="20"/>
  <c r="N271" i="20"/>
  <c r="A271" i="20" s="1"/>
  <c r="N272" i="20"/>
  <c r="A272" i="20" s="1"/>
  <c r="M272" i="20"/>
  <c r="N273" i="20"/>
  <c r="A273" i="20" s="1"/>
  <c r="M273" i="20"/>
  <c r="N274" i="20"/>
  <c r="A274" i="20" s="1"/>
  <c r="M274" i="20"/>
  <c r="N275" i="20"/>
  <c r="A275" i="20" s="1"/>
  <c r="M275" i="20"/>
  <c r="N276" i="20"/>
  <c r="A276" i="20" s="1"/>
  <c r="M276" i="20"/>
  <c r="N277" i="20"/>
  <c r="A277" i="20" s="1"/>
  <c r="M277" i="20"/>
  <c r="N278" i="20"/>
  <c r="A278" i="20" s="1"/>
  <c r="M278" i="20"/>
  <c r="N279" i="20"/>
  <c r="A279" i="20" s="1"/>
  <c r="M279" i="20"/>
  <c r="N280" i="20"/>
  <c r="A280" i="20" s="1"/>
  <c r="M280" i="20"/>
  <c r="N281" i="20"/>
  <c r="A281" i="20" s="1"/>
  <c r="M281" i="20"/>
  <c r="N282" i="20"/>
  <c r="A282" i="20" s="1"/>
  <c r="M282" i="20"/>
  <c r="M283" i="20"/>
  <c r="N283" i="20"/>
  <c r="A283" i="20" s="1"/>
  <c r="N284" i="20"/>
  <c r="A284" i="20" s="1"/>
  <c r="M284" i="20"/>
  <c r="N285" i="20"/>
  <c r="A285" i="20" s="1"/>
  <c r="M285" i="20"/>
  <c r="N286" i="20"/>
  <c r="A286" i="20" s="1"/>
  <c r="M286" i="20"/>
  <c r="N287" i="20"/>
  <c r="A287" i="20" s="1"/>
  <c r="M287" i="20"/>
  <c r="N288" i="20"/>
  <c r="A288" i="20" s="1"/>
  <c r="M288" i="20"/>
  <c r="N289" i="20"/>
  <c r="A289" i="20" s="1"/>
  <c r="M289" i="20"/>
  <c r="N290" i="20"/>
  <c r="A290" i="20" s="1"/>
  <c r="M290" i="20"/>
  <c r="N291" i="20"/>
  <c r="A291" i="20" s="1"/>
  <c r="M291" i="20"/>
  <c r="N292" i="20"/>
  <c r="A292" i="20" s="1"/>
  <c r="M292" i="20"/>
  <c r="N293" i="20"/>
  <c r="A293" i="20" s="1"/>
  <c r="M293" i="20"/>
  <c r="N294" i="20"/>
  <c r="A294" i="20" s="1"/>
  <c r="M294" i="20"/>
  <c r="N295" i="20"/>
  <c r="A295" i="20" s="1"/>
  <c r="M295" i="20"/>
  <c r="N296" i="20"/>
  <c r="A296" i="20" s="1"/>
  <c r="M296" i="20"/>
  <c r="N297" i="20"/>
  <c r="A297" i="20" s="1"/>
  <c r="M297" i="20"/>
  <c r="N298" i="20"/>
  <c r="A298" i="20" s="1"/>
  <c r="M298" i="20"/>
  <c r="N299" i="20"/>
  <c r="A299" i="20" s="1"/>
  <c r="M299" i="20"/>
  <c r="N300" i="20"/>
  <c r="A300" i="20" s="1"/>
  <c r="M300" i="20"/>
  <c r="N301" i="20"/>
  <c r="A301" i="20" s="1"/>
  <c r="M301" i="20"/>
  <c r="N302" i="20"/>
  <c r="A302" i="20" s="1"/>
  <c r="M302" i="20"/>
  <c r="N303" i="20"/>
  <c r="A303" i="20" s="1"/>
  <c r="M303" i="20"/>
  <c r="N304" i="20"/>
  <c r="A304" i="20" s="1"/>
  <c r="M304" i="20"/>
  <c r="N305" i="20"/>
  <c r="A305" i="20" s="1"/>
  <c r="M305" i="20"/>
  <c r="F9" i="25"/>
  <c r="A9" i="25" s="1"/>
  <c r="F6" i="25"/>
  <c r="A6" i="25" s="1"/>
  <c r="J6" i="21" s="1"/>
  <c r="D6" i="21" s="1"/>
  <c r="F7" i="25"/>
  <c r="A7" i="25" s="1"/>
  <c r="J7" i="21" s="1"/>
  <c r="D7" i="21" s="1"/>
  <c r="F14" i="25"/>
  <c r="A14" i="25" s="1"/>
  <c r="J12" i="21" s="1"/>
  <c r="D12" i="21" s="1"/>
  <c r="F16" i="25"/>
  <c r="A16" i="25" s="1"/>
  <c r="F8" i="25"/>
  <c r="A8" i="25" s="1"/>
  <c r="J9" i="21" s="1"/>
  <c r="D9" i="21" s="1"/>
  <c r="F10" i="25"/>
  <c r="A10" i="25" s="1"/>
  <c r="J8" i="21" s="1"/>
  <c r="D8" i="21" s="1"/>
  <c r="Q6" i="21"/>
  <c r="Q8" i="21"/>
  <c r="Q7" i="21"/>
  <c r="Q10" i="21"/>
  <c r="Q11" i="21"/>
  <c r="Q9" i="21"/>
  <c r="Q14" i="21"/>
  <c r="Q15" i="21"/>
  <c r="Q16" i="21"/>
  <c r="Q17" i="21"/>
  <c r="Q18" i="21"/>
  <c r="Q19" i="21"/>
  <c r="Q13" i="21"/>
  <c r="Q20" i="21"/>
  <c r="Q12" i="21"/>
  <c r="Q21" i="21"/>
  <c r="Q22" i="21"/>
  <c r="Q23" i="21"/>
  <c r="L8" i="18"/>
  <c r="L7" i="18"/>
  <c r="L6" i="18"/>
  <c r="M6" i="18"/>
  <c r="A6" i="18" s="1"/>
  <c r="L6" i="1" s="1"/>
  <c r="M7" i="18"/>
  <c r="A7" i="18"/>
  <c r="L7" i="1" s="1"/>
  <c r="M8" i="18"/>
  <c r="M9" i="18"/>
  <c r="A9" i="18" s="1"/>
  <c r="M10" i="18"/>
  <c r="A10" i="18" s="1"/>
  <c r="L15" i="1" s="1"/>
  <c r="M11" i="18"/>
  <c r="A11" i="18" s="1"/>
  <c r="L13" i="1" s="1"/>
  <c r="M12" i="18"/>
  <c r="A12" i="18" s="1"/>
  <c r="L14" i="1" s="1"/>
  <c r="M13" i="18"/>
  <c r="A13" i="18" s="1"/>
  <c r="L16" i="1" s="1"/>
  <c r="M14" i="18"/>
  <c r="A14" i="18" s="1"/>
  <c r="M16" i="18"/>
  <c r="A16" i="18" s="1"/>
  <c r="F10" i="29"/>
  <c r="F19" i="29"/>
  <c r="F15" i="29"/>
  <c r="F18" i="29"/>
  <c r="F9" i="29"/>
  <c r="F16" i="29"/>
  <c r="F13" i="29"/>
  <c r="F8" i="29"/>
  <c r="F14" i="29"/>
  <c r="F17" i="29"/>
  <c r="M9" i="17"/>
  <c r="A9" i="17" s="1"/>
  <c r="J20" i="1"/>
  <c r="M29" i="17"/>
  <c r="A29" i="17" s="1"/>
  <c r="J21" i="1"/>
  <c r="M10" i="17"/>
  <c r="A10" i="17" s="1"/>
  <c r="J11" i="1" s="1"/>
  <c r="J17" i="1"/>
  <c r="M13" i="17"/>
  <c r="A13" i="17" s="1"/>
  <c r="J14" i="1" s="1"/>
  <c r="I16" i="1"/>
  <c r="I12" i="1"/>
  <c r="J12" i="1" s="1"/>
  <c r="I15" i="1"/>
  <c r="J15" i="1" s="1"/>
  <c r="M27" i="17"/>
  <c r="A27" i="17" s="1"/>
  <c r="M7" i="17"/>
  <c r="A7" i="17" s="1"/>
  <c r="J7" i="1" s="1"/>
  <c r="M25" i="17"/>
  <c r="A25" i="17" s="1"/>
  <c r="I13" i="1"/>
  <c r="M11" i="17"/>
  <c r="A11" i="17" s="1"/>
  <c r="M23" i="17"/>
  <c r="A23" i="17" s="1"/>
  <c r="J19" i="1"/>
  <c r="M31" i="17"/>
  <c r="A31" i="17" s="1"/>
  <c r="M21" i="17"/>
  <c r="A21" i="17" s="1"/>
  <c r="J23" i="1"/>
  <c r="J9" i="1"/>
  <c r="M8" i="17"/>
  <c r="A8" i="17" s="1"/>
  <c r="J8" i="1" s="1"/>
  <c r="M19" i="17"/>
  <c r="A19" i="17" s="1"/>
  <c r="J10" i="1"/>
  <c r="M12" i="17"/>
  <c r="A12" i="17" s="1"/>
  <c r="M35" i="17"/>
  <c r="A35" i="17" s="1"/>
  <c r="M17" i="17"/>
  <c r="A17" i="17" s="1"/>
  <c r="M33" i="17"/>
  <c r="A33" i="17" s="1"/>
  <c r="J22" i="1"/>
  <c r="L6" i="16"/>
  <c r="M6" i="16" s="1"/>
  <c r="L8" i="16"/>
  <c r="M8" i="16" s="1"/>
  <c r="L7" i="16"/>
  <c r="M7" i="16" s="1"/>
  <c r="F6" i="29"/>
  <c r="F7" i="29"/>
  <c r="F11" i="29"/>
  <c r="A8" i="18"/>
  <c r="L8" i="1" s="1"/>
  <c r="L7" i="20"/>
  <c r="M7" i="20" s="1"/>
  <c r="N7" i="20" s="1"/>
  <c r="A7" i="20" s="1"/>
  <c r="P8" i="1" s="1"/>
  <c r="N8" i="20"/>
  <c r="A8" i="20" s="1"/>
  <c r="P9" i="1" s="1"/>
  <c r="N9" i="20"/>
  <c r="A9" i="20" s="1"/>
  <c r="P10" i="1" s="1"/>
  <c r="N10" i="20"/>
  <c r="A10" i="20" s="1"/>
  <c r="P11" i="1" s="1"/>
  <c r="N34" i="20"/>
  <c r="A34" i="20" s="1"/>
  <c r="N11" i="20"/>
  <c r="A11" i="20" s="1"/>
  <c r="P12" i="1" s="1"/>
  <c r="N12" i="20"/>
  <c r="A12" i="20" s="1"/>
  <c r="P6" i="1" s="1"/>
  <c r="N28" i="20"/>
  <c r="A28" i="20" s="1"/>
  <c r="L6" i="20"/>
  <c r="M6" i="20" s="1"/>
  <c r="A7" i="19"/>
  <c r="N9" i="1" s="1"/>
  <c r="L6" i="17"/>
  <c r="M6" i="17" s="1"/>
  <c r="A23" i="16"/>
  <c r="A29" i="16"/>
  <c r="A18" i="16"/>
  <c r="A35" i="16"/>
  <c r="A24" i="16"/>
  <c r="A30" i="16"/>
  <c r="A9" i="16"/>
  <c r="H8" i="1" s="1"/>
  <c r="A26" i="16"/>
  <c r="A32" i="16"/>
  <c r="A21" i="16"/>
  <c r="A27" i="16"/>
  <c r="A12" i="16"/>
  <c r="H14" i="1" s="1"/>
  <c r="A22" i="16"/>
  <c r="A28" i="16"/>
  <c r="A7" i="16"/>
  <c r="H10" i="1" s="1"/>
  <c r="A13" i="16"/>
  <c r="A10" i="16"/>
  <c r="H11" i="1" s="1"/>
  <c r="A11" i="16"/>
  <c r="H17" i="1" s="1"/>
  <c r="A6" i="16"/>
  <c r="H6" i="1" s="1"/>
  <c r="A8" i="16"/>
  <c r="H7" i="1" s="1"/>
  <c r="A36" i="14"/>
  <c r="A33" i="14"/>
  <c r="A34" i="14"/>
  <c r="A35" i="14"/>
  <c r="A15" i="14"/>
  <c r="A25" i="14"/>
  <c r="A17" i="14"/>
  <c r="A23" i="14"/>
  <c r="A30" i="14"/>
  <c r="A18" i="14"/>
  <c r="A31" i="14"/>
  <c r="A16" i="14"/>
  <c r="A24" i="14"/>
  <c r="A27" i="14"/>
  <c r="A26" i="14"/>
  <c r="A29" i="14"/>
  <c r="A12" i="14"/>
  <c r="F14" i="1" s="1"/>
  <c r="A19" i="14"/>
  <c r="A22" i="14"/>
  <c r="A7" i="14"/>
  <c r="F7" i="1" s="1"/>
  <c r="A20" i="14"/>
  <c r="A28" i="14"/>
  <c r="A11" i="14"/>
  <c r="F10" i="1" s="1"/>
  <c r="A14" i="14"/>
  <c r="A32" i="14"/>
  <c r="L6" i="14"/>
  <c r="M6" i="14" s="1"/>
  <c r="A9" i="14"/>
  <c r="L8" i="14"/>
  <c r="P18" i="1" l="1"/>
  <c r="P19" i="1"/>
  <c r="P15" i="1"/>
  <c r="P17" i="1"/>
  <c r="P20" i="1"/>
  <c r="P21" i="1"/>
  <c r="P22" i="1"/>
  <c r="P23" i="1"/>
  <c r="N12" i="1"/>
  <c r="M8" i="14"/>
  <c r="A8" i="14" s="1"/>
  <c r="F8" i="1" s="1"/>
  <c r="D8" i="1" s="1"/>
  <c r="J13" i="1"/>
  <c r="J16" i="1"/>
  <c r="L11" i="1"/>
  <c r="L18" i="1"/>
  <c r="L10" i="1"/>
  <c r="L19" i="1"/>
  <c r="L17" i="1"/>
  <c r="L20" i="1"/>
  <c r="L21" i="1"/>
  <c r="L22" i="1"/>
  <c r="L23" i="1"/>
  <c r="L12" i="1"/>
  <c r="L9" i="1"/>
  <c r="F12" i="29"/>
  <c r="A6" i="17"/>
  <c r="J6" i="1" s="1"/>
  <c r="H23" i="1"/>
  <c r="H19" i="1"/>
  <c r="H18" i="1"/>
  <c r="H12" i="1"/>
  <c r="H9" i="1"/>
  <c r="H20" i="1"/>
  <c r="H13" i="1"/>
  <c r="H22" i="1"/>
  <c r="H15" i="1"/>
  <c r="H21" i="1"/>
  <c r="H16" i="1"/>
  <c r="D14" i="1"/>
  <c r="N6" i="20"/>
  <c r="A6" i="20" s="1"/>
  <c r="P7" i="1" s="1"/>
  <c r="A13" i="14"/>
  <c r="F9" i="1" s="1"/>
  <c r="A10" i="14"/>
  <c r="F11" i="1" s="1"/>
  <c r="A37" i="14"/>
  <c r="A6" i="14"/>
  <c r="F6" i="1" s="1"/>
  <c r="A21" i="14"/>
  <c r="Q7" i="1" l="1"/>
  <c r="E6" i="29" s="1"/>
  <c r="D6" i="29" s="1"/>
  <c r="D7" i="1"/>
  <c r="Q8" i="1"/>
  <c r="E8" i="29" s="1"/>
  <c r="D8" i="29" s="1"/>
  <c r="F18" i="1"/>
  <c r="D18" i="1" s="1"/>
  <c r="F22" i="1"/>
  <c r="F19" i="1"/>
  <c r="F21" i="1"/>
  <c r="F13" i="1"/>
  <c r="F23" i="1"/>
  <c r="D23" i="1" s="1"/>
  <c r="F12" i="1"/>
  <c r="F17" i="1"/>
  <c r="F16" i="1"/>
  <c r="F15" i="1"/>
  <c r="F20" i="1"/>
  <c r="Q9" i="1"/>
  <c r="D11" i="1"/>
  <c r="Q11" i="1"/>
  <c r="D6" i="1"/>
  <c r="E7" i="29" l="1"/>
  <c r="D7" i="29" s="1"/>
  <c r="Q17" i="1"/>
  <c r="Q18" i="1"/>
  <c r="D22" i="1"/>
  <c r="Q20" i="1"/>
  <c r="D13" i="1"/>
  <c r="Q14" i="1"/>
  <c r="D20" i="1"/>
  <c r="Q15" i="1"/>
  <c r="D21" i="1"/>
  <c r="Q22" i="1"/>
  <c r="D15" i="1"/>
  <c r="Q10" i="1"/>
  <c r="D10" i="1"/>
  <c r="Q12" i="1"/>
  <c r="D19" i="1"/>
  <c r="Q16" i="1"/>
  <c r="E17" i="29" s="1"/>
  <c r="D9" i="1"/>
  <c r="Q21" i="1"/>
  <c r="D16" i="1"/>
  <c r="Q13" i="1"/>
  <c r="D17" i="1"/>
  <c r="Q23" i="1"/>
  <c r="D12" i="1"/>
  <c r="E11" i="29"/>
  <c r="D11" i="29" s="1"/>
  <c r="E10" i="29"/>
  <c r="D10" i="29" s="1"/>
  <c r="Q19" i="1"/>
  <c r="E19" i="29" s="1"/>
  <c r="D19" i="29" s="1"/>
  <c r="Q6" i="1"/>
  <c r="E9" i="29" s="1"/>
  <c r="D9" i="29" s="1"/>
  <c r="E13" i="29" l="1"/>
  <c r="E12" i="29"/>
  <c r="D12" i="29" s="1"/>
  <c r="E15" i="29"/>
  <c r="E23" i="29"/>
  <c r="D23" i="29" s="1"/>
  <c r="E21" i="29"/>
  <c r="D21" i="29" s="1"/>
  <c r="E14" i="29"/>
  <c r="D14" i="29" s="1"/>
  <c r="E18" i="29"/>
  <c r="D18" i="29" s="1"/>
  <c r="E20" i="29"/>
  <c r="D20" i="29" s="1"/>
  <c r="E16" i="29"/>
  <c r="D16" i="29" s="1"/>
  <c r="E22" i="29"/>
  <c r="D22" i="29" s="1"/>
  <c r="D15" i="29"/>
  <c r="D13" i="29"/>
  <c r="D17" i="29"/>
</calcChain>
</file>

<file path=xl/sharedStrings.xml><?xml version="1.0" encoding="utf-8"?>
<sst xmlns="http://schemas.openxmlformats.org/spreadsheetml/2006/main" count="688" uniqueCount="229">
  <si>
    <t>Dołączył/a do kategorii w tym roku</t>
  </si>
  <si>
    <r>
      <t xml:space="preserve">Klsyfikacja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</si>
  <si>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</si>
  <si>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2</t>
  </si>
  <si>
    <t xml:space="preserve">  (rok ur. 1963-1972)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</si>
  <si>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</si>
  <si>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</si>
  <si>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</si>
  <si>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</si>
  <si>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</si>
  <si>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</si>
  <si>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</si>
  <si>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</si>
  <si>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</si>
  <si>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</si>
  <si>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</si>
  <si>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</si>
  <si>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best</t>
  </si>
  <si>
    <t>ATANASSOW Aleksander</t>
  </si>
  <si>
    <t>ZIELIŃSKI Dariusz</t>
  </si>
  <si>
    <t>KOSTRZEWA Ireneusz</t>
  </si>
  <si>
    <t>WOJTAS Bogdan</t>
  </si>
  <si>
    <t>KOTERSKI Paweł</t>
  </si>
  <si>
    <t>DRAPELLA Maciej</t>
  </si>
  <si>
    <t>GRZYWACZ Mirosław</t>
  </si>
  <si>
    <t>SKOCZEK Artur</t>
  </si>
  <si>
    <t>WIERZBICKI Jacek</t>
  </si>
  <si>
    <t>TYKHYI Volodymyr</t>
  </si>
  <si>
    <t>PARDUS Borys</t>
  </si>
  <si>
    <t>NIKALAICHUK Aliaksandr</t>
  </si>
  <si>
    <t xml:space="preserve"> 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</si>
  <si>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</si>
  <si>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</si>
  <si>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</si>
  <si>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</si>
  <si>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</si>
  <si>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</si>
  <si>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</si>
  <si>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</si>
  <si>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</si>
  <si>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</si>
  <si>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</si>
  <si>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</si>
  <si>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</si>
  <si>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</si>
  <si>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</si>
  <si>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</si>
  <si>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</si>
  <si>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</si>
  <si>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</si>
  <si>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POL</t>
  </si>
  <si>
    <t>WISŁA</t>
  </si>
  <si>
    <t>AZS AGH KRAKÓW</t>
  </si>
  <si>
    <t>AZS WRATISLAVIA WROCLAW</t>
  </si>
  <si>
    <t>PIAST GLIWICE</t>
  </si>
  <si>
    <t>KSz WARSZAWIANKA</t>
  </si>
  <si>
    <t>KS AZS AWFIS GDANSK</t>
  </si>
  <si>
    <t>AZS AWF KRAKÓW</t>
  </si>
  <si>
    <t>AZS POLITECHNIKA OPOLSKA</t>
  </si>
  <si>
    <t>NIEPOŁOMICE</t>
  </si>
  <si>
    <t>18/06/2022</t>
  </si>
  <si>
    <t>KS CRACOVIA 1906.</t>
  </si>
  <si>
    <t>KS AZS AWFIS GDAŃSK.</t>
  </si>
  <si>
    <t>AKADEMIA SZERMIERKI W-WA</t>
  </si>
  <si>
    <t>AZS KU POLITECHNIKI OPOLSKIEJ</t>
  </si>
  <si>
    <t>KATOWICE</t>
  </si>
  <si>
    <t>22-23.10.2022</t>
  </si>
  <si>
    <t>AZS AGH</t>
  </si>
  <si>
    <t xml:space="preserve"> POL</t>
  </si>
  <si>
    <t>UKRAINA</t>
  </si>
  <si>
    <t xml:space="preserve"> UKR</t>
  </si>
  <si>
    <t>ŚWIDNICA</t>
  </si>
  <si>
    <t>11-12.11.2022</t>
  </si>
  <si>
    <t>AZS WRATISLAVIA WROCŁAW</t>
  </si>
  <si>
    <t>KKS KRAKÓW</t>
  </si>
  <si>
    <t>Stowarzyszenie Akademia Szermierki</t>
  </si>
  <si>
    <t>Podium</t>
  </si>
  <si>
    <t>Współczynnik MPW</t>
  </si>
  <si>
    <t>KRAKÓW</t>
  </si>
  <si>
    <t>3-4.12.2022</t>
  </si>
  <si>
    <t>Punkty MPW</t>
  </si>
  <si>
    <t>Warszawianka</t>
  </si>
  <si>
    <t>AZS Gdańsk</t>
  </si>
  <si>
    <t>Cracovia</t>
  </si>
  <si>
    <t>Opolskie</t>
  </si>
  <si>
    <t>Akademia Warszawa</t>
  </si>
  <si>
    <r>
      <t xml:space="preserve">Klsyfikacja EVF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</si>
  <si>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NAZWISKO</t>
  </si>
  <si>
    <t>Guildford</t>
  </si>
  <si>
    <t>Kiev</t>
  </si>
  <si>
    <t>Gdańsk</t>
  </si>
  <si>
    <t>Paris</t>
  </si>
  <si>
    <t>Budapest '21</t>
  </si>
  <si>
    <t>Turku</t>
  </si>
  <si>
    <t/>
  </si>
  <si>
    <t>ZAWALICH Leszek</t>
  </si>
  <si>
    <t>SZCZERBOWSKI Lech</t>
  </si>
  <si>
    <t>OLSZEWSKI Mikołaj</t>
  </si>
  <si>
    <t>BARAŃSKI Wacław</t>
  </si>
  <si>
    <t>GĄSIOROWSKI Maciej</t>
  </si>
  <si>
    <t>WOJTAS Bogusław</t>
  </si>
  <si>
    <t>WĘCŁAWSKI Mirosław</t>
  </si>
  <si>
    <t>Budapest</t>
  </si>
  <si>
    <t>Pos</t>
  </si>
  <si>
    <t>Name</t>
  </si>
  <si>
    <t>Firstname</t>
  </si>
  <si>
    <t>Country</t>
  </si>
  <si>
    <t>Points</t>
  </si>
  <si>
    <t>SIMOVSKIKH</t>
  </si>
  <si>
    <t>Sergei</t>
  </si>
  <si>
    <t>RUS</t>
  </si>
  <si>
    <t>LESNE</t>
  </si>
  <si>
    <t>Ludovic</t>
  </si>
  <si>
    <t>FRA</t>
  </si>
  <si>
    <t>DANIELSON</t>
  </si>
  <si>
    <t>Martin</t>
  </si>
  <si>
    <t>SWE</t>
  </si>
  <si>
    <t>Dariusz</t>
  </si>
  <si>
    <t>Aleksander</t>
  </si>
  <si>
    <t>ÓCSAI</t>
  </si>
  <si>
    <t>János</t>
  </si>
  <si>
    <t>HUN</t>
  </si>
  <si>
    <t>SZAKMARY</t>
  </si>
  <si>
    <t>Sandor</t>
  </si>
  <si>
    <t>GÁL</t>
  </si>
  <si>
    <t>Attila</t>
  </si>
  <si>
    <t>Maciej</t>
  </si>
  <si>
    <t>MÁTYÁS</t>
  </si>
  <si>
    <t>Pál</t>
  </si>
  <si>
    <t>GUY</t>
  </si>
  <si>
    <t>Hubert</t>
  </si>
  <si>
    <t>BERGER</t>
  </si>
  <si>
    <t>Matthias</t>
  </si>
  <si>
    <t>GER</t>
  </si>
  <si>
    <t>KAMANY</t>
  </si>
  <si>
    <t>Roland</t>
  </si>
  <si>
    <t>SZALAY</t>
  </si>
  <si>
    <t>Karoly</t>
  </si>
  <si>
    <t>BOROMBÓS</t>
  </si>
  <si>
    <t>HAUBER</t>
  </si>
  <si>
    <t>Zsolt</t>
  </si>
  <si>
    <t>Pawel</t>
  </si>
  <si>
    <t>NAGY</t>
  </si>
  <si>
    <t>Károly</t>
  </si>
  <si>
    <t>RUSCH</t>
  </si>
  <si>
    <t>Harald</t>
  </si>
  <si>
    <t>BENITAH</t>
  </si>
  <si>
    <t>Eliahu</t>
  </si>
  <si>
    <t>ISR</t>
  </si>
  <si>
    <t>Leszek</t>
  </si>
  <si>
    <t>EZAMA TOLEDO</t>
  </si>
  <si>
    <t>Eduardo</t>
  </si>
  <si>
    <t>ESP</t>
  </si>
  <si>
    <t>GYÖRGY</t>
  </si>
  <si>
    <t>EKLICS</t>
  </si>
  <si>
    <t>Gábor</t>
  </si>
  <si>
    <t>CARRE DE MALBERG</t>
  </si>
  <si>
    <t>Alexandre</t>
  </si>
  <si>
    <t>SÓS</t>
  </si>
  <si>
    <t>Csaba</t>
  </si>
  <si>
    <t>SZABO</t>
  </si>
  <si>
    <t>Peter</t>
  </si>
  <si>
    <t>HOWSER</t>
  </si>
  <si>
    <t>Chris</t>
  </si>
  <si>
    <t>GBR</t>
  </si>
  <si>
    <t>LEAHEY</t>
  </si>
  <si>
    <t>John</t>
  </si>
  <si>
    <t>DOMEK</t>
  </si>
  <si>
    <t>Stephen</t>
  </si>
  <si>
    <t>RIAHI</t>
  </si>
  <si>
    <t>Farhad</t>
  </si>
  <si>
    <t>PRIME</t>
  </si>
  <si>
    <t>FLATT</t>
  </si>
  <si>
    <t>Robert</t>
  </si>
  <si>
    <t>SCRIMSHAW</t>
  </si>
  <si>
    <t>Jason</t>
  </si>
  <si>
    <t>HAZLEWOOD</t>
  </si>
  <si>
    <t>Darryl</t>
  </si>
  <si>
    <t>BOARDMAN</t>
  </si>
  <si>
    <t>Colin</t>
  </si>
  <si>
    <t>SOUTHWELL</t>
  </si>
  <si>
    <t>Andrew</t>
  </si>
  <si>
    <t>SPICER</t>
  </si>
  <si>
    <t>Tristan</t>
  </si>
  <si>
    <t>DONNELLY</t>
  </si>
  <si>
    <t>Paul</t>
  </si>
  <si>
    <t>AYANWALE</t>
  </si>
  <si>
    <t>Kola</t>
  </si>
  <si>
    <t>BEASLEY</t>
  </si>
  <si>
    <t>CHRISP</t>
  </si>
  <si>
    <t>Tom</t>
  </si>
  <si>
    <t>NASH</t>
  </si>
  <si>
    <t>MORRIS</t>
  </si>
  <si>
    <t>Giles</t>
  </si>
  <si>
    <t>BARNETT</t>
  </si>
  <si>
    <t>Keith</t>
  </si>
  <si>
    <t>HARDING</t>
  </si>
  <si>
    <t>Tim</t>
  </si>
  <si>
    <t>WALDEN</t>
  </si>
  <si>
    <t>Dominic</t>
  </si>
  <si>
    <t>BROCK</t>
  </si>
  <si>
    <t>Simon</t>
  </si>
  <si>
    <t>LAKELAND</t>
  </si>
  <si>
    <t>Nicholas</t>
  </si>
  <si>
    <t>TALBOT</t>
  </si>
  <si>
    <t>Ian</t>
  </si>
  <si>
    <t>WILLIAMS</t>
  </si>
  <si>
    <t>Julian</t>
  </si>
  <si>
    <t>Kiev (odwołany)</t>
  </si>
  <si>
    <t>Piast Gliwice</t>
  </si>
  <si>
    <t>KS AZS AWFIS GDANSK.</t>
  </si>
  <si>
    <t>3T</t>
  </si>
  <si>
    <t>KOEMETS Sven (2)</t>
  </si>
  <si>
    <t>Tallinna Mõõk</t>
  </si>
  <si>
    <t xml:space="preserve"> EST</t>
  </si>
  <si>
    <t>AZS AGH Kraków</t>
  </si>
  <si>
    <t>AUTZEN Olaf (2)</t>
  </si>
  <si>
    <t>TSG Reutlingen 1843 e.V.</t>
  </si>
  <si>
    <t xml:space="preserve"> GER</t>
  </si>
  <si>
    <t>Nauka Szermierki</t>
  </si>
  <si>
    <t>AZS Politechnika Opolska</t>
  </si>
  <si>
    <t>PERTOFT Jens (2)</t>
  </si>
  <si>
    <t>SAF Fencing</t>
  </si>
  <si>
    <t xml:space="preserve"> SWE</t>
  </si>
  <si>
    <t>9 lipca 2022</t>
  </si>
  <si>
    <r>
      <t xml:space="preserve">Ranking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</si>
  <si>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1 najlepszy wynik (punktowy) w turniejach GP PPW oraz 1 naj;epszy wynik z cyklu Pucharu Europy Weteranów EVF.</t>
  </si>
  <si>
    <t>GP PPW</t>
  </si>
  <si>
    <t>EVF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</si>
</sst>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theme="0" tint="-0.34998626667073579"/>
      <name val="Times New Roman"/>
      <family val="1"/>
      <charset val="238"/>
    </font>
    <font>
      <sz val="11"/>
      <color theme="4" tint="-0.499984740745262"/>
      <name val="Agency FB"/>
      <family val="2"/>
    </font>
    <font>
      <b/>
      <sz val="9"/>
      <name val="Arial"/>
      <family val="2"/>
    </font>
    <font>
      <b/>
      <sz val="10"/>
      <color theme="1"/>
      <name val="Times New Roman"/>
      <family val="1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22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</cellStyleXfs>
  <cellXfs count="142">
    <xf numFmtId="0" fontId="0" fillId="0" borderId="0" xfId="0"/>
    <xf numFmtId="0" fontId="6" fillId="3" borderId="0" xfId="1" applyAlignment="1">
      <alignment horizontal="center" vertical="center" wrapText="1"/>
    </xf>
    <xf numFmtId="0" fontId="0" fillId="4" borderId="0" xfId="0" applyFill="1"/>
    <xf numFmtId="0" fontId="2" fillId="0" borderId="0" xfId="2"/>
    <xf numFmtId="164" fontId="2" fillId="0" borderId="0" xfId="2" applyNumberFormat="1" applyAlignment="1">
      <alignment horizontal="center"/>
    </xf>
    <xf numFmtId="0" fontId="2" fillId="7" borderId="0" xfId="2" applyFill="1"/>
    <xf numFmtId="0" fontId="13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5" fillId="5" borderId="0" xfId="2" applyFont="1" applyFill="1" applyAlignment="1">
      <alignment horizontal="center" vertical="center"/>
    </xf>
    <xf numFmtId="0" fontId="15" fillId="5" borderId="0" xfId="2" applyFont="1" applyFill="1" applyAlignment="1">
      <alignment horizontal="center" vertical="center" wrapText="1"/>
    </xf>
    <xf numFmtId="1" fontId="15" fillId="5" borderId="0" xfId="2" applyNumberFormat="1" applyFont="1" applyFill="1" applyAlignment="1">
      <alignment horizontal="center" vertical="center" wrapText="1"/>
    </xf>
    <xf numFmtId="0" fontId="11" fillId="7" borderId="0" xfId="2" applyFont="1" applyFill="1" applyAlignment="1">
      <alignment horizontal="center" vertical="center"/>
    </xf>
    <xf numFmtId="0" fontId="2" fillId="7" borderId="0" xfId="2" applyFill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14" fillId="7" borderId="0" xfId="2" applyFont="1" applyFill="1" applyAlignment="1">
      <alignment horizontal="center" vertical="center"/>
    </xf>
    <xf numFmtId="2" fontId="14" fillId="7" borderId="0" xfId="2" applyNumberFormat="1" applyFont="1" applyFill="1" applyAlignment="1">
      <alignment horizontal="center" vertical="center"/>
    </xf>
    <xf numFmtId="164" fontId="14" fillId="7" borderId="0" xfId="2" applyNumberFormat="1" applyFont="1" applyFill="1" applyAlignment="1">
      <alignment horizontal="center" vertical="center"/>
    </xf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11" fillId="7" borderId="0" xfId="2" applyFont="1" applyFill="1" applyAlignment="1">
      <alignment horizontal="right" vertical="center"/>
    </xf>
    <xf numFmtId="1" fontId="12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2" fillId="8" borderId="0" xfId="2" applyFill="1"/>
    <xf numFmtId="0" fontId="9" fillId="8" borderId="0" xfId="2" applyFont="1" applyFill="1"/>
    <xf numFmtId="1" fontId="2" fillId="8" borderId="0" xfId="2" applyNumberFormat="1" applyFill="1"/>
    <xf numFmtId="0" fontId="2" fillId="8" borderId="0" xfId="2" applyFill="1" applyAlignment="1">
      <alignment horizontal="right"/>
    </xf>
    <xf numFmtId="0" fontId="8" fillId="8" borderId="0" xfId="2" applyFont="1" applyFill="1"/>
    <xf numFmtId="0" fontId="10" fillId="8" borderId="0" xfId="2" applyFont="1" applyFill="1"/>
    <xf numFmtId="164" fontId="2" fillId="8" borderId="0" xfId="2" applyNumberFormat="1" applyFill="1"/>
    <xf numFmtId="49" fontId="2" fillId="8" borderId="0" xfId="2" applyNumberFormat="1" applyFill="1"/>
    <xf numFmtId="164" fontId="8" fillId="8" borderId="0" xfId="2" applyNumberFormat="1" applyFont="1" applyFill="1"/>
    <xf numFmtId="0" fontId="16" fillId="9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6" fillId="3" borderId="4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5" fillId="8" borderId="0" xfId="0" applyNumberFormat="1" applyFont="1" applyFill="1" applyAlignment="1">
      <alignment horizontal="center" vertical="center"/>
    </xf>
    <xf numFmtId="1" fontId="5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2" fillId="0" borderId="0" xfId="2" applyNumberFormat="1" applyAlignment="1">
      <alignment horizontal="center"/>
    </xf>
    <xf numFmtId="0" fontId="14" fillId="10" borderId="0" xfId="2" applyFont="1" applyFill="1" applyAlignment="1">
      <alignment horizontal="center" vertical="center"/>
    </xf>
    <xf numFmtId="2" fontId="14" fillId="10" borderId="0" xfId="2" applyNumberFormat="1" applyFont="1" applyFill="1" applyAlignment="1">
      <alignment horizontal="center" vertical="center"/>
    </xf>
    <xf numFmtId="164" fontId="14" fillId="10" borderId="0" xfId="2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right"/>
    </xf>
    <xf numFmtId="0" fontId="2" fillId="7" borderId="0" xfId="2" applyFill="1" applyAlignment="1">
      <alignment horizontal="right"/>
    </xf>
    <xf numFmtId="164" fontId="2" fillId="7" borderId="0" xfId="2" applyNumberFormat="1" applyFill="1"/>
    <xf numFmtId="0" fontId="8" fillId="7" borderId="0" xfId="2" applyFont="1" applyFill="1"/>
    <xf numFmtId="0" fontId="5" fillId="8" borderId="6" xfId="0" applyFont="1" applyFill="1" applyBorder="1" applyAlignment="1">
      <alignment horizontal="left"/>
    </xf>
    <xf numFmtId="0" fontId="0" fillId="8" borderId="6" xfId="0" applyFill="1" applyBorder="1" applyAlignment="1">
      <alignment horizontal="center"/>
    </xf>
    <xf numFmtId="1" fontId="17" fillId="8" borderId="6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left"/>
    </xf>
    <xf numFmtId="0" fontId="5" fillId="8" borderId="8" xfId="0" applyFont="1" applyFill="1" applyBorder="1" applyAlignment="1">
      <alignment horizontal="center"/>
    </xf>
    <xf numFmtId="1" fontId="17" fillId="8" borderId="8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1" fontId="18" fillId="8" borderId="6" xfId="0" applyNumberFormat="1" applyFont="1" applyFill="1" applyBorder="1" applyAlignment="1">
      <alignment horizontal="center" vertical="center"/>
    </xf>
    <xf numFmtId="1" fontId="18" fillId="8" borderId="8" xfId="0" applyNumberFormat="1" applyFont="1" applyFill="1" applyBorder="1" applyAlignment="1">
      <alignment horizontal="center" vertical="center"/>
    </xf>
    <xf numFmtId="1" fontId="18" fillId="8" borderId="19" xfId="0" applyNumberFormat="1" applyFont="1" applyFill="1" applyBorder="1" applyAlignment="1">
      <alignment horizontal="center" vertical="center"/>
    </xf>
    <xf numFmtId="1" fontId="18" fillId="8" borderId="20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11" borderId="0" xfId="0" applyFill="1"/>
    <xf numFmtId="0" fontId="19" fillId="11" borderId="0" xfId="0" applyFont="1" applyFill="1"/>
    <xf numFmtId="0" fontId="17" fillId="11" borderId="0" xfId="0" applyFont="1" applyFill="1"/>
    <xf numFmtId="0" fontId="20" fillId="11" borderId="0" xfId="0" applyFont="1" applyFill="1"/>
    <xf numFmtId="0" fontId="8" fillId="8" borderId="0" xfId="2" applyFont="1" applyFill="1" applyAlignment="1">
      <alignment horizontal="center" vertical="center"/>
    </xf>
    <xf numFmtId="1" fontId="2" fillId="8" borderId="0" xfId="2" applyNumberFormat="1" applyFill="1" applyAlignment="1">
      <alignment horizontal="center" vertical="center"/>
    </xf>
    <xf numFmtId="164" fontId="2" fillId="8" borderId="0" xfId="2" applyNumberFormat="1" applyFill="1" applyAlignment="1">
      <alignment horizontal="center" vertical="center"/>
    </xf>
    <xf numFmtId="0" fontId="1" fillId="7" borderId="0" xfId="2" applyFont="1" applyFill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2" fontId="2" fillId="8" borderId="0" xfId="2" applyNumberFormat="1" applyFill="1" applyAlignment="1">
      <alignment horizontal="center" vertical="center"/>
    </xf>
    <xf numFmtId="1" fontId="2" fillId="7" borderId="0" xfId="2" applyNumberFormat="1" applyFill="1"/>
    <xf numFmtId="1" fontId="0" fillId="7" borderId="0" xfId="0" applyNumberFormat="1" applyFill="1"/>
    <xf numFmtId="1" fontId="6" fillId="3" borderId="0" xfId="1" applyNumberFormat="1" applyAlignment="1">
      <alignment horizontal="center" vertical="center" wrapText="1"/>
    </xf>
    <xf numFmtId="1" fontId="2" fillId="0" borderId="0" xfId="2" applyNumberFormat="1"/>
    <xf numFmtId="2" fontId="0" fillId="8" borderId="0" xfId="0" applyNumberFormat="1" applyFill="1" applyAlignment="1">
      <alignment vertical="center" wrapText="1"/>
    </xf>
    <xf numFmtId="2" fontId="0" fillId="9" borderId="0" xfId="0" applyNumberFormat="1" applyFill="1" applyAlignment="1">
      <alignment vertical="center" wrapText="1"/>
    </xf>
    <xf numFmtId="1" fontId="18" fillId="8" borderId="30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1" borderId="32" xfId="0" applyFill="1" applyBorder="1"/>
    <xf numFmtId="0" fontId="0" fillId="11" borderId="33" xfId="0" applyFill="1" applyBorder="1"/>
    <xf numFmtId="0" fontId="20" fillId="11" borderId="33" xfId="0" applyFont="1" applyFill="1" applyBorder="1"/>
    <xf numFmtId="0" fontId="0" fillId="11" borderId="34" xfId="0" applyFill="1" applyBorder="1"/>
    <xf numFmtId="0" fontId="0" fillId="11" borderId="4" xfId="0" applyFill="1" applyBorder="1"/>
    <xf numFmtId="0" fontId="17" fillId="11" borderId="35" xfId="0" applyFont="1" applyFill="1" applyBorder="1"/>
    <xf numFmtId="0" fontId="0" fillId="11" borderId="35" xfId="0" applyFill="1" applyBorder="1"/>
    <xf numFmtId="0" fontId="3" fillId="2" borderId="29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21" fillId="12" borderId="31" xfId="0" applyFont="1" applyFill="1" applyBorder="1" applyAlignment="1">
      <alignment horizontal="center" vertical="center"/>
    </xf>
    <xf numFmtId="0" fontId="3" fillId="12" borderId="37" xfId="0" applyFont="1" applyFill="1" applyBorder="1" applyAlignment="1">
      <alignment horizontal="center" vertical="center" wrapText="1"/>
    </xf>
    <xf numFmtId="1" fontId="18" fillId="10" borderId="19" xfId="0" applyNumberFormat="1" applyFont="1" applyFill="1" applyBorder="1" applyAlignment="1">
      <alignment horizontal="center" vertical="center"/>
    </xf>
    <xf numFmtId="1" fontId="18" fillId="10" borderId="20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5" fillId="8" borderId="42" xfId="0" applyFont="1" applyFill="1" applyBorder="1" applyAlignment="1">
      <alignment horizontal="left"/>
    </xf>
    <xf numFmtId="1" fontId="17" fillId="8" borderId="19" xfId="0" applyNumberFormat="1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left"/>
    </xf>
    <xf numFmtId="1" fontId="17" fillId="8" borderId="20" xfId="0" applyNumberFormat="1" applyFont="1" applyFill="1" applyBorder="1" applyAlignment="1">
      <alignment horizontal="center" vertical="center"/>
    </xf>
    <xf numFmtId="0" fontId="0" fillId="4" borderId="4" xfId="0" applyFill="1" applyBorder="1"/>
    <xf numFmtId="1" fontId="23" fillId="8" borderId="0" xfId="0" applyNumberFormat="1" applyFont="1" applyFill="1" applyAlignment="1">
      <alignment horizontal="center" vertical="center"/>
    </xf>
    <xf numFmtId="1" fontId="23" fillId="9" borderId="0" xfId="0" applyNumberFormat="1" applyFont="1" applyFill="1" applyAlignment="1">
      <alignment horizontal="center" vertical="center"/>
    </xf>
    <xf numFmtId="1" fontId="17" fillId="9" borderId="0" xfId="0" applyNumberFormat="1" applyFont="1" applyFill="1" applyAlignment="1">
      <alignment horizontal="center" vertical="center"/>
    </xf>
    <xf numFmtId="1" fontId="17" fillId="8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0" fillId="4" borderId="8" xfId="0" applyFill="1" applyBorder="1"/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7" borderId="0" xfId="3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/>
    </xf>
    <xf numFmtId="0" fontId="7" fillId="0" borderId="0" xfId="3" applyAlignment="1"/>
    <xf numFmtId="0" fontId="3" fillId="2" borderId="32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0" xfId="0" applyAlignment="1"/>
  </cellXfs>
  <cellStyles count="4">
    <cellStyle name="Akcent 1" xfId="1" builtinId="29"/>
    <cellStyle name="Hiperłącze" xfId="3" builtinId="8"/>
    <cellStyle name="Normal 2" xfId="2" xr:uid="{E6D76357-EFED-411E-9BE2-64F7993DD5ED}"/>
    <cellStyle name="Normalny" xfId="0" builtinId="0"/>
  </cellStyles>
  <dxfs count="28"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475527C409ED4DAE87366EABDC51807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8465AD9D264B4ABC816DE94F57F3740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9912BE6077344F0934060CC5E0C374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214C025A05124C79B04D321FA033618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B4EE159390404BB1A359EF569B92324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fencingtimelive.com/events/results/DFAEA17D28CC40F5906FE10D0D7A31A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zoomScaleNormal="100" workbookViewId="0">
      <selection activeCell="B17" sqref="B17"/>
    </sheetView>
  </sheetViews>
  <sheetFormatPr defaultColWidth="11.42578125" defaultRowHeight="12.95"/>
  <cols>
    <col min="1" max="1" width="6" customWidth="1"/>
    <col min="2" max="2" width="29.28515625" customWidth="1"/>
    <col min="3" max="3" width="13.85546875" customWidth="1"/>
    <col min="5" max="5" width="6.42578125" customWidth="1"/>
    <col min="6" max="6" width="6.7109375" bestFit="1" customWidth="1"/>
    <col min="7" max="7" width="4.42578125" customWidth="1"/>
    <col min="8" max="8" width="6" customWidth="1"/>
    <col min="9" max="9" width="5.14062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7" width="6" customWidth="1"/>
    <col min="18" max="18" width="2.42578125" customWidth="1"/>
  </cols>
  <sheetData>
    <row r="1" spans="1:22" ht="14.25" thickBot="1">
      <c r="A1" s="64"/>
      <c r="B1" s="64"/>
      <c r="C1" s="64"/>
      <c r="D1" s="67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22" ht="14.25" thickTop="1">
      <c r="A2" s="64"/>
      <c r="B2" s="2" t="s">
        <v>0</v>
      </c>
      <c r="C2" s="64"/>
      <c r="D2" s="65" t="s">
        <v>1</v>
      </c>
      <c r="E2" s="66"/>
      <c r="F2" s="66"/>
      <c r="G2" s="66"/>
      <c r="H2" s="66"/>
      <c r="I2" s="66"/>
      <c r="J2" s="66"/>
      <c r="K2" s="66"/>
      <c r="L2" s="66"/>
      <c r="M2" s="66"/>
      <c r="N2" s="64"/>
      <c r="O2" s="64"/>
      <c r="P2" s="64"/>
      <c r="Q2" s="64"/>
      <c r="S2" s="111" t="s">
        <v>2</v>
      </c>
      <c r="T2" s="112"/>
      <c r="U2" s="112"/>
      <c r="V2" s="113"/>
    </row>
    <row r="3" spans="1:22" ht="13.7">
      <c r="A3" s="64"/>
      <c r="B3" s="64"/>
      <c r="C3" s="64"/>
      <c r="D3" s="67" t="s">
        <v>3</v>
      </c>
      <c r="E3" s="64" t="s">
        <v>4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S3" s="114"/>
      <c r="T3" s="115"/>
      <c r="U3" s="115"/>
      <c r="V3" s="116"/>
    </row>
    <row r="4" spans="1:22" ht="24.75" customHeight="1">
      <c r="A4" s="122" t="s">
        <v>5</v>
      </c>
      <c r="B4" s="124" t="s">
        <v>6</v>
      </c>
      <c r="C4" s="124" t="s">
        <v>7</v>
      </c>
      <c r="D4" s="124" t="s">
        <v>8</v>
      </c>
      <c r="E4" s="120" t="s">
        <v>9</v>
      </c>
      <c r="F4" s="121"/>
      <c r="G4" s="120" t="s">
        <v>10</v>
      </c>
      <c r="H4" s="121"/>
      <c r="I4" s="120" t="s">
        <v>11</v>
      </c>
      <c r="J4" s="121"/>
      <c r="K4" s="120" t="s">
        <v>12</v>
      </c>
      <c r="L4" s="121"/>
      <c r="M4" s="120" t="s">
        <v>13</v>
      </c>
      <c r="N4" s="121"/>
      <c r="O4" s="120" t="s">
        <v>14</v>
      </c>
      <c r="P4" s="121"/>
      <c r="Q4" s="95"/>
      <c r="S4" s="117"/>
      <c r="T4" s="118"/>
      <c r="U4" s="118"/>
      <c r="V4" s="119"/>
    </row>
    <row r="5" spans="1:22" ht="18" customHeight="1">
      <c r="A5" s="123"/>
      <c r="B5" s="125"/>
      <c r="C5" s="125"/>
      <c r="D5" s="126"/>
      <c r="E5" s="38" t="s">
        <v>15</v>
      </c>
      <c r="F5" s="38" t="s">
        <v>16</v>
      </c>
      <c r="G5" s="38" t="s">
        <v>15</v>
      </c>
      <c r="H5" s="38" t="s">
        <v>16</v>
      </c>
      <c r="I5" s="38" t="s">
        <v>15</v>
      </c>
      <c r="J5" s="38" t="s">
        <v>16</v>
      </c>
      <c r="K5" s="38" t="s">
        <v>15</v>
      </c>
      <c r="L5" s="38" t="s">
        <v>16</v>
      </c>
      <c r="M5" s="38" t="s">
        <v>15</v>
      </c>
      <c r="N5" s="57" t="s">
        <v>16</v>
      </c>
      <c r="O5" s="38" t="s">
        <v>15</v>
      </c>
      <c r="P5" s="57" t="s">
        <v>16</v>
      </c>
      <c r="Q5" s="96" t="s">
        <v>17</v>
      </c>
    </row>
    <row r="6" spans="1:22" ht="14.85" customHeight="1">
      <c r="A6" s="58">
        <f>ROW()-5</f>
        <v>1</v>
      </c>
      <c r="B6" s="51" t="s">
        <v>18</v>
      </c>
      <c r="C6" s="52"/>
      <c r="D6" s="53">
        <f>SUM(F6,H6,J6,L6,N6,P6)-MIN(F6,H6,J6,L6,N6)</f>
        <v>412.74099653706469</v>
      </c>
      <c r="E6" s="73">
        <f>_xlfn.XLOOKUP($B6,'GP1'!$C$6:$C$101,'GP1'!$B$6:$B$101,"")</f>
        <v>1</v>
      </c>
      <c r="F6" s="59">
        <f>_xlfn.XLOOKUP(E6,'GP1'!$B$6:$B$55,'GP1'!$A$6:$A$55,0)</f>
        <v>97.216380644951499</v>
      </c>
      <c r="G6" s="73">
        <f>_xlfn.XLOOKUP($B6,'GP2'!$C$6:$C$101,'GP2'!$B$6:$B$101,"")</f>
        <v>1</v>
      </c>
      <c r="H6" s="59">
        <f>_xlfn.XLOOKUP(G6,'GP2'!$B$6:$B$55,'GP2'!$A$6:$A$55,0)</f>
        <v>97.216380644951499</v>
      </c>
      <c r="I6" s="73">
        <f>_xlfn.XLOOKUP($B6,'GP3'!$C$6:$C$101,'GP3'!$B$6:$B$101,"")</f>
        <v>1</v>
      </c>
      <c r="J6" s="59">
        <f>_xlfn.XLOOKUP(I6,'GP3'!$B$6:$B$55,'GP3'!$A$6:$A$55,0)</f>
        <v>98</v>
      </c>
      <c r="K6" s="73">
        <f>_xlfn.XLOOKUP($B6,'GP4'!$C$6:$C$101,'GP4'!$B$6:$B$101,"")</f>
        <v>1</v>
      </c>
      <c r="L6" s="59">
        <f>_xlfn.XLOOKUP(K6,'GP4'!$B$6:$B$55,'GP4'!$A$6:$A$55,0)</f>
        <v>98</v>
      </c>
      <c r="M6" s="73" t="str">
        <f>_xlfn.XLOOKUP($B6,'GP5'!$C$6:$C$101,'GP5'!$B$6:$B$101,"")</f>
        <v/>
      </c>
      <c r="N6" s="61">
        <f>_xlfn.XLOOKUP(M6,'GP5'!$B$6:$B$55,'GP5'!$A$6:$A$55,0)</f>
        <v>0</v>
      </c>
      <c r="O6" s="73">
        <f>_xlfn.XLOOKUP(B6,MPW!C$6:C$101,MPW!B$6:B$101,"")</f>
        <v>7</v>
      </c>
      <c r="P6" s="61">
        <f>_xlfn.XLOOKUP(O6,MPW!B$6:B$55,MPW!A$6:A$55,0)</f>
        <v>22.308235247161701</v>
      </c>
      <c r="Q6" s="97">
        <f>MAX(F6,H6,J6,L6,N6,P6)</f>
        <v>98</v>
      </c>
    </row>
    <row r="7" spans="1:22" ht="14.85" customHeight="1">
      <c r="A7" s="58">
        <f>ROW()-5</f>
        <v>2</v>
      </c>
      <c r="B7" s="54" t="s">
        <v>19</v>
      </c>
      <c r="C7" s="55"/>
      <c r="D7" s="53">
        <f>SUM(F7,H7,J7,L7,N7,P7)-MIN(F7,H7,J7,L7,N7)</f>
        <v>364.69927979371062</v>
      </c>
      <c r="E7" s="73">
        <f>_xlfn.XLOOKUP($B7,'GP1'!$C$6:$C$101,'GP1'!$B$6:$B$101,"")</f>
        <v>2</v>
      </c>
      <c r="F7" s="59">
        <f>_xlfn.XLOOKUP(E7,'GP1'!$B$6:$B$55,'GP1'!$A$6:$A$55,0)</f>
        <v>64.023434928341246</v>
      </c>
      <c r="G7" s="73">
        <f>_xlfn.XLOOKUP($B7,'GP2'!$C$6:$C$101,'GP2'!$B$6:$B$101,"")</f>
        <v>3</v>
      </c>
      <c r="H7" s="59">
        <f>_xlfn.XLOOKUP(G7,'GP2'!$B$6:$B$55,'GP2'!$A$6:$A$55,0)</f>
        <v>38.074616879691767</v>
      </c>
      <c r="I7" s="74">
        <f>_xlfn.XLOOKUP($B7,'GP3'!$C$6:$C$101,'GP3'!$B$6:$B$101,"")</f>
        <v>2</v>
      </c>
      <c r="J7" s="60">
        <f>_xlfn.XLOOKUP(I7,'GP3'!$B$6:$B$55,'GP3'!$A$6:$A$55,0)</f>
        <v>65.666666666666657</v>
      </c>
      <c r="K7" s="74">
        <f>_xlfn.XLOOKUP($B7,'GP4'!$C$6:$C$101,'GP4'!$B$6:$B$101,"")</f>
        <v>2</v>
      </c>
      <c r="L7" s="60">
        <f>_xlfn.XLOOKUP(K7,'GP4'!$B$6:$B$55,'GP4'!$A$6:$A$55,0)</f>
        <v>65.666666666666657</v>
      </c>
      <c r="M7" s="74" t="str">
        <f>_xlfn.XLOOKUP($B7,'GP5'!$C$6:$C$101,'GP5'!$B$6:$B$101,"")</f>
        <v/>
      </c>
      <c r="N7" s="62">
        <f>_xlfn.XLOOKUP(M7,'GP5'!$B$6:$B$55,'GP5'!$A$6:$A$55,0)</f>
        <v>0</v>
      </c>
      <c r="O7" s="74">
        <f>_xlfn.XLOOKUP(B7,MPW!C$6:C$101,MPW!B$6:B$101,"")</f>
        <v>1</v>
      </c>
      <c r="P7" s="62">
        <f>_xlfn.XLOOKUP(O7,MPW!B$6:B$55,MPW!A$6:A$55,0)</f>
        <v>131.26789465234432</v>
      </c>
      <c r="Q7" s="98">
        <f t="shared" ref="Q7:Q23" si="0">MAX(F7,H7,J7,L7,N7,P7)</f>
        <v>131.26789465234432</v>
      </c>
    </row>
    <row r="8" spans="1:22" ht="15.75" customHeight="1">
      <c r="A8" s="58">
        <f>ROW()-5</f>
        <v>3</v>
      </c>
      <c r="B8" s="54" t="s">
        <v>20</v>
      </c>
      <c r="C8" s="55"/>
      <c r="D8" s="53">
        <f>SUM(F8,H8,J8,L8,N8,P8)-MIN(F8,H8,J8,L8,N8)</f>
        <v>237.20223687606864</v>
      </c>
      <c r="E8" s="73">
        <f>_xlfn.XLOOKUP($B8,'GP1'!$C$6:$C$101,'GP1'!$B$6:$B$101,"")</f>
        <v>3</v>
      </c>
      <c r="F8" s="59">
        <f>_xlfn.XLOOKUP(E8,'GP1'!$B$6:$B$55,'GP1'!$A$6:$A$55,0)</f>
        <v>38.074616879691767</v>
      </c>
      <c r="G8" s="73">
        <f>_xlfn.XLOOKUP($B8,'GP2'!$C$6:$C$101,'GP2'!$B$6:$B$101,"")</f>
        <v>4</v>
      </c>
      <c r="H8" s="59">
        <f>_xlfn.XLOOKUP(G8,'GP2'!$B$6:$B$55,'GP2'!$A$6:$A$55,0)</f>
        <v>25.091695663413823</v>
      </c>
      <c r="I8" s="74">
        <f>_xlfn.XLOOKUP($B8,'GP3'!$C$6:$C$101,'GP3'!$B$6:$B$101,"")</f>
        <v>3</v>
      </c>
      <c r="J8" s="60">
        <f>_xlfn.XLOOKUP(I8,'GP3'!$B$6:$B$55,'GP3'!$A$6:$A$55,0)</f>
        <v>40.112279154887787</v>
      </c>
      <c r="K8" s="74">
        <f>_xlfn.XLOOKUP($B8,'GP4'!$C$6:$C$101,'GP4'!$B$6:$B$101,"")</f>
        <v>3</v>
      </c>
      <c r="L8" s="60">
        <f>_xlfn.XLOOKUP(K8,'GP4'!$B$6:$B$55,'GP4'!$A$6:$A$55,0)</f>
        <v>40.112279154887787</v>
      </c>
      <c r="M8" s="74" t="str">
        <f>_xlfn.XLOOKUP($B8,'GP5'!$C$6:$C$101,'GP5'!$B$6:$B$101,"")</f>
        <v/>
      </c>
      <c r="N8" s="62">
        <f>_xlfn.XLOOKUP(M8,'GP5'!$B$6:$B$55,'GP5'!$A$6:$A$55,0)</f>
        <v>0</v>
      </c>
      <c r="O8" s="74">
        <f>_xlfn.XLOOKUP(B8,MPW!C$6:C$101,MPW!B$6:B$101,"")</f>
        <v>2</v>
      </c>
      <c r="P8" s="62">
        <f>_xlfn.XLOOKUP(O8,MPW!B$6:B$55,MPW!A$6:A$55,0)</f>
        <v>93.81136602318746</v>
      </c>
      <c r="Q8" s="98">
        <f t="shared" si="0"/>
        <v>93.81136602318746</v>
      </c>
    </row>
    <row r="9" spans="1:22" ht="14.85" customHeight="1">
      <c r="A9" s="58">
        <f>ROW()-5</f>
        <v>4</v>
      </c>
      <c r="B9" s="54" t="s">
        <v>21</v>
      </c>
      <c r="C9" s="55"/>
      <c r="D9" s="53">
        <f>SUM(F9,H9,J9,L9,N9,P9)-MIN(F9,H9,J9,L9,N9)</f>
        <v>215.3952475926975</v>
      </c>
      <c r="E9" s="73">
        <f>_xlfn.XLOOKUP($B9,'GP1'!$C$6:$C$101,'GP1'!$B$6:$B$101,"")</f>
        <v>4</v>
      </c>
      <c r="F9" s="59">
        <f>_xlfn.XLOOKUP(E9,'GP1'!$B$6:$B$55,'GP1'!$A$6:$A$55,0)</f>
        <v>25.091695663413823</v>
      </c>
      <c r="G9" s="73" t="str">
        <f>_xlfn.XLOOKUP($B9,'GP2'!$C$6:$C$101,'GP2'!$B$6:$B$101,"")</f>
        <v/>
      </c>
      <c r="H9" s="59">
        <f>_xlfn.XLOOKUP(G9,'GP2'!$B$6:$B$55,'GP2'!$A$6:$A$55,0)</f>
        <v>0</v>
      </c>
      <c r="I9" s="74">
        <f>_xlfn.XLOOKUP($B9,'GP3'!$C$6:$C$101,'GP3'!$B$6:$B$101,"")</f>
        <v>4</v>
      </c>
      <c r="J9" s="60">
        <f>_xlfn.XLOOKUP(I9,'GP3'!$B$6:$B$55,'GP3'!$A$6:$A$55,0)</f>
        <v>27.333333333333329</v>
      </c>
      <c r="K9" s="74">
        <f>_xlfn.XLOOKUP($B9,'GP4'!$C$6:$C$101,'GP4'!$B$6:$B$101,"")</f>
        <v>3</v>
      </c>
      <c r="L9" s="60">
        <f>_xlfn.XLOOKUP(K9,'GP4'!$B$6:$B$55,'GP4'!$A$6:$A$55,0)</f>
        <v>40.112279154887787</v>
      </c>
      <c r="M9" s="74">
        <f>_xlfn.XLOOKUP($B9,'GP5'!$C$6:$C$101,'GP5'!$B$6:$B$101,"")</f>
        <v>2</v>
      </c>
      <c r="N9" s="62">
        <f>_xlfn.XLOOKUP(M9,'GP5'!$B$6:$B$55,'GP5'!$A$6:$A$55,0)</f>
        <v>59.156704334463925</v>
      </c>
      <c r="O9" s="74">
        <f>_xlfn.XLOOKUP(B9,MPW!C$6:C$101,MPW!B$6:B$101,"")</f>
        <v>3</v>
      </c>
      <c r="P9" s="62">
        <f>_xlfn.XLOOKUP(O9,MPW!B$6:B$55,MPW!A$6:A$55,0)</f>
        <v>63.701235106598631</v>
      </c>
      <c r="Q9" s="98">
        <f t="shared" si="0"/>
        <v>63.701235106598631</v>
      </c>
    </row>
    <row r="10" spans="1:22" ht="14.85" customHeight="1">
      <c r="A10" s="58">
        <f>ROW()-5</f>
        <v>5</v>
      </c>
      <c r="B10" s="54" t="s">
        <v>22</v>
      </c>
      <c r="C10" s="55"/>
      <c r="D10" s="53">
        <f>SUM(F10,H10,J10,L10,N10,P10)-MIN(F10,H10,J10,L10,N10)</f>
        <v>212.89376212142886</v>
      </c>
      <c r="E10" s="73">
        <f>_xlfn.XLOOKUP($B10,'GP1'!$C$6:$C$101,'GP1'!$B$6:$B$101,"")</f>
        <v>6</v>
      </c>
      <c r="F10" s="59">
        <f>_xlfn.XLOOKUP(E10,'GP1'!$B$6:$B$55,'GP1'!$A$6:$A$55,0)</f>
        <v>4.8816711630815135</v>
      </c>
      <c r="G10" s="73">
        <f>_xlfn.XLOOKUP($B10,'GP2'!$C$6:$C$101,'GP2'!$B$6:$B$101,"")</f>
        <v>2</v>
      </c>
      <c r="H10" s="59">
        <f>_xlfn.XLOOKUP(G10,'GP2'!$B$6:$B$55,'GP2'!$A$6:$A$55,0)</f>
        <v>64.023434928341246</v>
      </c>
      <c r="I10" s="74" t="str">
        <f>_xlfn.XLOOKUP($B10,'GP3'!$C$6:$C$101,'GP3'!$B$6:$B$101,"")</f>
        <v/>
      </c>
      <c r="J10" s="60">
        <f>_xlfn.XLOOKUP(I10,'GP3'!$B$6:$B$55,'GP3'!$A$6:$A$55,0)</f>
        <v>0</v>
      </c>
      <c r="K10" s="74" t="str">
        <f>_xlfn.XLOOKUP($B10,'GP4'!$C$6:$C$101,'GP4'!$B$6:$B$101,"")</f>
        <v/>
      </c>
      <c r="L10" s="60">
        <f>_xlfn.XLOOKUP(K10,'GP4'!$B$6:$B$55,'GP4'!$A$6:$A$55,0)</f>
        <v>0</v>
      </c>
      <c r="M10" s="74">
        <f>_xlfn.XLOOKUP($B10,'GP5'!$C$6:$C$101,'GP5'!$B$6:$B$101,"")</f>
        <v>1</v>
      </c>
      <c r="N10" s="62">
        <f>_xlfn.XLOOKUP(M10,'GP5'!$B$6:$B$55,'GP5'!$A$6:$A$55,0)</f>
        <v>95.389783520090276</v>
      </c>
      <c r="O10" s="74">
        <f>_xlfn.XLOOKUP(B10,MPW!C$6:C$101,MPW!B$6:B$101,"")</f>
        <v>4</v>
      </c>
      <c r="P10" s="62">
        <f>_xlfn.XLOOKUP(O10,MPW!B$6:B$55,MPW!A$6:A$55,0)</f>
        <v>48.598872509915815</v>
      </c>
      <c r="Q10" s="98">
        <f t="shared" si="0"/>
        <v>95.389783520090276</v>
      </c>
    </row>
    <row r="11" spans="1:22" ht="14.85" customHeight="1">
      <c r="A11" s="58">
        <f>ROW()-5</f>
        <v>6</v>
      </c>
      <c r="B11" s="54" t="s">
        <v>23</v>
      </c>
      <c r="C11" s="55"/>
      <c r="D11" s="53">
        <f>SUM(F11,H11,J11,L11,N11,P11)-MIN(F11,H11,J11,L11,N11)</f>
        <v>61.92116561121739</v>
      </c>
      <c r="E11" s="73">
        <f>_xlfn.XLOOKUP($B11,'GP1'!$C$6:$C$101,'GP1'!$B$6:$B$101,"")</f>
        <v>5</v>
      </c>
      <c r="F11" s="59">
        <f>_xlfn.XLOOKUP(E11,'GP1'!$B$6:$B$55,'GP1'!$A$6:$A$55,0)</f>
        <v>9.472713708001109</v>
      </c>
      <c r="G11" s="73">
        <f>_xlfn.XLOOKUP($B11,'GP2'!$C$6:$C$101,'GP2'!$B$6:$B$101,"")</f>
        <v>5</v>
      </c>
      <c r="H11" s="59">
        <f>_xlfn.XLOOKUP(G11,'GP2'!$B$6:$B$55,'GP2'!$A$6:$A$55,0)</f>
        <v>9.472713708001109</v>
      </c>
      <c r="I11" s="74">
        <f>_xlfn.XLOOKUP($B11,'GP3'!$C$6:$C$101,'GP3'!$B$6:$B$101,"")</f>
        <v>5</v>
      </c>
      <c r="J11" s="60">
        <f>_xlfn.XLOOKUP(I11,'GP3'!$B$6:$B$55,'GP3'!$A$6:$A$55,0)</f>
        <v>12.07517445017308</v>
      </c>
      <c r="K11" s="74" t="str">
        <f>_xlfn.XLOOKUP($B11,'GP4'!$C$6:$C$101,'GP4'!$B$6:$B$101,"")</f>
        <v/>
      </c>
      <c r="L11" s="60">
        <f>_xlfn.XLOOKUP(K11,'GP4'!$B$6:$B$55,'GP4'!$A$6:$A$55,0)</f>
        <v>0</v>
      </c>
      <c r="M11" s="74" t="str">
        <f>_xlfn.XLOOKUP($B11,'GP5'!$C$6:$C$101,'GP5'!$B$6:$B$101,"")</f>
        <v/>
      </c>
      <c r="N11" s="62">
        <f>_xlfn.XLOOKUP(M11,'GP5'!$B$6:$B$55,'GP5'!$A$6:$A$55,0)</f>
        <v>0</v>
      </c>
      <c r="O11" s="74">
        <f>_xlfn.XLOOKUP(B11,MPW!C$6:C$101,MPW!B$6:B$101,"")</f>
        <v>5</v>
      </c>
      <c r="P11" s="62">
        <f>_xlfn.XLOOKUP(O11,MPW!B$6:B$55,MPW!A$6:A$55,0)</f>
        <v>30.900563745042088</v>
      </c>
      <c r="Q11" s="98">
        <f t="shared" si="0"/>
        <v>30.900563745042088</v>
      </c>
    </row>
    <row r="12" spans="1:22" ht="14.85" customHeight="1">
      <c r="A12" s="58">
        <f>ROW()-5</f>
        <v>7</v>
      </c>
      <c r="B12" s="109" t="s">
        <v>24</v>
      </c>
      <c r="C12" s="55"/>
      <c r="D12" s="53">
        <f>SUM(F12,H12,J12,L12,N12,P12)-MIN(F12,H12,J12,L12,N12)</f>
        <v>57.926930787658577</v>
      </c>
      <c r="E12" s="73" t="str">
        <f>_xlfn.XLOOKUP($B12,'GP1'!$C$6:$C$101,'GP1'!$B$6:$B$101,"")</f>
        <v/>
      </c>
      <c r="F12" s="59">
        <f>_xlfn.XLOOKUP(E12,'GP1'!$B$6:$B$55,'GP1'!$A$6:$A$55,0)</f>
        <v>0</v>
      </c>
      <c r="G12" s="73" t="str">
        <f>_xlfn.XLOOKUP($B12,'GP2'!$C$6:$C$101,'GP2'!$B$6:$B$101,"")</f>
        <v/>
      </c>
      <c r="H12" s="59">
        <f>_xlfn.XLOOKUP(G12,'GP2'!$B$6:$B$55,'GP2'!$A$6:$A$55,0)</f>
        <v>0</v>
      </c>
      <c r="I12" s="74" t="str">
        <f>_xlfn.XLOOKUP($B12,'GP3'!$C$6:$C$101,'GP3'!$B$6:$B$101,"")</f>
        <v/>
      </c>
      <c r="J12" s="60">
        <f>_xlfn.XLOOKUP(I12,'GP3'!$B$6:$B$55,'GP3'!$A$6:$A$55,0)</f>
        <v>0</v>
      </c>
      <c r="K12" s="74" t="str">
        <f>_xlfn.XLOOKUP($B12,'GP4'!$C$6:$C$101,'GP4'!$B$6:$B$101,"")</f>
        <v/>
      </c>
      <c r="L12" s="60">
        <f>_xlfn.XLOOKUP(K12,'GP4'!$B$6:$B$55,'GP4'!$A$6:$A$55,0)</f>
        <v>0</v>
      </c>
      <c r="M12" s="74">
        <f>_xlfn.XLOOKUP($B12,'GP5'!$C$6:$C$101,'GP5'!$B$6:$B$101,"")</f>
        <v>3</v>
      </c>
      <c r="N12" s="62">
        <f>_xlfn.XLOOKUP(M12,'GP5'!$B$6:$B$55,'GP5'!$A$6:$A$55,0)</f>
        <v>31.682224310216817</v>
      </c>
      <c r="O12" s="74">
        <f>_xlfn.XLOOKUP(B12,MPW!C$6:C$101,MPW!B$6:B$101,"")</f>
        <v>6</v>
      </c>
      <c r="P12" s="62">
        <f>_xlfn.XLOOKUP(O12,MPW!B$6:B$55,MPW!A$6:A$55,0)</f>
        <v>26.244706477441756</v>
      </c>
      <c r="Q12" s="98">
        <f t="shared" si="0"/>
        <v>31.682224310216817</v>
      </c>
    </row>
    <row r="13" spans="1:22" ht="14.85" customHeight="1">
      <c r="A13" s="58">
        <f>ROW()-5</f>
        <v>8</v>
      </c>
      <c r="B13" s="54" t="s">
        <v>25</v>
      </c>
      <c r="C13" s="55"/>
      <c r="D13" s="53">
        <f>SUM(F13,H13,J13,L13,N13,P13)-MIN(F13,H13,J13,L13,N13)</f>
        <v>37.242129396884074</v>
      </c>
      <c r="E13" s="73" t="str">
        <f>_xlfn.XLOOKUP($B13,'GP1'!$C$6:$C$101,'GP1'!$B$6:$B$101,"")</f>
        <v/>
      </c>
      <c r="F13" s="59">
        <f>_xlfn.XLOOKUP(E13,'GP1'!$B$6:$B$55,'GP1'!$A$6:$A$55,0)</f>
        <v>0</v>
      </c>
      <c r="G13" s="73" t="str">
        <f>_xlfn.XLOOKUP($B13,'GP2'!$C$6:$C$101,'GP2'!$B$6:$B$101,"")</f>
        <v/>
      </c>
      <c r="H13" s="59">
        <f>_xlfn.XLOOKUP(G13,'GP2'!$B$6:$B$55,'GP2'!$A$6:$A$55,0)</f>
        <v>0</v>
      </c>
      <c r="I13" s="74">
        <f>_xlfn.XLOOKUP($B13,'GP3'!$C$6:$C$101,'GP3'!$B$6:$B$101,"")</f>
        <v>6</v>
      </c>
      <c r="J13" s="60">
        <f>_xlfn.XLOOKUP(I13,'GP3'!$B$6:$B$55,'GP3'!$A$6:$A$55,0)</f>
        <v>7.7789458215544443</v>
      </c>
      <c r="K13" s="74">
        <f>_xlfn.XLOOKUP($B13,'GP4'!$C$6:$C$101,'GP4'!$B$6:$B$101,"")</f>
        <v>6</v>
      </c>
      <c r="L13" s="60">
        <f>_xlfn.XLOOKUP(K13,'GP4'!$B$6:$B$55,'GP4'!$A$6:$A$55,0)</f>
        <v>7.7789458215544443</v>
      </c>
      <c r="M13" s="74">
        <f>_xlfn.XLOOKUP($B13,'GP5'!$C$6:$C$101,'GP5'!$B$6:$B$101,"")</f>
        <v>4</v>
      </c>
      <c r="N13" s="62">
        <f>_xlfn.XLOOKUP(M13,'GP5'!$B$6:$B$55,'GP5'!$A$6:$A$55,0)</f>
        <v>17.793697308807488</v>
      </c>
      <c r="O13" s="74">
        <f>_xlfn.XLOOKUP(B13,MPW!C$6:C$101,MPW!B$6:B$101,"")</f>
        <v>9</v>
      </c>
      <c r="P13" s="62">
        <f>_xlfn.XLOOKUP(O13,MPW!B$6:B$55,MPW!A$6:A$55,0)</f>
        <v>3.8905404449676948</v>
      </c>
      <c r="Q13" s="98">
        <f t="shared" si="0"/>
        <v>17.793697308807488</v>
      </c>
    </row>
    <row r="14" spans="1:22" ht="14.85" customHeight="1">
      <c r="A14" s="58">
        <f>ROW()-5</f>
        <v>9</v>
      </c>
      <c r="B14" s="54" t="s">
        <v>26</v>
      </c>
      <c r="C14" s="55"/>
      <c r="D14" s="53">
        <f>SUM(F14,H14,J14,L14,N14,P14)-MIN(F14,H14,J14,L14,N14)</f>
        <v>26.044845037932856</v>
      </c>
      <c r="E14" s="73">
        <f>_xlfn.XLOOKUP($B14,'GP1'!$C$6:$C$101,'GP1'!$B$6:$B$101,"")</f>
        <v>7</v>
      </c>
      <c r="F14" s="59">
        <f>_xlfn.XLOOKUP(E14,'GP1'!$B$6:$B$55,'GP1'!$A$6:$A$55,0)</f>
        <v>1</v>
      </c>
      <c r="G14" s="73">
        <f>_xlfn.XLOOKUP($B14,'GP2'!$C$6:$C$101,'GP2'!$B$6:$B$101,"")</f>
        <v>7</v>
      </c>
      <c r="H14" s="59">
        <f>_xlfn.XLOOKUP(G14,'GP2'!$B$6:$B$55,'GP2'!$A$6:$A$55,0)</f>
        <v>1</v>
      </c>
      <c r="I14" s="74">
        <f>_xlfn.XLOOKUP($B14,'GP3'!$C$6:$C$101,'GP3'!$B$6:$B$101,"")</f>
        <v>8</v>
      </c>
      <c r="J14" s="60">
        <f>_xlfn.XLOOKUP(I14,'GP3'!$B$6:$B$55,'GP3'!$A$6:$A$55,0)</f>
        <v>1</v>
      </c>
      <c r="K14" s="74">
        <f>_xlfn.XLOOKUP($B14,'GP4'!$C$6:$C$101,'GP4'!$B$6:$B$101,"")</f>
        <v>7</v>
      </c>
      <c r="L14" s="60">
        <f>_xlfn.XLOOKUP(K14,'GP4'!$B$6:$B$55,'GP4'!$A$6:$A$55,0)</f>
        <v>4.1465362730591337</v>
      </c>
      <c r="M14" s="74" t="str">
        <f>_xlfn.XLOOKUP($B14,'GP5'!$C$6:$C$101,'GP5'!$B$6:$B$101,"")</f>
        <v/>
      </c>
      <c r="N14" s="62">
        <f>_xlfn.XLOOKUP(M14,'GP5'!$B$6:$B$55,'GP5'!$A$6:$A$55,0)</f>
        <v>0</v>
      </c>
      <c r="O14" s="74">
        <f>_xlfn.XLOOKUP(B14,MPW!C$6:C$101,MPW!B$6:B$101,"")</f>
        <v>8</v>
      </c>
      <c r="P14" s="62">
        <f>_xlfn.XLOOKUP(O14,MPW!B$6:B$55,MPW!A$6:A$55,0)</f>
        <v>18.898308764873722</v>
      </c>
      <c r="Q14" s="98">
        <f t="shared" si="0"/>
        <v>18.898308764873722</v>
      </c>
    </row>
    <row r="15" spans="1:22" ht="14.85" customHeight="1">
      <c r="A15" s="58">
        <f>ROW()-5</f>
        <v>10</v>
      </c>
      <c r="B15" s="54" t="s">
        <v>27</v>
      </c>
      <c r="C15" s="55"/>
      <c r="D15" s="53">
        <f>SUM(F15,H15,J15,L15,N15,P15)-MIN(F15,H15,J15,L15,N15)</f>
        <v>12.07517445017308</v>
      </c>
      <c r="E15" s="73" t="str">
        <f>_xlfn.XLOOKUP($B15,'GP1'!$C$6:$C$101,'GP1'!$B$6:$B$101,"")</f>
        <v/>
      </c>
      <c r="F15" s="59">
        <f>_xlfn.XLOOKUP(E15,'GP1'!$B$6:$B$55,'GP1'!$A$6:$A$55,0)</f>
        <v>0</v>
      </c>
      <c r="G15" s="73" t="str">
        <f>_xlfn.XLOOKUP($B15,'GP2'!$C$6:$C$101,'GP2'!$B$6:$B$101,"")</f>
        <v/>
      </c>
      <c r="H15" s="59">
        <f>_xlfn.XLOOKUP(G15,'GP2'!$B$6:$B$55,'GP2'!$A$6:$A$55,0)</f>
        <v>0</v>
      </c>
      <c r="I15" s="74" t="str">
        <f>_xlfn.XLOOKUP($B15,'GP3'!$C$6:$C$101,'GP3'!$B$6:$B$101,"")</f>
        <v/>
      </c>
      <c r="J15" s="60">
        <f>_xlfn.XLOOKUP(I15,'GP3'!$B$6:$B$55,'GP3'!$A$6:$A$55,0)</f>
        <v>0</v>
      </c>
      <c r="K15" s="74">
        <f>_xlfn.XLOOKUP($B15,'GP4'!$C$6:$C$101,'GP4'!$B$6:$B$101,"")</f>
        <v>5</v>
      </c>
      <c r="L15" s="60">
        <f>_xlfn.XLOOKUP(K15,'GP4'!$B$6:$B$55,'GP4'!$A$6:$A$55,0)</f>
        <v>12.07517445017308</v>
      </c>
      <c r="M15" s="74" t="str">
        <f>_xlfn.XLOOKUP($B15,'GP5'!$C$6:$C$101,'GP5'!$B$6:$B$101,"")</f>
        <v/>
      </c>
      <c r="N15" s="62">
        <f>_xlfn.XLOOKUP(M15,'GP5'!$B$6:$B$55,'GP5'!$A$6:$A$55,0)</f>
        <v>0</v>
      </c>
      <c r="O15" s="74" t="str">
        <f>_xlfn.XLOOKUP(B15,MPW!C$6:C$101,MPW!B$6:B$101,"")</f>
        <v/>
      </c>
      <c r="P15" s="62" t="str">
        <f>_xlfn.XLOOKUP(O15,MPW!B$6:B$55,MPW!A$6:A$55,0)</f>
        <v/>
      </c>
      <c r="Q15" s="98">
        <f t="shared" si="0"/>
        <v>12.07517445017308</v>
      </c>
    </row>
    <row r="16" spans="1:22" ht="14.85" customHeight="1">
      <c r="A16" s="58">
        <f>ROW()-5</f>
        <v>11</v>
      </c>
      <c r="B16" s="54" t="s">
        <v>28</v>
      </c>
      <c r="C16" s="55"/>
      <c r="D16" s="53">
        <f>SUM(F16,H16,J16,L16,N16,P16)-MIN(F16,H16,J16,L16,N16)</f>
        <v>7.3465362730591339</v>
      </c>
      <c r="E16" s="73" t="str">
        <f>_xlfn.XLOOKUP($B16,'GP1'!$C$6:$C$101,'GP1'!$B$6:$B$101,"")</f>
        <v/>
      </c>
      <c r="F16" s="59">
        <f>_xlfn.XLOOKUP(E16,'GP1'!$B$6:$B$55,'GP1'!$A$6:$A$55,0)</f>
        <v>0</v>
      </c>
      <c r="G16" s="73" t="str">
        <f>_xlfn.XLOOKUP($B16,'GP2'!$C$6:$C$101,'GP2'!$B$6:$B$101,"")</f>
        <v/>
      </c>
      <c r="H16" s="59">
        <f>_xlfn.XLOOKUP(G16,'GP2'!$B$6:$B$55,'GP2'!$A$6:$A$55,0)</f>
        <v>0</v>
      </c>
      <c r="I16" s="74">
        <f>_xlfn.XLOOKUP($B16,'GP3'!$C$6:$C$101,'GP3'!$B$6:$B$101,"")</f>
        <v>7</v>
      </c>
      <c r="J16" s="60">
        <f>_xlfn.XLOOKUP(I16,'GP3'!$B$6:$B$55,'GP3'!$A$6:$A$55,0)</f>
        <v>4.1465362730591337</v>
      </c>
      <c r="K16" s="74">
        <f>_xlfn.XLOOKUP($B16,'GP4'!$C$6:$C$101,'GP4'!$B$6:$B$101,"")</f>
        <v>8</v>
      </c>
      <c r="L16" s="60">
        <f>_xlfn.XLOOKUP(K16,'GP4'!$B$6:$B$55,'GP4'!$A$6:$A$55,0)</f>
        <v>1</v>
      </c>
      <c r="M16" s="74">
        <f>_xlfn.XLOOKUP($B16,'GP5'!$C$6:$C$101,'GP5'!$B$6:$B$101,"")</f>
        <v>5</v>
      </c>
      <c r="N16" s="62">
        <f>_xlfn.XLOOKUP(M16,'GP5'!$B$6:$B$55,'GP5'!$A$6:$A$55,0)</f>
        <v>1</v>
      </c>
      <c r="O16" s="74">
        <f>_xlfn.XLOOKUP(B16,MPW!C$6:C$101,MPW!B$6:B$101,"")</f>
        <v>10</v>
      </c>
      <c r="P16" s="62">
        <f>_xlfn.XLOOKUP(O16,MPW!B$6:B$55,MPW!A$6:A$55,0)</f>
        <v>1.2</v>
      </c>
      <c r="Q16" s="98">
        <f t="shared" si="0"/>
        <v>4.1465362730591337</v>
      </c>
    </row>
    <row r="17" spans="1:17" ht="14.85" customHeight="1">
      <c r="A17" s="58">
        <f>ROW()-5</f>
        <v>12</v>
      </c>
      <c r="B17" s="54" t="s">
        <v>29</v>
      </c>
      <c r="C17" s="55"/>
      <c r="D17" s="53">
        <f>SUM(F17,H17,J17,L17,N17,P17)-MIN(F17,H17,J17,L17,N17)</f>
        <v>4.8816711630815135</v>
      </c>
      <c r="E17" s="73" t="str">
        <f>_xlfn.XLOOKUP($B17,'GP1'!$C$6:$C$101,'GP1'!$B$6:$B$101,"")</f>
        <v/>
      </c>
      <c r="F17" s="59">
        <f>_xlfn.XLOOKUP(E17,'GP1'!$B$6:$B$55,'GP1'!$A$6:$A$55,0)</f>
        <v>0</v>
      </c>
      <c r="G17" s="73">
        <f>_xlfn.XLOOKUP($B17,'GP2'!$C$6:$C$101,'GP2'!$B$6:$B$101,"")</f>
        <v>6</v>
      </c>
      <c r="H17" s="59">
        <f>_xlfn.XLOOKUP(G17,'GP2'!$B$6:$B$55,'GP2'!$A$6:$A$55,0)</f>
        <v>4.8816711630815135</v>
      </c>
      <c r="I17" s="74" t="str">
        <f>_xlfn.XLOOKUP($B17,'GP3'!$C$6:$C$101,'GP3'!$B$6:$B$101,"")</f>
        <v/>
      </c>
      <c r="J17" s="60">
        <f>_xlfn.XLOOKUP(I17,'GP3'!$B$6:$B$55,'GP3'!$A$6:$A$55,0)</f>
        <v>0</v>
      </c>
      <c r="K17" s="74" t="str">
        <f>_xlfn.XLOOKUP($B17,'GP4'!$C$6:$C$101,'GP4'!$B$6:$B$101,"")</f>
        <v/>
      </c>
      <c r="L17" s="60">
        <f>_xlfn.XLOOKUP(K17,'GP4'!$B$6:$B$55,'GP4'!$A$6:$A$55,0)</f>
        <v>0</v>
      </c>
      <c r="M17" s="74" t="str">
        <f>_xlfn.XLOOKUP($B17,'GP5'!$C$6:$C$101,'GP5'!$B$6:$B$101,"")</f>
        <v/>
      </c>
      <c r="N17" s="62">
        <f>_xlfn.XLOOKUP(M17,'GP5'!$B$6:$B$55,'GP5'!$A$6:$A$55,0)</f>
        <v>0</v>
      </c>
      <c r="O17" s="74" t="str">
        <f>_xlfn.XLOOKUP(B17,MPW!C$6:C$101,MPW!B$6:B$101,"")</f>
        <v/>
      </c>
      <c r="P17" s="62" t="str">
        <f>_xlfn.XLOOKUP(O17,MPW!B$6:B$55,MPW!A$6:A$55,0)</f>
        <v/>
      </c>
      <c r="Q17" s="98">
        <f t="shared" si="0"/>
        <v>4.8816711630815135</v>
      </c>
    </row>
    <row r="18" spans="1:17" ht="14.85" customHeight="1">
      <c r="A18" s="58">
        <f>ROW()-5</f>
        <v>13</v>
      </c>
      <c r="B18" s="54"/>
      <c r="C18" s="55"/>
      <c r="D18" s="53">
        <f>SUM(F18,H18,J18,L18,N18,P18)-MIN(F18,H18,J18,L18,N18)</f>
        <v>0</v>
      </c>
      <c r="E18" s="73" t="str">
        <f>_xlfn.XLOOKUP($B18,'GP1'!$C$6:$C$101,'GP1'!$B$6:$B$101,"")</f>
        <v/>
      </c>
      <c r="F18" s="59">
        <f>_xlfn.XLOOKUP(E18,'GP1'!$B$6:$B$55,'GP1'!$A$6:$A$55,0)</f>
        <v>0</v>
      </c>
      <c r="G18" s="73" t="str">
        <f>_xlfn.XLOOKUP($B18,'GP2'!$C$6:$C$101,'GP2'!$B$6:$B$101,"")</f>
        <v/>
      </c>
      <c r="H18" s="59">
        <f>_xlfn.XLOOKUP(G18,'GP2'!$B$6:$B$55,'GP2'!$A$6:$A$55,0)</f>
        <v>0</v>
      </c>
      <c r="I18" s="74" t="str">
        <f>_xlfn.XLOOKUP($B18,'GP3'!$C$6:$C$101,'GP3'!$B$6:$B$101,"")</f>
        <v/>
      </c>
      <c r="J18" s="60">
        <f>_xlfn.XLOOKUP(I18,'GP3'!$B$6:$B$55,'GP3'!$A$6:$A$55,0)</f>
        <v>0</v>
      </c>
      <c r="K18" s="74" t="str">
        <f>_xlfn.XLOOKUP($B18,'GP4'!$C$6:$C$101,'GP4'!$B$6:$B$101,"")</f>
        <v/>
      </c>
      <c r="L18" s="60">
        <f>_xlfn.XLOOKUP(K18,'GP4'!$B$6:$B$55,'GP4'!$A$6:$A$55,0)</f>
        <v>0</v>
      </c>
      <c r="M18" s="74" t="str">
        <f>_xlfn.XLOOKUP($B18,'GP5'!$C$6:$C$101,'GP5'!$B$6:$B$101,"")</f>
        <v/>
      </c>
      <c r="N18" s="62">
        <f>_xlfn.XLOOKUP(M18,'GP5'!$B$6:$B$55,'GP5'!$A$6:$A$55,0)</f>
        <v>0</v>
      </c>
      <c r="O18" s="74" t="str">
        <f>_xlfn.XLOOKUP(B18,MPW!C$6:C$101,MPW!B$6:B$101,"")</f>
        <v/>
      </c>
      <c r="P18" s="62" t="str">
        <f>_xlfn.XLOOKUP(O18,MPW!B$6:B$55,MPW!A$6:A$55,0)</f>
        <v/>
      </c>
      <c r="Q18" s="98">
        <f t="shared" si="0"/>
        <v>0</v>
      </c>
    </row>
    <row r="19" spans="1:17" ht="14.85" customHeight="1">
      <c r="A19" s="58">
        <f>ROW()-5</f>
        <v>14</v>
      </c>
      <c r="B19" s="54"/>
      <c r="C19" s="55"/>
      <c r="D19" s="53">
        <f>SUM(F19,H19,J19,L19,N19,P19)-MIN(F19,H19,J19,L19,N19)</f>
        <v>0</v>
      </c>
      <c r="E19" s="73" t="str">
        <f>_xlfn.XLOOKUP($B19,'GP1'!$C$6:$C$101,'GP1'!$B$6:$B$101,"")</f>
        <v/>
      </c>
      <c r="F19" s="59">
        <f>_xlfn.XLOOKUP(E19,'GP1'!$B$6:$B$55,'GP1'!$A$6:$A$55,0)</f>
        <v>0</v>
      </c>
      <c r="G19" s="73" t="str">
        <f>_xlfn.XLOOKUP($B19,'GP2'!$C$6:$C$101,'GP2'!$B$6:$B$101,"")</f>
        <v/>
      </c>
      <c r="H19" s="59">
        <f>_xlfn.XLOOKUP(G19,'GP2'!$B$6:$B$55,'GP2'!$A$6:$A$55,0)</f>
        <v>0</v>
      </c>
      <c r="I19" s="74" t="str">
        <f>_xlfn.XLOOKUP($B19,'GP3'!$C$6:$C$101,'GP3'!$B$6:$B$101,"")</f>
        <v/>
      </c>
      <c r="J19" s="60">
        <f>_xlfn.XLOOKUP(I19,'GP3'!$B$6:$B$55,'GP3'!$A$6:$A$55,0)</f>
        <v>0</v>
      </c>
      <c r="K19" s="74" t="str">
        <f>_xlfn.XLOOKUP($B19,'GP4'!$C$6:$C$101,'GP4'!$B$6:$B$101,"")</f>
        <v/>
      </c>
      <c r="L19" s="60">
        <f>_xlfn.XLOOKUP(K19,'GP4'!$B$6:$B$55,'GP4'!$A$6:$A$55,0)</f>
        <v>0</v>
      </c>
      <c r="M19" s="74" t="str">
        <f>_xlfn.XLOOKUP($B19,'GP5'!$C$6:$C$101,'GP5'!$B$6:$B$101,"")</f>
        <v/>
      </c>
      <c r="N19" s="62">
        <f>_xlfn.XLOOKUP(M19,'GP5'!$B$6:$B$55,'GP5'!$A$6:$A$55,0)</f>
        <v>0</v>
      </c>
      <c r="O19" s="74" t="str">
        <f>_xlfn.XLOOKUP(B19,MPW!C$6:C$101,MPW!B$6:B$101,"")</f>
        <v/>
      </c>
      <c r="P19" s="62" t="str">
        <f>_xlfn.XLOOKUP(O19,MPW!B$6:B$55,MPW!A$6:A$55,0)</f>
        <v/>
      </c>
      <c r="Q19" s="98">
        <f t="shared" si="0"/>
        <v>0</v>
      </c>
    </row>
    <row r="20" spans="1:17" ht="14.85" customHeight="1">
      <c r="A20" s="58">
        <f>ROW()-5</f>
        <v>15</v>
      </c>
      <c r="B20" s="54"/>
      <c r="C20" s="55"/>
      <c r="D20" s="53">
        <f>SUM(F20,H20,J20,L20,N20,P20)-MIN(F20,H20,J20,L20,N20)</f>
        <v>0</v>
      </c>
      <c r="E20" s="73" t="str">
        <f>_xlfn.XLOOKUP($B20,'GP1'!$C$6:$C$101,'GP1'!$B$6:$B$101,"")</f>
        <v/>
      </c>
      <c r="F20" s="59">
        <f>_xlfn.XLOOKUP(E20,'GP1'!$B$6:$B$55,'GP1'!$A$6:$A$55,0)</f>
        <v>0</v>
      </c>
      <c r="G20" s="73" t="str">
        <f>_xlfn.XLOOKUP($B20,'GP2'!$C$6:$C$101,'GP2'!$B$6:$B$101,"")</f>
        <v/>
      </c>
      <c r="H20" s="59">
        <f>_xlfn.XLOOKUP(G20,'GP2'!$B$6:$B$55,'GP2'!$A$6:$A$55,0)</f>
        <v>0</v>
      </c>
      <c r="I20" s="74" t="str">
        <f>_xlfn.XLOOKUP($B20,'GP3'!$C$6:$C$101,'GP3'!$B$6:$B$101,"")</f>
        <v/>
      </c>
      <c r="J20" s="60">
        <f>_xlfn.XLOOKUP(I20,'GP3'!$B$6:$B$55,'GP3'!$A$6:$A$55,0)</f>
        <v>0</v>
      </c>
      <c r="K20" s="74" t="str">
        <f>_xlfn.XLOOKUP($B20,'GP4'!$C$6:$C$101,'GP4'!$B$6:$B$101,"")</f>
        <v/>
      </c>
      <c r="L20" s="60">
        <f>_xlfn.XLOOKUP(K20,'GP4'!$B$6:$B$55,'GP4'!$A$6:$A$55,0)</f>
        <v>0</v>
      </c>
      <c r="M20" s="74" t="str">
        <f>_xlfn.XLOOKUP($B20,'GP5'!$C$6:$C$101,'GP5'!$B$6:$B$101,"")</f>
        <v/>
      </c>
      <c r="N20" s="62">
        <f>_xlfn.XLOOKUP(M20,'GP5'!$B$6:$B$55,'GP5'!$A$6:$A$55,0)</f>
        <v>0</v>
      </c>
      <c r="O20" s="74" t="str">
        <f>_xlfn.XLOOKUP(B20,MPW!C$6:C$101,MPW!B$6:B$101,"")</f>
        <v/>
      </c>
      <c r="P20" s="62" t="str">
        <f>_xlfn.XLOOKUP(O20,MPW!B$6:B$55,MPW!A$6:A$55,0)</f>
        <v/>
      </c>
      <c r="Q20" s="98">
        <f t="shared" si="0"/>
        <v>0</v>
      </c>
    </row>
    <row r="21" spans="1:17" ht="14.85" customHeight="1">
      <c r="A21" s="58">
        <f>ROW()-5</f>
        <v>16</v>
      </c>
      <c r="B21" s="54"/>
      <c r="C21" s="55"/>
      <c r="D21" s="53">
        <f>SUM(F21,H21,J21,L21,N21,P21)-MIN(F21,H21,J21,L21,N21)</f>
        <v>0</v>
      </c>
      <c r="E21" s="73" t="str">
        <f>_xlfn.XLOOKUP($B21,'GP1'!$C$6:$C$101,'GP1'!$B$6:$B$101,"")</f>
        <v/>
      </c>
      <c r="F21" s="59">
        <f>_xlfn.XLOOKUP(E21,'GP1'!$B$6:$B$55,'GP1'!$A$6:$A$55,0)</f>
        <v>0</v>
      </c>
      <c r="G21" s="73" t="str">
        <f>_xlfn.XLOOKUP($B21,'GP2'!$C$6:$C$101,'GP2'!$B$6:$B$101,"")</f>
        <v/>
      </c>
      <c r="H21" s="59">
        <f>_xlfn.XLOOKUP(G21,'GP2'!$B$6:$B$55,'GP2'!$A$6:$A$55,0)</f>
        <v>0</v>
      </c>
      <c r="I21" s="74" t="str">
        <f>_xlfn.XLOOKUP($B21,'GP3'!$C$6:$C$101,'GP3'!$B$6:$B$101,"")</f>
        <v/>
      </c>
      <c r="J21" s="60">
        <f>_xlfn.XLOOKUP(I21,'GP3'!$B$6:$B$55,'GP3'!$A$6:$A$55,0)</f>
        <v>0</v>
      </c>
      <c r="K21" s="74" t="str">
        <f>_xlfn.XLOOKUP($B21,'GP4'!$C$6:$C$101,'GP4'!$B$6:$B$101,"")</f>
        <v/>
      </c>
      <c r="L21" s="60">
        <f>_xlfn.XLOOKUP(K21,'GP4'!$B$6:$B$55,'GP4'!$A$6:$A$55,0)</f>
        <v>0</v>
      </c>
      <c r="M21" s="74" t="str">
        <f>_xlfn.XLOOKUP($B21,'GP5'!$C$6:$C$101,'GP5'!$B$6:$B$101,"")</f>
        <v/>
      </c>
      <c r="N21" s="62">
        <f>_xlfn.XLOOKUP(M21,'GP5'!$B$6:$B$55,'GP5'!$A$6:$A$55,0)</f>
        <v>0</v>
      </c>
      <c r="O21" s="74" t="str">
        <f>_xlfn.XLOOKUP(B21,MPW!C$6:C$101,MPW!B$6:B$101,"")</f>
        <v/>
      </c>
      <c r="P21" s="62" t="str">
        <f>_xlfn.XLOOKUP(O21,MPW!B$6:B$55,MPW!A$6:A$55,0)</f>
        <v/>
      </c>
      <c r="Q21" s="98">
        <f t="shared" si="0"/>
        <v>0</v>
      </c>
    </row>
    <row r="22" spans="1:17" ht="14.85" customHeight="1">
      <c r="A22" s="58">
        <f>ROW()-5</f>
        <v>17</v>
      </c>
      <c r="B22" s="54"/>
      <c r="C22" s="55"/>
      <c r="D22" s="53">
        <f>SUM(F22,H22,J22,L22,N22,P22)-MIN(F22,H22,J22,L22,N22)</f>
        <v>0</v>
      </c>
      <c r="E22" s="73" t="str">
        <f>_xlfn.XLOOKUP($B22,'GP1'!$C$6:$C$101,'GP1'!$B$6:$B$101,"")</f>
        <v/>
      </c>
      <c r="F22" s="59">
        <f>_xlfn.XLOOKUP(E22,'GP1'!$B$6:$B$55,'GP1'!$A$6:$A$55,0)</f>
        <v>0</v>
      </c>
      <c r="G22" s="73" t="str">
        <f>_xlfn.XLOOKUP($B22,'GP2'!$C$6:$C$101,'GP2'!$B$6:$B$101,"")</f>
        <v/>
      </c>
      <c r="H22" s="59">
        <f>_xlfn.XLOOKUP(G22,'GP2'!$B$6:$B$55,'GP2'!$A$6:$A$55,0)</f>
        <v>0</v>
      </c>
      <c r="I22" s="74" t="str">
        <f>_xlfn.XLOOKUP($B22,'GP3'!$C$6:$C$101,'GP3'!$B$6:$B$101,"")</f>
        <v/>
      </c>
      <c r="J22" s="60">
        <f>_xlfn.XLOOKUP(I22,'GP3'!$B$6:$B$55,'GP3'!$A$6:$A$55,0)</f>
        <v>0</v>
      </c>
      <c r="K22" s="74" t="str">
        <f>_xlfn.XLOOKUP($B22,'GP4'!$C$6:$C$101,'GP4'!$B$6:$B$101,"")</f>
        <v/>
      </c>
      <c r="L22" s="60">
        <f>_xlfn.XLOOKUP(K22,'GP4'!$B$6:$B$55,'GP4'!$A$6:$A$55,0)</f>
        <v>0</v>
      </c>
      <c r="M22" s="74" t="str">
        <f>_xlfn.XLOOKUP($B22,'GP5'!$C$6:$C$101,'GP5'!$B$6:$B$101,"")</f>
        <v/>
      </c>
      <c r="N22" s="62">
        <f>_xlfn.XLOOKUP(M22,'GP5'!$B$6:$B$55,'GP5'!$A$6:$A$55,0)</f>
        <v>0</v>
      </c>
      <c r="O22" s="74" t="str">
        <f>_xlfn.XLOOKUP(B22,MPW!C$6:C$101,MPW!B$6:B$101,"")</f>
        <v/>
      </c>
      <c r="P22" s="62" t="str">
        <f>_xlfn.XLOOKUP(O22,MPW!B$6:B$55,MPW!A$6:A$55,0)</f>
        <v/>
      </c>
      <c r="Q22" s="98">
        <f t="shared" si="0"/>
        <v>0</v>
      </c>
    </row>
    <row r="23" spans="1:17" ht="14.85" customHeight="1">
      <c r="A23" s="58">
        <f>ROW()-5</f>
        <v>18</v>
      </c>
      <c r="B23" s="54"/>
      <c r="C23" s="55"/>
      <c r="D23" s="53">
        <f>SUM(F23,H23,J23,L23,N23,P23)-MIN(F23,H23,J23,L23,N23)</f>
        <v>0</v>
      </c>
      <c r="E23" s="73" t="str">
        <f>_xlfn.XLOOKUP($B23,'GP1'!$C$6:$C$101,'GP1'!$B$6:$B$101,"")</f>
        <v/>
      </c>
      <c r="F23" s="59">
        <f>_xlfn.XLOOKUP(E23,'GP1'!$B$6:$B$55,'GP1'!$A$6:$A$55,0)</f>
        <v>0</v>
      </c>
      <c r="G23" s="73" t="str">
        <f>_xlfn.XLOOKUP($B23,'GP2'!$C$6:$C$101,'GP2'!$B$6:$B$101,"")</f>
        <v/>
      </c>
      <c r="H23" s="59">
        <f>_xlfn.XLOOKUP(G23,'GP2'!$B$6:$B$55,'GP2'!$A$6:$A$55,0)</f>
        <v>0</v>
      </c>
      <c r="I23" s="74" t="str">
        <f>_xlfn.XLOOKUP($B23,'GP3'!$C$6:$C$101,'GP3'!$B$6:$B$101,"")</f>
        <v/>
      </c>
      <c r="J23" s="60">
        <f>_xlfn.XLOOKUP(I23,'GP3'!$B$6:$B$55,'GP3'!$A$6:$A$55,0)</f>
        <v>0</v>
      </c>
      <c r="K23" s="74" t="str">
        <f>_xlfn.XLOOKUP($B23,'GP4'!$C$6:$C$101,'GP4'!$B$6:$B$101,"")</f>
        <v/>
      </c>
      <c r="L23" s="60">
        <f>_xlfn.XLOOKUP(K23,'GP4'!$B$6:$B$55,'GP4'!$A$6:$A$55,0)</f>
        <v>0</v>
      </c>
      <c r="M23" s="74" t="str">
        <f>_xlfn.XLOOKUP($B23,'GP5'!$C$6:$C$101,'GP5'!$B$6:$B$101,"")</f>
        <v/>
      </c>
      <c r="N23" s="62">
        <f>_xlfn.XLOOKUP(M23,'GP5'!$B$6:$B$55,'GP5'!$A$6:$A$55,0)</f>
        <v>0</v>
      </c>
      <c r="O23" s="74" t="str">
        <f>_xlfn.XLOOKUP(B23,MPW!C$6:C$101,MPW!B$6:B$101,"")</f>
        <v/>
      </c>
      <c r="P23" s="62" t="str">
        <f>_xlfn.XLOOKUP(O23,MPW!B$6:B$55,MPW!A$6:A$55,0)</f>
        <v/>
      </c>
      <c r="Q23" s="98">
        <f t="shared" si="0"/>
        <v>0</v>
      </c>
    </row>
    <row r="24" spans="1:17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</row>
    <row r="25" spans="1:17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7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>
      <c r="A27" s="63"/>
      <c r="B27" s="63"/>
      <c r="C27" s="63" t="s">
        <v>30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 ht="65.4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</row>
    <row r="29" spans="1:17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  <row r="30" spans="1:17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</row>
    <row r="31" spans="1:17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1:17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</row>
    <row r="33" spans="1:17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</row>
    <row r="34" spans="1:17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</row>
    <row r="35" spans="1:17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</row>
    <row r="36" spans="1:17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</row>
    <row r="37" spans="1:1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</row>
    <row r="38" spans="1:17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1:17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</row>
  </sheetData>
  <sheetProtection selectLockedCells="1" selectUnlockedCells="1"/>
  <autoFilter ref="A5:P5" xr:uid="{00000000-0001-0000-0000-000000000000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7:D23">
    <sortCondition descending="1" ref="D6:D23"/>
  </sortState>
  <mergeCells count="11">
    <mergeCell ref="S2:V4"/>
    <mergeCell ref="O4:P4"/>
    <mergeCell ref="A4:A5"/>
    <mergeCell ref="B4:B5"/>
    <mergeCell ref="C4:C5"/>
    <mergeCell ref="D4:D5"/>
    <mergeCell ref="G4:H4"/>
    <mergeCell ref="I4:J4"/>
    <mergeCell ref="K4:L4"/>
    <mergeCell ref="M4:N4"/>
    <mergeCell ref="E4:F4"/>
  </mergeCells>
  <conditionalFormatting sqref="A6:A23">
    <cfRule type="cellIs" dxfId="27" priority="19" operator="equal">
      <formula>3</formula>
    </cfRule>
    <cfRule type="cellIs" dxfId="26" priority="24" operator="equal">
      <formula>2</formula>
    </cfRule>
    <cfRule type="cellIs" dxfId="25" priority="25" operator="equal">
      <formula>1</formula>
    </cfRule>
  </conditionalFormatting>
  <conditionalFormatting sqref="D6:N23">
    <cfRule type="cellIs" dxfId="24" priority="3" operator="equal">
      <formula>0</formula>
    </cfRule>
  </conditionalFormatting>
  <conditionalFormatting sqref="O6:Q23">
    <cfRule type="cellIs" dxfId="2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53A5-42E7-40EA-B38B-C94C8C2D76F9}">
  <sheetPr>
    <tabColor rgb="FF92D050"/>
  </sheetPr>
  <dimension ref="A1:AL374"/>
  <sheetViews>
    <sheetView zoomScaleNormal="100" workbookViewId="0">
      <selection activeCell="C23" sqref="C23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5"/>
      <c r="B2" s="47" t="s">
        <v>35</v>
      </c>
      <c r="C2" s="127" t="s">
        <v>36</v>
      </c>
      <c r="D2" s="127"/>
      <c r="E2" s="6"/>
      <c r="F2" s="6"/>
      <c r="G2" s="6"/>
      <c r="H2" s="14">
        <v>7</v>
      </c>
      <c r="I2" s="68">
        <v>50</v>
      </c>
      <c r="J2" s="68">
        <v>10</v>
      </c>
      <c r="K2" s="76">
        <f>3*H2^(1/3)</f>
        <v>5.738793548317167</v>
      </c>
      <c r="L2" s="13"/>
      <c r="M2" s="13"/>
    </row>
    <row r="3" spans="1:34">
      <c r="A3" s="5"/>
      <c r="B3" s="48" t="s">
        <v>37</v>
      </c>
      <c r="C3" s="128">
        <v>44611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M6</f>
        <v>97.216380644951499</v>
      </c>
      <c r="B6" s="36">
        <f>IF(H6&gt;$H$2,"",(ROW()-5))</f>
        <v>1</v>
      </c>
      <c r="C6" s="24" t="s">
        <v>18</v>
      </c>
      <c r="D6" s="24"/>
      <c r="E6" s="24"/>
      <c r="F6" s="24" t="s">
        <v>50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3</v>
      </c>
      <c r="K6" s="17">
        <f t="shared" ref="K6:K69" si="1">J6*$J$2</f>
        <v>30</v>
      </c>
      <c r="L6" s="19">
        <f>3*K2</f>
        <v>17.216380644951499</v>
      </c>
      <c r="M6" s="19">
        <f t="shared" ref="M6:M69" si="2">IF(I6&lt;&gt;"",K6+I6+L6,0)</f>
        <v>97.216380644951499</v>
      </c>
    </row>
    <row r="7" spans="1:34" ht="14.45" customHeight="1">
      <c r="A7" s="40">
        <f t="shared" ref="A7:A37" si="3">M7</f>
        <v>64.023434928341246</v>
      </c>
      <c r="B7" s="35">
        <f t="shared" ref="B7:B65" si="4">IF(H7&gt;$H$2,"",(ROW()-5))</f>
        <v>2</v>
      </c>
      <c r="C7" s="25" t="s">
        <v>19</v>
      </c>
      <c r="D7" s="25"/>
      <c r="E7" s="25"/>
      <c r="F7" s="25" t="s">
        <v>50</v>
      </c>
      <c r="G7" s="8"/>
      <c r="H7" s="44">
        <v>2</v>
      </c>
      <c r="I7" s="45">
        <f t="shared" si="0"/>
        <v>32.545847831706908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si="1"/>
        <v>20</v>
      </c>
      <c r="L7" s="46">
        <f>2*K2</f>
        <v>11.477587096634334</v>
      </c>
      <c r="M7" s="46">
        <f t="shared" si="2"/>
        <v>64.023434928341246</v>
      </c>
    </row>
    <row r="8" spans="1:34" ht="14.45" customHeight="1">
      <c r="A8" s="39">
        <f t="shared" si="3"/>
        <v>38.074616879691767</v>
      </c>
      <c r="B8" s="36">
        <f t="shared" si="4"/>
        <v>3</v>
      </c>
      <c r="C8" s="24" t="s">
        <v>20</v>
      </c>
      <c r="D8" s="24"/>
      <c r="E8" s="24"/>
      <c r="F8" s="24" t="s">
        <v>50</v>
      </c>
      <c r="G8" s="8"/>
      <c r="H8" s="17">
        <v>3</v>
      </c>
      <c r="I8" s="18">
        <f t="shared" si="0"/>
        <v>22.335823331374595</v>
      </c>
      <c r="J8" s="17">
        <f t="shared" si="5"/>
        <v>1</v>
      </c>
      <c r="K8" s="17">
        <f t="shared" si="1"/>
        <v>10</v>
      </c>
      <c r="L8" s="19">
        <f>K2</f>
        <v>5.738793548317167</v>
      </c>
      <c r="M8" s="19">
        <f t="shared" si="2"/>
        <v>38.074616879691767</v>
      </c>
    </row>
    <row r="9" spans="1:34" ht="14.45" customHeight="1">
      <c r="A9" s="40">
        <f t="shared" si="3"/>
        <v>25.091695663413823</v>
      </c>
      <c r="B9" s="35">
        <f t="shared" si="4"/>
        <v>4</v>
      </c>
      <c r="C9" s="25" t="s">
        <v>21</v>
      </c>
      <c r="D9" s="25"/>
      <c r="E9" s="25"/>
      <c r="F9" s="25" t="s">
        <v>50</v>
      </c>
      <c r="G9" s="8"/>
      <c r="H9" s="44">
        <v>4</v>
      </c>
      <c r="I9" s="45">
        <f t="shared" si="0"/>
        <v>15.091695663413823</v>
      </c>
      <c r="J9" s="44">
        <f t="shared" si="5"/>
        <v>1</v>
      </c>
      <c r="K9" s="44">
        <f t="shared" si="1"/>
        <v>10</v>
      </c>
      <c r="L9" s="46"/>
      <c r="M9" s="46">
        <f t="shared" si="2"/>
        <v>25.091695663413823</v>
      </c>
      <c r="V9" s="27"/>
      <c r="Z9" s="28"/>
      <c r="AA9" s="28"/>
      <c r="AG9" s="29"/>
    </row>
    <row r="10" spans="1:34" ht="14.45" customHeight="1">
      <c r="A10" s="39">
        <f t="shared" si="3"/>
        <v>9.472713708001109</v>
      </c>
      <c r="B10" s="36">
        <f t="shared" si="4"/>
        <v>5</v>
      </c>
      <c r="C10" s="24" t="s">
        <v>23</v>
      </c>
      <c r="D10" s="24"/>
      <c r="E10" s="24"/>
      <c r="F10" s="24" t="s">
        <v>50</v>
      </c>
      <c r="G10" s="8"/>
      <c r="H10" s="17">
        <v>5</v>
      </c>
      <c r="I10" s="18">
        <f t="shared" si="0"/>
        <v>9.472713708001109</v>
      </c>
      <c r="J10" s="17">
        <f t="shared" si="5"/>
        <v>0</v>
      </c>
      <c r="K10" s="17">
        <f t="shared" si="1"/>
        <v>0</v>
      </c>
      <c r="L10" s="17"/>
      <c r="M10" s="19">
        <f t="shared" si="2"/>
        <v>9.472713708001109</v>
      </c>
      <c r="V10" s="27"/>
      <c r="Z10" s="28"/>
      <c r="AA10" s="28"/>
      <c r="AG10" s="29"/>
    </row>
    <row r="11" spans="1:34" ht="14.45" customHeight="1">
      <c r="A11" s="40">
        <f t="shared" si="3"/>
        <v>4.8816711630815135</v>
      </c>
      <c r="B11" s="35">
        <f t="shared" si="4"/>
        <v>6</v>
      </c>
      <c r="C11" s="25" t="s">
        <v>22</v>
      </c>
      <c r="D11" s="25"/>
      <c r="E11" s="25"/>
      <c r="F11" s="25" t="s">
        <v>50</v>
      </c>
      <c r="G11" s="8"/>
      <c r="H11" s="44">
        <v>6</v>
      </c>
      <c r="I11" s="45">
        <f t="shared" si="0"/>
        <v>4.8816711630815135</v>
      </c>
      <c r="J11" s="44">
        <f t="shared" si="5"/>
        <v>0</v>
      </c>
      <c r="K11" s="44">
        <f t="shared" si="1"/>
        <v>0</v>
      </c>
      <c r="L11" s="44"/>
      <c r="M11" s="46">
        <f t="shared" si="2"/>
        <v>4.8816711630815135</v>
      </c>
      <c r="V11" s="30"/>
      <c r="Z11" s="28"/>
      <c r="AA11" s="28"/>
      <c r="AG11" s="29"/>
    </row>
    <row r="12" spans="1:34" ht="14.45" customHeight="1">
      <c r="A12" s="39">
        <f t="shared" si="3"/>
        <v>1</v>
      </c>
      <c r="B12" s="36">
        <f t="shared" si="4"/>
        <v>7</v>
      </c>
      <c r="C12" s="24" t="s">
        <v>26</v>
      </c>
      <c r="D12" s="24"/>
      <c r="E12" s="24"/>
      <c r="F12" s="24" t="s">
        <v>50</v>
      </c>
      <c r="G12" s="8"/>
      <c r="H12" s="17">
        <v>7</v>
      </c>
      <c r="I12" s="18">
        <f t="shared" si="0"/>
        <v>1</v>
      </c>
      <c r="J12" s="17">
        <f t="shared" si="5"/>
        <v>0</v>
      </c>
      <c r="K12" s="17">
        <f t="shared" si="1"/>
        <v>0</v>
      </c>
      <c r="L12" s="17"/>
      <c r="M12" s="19">
        <f t="shared" si="2"/>
        <v>1</v>
      </c>
      <c r="Z12" s="28"/>
      <c r="AA12" s="28"/>
      <c r="AG12" s="29"/>
    </row>
    <row r="13" spans="1:34" ht="14.45" customHeight="1">
      <c r="A13" s="41">
        <f t="shared" si="3"/>
        <v>0</v>
      </c>
      <c r="B13" s="35" t="str">
        <f t="shared" si="4"/>
        <v/>
      </c>
      <c r="C13" s="25"/>
      <c r="D13" s="25"/>
      <c r="E13" s="25"/>
      <c r="F13" s="25"/>
      <c r="G13" s="8"/>
      <c r="H13" s="44">
        <v>8</v>
      </c>
      <c r="I13" s="45" t="str">
        <f t="shared" si="0"/>
        <v/>
      </c>
      <c r="J13" s="44">
        <f t="shared" si="5"/>
        <v>0</v>
      </c>
      <c r="K13" s="44">
        <f t="shared" si="1"/>
        <v>0</v>
      </c>
      <c r="L13" s="44"/>
      <c r="M13" s="46">
        <f t="shared" si="2"/>
        <v>0</v>
      </c>
      <c r="X13" s="27"/>
      <c r="AG13" s="29"/>
    </row>
    <row r="14" spans="1:34">
      <c r="A14" s="42">
        <f t="shared" si="3"/>
        <v>0</v>
      </c>
      <c r="B14" s="36" t="str">
        <f t="shared" si="4"/>
        <v/>
      </c>
      <c r="C14" s="24"/>
      <c r="D14" s="24"/>
      <c r="E14" s="24"/>
      <c r="F14" s="24"/>
      <c r="G14" s="8"/>
      <c r="H14" s="17">
        <v>9</v>
      </c>
      <c r="I14" s="18" t="str">
        <f t="shared" si="0"/>
        <v/>
      </c>
      <c r="J14" s="17">
        <f t="shared" si="5"/>
        <v>-1</v>
      </c>
      <c r="K14" s="17">
        <f t="shared" si="1"/>
        <v>-10</v>
      </c>
      <c r="L14" s="17"/>
      <c r="M14" s="19">
        <f t="shared" si="2"/>
        <v>0</v>
      </c>
      <c r="X14" s="31"/>
      <c r="Z14" s="28"/>
      <c r="AA14" s="28"/>
      <c r="AG14" s="29"/>
    </row>
    <row r="15" spans="1:34">
      <c r="A15" s="41">
        <f t="shared" si="3"/>
        <v>0</v>
      </c>
      <c r="B15" s="35" t="str">
        <f t="shared" si="4"/>
        <v/>
      </c>
      <c r="C15" s="25"/>
      <c r="D15" s="25"/>
      <c r="E15" s="25"/>
      <c r="F15" s="25"/>
      <c r="G15" s="8"/>
      <c r="H15" s="44">
        <v>10</v>
      </c>
      <c r="I15" s="45" t="str">
        <f t="shared" si="0"/>
        <v/>
      </c>
      <c r="J15" s="44">
        <f t="shared" si="5"/>
        <v>-1</v>
      </c>
      <c r="K15" s="44">
        <f t="shared" si="1"/>
        <v>-10</v>
      </c>
      <c r="L15" s="44"/>
      <c r="M15" s="46">
        <f t="shared" si="2"/>
        <v>0</v>
      </c>
      <c r="X15" s="27"/>
      <c r="Z15" s="28"/>
      <c r="AA15" s="28"/>
    </row>
    <row r="16" spans="1:34">
      <c r="A16" s="42">
        <f t="shared" si="3"/>
        <v>0</v>
      </c>
      <c r="B16" s="36" t="str">
        <f t="shared" si="4"/>
        <v/>
      </c>
      <c r="C16" s="24"/>
      <c r="D16" s="24"/>
      <c r="E16" s="24"/>
      <c r="F16" s="24"/>
      <c r="G16" s="8"/>
      <c r="H16" s="17">
        <v>11</v>
      </c>
      <c r="I16" s="18" t="str">
        <f t="shared" si="0"/>
        <v/>
      </c>
      <c r="J16" s="17">
        <f t="shared" si="5"/>
        <v>-1</v>
      </c>
      <c r="K16" s="17">
        <f t="shared" si="1"/>
        <v>-10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4"/>
        <v/>
      </c>
      <c r="C17" s="25"/>
      <c r="D17" s="25"/>
      <c r="E17" s="25"/>
      <c r="F17" s="25"/>
      <c r="G17" s="8"/>
      <c r="H17" s="44">
        <v>12</v>
      </c>
      <c r="I17" s="45" t="str">
        <f t="shared" si="0"/>
        <v/>
      </c>
      <c r="J17" s="44">
        <f t="shared" si="5"/>
        <v>-1</v>
      </c>
      <c r="K17" s="44">
        <f t="shared" si="1"/>
        <v>-10</v>
      </c>
      <c r="L17" s="44"/>
      <c r="M17" s="46">
        <f t="shared" si="2"/>
        <v>0</v>
      </c>
    </row>
    <row r="18" spans="1:19">
      <c r="A18" s="42">
        <f t="shared" si="3"/>
        <v>0</v>
      </c>
      <c r="B18" s="36" t="str">
        <f t="shared" si="4"/>
        <v/>
      </c>
      <c r="C18" s="24"/>
      <c r="D18" s="24"/>
      <c r="E18" s="24"/>
      <c r="F18" s="24"/>
      <c r="G18" s="8"/>
      <c r="H18" s="17">
        <v>13</v>
      </c>
      <c r="I18" s="18" t="str">
        <f t="shared" si="0"/>
        <v/>
      </c>
      <c r="J18" s="17">
        <f t="shared" si="5"/>
        <v>-1</v>
      </c>
      <c r="K18" s="17">
        <f t="shared" si="1"/>
        <v>-10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4"/>
        <v/>
      </c>
      <c r="C19" s="25"/>
      <c r="D19" s="25"/>
      <c r="E19" s="25"/>
      <c r="F19" s="25"/>
      <c r="G19" s="8"/>
      <c r="H19" s="44">
        <v>14</v>
      </c>
      <c r="I19" s="45" t="str">
        <f t="shared" si="0"/>
        <v/>
      </c>
      <c r="J19" s="44">
        <f t="shared" si="5"/>
        <v>-1</v>
      </c>
      <c r="K19" s="44">
        <f t="shared" si="1"/>
        <v>-10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4"/>
        <v/>
      </c>
      <c r="C20" s="24"/>
      <c r="D20" s="24"/>
      <c r="E20" s="24"/>
      <c r="F20" s="24"/>
      <c r="G20" s="8"/>
      <c r="H20" s="17">
        <v>15</v>
      </c>
      <c r="I20" s="18" t="str">
        <f t="shared" si="0"/>
        <v/>
      </c>
      <c r="J20" s="17">
        <f t="shared" si="5"/>
        <v>-1</v>
      </c>
      <c r="K20" s="17">
        <f t="shared" si="1"/>
        <v>-10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4"/>
        <v/>
      </c>
      <c r="C21" s="25"/>
      <c r="D21" s="25"/>
      <c r="E21" s="25"/>
      <c r="F21" s="25"/>
      <c r="G21" s="8"/>
      <c r="H21" s="44">
        <v>16</v>
      </c>
      <c r="I21" s="45" t="str">
        <f t="shared" si="0"/>
        <v/>
      </c>
      <c r="J21" s="44">
        <f t="shared" si="5"/>
        <v>-1</v>
      </c>
      <c r="K21" s="44">
        <f t="shared" si="1"/>
        <v>-10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4"/>
        <v/>
      </c>
      <c r="C22" s="24"/>
      <c r="D22" s="24"/>
      <c r="E22" s="24"/>
      <c r="F22" s="24"/>
      <c r="G22" s="8"/>
      <c r="H22" s="17">
        <v>17</v>
      </c>
      <c r="I22" s="18" t="str">
        <f t="shared" si="0"/>
        <v/>
      </c>
      <c r="J22" s="17">
        <f t="shared" si="5"/>
        <v>-2</v>
      </c>
      <c r="K22" s="17">
        <f t="shared" si="1"/>
        <v>-20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4"/>
        <v/>
      </c>
      <c r="C23" s="25"/>
      <c r="D23" s="25"/>
      <c r="E23" s="25"/>
      <c r="F23" s="25"/>
      <c r="G23" s="8"/>
      <c r="H23" s="44">
        <v>18</v>
      </c>
      <c r="I23" s="45" t="str">
        <f t="shared" si="0"/>
        <v/>
      </c>
      <c r="J23" s="44">
        <f t="shared" si="5"/>
        <v>-2</v>
      </c>
      <c r="K23" s="44">
        <f t="shared" si="1"/>
        <v>-20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4"/>
        <v/>
      </c>
      <c r="C24" s="24"/>
      <c r="D24" s="24"/>
      <c r="E24" s="24"/>
      <c r="F24" s="24"/>
      <c r="G24" s="8"/>
      <c r="H24" s="17">
        <v>19</v>
      </c>
      <c r="I24" s="18" t="str">
        <f t="shared" si="0"/>
        <v/>
      </c>
      <c r="J24" s="17">
        <f t="shared" si="5"/>
        <v>-2</v>
      </c>
      <c r="K24" s="17">
        <f t="shared" si="1"/>
        <v>-20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4"/>
        <v/>
      </c>
      <c r="C25" s="25"/>
      <c r="D25" s="25"/>
      <c r="E25" s="25"/>
      <c r="F25" s="25"/>
      <c r="G25" s="8"/>
      <c r="H25" s="44">
        <v>20</v>
      </c>
      <c r="I25" s="45" t="str">
        <f t="shared" si="0"/>
        <v/>
      </c>
      <c r="J25" s="44">
        <f t="shared" si="5"/>
        <v>-2</v>
      </c>
      <c r="K25" s="44">
        <f t="shared" si="1"/>
        <v>-20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si="4"/>
        <v/>
      </c>
      <c r="C26" s="24"/>
      <c r="D26" s="24"/>
      <c r="E26" s="24"/>
      <c r="F26" s="24"/>
      <c r="G26" s="8"/>
      <c r="H26" s="17">
        <v>21</v>
      </c>
      <c r="I26" s="18" t="str">
        <f t="shared" si="0"/>
        <v/>
      </c>
      <c r="J26" s="17">
        <f t="shared" si="5"/>
        <v>-2</v>
      </c>
      <c r="K26" s="17">
        <f t="shared" si="1"/>
        <v>-20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4"/>
        <v/>
      </c>
      <c r="C27" s="25"/>
      <c r="D27" s="25"/>
      <c r="E27" s="25"/>
      <c r="F27" s="25"/>
      <c r="G27" s="8"/>
      <c r="H27" s="44">
        <v>22</v>
      </c>
      <c r="I27" s="45" t="str">
        <f t="shared" si="0"/>
        <v/>
      </c>
      <c r="J27" s="44">
        <f t="shared" si="5"/>
        <v>-2</v>
      </c>
      <c r="K27" s="44">
        <f t="shared" si="1"/>
        <v>-20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4"/>
        <v/>
      </c>
      <c r="C28" s="24"/>
      <c r="D28" s="24"/>
      <c r="E28" s="24"/>
      <c r="F28" s="24"/>
      <c r="G28" s="8"/>
      <c r="H28" s="17">
        <v>23</v>
      </c>
      <c r="I28" s="18" t="str">
        <f t="shared" si="0"/>
        <v/>
      </c>
      <c r="J28" s="17">
        <f t="shared" si="5"/>
        <v>-2</v>
      </c>
      <c r="K28" s="17">
        <f t="shared" si="1"/>
        <v>-20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4"/>
        <v/>
      </c>
      <c r="C29" s="25"/>
      <c r="D29" s="25"/>
      <c r="E29" s="25"/>
      <c r="F29" s="25"/>
      <c r="G29" s="5"/>
      <c r="H29" s="44">
        <v>24</v>
      </c>
      <c r="I29" s="45" t="str">
        <f t="shared" si="0"/>
        <v/>
      </c>
      <c r="J29" s="44">
        <f t="shared" si="5"/>
        <v>-2</v>
      </c>
      <c r="K29" s="44">
        <f t="shared" si="1"/>
        <v>-20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4"/>
        <v/>
      </c>
      <c r="C30" s="24"/>
      <c r="D30" s="24"/>
      <c r="E30" s="24"/>
      <c r="F30" s="24"/>
      <c r="G30" s="5"/>
      <c r="H30" s="17">
        <v>25</v>
      </c>
      <c r="I30" s="18" t="str">
        <f t="shared" si="0"/>
        <v/>
      </c>
      <c r="J30" s="17">
        <f t="shared" si="5"/>
        <v>-2</v>
      </c>
      <c r="K30" s="17">
        <f t="shared" si="1"/>
        <v>-20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4"/>
        <v/>
      </c>
      <c r="C31" s="25"/>
      <c r="D31" s="25"/>
      <c r="E31" s="25"/>
      <c r="F31" s="25"/>
      <c r="G31" s="5"/>
      <c r="H31" s="44">
        <v>26</v>
      </c>
      <c r="I31" s="45" t="str">
        <f t="shared" si="0"/>
        <v/>
      </c>
      <c r="J31" s="44">
        <f t="shared" si="5"/>
        <v>-2</v>
      </c>
      <c r="K31" s="44">
        <f t="shared" si="1"/>
        <v>-20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4"/>
        <v/>
      </c>
      <c r="C32" s="24"/>
      <c r="D32" s="24"/>
      <c r="E32" s="24"/>
      <c r="F32" s="24"/>
      <c r="G32" s="5"/>
      <c r="H32" s="17">
        <v>27</v>
      </c>
      <c r="I32" s="18" t="str">
        <f t="shared" si="0"/>
        <v/>
      </c>
      <c r="J32" s="17">
        <f t="shared" si="5"/>
        <v>-2</v>
      </c>
      <c r="K32" s="17">
        <f t="shared" si="1"/>
        <v>-20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4"/>
        <v/>
      </c>
      <c r="C33" s="25"/>
      <c r="D33" s="25"/>
      <c r="E33" s="25"/>
      <c r="F33" s="25"/>
      <c r="G33" s="5"/>
      <c r="H33" s="44">
        <v>28</v>
      </c>
      <c r="I33" s="45" t="str">
        <f t="shared" si="0"/>
        <v/>
      </c>
      <c r="J33" s="44">
        <f t="shared" si="5"/>
        <v>-2</v>
      </c>
      <c r="K33" s="44">
        <f t="shared" si="1"/>
        <v>-20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4"/>
        <v/>
      </c>
      <c r="C34" s="24"/>
      <c r="D34" s="24"/>
      <c r="E34" s="24"/>
      <c r="F34" s="24"/>
      <c r="G34" s="5"/>
      <c r="H34" s="17">
        <v>29</v>
      </c>
      <c r="I34" s="18" t="str">
        <f t="shared" si="0"/>
        <v/>
      </c>
      <c r="J34" s="17">
        <f t="shared" si="5"/>
        <v>-2</v>
      </c>
      <c r="K34" s="17">
        <f t="shared" si="1"/>
        <v>-20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4"/>
        <v/>
      </c>
      <c r="C35" s="25"/>
      <c r="D35" s="25"/>
      <c r="E35" s="25"/>
      <c r="F35" s="25"/>
      <c r="G35" s="5"/>
      <c r="H35" s="44">
        <v>30</v>
      </c>
      <c r="I35" s="45" t="str">
        <f t="shared" si="0"/>
        <v/>
      </c>
      <c r="J35" s="44">
        <f t="shared" si="5"/>
        <v>-2</v>
      </c>
      <c r="K35" s="44">
        <f t="shared" si="1"/>
        <v>-20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4"/>
        <v/>
      </c>
      <c r="C36" s="24"/>
      <c r="D36" s="24"/>
      <c r="E36" s="24"/>
      <c r="F36" s="24"/>
      <c r="G36" s="5"/>
      <c r="H36" s="17">
        <v>31</v>
      </c>
      <c r="I36" s="18" t="str">
        <f t="shared" si="0"/>
        <v/>
      </c>
      <c r="J36" s="17">
        <f t="shared" si="5"/>
        <v>-2</v>
      </c>
      <c r="K36" s="17">
        <f t="shared" si="1"/>
        <v>-20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4"/>
        <v/>
      </c>
      <c r="C37" s="25"/>
      <c r="D37" s="25"/>
      <c r="E37" s="25"/>
      <c r="F37" s="25"/>
      <c r="G37" s="5"/>
      <c r="H37" s="44">
        <v>32</v>
      </c>
      <c r="I37" s="45" t="str">
        <f t="shared" si="0"/>
        <v/>
      </c>
      <c r="J37" s="44">
        <f t="shared" si="5"/>
        <v>-2</v>
      </c>
      <c r="K37" s="44">
        <f t="shared" si="1"/>
        <v>-20</v>
      </c>
      <c r="L37" s="44"/>
      <c r="M37" s="46">
        <f t="shared" si="2"/>
        <v>0</v>
      </c>
    </row>
    <row r="38" spans="1:19">
      <c r="A38" s="42"/>
      <c r="B38" s="36" t="str">
        <f t="shared" si="4"/>
        <v/>
      </c>
      <c r="C38" s="24"/>
      <c r="D38" s="24"/>
      <c r="E38" s="24"/>
      <c r="F38" s="24"/>
      <c r="G38" s="5"/>
      <c r="H38" s="17">
        <v>33</v>
      </c>
      <c r="I38" s="18" t="str">
        <f t="shared" si="0"/>
        <v/>
      </c>
      <c r="J38" s="17">
        <f t="shared" si="5"/>
        <v>-3</v>
      </c>
      <c r="K38" s="17">
        <f t="shared" si="1"/>
        <v>-30</v>
      </c>
      <c r="L38" s="17"/>
      <c r="M38" s="19">
        <f t="shared" si="2"/>
        <v>0</v>
      </c>
    </row>
    <row r="39" spans="1:19">
      <c r="A39" s="41"/>
      <c r="B39" s="35" t="str">
        <f t="shared" si="4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5"/>
        <v>-3</v>
      </c>
      <c r="K39" s="44">
        <f t="shared" si="1"/>
        <v>-30</v>
      </c>
      <c r="L39" s="44"/>
      <c r="M39" s="46">
        <f t="shared" si="2"/>
        <v>0</v>
      </c>
    </row>
    <row r="40" spans="1:19">
      <c r="A40" s="42"/>
      <c r="B40" s="36" t="str">
        <f t="shared" si="4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5"/>
        <v>-3</v>
      </c>
      <c r="K40" s="17">
        <f t="shared" si="1"/>
        <v>-30</v>
      </c>
      <c r="L40" s="17"/>
      <c r="M40" s="19">
        <f t="shared" si="2"/>
        <v>0</v>
      </c>
    </row>
    <row r="41" spans="1:19">
      <c r="A41" s="41"/>
      <c r="B41" s="35" t="str">
        <f t="shared" si="4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5"/>
        <v>-3</v>
      </c>
      <c r="K41" s="44">
        <f t="shared" si="1"/>
        <v>-30</v>
      </c>
      <c r="L41" s="44"/>
      <c r="M41" s="46">
        <f t="shared" si="2"/>
        <v>0</v>
      </c>
      <c r="S41" s="32"/>
    </row>
    <row r="42" spans="1:19">
      <c r="A42" s="42"/>
      <c r="B42" s="36" t="str">
        <f t="shared" si="4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5"/>
        <v>-3</v>
      </c>
      <c r="K42" s="17">
        <f t="shared" si="1"/>
        <v>-30</v>
      </c>
      <c r="L42" s="17"/>
      <c r="M42" s="19">
        <f t="shared" si="2"/>
        <v>0</v>
      </c>
    </row>
    <row r="43" spans="1:19">
      <c r="A43" s="41"/>
      <c r="B43" s="35" t="str">
        <f t="shared" si="4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5"/>
        <v>-3</v>
      </c>
      <c r="K43" s="44">
        <f t="shared" si="1"/>
        <v>-30</v>
      </c>
      <c r="L43" s="44"/>
      <c r="M43" s="46">
        <f t="shared" si="2"/>
        <v>0</v>
      </c>
    </row>
    <row r="44" spans="1:19">
      <c r="A44" s="42"/>
      <c r="B44" s="36" t="str">
        <f t="shared" si="4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5"/>
        <v>-3</v>
      </c>
      <c r="K44" s="17">
        <f t="shared" si="1"/>
        <v>-30</v>
      </c>
      <c r="L44" s="17"/>
      <c r="M44" s="19">
        <f t="shared" si="2"/>
        <v>0</v>
      </c>
    </row>
    <row r="45" spans="1:19">
      <c r="A45" s="41"/>
      <c r="B45" s="35" t="str">
        <f t="shared" si="4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5"/>
        <v>-3</v>
      </c>
      <c r="K45" s="44">
        <f t="shared" si="1"/>
        <v>-30</v>
      </c>
      <c r="L45" s="44"/>
      <c r="M45" s="46">
        <f t="shared" si="2"/>
        <v>0</v>
      </c>
    </row>
    <row r="46" spans="1:19">
      <c r="A46" s="42"/>
      <c r="B46" s="36" t="str">
        <f t="shared" si="4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5"/>
        <v>-3</v>
      </c>
      <c r="K46" s="17">
        <f t="shared" si="1"/>
        <v>-30</v>
      </c>
      <c r="L46" s="17"/>
      <c r="M46" s="19">
        <f t="shared" si="2"/>
        <v>0</v>
      </c>
    </row>
    <row r="47" spans="1:19">
      <c r="A47" s="41"/>
      <c r="B47" s="35" t="str">
        <f t="shared" si="4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5"/>
        <v>-3</v>
      </c>
      <c r="K47" s="44">
        <f t="shared" si="1"/>
        <v>-30</v>
      </c>
      <c r="L47" s="44"/>
      <c r="M47" s="46">
        <f t="shared" si="2"/>
        <v>0</v>
      </c>
    </row>
    <row r="48" spans="1:19">
      <c r="A48" s="42"/>
      <c r="B48" s="36" t="str">
        <f t="shared" si="4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5"/>
        <v>-3</v>
      </c>
      <c r="K48" s="17">
        <f t="shared" si="1"/>
        <v>-30</v>
      </c>
      <c r="L48" s="17"/>
      <c r="M48" s="19">
        <f t="shared" si="2"/>
        <v>0</v>
      </c>
    </row>
    <row r="49" spans="1:13">
      <c r="A49" s="41"/>
      <c r="B49" s="35" t="str">
        <f t="shared" si="4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5"/>
        <v>-3</v>
      </c>
      <c r="K49" s="44">
        <f t="shared" si="1"/>
        <v>-30</v>
      </c>
      <c r="L49" s="44"/>
      <c r="M49" s="46">
        <f t="shared" si="2"/>
        <v>0</v>
      </c>
    </row>
    <row r="50" spans="1:13">
      <c r="A50" s="42"/>
      <c r="B50" s="36" t="str">
        <f t="shared" si="4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5"/>
        <v>-3</v>
      </c>
      <c r="K50" s="17">
        <f t="shared" si="1"/>
        <v>-30</v>
      </c>
      <c r="L50" s="17"/>
      <c r="M50" s="19">
        <f t="shared" si="2"/>
        <v>0</v>
      </c>
    </row>
    <row r="51" spans="1:13">
      <c r="A51" s="41"/>
      <c r="B51" s="35" t="str">
        <f t="shared" si="4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5"/>
        <v>-3</v>
      </c>
      <c r="K51" s="44">
        <f t="shared" si="1"/>
        <v>-30</v>
      </c>
      <c r="L51" s="44"/>
      <c r="M51" s="46">
        <f t="shared" si="2"/>
        <v>0</v>
      </c>
    </row>
    <row r="52" spans="1:13">
      <c r="A52" s="42"/>
      <c r="B52" s="36" t="str">
        <f t="shared" si="4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5"/>
        <v>-3</v>
      </c>
      <c r="K52" s="17">
        <f t="shared" si="1"/>
        <v>-30</v>
      </c>
      <c r="L52" s="17"/>
      <c r="M52" s="19">
        <f t="shared" si="2"/>
        <v>0</v>
      </c>
    </row>
    <row r="53" spans="1:13">
      <c r="A53" s="41"/>
      <c r="B53" s="35" t="str">
        <f t="shared" si="4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5"/>
        <v>-3</v>
      </c>
      <c r="K53" s="44">
        <f t="shared" si="1"/>
        <v>-30</v>
      </c>
      <c r="L53" s="44"/>
      <c r="M53" s="46">
        <f t="shared" si="2"/>
        <v>0</v>
      </c>
    </row>
    <row r="54" spans="1:13">
      <c r="A54" s="42"/>
      <c r="B54" s="36" t="str">
        <f t="shared" si="4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5"/>
        <v>-3</v>
      </c>
      <c r="K54" s="17">
        <f t="shared" si="1"/>
        <v>-30</v>
      </c>
      <c r="L54" s="17"/>
      <c r="M54" s="19">
        <f t="shared" si="2"/>
        <v>0</v>
      </c>
    </row>
    <row r="55" spans="1:13">
      <c r="A55" s="41"/>
      <c r="B55" s="35" t="str">
        <f t="shared" si="4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5"/>
        <v>-3</v>
      </c>
      <c r="K55" s="44">
        <f t="shared" si="1"/>
        <v>-30</v>
      </c>
      <c r="L55" s="44"/>
      <c r="M55" s="46">
        <f t="shared" si="2"/>
        <v>0</v>
      </c>
    </row>
    <row r="56" spans="1:13">
      <c r="A56" s="42"/>
      <c r="B56" s="36" t="str">
        <f t="shared" si="4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5"/>
        <v>-3</v>
      </c>
      <c r="K56" s="17">
        <f t="shared" si="1"/>
        <v>-30</v>
      </c>
      <c r="L56" s="17"/>
      <c r="M56" s="19">
        <f t="shared" si="2"/>
        <v>0</v>
      </c>
    </row>
    <row r="57" spans="1:13">
      <c r="A57" s="41"/>
      <c r="B57" s="35" t="str">
        <f t="shared" si="4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5"/>
        <v>-3</v>
      </c>
      <c r="K57" s="44">
        <f t="shared" si="1"/>
        <v>-30</v>
      </c>
      <c r="L57" s="44"/>
      <c r="M57" s="46">
        <f t="shared" si="2"/>
        <v>0</v>
      </c>
    </row>
    <row r="58" spans="1:13">
      <c r="A58" s="42"/>
      <c r="B58" s="36" t="str">
        <f t="shared" si="4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5"/>
        <v>-3</v>
      </c>
      <c r="K58" s="17">
        <f t="shared" si="1"/>
        <v>-30</v>
      </c>
      <c r="L58" s="17"/>
      <c r="M58" s="19">
        <f t="shared" si="2"/>
        <v>0</v>
      </c>
    </row>
    <row r="59" spans="1:13">
      <c r="A59" s="41"/>
      <c r="B59" s="35" t="str">
        <f t="shared" si="4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5"/>
        <v>-3</v>
      </c>
      <c r="K59" s="44">
        <f t="shared" si="1"/>
        <v>-30</v>
      </c>
      <c r="L59" s="44"/>
      <c r="M59" s="46">
        <f t="shared" si="2"/>
        <v>0</v>
      </c>
    </row>
    <row r="60" spans="1:13">
      <c r="A60" s="42"/>
      <c r="B60" s="36" t="str">
        <f t="shared" si="4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5"/>
        <v>-3</v>
      </c>
      <c r="K60" s="17">
        <f t="shared" si="1"/>
        <v>-30</v>
      </c>
      <c r="L60" s="17"/>
      <c r="M60" s="19">
        <f t="shared" si="2"/>
        <v>0</v>
      </c>
    </row>
    <row r="61" spans="1:13">
      <c r="A61" s="41"/>
      <c r="B61" s="35" t="str">
        <f t="shared" si="4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5"/>
        <v>-3</v>
      </c>
      <c r="K61" s="44">
        <f t="shared" si="1"/>
        <v>-30</v>
      </c>
      <c r="L61" s="44"/>
      <c r="M61" s="46">
        <f t="shared" si="2"/>
        <v>0</v>
      </c>
    </row>
    <row r="62" spans="1:13">
      <c r="A62" s="42"/>
      <c r="B62" s="36" t="str">
        <f t="shared" si="4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5"/>
        <v>-3</v>
      </c>
      <c r="K62" s="17">
        <f t="shared" si="1"/>
        <v>-30</v>
      </c>
      <c r="L62" s="17"/>
      <c r="M62" s="19">
        <f t="shared" si="2"/>
        <v>0</v>
      </c>
    </row>
    <row r="63" spans="1:13">
      <c r="A63" s="41"/>
      <c r="B63" s="35" t="str">
        <f t="shared" si="4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5"/>
        <v>-3</v>
      </c>
      <c r="K63" s="44">
        <f t="shared" si="1"/>
        <v>-30</v>
      </c>
      <c r="L63" s="44"/>
      <c r="M63" s="46">
        <f t="shared" si="2"/>
        <v>0</v>
      </c>
    </row>
    <row r="64" spans="1:13">
      <c r="A64" s="42"/>
      <c r="B64" s="36" t="str">
        <f t="shared" si="4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5"/>
        <v>-3</v>
      </c>
      <c r="K64" s="17">
        <f t="shared" si="1"/>
        <v>-30</v>
      </c>
      <c r="L64" s="17"/>
      <c r="M64" s="19">
        <f t="shared" si="2"/>
        <v>0</v>
      </c>
    </row>
    <row r="65" spans="1:13">
      <c r="A65" s="41"/>
      <c r="B65" s="35" t="str">
        <f t="shared" si="4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5"/>
        <v>-3</v>
      </c>
      <c r="K65" s="44">
        <f t="shared" si="1"/>
        <v>-30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5"/>
        <v>-3</v>
      </c>
      <c r="K66" s="17">
        <f t="shared" si="1"/>
        <v>-30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5"/>
        <v>-3</v>
      </c>
      <c r="K67" s="17">
        <f t="shared" si="1"/>
        <v>-30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5"/>
        <v>-3</v>
      </c>
      <c r="K68" s="17">
        <f t="shared" si="1"/>
        <v>-30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5"/>
        <v>-3</v>
      </c>
      <c r="K69" s="17">
        <f t="shared" si="1"/>
        <v>-30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6">IF(H70&lt;$H$2+1,($I$2-($I$2-1)*(LOG(H70)/LOG($H$2))),"")</f>
        <v/>
      </c>
      <c r="J70" s="17">
        <f t="shared" si="5"/>
        <v>-4</v>
      </c>
      <c r="K70" s="17">
        <f t="shared" ref="K70:K133" si="7">J70*$J$2</f>
        <v>-40</v>
      </c>
      <c r="L70" s="17"/>
      <c r="M70" s="19">
        <f t="shared" ref="M70:M133" si="8">IF(I70&lt;&gt;"",K70+I70+L70,0)</f>
        <v>0</v>
      </c>
    </row>
    <row r="71" spans="1:13">
      <c r="A71" s="43"/>
      <c r="G71" s="5"/>
      <c r="H71" s="17">
        <v>66</v>
      </c>
      <c r="I71" s="18" t="str">
        <f t="shared" si="6"/>
        <v/>
      </c>
      <c r="J71" s="17">
        <f t="shared" ref="J71:J134" si="9">INT(LOG($H$2,2))-ROUNDUP(LOG(H71,2),0)+IF(OR($H$2=1,$H$2=2,$H$2=4,$H$2=8,$H$2=16,$H$2=32,$H$2=64,$H$2=128,$H$2=256),0,1)</f>
        <v>-4</v>
      </c>
      <c r="K71" s="17">
        <f t="shared" si="7"/>
        <v>-40</v>
      </c>
      <c r="L71" s="17"/>
      <c r="M71" s="19">
        <f t="shared" si="8"/>
        <v>0</v>
      </c>
    </row>
    <row r="72" spans="1:13">
      <c r="A72" s="43"/>
      <c r="G72" s="5"/>
      <c r="H72" s="17">
        <v>67</v>
      </c>
      <c r="I72" s="18" t="str">
        <f t="shared" si="6"/>
        <v/>
      </c>
      <c r="J72" s="17">
        <f t="shared" si="9"/>
        <v>-4</v>
      </c>
      <c r="K72" s="17">
        <f t="shared" si="7"/>
        <v>-40</v>
      </c>
      <c r="L72" s="17"/>
      <c r="M72" s="19">
        <f t="shared" si="8"/>
        <v>0</v>
      </c>
    </row>
    <row r="73" spans="1:13">
      <c r="A73" s="43"/>
      <c r="G73" s="5"/>
      <c r="H73" s="17">
        <v>68</v>
      </c>
      <c r="I73" s="18" t="str">
        <f t="shared" si="6"/>
        <v/>
      </c>
      <c r="J73" s="17">
        <f t="shared" si="9"/>
        <v>-4</v>
      </c>
      <c r="K73" s="17">
        <f t="shared" si="7"/>
        <v>-40</v>
      </c>
      <c r="L73" s="17"/>
      <c r="M73" s="19">
        <f t="shared" si="8"/>
        <v>0</v>
      </c>
    </row>
    <row r="74" spans="1:13">
      <c r="A74" s="43"/>
      <c r="G74" s="5"/>
      <c r="H74" s="17">
        <v>69</v>
      </c>
      <c r="I74" s="18" t="str">
        <f t="shared" si="6"/>
        <v/>
      </c>
      <c r="J74" s="17">
        <f t="shared" si="9"/>
        <v>-4</v>
      </c>
      <c r="K74" s="17">
        <f t="shared" si="7"/>
        <v>-40</v>
      </c>
      <c r="L74" s="17"/>
      <c r="M74" s="19">
        <f t="shared" si="8"/>
        <v>0</v>
      </c>
    </row>
    <row r="75" spans="1:13">
      <c r="A75" s="43"/>
      <c r="G75" s="5"/>
      <c r="H75" s="17">
        <v>70</v>
      </c>
      <c r="I75" s="18" t="str">
        <f t="shared" si="6"/>
        <v/>
      </c>
      <c r="J75" s="17">
        <f t="shared" si="9"/>
        <v>-4</v>
      </c>
      <c r="K75" s="17">
        <f t="shared" si="7"/>
        <v>-40</v>
      </c>
      <c r="L75" s="17"/>
      <c r="M75" s="19">
        <f t="shared" si="8"/>
        <v>0</v>
      </c>
    </row>
    <row r="76" spans="1:13">
      <c r="A76" s="43"/>
      <c r="G76" s="5"/>
      <c r="H76" s="17">
        <v>71</v>
      </c>
      <c r="I76" s="18" t="str">
        <f t="shared" si="6"/>
        <v/>
      </c>
      <c r="J76" s="17">
        <f t="shared" si="9"/>
        <v>-4</v>
      </c>
      <c r="K76" s="17">
        <f t="shared" si="7"/>
        <v>-40</v>
      </c>
      <c r="L76" s="17"/>
      <c r="M76" s="19">
        <f t="shared" si="8"/>
        <v>0</v>
      </c>
    </row>
    <row r="77" spans="1:13">
      <c r="A77" s="43"/>
      <c r="G77" s="5"/>
      <c r="H77" s="17">
        <v>72</v>
      </c>
      <c r="I77" s="18" t="str">
        <f t="shared" si="6"/>
        <v/>
      </c>
      <c r="J77" s="17">
        <f t="shared" si="9"/>
        <v>-4</v>
      </c>
      <c r="K77" s="17">
        <f t="shared" si="7"/>
        <v>-40</v>
      </c>
      <c r="L77" s="17"/>
      <c r="M77" s="19">
        <f t="shared" si="8"/>
        <v>0</v>
      </c>
    </row>
    <row r="78" spans="1:13">
      <c r="A78" s="43"/>
      <c r="G78" s="5"/>
      <c r="H78" s="17">
        <v>73</v>
      </c>
      <c r="I78" s="18" t="str">
        <f t="shared" si="6"/>
        <v/>
      </c>
      <c r="J78" s="17">
        <f t="shared" si="9"/>
        <v>-4</v>
      </c>
      <c r="K78" s="17">
        <f t="shared" si="7"/>
        <v>-40</v>
      </c>
      <c r="L78" s="17"/>
      <c r="M78" s="19">
        <f t="shared" si="8"/>
        <v>0</v>
      </c>
    </row>
    <row r="79" spans="1:13">
      <c r="A79" s="43"/>
      <c r="G79" s="5"/>
      <c r="H79" s="17">
        <v>74</v>
      </c>
      <c r="I79" s="18" t="str">
        <f t="shared" si="6"/>
        <v/>
      </c>
      <c r="J79" s="17">
        <f t="shared" si="9"/>
        <v>-4</v>
      </c>
      <c r="K79" s="17">
        <f t="shared" si="7"/>
        <v>-40</v>
      </c>
      <c r="L79" s="17"/>
      <c r="M79" s="19">
        <f t="shared" si="8"/>
        <v>0</v>
      </c>
    </row>
    <row r="80" spans="1:13">
      <c r="A80" s="43"/>
      <c r="G80" s="5"/>
      <c r="H80" s="17">
        <v>75</v>
      </c>
      <c r="I80" s="18" t="str">
        <f t="shared" si="6"/>
        <v/>
      </c>
      <c r="J80" s="17">
        <f t="shared" si="9"/>
        <v>-4</v>
      </c>
      <c r="K80" s="17">
        <f t="shared" si="7"/>
        <v>-40</v>
      </c>
      <c r="L80" s="17"/>
      <c r="M80" s="19">
        <f t="shared" si="8"/>
        <v>0</v>
      </c>
    </row>
    <row r="81" spans="1:13">
      <c r="A81" s="43"/>
      <c r="G81" s="5"/>
      <c r="H81" s="17">
        <v>76</v>
      </c>
      <c r="I81" s="18" t="str">
        <f t="shared" si="6"/>
        <v/>
      </c>
      <c r="J81" s="17">
        <f t="shared" si="9"/>
        <v>-4</v>
      </c>
      <c r="K81" s="17">
        <f t="shared" si="7"/>
        <v>-40</v>
      </c>
      <c r="L81" s="17"/>
      <c r="M81" s="19">
        <f t="shared" si="8"/>
        <v>0</v>
      </c>
    </row>
    <row r="82" spans="1:13">
      <c r="A82" s="43"/>
      <c r="G82" s="5"/>
      <c r="H82" s="17">
        <v>77</v>
      </c>
      <c r="I82" s="18" t="str">
        <f t="shared" si="6"/>
        <v/>
      </c>
      <c r="J82" s="17">
        <f t="shared" si="9"/>
        <v>-4</v>
      </c>
      <c r="K82" s="17">
        <f t="shared" si="7"/>
        <v>-40</v>
      </c>
      <c r="L82" s="17"/>
      <c r="M82" s="19">
        <f t="shared" si="8"/>
        <v>0</v>
      </c>
    </row>
    <row r="83" spans="1:13">
      <c r="A83" s="43"/>
      <c r="G83" s="5"/>
      <c r="H83" s="17">
        <v>78</v>
      </c>
      <c r="I83" s="18" t="str">
        <f t="shared" si="6"/>
        <v/>
      </c>
      <c r="J83" s="17">
        <f t="shared" si="9"/>
        <v>-4</v>
      </c>
      <c r="K83" s="17">
        <f t="shared" si="7"/>
        <v>-40</v>
      </c>
      <c r="L83" s="17"/>
      <c r="M83" s="19">
        <f t="shared" si="8"/>
        <v>0</v>
      </c>
    </row>
    <row r="84" spans="1:13">
      <c r="A84" s="43"/>
      <c r="G84" s="5"/>
      <c r="H84" s="17">
        <v>79</v>
      </c>
      <c r="I84" s="18" t="str">
        <f t="shared" si="6"/>
        <v/>
      </c>
      <c r="J84" s="17">
        <f t="shared" si="9"/>
        <v>-4</v>
      </c>
      <c r="K84" s="17">
        <f t="shared" si="7"/>
        <v>-40</v>
      </c>
      <c r="L84" s="17"/>
      <c r="M84" s="19">
        <f t="shared" si="8"/>
        <v>0</v>
      </c>
    </row>
    <row r="85" spans="1:13">
      <c r="A85" s="43"/>
      <c r="G85" s="5"/>
      <c r="H85" s="17">
        <v>80</v>
      </c>
      <c r="I85" s="18" t="str">
        <f t="shared" si="6"/>
        <v/>
      </c>
      <c r="J85" s="17">
        <f t="shared" si="9"/>
        <v>-4</v>
      </c>
      <c r="K85" s="17">
        <f t="shared" si="7"/>
        <v>-40</v>
      </c>
      <c r="L85" s="17"/>
      <c r="M85" s="19">
        <f t="shared" si="8"/>
        <v>0</v>
      </c>
    </row>
    <row r="86" spans="1:13">
      <c r="A86" s="43"/>
      <c r="G86" s="5"/>
      <c r="H86" s="17">
        <v>81</v>
      </c>
      <c r="I86" s="18" t="str">
        <f t="shared" si="6"/>
        <v/>
      </c>
      <c r="J86" s="17">
        <f t="shared" si="9"/>
        <v>-4</v>
      </c>
      <c r="K86" s="17">
        <f t="shared" si="7"/>
        <v>-40</v>
      </c>
      <c r="L86" s="17"/>
      <c r="M86" s="19">
        <f t="shared" si="8"/>
        <v>0</v>
      </c>
    </row>
    <row r="87" spans="1:13">
      <c r="A87" s="43"/>
      <c r="G87" s="5"/>
      <c r="H87" s="17">
        <v>82</v>
      </c>
      <c r="I87" s="18" t="str">
        <f t="shared" si="6"/>
        <v/>
      </c>
      <c r="J87" s="17">
        <f t="shared" si="9"/>
        <v>-4</v>
      </c>
      <c r="K87" s="17">
        <f t="shared" si="7"/>
        <v>-40</v>
      </c>
      <c r="L87" s="17"/>
      <c r="M87" s="19">
        <f t="shared" si="8"/>
        <v>0</v>
      </c>
    </row>
    <row r="88" spans="1:13">
      <c r="A88" s="43"/>
      <c r="G88" s="5"/>
      <c r="H88" s="17">
        <v>83</v>
      </c>
      <c r="I88" s="18" t="str">
        <f t="shared" si="6"/>
        <v/>
      </c>
      <c r="J88" s="17">
        <f t="shared" si="9"/>
        <v>-4</v>
      </c>
      <c r="K88" s="17">
        <f t="shared" si="7"/>
        <v>-40</v>
      </c>
      <c r="L88" s="17"/>
      <c r="M88" s="19">
        <f t="shared" si="8"/>
        <v>0</v>
      </c>
    </row>
    <row r="89" spans="1:13">
      <c r="A89" s="43"/>
      <c r="G89" s="5"/>
      <c r="H89" s="17">
        <v>84</v>
      </c>
      <c r="I89" s="18" t="str">
        <f t="shared" si="6"/>
        <v/>
      </c>
      <c r="J89" s="17">
        <f t="shared" si="9"/>
        <v>-4</v>
      </c>
      <c r="K89" s="17">
        <f t="shared" si="7"/>
        <v>-40</v>
      </c>
      <c r="L89" s="17"/>
      <c r="M89" s="19">
        <f t="shared" si="8"/>
        <v>0</v>
      </c>
    </row>
    <row r="90" spans="1:13">
      <c r="A90" s="43"/>
      <c r="G90" s="5"/>
      <c r="H90" s="17">
        <v>85</v>
      </c>
      <c r="I90" s="18" t="str">
        <f t="shared" si="6"/>
        <v/>
      </c>
      <c r="J90" s="17">
        <f t="shared" si="9"/>
        <v>-4</v>
      </c>
      <c r="K90" s="17">
        <f t="shared" si="7"/>
        <v>-40</v>
      </c>
      <c r="L90" s="17"/>
      <c r="M90" s="19">
        <f t="shared" si="8"/>
        <v>0</v>
      </c>
    </row>
    <row r="91" spans="1:13">
      <c r="A91" s="43"/>
      <c r="G91" s="5"/>
      <c r="H91" s="17">
        <v>86</v>
      </c>
      <c r="I91" s="18" t="str">
        <f t="shared" si="6"/>
        <v/>
      </c>
      <c r="J91" s="17">
        <f t="shared" si="9"/>
        <v>-4</v>
      </c>
      <c r="K91" s="17">
        <f t="shared" si="7"/>
        <v>-40</v>
      </c>
      <c r="L91" s="17"/>
      <c r="M91" s="19">
        <f t="shared" si="8"/>
        <v>0</v>
      </c>
    </row>
    <row r="92" spans="1:13">
      <c r="A92" s="43"/>
      <c r="G92" s="5"/>
      <c r="H92" s="17">
        <v>87</v>
      </c>
      <c r="I92" s="18" t="str">
        <f t="shared" si="6"/>
        <v/>
      </c>
      <c r="J92" s="17">
        <f t="shared" si="9"/>
        <v>-4</v>
      </c>
      <c r="K92" s="17">
        <f t="shared" si="7"/>
        <v>-40</v>
      </c>
      <c r="L92" s="17"/>
      <c r="M92" s="19">
        <f t="shared" si="8"/>
        <v>0</v>
      </c>
    </row>
    <row r="93" spans="1:13">
      <c r="A93" s="43"/>
      <c r="G93" s="5"/>
      <c r="H93" s="17">
        <v>88</v>
      </c>
      <c r="I93" s="18" t="str">
        <f t="shared" si="6"/>
        <v/>
      </c>
      <c r="J93" s="17">
        <f t="shared" si="9"/>
        <v>-4</v>
      </c>
      <c r="K93" s="17">
        <f t="shared" si="7"/>
        <v>-40</v>
      </c>
      <c r="L93" s="17"/>
      <c r="M93" s="19">
        <f t="shared" si="8"/>
        <v>0</v>
      </c>
    </row>
    <row r="94" spans="1:13">
      <c r="A94" s="43"/>
      <c r="G94" s="5"/>
      <c r="H94" s="17">
        <v>89</v>
      </c>
      <c r="I94" s="18" t="str">
        <f t="shared" si="6"/>
        <v/>
      </c>
      <c r="J94" s="17">
        <f t="shared" si="9"/>
        <v>-4</v>
      </c>
      <c r="K94" s="17">
        <f t="shared" si="7"/>
        <v>-40</v>
      </c>
      <c r="L94" s="17"/>
      <c r="M94" s="19">
        <f t="shared" si="8"/>
        <v>0</v>
      </c>
    </row>
    <row r="95" spans="1:13">
      <c r="A95" s="43"/>
      <c r="G95" s="5"/>
      <c r="H95" s="17">
        <v>90</v>
      </c>
      <c r="I95" s="18" t="str">
        <f t="shared" si="6"/>
        <v/>
      </c>
      <c r="J95" s="17">
        <f t="shared" si="9"/>
        <v>-4</v>
      </c>
      <c r="K95" s="17">
        <f t="shared" si="7"/>
        <v>-40</v>
      </c>
      <c r="L95" s="17"/>
      <c r="M95" s="19">
        <f t="shared" si="8"/>
        <v>0</v>
      </c>
    </row>
    <row r="96" spans="1:13">
      <c r="A96" s="43"/>
      <c r="G96" s="5"/>
      <c r="H96" s="17">
        <v>91</v>
      </c>
      <c r="I96" s="18" t="str">
        <f t="shared" si="6"/>
        <v/>
      </c>
      <c r="J96" s="17">
        <f t="shared" si="9"/>
        <v>-4</v>
      </c>
      <c r="K96" s="17">
        <f t="shared" si="7"/>
        <v>-40</v>
      </c>
      <c r="L96" s="17"/>
      <c r="M96" s="19">
        <f t="shared" si="8"/>
        <v>0</v>
      </c>
    </row>
    <row r="97" spans="1:13">
      <c r="A97" s="43"/>
      <c r="G97" s="5"/>
      <c r="H97" s="17">
        <v>92</v>
      </c>
      <c r="I97" s="18" t="str">
        <f t="shared" si="6"/>
        <v/>
      </c>
      <c r="J97" s="17">
        <f t="shared" si="9"/>
        <v>-4</v>
      </c>
      <c r="K97" s="17">
        <f t="shared" si="7"/>
        <v>-40</v>
      </c>
      <c r="L97" s="17"/>
      <c r="M97" s="19">
        <f t="shared" si="8"/>
        <v>0</v>
      </c>
    </row>
    <row r="98" spans="1:13">
      <c r="A98" s="43"/>
      <c r="G98" s="5"/>
      <c r="H98" s="17">
        <v>93</v>
      </c>
      <c r="I98" s="18" t="str">
        <f t="shared" si="6"/>
        <v/>
      </c>
      <c r="J98" s="17">
        <f t="shared" si="9"/>
        <v>-4</v>
      </c>
      <c r="K98" s="17">
        <f t="shared" si="7"/>
        <v>-40</v>
      </c>
      <c r="L98" s="17"/>
      <c r="M98" s="19">
        <f t="shared" si="8"/>
        <v>0</v>
      </c>
    </row>
    <row r="99" spans="1:13">
      <c r="A99" s="43"/>
      <c r="G99" s="5"/>
      <c r="H99" s="17">
        <v>94</v>
      </c>
      <c r="I99" s="18" t="str">
        <f t="shared" si="6"/>
        <v/>
      </c>
      <c r="J99" s="17">
        <f t="shared" si="9"/>
        <v>-4</v>
      </c>
      <c r="K99" s="17">
        <f t="shared" si="7"/>
        <v>-40</v>
      </c>
      <c r="L99" s="17"/>
      <c r="M99" s="19">
        <f t="shared" si="8"/>
        <v>0</v>
      </c>
    </row>
    <row r="100" spans="1:13">
      <c r="A100" s="43"/>
      <c r="G100" s="5"/>
      <c r="H100" s="17">
        <v>95</v>
      </c>
      <c r="I100" s="18" t="str">
        <f t="shared" si="6"/>
        <v/>
      </c>
      <c r="J100" s="17">
        <f t="shared" si="9"/>
        <v>-4</v>
      </c>
      <c r="K100" s="17">
        <f t="shared" si="7"/>
        <v>-40</v>
      </c>
      <c r="L100" s="17"/>
      <c r="M100" s="19">
        <f t="shared" si="8"/>
        <v>0</v>
      </c>
    </row>
    <row r="101" spans="1:13">
      <c r="A101" s="43"/>
      <c r="G101" s="5"/>
      <c r="H101" s="17">
        <v>96</v>
      </c>
      <c r="I101" s="18" t="str">
        <f t="shared" si="6"/>
        <v/>
      </c>
      <c r="J101" s="17">
        <f t="shared" si="9"/>
        <v>-4</v>
      </c>
      <c r="K101" s="17">
        <f t="shared" si="7"/>
        <v>-40</v>
      </c>
      <c r="L101" s="17"/>
      <c r="M101" s="19">
        <f t="shared" si="8"/>
        <v>0</v>
      </c>
    </row>
    <row r="102" spans="1:13">
      <c r="A102" s="43"/>
      <c r="G102" s="5"/>
      <c r="H102" s="17">
        <v>97</v>
      </c>
      <c r="I102" s="18" t="str">
        <f t="shared" si="6"/>
        <v/>
      </c>
      <c r="J102" s="17">
        <f t="shared" si="9"/>
        <v>-4</v>
      </c>
      <c r="K102" s="17">
        <f t="shared" si="7"/>
        <v>-40</v>
      </c>
      <c r="L102" s="17"/>
      <c r="M102" s="19">
        <f t="shared" si="8"/>
        <v>0</v>
      </c>
    </row>
    <row r="103" spans="1:13">
      <c r="A103" s="43"/>
      <c r="G103" s="5"/>
      <c r="H103" s="17">
        <v>98</v>
      </c>
      <c r="I103" s="18" t="str">
        <f t="shared" si="6"/>
        <v/>
      </c>
      <c r="J103" s="17">
        <f t="shared" si="9"/>
        <v>-4</v>
      </c>
      <c r="K103" s="17">
        <f t="shared" si="7"/>
        <v>-40</v>
      </c>
      <c r="L103" s="17"/>
      <c r="M103" s="19">
        <f t="shared" si="8"/>
        <v>0</v>
      </c>
    </row>
    <row r="104" spans="1:13">
      <c r="A104" s="43"/>
      <c r="G104" s="5"/>
      <c r="H104" s="17">
        <v>99</v>
      </c>
      <c r="I104" s="18" t="str">
        <f t="shared" si="6"/>
        <v/>
      </c>
      <c r="J104" s="17">
        <f t="shared" si="9"/>
        <v>-4</v>
      </c>
      <c r="K104" s="17">
        <f t="shared" si="7"/>
        <v>-40</v>
      </c>
      <c r="L104" s="17"/>
      <c r="M104" s="19">
        <f t="shared" si="8"/>
        <v>0</v>
      </c>
    </row>
    <row r="105" spans="1:13">
      <c r="A105" s="43"/>
      <c r="G105" s="5"/>
      <c r="H105" s="17">
        <v>100</v>
      </c>
      <c r="I105" s="18" t="str">
        <f t="shared" si="6"/>
        <v/>
      </c>
      <c r="J105" s="17">
        <f t="shared" si="9"/>
        <v>-4</v>
      </c>
      <c r="K105" s="17">
        <f t="shared" si="7"/>
        <v>-40</v>
      </c>
      <c r="L105" s="17"/>
      <c r="M105" s="19">
        <f t="shared" si="8"/>
        <v>0</v>
      </c>
    </row>
    <row r="106" spans="1:13">
      <c r="A106" s="43"/>
      <c r="G106" s="5"/>
      <c r="H106" s="17">
        <v>101</v>
      </c>
      <c r="I106" s="18" t="str">
        <f t="shared" si="6"/>
        <v/>
      </c>
      <c r="J106" s="17">
        <f t="shared" si="9"/>
        <v>-4</v>
      </c>
      <c r="K106" s="17">
        <f t="shared" si="7"/>
        <v>-40</v>
      </c>
      <c r="L106" s="17"/>
      <c r="M106" s="19">
        <f t="shared" si="8"/>
        <v>0</v>
      </c>
    </row>
    <row r="107" spans="1:13">
      <c r="A107" s="43"/>
      <c r="G107" s="5"/>
      <c r="H107" s="17">
        <v>102</v>
      </c>
      <c r="I107" s="18" t="str">
        <f t="shared" si="6"/>
        <v/>
      </c>
      <c r="J107" s="17">
        <f t="shared" si="9"/>
        <v>-4</v>
      </c>
      <c r="K107" s="17">
        <f t="shared" si="7"/>
        <v>-40</v>
      </c>
      <c r="L107" s="17"/>
      <c r="M107" s="19">
        <f t="shared" si="8"/>
        <v>0</v>
      </c>
    </row>
    <row r="108" spans="1:13">
      <c r="A108" s="43"/>
      <c r="G108" s="5"/>
      <c r="H108" s="17">
        <v>103</v>
      </c>
      <c r="I108" s="18" t="str">
        <f t="shared" si="6"/>
        <v/>
      </c>
      <c r="J108" s="17">
        <f t="shared" si="9"/>
        <v>-4</v>
      </c>
      <c r="K108" s="17">
        <f t="shared" si="7"/>
        <v>-40</v>
      </c>
      <c r="L108" s="17"/>
      <c r="M108" s="19">
        <f t="shared" si="8"/>
        <v>0</v>
      </c>
    </row>
    <row r="109" spans="1:13">
      <c r="A109" s="43"/>
      <c r="G109" s="5"/>
      <c r="H109" s="17">
        <v>104</v>
      </c>
      <c r="I109" s="18" t="str">
        <f t="shared" si="6"/>
        <v/>
      </c>
      <c r="J109" s="17">
        <f t="shared" si="9"/>
        <v>-4</v>
      </c>
      <c r="K109" s="17">
        <f t="shared" si="7"/>
        <v>-40</v>
      </c>
      <c r="L109" s="17"/>
      <c r="M109" s="19">
        <f t="shared" si="8"/>
        <v>0</v>
      </c>
    </row>
    <row r="110" spans="1:13">
      <c r="A110" s="43"/>
      <c r="G110" s="5"/>
      <c r="H110" s="17">
        <v>105</v>
      </c>
      <c r="I110" s="18" t="str">
        <f t="shared" si="6"/>
        <v/>
      </c>
      <c r="J110" s="17">
        <f t="shared" si="9"/>
        <v>-4</v>
      </c>
      <c r="K110" s="17">
        <f t="shared" si="7"/>
        <v>-40</v>
      </c>
      <c r="L110" s="17"/>
      <c r="M110" s="19">
        <f t="shared" si="8"/>
        <v>0</v>
      </c>
    </row>
    <row r="111" spans="1:13">
      <c r="A111" s="43"/>
      <c r="G111" s="5"/>
      <c r="H111" s="17">
        <v>106</v>
      </c>
      <c r="I111" s="18" t="str">
        <f t="shared" si="6"/>
        <v/>
      </c>
      <c r="J111" s="17">
        <f t="shared" si="9"/>
        <v>-4</v>
      </c>
      <c r="K111" s="17">
        <f t="shared" si="7"/>
        <v>-40</v>
      </c>
      <c r="L111" s="17"/>
      <c r="M111" s="19">
        <f t="shared" si="8"/>
        <v>0</v>
      </c>
    </row>
    <row r="112" spans="1:13">
      <c r="A112" s="43"/>
      <c r="G112" s="5"/>
      <c r="H112" s="17">
        <v>107</v>
      </c>
      <c r="I112" s="18" t="str">
        <f t="shared" si="6"/>
        <v/>
      </c>
      <c r="J112" s="17">
        <f t="shared" si="9"/>
        <v>-4</v>
      </c>
      <c r="K112" s="17">
        <f t="shared" si="7"/>
        <v>-40</v>
      </c>
      <c r="L112" s="17"/>
      <c r="M112" s="19">
        <f t="shared" si="8"/>
        <v>0</v>
      </c>
    </row>
    <row r="113" spans="1:13">
      <c r="A113" s="43"/>
      <c r="G113" s="5"/>
      <c r="H113" s="17">
        <v>108</v>
      </c>
      <c r="I113" s="18" t="str">
        <f t="shared" si="6"/>
        <v/>
      </c>
      <c r="J113" s="17">
        <f t="shared" si="9"/>
        <v>-4</v>
      </c>
      <c r="K113" s="17">
        <f t="shared" si="7"/>
        <v>-40</v>
      </c>
      <c r="L113" s="17"/>
      <c r="M113" s="19">
        <f t="shared" si="8"/>
        <v>0</v>
      </c>
    </row>
    <row r="114" spans="1:13">
      <c r="A114" s="43"/>
      <c r="G114" s="5"/>
      <c r="H114" s="17">
        <v>109</v>
      </c>
      <c r="I114" s="18" t="str">
        <f t="shared" si="6"/>
        <v/>
      </c>
      <c r="J114" s="17">
        <f t="shared" si="9"/>
        <v>-4</v>
      </c>
      <c r="K114" s="17">
        <f t="shared" si="7"/>
        <v>-40</v>
      </c>
      <c r="L114" s="17"/>
      <c r="M114" s="19">
        <f t="shared" si="8"/>
        <v>0</v>
      </c>
    </row>
    <row r="115" spans="1:13">
      <c r="A115" s="43"/>
      <c r="G115" s="5"/>
      <c r="H115" s="17">
        <v>110</v>
      </c>
      <c r="I115" s="18" t="str">
        <f t="shared" si="6"/>
        <v/>
      </c>
      <c r="J115" s="17">
        <f t="shared" si="9"/>
        <v>-4</v>
      </c>
      <c r="K115" s="17">
        <f t="shared" si="7"/>
        <v>-40</v>
      </c>
      <c r="L115" s="17"/>
      <c r="M115" s="19">
        <f t="shared" si="8"/>
        <v>0</v>
      </c>
    </row>
    <row r="116" spans="1:13">
      <c r="A116" s="43"/>
      <c r="G116" s="5"/>
      <c r="H116" s="17">
        <v>111</v>
      </c>
      <c r="I116" s="18" t="str">
        <f t="shared" si="6"/>
        <v/>
      </c>
      <c r="J116" s="17">
        <f t="shared" si="9"/>
        <v>-4</v>
      </c>
      <c r="K116" s="17">
        <f t="shared" si="7"/>
        <v>-40</v>
      </c>
      <c r="L116" s="17"/>
      <c r="M116" s="19">
        <f t="shared" si="8"/>
        <v>0</v>
      </c>
    </row>
    <row r="117" spans="1:13">
      <c r="A117" s="43"/>
      <c r="G117" s="5"/>
      <c r="H117" s="17">
        <v>112</v>
      </c>
      <c r="I117" s="18" t="str">
        <f t="shared" si="6"/>
        <v/>
      </c>
      <c r="J117" s="17">
        <f t="shared" si="9"/>
        <v>-4</v>
      </c>
      <c r="K117" s="17">
        <f t="shared" si="7"/>
        <v>-40</v>
      </c>
      <c r="L117" s="17"/>
      <c r="M117" s="19">
        <f t="shared" si="8"/>
        <v>0</v>
      </c>
    </row>
    <row r="118" spans="1:13">
      <c r="A118" s="43"/>
      <c r="G118" s="5"/>
      <c r="H118" s="17">
        <v>113</v>
      </c>
      <c r="I118" s="18" t="str">
        <f t="shared" si="6"/>
        <v/>
      </c>
      <c r="J118" s="17">
        <f t="shared" si="9"/>
        <v>-4</v>
      </c>
      <c r="K118" s="17">
        <f t="shared" si="7"/>
        <v>-40</v>
      </c>
      <c r="L118" s="17"/>
      <c r="M118" s="19">
        <f t="shared" si="8"/>
        <v>0</v>
      </c>
    </row>
    <row r="119" spans="1:13">
      <c r="A119" s="43"/>
      <c r="G119" s="5"/>
      <c r="H119" s="17">
        <v>114</v>
      </c>
      <c r="I119" s="18" t="str">
        <f t="shared" si="6"/>
        <v/>
      </c>
      <c r="J119" s="17">
        <f t="shared" si="9"/>
        <v>-4</v>
      </c>
      <c r="K119" s="17">
        <f t="shared" si="7"/>
        <v>-40</v>
      </c>
      <c r="L119" s="17"/>
      <c r="M119" s="19">
        <f t="shared" si="8"/>
        <v>0</v>
      </c>
    </row>
    <row r="120" spans="1:13">
      <c r="A120" s="43"/>
      <c r="G120" s="5"/>
      <c r="H120" s="17">
        <v>115</v>
      </c>
      <c r="I120" s="18" t="str">
        <f t="shared" si="6"/>
        <v/>
      </c>
      <c r="J120" s="17">
        <f t="shared" si="9"/>
        <v>-4</v>
      </c>
      <c r="K120" s="17">
        <f t="shared" si="7"/>
        <v>-40</v>
      </c>
      <c r="L120" s="17"/>
      <c r="M120" s="19">
        <f t="shared" si="8"/>
        <v>0</v>
      </c>
    </row>
    <row r="121" spans="1:13">
      <c r="A121" s="43"/>
      <c r="G121" s="5"/>
      <c r="H121" s="17">
        <v>116</v>
      </c>
      <c r="I121" s="18" t="str">
        <f t="shared" si="6"/>
        <v/>
      </c>
      <c r="J121" s="17">
        <f t="shared" si="9"/>
        <v>-4</v>
      </c>
      <c r="K121" s="17">
        <f t="shared" si="7"/>
        <v>-40</v>
      </c>
      <c r="L121" s="17"/>
      <c r="M121" s="19">
        <f t="shared" si="8"/>
        <v>0</v>
      </c>
    </row>
    <row r="122" spans="1:13">
      <c r="A122" s="43"/>
      <c r="G122" s="5"/>
      <c r="H122" s="17">
        <v>117</v>
      </c>
      <c r="I122" s="18" t="str">
        <f t="shared" si="6"/>
        <v/>
      </c>
      <c r="J122" s="17">
        <f t="shared" si="9"/>
        <v>-4</v>
      </c>
      <c r="K122" s="17">
        <f t="shared" si="7"/>
        <v>-40</v>
      </c>
      <c r="L122" s="17"/>
      <c r="M122" s="19">
        <f t="shared" si="8"/>
        <v>0</v>
      </c>
    </row>
    <row r="123" spans="1:13">
      <c r="A123" s="43"/>
      <c r="G123" s="5"/>
      <c r="H123" s="17">
        <v>118</v>
      </c>
      <c r="I123" s="18" t="str">
        <f t="shared" si="6"/>
        <v/>
      </c>
      <c r="J123" s="17">
        <f t="shared" si="9"/>
        <v>-4</v>
      </c>
      <c r="K123" s="17">
        <f t="shared" si="7"/>
        <v>-40</v>
      </c>
      <c r="L123" s="17"/>
      <c r="M123" s="19">
        <f t="shared" si="8"/>
        <v>0</v>
      </c>
    </row>
    <row r="124" spans="1:13">
      <c r="A124" s="43"/>
      <c r="G124" s="5"/>
      <c r="H124" s="17">
        <v>119</v>
      </c>
      <c r="I124" s="18" t="str">
        <f t="shared" si="6"/>
        <v/>
      </c>
      <c r="J124" s="17">
        <f t="shared" si="9"/>
        <v>-4</v>
      </c>
      <c r="K124" s="17">
        <f t="shared" si="7"/>
        <v>-40</v>
      </c>
      <c r="L124" s="17"/>
      <c r="M124" s="19">
        <f t="shared" si="8"/>
        <v>0</v>
      </c>
    </row>
    <row r="125" spans="1:13">
      <c r="A125" s="43"/>
      <c r="G125" s="5"/>
      <c r="H125" s="17">
        <v>120</v>
      </c>
      <c r="I125" s="18" t="str">
        <f t="shared" si="6"/>
        <v/>
      </c>
      <c r="J125" s="17">
        <f t="shared" si="9"/>
        <v>-4</v>
      </c>
      <c r="K125" s="17">
        <f t="shared" si="7"/>
        <v>-40</v>
      </c>
      <c r="L125" s="17"/>
      <c r="M125" s="19">
        <f t="shared" si="8"/>
        <v>0</v>
      </c>
    </row>
    <row r="126" spans="1:13">
      <c r="A126" s="43"/>
      <c r="G126" s="5"/>
      <c r="H126" s="17">
        <v>121</v>
      </c>
      <c r="I126" s="18" t="str">
        <f t="shared" si="6"/>
        <v/>
      </c>
      <c r="J126" s="17">
        <f t="shared" si="9"/>
        <v>-4</v>
      </c>
      <c r="K126" s="17">
        <f t="shared" si="7"/>
        <v>-40</v>
      </c>
      <c r="L126" s="17"/>
      <c r="M126" s="19">
        <f t="shared" si="8"/>
        <v>0</v>
      </c>
    </row>
    <row r="127" spans="1:13">
      <c r="A127" s="43"/>
      <c r="G127" s="5"/>
      <c r="H127" s="17">
        <v>122</v>
      </c>
      <c r="I127" s="18" t="str">
        <f t="shared" si="6"/>
        <v/>
      </c>
      <c r="J127" s="17">
        <f t="shared" si="9"/>
        <v>-4</v>
      </c>
      <c r="K127" s="17">
        <f t="shared" si="7"/>
        <v>-40</v>
      </c>
      <c r="L127" s="17"/>
      <c r="M127" s="19">
        <f t="shared" si="8"/>
        <v>0</v>
      </c>
    </row>
    <row r="128" spans="1:13">
      <c r="A128" s="43"/>
      <c r="G128" s="5"/>
      <c r="H128" s="17">
        <v>123</v>
      </c>
      <c r="I128" s="18" t="str">
        <f t="shared" si="6"/>
        <v/>
      </c>
      <c r="J128" s="17">
        <f t="shared" si="9"/>
        <v>-4</v>
      </c>
      <c r="K128" s="17">
        <f t="shared" si="7"/>
        <v>-40</v>
      </c>
      <c r="L128" s="17"/>
      <c r="M128" s="19">
        <f t="shared" si="8"/>
        <v>0</v>
      </c>
    </row>
    <row r="129" spans="1:13">
      <c r="A129" s="43"/>
      <c r="G129" s="5"/>
      <c r="H129" s="17">
        <v>124</v>
      </c>
      <c r="I129" s="18" t="str">
        <f t="shared" si="6"/>
        <v/>
      </c>
      <c r="J129" s="17">
        <f t="shared" si="9"/>
        <v>-4</v>
      </c>
      <c r="K129" s="17">
        <f t="shared" si="7"/>
        <v>-40</v>
      </c>
      <c r="L129" s="17"/>
      <c r="M129" s="19">
        <f t="shared" si="8"/>
        <v>0</v>
      </c>
    </row>
    <row r="130" spans="1:13">
      <c r="A130" s="43"/>
      <c r="G130" s="5"/>
      <c r="H130" s="17">
        <v>125</v>
      </c>
      <c r="I130" s="18" t="str">
        <f t="shared" si="6"/>
        <v/>
      </c>
      <c r="J130" s="17">
        <f t="shared" si="9"/>
        <v>-4</v>
      </c>
      <c r="K130" s="17">
        <f t="shared" si="7"/>
        <v>-40</v>
      </c>
      <c r="L130" s="17"/>
      <c r="M130" s="19">
        <f t="shared" si="8"/>
        <v>0</v>
      </c>
    </row>
    <row r="131" spans="1:13">
      <c r="A131" s="43"/>
      <c r="G131" s="5"/>
      <c r="H131" s="17">
        <v>126</v>
      </c>
      <c r="I131" s="18" t="str">
        <f t="shared" si="6"/>
        <v/>
      </c>
      <c r="J131" s="17">
        <f t="shared" si="9"/>
        <v>-4</v>
      </c>
      <c r="K131" s="17">
        <f t="shared" si="7"/>
        <v>-40</v>
      </c>
      <c r="L131" s="17"/>
      <c r="M131" s="19">
        <f t="shared" si="8"/>
        <v>0</v>
      </c>
    </row>
    <row r="132" spans="1:13">
      <c r="A132" s="43"/>
      <c r="G132" s="5"/>
      <c r="H132" s="17">
        <v>127</v>
      </c>
      <c r="I132" s="18" t="str">
        <f t="shared" si="6"/>
        <v/>
      </c>
      <c r="J132" s="17">
        <f t="shared" si="9"/>
        <v>-4</v>
      </c>
      <c r="K132" s="17">
        <f t="shared" si="7"/>
        <v>-40</v>
      </c>
      <c r="L132" s="17"/>
      <c r="M132" s="19">
        <f t="shared" si="8"/>
        <v>0</v>
      </c>
    </row>
    <row r="133" spans="1:13">
      <c r="A133" s="43"/>
      <c r="G133" s="5"/>
      <c r="H133" s="17">
        <v>128</v>
      </c>
      <c r="I133" s="18" t="str">
        <f t="shared" si="6"/>
        <v/>
      </c>
      <c r="J133" s="17">
        <f t="shared" si="9"/>
        <v>-4</v>
      </c>
      <c r="K133" s="17">
        <f t="shared" si="7"/>
        <v>-40</v>
      </c>
      <c r="L133" s="17"/>
      <c r="M133" s="19">
        <f t="shared" si="8"/>
        <v>0</v>
      </c>
    </row>
    <row r="134" spans="1:13">
      <c r="A134" s="43"/>
      <c r="G134" s="5"/>
      <c r="H134" s="17">
        <v>129</v>
      </c>
      <c r="I134" s="18" t="str">
        <f t="shared" ref="I134:I197" si="10">IF(H134&lt;$H$2+1,($I$2-($I$2-1)*(LOG(H134)/LOG($H$2))),"")</f>
        <v/>
      </c>
      <c r="J134" s="17">
        <f t="shared" si="9"/>
        <v>-5</v>
      </c>
      <c r="K134" s="17">
        <f t="shared" ref="K134:K197" si="11">J134*$J$2</f>
        <v>-50</v>
      </c>
      <c r="L134" s="17"/>
      <c r="M134" s="19">
        <f t="shared" ref="M134:M197" si="12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0"/>
        <v/>
      </c>
      <c r="J135" s="17">
        <f t="shared" ref="J135:J198" si="13">INT(LOG($H$2,2))-ROUNDUP(LOG(H135,2),0)+IF(OR($H$2=1,$H$2=2,$H$2=4,$H$2=8,$H$2=16,$H$2=32,$H$2=64,$H$2=128,$H$2=256),0,1)</f>
        <v>-5</v>
      </c>
      <c r="K135" s="17">
        <f t="shared" si="11"/>
        <v>-50</v>
      </c>
      <c r="L135" s="17"/>
      <c r="M135" s="19">
        <f t="shared" si="12"/>
        <v>0</v>
      </c>
    </row>
    <row r="136" spans="1:13">
      <c r="A136" s="43"/>
      <c r="G136" s="5"/>
      <c r="H136" s="17">
        <v>131</v>
      </c>
      <c r="I136" s="18" t="str">
        <f t="shared" si="10"/>
        <v/>
      </c>
      <c r="J136" s="17">
        <f t="shared" si="13"/>
        <v>-5</v>
      </c>
      <c r="K136" s="17">
        <f t="shared" si="11"/>
        <v>-50</v>
      </c>
      <c r="L136" s="17"/>
      <c r="M136" s="19">
        <f t="shared" si="12"/>
        <v>0</v>
      </c>
    </row>
    <row r="137" spans="1:13">
      <c r="A137" s="43"/>
      <c r="G137" s="5"/>
      <c r="H137" s="17">
        <v>132</v>
      </c>
      <c r="I137" s="18" t="str">
        <f t="shared" si="10"/>
        <v/>
      </c>
      <c r="J137" s="17">
        <f t="shared" si="13"/>
        <v>-5</v>
      </c>
      <c r="K137" s="17">
        <f t="shared" si="11"/>
        <v>-50</v>
      </c>
      <c r="L137" s="17"/>
      <c r="M137" s="19">
        <f t="shared" si="12"/>
        <v>0</v>
      </c>
    </row>
    <row r="138" spans="1:13">
      <c r="A138" s="43"/>
      <c r="G138" s="5"/>
      <c r="H138" s="17">
        <v>133</v>
      </c>
      <c r="I138" s="18" t="str">
        <f t="shared" si="10"/>
        <v/>
      </c>
      <c r="J138" s="17">
        <f t="shared" si="13"/>
        <v>-5</v>
      </c>
      <c r="K138" s="17">
        <f t="shared" si="11"/>
        <v>-50</v>
      </c>
      <c r="L138" s="17"/>
      <c r="M138" s="19">
        <f t="shared" si="12"/>
        <v>0</v>
      </c>
    </row>
    <row r="139" spans="1:13">
      <c r="A139" s="43"/>
      <c r="G139" s="5"/>
      <c r="H139" s="17">
        <v>134</v>
      </c>
      <c r="I139" s="18" t="str">
        <f t="shared" si="10"/>
        <v/>
      </c>
      <c r="J139" s="17">
        <f t="shared" si="13"/>
        <v>-5</v>
      </c>
      <c r="K139" s="17">
        <f t="shared" si="11"/>
        <v>-50</v>
      </c>
      <c r="L139" s="17"/>
      <c r="M139" s="19">
        <f t="shared" si="12"/>
        <v>0</v>
      </c>
    </row>
    <row r="140" spans="1:13">
      <c r="A140" s="43"/>
      <c r="G140" s="5"/>
      <c r="H140" s="17">
        <v>135</v>
      </c>
      <c r="I140" s="18" t="str">
        <f t="shared" si="10"/>
        <v/>
      </c>
      <c r="J140" s="17">
        <f t="shared" si="13"/>
        <v>-5</v>
      </c>
      <c r="K140" s="17">
        <f t="shared" si="11"/>
        <v>-50</v>
      </c>
      <c r="L140" s="17"/>
      <c r="M140" s="19">
        <f t="shared" si="12"/>
        <v>0</v>
      </c>
    </row>
    <row r="141" spans="1:13">
      <c r="A141" s="43"/>
      <c r="G141" s="5"/>
      <c r="H141" s="17">
        <v>136</v>
      </c>
      <c r="I141" s="18" t="str">
        <f t="shared" si="10"/>
        <v/>
      </c>
      <c r="J141" s="17">
        <f t="shared" si="13"/>
        <v>-5</v>
      </c>
      <c r="K141" s="17">
        <f t="shared" si="11"/>
        <v>-50</v>
      </c>
      <c r="L141" s="17"/>
      <c r="M141" s="19">
        <f t="shared" si="12"/>
        <v>0</v>
      </c>
    </row>
    <row r="142" spans="1:13">
      <c r="A142" s="43"/>
      <c r="G142" s="5"/>
      <c r="H142" s="17">
        <v>137</v>
      </c>
      <c r="I142" s="18" t="str">
        <f t="shared" si="10"/>
        <v/>
      </c>
      <c r="J142" s="17">
        <f t="shared" si="13"/>
        <v>-5</v>
      </c>
      <c r="K142" s="17">
        <f t="shared" si="11"/>
        <v>-50</v>
      </c>
      <c r="L142" s="17"/>
      <c r="M142" s="19">
        <f t="shared" si="12"/>
        <v>0</v>
      </c>
    </row>
    <row r="143" spans="1:13">
      <c r="A143" s="43"/>
      <c r="G143" s="5"/>
      <c r="H143" s="17">
        <v>138</v>
      </c>
      <c r="I143" s="18" t="str">
        <f t="shared" si="10"/>
        <v/>
      </c>
      <c r="J143" s="17">
        <f t="shared" si="13"/>
        <v>-5</v>
      </c>
      <c r="K143" s="17">
        <f t="shared" si="11"/>
        <v>-50</v>
      </c>
      <c r="L143" s="17"/>
      <c r="M143" s="19">
        <f t="shared" si="12"/>
        <v>0</v>
      </c>
    </row>
    <row r="144" spans="1:13">
      <c r="A144" s="43"/>
      <c r="G144" s="5"/>
      <c r="H144" s="17">
        <v>139</v>
      </c>
      <c r="I144" s="18" t="str">
        <f t="shared" si="10"/>
        <v/>
      </c>
      <c r="J144" s="17">
        <f t="shared" si="13"/>
        <v>-5</v>
      </c>
      <c r="K144" s="17">
        <f t="shared" si="11"/>
        <v>-50</v>
      </c>
      <c r="L144" s="17"/>
      <c r="M144" s="19">
        <f t="shared" si="12"/>
        <v>0</v>
      </c>
    </row>
    <row r="145" spans="1:13">
      <c r="A145" s="43"/>
      <c r="G145" s="5"/>
      <c r="H145" s="17">
        <v>140</v>
      </c>
      <c r="I145" s="18" t="str">
        <f t="shared" si="10"/>
        <v/>
      </c>
      <c r="J145" s="17">
        <f t="shared" si="13"/>
        <v>-5</v>
      </c>
      <c r="K145" s="17">
        <f t="shared" si="11"/>
        <v>-50</v>
      </c>
      <c r="L145" s="17"/>
      <c r="M145" s="19">
        <f t="shared" si="12"/>
        <v>0</v>
      </c>
    </row>
    <row r="146" spans="1:13">
      <c r="A146" s="43"/>
      <c r="G146" s="5"/>
      <c r="H146" s="17">
        <v>141</v>
      </c>
      <c r="I146" s="18" t="str">
        <f t="shared" si="10"/>
        <v/>
      </c>
      <c r="J146" s="17">
        <f t="shared" si="13"/>
        <v>-5</v>
      </c>
      <c r="K146" s="17">
        <f t="shared" si="11"/>
        <v>-50</v>
      </c>
      <c r="L146" s="17"/>
      <c r="M146" s="19">
        <f t="shared" si="12"/>
        <v>0</v>
      </c>
    </row>
    <row r="147" spans="1:13">
      <c r="A147" s="43"/>
      <c r="G147" s="5"/>
      <c r="H147" s="17">
        <v>142</v>
      </c>
      <c r="I147" s="18" t="str">
        <f t="shared" si="10"/>
        <v/>
      </c>
      <c r="J147" s="17">
        <f t="shared" si="13"/>
        <v>-5</v>
      </c>
      <c r="K147" s="17">
        <f t="shared" si="11"/>
        <v>-50</v>
      </c>
      <c r="L147" s="17"/>
      <c r="M147" s="19">
        <f t="shared" si="12"/>
        <v>0</v>
      </c>
    </row>
    <row r="148" spans="1:13">
      <c r="A148" s="43"/>
      <c r="G148" s="5"/>
      <c r="H148" s="17">
        <v>143</v>
      </c>
      <c r="I148" s="18" t="str">
        <f t="shared" si="10"/>
        <v/>
      </c>
      <c r="J148" s="17">
        <f t="shared" si="13"/>
        <v>-5</v>
      </c>
      <c r="K148" s="17">
        <f t="shared" si="11"/>
        <v>-50</v>
      </c>
      <c r="L148" s="17"/>
      <c r="M148" s="19">
        <f t="shared" si="12"/>
        <v>0</v>
      </c>
    </row>
    <row r="149" spans="1:13">
      <c r="A149" s="43"/>
      <c r="G149" s="5"/>
      <c r="H149" s="17">
        <v>144</v>
      </c>
      <c r="I149" s="18" t="str">
        <f t="shared" si="10"/>
        <v/>
      </c>
      <c r="J149" s="17">
        <f t="shared" si="13"/>
        <v>-5</v>
      </c>
      <c r="K149" s="17">
        <f t="shared" si="11"/>
        <v>-50</v>
      </c>
      <c r="L149" s="17"/>
      <c r="M149" s="19">
        <f t="shared" si="12"/>
        <v>0</v>
      </c>
    </row>
    <row r="150" spans="1:13">
      <c r="A150" s="43"/>
      <c r="G150" s="5"/>
      <c r="H150" s="17">
        <v>145</v>
      </c>
      <c r="I150" s="18" t="str">
        <f t="shared" si="10"/>
        <v/>
      </c>
      <c r="J150" s="17">
        <f t="shared" si="13"/>
        <v>-5</v>
      </c>
      <c r="K150" s="17">
        <f t="shared" si="11"/>
        <v>-50</v>
      </c>
      <c r="L150" s="17"/>
      <c r="M150" s="19">
        <f t="shared" si="12"/>
        <v>0</v>
      </c>
    </row>
    <row r="151" spans="1:13">
      <c r="A151" s="43"/>
      <c r="G151" s="5"/>
      <c r="H151" s="17">
        <v>146</v>
      </c>
      <c r="I151" s="18" t="str">
        <f t="shared" si="10"/>
        <v/>
      </c>
      <c r="J151" s="17">
        <f t="shared" si="13"/>
        <v>-5</v>
      </c>
      <c r="K151" s="17">
        <f t="shared" si="11"/>
        <v>-50</v>
      </c>
      <c r="L151" s="17"/>
      <c r="M151" s="19">
        <f t="shared" si="12"/>
        <v>0</v>
      </c>
    </row>
    <row r="152" spans="1:13">
      <c r="A152" s="43"/>
      <c r="G152" s="5"/>
      <c r="H152" s="17">
        <v>147</v>
      </c>
      <c r="I152" s="18" t="str">
        <f t="shared" si="10"/>
        <v/>
      </c>
      <c r="J152" s="17">
        <f t="shared" si="13"/>
        <v>-5</v>
      </c>
      <c r="K152" s="17">
        <f t="shared" si="11"/>
        <v>-50</v>
      </c>
      <c r="L152" s="17"/>
      <c r="M152" s="19">
        <f t="shared" si="12"/>
        <v>0</v>
      </c>
    </row>
    <row r="153" spans="1:13">
      <c r="A153" s="43"/>
      <c r="G153" s="5"/>
      <c r="H153" s="17">
        <v>148</v>
      </c>
      <c r="I153" s="18" t="str">
        <f t="shared" si="10"/>
        <v/>
      </c>
      <c r="J153" s="17">
        <f t="shared" si="13"/>
        <v>-5</v>
      </c>
      <c r="K153" s="17">
        <f t="shared" si="11"/>
        <v>-50</v>
      </c>
      <c r="L153" s="17"/>
      <c r="M153" s="19">
        <f t="shared" si="12"/>
        <v>0</v>
      </c>
    </row>
    <row r="154" spans="1:13">
      <c r="A154" s="43"/>
      <c r="G154" s="5"/>
      <c r="H154" s="17">
        <v>149</v>
      </c>
      <c r="I154" s="18" t="str">
        <f t="shared" si="10"/>
        <v/>
      </c>
      <c r="J154" s="17">
        <f t="shared" si="13"/>
        <v>-5</v>
      </c>
      <c r="K154" s="17">
        <f t="shared" si="11"/>
        <v>-50</v>
      </c>
      <c r="L154" s="17"/>
      <c r="M154" s="19">
        <f t="shared" si="12"/>
        <v>0</v>
      </c>
    </row>
    <row r="155" spans="1:13">
      <c r="A155" s="43"/>
      <c r="G155" s="5"/>
      <c r="H155" s="17">
        <v>150</v>
      </c>
      <c r="I155" s="18" t="str">
        <f t="shared" si="10"/>
        <v/>
      </c>
      <c r="J155" s="17">
        <f t="shared" si="13"/>
        <v>-5</v>
      </c>
      <c r="K155" s="17">
        <f t="shared" si="11"/>
        <v>-50</v>
      </c>
      <c r="L155" s="17"/>
      <c r="M155" s="19">
        <f t="shared" si="12"/>
        <v>0</v>
      </c>
    </row>
    <row r="156" spans="1:13">
      <c r="A156" s="43"/>
      <c r="G156" s="5"/>
      <c r="H156" s="17">
        <v>151</v>
      </c>
      <c r="I156" s="18" t="str">
        <f t="shared" si="10"/>
        <v/>
      </c>
      <c r="J156" s="17">
        <f t="shared" si="13"/>
        <v>-5</v>
      </c>
      <c r="K156" s="17">
        <f t="shared" si="11"/>
        <v>-50</v>
      </c>
      <c r="L156" s="17"/>
      <c r="M156" s="19">
        <f t="shared" si="12"/>
        <v>0</v>
      </c>
    </row>
    <row r="157" spans="1:13">
      <c r="A157" s="43"/>
      <c r="G157" s="5"/>
      <c r="H157" s="17">
        <v>152</v>
      </c>
      <c r="I157" s="18" t="str">
        <f t="shared" si="10"/>
        <v/>
      </c>
      <c r="J157" s="17">
        <f t="shared" si="13"/>
        <v>-5</v>
      </c>
      <c r="K157" s="17">
        <f t="shared" si="11"/>
        <v>-50</v>
      </c>
      <c r="L157" s="17"/>
      <c r="M157" s="19">
        <f t="shared" si="12"/>
        <v>0</v>
      </c>
    </row>
    <row r="158" spans="1:13">
      <c r="A158" s="43"/>
      <c r="G158" s="5"/>
      <c r="H158" s="17">
        <v>153</v>
      </c>
      <c r="I158" s="18" t="str">
        <f t="shared" si="10"/>
        <v/>
      </c>
      <c r="J158" s="17">
        <f t="shared" si="13"/>
        <v>-5</v>
      </c>
      <c r="K158" s="17">
        <f t="shared" si="11"/>
        <v>-50</v>
      </c>
      <c r="L158" s="17"/>
      <c r="M158" s="19">
        <f t="shared" si="12"/>
        <v>0</v>
      </c>
    </row>
    <row r="159" spans="1:13">
      <c r="A159" s="43"/>
      <c r="G159" s="5"/>
      <c r="H159" s="17">
        <v>154</v>
      </c>
      <c r="I159" s="18" t="str">
        <f t="shared" si="10"/>
        <v/>
      </c>
      <c r="J159" s="17">
        <f t="shared" si="13"/>
        <v>-5</v>
      </c>
      <c r="K159" s="17">
        <f t="shared" si="11"/>
        <v>-50</v>
      </c>
      <c r="L159" s="17"/>
      <c r="M159" s="19">
        <f t="shared" si="12"/>
        <v>0</v>
      </c>
    </row>
    <row r="160" spans="1:13">
      <c r="A160" s="43"/>
      <c r="G160" s="5"/>
      <c r="H160" s="17">
        <v>155</v>
      </c>
      <c r="I160" s="18" t="str">
        <f t="shared" si="10"/>
        <v/>
      </c>
      <c r="J160" s="17">
        <f t="shared" si="13"/>
        <v>-5</v>
      </c>
      <c r="K160" s="17">
        <f t="shared" si="11"/>
        <v>-50</v>
      </c>
      <c r="L160" s="17"/>
      <c r="M160" s="19">
        <f t="shared" si="12"/>
        <v>0</v>
      </c>
    </row>
    <row r="161" spans="1:13">
      <c r="A161" s="43"/>
      <c r="G161" s="5"/>
      <c r="H161" s="17">
        <v>156</v>
      </c>
      <c r="I161" s="18" t="str">
        <f t="shared" si="10"/>
        <v/>
      </c>
      <c r="J161" s="17">
        <f t="shared" si="13"/>
        <v>-5</v>
      </c>
      <c r="K161" s="17">
        <f t="shared" si="11"/>
        <v>-50</v>
      </c>
      <c r="L161" s="17"/>
      <c r="M161" s="19">
        <f t="shared" si="12"/>
        <v>0</v>
      </c>
    </row>
    <row r="162" spans="1:13">
      <c r="A162" s="43"/>
      <c r="G162" s="5"/>
      <c r="H162" s="17">
        <v>157</v>
      </c>
      <c r="I162" s="18" t="str">
        <f t="shared" si="10"/>
        <v/>
      </c>
      <c r="J162" s="17">
        <f t="shared" si="13"/>
        <v>-5</v>
      </c>
      <c r="K162" s="17">
        <f t="shared" si="11"/>
        <v>-50</v>
      </c>
      <c r="L162" s="17"/>
      <c r="M162" s="19">
        <f t="shared" si="12"/>
        <v>0</v>
      </c>
    </row>
    <row r="163" spans="1:13">
      <c r="A163" s="43"/>
      <c r="G163" s="5"/>
      <c r="H163" s="17">
        <v>158</v>
      </c>
      <c r="I163" s="18" t="str">
        <f t="shared" si="10"/>
        <v/>
      </c>
      <c r="J163" s="17">
        <f t="shared" si="13"/>
        <v>-5</v>
      </c>
      <c r="K163" s="17">
        <f t="shared" si="11"/>
        <v>-50</v>
      </c>
      <c r="L163" s="17"/>
      <c r="M163" s="19">
        <f t="shared" si="12"/>
        <v>0</v>
      </c>
    </row>
    <row r="164" spans="1:13">
      <c r="A164" s="43"/>
      <c r="G164" s="5"/>
      <c r="H164" s="17">
        <v>159</v>
      </c>
      <c r="I164" s="18" t="str">
        <f t="shared" si="10"/>
        <v/>
      </c>
      <c r="J164" s="17">
        <f t="shared" si="13"/>
        <v>-5</v>
      </c>
      <c r="K164" s="17">
        <f t="shared" si="11"/>
        <v>-50</v>
      </c>
      <c r="L164" s="17"/>
      <c r="M164" s="19">
        <f t="shared" si="12"/>
        <v>0</v>
      </c>
    </row>
    <row r="165" spans="1:13">
      <c r="A165" s="43"/>
      <c r="G165" s="5"/>
      <c r="H165" s="17">
        <v>160</v>
      </c>
      <c r="I165" s="18" t="str">
        <f t="shared" si="10"/>
        <v/>
      </c>
      <c r="J165" s="17">
        <f t="shared" si="13"/>
        <v>-5</v>
      </c>
      <c r="K165" s="17">
        <f t="shared" si="11"/>
        <v>-50</v>
      </c>
      <c r="L165" s="17"/>
      <c r="M165" s="19">
        <f t="shared" si="12"/>
        <v>0</v>
      </c>
    </row>
    <row r="166" spans="1:13">
      <c r="A166" s="43"/>
      <c r="G166" s="5"/>
      <c r="H166" s="17">
        <v>161</v>
      </c>
      <c r="I166" s="18" t="str">
        <f t="shared" si="10"/>
        <v/>
      </c>
      <c r="J166" s="17">
        <f t="shared" si="13"/>
        <v>-5</v>
      </c>
      <c r="K166" s="17">
        <f t="shared" si="11"/>
        <v>-50</v>
      </c>
      <c r="L166" s="17"/>
      <c r="M166" s="19">
        <f t="shared" si="12"/>
        <v>0</v>
      </c>
    </row>
    <row r="167" spans="1:13">
      <c r="A167" s="43"/>
      <c r="G167" s="5"/>
      <c r="H167" s="17">
        <v>162</v>
      </c>
      <c r="I167" s="18" t="str">
        <f t="shared" si="10"/>
        <v/>
      </c>
      <c r="J167" s="17">
        <f t="shared" si="13"/>
        <v>-5</v>
      </c>
      <c r="K167" s="17">
        <f t="shared" si="11"/>
        <v>-50</v>
      </c>
      <c r="L167" s="17"/>
      <c r="M167" s="19">
        <f t="shared" si="12"/>
        <v>0</v>
      </c>
    </row>
    <row r="168" spans="1:13">
      <c r="A168" s="43"/>
      <c r="G168" s="5"/>
      <c r="H168" s="17">
        <v>163</v>
      </c>
      <c r="I168" s="18" t="str">
        <f t="shared" si="10"/>
        <v/>
      </c>
      <c r="J168" s="17">
        <f t="shared" si="13"/>
        <v>-5</v>
      </c>
      <c r="K168" s="17">
        <f t="shared" si="11"/>
        <v>-50</v>
      </c>
      <c r="L168" s="17"/>
      <c r="M168" s="19">
        <f t="shared" si="12"/>
        <v>0</v>
      </c>
    </row>
    <row r="169" spans="1:13">
      <c r="A169" s="43"/>
      <c r="G169" s="5"/>
      <c r="H169" s="17">
        <v>164</v>
      </c>
      <c r="I169" s="18" t="str">
        <f t="shared" si="10"/>
        <v/>
      </c>
      <c r="J169" s="17">
        <f t="shared" si="13"/>
        <v>-5</v>
      </c>
      <c r="K169" s="17">
        <f t="shared" si="11"/>
        <v>-50</v>
      </c>
      <c r="L169" s="17"/>
      <c r="M169" s="19">
        <f t="shared" si="12"/>
        <v>0</v>
      </c>
    </row>
    <row r="170" spans="1:13">
      <c r="A170" s="43"/>
      <c r="G170" s="5"/>
      <c r="H170" s="17">
        <v>165</v>
      </c>
      <c r="I170" s="18" t="str">
        <f t="shared" si="10"/>
        <v/>
      </c>
      <c r="J170" s="17">
        <f t="shared" si="13"/>
        <v>-5</v>
      </c>
      <c r="K170" s="17">
        <f t="shared" si="11"/>
        <v>-50</v>
      </c>
      <c r="L170" s="17"/>
      <c r="M170" s="19">
        <f t="shared" si="12"/>
        <v>0</v>
      </c>
    </row>
    <row r="171" spans="1:13">
      <c r="A171" s="43"/>
      <c r="G171" s="5"/>
      <c r="H171" s="17">
        <v>166</v>
      </c>
      <c r="I171" s="18" t="str">
        <f t="shared" si="10"/>
        <v/>
      </c>
      <c r="J171" s="17">
        <f t="shared" si="13"/>
        <v>-5</v>
      </c>
      <c r="K171" s="17">
        <f t="shared" si="11"/>
        <v>-50</v>
      </c>
      <c r="L171" s="17"/>
      <c r="M171" s="19">
        <f t="shared" si="12"/>
        <v>0</v>
      </c>
    </row>
    <row r="172" spans="1:13">
      <c r="A172" s="43"/>
      <c r="G172" s="5"/>
      <c r="H172" s="17">
        <v>167</v>
      </c>
      <c r="I172" s="18" t="str">
        <f t="shared" si="10"/>
        <v/>
      </c>
      <c r="J172" s="17">
        <f t="shared" si="13"/>
        <v>-5</v>
      </c>
      <c r="K172" s="17">
        <f t="shared" si="11"/>
        <v>-50</v>
      </c>
      <c r="L172" s="17"/>
      <c r="M172" s="19">
        <f t="shared" si="12"/>
        <v>0</v>
      </c>
    </row>
    <row r="173" spans="1:13">
      <c r="A173" s="43"/>
      <c r="G173" s="5"/>
      <c r="H173" s="17">
        <v>168</v>
      </c>
      <c r="I173" s="18" t="str">
        <f t="shared" si="10"/>
        <v/>
      </c>
      <c r="J173" s="17">
        <f t="shared" si="13"/>
        <v>-5</v>
      </c>
      <c r="K173" s="17">
        <f t="shared" si="11"/>
        <v>-50</v>
      </c>
      <c r="L173" s="17"/>
      <c r="M173" s="19">
        <f t="shared" si="12"/>
        <v>0</v>
      </c>
    </row>
    <row r="174" spans="1:13">
      <c r="A174" s="43"/>
      <c r="G174" s="5"/>
      <c r="H174" s="17">
        <v>169</v>
      </c>
      <c r="I174" s="18" t="str">
        <f t="shared" si="10"/>
        <v/>
      </c>
      <c r="J174" s="17">
        <f t="shared" si="13"/>
        <v>-5</v>
      </c>
      <c r="K174" s="17">
        <f t="shared" si="11"/>
        <v>-50</v>
      </c>
      <c r="L174" s="17"/>
      <c r="M174" s="19">
        <f t="shared" si="12"/>
        <v>0</v>
      </c>
    </row>
    <row r="175" spans="1:13">
      <c r="A175" s="43"/>
      <c r="G175" s="5"/>
      <c r="H175" s="17">
        <v>170</v>
      </c>
      <c r="I175" s="18" t="str">
        <f t="shared" si="10"/>
        <v/>
      </c>
      <c r="J175" s="17">
        <f t="shared" si="13"/>
        <v>-5</v>
      </c>
      <c r="K175" s="17">
        <f t="shared" si="11"/>
        <v>-50</v>
      </c>
      <c r="L175" s="17"/>
      <c r="M175" s="19">
        <f t="shared" si="12"/>
        <v>0</v>
      </c>
    </row>
    <row r="176" spans="1:13">
      <c r="A176" s="43"/>
      <c r="G176" s="5"/>
      <c r="H176" s="17">
        <v>171</v>
      </c>
      <c r="I176" s="18" t="str">
        <f t="shared" si="10"/>
        <v/>
      </c>
      <c r="J176" s="17">
        <f t="shared" si="13"/>
        <v>-5</v>
      </c>
      <c r="K176" s="17">
        <f t="shared" si="11"/>
        <v>-50</v>
      </c>
      <c r="L176" s="17"/>
      <c r="M176" s="19">
        <f t="shared" si="12"/>
        <v>0</v>
      </c>
    </row>
    <row r="177" spans="1:13">
      <c r="A177" s="43"/>
      <c r="G177" s="5"/>
      <c r="H177" s="17">
        <v>172</v>
      </c>
      <c r="I177" s="18" t="str">
        <f t="shared" si="10"/>
        <v/>
      </c>
      <c r="J177" s="17">
        <f t="shared" si="13"/>
        <v>-5</v>
      </c>
      <c r="K177" s="17">
        <f t="shared" si="11"/>
        <v>-50</v>
      </c>
      <c r="L177" s="17"/>
      <c r="M177" s="19">
        <f t="shared" si="12"/>
        <v>0</v>
      </c>
    </row>
    <row r="178" spans="1:13">
      <c r="A178" s="43"/>
      <c r="G178" s="5"/>
      <c r="H178" s="17">
        <v>173</v>
      </c>
      <c r="I178" s="18" t="str">
        <f t="shared" si="10"/>
        <v/>
      </c>
      <c r="J178" s="17">
        <f t="shared" si="13"/>
        <v>-5</v>
      </c>
      <c r="K178" s="17">
        <f t="shared" si="11"/>
        <v>-50</v>
      </c>
      <c r="L178" s="17"/>
      <c r="M178" s="19">
        <f t="shared" si="12"/>
        <v>0</v>
      </c>
    </row>
    <row r="179" spans="1:13">
      <c r="A179" s="43"/>
      <c r="G179" s="5"/>
      <c r="H179" s="17">
        <v>174</v>
      </c>
      <c r="I179" s="18" t="str">
        <f t="shared" si="10"/>
        <v/>
      </c>
      <c r="J179" s="17">
        <f t="shared" si="13"/>
        <v>-5</v>
      </c>
      <c r="K179" s="17">
        <f t="shared" si="11"/>
        <v>-50</v>
      </c>
      <c r="L179" s="17"/>
      <c r="M179" s="19">
        <f t="shared" si="12"/>
        <v>0</v>
      </c>
    </row>
    <row r="180" spans="1:13">
      <c r="A180" s="43"/>
      <c r="G180" s="5"/>
      <c r="H180" s="17">
        <v>175</v>
      </c>
      <c r="I180" s="18" t="str">
        <f t="shared" si="10"/>
        <v/>
      </c>
      <c r="J180" s="17">
        <f t="shared" si="13"/>
        <v>-5</v>
      </c>
      <c r="K180" s="17">
        <f t="shared" si="11"/>
        <v>-50</v>
      </c>
      <c r="L180" s="17"/>
      <c r="M180" s="19">
        <f t="shared" si="12"/>
        <v>0</v>
      </c>
    </row>
    <row r="181" spans="1:13">
      <c r="A181" s="43"/>
      <c r="G181" s="5"/>
      <c r="H181" s="17">
        <v>176</v>
      </c>
      <c r="I181" s="18" t="str">
        <f t="shared" si="10"/>
        <v/>
      </c>
      <c r="J181" s="17">
        <f t="shared" si="13"/>
        <v>-5</v>
      </c>
      <c r="K181" s="17">
        <f t="shared" si="11"/>
        <v>-50</v>
      </c>
      <c r="L181" s="17"/>
      <c r="M181" s="19">
        <f t="shared" si="12"/>
        <v>0</v>
      </c>
    </row>
    <row r="182" spans="1:13">
      <c r="A182" s="43"/>
      <c r="G182" s="5"/>
      <c r="H182" s="17">
        <v>177</v>
      </c>
      <c r="I182" s="18" t="str">
        <f t="shared" si="10"/>
        <v/>
      </c>
      <c r="J182" s="17">
        <f t="shared" si="13"/>
        <v>-5</v>
      </c>
      <c r="K182" s="17">
        <f t="shared" si="11"/>
        <v>-50</v>
      </c>
      <c r="L182" s="17"/>
      <c r="M182" s="19">
        <f t="shared" si="12"/>
        <v>0</v>
      </c>
    </row>
    <row r="183" spans="1:13">
      <c r="A183" s="43"/>
      <c r="G183" s="5"/>
      <c r="H183" s="17">
        <v>178</v>
      </c>
      <c r="I183" s="18" t="str">
        <f t="shared" si="10"/>
        <v/>
      </c>
      <c r="J183" s="17">
        <f t="shared" si="13"/>
        <v>-5</v>
      </c>
      <c r="K183" s="17">
        <f t="shared" si="11"/>
        <v>-50</v>
      </c>
      <c r="L183" s="17"/>
      <c r="M183" s="19">
        <f t="shared" si="12"/>
        <v>0</v>
      </c>
    </row>
    <row r="184" spans="1:13">
      <c r="A184" s="43"/>
      <c r="G184" s="5"/>
      <c r="H184" s="17">
        <v>179</v>
      </c>
      <c r="I184" s="18" t="str">
        <f t="shared" si="10"/>
        <v/>
      </c>
      <c r="J184" s="17">
        <f t="shared" si="13"/>
        <v>-5</v>
      </c>
      <c r="K184" s="17">
        <f t="shared" si="11"/>
        <v>-50</v>
      </c>
      <c r="L184" s="17"/>
      <c r="M184" s="19">
        <f t="shared" si="12"/>
        <v>0</v>
      </c>
    </row>
    <row r="185" spans="1:13">
      <c r="A185" s="43"/>
      <c r="G185" s="5"/>
      <c r="H185" s="17">
        <v>180</v>
      </c>
      <c r="I185" s="18" t="str">
        <f t="shared" si="10"/>
        <v/>
      </c>
      <c r="J185" s="17">
        <f t="shared" si="13"/>
        <v>-5</v>
      </c>
      <c r="K185" s="17">
        <f t="shared" si="11"/>
        <v>-50</v>
      </c>
      <c r="L185" s="17"/>
      <c r="M185" s="19">
        <f t="shared" si="12"/>
        <v>0</v>
      </c>
    </row>
    <row r="186" spans="1:13">
      <c r="A186" s="43"/>
      <c r="G186" s="5"/>
      <c r="H186" s="17">
        <v>181</v>
      </c>
      <c r="I186" s="18" t="str">
        <f t="shared" si="10"/>
        <v/>
      </c>
      <c r="J186" s="17">
        <f t="shared" si="13"/>
        <v>-5</v>
      </c>
      <c r="K186" s="17">
        <f t="shared" si="11"/>
        <v>-50</v>
      </c>
      <c r="L186" s="17"/>
      <c r="M186" s="19">
        <f t="shared" si="12"/>
        <v>0</v>
      </c>
    </row>
    <row r="187" spans="1:13">
      <c r="A187" s="43"/>
      <c r="G187" s="5"/>
      <c r="H187" s="17">
        <v>182</v>
      </c>
      <c r="I187" s="18" t="str">
        <f t="shared" si="10"/>
        <v/>
      </c>
      <c r="J187" s="17">
        <f t="shared" si="13"/>
        <v>-5</v>
      </c>
      <c r="K187" s="17">
        <f t="shared" si="11"/>
        <v>-50</v>
      </c>
      <c r="L187" s="17"/>
      <c r="M187" s="19">
        <f t="shared" si="12"/>
        <v>0</v>
      </c>
    </row>
    <row r="188" spans="1:13">
      <c r="A188" s="43"/>
      <c r="G188" s="5"/>
      <c r="H188" s="17">
        <v>183</v>
      </c>
      <c r="I188" s="18" t="str">
        <f t="shared" si="10"/>
        <v/>
      </c>
      <c r="J188" s="17">
        <f t="shared" si="13"/>
        <v>-5</v>
      </c>
      <c r="K188" s="17">
        <f t="shared" si="11"/>
        <v>-50</v>
      </c>
      <c r="L188" s="17"/>
      <c r="M188" s="19">
        <f t="shared" si="12"/>
        <v>0</v>
      </c>
    </row>
    <row r="189" spans="1:13">
      <c r="A189" s="43"/>
      <c r="G189" s="5"/>
      <c r="H189" s="17">
        <v>184</v>
      </c>
      <c r="I189" s="18" t="str">
        <f t="shared" si="10"/>
        <v/>
      </c>
      <c r="J189" s="17">
        <f t="shared" si="13"/>
        <v>-5</v>
      </c>
      <c r="K189" s="17">
        <f t="shared" si="11"/>
        <v>-50</v>
      </c>
      <c r="L189" s="17"/>
      <c r="M189" s="19">
        <f t="shared" si="12"/>
        <v>0</v>
      </c>
    </row>
    <row r="190" spans="1:13">
      <c r="A190" s="43"/>
      <c r="G190" s="5"/>
      <c r="H190" s="17">
        <v>185</v>
      </c>
      <c r="I190" s="18" t="str">
        <f t="shared" si="10"/>
        <v/>
      </c>
      <c r="J190" s="17">
        <f t="shared" si="13"/>
        <v>-5</v>
      </c>
      <c r="K190" s="17">
        <f t="shared" si="11"/>
        <v>-50</v>
      </c>
      <c r="L190" s="17"/>
      <c r="M190" s="19">
        <f t="shared" si="12"/>
        <v>0</v>
      </c>
    </row>
    <row r="191" spans="1:13">
      <c r="A191" s="43"/>
      <c r="G191" s="5"/>
      <c r="H191" s="17">
        <v>186</v>
      </c>
      <c r="I191" s="18" t="str">
        <f t="shared" si="10"/>
        <v/>
      </c>
      <c r="J191" s="17">
        <f t="shared" si="13"/>
        <v>-5</v>
      </c>
      <c r="K191" s="17">
        <f t="shared" si="11"/>
        <v>-50</v>
      </c>
      <c r="L191" s="17"/>
      <c r="M191" s="19">
        <f t="shared" si="12"/>
        <v>0</v>
      </c>
    </row>
    <row r="192" spans="1:13">
      <c r="A192" s="43"/>
      <c r="G192" s="5"/>
      <c r="H192" s="17">
        <v>187</v>
      </c>
      <c r="I192" s="18" t="str">
        <f t="shared" si="10"/>
        <v/>
      </c>
      <c r="J192" s="17">
        <f t="shared" si="13"/>
        <v>-5</v>
      </c>
      <c r="K192" s="17">
        <f t="shared" si="11"/>
        <v>-50</v>
      </c>
      <c r="L192" s="17"/>
      <c r="M192" s="19">
        <f t="shared" si="12"/>
        <v>0</v>
      </c>
    </row>
    <row r="193" spans="1:13">
      <c r="A193" s="43"/>
      <c r="G193" s="5"/>
      <c r="H193" s="17">
        <v>188</v>
      </c>
      <c r="I193" s="18" t="str">
        <f t="shared" si="10"/>
        <v/>
      </c>
      <c r="J193" s="17">
        <f t="shared" si="13"/>
        <v>-5</v>
      </c>
      <c r="K193" s="17">
        <f t="shared" si="11"/>
        <v>-50</v>
      </c>
      <c r="L193" s="17"/>
      <c r="M193" s="19">
        <f t="shared" si="12"/>
        <v>0</v>
      </c>
    </row>
    <row r="194" spans="1:13">
      <c r="A194" s="43"/>
      <c r="G194" s="5"/>
      <c r="H194" s="17">
        <v>189</v>
      </c>
      <c r="I194" s="18" t="str">
        <f t="shared" si="10"/>
        <v/>
      </c>
      <c r="J194" s="17">
        <f t="shared" si="13"/>
        <v>-5</v>
      </c>
      <c r="K194" s="17">
        <f t="shared" si="11"/>
        <v>-50</v>
      </c>
      <c r="L194" s="17"/>
      <c r="M194" s="19">
        <f t="shared" si="12"/>
        <v>0</v>
      </c>
    </row>
    <row r="195" spans="1:13">
      <c r="A195" s="43"/>
      <c r="G195" s="5"/>
      <c r="H195" s="17">
        <v>190</v>
      </c>
      <c r="I195" s="18" t="str">
        <f t="shared" si="10"/>
        <v/>
      </c>
      <c r="J195" s="17">
        <f t="shared" si="13"/>
        <v>-5</v>
      </c>
      <c r="K195" s="17">
        <f t="shared" si="11"/>
        <v>-50</v>
      </c>
      <c r="L195" s="17"/>
      <c r="M195" s="19">
        <f t="shared" si="12"/>
        <v>0</v>
      </c>
    </row>
    <row r="196" spans="1:13">
      <c r="A196" s="43"/>
      <c r="G196" s="5"/>
      <c r="H196" s="17">
        <v>191</v>
      </c>
      <c r="I196" s="18" t="str">
        <f t="shared" si="10"/>
        <v/>
      </c>
      <c r="J196" s="17">
        <f t="shared" si="13"/>
        <v>-5</v>
      </c>
      <c r="K196" s="17">
        <f t="shared" si="11"/>
        <v>-50</v>
      </c>
      <c r="L196" s="17"/>
      <c r="M196" s="19">
        <f t="shared" si="12"/>
        <v>0</v>
      </c>
    </row>
    <row r="197" spans="1:13">
      <c r="A197" s="43"/>
      <c r="G197" s="5"/>
      <c r="H197" s="17">
        <v>192</v>
      </c>
      <c r="I197" s="18" t="str">
        <f t="shared" si="10"/>
        <v/>
      </c>
      <c r="J197" s="17">
        <f t="shared" si="13"/>
        <v>-5</v>
      </c>
      <c r="K197" s="17">
        <f t="shared" si="11"/>
        <v>-50</v>
      </c>
      <c r="L197" s="17"/>
      <c r="M197" s="19">
        <f t="shared" si="12"/>
        <v>0</v>
      </c>
    </row>
    <row r="198" spans="1:13">
      <c r="A198" s="43"/>
      <c r="G198" s="5"/>
      <c r="H198" s="17">
        <v>193</v>
      </c>
      <c r="I198" s="18" t="str">
        <f t="shared" ref="I198:I261" si="14">IF(H198&lt;$H$2+1,($I$2-($I$2-1)*(LOG(H198)/LOG($H$2))),"")</f>
        <v/>
      </c>
      <c r="J198" s="17">
        <f t="shared" si="13"/>
        <v>-5</v>
      </c>
      <c r="K198" s="17">
        <f t="shared" ref="K198:K261" si="15">J198*$J$2</f>
        <v>-50</v>
      </c>
      <c r="L198" s="17"/>
      <c r="M198" s="19">
        <f t="shared" ref="M198:M261" si="16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4"/>
        <v/>
      </c>
      <c r="J199" s="17">
        <f t="shared" ref="J199:J262" si="17">INT(LOG($H$2,2))-ROUNDUP(LOG(H199,2),0)+IF(OR($H$2=1,$H$2=2,$H$2=4,$H$2=8,$H$2=16,$H$2=32,$H$2=64,$H$2=128,$H$2=256),0,1)</f>
        <v>-5</v>
      </c>
      <c r="K199" s="17">
        <f t="shared" si="15"/>
        <v>-50</v>
      </c>
      <c r="L199" s="17"/>
      <c r="M199" s="19">
        <f t="shared" si="16"/>
        <v>0</v>
      </c>
    </row>
    <row r="200" spans="1:13">
      <c r="A200" s="43"/>
      <c r="G200" s="5"/>
      <c r="H200" s="17">
        <v>195</v>
      </c>
      <c r="I200" s="18" t="str">
        <f t="shared" si="14"/>
        <v/>
      </c>
      <c r="J200" s="17">
        <f t="shared" si="17"/>
        <v>-5</v>
      </c>
      <c r="K200" s="17">
        <f t="shared" si="15"/>
        <v>-50</v>
      </c>
      <c r="L200" s="17"/>
      <c r="M200" s="19">
        <f t="shared" si="16"/>
        <v>0</v>
      </c>
    </row>
    <row r="201" spans="1:13">
      <c r="A201" s="43"/>
      <c r="G201" s="5"/>
      <c r="H201" s="17">
        <v>196</v>
      </c>
      <c r="I201" s="18" t="str">
        <f t="shared" si="14"/>
        <v/>
      </c>
      <c r="J201" s="17">
        <f t="shared" si="17"/>
        <v>-5</v>
      </c>
      <c r="K201" s="17">
        <f t="shared" si="15"/>
        <v>-50</v>
      </c>
      <c r="L201" s="17"/>
      <c r="M201" s="19">
        <f t="shared" si="16"/>
        <v>0</v>
      </c>
    </row>
    <row r="202" spans="1:13">
      <c r="A202" s="43"/>
      <c r="G202" s="5"/>
      <c r="H202" s="17">
        <v>197</v>
      </c>
      <c r="I202" s="18" t="str">
        <f t="shared" si="14"/>
        <v/>
      </c>
      <c r="J202" s="17">
        <f t="shared" si="17"/>
        <v>-5</v>
      </c>
      <c r="K202" s="17">
        <f t="shared" si="15"/>
        <v>-50</v>
      </c>
      <c r="L202" s="17"/>
      <c r="M202" s="19">
        <f t="shared" si="16"/>
        <v>0</v>
      </c>
    </row>
    <row r="203" spans="1:13">
      <c r="A203" s="43"/>
      <c r="G203" s="5"/>
      <c r="H203" s="17">
        <v>198</v>
      </c>
      <c r="I203" s="18" t="str">
        <f t="shared" si="14"/>
        <v/>
      </c>
      <c r="J203" s="17">
        <f t="shared" si="17"/>
        <v>-5</v>
      </c>
      <c r="K203" s="17">
        <f t="shared" si="15"/>
        <v>-50</v>
      </c>
      <c r="L203" s="17"/>
      <c r="M203" s="19">
        <f t="shared" si="16"/>
        <v>0</v>
      </c>
    </row>
    <row r="204" spans="1:13">
      <c r="A204" s="43"/>
      <c r="G204" s="5"/>
      <c r="H204" s="17">
        <v>199</v>
      </c>
      <c r="I204" s="18" t="str">
        <f t="shared" si="14"/>
        <v/>
      </c>
      <c r="J204" s="17">
        <f t="shared" si="17"/>
        <v>-5</v>
      </c>
      <c r="K204" s="17">
        <f t="shared" si="15"/>
        <v>-50</v>
      </c>
      <c r="L204" s="17"/>
      <c r="M204" s="19">
        <f t="shared" si="16"/>
        <v>0</v>
      </c>
    </row>
    <row r="205" spans="1:13">
      <c r="A205" s="43"/>
      <c r="G205" s="5"/>
      <c r="H205" s="17">
        <v>200</v>
      </c>
      <c r="I205" s="18" t="str">
        <f t="shared" si="14"/>
        <v/>
      </c>
      <c r="J205" s="17">
        <f t="shared" si="17"/>
        <v>-5</v>
      </c>
      <c r="K205" s="17">
        <f t="shared" si="15"/>
        <v>-50</v>
      </c>
      <c r="L205" s="17"/>
      <c r="M205" s="19">
        <f t="shared" si="16"/>
        <v>0</v>
      </c>
    </row>
    <row r="206" spans="1:13">
      <c r="A206" s="43"/>
      <c r="G206" s="5"/>
      <c r="H206" s="17">
        <v>201</v>
      </c>
      <c r="I206" s="18" t="str">
        <f t="shared" si="14"/>
        <v/>
      </c>
      <c r="J206" s="17">
        <f t="shared" si="17"/>
        <v>-5</v>
      </c>
      <c r="K206" s="17">
        <f t="shared" si="15"/>
        <v>-50</v>
      </c>
      <c r="L206" s="17"/>
      <c r="M206" s="19">
        <f t="shared" si="16"/>
        <v>0</v>
      </c>
    </row>
    <row r="207" spans="1:13">
      <c r="A207" s="43"/>
      <c r="G207" s="5"/>
      <c r="H207" s="17">
        <v>202</v>
      </c>
      <c r="I207" s="18" t="str">
        <f t="shared" si="14"/>
        <v/>
      </c>
      <c r="J207" s="17">
        <f t="shared" si="17"/>
        <v>-5</v>
      </c>
      <c r="K207" s="17">
        <f t="shared" si="15"/>
        <v>-50</v>
      </c>
      <c r="L207" s="17"/>
      <c r="M207" s="19">
        <f t="shared" si="16"/>
        <v>0</v>
      </c>
    </row>
    <row r="208" spans="1:13">
      <c r="A208" s="43"/>
      <c r="G208" s="5"/>
      <c r="H208" s="17">
        <v>203</v>
      </c>
      <c r="I208" s="18" t="str">
        <f t="shared" si="14"/>
        <v/>
      </c>
      <c r="J208" s="17">
        <f t="shared" si="17"/>
        <v>-5</v>
      </c>
      <c r="K208" s="17">
        <f t="shared" si="15"/>
        <v>-50</v>
      </c>
      <c r="L208" s="17"/>
      <c r="M208" s="19">
        <f t="shared" si="16"/>
        <v>0</v>
      </c>
    </row>
    <row r="209" spans="1:13">
      <c r="A209" s="43"/>
      <c r="G209" s="5"/>
      <c r="H209" s="17">
        <v>204</v>
      </c>
      <c r="I209" s="18" t="str">
        <f t="shared" si="14"/>
        <v/>
      </c>
      <c r="J209" s="17">
        <f t="shared" si="17"/>
        <v>-5</v>
      </c>
      <c r="K209" s="17">
        <f t="shared" si="15"/>
        <v>-50</v>
      </c>
      <c r="L209" s="17"/>
      <c r="M209" s="19">
        <f t="shared" si="16"/>
        <v>0</v>
      </c>
    </row>
    <row r="210" spans="1:13">
      <c r="A210" s="43"/>
      <c r="G210" s="5"/>
      <c r="H210" s="17">
        <v>205</v>
      </c>
      <c r="I210" s="18" t="str">
        <f t="shared" si="14"/>
        <v/>
      </c>
      <c r="J210" s="17">
        <f t="shared" si="17"/>
        <v>-5</v>
      </c>
      <c r="K210" s="17">
        <f t="shared" si="15"/>
        <v>-50</v>
      </c>
      <c r="L210" s="17"/>
      <c r="M210" s="19">
        <f t="shared" si="16"/>
        <v>0</v>
      </c>
    </row>
    <row r="211" spans="1:13">
      <c r="A211" s="43"/>
      <c r="G211" s="5"/>
      <c r="H211" s="17">
        <v>206</v>
      </c>
      <c r="I211" s="18" t="str">
        <f t="shared" si="14"/>
        <v/>
      </c>
      <c r="J211" s="17">
        <f t="shared" si="17"/>
        <v>-5</v>
      </c>
      <c r="K211" s="17">
        <f t="shared" si="15"/>
        <v>-50</v>
      </c>
      <c r="L211" s="17"/>
      <c r="M211" s="19">
        <f t="shared" si="16"/>
        <v>0</v>
      </c>
    </row>
    <row r="212" spans="1:13">
      <c r="A212" s="43"/>
      <c r="G212" s="5"/>
      <c r="H212" s="17">
        <v>207</v>
      </c>
      <c r="I212" s="18" t="str">
        <f t="shared" si="14"/>
        <v/>
      </c>
      <c r="J212" s="17">
        <f t="shared" si="17"/>
        <v>-5</v>
      </c>
      <c r="K212" s="17">
        <f t="shared" si="15"/>
        <v>-50</v>
      </c>
      <c r="L212" s="17"/>
      <c r="M212" s="19">
        <f t="shared" si="16"/>
        <v>0</v>
      </c>
    </row>
    <row r="213" spans="1:13">
      <c r="A213" s="43"/>
      <c r="G213" s="5"/>
      <c r="H213" s="17">
        <v>208</v>
      </c>
      <c r="I213" s="18" t="str">
        <f t="shared" si="14"/>
        <v/>
      </c>
      <c r="J213" s="17">
        <f t="shared" si="17"/>
        <v>-5</v>
      </c>
      <c r="K213" s="17">
        <f t="shared" si="15"/>
        <v>-50</v>
      </c>
      <c r="L213" s="17"/>
      <c r="M213" s="19">
        <f t="shared" si="16"/>
        <v>0</v>
      </c>
    </row>
    <row r="214" spans="1:13">
      <c r="A214" s="43"/>
      <c r="G214" s="5"/>
      <c r="H214" s="17">
        <v>209</v>
      </c>
      <c r="I214" s="18" t="str">
        <f t="shared" si="14"/>
        <v/>
      </c>
      <c r="J214" s="17">
        <f t="shared" si="17"/>
        <v>-5</v>
      </c>
      <c r="K214" s="17">
        <f t="shared" si="15"/>
        <v>-50</v>
      </c>
      <c r="L214" s="17"/>
      <c r="M214" s="19">
        <f t="shared" si="16"/>
        <v>0</v>
      </c>
    </row>
    <row r="215" spans="1:13">
      <c r="A215" s="43"/>
      <c r="G215" s="5"/>
      <c r="H215" s="17">
        <v>210</v>
      </c>
      <c r="I215" s="18" t="str">
        <f t="shared" si="14"/>
        <v/>
      </c>
      <c r="J215" s="17">
        <f t="shared" si="17"/>
        <v>-5</v>
      </c>
      <c r="K215" s="17">
        <f t="shared" si="15"/>
        <v>-50</v>
      </c>
      <c r="L215" s="17"/>
      <c r="M215" s="19">
        <f t="shared" si="16"/>
        <v>0</v>
      </c>
    </row>
    <row r="216" spans="1:13">
      <c r="A216" s="43"/>
      <c r="G216" s="5"/>
      <c r="H216" s="17">
        <v>211</v>
      </c>
      <c r="I216" s="18" t="str">
        <f t="shared" si="14"/>
        <v/>
      </c>
      <c r="J216" s="17">
        <f t="shared" si="17"/>
        <v>-5</v>
      </c>
      <c r="K216" s="17">
        <f t="shared" si="15"/>
        <v>-50</v>
      </c>
      <c r="L216" s="17"/>
      <c r="M216" s="19">
        <f t="shared" si="16"/>
        <v>0</v>
      </c>
    </row>
    <row r="217" spans="1:13">
      <c r="A217" s="43"/>
      <c r="G217" s="5"/>
      <c r="H217" s="17">
        <v>212</v>
      </c>
      <c r="I217" s="18" t="str">
        <f t="shared" si="14"/>
        <v/>
      </c>
      <c r="J217" s="17">
        <f t="shared" si="17"/>
        <v>-5</v>
      </c>
      <c r="K217" s="17">
        <f t="shared" si="15"/>
        <v>-50</v>
      </c>
      <c r="L217" s="17"/>
      <c r="M217" s="19">
        <f t="shared" si="16"/>
        <v>0</v>
      </c>
    </row>
    <row r="218" spans="1:13">
      <c r="A218" s="43"/>
      <c r="G218" s="5"/>
      <c r="H218" s="17">
        <v>213</v>
      </c>
      <c r="I218" s="18" t="str">
        <f t="shared" si="14"/>
        <v/>
      </c>
      <c r="J218" s="17">
        <f t="shared" si="17"/>
        <v>-5</v>
      </c>
      <c r="K218" s="17">
        <f t="shared" si="15"/>
        <v>-50</v>
      </c>
      <c r="L218" s="17"/>
      <c r="M218" s="19">
        <f t="shared" si="16"/>
        <v>0</v>
      </c>
    </row>
    <row r="219" spans="1:13">
      <c r="A219" s="43"/>
      <c r="G219" s="5"/>
      <c r="H219" s="17">
        <v>214</v>
      </c>
      <c r="I219" s="18" t="str">
        <f t="shared" si="14"/>
        <v/>
      </c>
      <c r="J219" s="17">
        <f t="shared" si="17"/>
        <v>-5</v>
      </c>
      <c r="K219" s="17">
        <f t="shared" si="15"/>
        <v>-50</v>
      </c>
      <c r="L219" s="17"/>
      <c r="M219" s="19">
        <f t="shared" si="16"/>
        <v>0</v>
      </c>
    </row>
    <row r="220" spans="1:13">
      <c r="A220" s="43"/>
      <c r="G220" s="5"/>
      <c r="H220" s="17">
        <v>215</v>
      </c>
      <c r="I220" s="18" t="str">
        <f t="shared" si="14"/>
        <v/>
      </c>
      <c r="J220" s="17">
        <f t="shared" si="17"/>
        <v>-5</v>
      </c>
      <c r="K220" s="17">
        <f t="shared" si="15"/>
        <v>-50</v>
      </c>
      <c r="L220" s="17"/>
      <c r="M220" s="19">
        <f t="shared" si="16"/>
        <v>0</v>
      </c>
    </row>
    <row r="221" spans="1:13">
      <c r="A221" s="43"/>
      <c r="G221" s="5"/>
      <c r="H221" s="17">
        <v>216</v>
      </c>
      <c r="I221" s="18" t="str">
        <f t="shared" si="14"/>
        <v/>
      </c>
      <c r="J221" s="17">
        <f t="shared" si="17"/>
        <v>-5</v>
      </c>
      <c r="K221" s="17">
        <f t="shared" si="15"/>
        <v>-50</v>
      </c>
      <c r="L221" s="17"/>
      <c r="M221" s="19">
        <f t="shared" si="16"/>
        <v>0</v>
      </c>
    </row>
    <row r="222" spans="1:13">
      <c r="A222" s="43"/>
      <c r="G222" s="5"/>
      <c r="H222" s="17">
        <v>217</v>
      </c>
      <c r="I222" s="18" t="str">
        <f t="shared" si="14"/>
        <v/>
      </c>
      <c r="J222" s="17">
        <f t="shared" si="17"/>
        <v>-5</v>
      </c>
      <c r="K222" s="17">
        <f t="shared" si="15"/>
        <v>-50</v>
      </c>
      <c r="L222" s="17"/>
      <c r="M222" s="19">
        <f t="shared" si="16"/>
        <v>0</v>
      </c>
    </row>
    <row r="223" spans="1:13">
      <c r="A223" s="43"/>
      <c r="G223" s="5"/>
      <c r="H223" s="17">
        <v>218</v>
      </c>
      <c r="I223" s="18" t="str">
        <f t="shared" si="14"/>
        <v/>
      </c>
      <c r="J223" s="17">
        <f t="shared" si="17"/>
        <v>-5</v>
      </c>
      <c r="K223" s="17">
        <f t="shared" si="15"/>
        <v>-50</v>
      </c>
      <c r="L223" s="17"/>
      <c r="M223" s="19">
        <f t="shared" si="16"/>
        <v>0</v>
      </c>
    </row>
    <row r="224" spans="1:13">
      <c r="A224" s="43"/>
      <c r="G224" s="5"/>
      <c r="H224" s="17">
        <v>219</v>
      </c>
      <c r="I224" s="18" t="str">
        <f t="shared" si="14"/>
        <v/>
      </c>
      <c r="J224" s="17">
        <f t="shared" si="17"/>
        <v>-5</v>
      </c>
      <c r="K224" s="17">
        <f t="shared" si="15"/>
        <v>-50</v>
      </c>
      <c r="L224" s="17"/>
      <c r="M224" s="19">
        <f t="shared" si="16"/>
        <v>0</v>
      </c>
    </row>
    <row r="225" spans="1:13">
      <c r="A225" s="43"/>
      <c r="G225" s="5"/>
      <c r="H225" s="17">
        <v>220</v>
      </c>
      <c r="I225" s="18" t="str">
        <f t="shared" si="14"/>
        <v/>
      </c>
      <c r="J225" s="17">
        <f t="shared" si="17"/>
        <v>-5</v>
      </c>
      <c r="K225" s="17">
        <f t="shared" si="15"/>
        <v>-50</v>
      </c>
      <c r="L225" s="17"/>
      <c r="M225" s="19">
        <f t="shared" si="16"/>
        <v>0</v>
      </c>
    </row>
    <row r="226" spans="1:13">
      <c r="A226" s="43"/>
      <c r="G226" s="5"/>
      <c r="H226" s="17">
        <v>221</v>
      </c>
      <c r="I226" s="18" t="str">
        <f t="shared" si="14"/>
        <v/>
      </c>
      <c r="J226" s="17">
        <f t="shared" si="17"/>
        <v>-5</v>
      </c>
      <c r="K226" s="17">
        <f t="shared" si="15"/>
        <v>-50</v>
      </c>
      <c r="L226" s="17"/>
      <c r="M226" s="19">
        <f t="shared" si="16"/>
        <v>0</v>
      </c>
    </row>
    <row r="227" spans="1:13">
      <c r="A227" s="43"/>
      <c r="G227" s="5"/>
      <c r="H227" s="17">
        <v>222</v>
      </c>
      <c r="I227" s="18" t="str">
        <f t="shared" si="14"/>
        <v/>
      </c>
      <c r="J227" s="17">
        <f t="shared" si="17"/>
        <v>-5</v>
      </c>
      <c r="K227" s="17">
        <f t="shared" si="15"/>
        <v>-50</v>
      </c>
      <c r="L227" s="17"/>
      <c r="M227" s="19">
        <f t="shared" si="16"/>
        <v>0</v>
      </c>
    </row>
    <row r="228" spans="1:13">
      <c r="A228" s="43"/>
      <c r="G228" s="5"/>
      <c r="H228" s="17">
        <v>223</v>
      </c>
      <c r="I228" s="18" t="str">
        <f t="shared" si="14"/>
        <v/>
      </c>
      <c r="J228" s="17">
        <f t="shared" si="17"/>
        <v>-5</v>
      </c>
      <c r="K228" s="17">
        <f t="shared" si="15"/>
        <v>-50</v>
      </c>
      <c r="L228" s="17"/>
      <c r="M228" s="19">
        <f t="shared" si="16"/>
        <v>0</v>
      </c>
    </row>
    <row r="229" spans="1:13">
      <c r="A229" s="43"/>
      <c r="G229" s="5"/>
      <c r="H229" s="17">
        <v>224</v>
      </c>
      <c r="I229" s="18" t="str">
        <f t="shared" si="14"/>
        <v/>
      </c>
      <c r="J229" s="17">
        <f t="shared" si="17"/>
        <v>-5</v>
      </c>
      <c r="K229" s="17">
        <f t="shared" si="15"/>
        <v>-50</v>
      </c>
      <c r="L229" s="17"/>
      <c r="M229" s="19">
        <f t="shared" si="16"/>
        <v>0</v>
      </c>
    </row>
    <row r="230" spans="1:13">
      <c r="A230" s="43"/>
      <c r="G230" s="5"/>
      <c r="H230" s="17">
        <v>225</v>
      </c>
      <c r="I230" s="18" t="str">
        <f t="shared" si="14"/>
        <v/>
      </c>
      <c r="J230" s="17">
        <f t="shared" si="17"/>
        <v>-5</v>
      </c>
      <c r="K230" s="17">
        <f t="shared" si="15"/>
        <v>-50</v>
      </c>
      <c r="L230" s="17"/>
      <c r="M230" s="19">
        <f t="shared" si="16"/>
        <v>0</v>
      </c>
    </row>
    <row r="231" spans="1:13">
      <c r="A231" s="43"/>
      <c r="G231" s="5"/>
      <c r="H231" s="17">
        <v>226</v>
      </c>
      <c r="I231" s="18" t="str">
        <f t="shared" si="14"/>
        <v/>
      </c>
      <c r="J231" s="17">
        <f t="shared" si="17"/>
        <v>-5</v>
      </c>
      <c r="K231" s="17">
        <f t="shared" si="15"/>
        <v>-50</v>
      </c>
      <c r="L231" s="17"/>
      <c r="M231" s="19">
        <f t="shared" si="16"/>
        <v>0</v>
      </c>
    </row>
    <row r="232" spans="1:13">
      <c r="A232" s="43"/>
      <c r="G232" s="5"/>
      <c r="H232" s="17">
        <v>227</v>
      </c>
      <c r="I232" s="18" t="str">
        <f t="shared" si="14"/>
        <v/>
      </c>
      <c r="J232" s="17">
        <f t="shared" si="17"/>
        <v>-5</v>
      </c>
      <c r="K232" s="17">
        <f t="shared" si="15"/>
        <v>-50</v>
      </c>
      <c r="L232" s="17"/>
      <c r="M232" s="19">
        <f t="shared" si="16"/>
        <v>0</v>
      </c>
    </row>
    <row r="233" spans="1:13">
      <c r="A233" s="43"/>
      <c r="G233" s="5"/>
      <c r="H233" s="17">
        <v>228</v>
      </c>
      <c r="I233" s="18" t="str">
        <f t="shared" si="14"/>
        <v/>
      </c>
      <c r="J233" s="17">
        <f t="shared" si="17"/>
        <v>-5</v>
      </c>
      <c r="K233" s="17">
        <f t="shared" si="15"/>
        <v>-50</v>
      </c>
      <c r="L233" s="17"/>
      <c r="M233" s="19">
        <f t="shared" si="16"/>
        <v>0</v>
      </c>
    </row>
    <row r="234" spans="1:13">
      <c r="A234" s="43"/>
      <c r="G234" s="5"/>
      <c r="H234" s="17">
        <v>229</v>
      </c>
      <c r="I234" s="18" t="str">
        <f t="shared" si="14"/>
        <v/>
      </c>
      <c r="J234" s="17">
        <f t="shared" si="17"/>
        <v>-5</v>
      </c>
      <c r="K234" s="17">
        <f t="shared" si="15"/>
        <v>-50</v>
      </c>
      <c r="L234" s="17"/>
      <c r="M234" s="19">
        <f t="shared" si="16"/>
        <v>0</v>
      </c>
    </row>
    <row r="235" spans="1:13">
      <c r="A235" s="43"/>
      <c r="G235" s="5"/>
      <c r="H235" s="17">
        <v>230</v>
      </c>
      <c r="I235" s="18" t="str">
        <f t="shared" si="14"/>
        <v/>
      </c>
      <c r="J235" s="17">
        <f t="shared" si="17"/>
        <v>-5</v>
      </c>
      <c r="K235" s="17">
        <f t="shared" si="15"/>
        <v>-50</v>
      </c>
      <c r="L235" s="17"/>
      <c r="M235" s="19">
        <f t="shared" si="16"/>
        <v>0</v>
      </c>
    </row>
    <row r="236" spans="1:13">
      <c r="A236" s="43"/>
      <c r="G236" s="5"/>
      <c r="H236" s="17">
        <v>231</v>
      </c>
      <c r="I236" s="18" t="str">
        <f t="shared" si="14"/>
        <v/>
      </c>
      <c r="J236" s="17">
        <f t="shared" si="17"/>
        <v>-5</v>
      </c>
      <c r="K236" s="17">
        <f t="shared" si="15"/>
        <v>-50</v>
      </c>
      <c r="L236" s="17"/>
      <c r="M236" s="19">
        <f t="shared" si="16"/>
        <v>0</v>
      </c>
    </row>
    <row r="237" spans="1:13">
      <c r="A237" s="43"/>
      <c r="G237" s="5"/>
      <c r="H237" s="17">
        <v>232</v>
      </c>
      <c r="I237" s="18" t="str">
        <f t="shared" si="14"/>
        <v/>
      </c>
      <c r="J237" s="17">
        <f t="shared" si="17"/>
        <v>-5</v>
      </c>
      <c r="K237" s="17">
        <f t="shared" si="15"/>
        <v>-50</v>
      </c>
      <c r="L237" s="17"/>
      <c r="M237" s="19">
        <f t="shared" si="16"/>
        <v>0</v>
      </c>
    </row>
    <row r="238" spans="1:13">
      <c r="A238" s="43"/>
      <c r="G238" s="5"/>
      <c r="H238" s="17">
        <v>233</v>
      </c>
      <c r="I238" s="18" t="str">
        <f t="shared" si="14"/>
        <v/>
      </c>
      <c r="J238" s="17">
        <f t="shared" si="17"/>
        <v>-5</v>
      </c>
      <c r="K238" s="17">
        <f t="shared" si="15"/>
        <v>-50</v>
      </c>
      <c r="L238" s="17"/>
      <c r="M238" s="19">
        <f t="shared" si="16"/>
        <v>0</v>
      </c>
    </row>
    <row r="239" spans="1:13">
      <c r="A239" s="43"/>
      <c r="G239" s="5"/>
      <c r="H239" s="17">
        <v>234</v>
      </c>
      <c r="I239" s="18" t="str">
        <f t="shared" si="14"/>
        <v/>
      </c>
      <c r="J239" s="17">
        <f t="shared" si="17"/>
        <v>-5</v>
      </c>
      <c r="K239" s="17">
        <f t="shared" si="15"/>
        <v>-50</v>
      </c>
      <c r="L239" s="17"/>
      <c r="M239" s="19">
        <f t="shared" si="16"/>
        <v>0</v>
      </c>
    </row>
    <row r="240" spans="1:13">
      <c r="A240" s="43"/>
      <c r="G240" s="5"/>
      <c r="H240" s="17">
        <v>235</v>
      </c>
      <c r="I240" s="18" t="str">
        <f t="shared" si="14"/>
        <v/>
      </c>
      <c r="J240" s="17">
        <f t="shared" si="17"/>
        <v>-5</v>
      </c>
      <c r="K240" s="17">
        <f t="shared" si="15"/>
        <v>-50</v>
      </c>
      <c r="L240" s="17"/>
      <c r="M240" s="19">
        <f t="shared" si="16"/>
        <v>0</v>
      </c>
    </row>
    <row r="241" spans="1:13">
      <c r="A241" s="43"/>
      <c r="G241" s="5"/>
      <c r="H241" s="17">
        <v>236</v>
      </c>
      <c r="I241" s="18" t="str">
        <f t="shared" si="14"/>
        <v/>
      </c>
      <c r="J241" s="17">
        <f t="shared" si="17"/>
        <v>-5</v>
      </c>
      <c r="K241" s="17">
        <f t="shared" si="15"/>
        <v>-50</v>
      </c>
      <c r="L241" s="17"/>
      <c r="M241" s="19">
        <f t="shared" si="16"/>
        <v>0</v>
      </c>
    </row>
    <row r="242" spans="1:13">
      <c r="A242" s="43"/>
      <c r="G242" s="5"/>
      <c r="H242" s="17">
        <v>237</v>
      </c>
      <c r="I242" s="18" t="str">
        <f t="shared" si="14"/>
        <v/>
      </c>
      <c r="J242" s="17">
        <f t="shared" si="17"/>
        <v>-5</v>
      </c>
      <c r="K242" s="17">
        <f t="shared" si="15"/>
        <v>-50</v>
      </c>
      <c r="L242" s="17"/>
      <c r="M242" s="19">
        <f t="shared" si="16"/>
        <v>0</v>
      </c>
    </row>
    <row r="243" spans="1:13">
      <c r="A243" s="43"/>
      <c r="G243" s="5"/>
      <c r="H243" s="17">
        <v>238</v>
      </c>
      <c r="I243" s="18" t="str">
        <f t="shared" si="14"/>
        <v/>
      </c>
      <c r="J243" s="17">
        <f t="shared" si="17"/>
        <v>-5</v>
      </c>
      <c r="K243" s="17">
        <f t="shared" si="15"/>
        <v>-50</v>
      </c>
      <c r="L243" s="17"/>
      <c r="M243" s="19">
        <f t="shared" si="16"/>
        <v>0</v>
      </c>
    </row>
    <row r="244" spans="1:13">
      <c r="A244" s="43"/>
      <c r="G244" s="5"/>
      <c r="H244" s="17">
        <v>239</v>
      </c>
      <c r="I244" s="18" t="str">
        <f t="shared" si="14"/>
        <v/>
      </c>
      <c r="J244" s="17">
        <f t="shared" si="17"/>
        <v>-5</v>
      </c>
      <c r="K244" s="17">
        <f t="shared" si="15"/>
        <v>-50</v>
      </c>
      <c r="L244" s="17"/>
      <c r="M244" s="19">
        <f t="shared" si="16"/>
        <v>0</v>
      </c>
    </row>
    <row r="245" spans="1:13">
      <c r="A245" s="43"/>
      <c r="G245" s="5"/>
      <c r="H245" s="17">
        <v>240</v>
      </c>
      <c r="I245" s="18" t="str">
        <f t="shared" si="14"/>
        <v/>
      </c>
      <c r="J245" s="17">
        <f t="shared" si="17"/>
        <v>-5</v>
      </c>
      <c r="K245" s="17">
        <f t="shared" si="15"/>
        <v>-50</v>
      </c>
      <c r="L245" s="17"/>
      <c r="M245" s="19">
        <f t="shared" si="16"/>
        <v>0</v>
      </c>
    </row>
    <row r="246" spans="1:13">
      <c r="A246" s="43"/>
      <c r="G246" s="5"/>
      <c r="H246" s="17">
        <v>241</v>
      </c>
      <c r="I246" s="18" t="str">
        <f t="shared" si="14"/>
        <v/>
      </c>
      <c r="J246" s="17">
        <f t="shared" si="17"/>
        <v>-5</v>
      </c>
      <c r="K246" s="17">
        <f t="shared" si="15"/>
        <v>-50</v>
      </c>
      <c r="L246" s="17"/>
      <c r="M246" s="19">
        <f t="shared" si="16"/>
        <v>0</v>
      </c>
    </row>
    <row r="247" spans="1:13">
      <c r="A247" s="43"/>
      <c r="G247" s="5"/>
      <c r="H247" s="17">
        <v>242</v>
      </c>
      <c r="I247" s="18" t="str">
        <f t="shared" si="14"/>
        <v/>
      </c>
      <c r="J247" s="17">
        <f t="shared" si="17"/>
        <v>-5</v>
      </c>
      <c r="K247" s="17">
        <f t="shared" si="15"/>
        <v>-50</v>
      </c>
      <c r="L247" s="17"/>
      <c r="M247" s="19">
        <f t="shared" si="16"/>
        <v>0</v>
      </c>
    </row>
    <row r="248" spans="1:13">
      <c r="A248" s="43"/>
      <c r="G248" s="5"/>
      <c r="H248" s="17">
        <v>243</v>
      </c>
      <c r="I248" s="18" t="str">
        <f t="shared" si="14"/>
        <v/>
      </c>
      <c r="J248" s="17">
        <f t="shared" si="17"/>
        <v>-5</v>
      </c>
      <c r="K248" s="17">
        <f t="shared" si="15"/>
        <v>-50</v>
      </c>
      <c r="L248" s="17"/>
      <c r="M248" s="19">
        <f t="shared" si="16"/>
        <v>0</v>
      </c>
    </row>
    <row r="249" spans="1:13">
      <c r="A249" s="43"/>
      <c r="G249" s="5"/>
      <c r="H249" s="17">
        <v>244</v>
      </c>
      <c r="I249" s="18" t="str">
        <f t="shared" si="14"/>
        <v/>
      </c>
      <c r="J249" s="17">
        <f t="shared" si="17"/>
        <v>-5</v>
      </c>
      <c r="K249" s="17">
        <f t="shared" si="15"/>
        <v>-50</v>
      </c>
      <c r="L249" s="17"/>
      <c r="M249" s="19">
        <f t="shared" si="16"/>
        <v>0</v>
      </c>
    </row>
    <row r="250" spans="1:13">
      <c r="A250" s="43"/>
      <c r="G250" s="5"/>
      <c r="H250" s="17">
        <v>245</v>
      </c>
      <c r="I250" s="18" t="str">
        <f t="shared" si="14"/>
        <v/>
      </c>
      <c r="J250" s="17">
        <f t="shared" si="17"/>
        <v>-5</v>
      </c>
      <c r="K250" s="17">
        <f t="shared" si="15"/>
        <v>-50</v>
      </c>
      <c r="L250" s="17"/>
      <c r="M250" s="19">
        <f t="shared" si="16"/>
        <v>0</v>
      </c>
    </row>
    <row r="251" spans="1:13">
      <c r="A251" s="43"/>
      <c r="G251" s="5"/>
      <c r="H251" s="17">
        <v>246</v>
      </c>
      <c r="I251" s="18" t="str">
        <f t="shared" si="14"/>
        <v/>
      </c>
      <c r="J251" s="17">
        <f t="shared" si="17"/>
        <v>-5</v>
      </c>
      <c r="K251" s="17">
        <f t="shared" si="15"/>
        <v>-50</v>
      </c>
      <c r="L251" s="17"/>
      <c r="M251" s="19">
        <f t="shared" si="16"/>
        <v>0</v>
      </c>
    </row>
    <row r="252" spans="1:13">
      <c r="A252" s="43"/>
      <c r="G252" s="5"/>
      <c r="H252" s="17">
        <v>247</v>
      </c>
      <c r="I252" s="18" t="str">
        <f t="shared" si="14"/>
        <v/>
      </c>
      <c r="J252" s="17">
        <f t="shared" si="17"/>
        <v>-5</v>
      </c>
      <c r="K252" s="17">
        <f t="shared" si="15"/>
        <v>-50</v>
      </c>
      <c r="L252" s="17"/>
      <c r="M252" s="19">
        <f t="shared" si="16"/>
        <v>0</v>
      </c>
    </row>
    <row r="253" spans="1:13">
      <c r="A253" s="43"/>
      <c r="G253" s="5"/>
      <c r="H253" s="17">
        <v>248</v>
      </c>
      <c r="I253" s="18" t="str">
        <f t="shared" si="14"/>
        <v/>
      </c>
      <c r="J253" s="17">
        <f t="shared" si="17"/>
        <v>-5</v>
      </c>
      <c r="K253" s="17">
        <f t="shared" si="15"/>
        <v>-50</v>
      </c>
      <c r="L253" s="17"/>
      <c r="M253" s="19">
        <f t="shared" si="16"/>
        <v>0</v>
      </c>
    </row>
    <row r="254" spans="1:13">
      <c r="A254" s="43"/>
      <c r="G254" s="5"/>
      <c r="H254" s="17">
        <v>249</v>
      </c>
      <c r="I254" s="18" t="str">
        <f t="shared" si="14"/>
        <v/>
      </c>
      <c r="J254" s="17">
        <f t="shared" si="17"/>
        <v>-5</v>
      </c>
      <c r="K254" s="17">
        <f t="shared" si="15"/>
        <v>-50</v>
      </c>
      <c r="L254" s="17"/>
      <c r="M254" s="19">
        <f t="shared" si="16"/>
        <v>0</v>
      </c>
    </row>
    <row r="255" spans="1:13">
      <c r="A255" s="43"/>
      <c r="G255" s="5"/>
      <c r="H255" s="17">
        <v>250</v>
      </c>
      <c r="I255" s="18" t="str">
        <f t="shared" si="14"/>
        <v/>
      </c>
      <c r="J255" s="17">
        <f t="shared" si="17"/>
        <v>-5</v>
      </c>
      <c r="K255" s="17">
        <f t="shared" si="15"/>
        <v>-50</v>
      </c>
      <c r="L255" s="17"/>
      <c r="M255" s="19">
        <f t="shared" si="16"/>
        <v>0</v>
      </c>
    </row>
    <row r="256" spans="1:13">
      <c r="A256" s="43"/>
      <c r="G256" s="5"/>
      <c r="H256" s="17">
        <v>251</v>
      </c>
      <c r="I256" s="18" t="str">
        <f t="shared" si="14"/>
        <v/>
      </c>
      <c r="J256" s="17">
        <f t="shared" si="17"/>
        <v>-5</v>
      </c>
      <c r="K256" s="17">
        <f t="shared" si="15"/>
        <v>-50</v>
      </c>
      <c r="L256" s="17"/>
      <c r="M256" s="19">
        <f t="shared" si="16"/>
        <v>0</v>
      </c>
    </row>
    <row r="257" spans="1:13">
      <c r="A257" s="43"/>
      <c r="G257" s="5"/>
      <c r="H257" s="17">
        <v>252</v>
      </c>
      <c r="I257" s="18" t="str">
        <f t="shared" si="14"/>
        <v/>
      </c>
      <c r="J257" s="17">
        <f t="shared" si="17"/>
        <v>-5</v>
      </c>
      <c r="K257" s="17">
        <f t="shared" si="15"/>
        <v>-50</v>
      </c>
      <c r="L257" s="17"/>
      <c r="M257" s="19">
        <f t="shared" si="16"/>
        <v>0</v>
      </c>
    </row>
    <row r="258" spans="1:13">
      <c r="A258" s="43"/>
      <c r="G258" s="5"/>
      <c r="H258" s="17">
        <v>253</v>
      </c>
      <c r="I258" s="18" t="str">
        <f t="shared" si="14"/>
        <v/>
      </c>
      <c r="J258" s="17">
        <f t="shared" si="17"/>
        <v>-5</v>
      </c>
      <c r="K258" s="17">
        <f t="shared" si="15"/>
        <v>-50</v>
      </c>
      <c r="L258" s="17"/>
      <c r="M258" s="19">
        <f t="shared" si="16"/>
        <v>0</v>
      </c>
    </row>
    <row r="259" spans="1:13">
      <c r="A259" s="43"/>
      <c r="G259" s="5"/>
      <c r="H259" s="17">
        <v>254</v>
      </c>
      <c r="I259" s="18" t="str">
        <f t="shared" si="14"/>
        <v/>
      </c>
      <c r="J259" s="17">
        <f t="shared" si="17"/>
        <v>-5</v>
      </c>
      <c r="K259" s="17">
        <f t="shared" si="15"/>
        <v>-50</v>
      </c>
      <c r="L259" s="17"/>
      <c r="M259" s="19">
        <f t="shared" si="16"/>
        <v>0</v>
      </c>
    </row>
    <row r="260" spans="1:13">
      <c r="A260" s="43"/>
      <c r="G260" s="5"/>
      <c r="H260" s="17">
        <v>255</v>
      </c>
      <c r="I260" s="18" t="str">
        <f t="shared" si="14"/>
        <v/>
      </c>
      <c r="J260" s="17">
        <f t="shared" si="17"/>
        <v>-5</v>
      </c>
      <c r="K260" s="17">
        <f t="shared" si="15"/>
        <v>-50</v>
      </c>
      <c r="L260" s="17"/>
      <c r="M260" s="19">
        <f t="shared" si="16"/>
        <v>0</v>
      </c>
    </row>
    <row r="261" spans="1:13">
      <c r="A261" s="43"/>
      <c r="G261" s="5"/>
      <c r="H261" s="17">
        <v>256</v>
      </c>
      <c r="I261" s="18" t="str">
        <f t="shared" si="14"/>
        <v/>
      </c>
      <c r="J261" s="17">
        <f t="shared" si="17"/>
        <v>-5</v>
      </c>
      <c r="K261" s="17">
        <f t="shared" si="15"/>
        <v>-50</v>
      </c>
      <c r="L261" s="17"/>
      <c r="M261" s="19">
        <f t="shared" si="16"/>
        <v>0</v>
      </c>
    </row>
    <row r="262" spans="1:13">
      <c r="A262" s="43"/>
      <c r="G262" s="5"/>
      <c r="H262" s="17">
        <v>257</v>
      </c>
      <c r="I262" s="18" t="str">
        <f t="shared" ref="I262:I305" si="18">IF(H262&lt;$H$2+1,($I$2-($I$2-1)*(LOG(H262)/LOG($H$2))),"")</f>
        <v/>
      </c>
      <c r="J262" s="17">
        <f t="shared" si="17"/>
        <v>-6</v>
      </c>
      <c r="K262" s="17">
        <f t="shared" ref="K262:K305" si="19">J262*$J$2</f>
        <v>-60</v>
      </c>
      <c r="L262" s="17"/>
      <c r="M262" s="19">
        <f t="shared" ref="M262:M305" si="20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18"/>
        <v/>
      </c>
      <c r="J263" s="17">
        <f t="shared" ref="J263:J326" si="21">INT(LOG($H$2,2))-ROUNDUP(LOG(H263,2),0)+IF(OR($H$2=1,$H$2=2,$H$2=4,$H$2=8,$H$2=16,$H$2=32,$H$2=64,$H$2=128,$H$2=256),0,1)</f>
        <v>-6</v>
      </c>
      <c r="K263" s="17">
        <f t="shared" si="19"/>
        <v>-60</v>
      </c>
      <c r="L263" s="17"/>
      <c r="M263" s="19">
        <f t="shared" si="20"/>
        <v>0</v>
      </c>
    </row>
    <row r="264" spans="1:13">
      <c r="A264" s="43"/>
      <c r="G264" s="5"/>
      <c r="H264" s="17">
        <v>259</v>
      </c>
      <c r="I264" s="18" t="str">
        <f t="shared" si="18"/>
        <v/>
      </c>
      <c r="J264" s="17">
        <f t="shared" si="21"/>
        <v>-6</v>
      </c>
      <c r="K264" s="17">
        <f t="shared" si="19"/>
        <v>-60</v>
      </c>
      <c r="L264" s="17"/>
      <c r="M264" s="19">
        <f t="shared" si="20"/>
        <v>0</v>
      </c>
    </row>
    <row r="265" spans="1:13">
      <c r="A265" s="43"/>
      <c r="G265" s="5"/>
      <c r="H265" s="17">
        <v>260</v>
      </c>
      <c r="I265" s="18" t="str">
        <f t="shared" si="18"/>
        <v/>
      </c>
      <c r="J265" s="17">
        <f t="shared" si="21"/>
        <v>-6</v>
      </c>
      <c r="K265" s="17">
        <f t="shared" si="19"/>
        <v>-60</v>
      </c>
      <c r="L265" s="17"/>
      <c r="M265" s="19">
        <f t="shared" si="20"/>
        <v>0</v>
      </c>
    </row>
    <row r="266" spans="1:13">
      <c r="A266" s="43"/>
      <c r="G266" s="5"/>
      <c r="H266" s="17">
        <v>261</v>
      </c>
      <c r="I266" s="18" t="str">
        <f t="shared" si="18"/>
        <v/>
      </c>
      <c r="J266" s="17">
        <f t="shared" si="21"/>
        <v>-6</v>
      </c>
      <c r="K266" s="17">
        <f t="shared" si="19"/>
        <v>-60</v>
      </c>
      <c r="L266" s="17"/>
      <c r="M266" s="19">
        <f t="shared" si="20"/>
        <v>0</v>
      </c>
    </row>
    <row r="267" spans="1:13">
      <c r="A267" s="43"/>
      <c r="G267" s="5"/>
      <c r="H267" s="17">
        <v>262</v>
      </c>
      <c r="I267" s="18" t="str">
        <f t="shared" si="18"/>
        <v/>
      </c>
      <c r="J267" s="17">
        <f t="shared" si="21"/>
        <v>-6</v>
      </c>
      <c r="K267" s="17">
        <f t="shared" si="19"/>
        <v>-60</v>
      </c>
      <c r="L267" s="17"/>
      <c r="M267" s="19">
        <f t="shared" si="20"/>
        <v>0</v>
      </c>
    </row>
    <row r="268" spans="1:13">
      <c r="A268" s="43"/>
      <c r="G268" s="5"/>
      <c r="H268" s="17">
        <v>263</v>
      </c>
      <c r="I268" s="18" t="str">
        <f t="shared" si="18"/>
        <v/>
      </c>
      <c r="J268" s="17">
        <f t="shared" si="21"/>
        <v>-6</v>
      </c>
      <c r="K268" s="17">
        <f t="shared" si="19"/>
        <v>-60</v>
      </c>
      <c r="L268" s="17"/>
      <c r="M268" s="19">
        <f t="shared" si="20"/>
        <v>0</v>
      </c>
    </row>
    <row r="269" spans="1:13">
      <c r="A269" s="43"/>
      <c r="G269" s="5"/>
      <c r="H269" s="17">
        <v>264</v>
      </c>
      <c r="I269" s="18" t="str">
        <f t="shared" si="18"/>
        <v/>
      </c>
      <c r="J269" s="17">
        <f t="shared" si="21"/>
        <v>-6</v>
      </c>
      <c r="K269" s="17">
        <f t="shared" si="19"/>
        <v>-60</v>
      </c>
      <c r="L269" s="17"/>
      <c r="M269" s="19">
        <f t="shared" si="20"/>
        <v>0</v>
      </c>
    </row>
    <row r="270" spans="1:13">
      <c r="A270" s="43"/>
      <c r="G270" s="5"/>
      <c r="H270" s="17">
        <v>265</v>
      </c>
      <c r="I270" s="18" t="str">
        <f t="shared" si="18"/>
        <v/>
      </c>
      <c r="J270" s="17">
        <f t="shared" si="21"/>
        <v>-6</v>
      </c>
      <c r="K270" s="17">
        <f t="shared" si="19"/>
        <v>-60</v>
      </c>
      <c r="L270" s="17"/>
      <c r="M270" s="19">
        <f t="shared" si="20"/>
        <v>0</v>
      </c>
    </row>
    <row r="271" spans="1:13">
      <c r="A271" s="43"/>
      <c r="G271" s="5"/>
      <c r="H271" s="17">
        <v>266</v>
      </c>
      <c r="I271" s="18" t="str">
        <f t="shared" si="18"/>
        <v/>
      </c>
      <c r="J271" s="17">
        <f t="shared" si="21"/>
        <v>-6</v>
      </c>
      <c r="K271" s="17">
        <f t="shared" si="19"/>
        <v>-60</v>
      </c>
      <c r="L271" s="17"/>
      <c r="M271" s="19">
        <f t="shared" si="20"/>
        <v>0</v>
      </c>
    </row>
    <row r="272" spans="1:13">
      <c r="A272" s="43"/>
      <c r="G272" s="5"/>
      <c r="H272" s="17">
        <v>267</v>
      </c>
      <c r="I272" s="18" t="str">
        <f t="shared" si="18"/>
        <v/>
      </c>
      <c r="J272" s="17">
        <f t="shared" si="21"/>
        <v>-6</v>
      </c>
      <c r="K272" s="17">
        <f t="shared" si="19"/>
        <v>-60</v>
      </c>
      <c r="L272" s="17"/>
      <c r="M272" s="19">
        <f t="shared" si="20"/>
        <v>0</v>
      </c>
    </row>
    <row r="273" spans="1:13">
      <c r="A273" s="43"/>
      <c r="G273" s="5"/>
      <c r="H273" s="17">
        <v>268</v>
      </c>
      <c r="I273" s="18" t="str">
        <f t="shared" si="18"/>
        <v/>
      </c>
      <c r="J273" s="17">
        <f t="shared" si="21"/>
        <v>-6</v>
      </c>
      <c r="K273" s="17">
        <f t="shared" si="19"/>
        <v>-60</v>
      </c>
      <c r="L273" s="17"/>
      <c r="M273" s="19">
        <f t="shared" si="20"/>
        <v>0</v>
      </c>
    </row>
    <row r="274" spans="1:13">
      <c r="A274" s="43"/>
      <c r="G274" s="5"/>
      <c r="H274" s="17">
        <v>269</v>
      </c>
      <c r="I274" s="18" t="str">
        <f t="shared" si="18"/>
        <v/>
      </c>
      <c r="J274" s="17">
        <f t="shared" si="21"/>
        <v>-6</v>
      </c>
      <c r="K274" s="17">
        <f t="shared" si="19"/>
        <v>-60</v>
      </c>
      <c r="L274" s="17"/>
      <c r="M274" s="19">
        <f t="shared" si="20"/>
        <v>0</v>
      </c>
    </row>
    <row r="275" spans="1:13">
      <c r="A275" s="43"/>
      <c r="G275" s="5"/>
      <c r="H275" s="17">
        <v>270</v>
      </c>
      <c r="I275" s="18" t="str">
        <f t="shared" si="18"/>
        <v/>
      </c>
      <c r="J275" s="17">
        <f t="shared" si="21"/>
        <v>-6</v>
      </c>
      <c r="K275" s="17">
        <f t="shared" si="19"/>
        <v>-60</v>
      </c>
      <c r="L275" s="17"/>
      <c r="M275" s="19">
        <f t="shared" si="20"/>
        <v>0</v>
      </c>
    </row>
    <row r="276" spans="1:13">
      <c r="A276" s="43"/>
      <c r="G276" s="5"/>
      <c r="H276" s="17">
        <v>271</v>
      </c>
      <c r="I276" s="18" t="str">
        <f t="shared" si="18"/>
        <v/>
      </c>
      <c r="J276" s="17">
        <f t="shared" si="21"/>
        <v>-6</v>
      </c>
      <c r="K276" s="17">
        <f t="shared" si="19"/>
        <v>-60</v>
      </c>
      <c r="L276" s="17"/>
      <c r="M276" s="19">
        <f t="shared" si="20"/>
        <v>0</v>
      </c>
    </row>
    <row r="277" spans="1:13">
      <c r="A277" s="43"/>
      <c r="G277" s="5"/>
      <c r="H277" s="17">
        <v>272</v>
      </c>
      <c r="I277" s="18" t="str">
        <f t="shared" si="18"/>
        <v/>
      </c>
      <c r="J277" s="17">
        <f t="shared" si="21"/>
        <v>-6</v>
      </c>
      <c r="K277" s="17">
        <f t="shared" si="19"/>
        <v>-60</v>
      </c>
      <c r="L277" s="17"/>
      <c r="M277" s="19">
        <f t="shared" si="20"/>
        <v>0</v>
      </c>
    </row>
    <row r="278" spans="1:13">
      <c r="A278" s="43"/>
      <c r="G278" s="5"/>
      <c r="H278" s="17">
        <v>273</v>
      </c>
      <c r="I278" s="18" t="str">
        <f t="shared" si="18"/>
        <v/>
      </c>
      <c r="J278" s="17">
        <f t="shared" si="21"/>
        <v>-6</v>
      </c>
      <c r="K278" s="17">
        <f t="shared" si="19"/>
        <v>-60</v>
      </c>
      <c r="L278" s="17"/>
      <c r="M278" s="19">
        <f t="shared" si="20"/>
        <v>0</v>
      </c>
    </row>
    <row r="279" spans="1:13">
      <c r="A279" s="43"/>
      <c r="G279" s="5"/>
      <c r="H279" s="17">
        <v>274</v>
      </c>
      <c r="I279" s="18" t="str">
        <f t="shared" si="18"/>
        <v/>
      </c>
      <c r="J279" s="17">
        <f t="shared" si="21"/>
        <v>-6</v>
      </c>
      <c r="K279" s="17">
        <f t="shared" si="19"/>
        <v>-60</v>
      </c>
      <c r="L279" s="17"/>
      <c r="M279" s="19">
        <f t="shared" si="20"/>
        <v>0</v>
      </c>
    </row>
    <row r="280" spans="1:13">
      <c r="A280" s="43"/>
      <c r="G280" s="5"/>
      <c r="H280" s="17">
        <v>275</v>
      </c>
      <c r="I280" s="18" t="str">
        <f t="shared" si="18"/>
        <v/>
      </c>
      <c r="J280" s="17">
        <f t="shared" si="21"/>
        <v>-6</v>
      </c>
      <c r="K280" s="17">
        <f t="shared" si="19"/>
        <v>-60</v>
      </c>
      <c r="L280" s="17"/>
      <c r="M280" s="19">
        <f t="shared" si="20"/>
        <v>0</v>
      </c>
    </row>
    <row r="281" spans="1:13">
      <c r="A281" s="43"/>
      <c r="G281" s="5"/>
      <c r="H281" s="17">
        <v>276</v>
      </c>
      <c r="I281" s="18" t="str">
        <f t="shared" si="18"/>
        <v/>
      </c>
      <c r="J281" s="17">
        <f t="shared" si="21"/>
        <v>-6</v>
      </c>
      <c r="K281" s="17">
        <f t="shared" si="19"/>
        <v>-60</v>
      </c>
      <c r="L281" s="17"/>
      <c r="M281" s="19">
        <f t="shared" si="20"/>
        <v>0</v>
      </c>
    </row>
    <row r="282" spans="1:13">
      <c r="A282" s="43"/>
      <c r="G282" s="5"/>
      <c r="H282" s="17">
        <v>277</v>
      </c>
      <c r="I282" s="18" t="str">
        <f t="shared" si="18"/>
        <v/>
      </c>
      <c r="J282" s="17">
        <f t="shared" si="21"/>
        <v>-6</v>
      </c>
      <c r="K282" s="17">
        <f t="shared" si="19"/>
        <v>-60</v>
      </c>
      <c r="L282" s="17"/>
      <c r="M282" s="19">
        <f t="shared" si="20"/>
        <v>0</v>
      </c>
    </row>
    <row r="283" spans="1:13">
      <c r="A283" s="43"/>
      <c r="G283" s="5"/>
      <c r="H283" s="17">
        <v>278</v>
      </c>
      <c r="I283" s="18" t="str">
        <f t="shared" si="18"/>
        <v/>
      </c>
      <c r="J283" s="17">
        <f t="shared" si="21"/>
        <v>-6</v>
      </c>
      <c r="K283" s="17">
        <f t="shared" si="19"/>
        <v>-60</v>
      </c>
      <c r="L283" s="17"/>
      <c r="M283" s="19">
        <f t="shared" si="20"/>
        <v>0</v>
      </c>
    </row>
    <row r="284" spans="1:13">
      <c r="A284" s="43"/>
      <c r="G284" s="5"/>
      <c r="H284" s="17">
        <v>279</v>
      </c>
      <c r="I284" s="18" t="str">
        <f t="shared" si="18"/>
        <v/>
      </c>
      <c r="J284" s="17">
        <f t="shared" si="21"/>
        <v>-6</v>
      </c>
      <c r="K284" s="17">
        <f t="shared" si="19"/>
        <v>-60</v>
      </c>
      <c r="L284" s="17"/>
      <c r="M284" s="19">
        <f t="shared" si="20"/>
        <v>0</v>
      </c>
    </row>
    <row r="285" spans="1:13">
      <c r="A285" s="43"/>
      <c r="G285" s="5"/>
      <c r="H285" s="17">
        <v>280</v>
      </c>
      <c r="I285" s="18" t="str">
        <f t="shared" si="18"/>
        <v/>
      </c>
      <c r="J285" s="17">
        <f t="shared" si="21"/>
        <v>-6</v>
      </c>
      <c r="K285" s="17">
        <f t="shared" si="19"/>
        <v>-60</v>
      </c>
      <c r="L285" s="17"/>
      <c r="M285" s="19">
        <f t="shared" si="20"/>
        <v>0</v>
      </c>
    </row>
    <row r="286" spans="1:13">
      <c r="A286" s="43"/>
      <c r="G286" s="5"/>
      <c r="H286" s="17">
        <v>281</v>
      </c>
      <c r="I286" s="18" t="str">
        <f t="shared" si="18"/>
        <v/>
      </c>
      <c r="J286" s="17">
        <f t="shared" si="21"/>
        <v>-6</v>
      </c>
      <c r="K286" s="17">
        <f t="shared" si="19"/>
        <v>-60</v>
      </c>
      <c r="L286" s="17"/>
      <c r="M286" s="19">
        <f t="shared" si="20"/>
        <v>0</v>
      </c>
    </row>
    <row r="287" spans="1:13">
      <c r="A287" s="43"/>
      <c r="G287" s="5"/>
      <c r="H287" s="17">
        <v>282</v>
      </c>
      <c r="I287" s="18" t="str">
        <f t="shared" si="18"/>
        <v/>
      </c>
      <c r="J287" s="17">
        <f t="shared" si="21"/>
        <v>-6</v>
      </c>
      <c r="K287" s="17">
        <f t="shared" si="19"/>
        <v>-60</v>
      </c>
      <c r="L287" s="17"/>
      <c r="M287" s="19">
        <f t="shared" si="20"/>
        <v>0</v>
      </c>
    </row>
    <row r="288" spans="1:13">
      <c r="A288" s="43"/>
      <c r="G288" s="5"/>
      <c r="H288" s="17">
        <v>283</v>
      </c>
      <c r="I288" s="18" t="str">
        <f t="shared" si="18"/>
        <v/>
      </c>
      <c r="J288" s="17">
        <f t="shared" si="21"/>
        <v>-6</v>
      </c>
      <c r="K288" s="17">
        <f t="shared" si="19"/>
        <v>-60</v>
      </c>
      <c r="L288" s="17"/>
      <c r="M288" s="19">
        <f t="shared" si="20"/>
        <v>0</v>
      </c>
    </row>
    <row r="289" spans="1:13">
      <c r="A289" s="43"/>
      <c r="G289" s="5"/>
      <c r="H289" s="17">
        <v>284</v>
      </c>
      <c r="I289" s="18" t="str">
        <f t="shared" si="18"/>
        <v/>
      </c>
      <c r="J289" s="17">
        <f t="shared" si="21"/>
        <v>-6</v>
      </c>
      <c r="K289" s="17">
        <f t="shared" si="19"/>
        <v>-60</v>
      </c>
      <c r="L289" s="17"/>
      <c r="M289" s="19">
        <f t="shared" si="20"/>
        <v>0</v>
      </c>
    </row>
    <row r="290" spans="1:13">
      <c r="A290" s="43"/>
      <c r="G290" s="5"/>
      <c r="H290" s="17">
        <v>285</v>
      </c>
      <c r="I290" s="18" t="str">
        <f t="shared" si="18"/>
        <v/>
      </c>
      <c r="J290" s="17">
        <f t="shared" si="21"/>
        <v>-6</v>
      </c>
      <c r="K290" s="17">
        <f t="shared" si="19"/>
        <v>-60</v>
      </c>
      <c r="L290" s="17"/>
      <c r="M290" s="19">
        <f t="shared" si="20"/>
        <v>0</v>
      </c>
    </row>
    <row r="291" spans="1:13">
      <c r="A291" s="43"/>
      <c r="G291" s="5"/>
      <c r="H291" s="17">
        <v>286</v>
      </c>
      <c r="I291" s="18" t="str">
        <f t="shared" si="18"/>
        <v/>
      </c>
      <c r="J291" s="17">
        <f t="shared" si="21"/>
        <v>-6</v>
      </c>
      <c r="K291" s="17">
        <f t="shared" si="19"/>
        <v>-60</v>
      </c>
      <c r="L291" s="17"/>
      <c r="M291" s="19">
        <f t="shared" si="20"/>
        <v>0</v>
      </c>
    </row>
    <row r="292" spans="1:13">
      <c r="A292" s="43"/>
      <c r="G292" s="5"/>
      <c r="H292" s="17">
        <v>287</v>
      </c>
      <c r="I292" s="18" t="str">
        <f t="shared" si="18"/>
        <v/>
      </c>
      <c r="J292" s="17">
        <f t="shared" si="21"/>
        <v>-6</v>
      </c>
      <c r="K292" s="17">
        <f t="shared" si="19"/>
        <v>-60</v>
      </c>
      <c r="L292" s="17"/>
      <c r="M292" s="19">
        <f t="shared" si="20"/>
        <v>0</v>
      </c>
    </row>
    <row r="293" spans="1:13">
      <c r="A293" s="43"/>
      <c r="G293" s="5"/>
      <c r="H293" s="17">
        <v>288</v>
      </c>
      <c r="I293" s="18" t="str">
        <f t="shared" si="18"/>
        <v/>
      </c>
      <c r="J293" s="17">
        <f t="shared" si="21"/>
        <v>-6</v>
      </c>
      <c r="K293" s="17">
        <f t="shared" si="19"/>
        <v>-60</v>
      </c>
      <c r="L293" s="17"/>
      <c r="M293" s="19">
        <f t="shared" si="20"/>
        <v>0</v>
      </c>
    </row>
    <row r="294" spans="1:13">
      <c r="A294" s="43"/>
      <c r="G294" s="5"/>
      <c r="H294" s="17">
        <v>289</v>
      </c>
      <c r="I294" s="18" t="str">
        <f t="shared" si="18"/>
        <v/>
      </c>
      <c r="J294" s="17">
        <f t="shared" si="21"/>
        <v>-6</v>
      </c>
      <c r="K294" s="17">
        <f t="shared" si="19"/>
        <v>-60</v>
      </c>
      <c r="L294" s="17"/>
      <c r="M294" s="19">
        <f t="shared" si="20"/>
        <v>0</v>
      </c>
    </row>
    <row r="295" spans="1:13">
      <c r="A295" s="43"/>
      <c r="G295" s="5"/>
      <c r="H295" s="17">
        <v>290</v>
      </c>
      <c r="I295" s="18" t="str">
        <f t="shared" si="18"/>
        <v/>
      </c>
      <c r="J295" s="17">
        <f t="shared" si="21"/>
        <v>-6</v>
      </c>
      <c r="K295" s="17">
        <f t="shared" si="19"/>
        <v>-60</v>
      </c>
      <c r="L295" s="17"/>
      <c r="M295" s="19">
        <f t="shared" si="20"/>
        <v>0</v>
      </c>
    </row>
    <row r="296" spans="1:13">
      <c r="A296" s="43"/>
      <c r="G296" s="5"/>
      <c r="H296" s="17">
        <v>291</v>
      </c>
      <c r="I296" s="18" t="str">
        <f t="shared" si="18"/>
        <v/>
      </c>
      <c r="J296" s="17">
        <f t="shared" si="21"/>
        <v>-6</v>
      </c>
      <c r="K296" s="17">
        <f t="shared" si="19"/>
        <v>-60</v>
      </c>
      <c r="L296" s="17"/>
      <c r="M296" s="19">
        <f t="shared" si="20"/>
        <v>0</v>
      </c>
    </row>
    <row r="297" spans="1:13">
      <c r="A297" s="43"/>
      <c r="G297" s="5"/>
      <c r="H297" s="17">
        <v>292</v>
      </c>
      <c r="I297" s="18" t="str">
        <f t="shared" si="18"/>
        <v/>
      </c>
      <c r="J297" s="17">
        <f t="shared" si="21"/>
        <v>-6</v>
      </c>
      <c r="K297" s="17">
        <f t="shared" si="19"/>
        <v>-60</v>
      </c>
      <c r="L297" s="17"/>
      <c r="M297" s="19">
        <f t="shared" si="20"/>
        <v>0</v>
      </c>
    </row>
    <row r="298" spans="1:13">
      <c r="A298" s="43"/>
      <c r="G298" s="5"/>
      <c r="H298" s="17">
        <v>293</v>
      </c>
      <c r="I298" s="18" t="str">
        <f t="shared" si="18"/>
        <v/>
      </c>
      <c r="J298" s="17">
        <f t="shared" si="21"/>
        <v>-6</v>
      </c>
      <c r="K298" s="17">
        <f t="shared" si="19"/>
        <v>-60</v>
      </c>
      <c r="L298" s="17"/>
      <c r="M298" s="19">
        <f t="shared" si="20"/>
        <v>0</v>
      </c>
    </row>
    <row r="299" spans="1:13">
      <c r="A299" s="43"/>
      <c r="G299" s="5"/>
      <c r="H299" s="17">
        <v>294</v>
      </c>
      <c r="I299" s="18" t="str">
        <f t="shared" si="18"/>
        <v/>
      </c>
      <c r="J299" s="17">
        <f t="shared" si="21"/>
        <v>-6</v>
      </c>
      <c r="K299" s="17">
        <f t="shared" si="19"/>
        <v>-60</v>
      </c>
      <c r="L299" s="17"/>
      <c r="M299" s="19">
        <f t="shared" si="20"/>
        <v>0</v>
      </c>
    </row>
    <row r="300" spans="1:13">
      <c r="A300" s="43"/>
      <c r="G300" s="5"/>
      <c r="H300" s="17">
        <v>295</v>
      </c>
      <c r="I300" s="18" t="str">
        <f t="shared" si="18"/>
        <v/>
      </c>
      <c r="J300" s="17">
        <f t="shared" si="21"/>
        <v>-6</v>
      </c>
      <c r="K300" s="17">
        <f t="shared" si="19"/>
        <v>-60</v>
      </c>
      <c r="L300" s="17"/>
      <c r="M300" s="19">
        <f t="shared" si="20"/>
        <v>0</v>
      </c>
    </row>
    <row r="301" spans="1:13">
      <c r="A301" s="43"/>
      <c r="G301" s="5"/>
      <c r="H301" s="17">
        <v>296</v>
      </c>
      <c r="I301" s="18" t="str">
        <f t="shared" si="18"/>
        <v/>
      </c>
      <c r="J301" s="17">
        <f t="shared" si="21"/>
        <v>-6</v>
      </c>
      <c r="K301" s="17">
        <f t="shared" si="19"/>
        <v>-60</v>
      </c>
      <c r="L301" s="17"/>
      <c r="M301" s="19">
        <f t="shared" si="20"/>
        <v>0</v>
      </c>
    </row>
    <row r="302" spans="1:13">
      <c r="A302" s="43"/>
      <c r="G302" s="5"/>
      <c r="H302" s="17">
        <v>297</v>
      </c>
      <c r="I302" s="18" t="str">
        <f t="shared" si="18"/>
        <v/>
      </c>
      <c r="J302" s="17">
        <f t="shared" si="21"/>
        <v>-6</v>
      </c>
      <c r="K302" s="17">
        <f t="shared" si="19"/>
        <v>-60</v>
      </c>
      <c r="L302" s="17"/>
      <c r="M302" s="19">
        <f t="shared" si="20"/>
        <v>0</v>
      </c>
    </row>
    <row r="303" spans="1:13">
      <c r="A303" s="43"/>
      <c r="G303" s="5"/>
      <c r="H303" s="17">
        <v>298</v>
      </c>
      <c r="I303" s="18" t="str">
        <f t="shared" si="18"/>
        <v/>
      </c>
      <c r="J303" s="17">
        <f t="shared" si="21"/>
        <v>-6</v>
      </c>
      <c r="K303" s="17">
        <f t="shared" si="19"/>
        <v>-60</v>
      </c>
      <c r="L303" s="17"/>
      <c r="M303" s="19">
        <f t="shared" si="20"/>
        <v>0</v>
      </c>
    </row>
    <row r="304" spans="1:13">
      <c r="A304" s="43"/>
      <c r="G304" s="5"/>
      <c r="H304" s="17">
        <v>299</v>
      </c>
      <c r="I304" s="18" t="str">
        <f t="shared" si="18"/>
        <v/>
      </c>
      <c r="J304" s="17">
        <f t="shared" si="21"/>
        <v>-6</v>
      </c>
      <c r="K304" s="17">
        <f t="shared" si="19"/>
        <v>-60</v>
      </c>
      <c r="L304" s="17"/>
      <c r="M304" s="19">
        <f t="shared" si="20"/>
        <v>0</v>
      </c>
    </row>
    <row r="305" spans="1:16">
      <c r="A305" s="43"/>
      <c r="G305" s="5"/>
      <c r="H305" s="17">
        <v>300</v>
      </c>
      <c r="I305" s="18" t="str">
        <f t="shared" si="18"/>
        <v/>
      </c>
      <c r="J305" s="17">
        <f t="shared" si="21"/>
        <v>-6</v>
      </c>
      <c r="K305" s="17">
        <f t="shared" si="19"/>
        <v>-60</v>
      </c>
      <c r="L305" s="17"/>
      <c r="M305" s="19">
        <f t="shared" si="20"/>
        <v>0</v>
      </c>
    </row>
    <row r="306" spans="1:16">
      <c r="A306" s="4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2">INT(LOG($H$2,2))-ROUNDUP(LOG(H327,2),0)+IF(OR($H$2=1,$H$2=2,$H$2=4,$H$2=8,$H$2=16,$H$2=32,$H$2=64,$H$2=128,$H$2=256),0,1)</f>
        <v>#NUM!</v>
      </c>
    </row>
    <row r="328" spans="10:10">
      <c r="J328" s="20" t="e">
        <f t="shared" si="22"/>
        <v>#NUM!</v>
      </c>
    </row>
    <row r="329" spans="10:10">
      <c r="J329" s="20" t="e">
        <f t="shared" si="22"/>
        <v>#NUM!</v>
      </c>
    </row>
    <row r="330" spans="10:10">
      <c r="J330" s="20" t="e">
        <f t="shared" si="22"/>
        <v>#NUM!</v>
      </c>
    </row>
    <row r="331" spans="10:10">
      <c r="J331" s="20" t="e">
        <f t="shared" si="22"/>
        <v>#NUM!</v>
      </c>
    </row>
    <row r="332" spans="10:10">
      <c r="J332" s="20" t="e">
        <f t="shared" si="22"/>
        <v>#NUM!</v>
      </c>
    </row>
    <row r="333" spans="10:10">
      <c r="J333" s="20" t="e">
        <f t="shared" si="22"/>
        <v>#NUM!</v>
      </c>
    </row>
    <row r="334" spans="10:10">
      <c r="J334" s="20" t="e">
        <f t="shared" si="22"/>
        <v>#NUM!</v>
      </c>
    </row>
    <row r="335" spans="10:10">
      <c r="J335" s="20" t="e">
        <f t="shared" si="22"/>
        <v>#NUM!</v>
      </c>
    </row>
    <row r="336" spans="10:10">
      <c r="J336" s="20" t="e">
        <f t="shared" si="22"/>
        <v>#NUM!</v>
      </c>
    </row>
    <row r="337" spans="10:10">
      <c r="J337" s="20" t="e">
        <f t="shared" si="22"/>
        <v>#NUM!</v>
      </c>
    </row>
    <row r="338" spans="10:10">
      <c r="J338" s="20" t="e">
        <f t="shared" si="22"/>
        <v>#NUM!</v>
      </c>
    </row>
    <row r="339" spans="10:10">
      <c r="J339" s="20" t="e">
        <f t="shared" si="22"/>
        <v>#NUM!</v>
      </c>
    </row>
    <row r="340" spans="10:10">
      <c r="J340" s="20" t="e">
        <f t="shared" si="22"/>
        <v>#NUM!</v>
      </c>
    </row>
    <row r="341" spans="10:10">
      <c r="J341" s="20" t="e">
        <f t="shared" si="22"/>
        <v>#NUM!</v>
      </c>
    </row>
    <row r="342" spans="10:10">
      <c r="J342" s="20" t="e">
        <f t="shared" si="22"/>
        <v>#NUM!</v>
      </c>
    </row>
    <row r="343" spans="10:10">
      <c r="J343" s="20" t="e">
        <f t="shared" si="22"/>
        <v>#NUM!</v>
      </c>
    </row>
    <row r="344" spans="10:10">
      <c r="J344" s="20" t="e">
        <f t="shared" si="22"/>
        <v>#NUM!</v>
      </c>
    </row>
    <row r="345" spans="10:10">
      <c r="J345" s="20" t="e">
        <f t="shared" si="22"/>
        <v>#NUM!</v>
      </c>
    </row>
    <row r="346" spans="10:10">
      <c r="J346" s="20" t="e">
        <f t="shared" si="22"/>
        <v>#NUM!</v>
      </c>
    </row>
    <row r="347" spans="10:10">
      <c r="J347" s="20" t="e">
        <f t="shared" si="22"/>
        <v>#NUM!</v>
      </c>
    </row>
    <row r="348" spans="10:10">
      <c r="J348" s="20" t="e">
        <f t="shared" si="22"/>
        <v>#NUM!</v>
      </c>
    </row>
    <row r="349" spans="10:10">
      <c r="J349" s="20" t="e">
        <f t="shared" si="22"/>
        <v>#NUM!</v>
      </c>
    </row>
    <row r="350" spans="10:10">
      <c r="J350" s="20" t="e">
        <f t="shared" si="22"/>
        <v>#NUM!</v>
      </c>
    </row>
    <row r="351" spans="10:10">
      <c r="J351" s="20" t="e">
        <f t="shared" si="22"/>
        <v>#NUM!</v>
      </c>
    </row>
    <row r="352" spans="10:10">
      <c r="J352" s="20" t="e">
        <f t="shared" si="22"/>
        <v>#NUM!</v>
      </c>
    </row>
    <row r="353" spans="10:10">
      <c r="J353" s="20" t="e">
        <f t="shared" si="22"/>
        <v>#NUM!</v>
      </c>
    </row>
    <row r="354" spans="10:10">
      <c r="J354" s="20" t="e">
        <f t="shared" si="22"/>
        <v>#NUM!</v>
      </c>
    </row>
    <row r="355" spans="10:10">
      <c r="J355" s="20" t="e">
        <f t="shared" si="22"/>
        <v>#NUM!</v>
      </c>
    </row>
    <row r="356" spans="10:10">
      <c r="J356" s="20" t="e">
        <f t="shared" si="22"/>
        <v>#NUM!</v>
      </c>
    </row>
    <row r="357" spans="10:10">
      <c r="J357" s="20" t="e">
        <f t="shared" si="22"/>
        <v>#NUM!</v>
      </c>
    </row>
    <row r="358" spans="10:10">
      <c r="J358" s="20" t="e">
        <f t="shared" si="22"/>
        <v>#NUM!</v>
      </c>
    </row>
    <row r="359" spans="10:10">
      <c r="J359" s="20" t="e">
        <f t="shared" si="22"/>
        <v>#NUM!</v>
      </c>
    </row>
    <row r="360" spans="10:10">
      <c r="J360" s="20" t="e">
        <f t="shared" si="22"/>
        <v>#NUM!</v>
      </c>
    </row>
    <row r="361" spans="10:10">
      <c r="J361" s="20" t="e">
        <f t="shared" si="22"/>
        <v>#NUM!</v>
      </c>
    </row>
    <row r="362" spans="10:10">
      <c r="J362" s="20" t="e">
        <f t="shared" si="22"/>
        <v>#NUM!</v>
      </c>
    </row>
    <row r="363" spans="10:10">
      <c r="J363" s="20" t="e">
        <f t="shared" si="22"/>
        <v>#NUM!</v>
      </c>
    </row>
    <row r="364" spans="10:10">
      <c r="J364" s="20" t="e">
        <f t="shared" si="22"/>
        <v>#NUM!</v>
      </c>
    </row>
    <row r="365" spans="10:10">
      <c r="J365" s="20" t="e">
        <f t="shared" si="22"/>
        <v>#NUM!</v>
      </c>
    </row>
    <row r="366" spans="10:10">
      <c r="J366" s="20" t="e">
        <f t="shared" si="22"/>
        <v>#NUM!</v>
      </c>
    </row>
    <row r="367" spans="10:10">
      <c r="J367" s="20" t="e">
        <f t="shared" si="22"/>
        <v>#NUM!</v>
      </c>
    </row>
    <row r="368" spans="10:10">
      <c r="J368" s="20" t="e">
        <f t="shared" si="22"/>
        <v>#NUM!</v>
      </c>
    </row>
    <row r="369" spans="10:10">
      <c r="J369" s="20" t="e">
        <f t="shared" si="22"/>
        <v>#NUM!</v>
      </c>
    </row>
    <row r="370" spans="10:10">
      <c r="J370" s="20" t="e">
        <f t="shared" si="22"/>
        <v>#NUM!</v>
      </c>
    </row>
    <row r="371" spans="10:10">
      <c r="J371" s="20" t="e">
        <f t="shared" si="22"/>
        <v>#NUM!</v>
      </c>
    </row>
    <row r="372" spans="10:10">
      <c r="J372" s="20" t="e">
        <f t="shared" si="22"/>
        <v>#NUM!</v>
      </c>
    </row>
    <row r="373" spans="10:10">
      <c r="J373" s="20" t="e">
        <f t="shared" si="22"/>
        <v>#NUM!</v>
      </c>
    </row>
    <row r="374" spans="10:10">
      <c r="J374" s="20" t="e">
        <f t="shared" si="22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display="LESZNO" xr:uid="{5205305D-5E08-45C7-86A6-69489ED5806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BC50-5777-474A-A946-300A8CE2ACE0}">
  <sheetPr>
    <tabColor rgb="FF92D050"/>
  </sheetPr>
  <dimension ref="A1:AL1159"/>
  <sheetViews>
    <sheetView workbookViewId="0">
      <selection activeCell="J19" sqref="J19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39.710937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5"/>
      <c r="B2" s="47" t="s">
        <v>35</v>
      </c>
      <c r="C2" s="127" t="s">
        <v>51</v>
      </c>
      <c r="D2" s="127"/>
      <c r="E2" s="6"/>
      <c r="F2" s="6"/>
      <c r="G2" s="6"/>
      <c r="H2" s="14">
        <v>7</v>
      </c>
      <c r="I2" s="68">
        <v>50</v>
      </c>
      <c r="J2" s="68">
        <v>10</v>
      </c>
      <c r="K2" s="69">
        <f>3*H2^(1/3)</f>
        <v>5.738793548317167</v>
      </c>
      <c r="L2" s="13"/>
      <c r="M2" s="13"/>
    </row>
    <row r="3" spans="1:34">
      <c r="A3" s="5"/>
      <c r="B3" s="48" t="s">
        <v>37</v>
      </c>
      <c r="C3" s="128">
        <v>44898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M6</f>
        <v>97.216380644951499</v>
      </c>
      <c r="B6" s="36">
        <f t="shared" ref="B6:B13" si="0">IF(H6&gt;$H$2,"",(ROW()-5))</f>
        <v>1</v>
      </c>
      <c r="C6" s="24" t="s">
        <v>18</v>
      </c>
      <c r="D6" s="24" t="s">
        <v>52</v>
      </c>
      <c r="E6" s="24"/>
      <c r="F6" s="24"/>
      <c r="G6" s="8"/>
      <c r="H6" s="17">
        <v>1</v>
      </c>
      <c r="I6" s="18">
        <f t="shared" ref="I6:I65" si="1">IF(H6&lt;$H$2+1,($I$2-($I$2-1)*(LOG(H6)/LOG($H$2))),"")</f>
        <v>50</v>
      </c>
      <c r="J6" s="17">
        <f>INT(LOG($H$2,2))-ROUNDUP(LOG(H6,2),0)+IF(OR($H$2=1,$H$2=2,$H$2=4,$H$2=8,$H$2=16,$H$2=32,$H$2=64,$H$2=128,$H$2=256),0,1)</f>
        <v>3</v>
      </c>
      <c r="K6" s="17">
        <f t="shared" ref="K6:K65" si="2">J6*$J$2</f>
        <v>30</v>
      </c>
      <c r="L6" s="19">
        <f>3*K2</f>
        <v>17.216380644951499</v>
      </c>
      <c r="M6" s="19">
        <f t="shared" ref="M6:M69" si="3">IF(I6&lt;&gt;"",K6+I6+L6,0)</f>
        <v>97.216380644951499</v>
      </c>
    </row>
    <row r="7" spans="1:34" ht="14.45" customHeight="1">
      <c r="A7" s="40">
        <f t="shared" ref="A7:A21" si="4">M7</f>
        <v>64.023434928341246</v>
      </c>
      <c r="B7" s="35">
        <f t="shared" si="0"/>
        <v>2</v>
      </c>
      <c r="C7" s="25" t="s">
        <v>22</v>
      </c>
      <c r="D7" s="25" t="s">
        <v>53</v>
      </c>
      <c r="E7" s="25"/>
      <c r="F7" s="25"/>
      <c r="G7" s="8"/>
      <c r="H7" s="44">
        <v>2</v>
      </c>
      <c r="I7" s="45">
        <f t="shared" si="1"/>
        <v>32.545847831706908</v>
      </c>
      <c r="J7" s="44">
        <f t="shared" ref="J7:J65" si="5">INT(LOG($H$2,2))-ROUNDUP(LOG(H7,2),0)+IF(OR($H$2=1,$H$2=2,$H$2=4,$H$2=8,$H$2=16,$H$2=32,$H$2=64,$H$2=128,$H$2=256),0,1)</f>
        <v>2</v>
      </c>
      <c r="K7" s="44">
        <f t="shared" si="2"/>
        <v>20</v>
      </c>
      <c r="L7" s="46">
        <f>2*K2</f>
        <v>11.477587096634334</v>
      </c>
      <c r="M7" s="46">
        <f t="shared" si="3"/>
        <v>64.023434928341246</v>
      </c>
    </row>
    <row r="8" spans="1:34" ht="14.45" customHeight="1">
      <c r="A8" s="39">
        <f t="shared" si="4"/>
        <v>38.074616879691767</v>
      </c>
      <c r="B8" s="36">
        <f t="shared" si="0"/>
        <v>3</v>
      </c>
      <c r="C8" s="24" t="s">
        <v>19</v>
      </c>
      <c r="D8" s="24" t="s">
        <v>54</v>
      </c>
      <c r="E8" s="24"/>
      <c r="F8" s="24"/>
      <c r="G8" s="8"/>
      <c r="H8" s="17">
        <v>3</v>
      </c>
      <c r="I8" s="18">
        <f t="shared" si="1"/>
        <v>22.335823331374595</v>
      </c>
      <c r="J8" s="17">
        <f t="shared" si="5"/>
        <v>1</v>
      </c>
      <c r="K8" s="17">
        <f t="shared" si="2"/>
        <v>10</v>
      </c>
      <c r="L8" s="19">
        <f>K2</f>
        <v>5.738793548317167</v>
      </c>
      <c r="M8" s="19">
        <f t="shared" si="3"/>
        <v>38.074616879691767</v>
      </c>
    </row>
    <row r="9" spans="1:34" ht="14.45" customHeight="1">
      <c r="A9" s="40">
        <f t="shared" si="4"/>
        <v>25.091695663413823</v>
      </c>
      <c r="B9" s="35">
        <f t="shared" si="0"/>
        <v>4</v>
      </c>
      <c r="C9" s="25" t="s">
        <v>20</v>
      </c>
      <c r="D9" s="25" t="s">
        <v>55</v>
      </c>
      <c r="E9" s="25"/>
      <c r="F9" s="25"/>
      <c r="G9" s="8"/>
      <c r="H9" s="44">
        <v>4</v>
      </c>
      <c r="I9" s="45">
        <f t="shared" si="1"/>
        <v>15.091695663413823</v>
      </c>
      <c r="J9" s="44">
        <f t="shared" si="5"/>
        <v>1</v>
      </c>
      <c r="K9" s="44">
        <f t="shared" si="2"/>
        <v>10</v>
      </c>
      <c r="L9" s="46"/>
      <c r="M9" s="46">
        <f t="shared" si="3"/>
        <v>25.091695663413823</v>
      </c>
      <c r="V9" s="27"/>
      <c r="Z9" s="28"/>
      <c r="AA9" s="28"/>
      <c r="AG9" s="29"/>
    </row>
    <row r="10" spans="1:34" ht="14.45" customHeight="1">
      <c r="A10" s="39">
        <f t="shared" si="4"/>
        <v>9.472713708001109</v>
      </c>
      <c r="B10" s="36">
        <f t="shared" si="0"/>
        <v>5</v>
      </c>
      <c r="C10" s="24" t="s">
        <v>23</v>
      </c>
      <c r="D10" s="24" t="s">
        <v>56</v>
      </c>
      <c r="E10" s="24"/>
      <c r="F10" s="24"/>
      <c r="G10" s="8"/>
      <c r="H10" s="17">
        <v>5</v>
      </c>
      <c r="I10" s="18">
        <f t="shared" si="1"/>
        <v>9.472713708001109</v>
      </c>
      <c r="J10" s="17">
        <f t="shared" si="5"/>
        <v>0</v>
      </c>
      <c r="K10" s="17">
        <f t="shared" si="2"/>
        <v>0</v>
      </c>
      <c r="L10" s="17"/>
      <c r="M10" s="19">
        <f t="shared" si="3"/>
        <v>9.472713708001109</v>
      </c>
      <c r="V10" s="27"/>
      <c r="Z10" s="28"/>
      <c r="AA10" s="28"/>
      <c r="AG10" s="29"/>
    </row>
    <row r="11" spans="1:34" ht="14.45" customHeight="1">
      <c r="A11" s="40">
        <f t="shared" si="4"/>
        <v>4.8816711630815135</v>
      </c>
      <c r="B11" s="35">
        <f t="shared" si="0"/>
        <v>6</v>
      </c>
      <c r="C11" s="25" t="s">
        <v>29</v>
      </c>
      <c r="D11" s="25" t="s">
        <v>57</v>
      </c>
      <c r="E11" s="25"/>
      <c r="F11" s="25"/>
      <c r="G11" s="8"/>
      <c r="H11" s="44">
        <v>6</v>
      </c>
      <c r="I11" s="45">
        <f t="shared" si="1"/>
        <v>4.8816711630815135</v>
      </c>
      <c r="J11" s="44">
        <f t="shared" si="5"/>
        <v>0</v>
      </c>
      <c r="K11" s="44">
        <f t="shared" si="2"/>
        <v>0</v>
      </c>
      <c r="L11" s="44"/>
      <c r="M11" s="46">
        <f t="shared" si="3"/>
        <v>4.8816711630815135</v>
      </c>
      <c r="V11" s="30"/>
      <c r="Z11" s="28"/>
      <c r="AA11" s="28"/>
      <c r="AG11" s="29"/>
    </row>
    <row r="12" spans="1:34" ht="14.45" customHeight="1">
      <c r="A12" s="39">
        <f t="shared" si="4"/>
        <v>1</v>
      </c>
      <c r="B12" s="36">
        <f t="shared" si="0"/>
        <v>7</v>
      </c>
      <c r="C12" s="24" t="s">
        <v>26</v>
      </c>
      <c r="D12" s="24" t="s">
        <v>58</v>
      </c>
      <c r="E12" s="24"/>
      <c r="F12" s="24"/>
      <c r="G12" s="8"/>
      <c r="H12" s="17">
        <v>7</v>
      </c>
      <c r="I12" s="18">
        <f t="shared" si="1"/>
        <v>1</v>
      </c>
      <c r="J12" s="17">
        <f t="shared" si="5"/>
        <v>0</v>
      </c>
      <c r="K12" s="17">
        <f t="shared" si="2"/>
        <v>0</v>
      </c>
      <c r="L12" s="17"/>
      <c r="M12" s="19">
        <f t="shared" si="3"/>
        <v>1</v>
      </c>
      <c r="Z12" s="28"/>
      <c r="AA12" s="28"/>
      <c r="AG12" s="29"/>
    </row>
    <row r="13" spans="1:34" ht="14.45" customHeight="1">
      <c r="A13" s="41">
        <f t="shared" si="4"/>
        <v>0</v>
      </c>
      <c r="B13" s="35" t="str">
        <f t="shared" si="0"/>
        <v/>
      </c>
      <c r="C13" s="25"/>
      <c r="D13" s="25"/>
      <c r="E13" s="25"/>
      <c r="F13" s="25"/>
      <c r="G13" s="8"/>
      <c r="H13" s="44">
        <v>8</v>
      </c>
      <c r="I13" s="45" t="str">
        <f t="shared" si="1"/>
        <v/>
      </c>
      <c r="J13" s="44">
        <f t="shared" si="5"/>
        <v>0</v>
      </c>
      <c r="K13" s="44">
        <f t="shared" si="2"/>
        <v>0</v>
      </c>
      <c r="L13" s="44"/>
      <c r="M13" s="46">
        <f t="shared" si="3"/>
        <v>0</v>
      </c>
      <c r="X13" s="27"/>
      <c r="AG13" s="29"/>
    </row>
    <row r="14" spans="1:34">
      <c r="A14" s="42">
        <f t="shared" si="4"/>
        <v>0</v>
      </c>
      <c r="B14" s="36" t="str">
        <f>IF(H14&gt;$H$2,"",(ROW()-5))</f>
        <v/>
      </c>
      <c r="C14" s="24"/>
      <c r="D14" s="24"/>
      <c r="E14" s="24"/>
      <c r="F14" s="24"/>
      <c r="G14" s="8"/>
      <c r="H14" s="17">
        <v>9</v>
      </c>
      <c r="I14" s="18" t="str">
        <f t="shared" si="1"/>
        <v/>
      </c>
      <c r="J14" s="17">
        <f t="shared" si="5"/>
        <v>-1</v>
      </c>
      <c r="K14" s="17">
        <f t="shared" si="2"/>
        <v>-10</v>
      </c>
      <c r="L14" s="17"/>
      <c r="M14" s="19">
        <f t="shared" si="3"/>
        <v>0</v>
      </c>
      <c r="X14" s="31"/>
      <c r="Z14" s="28"/>
      <c r="AA14" s="28"/>
      <c r="AG14" s="29"/>
    </row>
    <row r="15" spans="1:34">
      <c r="A15" s="41">
        <f t="shared" si="4"/>
        <v>0</v>
      </c>
      <c r="B15" s="35" t="str">
        <f t="shared" ref="B15:B65" si="6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1"/>
        <v/>
      </c>
      <c r="J15" s="44">
        <f t="shared" si="5"/>
        <v>-1</v>
      </c>
      <c r="K15" s="44">
        <f t="shared" si="2"/>
        <v>-10</v>
      </c>
      <c r="L15" s="44"/>
      <c r="M15" s="46">
        <f t="shared" si="3"/>
        <v>0</v>
      </c>
      <c r="X15" s="27"/>
      <c r="Z15" s="28"/>
      <c r="AA15" s="28"/>
    </row>
    <row r="16" spans="1:34">
      <c r="A16" s="42">
        <f t="shared" si="4"/>
        <v>0</v>
      </c>
      <c r="B16" s="36" t="str">
        <f t="shared" si="6"/>
        <v/>
      </c>
      <c r="C16" s="24"/>
      <c r="D16" s="24"/>
      <c r="E16" s="24"/>
      <c r="F16" s="24"/>
      <c r="G16" s="8"/>
      <c r="H16" s="17">
        <v>11</v>
      </c>
      <c r="I16" s="18" t="str">
        <f t="shared" si="1"/>
        <v/>
      </c>
      <c r="J16" s="17">
        <f t="shared" si="5"/>
        <v>-1</v>
      </c>
      <c r="K16" s="17">
        <f t="shared" si="2"/>
        <v>-10</v>
      </c>
      <c r="L16" s="17"/>
      <c r="M16" s="19">
        <f t="shared" si="3"/>
        <v>0</v>
      </c>
      <c r="R16" s="49"/>
      <c r="Z16" s="28"/>
      <c r="AA16" s="28"/>
      <c r="AH16" s="33"/>
    </row>
    <row r="17" spans="1:19">
      <c r="A17" s="41">
        <f t="shared" si="4"/>
        <v>0</v>
      </c>
      <c r="B17" s="35" t="str">
        <f t="shared" si="6"/>
        <v/>
      </c>
      <c r="C17" s="25"/>
      <c r="D17" s="25"/>
      <c r="E17" s="25"/>
      <c r="F17" s="25"/>
      <c r="G17" s="8"/>
      <c r="H17" s="44">
        <v>12</v>
      </c>
      <c r="I17" s="45" t="str">
        <f t="shared" si="1"/>
        <v/>
      </c>
      <c r="J17" s="44">
        <f t="shared" si="5"/>
        <v>-1</v>
      </c>
      <c r="K17" s="44">
        <f t="shared" si="2"/>
        <v>-10</v>
      </c>
      <c r="L17" s="44"/>
      <c r="M17" s="46">
        <f t="shared" si="3"/>
        <v>0</v>
      </c>
    </row>
    <row r="18" spans="1:19">
      <c r="A18" s="42">
        <f t="shared" si="4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1"/>
        <v/>
      </c>
      <c r="J18" s="17">
        <f t="shared" si="5"/>
        <v>-1</v>
      </c>
      <c r="K18" s="17">
        <f t="shared" si="2"/>
        <v>-10</v>
      </c>
      <c r="L18" s="17"/>
      <c r="M18" s="19">
        <f t="shared" si="3"/>
        <v>0</v>
      </c>
    </row>
    <row r="19" spans="1:19">
      <c r="A19" s="41">
        <f t="shared" si="4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1"/>
        <v/>
      </c>
      <c r="J19" s="44">
        <f t="shared" si="5"/>
        <v>-1</v>
      </c>
      <c r="K19" s="44">
        <f t="shared" si="2"/>
        <v>-10</v>
      </c>
      <c r="L19" s="44"/>
      <c r="M19" s="46">
        <f t="shared" si="3"/>
        <v>0</v>
      </c>
    </row>
    <row r="20" spans="1:19">
      <c r="A20" s="42">
        <f t="shared" si="4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1"/>
        <v/>
      </c>
      <c r="J20" s="17">
        <f t="shared" si="5"/>
        <v>-1</v>
      </c>
      <c r="K20" s="17">
        <f t="shared" si="2"/>
        <v>-10</v>
      </c>
      <c r="L20" s="17"/>
      <c r="M20" s="19">
        <f t="shared" si="3"/>
        <v>0</v>
      </c>
      <c r="R20" s="50"/>
      <c r="S20" s="34"/>
    </row>
    <row r="21" spans="1:19">
      <c r="A21" s="41">
        <f t="shared" si="4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1"/>
        <v/>
      </c>
      <c r="J21" s="44">
        <f t="shared" si="5"/>
        <v>-1</v>
      </c>
      <c r="K21" s="44">
        <f t="shared" si="2"/>
        <v>-10</v>
      </c>
      <c r="L21" s="44"/>
      <c r="M21" s="46">
        <f t="shared" si="3"/>
        <v>0</v>
      </c>
    </row>
    <row r="22" spans="1:19">
      <c r="A22" s="42">
        <f t="shared" ref="A22:A37" si="7">M22</f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1"/>
        <v/>
      </c>
      <c r="J22" s="17">
        <f t="shared" si="5"/>
        <v>-2</v>
      </c>
      <c r="K22" s="17">
        <f t="shared" si="2"/>
        <v>-20</v>
      </c>
      <c r="L22" s="17"/>
      <c r="M22" s="19">
        <f t="shared" si="3"/>
        <v>0</v>
      </c>
    </row>
    <row r="23" spans="1:19">
      <c r="A23" s="41">
        <f t="shared" si="7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1"/>
        <v/>
      </c>
      <c r="J23" s="44">
        <f t="shared" si="5"/>
        <v>-2</v>
      </c>
      <c r="K23" s="44">
        <f t="shared" si="2"/>
        <v>-20</v>
      </c>
      <c r="L23" s="44"/>
      <c r="M23" s="46">
        <f t="shared" si="3"/>
        <v>0</v>
      </c>
    </row>
    <row r="24" spans="1:19">
      <c r="A24" s="42">
        <f t="shared" si="7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1"/>
        <v/>
      </c>
      <c r="J24" s="17">
        <f t="shared" si="5"/>
        <v>-2</v>
      </c>
      <c r="K24" s="17">
        <f t="shared" si="2"/>
        <v>-20</v>
      </c>
      <c r="L24" s="17"/>
      <c r="M24" s="19">
        <f t="shared" si="3"/>
        <v>0</v>
      </c>
      <c r="R24" s="50"/>
      <c r="S24" s="34"/>
    </row>
    <row r="25" spans="1:19">
      <c r="A25" s="41">
        <f t="shared" si="7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1"/>
        <v/>
      </c>
      <c r="J25" s="44">
        <f t="shared" si="5"/>
        <v>-2</v>
      </c>
      <c r="K25" s="44">
        <f t="shared" si="2"/>
        <v>-20</v>
      </c>
      <c r="L25" s="44"/>
      <c r="M25" s="46">
        <f t="shared" si="3"/>
        <v>0</v>
      </c>
    </row>
    <row r="26" spans="1:19">
      <c r="A26" s="42">
        <f t="shared" si="7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1"/>
        <v/>
      </c>
      <c r="J26" s="17">
        <f t="shared" si="5"/>
        <v>-2</v>
      </c>
      <c r="K26" s="17">
        <f t="shared" si="2"/>
        <v>-20</v>
      </c>
      <c r="L26" s="17"/>
      <c r="M26" s="19">
        <f t="shared" si="3"/>
        <v>0</v>
      </c>
    </row>
    <row r="27" spans="1:19">
      <c r="A27" s="41">
        <f t="shared" si="7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1"/>
        <v/>
      </c>
      <c r="J27" s="44">
        <f t="shared" si="5"/>
        <v>-2</v>
      </c>
      <c r="K27" s="44">
        <f t="shared" si="2"/>
        <v>-20</v>
      </c>
      <c r="L27" s="44"/>
      <c r="M27" s="46">
        <f t="shared" si="3"/>
        <v>0</v>
      </c>
    </row>
    <row r="28" spans="1:19">
      <c r="A28" s="42">
        <f t="shared" si="7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1"/>
        <v/>
      </c>
      <c r="J28" s="17">
        <f t="shared" si="5"/>
        <v>-2</v>
      </c>
      <c r="K28" s="17">
        <f t="shared" si="2"/>
        <v>-20</v>
      </c>
      <c r="L28" s="17"/>
      <c r="M28" s="19">
        <f t="shared" si="3"/>
        <v>0</v>
      </c>
      <c r="R28" s="50"/>
      <c r="S28" s="34"/>
    </row>
    <row r="29" spans="1:19">
      <c r="A29" s="41">
        <f t="shared" si="7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1"/>
        <v/>
      </c>
      <c r="J29" s="44">
        <f t="shared" si="5"/>
        <v>-2</v>
      </c>
      <c r="K29" s="44">
        <f t="shared" si="2"/>
        <v>-20</v>
      </c>
      <c r="L29" s="44"/>
      <c r="M29" s="46">
        <f t="shared" si="3"/>
        <v>0</v>
      </c>
    </row>
    <row r="30" spans="1:19">
      <c r="A30" s="42">
        <f t="shared" si="7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1"/>
        <v/>
      </c>
      <c r="J30" s="17">
        <f t="shared" si="5"/>
        <v>-2</v>
      </c>
      <c r="K30" s="17">
        <f t="shared" si="2"/>
        <v>-20</v>
      </c>
      <c r="L30" s="17"/>
      <c r="M30" s="19">
        <f t="shared" si="3"/>
        <v>0</v>
      </c>
    </row>
    <row r="31" spans="1:19">
      <c r="A31" s="41">
        <f t="shared" si="7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1"/>
        <v/>
      </c>
      <c r="J31" s="44">
        <f t="shared" si="5"/>
        <v>-2</v>
      </c>
      <c r="K31" s="44">
        <f t="shared" si="2"/>
        <v>-20</v>
      </c>
      <c r="L31" s="44"/>
      <c r="M31" s="46">
        <f t="shared" si="3"/>
        <v>0</v>
      </c>
    </row>
    <row r="32" spans="1:19">
      <c r="A32" s="42">
        <f t="shared" si="7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1"/>
        <v/>
      </c>
      <c r="J32" s="17">
        <f t="shared" si="5"/>
        <v>-2</v>
      </c>
      <c r="K32" s="17">
        <f t="shared" si="2"/>
        <v>-20</v>
      </c>
      <c r="L32" s="17"/>
      <c r="M32" s="19">
        <f t="shared" si="3"/>
        <v>0</v>
      </c>
      <c r="R32" s="50"/>
      <c r="S32" s="34"/>
    </row>
    <row r="33" spans="1:19">
      <c r="A33" s="41">
        <f t="shared" si="7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1"/>
        <v/>
      </c>
      <c r="J33" s="44">
        <f t="shared" si="5"/>
        <v>-2</v>
      </c>
      <c r="K33" s="44">
        <f t="shared" si="2"/>
        <v>-20</v>
      </c>
      <c r="L33" s="44"/>
      <c r="M33" s="46">
        <f t="shared" si="3"/>
        <v>0</v>
      </c>
    </row>
    <row r="34" spans="1:19">
      <c r="A34" s="42">
        <f t="shared" si="7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1"/>
        <v/>
      </c>
      <c r="J34" s="17">
        <f t="shared" si="5"/>
        <v>-2</v>
      </c>
      <c r="K34" s="17">
        <f t="shared" si="2"/>
        <v>-20</v>
      </c>
      <c r="L34" s="17"/>
      <c r="M34" s="19">
        <f t="shared" si="3"/>
        <v>0</v>
      </c>
    </row>
    <row r="35" spans="1:19">
      <c r="A35" s="41">
        <f t="shared" si="7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1"/>
        <v/>
      </c>
      <c r="J35" s="44">
        <f t="shared" si="5"/>
        <v>-2</v>
      </c>
      <c r="K35" s="44">
        <f t="shared" si="2"/>
        <v>-20</v>
      </c>
      <c r="L35" s="44"/>
      <c r="M35" s="46">
        <f t="shared" si="3"/>
        <v>0</v>
      </c>
    </row>
    <row r="36" spans="1:19">
      <c r="A36" s="42">
        <f t="shared" si="7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1"/>
        <v/>
      </c>
      <c r="J36" s="17">
        <f t="shared" si="5"/>
        <v>-2</v>
      </c>
      <c r="K36" s="17">
        <f t="shared" si="2"/>
        <v>-20</v>
      </c>
      <c r="L36" s="17"/>
      <c r="M36" s="19">
        <f t="shared" si="3"/>
        <v>0</v>
      </c>
      <c r="R36" s="50"/>
      <c r="S36" s="34"/>
    </row>
    <row r="37" spans="1:19">
      <c r="A37" s="41">
        <f t="shared" si="7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1"/>
        <v/>
      </c>
      <c r="J37" s="44">
        <f t="shared" si="5"/>
        <v>-2</v>
      </c>
      <c r="K37" s="44">
        <f t="shared" si="2"/>
        <v>-20</v>
      </c>
      <c r="L37" s="44"/>
      <c r="M37" s="46">
        <f t="shared" si="3"/>
        <v>0</v>
      </c>
    </row>
    <row r="38" spans="1:19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1"/>
        <v/>
      </c>
      <c r="J38" s="17">
        <f t="shared" si="5"/>
        <v>-3</v>
      </c>
      <c r="K38" s="17">
        <f t="shared" si="2"/>
        <v>-30</v>
      </c>
      <c r="L38" s="17"/>
      <c r="M38" s="19">
        <f t="shared" si="3"/>
        <v>0</v>
      </c>
    </row>
    <row r="39" spans="1:19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1"/>
        <v/>
      </c>
      <c r="J39" s="44">
        <f t="shared" si="5"/>
        <v>-3</v>
      </c>
      <c r="K39" s="44">
        <f t="shared" si="2"/>
        <v>-30</v>
      </c>
      <c r="L39" s="44"/>
      <c r="M39" s="46">
        <f t="shared" si="3"/>
        <v>0</v>
      </c>
    </row>
    <row r="40" spans="1:19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1"/>
        <v/>
      </c>
      <c r="J40" s="17">
        <f t="shared" si="5"/>
        <v>-3</v>
      </c>
      <c r="K40" s="17">
        <f t="shared" si="2"/>
        <v>-30</v>
      </c>
      <c r="L40" s="17"/>
      <c r="M40" s="19">
        <f t="shared" si="3"/>
        <v>0</v>
      </c>
    </row>
    <row r="41" spans="1:19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1"/>
        <v/>
      </c>
      <c r="J41" s="44">
        <f t="shared" si="5"/>
        <v>-3</v>
      </c>
      <c r="K41" s="44">
        <f t="shared" si="2"/>
        <v>-30</v>
      </c>
      <c r="L41" s="44"/>
      <c r="M41" s="46">
        <f t="shared" si="3"/>
        <v>0</v>
      </c>
      <c r="S41" s="32"/>
    </row>
    <row r="42" spans="1:19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1"/>
        <v/>
      </c>
      <c r="J42" s="17">
        <f t="shared" si="5"/>
        <v>-3</v>
      </c>
      <c r="K42" s="17">
        <f t="shared" si="2"/>
        <v>-30</v>
      </c>
      <c r="L42" s="17"/>
      <c r="M42" s="19">
        <f t="shared" si="3"/>
        <v>0</v>
      </c>
    </row>
    <row r="43" spans="1:19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1"/>
        <v/>
      </c>
      <c r="J43" s="44">
        <f t="shared" si="5"/>
        <v>-3</v>
      </c>
      <c r="K43" s="44">
        <f t="shared" si="2"/>
        <v>-30</v>
      </c>
      <c r="L43" s="44"/>
      <c r="M43" s="46">
        <f t="shared" si="3"/>
        <v>0</v>
      </c>
    </row>
    <row r="44" spans="1:19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1"/>
        <v/>
      </c>
      <c r="J44" s="17">
        <f t="shared" si="5"/>
        <v>-3</v>
      </c>
      <c r="K44" s="17">
        <f t="shared" si="2"/>
        <v>-30</v>
      </c>
      <c r="L44" s="17"/>
      <c r="M44" s="19">
        <f t="shared" si="3"/>
        <v>0</v>
      </c>
    </row>
    <row r="45" spans="1:19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1"/>
        <v/>
      </c>
      <c r="J45" s="44">
        <f t="shared" si="5"/>
        <v>-3</v>
      </c>
      <c r="K45" s="44">
        <f t="shared" si="2"/>
        <v>-30</v>
      </c>
      <c r="L45" s="44"/>
      <c r="M45" s="46">
        <f t="shared" si="3"/>
        <v>0</v>
      </c>
    </row>
    <row r="46" spans="1:19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1"/>
        <v/>
      </c>
      <c r="J46" s="17">
        <f t="shared" si="5"/>
        <v>-3</v>
      </c>
      <c r="K46" s="17">
        <f t="shared" si="2"/>
        <v>-30</v>
      </c>
      <c r="L46" s="17"/>
      <c r="M46" s="19">
        <f t="shared" si="3"/>
        <v>0</v>
      </c>
    </row>
    <row r="47" spans="1:19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1"/>
        <v/>
      </c>
      <c r="J47" s="44">
        <f t="shared" si="5"/>
        <v>-3</v>
      </c>
      <c r="K47" s="44">
        <f t="shared" si="2"/>
        <v>-30</v>
      </c>
      <c r="L47" s="44"/>
      <c r="M47" s="46">
        <f t="shared" si="3"/>
        <v>0</v>
      </c>
    </row>
    <row r="48" spans="1:19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1"/>
        <v/>
      </c>
      <c r="J48" s="17">
        <f t="shared" si="5"/>
        <v>-3</v>
      </c>
      <c r="K48" s="17">
        <f t="shared" si="2"/>
        <v>-30</v>
      </c>
      <c r="L48" s="17"/>
      <c r="M48" s="19">
        <f t="shared" si="3"/>
        <v>0</v>
      </c>
    </row>
    <row r="49" spans="1:13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1"/>
        <v/>
      </c>
      <c r="J49" s="44">
        <f t="shared" si="5"/>
        <v>-3</v>
      </c>
      <c r="K49" s="44">
        <f t="shared" si="2"/>
        <v>-30</v>
      </c>
      <c r="L49" s="44"/>
      <c r="M49" s="46">
        <f t="shared" si="3"/>
        <v>0</v>
      </c>
    </row>
    <row r="50" spans="1:13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1"/>
        <v/>
      </c>
      <c r="J50" s="17">
        <f t="shared" si="5"/>
        <v>-3</v>
      </c>
      <c r="K50" s="17">
        <f t="shared" si="2"/>
        <v>-30</v>
      </c>
      <c r="L50" s="17"/>
      <c r="M50" s="19">
        <f t="shared" si="3"/>
        <v>0</v>
      </c>
    </row>
    <row r="51" spans="1:13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1"/>
        <v/>
      </c>
      <c r="J51" s="44">
        <f t="shared" si="5"/>
        <v>-3</v>
      </c>
      <c r="K51" s="44">
        <f t="shared" si="2"/>
        <v>-30</v>
      </c>
      <c r="L51" s="44"/>
      <c r="M51" s="46">
        <f t="shared" si="3"/>
        <v>0</v>
      </c>
    </row>
    <row r="52" spans="1:13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1"/>
        <v/>
      </c>
      <c r="J52" s="17">
        <f t="shared" si="5"/>
        <v>-3</v>
      </c>
      <c r="K52" s="17">
        <f t="shared" si="2"/>
        <v>-30</v>
      </c>
      <c r="L52" s="17"/>
      <c r="M52" s="19">
        <f t="shared" si="3"/>
        <v>0</v>
      </c>
    </row>
    <row r="53" spans="1:13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1"/>
        <v/>
      </c>
      <c r="J53" s="44">
        <f t="shared" si="5"/>
        <v>-3</v>
      </c>
      <c r="K53" s="44">
        <f t="shared" si="2"/>
        <v>-30</v>
      </c>
      <c r="L53" s="44"/>
      <c r="M53" s="46">
        <f t="shared" si="3"/>
        <v>0</v>
      </c>
    </row>
    <row r="54" spans="1:13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1"/>
        <v/>
      </c>
      <c r="J54" s="17">
        <f t="shared" si="5"/>
        <v>-3</v>
      </c>
      <c r="K54" s="17">
        <f t="shared" si="2"/>
        <v>-30</v>
      </c>
      <c r="L54" s="17"/>
      <c r="M54" s="19">
        <f t="shared" si="3"/>
        <v>0</v>
      </c>
    </row>
    <row r="55" spans="1:13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1"/>
        <v/>
      </c>
      <c r="J55" s="44">
        <f t="shared" si="5"/>
        <v>-3</v>
      </c>
      <c r="K55" s="44">
        <f t="shared" si="2"/>
        <v>-30</v>
      </c>
      <c r="L55" s="44"/>
      <c r="M55" s="46">
        <f t="shared" si="3"/>
        <v>0</v>
      </c>
    </row>
    <row r="56" spans="1:13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1"/>
        <v/>
      </c>
      <c r="J56" s="17">
        <f t="shared" si="5"/>
        <v>-3</v>
      </c>
      <c r="K56" s="17">
        <f t="shared" si="2"/>
        <v>-30</v>
      </c>
      <c r="L56" s="17"/>
      <c r="M56" s="19">
        <f t="shared" si="3"/>
        <v>0</v>
      </c>
    </row>
    <row r="57" spans="1:13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1"/>
        <v/>
      </c>
      <c r="J57" s="44">
        <f t="shared" si="5"/>
        <v>-3</v>
      </c>
      <c r="K57" s="44">
        <f t="shared" si="2"/>
        <v>-30</v>
      </c>
      <c r="L57" s="44"/>
      <c r="M57" s="46">
        <f t="shared" si="3"/>
        <v>0</v>
      </c>
    </row>
    <row r="58" spans="1:13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1"/>
        <v/>
      </c>
      <c r="J58" s="17">
        <f t="shared" si="5"/>
        <v>-3</v>
      </c>
      <c r="K58" s="17">
        <f t="shared" si="2"/>
        <v>-30</v>
      </c>
      <c r="L58" s="17"/>
      <c r="M58" s="19">
        <f t="shared" si="3"/>
        <v>0</v>
      </c>
    </row>
    <row r="59" spans="1:13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1"/>
        <v/>
      </c>
      <c r="J59" s="44">
        <f t="shared" si="5"/>
        <v>-3</v>
      </c>
      <c r="K59" s="44">
        <f t="shared" si="2"/>
        <v>-30</v>
      </c>
      <c r="L59" s="44"/>
      <c r="M59" s="46">
        <f t="shared" si="3"/>
        <v>0</v>
      </c>
    </row>
    <row r="60" spans="1:13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1"/>
        <v/>
      </c>
      <c r="J60" s="17">
        <f t="shared" si="5"/>
        <v>-3</v>
      </c>
      <c r="K60" s="17">
        <f t="shared" si="2"/>
        <v>-30</v>
      </c>
      <c r="L60" s="17"/>
      <c r="M60" s="19">
        <f t="shared" si="3"/>
        <v>0</v>
      </c>
    </row>
    <row r="61" spans="1:13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1"/>
        <v/>
      </c>
      <c r="J61" s="44">
        <f t="shared" si="5"/>
        <v>-3</v>
      </c>
      <c r="K61" s="44">
        <f t="shared" si="2"/>
        <v>-30</v>
      </c>
      <c r="L61" s="44"/>
      <c r="M61" s="46">
        <f t="shared" si="3"/>
        <v>0</v>
      </c>
    </row>
    <row r="62" spans="1:13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1"/>
        <v/>
      </c>
      <c r="J62" s="17">
        <f t="shared" si="5"/>
        <v>-3</v>
      </c>
      <c r="K62" s="17">
        <f t="shared" si="2"/>
        <v>-30</v>
      </c>
      <c r="L62" s="17"/>
      <c r="M62" s="19">
        <f t="shared" si="3"/>
        <v>0</v>
      </c>
    </row>
    <row r="63" spans="1:13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1"/>
        <v/>
      </c>
      <c r="J63" s="44">
        <f t="shared" si="5"/>
        <v>-3</v>
      </c>
      <c r="K63" s="44">
        <f t="shared" si="2"/>
        <v>-30</v>
      </c>
      <c r="L63" s="44"/>
      <c r="M63" s="46">
        <f t="shared" si="3"/>
        <v>0</v>
      </c>
    </row>
    <row r="64" spans="1:13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1"/>
        <v/>
      </c>
      <c r="J64" s="17">
        <f t="shared" si="5"/>
        <v>-3</v>
      </c>
      <c r="K64" s="17">
        <f t="shared" si="2"/>
        <v>-30</v>
      </c>
      <c r="L64" s="17"/>
      <c r="M64" s="19">
        <f t="shared" si="3"/>
        <v>0</v>
      </c>
    </row>
    <row r="65" spans="1:13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1"/>
        <v/>
      </c>
      <c r="J65" s="44">
        <f t="shared" si="5"/>
        <v>-3</v>
      </c>
      <c r="K65" s="44">
        <f t="shared" si="2"/>
        <v>-30</v>
      </c>
      <c r="L65" s="44"/>
      <c r="M65" s="46">
        <f t="shared" si="3"/>
        <v>0</v>
      </c>
    </row>
    <row r="66" spans="1:13">
      <c r="A66" s="43"/>
      <c r="B66" s="36"/>
      <c r="G66" s="5"/>
      <c r="H66" s="17">
        <v>61</v>
      </c>
      <c r="I66" s="18" t="str">
        <f t="shared" ref="I66:I69" si="8">IF(H66&lt;$H$2+1,($I$2-($I$2-1)*(LOG(H66)/LOG($H$2))),"")</f>
        <v/>
      </c>
      <c r="J66" s="17">
        <f t="shared" ref="J66:J70" si="9">INT(LOG($H$2,2))-ROUNDUP(LOG(H66,2),0)+IF(OR($H$2=1,$H$2=2,$H$2=4,$H$2=8,$H$2=16,$H$2=32,$H$2=64,$H$2=128,$H$2=256),0,1)</f>
        <v>-3</v>
      </c>
      <c r="K66" s="17">
        <f t="shared" ref="K66:K69" si="10">J66*$J$2</f>
        <v>-30</v>
      </c>
      <c r="L66" s="17"/>
      <c r="M66" s="19">
        <f t="shared" si="3"/>
        <v>0</v>
      </c>
    </row>
    <row r="67" spans="1:13">
      <c r="A67" s="43"/>
      <c r="B67" s="35"/>
      <c r="G67" s="5"/>
      <c r="H67" s="17">
        <v>62</v>
      </c>
      <c r="I67" s="18" t="str">
        <f t="shared" si="8"/>
        <v/>
      </c>
      <c r="J67" s="17">
        <f t="shared" si="9"/>
        <v>-3</v>
      </c>
      <c r="K67" s="17">
        <f t="shared" si="10"/>
        <v>-30</v>
      </c>
      <c r="L67" s="17"/>
      <c r="M67" s="19">
        <f t="shared" si="3"/>
        <v>0</v>
      </c>
    </row>
    <row r="68" spans="1:13">
      <c r="A68" s="43"/>
      <c r="B68" s="36"/>
      <c r="G68" s="5"/>
      <c r="H68" s="17">
        <v>63</v>
      </c>
      <c r="I68" s="18" t="str">
        <f t="shared" si="8"/>
        <v/>
      </c>
      <c r="J68" s="17">
        <f t="shared" si="9"/>
        <v>-3</v>
      </c>
      <c r="K68" s="17">
        <f t="shared" si="10"/>
        <v>-30</v>
      </c>
      <c r="L68" s="17"/>
      <c r="M68" s="19">
        <f t="shared" si="3"/>
        <v>0</v>
      </c>
    </row>
    <row r="69" spans="1:13">
      <c r="A69" s="43"/>
      <c r="B69" s="35"/>
      <c r="G69" s="5"/>
      <c r="H69" s="17">
        <v>64</v>
      </c>
      <c r="I69" s="18" t="str">
        <f t="shared" si="8"/>
        <v/>
      </c>
      <c r="J69" s="17">
        <f t="shared" si="9"/>
        <v>-3</v>
      </c>
      <c r="K69" s="17">
        <f t="shared" si="10"/>
        <v>-30</v>
      </c>
      <c r="L69" s="17"/>
      <c r="M69" s="19">
        <f t="shared" si="3"/>
        <v>0</v>
      </c>
    </row>
    <row r="70" spans="1:13">
      <c r="A70" s="43"/>
      <c r="G70" s="5"/>
      <c r="H70" s="17">
        <v>65</v>
      </c>
      <c r="I70" s="18" t="str">
        <f t="shared" ref="I70:I133" si="11">IF(H70&lt;$H$2+1,($I$2-($I$2-1)*(LOG(H70)/LOG($H$2))),"")</f>
        <v/>
      </c>
      <c r="J70" s="17">
        <f t="shared" si="9"/>
        <v>-4</v>
      </c>
      <c r="K70" s="17">
        <f t="shared" ref="K70:K133" si="12">J70*$J$2</f>
        <v>-40</v>
      </c>
      <c r="L70" s="17"/>
      <c r="M70" s="19">
        <f t="shared" ref="M70:M133" si="13">IF(I70&lt;&gt;"",K70+I70+L70,0)</f>
        <v>0</v>
      </c>
    </row>
    <row r="71" spans="1:13">
      <c r="A71" s="43"/>
      <c r="G71" s="5"/>
      <c r="H71" s="17">
        <v>66</v>
      </c>
      <c r="I71" s="18" t="str">
        <f t="shared" si="11"/>
        <v/>
      </c>
      <c r="J71" s="17">
        <f t="shared" ref="J71:J134" si="14">INT(LOG($H$2,2))-ROUNDUP(LOG(H71,2),0)+IF(OR($H$2=1,$H$2=2,$H$2=4,$H$2=8,$H$2=16,$H$2=32,$H$2=64,$H$2=128,$H$2=256),0,1)</f>
        <v>-4</v>
      </c>
      <c r="K71" s="17">
        <f t="shared" si="12"/>
        <v>-40</v>
      </c>
      <c r="L71" s="17"/>
      <c r="M71" s="19">
        <f t="shared" si="13"/>
        <v>0</v>
      </c>
    </row>
    <row r="72" spans="1:13">
      <c r="A72" s="43"/>
      <c r="G72" s="5"/>
      <c r="H72" s="17">
        <v>67</v>
      </c>
      <c r="I72" s="18" t="str">
        <f t="shared" si="11"/>
        <v/>
      </c>
      <c r="J72" s="17">
        <f t="shared" si="14"/>
        <v>-4</v>
      </c>
      <c r="K72" s="17">
        <f t="shared" si="12"/>
        <v>-40</v>
      </c>
      <c r="L72" s="17"/>
      <c r="M72" s="19">
        <f t="shared" si="13"/>
        <v>0</v>
      </c>
    </row>
    <row r="73" spans="1:13">
      <c r="A73" s="43"/>
      <c r="G73" s="5"/>
      <c r="H73" s="17">
        <v>68</v>
      </c>
      <c r="I73" s="18" t="str">
        <f t="shared" si="11"/>
        <v/>
      </c>
      <c r="J73" s="17">
        <f t="shared" si="14"/>
        <v>-4</v>
      </c>
      <c r="K73" s="17">
        <f t="shared" si="12"/>
        <v>-40</v>
      </c>
      <c r="L73" s="17"/>
      <c r="M73" s="19">
        <f t="shared" si="13"/>
        <v>0</v>
      </c>
    </row>
    <row r="74" spans="1:13">
      <c r="A74" s="43"/>
      <c r="G74" s="5"/>
      <c r="H74" s="17">
        <v>69</v>
      </c>
      <c r="I74" s="18" t="str">
        <f t="shared" si="11"/>
        <v/>
      </c>
      <c r="J74" s="17">
        <f t="shared" si="14"/>
        <v>-4</v>
      </c>
      <c r="K74" s="17">
        <f t="shared" si="12"/>
        <v>-40</v>
      </c>
      <c r="L74" s="17"/>
      <c r="M74" s="19">
        <f t="shared" si="13"/>
        <v>0</v>
      </c>
    </row>
    <row r="75" spans="1:13">
      <c r="A75" s="43"/>
      <c r="G75" s="5"/>
      <c r="H75" s="17">
        <v>70</v>
      </c>
      <c r="I75" s="18" t="str">
        <f t="shared" si="11"/>
        <v/>
      </c>
      <c r="J75" s="17">
        <f t="shared" si="14"/>
        <v>-4</v>
      </c>
      <c r="K75" s="17">
        <f t="shared" si="12"/>
        <v>-40</v>
      </c>
      <c r="L75" s="17"/>
      <c r="M75" s="19">
        <f t="shared" si="13"/>
        <v>0</v>
      </c>
    </row>
    <row r="76" spans="1:13">
      <c r="A76" s="43"/>
      <c r="G76" s="5"/>
      <c r="H76" s="17">
        <v>71</v>
      </c>
      <c r="I76" s="18" t="str">
        <f t="shared" si="11"/>
        <v/>
      </c>
      <c r="J76" s="17">
        <f t="shared" si="14"/>
        <v>-4</v>
      </c>
      <c r="K76" s="17">
        <f t="shared" si="12"/>
        <v>-40</v>
      </c>
      <c r="L76" s="17"/>
      <c r="M76" s="19">
        <f t="shared" si="13"/>
        <v>0</v>
      </c>
    </row>
    <row r="77" spans="1:13">
      <c r="A77" s="43"/>
      <c r="G77" s="5"/>
      <c r="H77" s="17">
        <v>72</v>
      </c>
      <c r="I77" s="18" t="str">
        <f t="shared" si="11"/>
        <v/>
      </c>
      <c r="J77" s="17">
        <f t="shared" si="14"/>
        <v>-4</v>
      </c>
      <c r="K77" s="17">
        <f t="shared" si="12"/>
        <v>-40</v>
      </c>
      <c r="L77" s="17"/>
      <c r="M77" s="19">
        <f t="shared" si="13"/>
        <v>0</v>
      </c>
    </row>
    <row r="78" spans="1:13">
      <c r="A78" s="43"/>
      <c r="G78" s="5"/>
      <c r="H78" s="17">
        <v>73</v>
      </c>
      <c r="I78" s="18" t="str">
        <f t="shared" si="11"/>
        <v/>
      </c>
      <c r="J78" s="17">
        <f t="shared" si="14"/>
        <v>-4</v>
      </c>
      <c r="K78" s="17">
        <f t="shared" si="12"/>
        <v>-40</v>
      </c>
      <c r="L78" s="17"/>
      <c r="M78" s="19">
        <f t="shared" si="13"/>
        <v>0</v>
      </c>
    </row>
    <row r="79" spans="1:13">
      <c r="A79" s="43"/>
      <c r="G79" s="5"/>
      <c r="H79" s="17">
        <v>74</v>
      </c>
      <c r="I79" s="18" t="str">
        <f t="shared" si="11"/>
        <v/>
      </c>
      <c r="J79" s="17">
        <f t="shared" si="14"/>
        <v>-4</v>
      </c>
      <c r="K79" s="17">
        <f t="shared" si="12"/>
        <v>-40</v>
      </c>
      <c r="L79" s="17"/>
      <c r="M79" s="19">
        <f t="shared" si="13"/>
        <v>0</v>
      </c>
    </row>
    <row r="80" spans="1:13">
      <c r="A80" s="43"/>
      <c r="G80" s="5"/>
      <c r="H80" s="17">
        <v>75</v>
      </c>
      <c r="I80" s="18" t="str">
        <f t="shared" si="11"/>
        <v/>
      </c>
      <c r="J80" s="17">
        <f t="shared" si="14"/>
        <v>-4</v>
      </c>
      <c r="K80" s="17">
        <f t="shared" si="12"/>
        <v>-40</v>
      </c>
      <c r="L80" s="17"/>
      <c r="M80" s="19">
        <f t="shared" si="13"/>
        <v>0</v>
      </c>
    </row>
    <row r="81" spans="1:13">
      <c r="A81" s="43"/>
      <c r="G81" s="5"/>
      <c r="H81" s="17">
        <v>76</v>
      </c>
      <c r="I81" s="18" t="str">
        <f t="shared" si="11"/>
        <v/>
      </c>
      <c r="J81" s="17">
        <f t="shared" si="14"/>
        <v>-4</v>
      </c>
      <c r="K81" s="17">
        <f t="shared" si="12"/>
        <v>-40</v>
      </c>
      <c r="L81" s="17"/>
      <c r="M81" s="19">
        <f t="shared" si="13"/>
        <v>0</v>
      </c>
    </row>
    <row r="82" spans="1:13">
      <c r="A82" s="43"/>
      <c r="G82" s="5"/>
      <c r="H82" s="17">
        <v>77</v>
      </c>
      <c r="I82" s="18" t="str">
        <f t="shared" si="11"/>
        <v/>
      </c>
      <c r="J82" s="17">
        <f t="shared" si="14"/>
        <v>-4</v>
      </c>
      <c r="K82" s="17">
        <f t="shared" si="12"/>
        <v>-40</v>
      </c>
      <c r="L82" s="17"/>
      <c r="M82" s="19">
        <f t="shared" si="13"/>
        <v>0</v>
      </c>
    </row>
    <row r="83" spans="1:13">
      <c r="A83" s="43"/>
      <c r="G83" s="5"/>
      <c r="H83" s="17">
        <v>78</v>
      </c>
      <c r="I83" s="18" t="str">
        <f t="shared" si="11"/>
        <v/>
      </c>
      <c r="J83" s="17">
        <f t="shared" si="14"/>
        <v>-4</v>
      </c>
      <c r="K83" s="17">
        <f t="shared" si="12"/>
        <v>-40</v>
      </c>
      <c r="L83" s="17"/>
      <c r="M83" s="19">
        <f t="shared" si="13"/>
        <v>0</v>
      </c>
    </row>
    <row r="84" spans="1:13">
      <c r="A84" s="43"/>
      <c r="G84" s="5"/>
      <c r="H84" s="17">
        <v>79</v>
      </c>
      <c r="I84" s="18" t="str">
        <f t="shared" si="11"/>
        <v/>
      </c>
      <c r="J84" s="17">
        <f t="shared" si="14"/>
        <v>-4</v>
      </c>
      <c r="K84" s="17">
        <f t="shared" si="12"/>
        <v>-40</v>
      </c>
      <c r="L84" s="17"/>
      <c r="M84" s="19">
        <f t="shared" si="13"/>
        <v>0</v>
      </c>
    </row>
    <row r="85" spans="1:13">
      <c r="A85" s="43"/>
      <c r="G85" s="5"/>
      <c r="H85" s="17">
        <v>80</v>
      </c>
      <c r="I85" s="18" t="str">
        <f t="shared" si="11"/>
        <v/>
      </c>
      <c r="J85" s="17">
        <f t="shared" si="14"/>
        <v>-4</v>
      </c>
      <c r="K85" s="17">
        <f t="shared" si="12"/>
        <v>-40</v>
      </c>
      <c r="L85" s="17"/>
      <c r="M85" s="19">
        <f t="shared" si="13"/>
        <v>0</v>
      </c>
    </row>
    <row r="86" spans="1:13">
      <c r="A86" s="43"/>
      <c r="G86" s="5"/>
      <c r="H86" s="17">
        <v>81</v>
      </c>
      <c r="I86" s="18" t="str">
        <f t="shared" si="11"/>
        <v/>
      </c>
      <c r="J86" s="17">
        <f t="shared" si="14"/>
        <v>-4</v>
      </c>
      <c r="K86" s="17">
        <f t="shared" si="12"/>
        <v>-40</v>
      </c>
      <c r="L86" s="17"/>
      <c r="M86" s="19">
        <f t="shared" si="13"/>
        <v>0</v>
      </c>
    </row>
    <row r="87" spans="1:13">
      <c r="A87" s="43"/>
      <c r="G87" s="5"/>
      <c r="H87" s="17">
        <v>82</v>
      </c>
      <c r="I87" s="18" t="str">
        <f t="shared" si="11"/>
        <v/>
      </c>
      <c r="J87" s="17">
        <f t="shared" si="14"/>
        <v>-4</v>
      </c>
      <c r="K87" s="17">
        <f t="shared" si="12"/>
        <v>-40</v>
      </c>
      <c r="L87" s="17"/>
      <c r="M87" s="19">
        <f t="shared" si="13"/>
        <v>0</v>
      </c>
    </row>
    <row r="88" spans="1:13">
      <c r="A88" s="43"/>
      <c r="G88" s="5"/>
      <c r="H88" s="17">
        <v>83</v>
      </c>
      <c r="I88" s="18" t="str">
        <f t="shared" si="11"/>
        <v/>
      </c>
      <c r="J88" s="17">
        <f t="shared" si="14"/>
        <v>-4</v>
      </c>
      <c r="K88" s="17">
        <f t="shared" si="12"/>
        <v>-40</v>
      </c>
      <c r="L88" s="17"/>
      <c r="M88" s="19">
        <f t="shared" si="13"/>
        <v>0</v>
      </c>
    </row>
    <row r="89" spans="1:13">
      <c r="A89" s="43"/>
      <c r="G89" s="5"/>
      <c r="H89" s="17">
        <v>84</v>
      </c>
      <c r="I89" s="18" t="str">
        <f t="shared" si="11"/>
        <v/>
      </c>
      <c r="J89" s="17">
        <f t="shared" si="14"/>
        <v>-4</v>
      </c>
      <c r="K89" s="17">
        <f t="shared" si="12"/>
        <v>-40</v>
      </c>
      <c r="L89" s="17"/>
      <c r="M89" s="19">
        <f t="shared" si="13"/>
        <v>0</v>
      </c>
    </row>
    <row r="90" spans="1:13">
      <c r="A90" s="43"/>
      <c r="G90" s="5"/>
      <c r="H90" s="17">
        <v>85</v>
      </c>
      <c r="I90" s="18" t="str">
        <f t="shared" si="11"/>
        <v/>
      </c>
      <c r="J90" s="17">
        <f t="shared" si="14"/>
        <v>-4</v>
      </c>
      <c r="K90" s="17">
        <f t="shared" si="12"/>
        <v>-40</v>
      </c>
      <c r="L90" s="17"/>
      <c r="M90" s="19">
        <f t="shared" si="13"/>
        <v>0</v>
      </c>
    </row>
    <row r="91" spans="1:13">
      <c r="A91" s="43"/>
      <c r="G91" s="5"/>
      <c r="H91" s="17">
        <v>86</v>
      </c>
      <c r="I91" s="18" t="str">
        <f t="shared" si="11"/>
        <v/>
      </c>
      <c r="J91" s="17">
        <f t="shared" si="14"/>
        <v>-4</v>
      </c>
      <c r="K91" s="17">
        <f t="shared" si="12"/>
        <v>-40</v>
      </c>
      <c r="L91" s="17"/>
      <c r="M91" s="19">
        <f t="shared" si="13"/>
        <v>0</v>
      </c>
    </row>
    <row r="92" spans="1:13">
      <c r="A92" s="43"/>
      <c r="G92" s="5"/>
      <c r="H92" s="17">
        <v>87</v>
      </c>
      <c r="I92" s="18" t="str">
        <f t="shared" si="11"/>
        <v/>
      </c>
      <c r="J92" s="17">
        <f t="shared" si="14"/>
        <v>-4</v>
      </c>
      <c r="K92" s="17">
        <f t="shared" si="12"/>
        <v>-40</v>
      </c>
      <c r="L92" s="17"/>
      <c r="M92" s="19">
        <f t="shared" si="13"/>
        <v>0</v>
      </c>
    </row>
    <row r="93" spans="1:13">
      <c r="A93" s="43"/>
      <c r="G93" s="5"/>
      <c r="H93" s="17">
        <v>88</v>
      </c>
      <c r="I93" s="18" t="str">
        <f t="shared" si="11"/>
        <v/>
      </c>
      <c r="J93" s="17">
        <f t="shared" si="14"/>
        <v>-4</v>
      </c>
      <c r="K93" s="17">
        <f t="shared" si="12"/>
        <v>-40</v>
      </c>
      <c r="L93" s="17"/>
      <c r="M93" s="19">
        <f t="shared" si="13"/>
        <v>0</v>
      </c>
    </row>
    <row r="94" spans="1:13">
      <c r="A94" s="43"/>
      <c r="G94" s="5"/>
      <c r="H94" s="17">
        <v>89</v>
      </c>
      <c r="I94" s="18" t="str">
        <f t="shared" si="11"/>
        <v/>
      </c>
      <c r="J94" s="17">
        <f t="shared" si="14"/>
        <v>-4</v>
      </c>
      <c r="K94" s="17">
        <f t="shared" si="12"/>
        <v>-40</v>
      </c>
      <c r="L94" s="17"/>
      <c r="M94" s="19">
        <f t="shared" si="13"/>
        <v>0</v>
      </c>
    </row>
    <row r="95" spans="1:13">
      <c r="A95" s="43"/>
      <c r="G95" s="5"/>
      <c r="H95" s="17">
        <v>90</v>
      </c>
      <c r="I95" s="18" t="str">
        <f t="shared" si="11"/>
        <v/>
      </c>
      <c r="J95" s="17">
        <f t="shared" si="14"/>
        <v>-4</v>
      </c>
      <c r="K95" s="17">
        <f t="shared" si="12"/>
        <v>-40</v>
      </c>
      <c r="L95" s="17"/>
      <c r="M95" s="19">
        <f t="shared" si="13"/>
        <v>0</v>
      </c>
    </row>
    <row r="96" spans="1:13">
      <c r="A96" s="43"/>
      <c r="G96" s="5"/>
      <c r="H96" s="17">
        <v>91</v>
      </c>
      <c r="I96" s="18" t="str">
        <f t="shared" si="11"/>
        <v/>
      </c>
      <c r="J96" s="17">
        <f t="shared" si="14"/>
        <v>-4</v>
      </c>
      <c r="K96" s="17">
        <f t="shared" si="12"/>
        <v>-40</v>
      </c>
      <c r="L96" s="17"/>
      <c r="M96" s="19">
        <f t="shared" si="13"/>
        <v>0</v>
      </c>
    </row>
    <row r="97" spans="1:13">
      <c r="A97" s="43"/>
      <c r="G97" s="5"/>
      <c r="H97" s="17">
        <v>92</v>
      </c>
      <c r="I97" s="18" t="str">
        <f t="shared" si="11"/>
        <v/>
      </c>
      <c r="J97" s="17">
        <f t="shared" si="14"/>
        <v>-4</v>
      </c>
      <c r="K97" s="17">
        <f t="shared" si="12"/>
        <v>-40</v>
      </c>
      <c r="L97" s="17"/>
      <c r="M97" s="19">
        <f t="shared" si="13"/>
        <v>0</v>
      </c>
    </row>
    <row r="98" spans="1:13">
      <c r="A98" s="43"/>
      <c r="G98" s="5"/>
      <c r="H98" s="17">
        <v>93</v>
      </c>
      <c r="I98" s="18" t="str">
        <f t="shared" si="11"/>
        <v/>
      </c>
      <c r="J98" s="17">
        <f t="shared" si="14"/>
        <v>-4</v>
      </c>
      <c r="K98" s="17">
        <f t="shared" si="12"/>
        <v>-40</v>
      </c>
      <c r="L98" s="17"/>
      <c r="M98" s="19">
        <f t="shared" si="13"/>
        <v>0</v>
      </c>
    </row>
    <row r="99" spans="1:13">
      <c r="A99" s="43"/>
      <c r="G99" s="5"/>
      <c r="H99" s="17">
        <v>94</v>
      </c>
      <c r="I99" s="18" t="str">
        <f t="shared" si="11"/>
        <v/>
      </c>
      <c r="J99" s="17">
        <f t="shared" si="14"/>
        <v>-4</v>
      </c>
      <c r="K99" s="17">
        <f t="shared" si="12"/>
        <v>-40</v>
      </c>
      <c r="L99" s="17"/>
      <c r="M99" s="19">
        <f t="shared" si="13"/>
        <v>0</v>
      </c>
    </row>
    <row r="100" spans="1:13">
      <c r="A100" s="43"/>
      <c r="G100" s="5"/>
      <c r="H100" s="17">
        <v>95</v>
      </c>
      <c r="I100" s="18" t="str">
        <f t="shared" si="11"/>
        <v/>
      </c>
      <c r="J100" s="17">
        <f t="shared" si="14"/>
        <v>-4</v>
      </c>
      <c r="K100" s="17">
        <f t="shared" si="12"/>
        <v>-40</v>
      </c>
      <c r="L100" s="17"/>
      <c r="M100" s="19">
        <f t="shared" si="13"/>
        <v>0</v>
      </c>
    </row>
    <row r="101" spans="1:13">
      <c r="A101" s="43"/>
      <c r="G101" s="5"/>
      <c r="H101" s="17">
        <v>96</v>
      </c>
      <c r="I101" s="18" t="str">
        <f t="shared" si="11"/>
        <v/>
      </c>
      <c r="J101" s="17">
        <f t="shared" si="14"/>
        <v>-4</v>
      </c>
      <c r="K101" s="17">
        <f t="shared" si="12"/>
        <v>-40</v>
      </c>
      <c r="L101" s="17"/>
      <c r="M101" s="19">
        <f t="shared" si="13"/>
        <v>0</v>
      </c>
    </row>
    <row r="102" spans="1:13">
      <c r="A102" s="43"/>
      <c r="G102" s="5"/>
      <c r="H102" s="17">
        <v>97</v>
      </c>
      <c r="I102" s="18" t="str">
        <f t="shared" si="11"/>
        <v/>
      </c>
      <c r="J102" s="17">
        <f t="shared" si="14"/>
        <v>-4</v>
      </c>
      <c r="K102" s="17">
        <f t="shared" si="12"/>
        <v>-40</v>
      </c>
      <c r="L102" s="17"/>
      <c r="M102" s="19">
        <f t="shared" si="13"/>
        <v>0</v>
      </c>
    </row>
    <row r="103" spans="1:13">
      <c r="A103" s="43"/>
      <c r="G103" s="5"/>
      <c r="H103" s="17">
        <v>98</v>
      </c>
      <c r="I103" s="18" t="str">
        <f t="shared" si="11"/>
        <v/>
      </c>
      <c r="J103" s="17">
        <f t="shared" si="14"/>
        <v>-4</v>
      </c>
      <c r="K103" s="17">
        <f t="shared" si="12"/>
        <v>-40</v>
      </c>
      <c r="L103" s="17"/>
      <c r="M103" s="19">
        <f t="shared" si="13"/>
        <v>0</v>
      </c>
    </row>
    <row r="104" spans="1:13">
      <c r="A104" s="43"/>
      <c r="G104" s="5"/>
      <c r="H104" s="17">
        <v>99</v>
      </c>
      <c r="I104" s="18" t="str">
        <f t="shared" si="11"/>
        <v/>
      </c>
      <c r="J104" s="17">
        <f t="shared" si="14"/>
        <v>-4</v>
      </c>
      <c r="K104" s="17">
        <f t="shared" si="12"/>
        <v>-40</v>
      </c>
      <c r="L104" s="17"/>
      <c r="M104" s="19">
        <f t="shared" si="13"/>
        <v>0</v>
      </c>
    </row>
    <row r="105" spans="1:13">
      <c r="A105" s="43"/>
      <c r="G105" s="5"/>
      <c r="H105" s="17">
        <v>100</v>
      </c>
      <c r="I105" s="18" t="str">
        <f t="shared" si="11"/>
        <v/>
      </c>
      <c r="J105" s="17">
        <f t="shared" si="14"/>
        <v>-4</v>
      </c>
      <c r="K105" s="17">
        <f t="shared" si="12"/>
        <v>-40</v>
      </c>
      <c r="L105" s="17"/>
      <c r="M105" s="19">
        <f t="shared" si="13"/>
        <v>0</v>
      </c>
    </row>
    <row r="106" spans="1:13">
      <c r="A106" s="43"/>
      <c r="G106" s="5"/>
      <c r="H106" s="17">
        <v>101</v>
      </c>
      <c r="I106" s="18" t="str">
        <f t="shared" si="11"/>
        <v/>
      </c>
      <c r="J106" s="17">
        <f t="shared" si="14"/>
        <v>-4</v>
      </c>
      <c r="K106" s="17">
        <f t="shared" si="12"/>
        <v>-40</v>
      </c>
      <c r="L106" s="17"/>
      <c r="M106" s="19">
        <f t="shared" si="13"/>
        <v>0</v>
      </c>
    </row>
    <row r="107" spans="1:13">
      <c r="A107" s="43"/>
      <c r="G107" s="5"/>
      <c r="H107" s="17">
        <v>102</v>
      </c>
      <c r="I107" s="18" t="str">
        <f t="shared" si="11"/>
        <v/>
      </c>
      <c r="J107" s="17">
        <f t="shared" si="14"/>
        <v>-4</v>
      </c>
      <c r="K107" s="17">
        <f t="shared" si="12"/>
        <v>-40</v>
      </c>
      <c r="L107" s="17"/>
      <c r="M107" s="19">
        <f t="shared" si="13"/>
        <v>0</v>
      </c>
    </row>
    <row r="108" spans="1:13">
      <c r="A108" s="43"/>
      <c r="G108" s="5"/>
      <c r="H108" s="17">
        <v>103</v>
      </c>
      <c r="I108" s="18" t="str">
        <f t="shared" si="11"/>
        <v/>
      </c>
      <c r="J108" s="17">
        <f t="shared" si="14"/>
        <v>-4</v>
      </c>
      <c r="K108" s="17">
        <f t="shared" si="12"/>
        <v>-40</v>
      </c>
      <c r="L108" s="17"/>
      <c r="M108" s="19">
        <f t="shared" si="13"/>
        <v>0</v>
      </c>
    </row>
    <row r="109" spans="1:13">
      <c r="A109" s="43"/>
      <c r="G109" s="5"/>
      <c r="H109" s="17">
        <v>104</v>
      </c>
      <c r="I109" s="18" t="str">
        <f t="shared" si="11"/>
        <v/>
      </c>
      <c r="J109" s="17">
        <f t="shared" si="14"/>
        <v>-4</v>
      </c>
      <c r="K109" s="17">
        <f t="shared" si="12"/>
        <v>-40</v>
      </c>
      <c r="L109" s="17"/>
      <c r="M109" s="19">
        <f t="shared" si="13"/>
        <v>0</v>
      </c>
    </row>
    <row r="110" spans="1:13">
      <c r="A110" s="43"/>
      <c r="G110" s="5"/>
      <c r="H110" s="17">
        <v>105</v>
      </c>
      <c r="I110" s="18" t="str">
        <f t="shared" si="11"/>
        <v/>
      </c>
      <c r="J110" s="17">
        <f t="shared" si="14"/>
        <v>-4</v>
      </c>
      <c r="K110" s="17">
        <f t="shared" si="12"/>
        <v>-40</v>
      </c>
      <c r="L110" s="17"/>
      <c r="M110" s="19">
        <f t="shared" si="13"/>
        <v>0</v>
      </c>
    </row>
    <row r="111" spans="1:13">
      <c r="A111" s="43"/>
      <c r="G111" s="5"/>
      <c r="H111" s="17">
        <v>106</v>
      </c>
      <c r="I111" s="18" t="str">
        <f t="shared" si="11"/>
        <v/>
      </c>
      <c r="J111" s="17">
        <f t="shared" si="14"/>
        <v>-4</v>
      </c>
      <c r="K111" s="17">
        <f t="shared" si="12"/>
        <v>-40</v>
      </c>
      <c r="L111" s="17"/>
      <c r="M111" s="19">
        <f t="shared" si="13"/>
        <v>0</v>
      </c>
    </row>
    <row r="112" spans="1:13">
      <c r="A112" s="43"/>
      <c r="G112" s="5"/>
      <c r="H112" s="17">
        <v>107</v>
      </c>
      <c r="I112" s="18" t="str">
        <f t="shared" si="11"/>
        <v/>
      </c>
      <c r="J112" s="17">
        <f t="shared" si="14"/>
        <v>-4</v>
      </c>
      <c r="K112" s="17">
        <f t="shared" si="12"/>
        <v>-40</v>
      </c>
      <c r="L112" s="17"/>
      <c r="M112" s="19">
        <f t="shared" si="13"/>
        <v>0</v>
      </c>
    </row>
    <row r="113" spans="1:13">
      <c r="A113" s="43"/>
      <c r="G113" s="5"/>
      <c r="H113" s="17">
        <v>108</v>
      </c>
      <c r="I113" s="18" t="str">
        <f t="shared" si="11"/>
        <v/>
      </c>
      <c r="J113" s="17">
        <f t="shared" si="14"/>
        <v>-4</v>
      </c>
      <c r="K113" s="17">
        <f t="shared" si="12"/>
        <v>-40</v>
      </c>
      <c r="L113" s="17"/>
      <c r="M113" s="19">
        <f t="shared" si="13"/>
        <v>0</v>
      </c>
    </row>
    <row r="114" spans="1:13">
      <c r="A114" s="43"/>
      <c r="G114" s="5"/>
      <c r="H114" s="17">
        <v>109</v>
      </c>
      <c r="I114" s="18" t="str">
        <f t="shared" si="11"/>
        <v/>
      </c>
      <c r="J114" s="17">
        <f t="shared" si="14"/>
        <v>-4</v>
      </c>
      <c r="K114" s="17">
        <f t="shared" si="12"/>
        <v>-40</v>
      </c>
      <c r="L114" s="17"/>
      <c r="M114" s="19">
        <f t="shared" si="13"/>
        <v>0</v>
      </c>
    </row>
    <row r="115" spans="1:13">
      <c r="A115" s="43"/>
      <c r="G115" s="5"/>
      <c r="H115" s="17">
        <v>110</v>
      </c>
      <c r="I115" s="18" t="str">
        <f t="shared" si="11"/>
        <v/>
      </c>
      <c r="J115" s="17">
        <f t="shared" si="14"/>
        <v>-4</v>
      </c>
      <c r="K115" s="17">
        <f t="shared" si="12"/>
        <v>-40</v>
      </c>
      <c r="L115" s="17"/>
      <c r="M115" s="19">
        <f t="shared" si="13"/>
        <v>0</v>
      </c>
    </row>
    <row r="116" spans="1:13">
      <c r="A116" s="43"/>
      <c r="G116" s="5"/>
      <c r="H116" s="17">
        <v>111</v>
      </c>
      <c r="I116" s="18" t="str">
        <f t="shared" si="11"/>
        <v/>
      </c>
      <c r="J116" s="17">
        <f t="shared" si="14"/>
        <v>-4</v>
      </c>
      <c r="K116" s="17">
        <f t="shared" si="12"/>
        <v>-40</v>
      </c>
      <c r="L116" s="17"/>
      <c r="M116" s="19">
        <f t="shared" si="13"/>
        <v>0</v>
      </c>
    </row>
    <row r="117" spans="1:13">
      <c r="A117" s="43"/>
      <c r="G117" s="5"/>
      <c r="H117" s="17">
        <v>112</v>
      </c>
      <c r="I117" s="18" t="str">
        <f t="shared" si="11"/>
        <v/>
      </c>
      <c r="J117" s="17">
        <f t="shared" si="14"/>
        <v>-4</v>
      </c>
      <c r="K117" s="17">
        <f t="shared" si="12"/>
        <v>-40</v>
      </c>
      <c r="L117" s="17"/>
      <c r="M117" s="19">
        <f t="shared" si="13"/>
        <v>0</v>
      </c>
    </row>
    <row r="118" spans="1:13">
      <c r="A118" s="43"/>
      <c r="G118" s="5"/>
      <c r="H118" s="17">
        <v>113</v>
      </c>
      <c r="I118" s="18" t="str">
        <f t="shared" si="11"/>
        <v/>
      </c>
      <c r="J118" s="17">
        <f t="shared" si="14"/>
        <v>-4</v>
      </c>
      <c r="K118" s="17">
        <f t="shared" si="12"/>
        <v>-40</v>
      </c>
      <c r="L118" s="17"/>
      <c r="M118" s="19">
        <f t="shared" si="13"/>
        <v>0</v>
      </c>
    </row>
    <row r="119" spans="1:13">
      <c r="A119" s="43"/>
      <c r="G119" s="5"/>
      <c r="H119" s="17">
        <v>114</v>
      </c>
      <c r="I119" s="18" t="str">
        <f t="shared" si="11"/>
        <v/>
      </c>
      <c r="J119" s="17">
        <f t="shared" si="14"/>
        <v>-4</v>
      </c>
      <c r="K119" s="17">
        <f t="shared" si="12"/>
        <v>-40</v>
      </c>
      <c r="L119" s="17"/>
      <c r="M119" s="19">
        <f t="shared" si="13"/>
        <v>0</v>
      </c>
    </row>
    <row r="120" spans="1:13">
      <c r="A120" s="43"/>
      <c r="G120" s="5"/>
      <c r="H120" s="17">
        <v>115</v>
      </c>
      <c r="I120" s="18" t="str">
        <f t="shared" si="11"/>
        <v/>
      </c>
      <c r="J120" s="17">
        <f t="shared" si="14"/>
        <v>-4</v>
      </c>
      <c r="K120" s="17">
        <f t="shared" si="12"/>
        <v>-40</v>
      </c>
      <c r="L120" s="17"/>
      <c r="M120" s="19">
        <f t="shared" si="13"/>
        <v>0</v>
      </c>
    </row>
    <row r="121" spans="1:13">
      <c r="A121" s="43"/>
      <c r="G121" s="5"/>
      <c r="H121" s="17">
        <v>116</v>
      </c>
      <c r="I121" s="18" t="str">
        <f t="shared" si="11"/>
        <v/>
      </c>
      <c r="J121" s="17">
        <f t="shared" si="14"/>
        <v>-4</v>
      </c>
      <c r="K121" s="17">
        <f t="shared" si="12"/>
        <v>-40</v>
      </c>
      <c r="L121" s="17"/>
      <c r="M121" s="19">
        <f t="shared" si="13"/>
        <v>0</v>
      </c>
    </row>
    <row r="122" spans="1:13">
      <c r="A122" s="43"/>
      <c r="G122" s="5"/>
      <c r="H122" s="17">
        <v>117</v>
      </c>
      <c r="I122" s="18" t="str">
        <f t="shared" si="11"/>
        <v/>
      </c>
      <c r="J122" s="17">
        <f t="shared" si="14"/>
        <v>-4</v>
      </c>
      <c r="K122" s="17">
        <f t="shared" si="12"/>
        <v>-40</v>
      </c>
      <c r="L122" s="17"/>
      <c r="M122" s="19">
        <f t="shared" si="13"/>
        <v>0</v>
      </c>
    </row>
    <row r="123" spans="1:13">
      <c r="A123" s="43"/>
      <c r="G123" s="5"/>
      <c r="H123" s="17">
        <v>118</v>
      </c>
      <c r="I123" s="18" t="str">
        <f t="shared" si="11"/>
        <v/>
      </c>
      <c r="J123" s="17">
        <f t="shared" si="14"/>
        <v>-4</v>
      </c>
      <c r="K123" s="17">
        <f t="shared" si="12"/>
        <v>-40</v>
      </c>
      <c r="L123" s="17"/>
      <c r="M123" s="19">
        <f t="shared" si="13"/>
        <v>0</v>
      </c>
    </row>
    <row r="124" spans="1:13">
      <c r="A124" s="43"/>
      <c r="G124" s="5"/>
      <c r="H124" s="17">
        <v>119</v>
      </c>
      <c r="I124" s="18" t="str">
        <f t="shared" si="11"/>
        <v/>
      </c>
      <c r="J124" s="17">
        <f t="shared" si="14"/>
        <v>-4</v>
      </c>
      <c r="K124" s="17">
        <f t="shared" si="12"/>
        <v>-40</v>
      </c>
      <c r="L124" s="17"/>
      <c r="M124" s="19">
        <f t="shared" si="13"/>
        <v>0</v>
      </c>
    </row>
    <row r="125" spans="1:13">
      <c r="A125" s="43"/>
      <c r="G125" s="5"/>
      <c r="H125" s="17">
        <v>120</v>
      </c>
      <c r="I125" s="18" t="str">
        <f t="shared" si="11"/>
        <v/>
      </c>
      <c r="J125" s="17">
        <f t="shared" si="14"/>
        <v>-4</v>
      </c>
      <c r="K125" s="17">
        <f t="shared" si="12"/>
        <v>-40</v>
      </c>
      <c r="L125" s="17"/>
      <c r="M125" s="19">
        <f t="shared" si="13"/>
        <v>0</v>
      </c>
    </row>
    <row r="126" spans="1:13">
      <c r="A126" s="43"/>
      <c r="G126" s="5"/>
      <c r="H126" s="17">
        <v>121</v>
      </c>
      <c r="I126" s="18" t="str">
        <f t="shared" si="11"/>
        <v/>
      </c>
      <c r="J126" s="17">
        <f t="shared" si="14"/>
        <v>-4</v>
      </c>
      <c r="K126" s="17">
        <f t="shared" si="12"/>
        <v>-40</v>
      </c>
      <c r="L126" s="17"/>
      <c r="M126" s="19">
        <f t="shared" si="13"/>
        <v>0</v>
      </c>
    </row>
    <row r="127" spans="1:13">
      <c r="A127" s="43"/>
      <c r="G127" s="5"/>
      <c r="H127" s="17">
        <v>122</v>
      </c>
      <c r="I127" s="18" t="str">
        <f t="shared" si="11"/>
        <v/>
      </c>
      <c r="J127" s="17">
        <f t="shared" si="14"/>
        <v>-4</v>
      </c>
      <c r="K127" s="17">
        <f t="shared" si="12"/>
        <v>-40</v>
      </c>
      <c r="L127" s="17"/>
      <c r="M127" s="19">
        <f t="shared" si="13"/>
        <v>0</v>
      </c>
    </row>
    <row r="128" spans="1:13">
      <c r="A128" s="43"/>
      <c r="G128" s="5"/>
      <c r="H128" s="17">
        <v>123</v>
      </c>
      <c r="I128" s="18" t="str">
        <f t="shared" si="11"/>
        <v/>
      </c>
      <c r="J128" s="17">
        <f t="shared" si="14"/>
        <v>-4</v>
      </c>
      <c r="K128" s="17">
        <f t="shared" si="12"/>
        <v>-40</v>
      </c>
      <c r="L128" s="17"/>
      <c r="M128" s="19">
        <f t="shared" si="13"/>
        <v>0</v>
      </c>
    </row>
    <row r="129" spans="1:13">
      <c r="A129" s="43"/>
      <c r="G129" s="5"/>
      <c r="H129" s="17">
        <v>124</v>
      </c>
      <c r="I129" s="18" t="str">
        <f t="shared" si="11"/>
        <v/>
      </c>
      <c r="J129" s="17">
        <f t="shared" si="14"/>
        <v>-4</v>
      </c>
      <c r="K129" s="17">
        <f t="shared" si="12"/>
        <v>-40</v>
      </c>
      <c r="L129" s="17"/>
      <c r="M129" s="19">
        <f t="shared" si="13"/>
        <v>0</v>
      </c>
    </row>
    <row r="130" spans="1:13">
      <c r="A130" s="43"/>
      <c r="G130" s="5"/>
      <c r="H130" s="17">
        <v>125</v>
      </c>
      <c r="I130" s="18" t="str">
        <f t="shared" si="11"/>
        <v/>
      </c>
      <c r="J130" s="17">
        <f t="shared" si="14"/>
        <v>-4</v>
      </c>
      <c r="K130" s="17">
        <f t="shared" si="12"/>
        <v>-40</v>
      </c>
      <c r="L130" s="17"/>
      <c r="M130" s="19">
        <f t="shared" si="13"/>
        <v>0</v>
      </c>
    </row>
    <row r="131" spans="1:13">
      <c r="A131" s="43"/>
      <c r="G131" s="5"/>
      <c r="H131" s="17">
        <v>126</v>
      </c>
      <c r="I131" s="18" t="str">
        <f t="shared" si="11"/>
        <v/>
      </c>
      <c r="J131" s="17">
        <f t="shared" si="14"/>
        <v>-4</v>
      </c>
      <c r="K131" s="17">
        <f t="shared" si="12"/>
        <v>-40</v>
      </c>
      <c r="L131" s="17"/>
      <c r="M131" s="19">
        <f t="shared" si="13"/>
        <v>0</v>
      </c>
    </row>
    <row r="132" spans="1:13">
      <c r="A132" s="43"/>
      <c r="G132" s="5"/>
      <c r="H132" s="17">
        <v>127</v>
      </c>
      <c r="I132" s="18" t="str">
        <f t="shared" si="11"/>
        <v/>
      </c>
      <c r="J132" s="17">
        <f t="shared" si="14"/>
        <v>-4</v>
      </c>
      <c r="K132" s="17">
        <f t="shared" si="12"/>
        <v>-40</v>
      </c>
      <c r="L132" s="17"/>
      <c r="M132" s="19">
        <f t="shared" si="13"/>
        <v>0</v>
      </c>
    </row>
    <row r="133" spans="1:13">
      <c r="A133" s="43"/>
      <c r="G133" s="5"/>
      <c r="H133" s="17">
        <v>128</v>
      </c>
      <c r="I133" s="18" t="str">
        <f t="shared" si="11"/>
        <v/>
      </c>
      <c r="J133" s="17">
        <f t="shared" si="14"/>
        <v>-4</v>
      </c>
      <c r="K133" s="17">
        <f t="shared" si="12"/>
        <v>-40</v>
      </c>
      <c r="L133" s="17"/>
      <c r="M133" s="19">
        <f t="shared" si="13"/>
        <v>0</v>
      </c>
    </row>
    <row r="134" spans="1:13">
      <c r="A134" s="43"/>
      <c r="G134" s="5"/>
      <c r="H134" s="17">
        <v>129</v>
      </c>
      <c r="I134" s="18" t="str">
        <f t="shared" ref="I134:I197" si="15">IF(H134&lt;$H$2+1,($I$2-($I$2-1)*(LOG(H134)/LOG($H$2))),"")</f>
        <v/>
      </c>
      <c r="J134" s="17">
        <f t="shared" si="14"/>
        <v>-5</v>
      </c>
      <c r="K134" s="17">
        <f t="shared" ref="K134:K197" si="16">J134*$J$2</f>
        <v>-50</v>
      </c>
      <c r="L134" s="17"/>
      <c r="M134" s="19">
        <f t="shared" ref="M134:M197" si="17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5"/>
        <v/>
      </c>
      <c r="J135" s="17">
        <f t="shared" ref="J135:J198" si="18">INT(LOG($H$2,2))-ROUNDUP(LOG(H135,2),0)+IF(OR($H$2=1,$H$2=2,$H$2=4,$H$2=8,$H$2=16,$H$2=32,$H$2=64,$H$2=128,$H$2=256),0,1)</f>
        <v>-5</v>
      </c>
      <c r="K135" s="17">
        <f t="shared" si="16"/>
        <v>-50</v>
      </c>
      <c r="L135" s="17"/>
      <c r="M135" s="19">
        <f t="shared" si="17"/>
        <v>0</v>
      </c>
    </row>
    <row r="136" spans="1:13">
      <c r="A136" s="43"/>
      <c r="G136" s="5"/>
      <c r="H136" s="17">
        <v>131</v>
      </c>
      <c r="I136" s="18" t="str">
        <f t="shared" si="15"/>
        <v/>
      </c>
      <c r="J136" s="17">
        <f t="shared" si="18"/>
        <v>-5</v>
      </c>
      <c r="K136" s="17">
        <f t="shared" si="16"/>
        <v>-50</v>
      </c>
      <c r="L136" s="17"/>
      <c r="M136" s="19">
        <f t="shared" si="17"/>
        <v>0</v>
      </c>
    </row>
    <row r="137" spans="1:13">
      <c r="A137" s="43"/>
      <c r="G137" s="5"/>
      <c r="H137" s="17">
        <v>132</v>
      </c>
      <c r="I137" s="18" t="str">
        <f t="shared" si="15"/>
        <v/>
      </c>
      <c r="J137" s="17">
        <f t="shared" si="18"/>
        <v>-5</v>
      </c>
      <c r="K137" s="17">
        <f t="shared" si="16"/>
        <v>-50</v>
      </c>
      <c r="L137" s="17"/>
      <c r="M137" s="19">
        <f t="shared" si="17"/>
        <v>0</v>
      </c>
    </row>
    <row r="138" spans="1:13">
      <c r="A138" s="43"/>
      <c r="G138" s="5"/>
      <c r="H138" s="17">
        <v>133</v>
      </c>
      <c r="I138" s="18" t="str">
        <f t="shared" si="15"/>
        <v/>
      </c>
      <c r="J138" s="17">
        <f t="shared" si="18"/>
        <v>-5</v>
      </c>
      <c r="K138" s="17">
        <f t="shared" si="16"/>
        <v>-50</v>
      </c>
      <c r="L138" s="17"/>
      <c r="M138" s="19">
        <f t="shared" si="17"/>
        <v>0</v>
      </c>
    </row>
    <row r="139" spans="1:13">
      <c r="A139" s="43"/>
      <c r="G139" s="5"/>
      <c r="H139" s="17">
        <v>134</v>
      </c>
      <c r="I139" s="18" t="str">
        <f t="shared" si="15"/>
        <v/>
      </c>
      <c r="J139" s="17">
        <f t="shared" si="18"/>
        <v>-5</v>
      </c>
      <c r="K139" s="17">
        <f t="shared" si="16"/>
        <v>-50</v>
      </c>
      <c r="L139" s="17"/>
      <c r="M139" s="19">
        <f t="shared" si="17"/>
        <v>0</v>
      </c>
    </row>
    <row r="140" spans="1:13">
      <c r="A140" s="43"/>
      <c r="G140" s="5"/>
      <c r="H140" s="17">
        <v>135</v>
      </c>
      <c r="I140" s="18" t="str">
        <f t="shared" si="15"/>
        <v/>
      </c>
      <c r="J140" s="17">
        <f t="shared" si="18"/>
        <v>-5</v>
      </c>
      <c r="K140" s="17">
        <f t="shared" si="16"/>
        <v>-50</v>
      </c>
      <c r="L140" s="17"/>
      <c r="M140" s="19">
        <f t="shared" si="17"/>
        <v>0</v>
      </c>
    </row>
    <row r="141" spans="1:13">
      <c r="A141" s="43"/>
      <c r="G141" s="5"/>
      <c r="H141" s="17">
        <v>136</v>
      </c>
      <c r="I141" s="18" t="str">
        <f t="shared" si="15"/>
        <v/>
      </c>
      <c r="J141" s="17">
        <f t="shared" si="18"/>
        <v>-5</v>
      </c>
      <c r="K141" s="17">
        <f t="shared" si="16"/>
        <v>-50</v>
      </c>
      <c r="L141" s="17"/>
      <c r="M141" s="19">
        <f t="shared" si="17"/>
        <v>0</v>
      </c>
    </row>
    <row r="142" spans="1:13">
      <c r="A142" s="43"/>
      <c r="G142" s="5"/>
      <c r="H142" s="17">
        <v>137</v>
      </c>
      <c r="I142" s="18" t="str">
        <f t="shared" si="15"/>
        <v/>
      </c>
      <c r="J142" s="17">
        <f t="shared" si="18"/>
        <v>-5</v>
      </c>
      <c r="K142" s="17">
        <f t="shared" si="16"/>
        <v>-50</v>
      </c>
      <c r="L142" s="17"/>
      <c r="M142" s="19">
        <f t="shared" si="17"/>
        <v>0</v>
      </c>
    </row>
    <row r="143" spans="1:13">
      <c r="A143" s="43"/>
      <c r="G143" s="5"/>
      <c r="H143" s="17">
        <v>138</v>
      </c>
      <c r="I143" s="18" t="str">
        <f t="shared" si="15"/>
        <v/>
      </c>
      <c r="J143" s="17">
        <f t="shared" si="18"/>
        <v>-5</v>
      </c>
      <c r="K143" s="17">
        <f t="shared" si="16"/>
        <v>-50</v>
      </c>
      <c r="L143" s="17"/>
      <c r="M143" s="19">
        <f t="shared" si="17"/>
        <v>0</v>
      </c>
    </row>
    <row r="144" spans="1:13">
      <c r="A144" s="43"/>
      <c r="G144" s="5"/>
      <c r="H144" s="17">
        <v>139</v>
      </c>
      <c r="I144" s="18" t="str">
        <f t="shared" si="15"/>
        <v/>
      </c>
      <c r="J144" s="17">
        <f t="shared" si="18"/>
        <v>-5</v>
      </c>
      <c r="K144" s="17">
        <f t="shared" si="16"/>
        <v>-50</v>
      </c>
      <c r="L144" s="17"/>
      <c r="M144" s="19">
        <f t="shared" si="17"/>
        <v>0</v>
      </c>
    </row>
    <row r="145" spans="1:13">
      <c r="A145" s="43"/>
      <c r="G145" s="5"/>
      <c r="H145" s="17">
        <v>140</v>
      </c>
      <c r="I145" s="18" t="str">
        <f t="shared" si="15"/>
        <v/>
      </c>
      <c r="J145" s="17">
        <f t="shared" si="18"/>
        <v>-5</v>
      </c>
      <c r="K145" s="17">
        <f t="shared" si="16"/>
        <v>-50</v>
      </c>
      <c r="L145" s="17"/>
      <c r="M145" s="19">
        <f t="shared" si="17"/>
        <v>0</v>
      </c>
    </row>
    <row r="146" spans="1:13">
      <c r="A146" s="43"/>
      <c r="G146" s="5"/>
      <c r="H146" s="17">
        <v>141</v>
      </c>
      <c r="I146" s="18" t="str">
        <f t="shared" si="15"/>
        <v/>
      </c>
      <c r="J146" s="17">
        <f t="shared" si="18"/>
        <v>-5</v>
      </c>
      <c r="K146" s="17">
        <f t="shared" si="16"/>
        <v>-50</v>
      </c>
      <c r="L146" s="17"/>
      <c r="M146" s="19">
        <f t="shared" si="17"/>
        <v>0</v>
      </c>
    </row>
    <row r="147" spans="1:13">
      <c r="A147" s="43"/>
      <c r="G147" s="5"/>
      <c r="H147" s="17">
        <v>142</v>
      </c>
      <c r="I147" s="18" t="str">
        <f t="shared" si="15"/>
        <v/>
      </c>
      <c r="J147" s="17">
        <f t="shared" si="18"/>
        <v>-5</v>
      </c>
      <c r="K147" s="17">
        <f t="shared" si="16"/>
        <v>-50</v>
      </c>
      <c r="L147" s="17"/>
      <c r="M147" s="19">
        <f t="shared" si="17"/>
        <v>0</v>
      </c>
    </row>
    <row r="148" spans="1:13">
      <c r="A148" s="43"/>
      <c r="G148" s="5"/>
      <c r="H148" s="17">
        <v>143</v>
      </c>
      <c r="I148" s="18" t="str">
        <f t="shared" si="15"/>
        <v/>
      </c>
      <c r="J148" s="17">
        <f t="shared" si="18"/>
        <v>-5</v>
      </c>
      <c r="K148" s="17">
        <f t="shared" si="16"/>
        <v>-50</v>
      </c>
      <c r="L148" s="17"/>
      <c r="M148" s="19">
        <f t="shared" si="17"/>
        <v>0</v>
      </c>
    </row>
    <row r="149" spans="1:13">
      <c r="A149" s="43"/>
      <c r="G149" s="5"/>
      <c r="H149" s="17">
        <v>144</v>
      </c>
      <c r="I149" s="18" t="str">
        <f t="shared" si="15"/>
        <v/>
      </c>
      <c r="J149" s="17">
        <f t="shared" si="18"/>
        <v>-5</v>
      </c>
      <c r="K149" s="17">
        <f t="shared" si="16"/>
        <v>-50</v>
      </c>
      <c r="L149" s="17"/>
      <c r="M149" s="19">
        <f t="shared" si="17"/>
        <v>0</v>
      </c>
    </row>
    <row r="150" spans="1:13">
      <c r="A150" s="43"/>
      <c r="G150" s="5"/>
      <c r="H150" s="17">
        <v>145</v>
      </c>
      <c r="I150" s="18" t="str">
        <f t="shared" si="15"/>
        <v/>
      </c>
      <c r="J150" s="17">
        <f t="shared" si="18"/>
        <v>-5</v>
      </c>
      <c r="K150" s="17">
        <f t="shared" si="16"/>
        <v>-50</v>
      </c>
      <c r="L150" s="17"/>
      <c r="M150" s="19">
        <f t="shared" si="17"/>
        <v>0</v>
      </c>
    </row>
    <row r="151" spans="1:13">
      <c r="A151" s="43"/>
      <c r="G151" s="5"/>
      <c r="H151" s="17">
        <v>146</v>
      </c>
      <c r="I151" s="18" t="str">
        <f t="shared" si="15"/>
        <v/>
      </c>
      <c r="J151" s="17">
        <f t="shared" si="18"/>
        <v>-5</v>
      </c>
      <c r="K151" s="17">
        <f t="shared" si="16"/>
        <v>-50</v>
      </c>
      <c r="L151" s="17"/>
      <c r="M151" s="19">
        <f t="shared" si="17"/>
        <v>0</v>
      </c>
    </row>
    <row r="152" spans="1:13">
      <c r="A152" s="43"/>
      <c r="G152" s="5"/>
      <c r="H152" s="17">
        <v>147</v>
      </c>
      <c r="I152" s="18" t="str">
        <f t="shared" si="15"/>
        <v/>
      </c>
      <c r="J152" s="17">
        <f t="shared" si="18"/>
        <v>-5</v>
      </c>
      <c r="K152" s="17">
        <f t="shared" si="16"/>
        <v>-50</v>
      </c>
      <c r="L152" s="17"/>
      <c r="M152" s="19">
        <f t="shared" si="17"/>
        <v>0</v>
      </c>
    </row>
    <row r="153" spans="1:13">
      <c r="A153" s="43"/>
      <c r="G153" s="5"/>
      <c r="H153" s="17">
        <v>148</v>
      </c>
      <c r="I153" s="18" t="str">
        <f t="shared" si="15"/>
        <v/>
      </c>
      <c r="J153" s="17">
        <f t="shared" si="18"/>
        <v>-5</v>
      </c>
      <c r="K153" s="17">
        <f t="shared" si="16"/>
        <v>-50</v>
      </c>
      <c r="L153" s="17"/>
      <c r="M153" s="19">
        <f t="shared" si="17"/>
        <v>0</v>
      </c>
    </row>
    <row r="154" spans="1:13">
      <c r="A154" s="43"/>
      <c r="G154" s="5"/>
      <c r="H154" s="17">
        <v>149</v>
      </c>
      <c r="I154" s="18" t="str">
        <f t="shared" si="15"/>
        <v/>
      </c>
      <c r="J154" s="17">
        <f t="shared" si="18"/>
        <v>-5</v>
      </c>
      <c r="K154" s="17">
        <f t="shared" si="16"/>
        <v>-50</v>
      </c>
      <c r="L154" s="17"/>
      <c r="M154" s="19">
        <f t="shared" si="17"/>
        <v>0</v>
      </c>
    </row>
    <row r="155" spans="1:13">
      <c r="A155" s="43"/>
      <c r="G155" s="5"/>
      <c r="H155" s="17">
        <v>150</v>
      </c>
      <c r="I155" s="18" t="str">
        <f t="shared" si="15"/>
        <v/>
      </c>
      <c r="J155" s="17">
        <f t="shared" si="18"/>
        <v>-5</v>
      </c>
      <c r="K155" s="17">
        <f t="shared" si="16"/>
        <v>-50</v>
      </c>
      <c r="L155" s="17"/>
      <c r="M155" s="19">
        <f t="shared" si="17"/>
        <v>0</v>
      </c>
    </row>
    <row r="156" spans="1:13">
      <c r="A156" s="43"/>
      <c r="G156" s="5"/>
      <c r="H156" s="17">
        <v>151</v>
      </c>
      <c r="I156" s="18" t="str">
        <f t="shared" si="15"/>
        <v/>
      </c>
      <c r="J156" s="17">
        <f t="shared" si="18"/>
        <v>-5</v>
      </c>
      <c r="K156" s="17">
        <f t="shared" si="16"/>
        <v>-50</v>
      </c>
      <c r="L156" s="17"/>
      <c r="M156" s="19">
        <f t="shared" si="17"/>
        <v>0</v>
      </c>
    </row>
    <row r="157" spans="1:13">
      <c r="A157" s="43"/>
      <c r="G157" s="5"/>
      <c r="H157" s="17">
        <v>152</v>
      </c>
      <c r="I157" s="18" t="str">
        <f t="shared" si="15"/>
        <v/>
      </c>
      <c r="J157" s="17">
        <f t="shared" si="18"/>
        <v>-5</v>
      </c>
      <c r="K157" s="17">
        <f t="shared" si="16"/>
        <v>-50</v>
      </c>
      <c r="L157" s="17"/>
      <c r="M157" s="19">
        <f t="shared" si="17"/>
        <v>0</v>
      </c>
    </row>
    <row r="158" spans="1:13">
      <c r="A158" s="43"/>
      <c r="G158" s="5"/>
      <c r="H158" s="17">
        <v>153</v>
      </c>
      <c r="I158" s="18" t="str">
        <f t="shared" si="15"/>
        <v/>
      </c>
      <c r="J158" s="17">
        <f t="shared" si="18"/>
        <v>-5</v>
      </c>
      <c r="K158" s="17">
        <f t="shared" si="16"/>
        <v>-50</v>
      </c>
      <c r="L158" s="17"/>
      <c r="M158" s="19">
        <f t="shared" si="17"/>
        <v>0</v>
      </c>
    </row>
    <row r="159" spans="1:13">
      <c r="A159" s="43"/>
      <c r="G159" s="5"/>
      <c r="H159" s="17">
        <v>154</v>
      </c>
      <c r="I159" s="18" t="str">
        <f t="shared" si="15"/>
        <v/>
      </c>
      <c r="J159" s="17">
        <f t="shared" si="18"/>
        <v>-5</v>
      </c>
      <c r="K159" s="17">
        <f t="shared" si="16"/>
        <v>-50</v>
      </c>
      <c r="L159" s="17"/>
      <c r="M159" s="19">
        <f t="shared" si="17"/>
        <v>0</v>
      </c>
    </row>
    <row r="160" spans="1:13">
      <c r="A160" s="43"/>
      <c r="G160" s="5"/>
      <c r="H160" s="17">
        <v>155</v>
      </c>
      <c r="I160" s="18" t="str">
        <f t="shared" si="15"/>
        <v/>
      </c>
      <c r="J160" s="17">
        <f t="shared" si="18"/>
        <v>-5</v>
      </c>
      <c r="K160" s="17">
        <f t="shared" si="16"/>
        <v>-50</v>
      </c>
      <c r="L160" s="17"/>
      <c r="M160" s="19">
        <f t="shared" si="17"/>
        <v>0</v>
      </c>
    </row>
    <row r="161" spans="1:13">
      <c r="A161" s="43"/>
      <c r="G161" s="5"/>
      <c r="H161" s="17">
        <v>156</v>
      </c>
      <c r="I161" s="18" t="str">
        <f t="shared" si="15"/>
        <v/>
      </c>
      <c r="J161" s="17">
        <f t="shared" si="18"/>
        <v>-5</v>
      </c>
      <c r="K161" s="17">
        <f t="shared" si="16"/>
        <v>-50</v>
      </c>
      <c r="L161" s="17"/>
      <c r="M161" s="19">
        <f t="shared" si="17"/>
        <v>0</v>
      </c>
    </row>
    <row r="162" spans="1:13">
      <c r="A162" s="43"/>
      <c r="G162" s="5"/>
      <c r="H162" s="17">
        <v>157</v>
      </c>
      <c r="I162" s="18" t="str">
        <f t="shared" si="15"/>
        <v/>
      </c>
      <c r="J162" s="17">
        <f t="shared" si="18"/>
        <v>-5</v>
      </c>
      <c r="K162" s="17">
        <f t="shared" si="16"/>
        <v>-50</v>
      </c>
      <c r="L162" s="17"/>
      <c r="M162" s="19">
        <f t="shared" si="17"/>
        <v>0</v>
      </c>
    </row>
    <row r="163" spans="1:13">
      <c r="A163" s="43"/>
      <c r="G163" s="5"/>
      <c r="H163" s="17">
        <v>158</v>
      </c>
      <c r="I163" s="18" t="str">
        <f t="shared" si="15"/>
        <v/>
      </c>
      <c r="J163" s="17">
        <f t="shared" si="18"/>
        <v>-5</v>
      </c>
      <c r="K163" s="17">
        <f t="shared" si="16"/>
        <v>-50</v>
      </c>
      <c r="L163" s="17"/>
      <c r="M163" s="19">
        <f t="shared" si="17"/>
        <v>0</v>
      </c>
    </row>
    <row r="164" spans="1:13">
      <c r="A164" s="43"/>
      <c r="G164" s="5"/>
      <c r="H164" s="17">
        <v>159</v>
      </c>
      <c r="I164" s="18" t="str">
        <f t="shared" si="15"/>
        <v/>
      </c>
      <c r="J164" s="17">
        <f t="shared" si="18"/>
        <v>-5</v>
      </c>
      <c r="K164" s="17">
        <f t="shared" si="16"/>
        <v>-50</v>
      </c>
      <c r="L164" s="17"/>
      <c r="M164" s="19">
        <f t="shared" si="17"/>
        <v>0</v>
      </c>
    </row>
    <row r="165" spans="1:13">
      <c r="A165" s="43"/>
      <c r="G165" s="5"/>
      <c r="H165" s="17">
        <v>160</v>
      </c>
      <c r="I165" s="18" t="str">
        <f t="shared" si="15"/>
        <v/>
      </c>
      <c r="J165" s="17">
        <f t="shared" si="18"/>
        <v>-5</v>
      </c>
      <c r="K165" s="17">
        <f t="shared" si="16"/>
        <v>-50</v>
      </c>
      <c r="L165" s="17"/>
      <c r="M165" s="19">
        <f t="shared" si="17"/>
        <v>0</v>
      </c>
    </row>
    <row r="166" spans="1:13">
      <c r="A166" s="43"/>
      <c r="G166" s="5"/>
      <c r="H166" s="17">
        <v>161</v>
      </c>
      <c r="I166" s="18" t="str">
        <f t="shared" si="15"/>
        <v/>
      </c>
      <c r="J166" s="17">
        <f t="shared" si="18"/>
        <v>-5</v>
      </c>
      <c r="K166" s="17">
        <f t="shared" si="16"/>
        <v>-50</v>
      </c>
      <c r="L166" s="17"/>
      <c r="M166" s="19">
        <f t="shared" si="17"/>
        <v>0</v>
      </c>
    </row>
    <row r="167" spans="1:13">
      <c r="A167" s="43"/>
      <c r="G167" s="5"/>
      <c r="H167" s="17">
        <v>162</v>
      </c>
      <c r="I167" s="18" t="str">
        <f t="shared" si="15"/>
        <v/>
      </c>
      <c r="J167" s="17">
        <f t="shared" si="18"/>
        <v>-5</v>
      </c>
      <c r="K167" s="17">
        <f t="shared" si="16"/>
        <v>-50</v>
      </c>
      <c r="L167" s="17"/>
      <c r="M167" s="19">
        <f t="shared" si="17"/>
        <v>0</v>
      </c>
    </row>
    <row r="168" spans="1:13">
      <c r="A168" s="43"/>
      <c r="G168" s="5"/>
      <c r="H168" s="17">
        <v>163</v>
      </c>
      <c r="I168" s="18" t="str">
        <f t="shared" si="15"/>
        <v/>
      </c>
      <c r="J168" s="17">
        <f t="shared" si="18"/>
        <v>-5</v>
      </c>
      <c r="K168" s="17">
        <f t="shared" si="16"/>
        <v>-50</v>
      </c>
      <c r="L168" s="17"/>
      <c r="M168" s="19">
        <f t="shared" si="17"/>
        <v>0</v>
      </c>
    </row>
    <row r="169" spans="1:13">
      <c r="A169" s="43"/>
      <c r="G169" s="5"/>
      <c r="H169" s="17">
        <v>164</v>
      </c>
      <c r="I169" s="18" t="str">
        <f t="shared" si="15"/>
        <v/>
      </c>
      <c r="J169" s="17">
        <f t="shared" si="18"/>
        <v>-5</v>
      </c>
      <c r="K169" s="17">
        <f t="shared" si="16"/>
        <v>-50</v>
      </c>
      <c r="L169" s="17"/>
      <c r="M169" s="19">
        <f t="shared" si="17"/>
        <v>0</v>
      </c>
    </row>
    <row r="170" spans="1:13">
      <c r="A170" s="43"/>
      <c r="G170" s="5"/>
      <c r="H170" s="17">
        <v>165</v>
      </c>
      <c r="I170" s="18" t="str">
        <f t="shared" si="15"/>
        <v/>
      </c>
      <c r="J170" s="17">
        <f t="shared" si="18"/>
        <v>-5</v>
      </c>
      <c r="K170" s="17">
        <f t="shared" si="16"/>
        <v>-50</v>
      </c>
      <c r="L170" s="17"/>
      <c r="M170" s="19">
        <f t="shared" si="17"/>
        <v>0</v>
      </c>
    </row>
    <row r="171" spans="1:13">
      <c r="A171" s="43"/>
      <c r="G171" s="5"/>
      <c r="H171" s="17">
        <v>166</v>
      </c>
      <c r="I171" s="18" t="str">
        <f t="shared" si="15"/>
        <v/>
      </c>
      <c r="J171" s="17">
        <f t="shared" si="18"/>
        <v>-5</v>
      </c>
      <c r="K171" s="17">
        <f t="shared" si="16"/>
        <v>-50</v>
      </c>
      <c r="L171" s="17"/>
      <c r="M171" s="19">
        <f t="shared" si="17"/>
        <v>0</v>
      </c>
    </row>
    <row r="172" spans="1:13">
      <c r="A172" s="43"/>
      <c r="G172" s="5"/>
      <c r="H172" s="17">
        <v>167</v>
      </c>
      <c r="I172" s="18" t="str">
        <f t="shared" si="15"/>
        <v/>
      </c>
      <c r="J172" s="17">
        <f t="shared" si="18"/>
        <v>-5</v>
      </c>
      <c r="K172" s="17">
        <f t="shared" si="16"/>
        <v>-50</v>
      </c>
      <c r="L172" s="17"/>
      <c r="M172" s="19">
        <f t="shared" si="17"/>
        <v>0</v>
      </c>
    </row>
    <row r="173" spans="1:13">
      <c r="A173" s="43"/>
      <c r="G173" s="5"/>
      <c r="H173" s="17">
        <v>168</v>
      </c>
      <c r="I173" s="18" t="str">
        <f t="shared" si="15"/>
        <v/>
      </c>
      <c r="J173" s="17">
        <f t="shared" si="18"/>
        <v>-5</v>
      </c>
      <c r="K173" s="17">
        <f t="shared" si="16"/>
        <v>-50</v>
      </c>
      <c r="L173" s="17"/>
      <c r="M173" s="19">
        <f t="shared" si="17"/>
        <v>0</v>
      </c>
    </row>
    <row r="174" spans="1:13">
      <c r="A174" s="43"/>
      <c r="G174" s="5"/>
      <c r="H174" s="17">
        <v>169</v>
      </c>
      <c r="I174" s="18" t="str">
        <f t="shared" si="15"/>
        <v/>
      </c>
      <c r="J174" s="17">
        <f t="shared" si="18"/>
        <v>-5</v>
      </c>
      <c r="K174" s="17">
        <f t="shared" si="16"/>
        <v>-50</v>
      </c>
      <c r="L174" s="17"/>
      <c r="M174" s="19">
        <f t="shared" si="17"/>
        <v>0</v>
      </c>
    </row>
    <row r="175" spans="1:13">
      <c r="A175" s="43"/>
      <c r="G175" s="5"/>
      <c r="H175" s="17">
        <v>170</v>
      </c>
      <c r="I175" s="18" t="str">
        <f t="shared" si="15"/>
        <v/>
      </c>
      <c r="J175" s="17">
        <f t="shared" si="18"/>
        <v>-5</v>
      </c>
      <c r="K175" s="17">
        <f t="shared" si="16"/>
        <v>-50</v>
      </c>
      <c r="L175" s="17"/>
      <c r="M175" s="19">
        <f t="shared" si="17"/>
        <v>0</v>
      </c>
    </row>
    <row r="176" spans="1:13">
      <c r="A176" s="43"/>
      <c r="G176" s="5"/>
      <c r="H176" s="17">
        <v>171</v>
      </c>
      <c r="I176" s="18" t="str">
        <f t="shared" si="15"/>
        <v/>
      </c>
      <c r="J176" s="17">
        <f t="shared" si="18"/>
        <v>-5</v>
      </c>
      <c r="K176" s="17">
        <f t="shared" si="16"/>
        <v>-50</v>
      </c>
      <c r="L176" s="17"/>
      <c r="M176" s="19">
        <f t="shared" si="17"/>
        <v>0</v>
      </c>
    </row>
    <row r="177" spans="1:13">
      <c r="A177" s="43"/>
      <c r="G177" s="5"/>
      <c r="H177" s="17">
        <v>172</v>
      </c>
      <c r="I177" s="18" t="str">
        <f t="shared" si="15"/>
        <v/>
      </c>
      <c r="J177" s="17">
        <f t="shared" si="18"/>
        <v>-5</v>
      </c>
      <c r="K177" s="17">
        <f t="shared" si="16"/>
        <v>-50</v>
      </c>
      <c r="L177" s="17"/>
      <c r="M177" s="19">
        <f t="shared" si="17"/>
        <v>0</v>
      </c>
    </row>
    <row r="178" spans="1:13">
      <c r="A178" s="43"/>
      <c r="G178" s="5"/>
      <c r="H178" s="17">
        <v>173</v>
      </c>
      <c r="I178" s="18" t="str">
        <f t="shared" si="15"/>
        <v/>
      </c>
      <c r="J178" s="17">
        <f t="shared" si="18"/>
        <v>-5</v>
      </c>
      <c r="K178" s="17">
        <f t="shared" si="16"/>
        <v>-50</v>
      </c>
      <c r="L178" s="17"/>
      <c r="M178" s="19">
        <f t="shared" si="17"/>
        <v>0</v>
      </c>
    </row>
    <row r="179" spans="1:13">
      <c r="A179" s="43"/>
      <c r="G179" s="5"/>
      <c r="H179" s="17">
        <v>174</v>
      </c>
      <c r="I179" s="18" t="str">
        <f t="shared" si="15"/>
        <v/>
      </c>
      <c r="J179" s="17">
        <f t="shared" si="18"/>
        <v>-5</v>
      </c>
      <c r="K179" s="17">
        <f t="shared" si="16"/>
        <v>-50</v>
      </c>
      <c r="L179" s="17"/>
      <c r="M179" s="19">
        <f t="shared" si="17"/>
        <v>0</v>
      </c>
    </row>
    <row r="180" spans="1:13">
      <c r="A180" s="43"/>
      <c r="G180" s="5"/>
      <c r="H180" s="17">
        <v>175</v>
      </c>
      <c r="I180" s="18" t="str">
        <f t="shared" si="15"/>
        <v/>
      </c>
      <c r="J180" s="17">
        <f t="shared" si="18"/>
        <v>-5</v>
      </c>
      <c r="K180" s="17">
        <f t="shared" si="16"/>
        <v>-50</v>
      </c>
      <c r="L180" s="17"/>
      <c r="M180" s="19">
        <f t="shared" si="17"/>
        <v>0</v>
      </c>
    </row>
    <row r="181" spans="1:13">
      <c r="A181" s="43"/>
      <c r="G181" s="5"/>
      <c r="H181" s="17">
        <v>176</v>
      </c>
      <c r="I181" s="18" t="str">
        <f t="shared" si="15"/>
        <v/>
      </c>
      <c r="J181" s="17">
        <f t="shared" si="18"/>
        <v>-5</v>
      </c>
      <c r="K181" s="17">
        <f t="shared" si="16"/>
        <v>-50</v>
      </c>
      <c r="L181" s="17"/>
      <c r="M181" s="19">
        <f t="shared" si="17"/>
        <v>0</v>
      </c>
    </row>
    <row r="182" spans="1:13">
      <c r="A182" s="43"/>
      <c r="G182" s="5"/>
      <c r="H182" s="17">
        <v>177</v>
      </c>
      <c r="I182" s="18" t="str">
        <f t="shared" si="15"/>
        <v/>
      </c>
      <c r="J182" s="17">
        <f t="shared" si="18"/>
        <v>-5</v>
      </c>
      <c r="K182" s="17">
        <f t="shared" si="16"/>
        <v>-50</v>
      </c>
      <c r="L182" s="17"/>
      <c r="M182" s="19">
        <f t="shared" si="17"/>
        <v>0</v>
      </c>
    </row>
    <row r="183" spans="1:13">
      <c r="A183" s="43"/>
      <c r="G183" s="5"/>
      <c r="H183" s="17">
        <v>178</v>
      </c>
      <c r="I183" s="18" t="str">
        <f t="shared" si="15"/>
        <v/>
      </c>
      <c r="J183" s="17">
        <f t="shared" si="18"/>
        <v>-5</v>
      </c>
      <c r="K183" s="17">
        <f t="shared" si="16"/>
        <v>-50</v>
      </c>
      <c r="L183" s="17"/>
      <c r="M183" s="19">
        <f t="shared" si="17"/>
        <v>0</v>
      </c>
    </row>
    <row r="184" spans="1:13">
      <c r="A184" s="43"/>
      <c r="G184" s="5"/>
      <c r="H184" s="17">
        <v>179</v>
      </c>
      <c r="I184" s="18" t="str">
        <f t="shared" si="15"/>
        <v/>
      </c>
      <c r="J184" s="17">
        <f t="shared" si="18"/>
        <v>-5</v>
      </c>
      <c r="K184" s="17">
        <f t="shared" si="16"/>
        <v>-50</v>
      </c>
      <c r="L184" s="17"/>
      <c r="M184" s="19">
        <f t="shared" si="17"/>
        <v>0</v>
      </c>
    </row>
    <row r="185" spans="1:13">
      <c r="A185" s="43"/>
      <c r="G185" s="5"/>
      <c r="H185" s="17">
        <v>180</v>
      </c>
      <c r="I185" s="18" t="str">
        <f t="shared" si="15"/>
        <v/>
      </c>
      <c r="J185" s="17">
        <f t="shared" si="18"/>
        <v>-5</v>
      </c>
      <c r="K185" s="17">
        <f t="shared" si="16"/>
        <v>-50</v>
      </c>
      <c r="L185" s="17"/>
      <c r="M185" s="19">
        <f t="shared" si="17"/>
        <v>0</v>
      </c>
    </row>
    <row r="186" spans="1:13">
      <c r="A186" s="43"/>
      <c r="G186" s="5"/>
      <c r="H186" s="17">
        <v>181</v>
      </c>
      <c r="I186" s="18" t="str">
        <f t="shared" si="15"/>
        <v/>
      </c>
      <c r="J186" s="17">
        <f t="shared" si="18"/>
        <v>-5</v>
      </c>
      <c r="K186" s="17">
        <f t="shared" si="16"/>
        <v>-50</v>
      </c>
      <c r="L186" s="17"/>
      <c r="M186" s="19">
        <f t="shared" si="17"/>
        <v>0</v>
      </c>
    </row>
    <row r="187" spans="1:13">
      <c r="A187" s="43"/>
      <c r="G187" s="5"/>
      <c r="H187" s="17">
        <v>182</v>
      </c>
      <c r="I187" s="18" t="str">
        <f t="shared" si="15"/>
        <v/>
      </c>
      <c r="J187" s="17">
        <f t="shared" si="18"/>
        <v>-5</v>
      </c>
      <c r="K187" s="17">
        <f t="shared" si="16"/>
        <v>-50</v>
      </c>
      <c r="L187" s="17"/>
      <c r="M187" s="19">
        <f t="shared" si="17"/>
        <v>0</v>
      </c>
    </row>
    <row r="188" spans="1:13">
      <c r="A188" s="43"/>
      <c r="G188" s="5"/>
      <c r="H188" s="17">
        <v>183</v>
      </c>
      <c r="I188" s="18" t="str">
        <f t="shared" si="15"/>
        <v/>
      </c>
      <c r="J188" s="17">
        <f t="shared" si="18"/>
        <v>-5</v>
      </c>
      <c r="K188" s="17">
        <f t="shared" si="16"/>
        <v>-50</v>
      </c>
      <c r="L188" s="17"/>
      <c r="M188" s="19">
        <f t="shared" si="17"/>
        <v>0</v>
      </c>
    </row>
    <row r="189" spans="1:13">
      <c r="A189" s="43"/>
      <c r="G189" s="5"/>
      <c r="H189" s="17">
        <v>184</v>
      </c>
      <c r="I189" s="18" t="str">
        <f t="shared" si="15"/>
        <v/>
      </c>
      <c r="J189" s="17">
        <f t="shared" si="18"/>
        <v>-5</v>
      </c>
      <c r="K189" s="17">
        <f t="shared" si="16"/>
        <v>-50</v>
      </c>
      <c r="L189" s="17"/>
      <c r="M189" s="19">
        <f t="shared" si="17"/>
        <v>0</v>
      </c>
    </row>
    <row r="190" spans="1:13">
      <c r="A190" s="43"/>
      <c r="G190" s="5"/>
      <c r="H190" s="17">
        <v>185</v>
      </c>
      <c r="I190" s="18" t="str">
        <f t="shared" si="15"/>
        <v/>
      </c>
      <c r="J190" s="17">
        <f t="shared" si="18"/>
        <v>-5</v>
      </c>
      <c r="K190" s="17">
        <f t="shared" si="16"/>
        <v>-50</v>
      </c>
      <c r="L190" s="17"/>
      <c r="M190" s="19">
        <f t="shared" si="17"/>
        <v>0</v>
      </c>
    </row>
    <row r="191" spans="1:13">
      <c r="A191" s="43"/>
      <c r="G191" s="5"/>
      <c r="H191" s="17">
        <v>186</v>
      </c>
      <c r="I191" s="18" t="str">
        <f t="shared" si="15"/>
        <v/>
      </c>
      <c r="J191" s="17">
        <f t="shared" si="18"/>
        <v>-5</v>
      </c>
      <c r="K191" s="17">
        <f t="shared" si="16"/>
        <v>-50</v>
      </c>
      <c r="L191" s="17"/>
      <c r="M191" s="19">
        <f t="shared" si="17"/>
        <v>0</v>
      </c>
    </row>
    <row r="192" spans="1:13">
      <c r="A192" s="43"/>
      <c r="G192" s="5"/>
      <c r="H192" s="17">
        <v>187</v>
      </c>
      <c r="I192" s="18" t="str">
        <f t="shared" si="15"/>
        <v/>
      </c>
      <c r="J192" s="17">
        <f t="shared" si="18"/>
        <v>-5</v>
      </c>
      <c r="K192" s="17">
        <f t="shared" si="16"/>
        <v>-50</v>
      </c>
      <c r="L192" s="17"/>
      <c r="M192" s="19">
        <f t="shared" si="17"/>
        <v>0</v>
      </c>
    </row>
    <row r="193" spans="1:13">
      <c r="A193" s="43"/>
      <c r="G193" s="5"/>
      <c r="H193" s="17">
        <v>188</v>
      </c>
      <c r="I193" s="18" t="str">
        <f t="shared" si="15"/>
        <v/>
      </c>
      <c r="J193" s="17">
        <f t="shared" si="18"/>
        <v>-5</v>
      </c>
      <c r="K193" s="17">
        <f t="shared" si="16"/>
        <v>-50</v>
      </c>
      <c r="L193" s="17"/>
      <c r="M193" s="19">
        <f t="shared" si="17"/>
        <v>0</v>
      </c>
    </row>
    <row r="194" spans="1:13">
      <c r="A194" s="43"/>
      <c r="G194" s="5"/>
      <c r="H194" s="17">
        <v>189</v>
      </c>
      <c r="I194" s="18" t="str">
        <f t="shared" si="15"/>
        <v/>
      </c>
      <c r="J194" s="17">
        <f t="shared" si="18"/>
        <v>-5</v>
      </c>
      <c r="K194" s="17">
        <f t="shared" si="16"/>
        <v>-50</v>
      </c>
      <c r="L194" s="17"/>
      <c r="M194" s="19">
        <f t="shared" si="17"/>
        <v>0</v>
      </c>
    </row>
    <row r="195" spans="1:13">
      <c r="A195" s="43"/>
      <c r="G195" s="5"/>
      <c r="H195" s="17">
        <v>190</v>
      </c>
      <c r="I195" s="18" t="str">
        <f t="shared" si="15"/>
        <v/>
      </c>
      <c r="J195" s="17">
        <f t="shared" si="18"/>
        <v>-5</v>
      </c>
      <c r="K195" s="17">
        <f t="shared" si="16"/>
        <v>-50</v>
      </c>
      <c r="L195" s="17"/>
      <c r="M195" s="19">
        <f t="shared" si="17"/>
        <v>0</v>
      </c>
    </row>
    <row r="196" spans="1:13">
      <c r="A196" s="43"/>
      <c r="G196" s="5"/>
      <c r="H196" s="17">
        <v>191</v>
      </c>
      <c r="I196" s="18" t="str">
        <f t="shared" si="15"/>
        <v/>
      </c>
      <c r="J196" s="17">
        <f t="shared" si="18"/>
        <v>-5</v>
      </c>
      <c r="K196" s="17">
        <f t="shared" si="16"/>
        <v>-50</v>
      </c>
      <c r="L196" s="17"/>
      <c r="M196" s="19">
        <f t="shared" si="17"/>
        <v>0</v>
      </c>
    </row>
    <row r="197" spans="1:13">
      <c r="A197" s="43"/>
      <c r="G197" s="5"/>
      <c r="H197" s="17">
        <v>192</v>
      </c>
      <c r="I197" s="18" t="str">
        <f t="shared" si="15"/>
        <v/>
      </c>
      <c r="J197" s="17">
        <f t="shared" si="18"/>
        <v>-5</v>
      </c>
      <c r="K197" s="17">
        <f t="shared" si="16"/>
        <v>-50</v>
      </c>
      <c r="L197" s="17"/>
      <c r="M197" s="19">
        <f t="shared" si="17"/>
        <v>0</v>
      </c>
    </row>
    <row r="198" spans="1:13">
      <c r="A198" s="43"/>
      <c r="G198" s="5"/>
      <c r="H198" s="17">
        <v>193</v>
      </c>
      <c r="I198" s="18" t="str">
        <f t="shared" ref="I198:I261" si="19">IF(H198&lt;$H$2+1,($I$2-($I$2-1)*(LOG(H198)/LOG($H$2))),"")</f>
        <v/>
      </c>
      <c r="J198" s="17">
        <f t="shared" si="18"/>
        <v>-5</v>
      </c>
      <c r="K198" s="17">
        <f t="shared" ref="K198:K261" si="20">J198*$J$2</f>
        <v>-50</v>
      </c>
      <c r="L198" s="17"/>
      <c r="M198" s="19">
        <f t="shared" ref="M198:M261" si="21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9"/>
        <v/>
      </c>
      <c r="J199" s="17">
        <f t="shared" ref="J199:J262" si="22">INT(LOG($H$2,2))-ROUNDUP(LOG(H199,2),0)+IF(OR($H$2=1,$H$2=2,$H$2=4,$H$2=8,$H$2=16,$H$2=32,$H$2=64,$H$2=128,$H$2=256),0,1)</f>
        <v>-5</v>
      </c>
      <c r="K199" s="17">
        <f t="shared" si="20"/>
        <v>-50</v>
      </c>
      <c r="L199" s="17"/>
      <c r="M199" s="19">
        <f t="shared" si="21"/>
        <v>0</v>
      </c>
    </row>
    <row r="200" spans="1:13">
      <c r="A200" s="43"/>
      <c r="G200" s="5"/>
      <c r="H200" s="17">
        <v>195</v>
      </c>
      <c r="I200" s="18" t="str">
        <f t="shared" si="19"/>
        <v/>
      </c>
      <c r="J200" s="17">
        <f t="shared" si="22"/>
        <v>-5</v>
      </c>
      <c r="K200" s="17">
        <f t="shared" si="20"/>
        <v>-50</v>
      </c>
      <c r="L200" s="17"/>
      <c r="M200" s="19">
        <f t="shared" si="21"/>
        <v>0</v>
      </c>
    </row>
    <row r="201" spans="1:13">
      <c r="A201" s="43"/>
      <c r="G201" s="5"/>
      <c r="H201" s="17">
        <v>196</v>
      </c>
      <c r="I201" s="18" t="str">
        <f t="shared" si="19"/>
        <v/>
      </c>
      <c r="J201" s="17">
        <f t="shared" si="22"/>
        <v>-5</v>
      </c>
      <c r="K201" s="17">
        <f t="shared" si="20"/>
        <v>-50</v>
      </c>
      <c r="L201" s="17"/>
      <c r="M201" s="19">
        <f t="shared" si="21"/>
        <v>0</v>
      </c>
    </row>
    <row r="202" spans="1:13">
      <c r="A202" s="43"/>
      <c r="G202" s="5"/>
      <c r="H202" s="17">
        <v>197</v>
      </c>
      <c r="I202" s="18" t="str">
        <f t="shared" si="19"/>
        <v/>
      </c>
      <c r="J202" s="17">
        <f t="shared" si="22"/>
        <v>-5</v>
      </c>
      <c r="K202" s="17">
        <f t="shared" si="20"/>
        <v>-50</v>
      </c>
      <c r="L202" s="17"/>
      <c r="M202" s="19">
        <f t="shared" si="21"/>
        <v>0</v>
      </c>
    </row>
    <row r="203" spans="1:13">
      <c r="A203" s="43"/>
      <c r="G203" s="5"/>
      <c r="H203" s="17">
        <v>198</v>
      </c>
      <c r="I203" s="18" t="str">
        <f t="shared" si="19"/>
        <v/>
      </c>
      <c r="J203" s="17">
        <f t="shared" si="22"/>
        <v>-5</v>
      </c>
      <c r="K203" s="17">
        <f t="shared" si="20"/>
        <v>-50</v>
      </c>
      <c r="L203" s="17"/>
      <c r="M203" s="19">
        <f t="shared" si="21"/>
        <v>0</v>
      </c>
    </row>
    <row r="204" spans="1:13">
      <c r="A204" s="43"/>
      <c r="G204" s="5"/>
      <c r="H204" s="17">
        <v>199</v>
      </c>
      <c r="I204" s="18" t="str">
        <f t="shared" si="19"/>
        <v/>
      </c>
      <c r="J204" s="17">
        <f t="shared" si="22"/>
        <v>-5</v>
      </c>
      <c r="K204" s="17">
        <f t="shared" si="20"/>
        <v>-50</v>
      </c>
      <c r="L204" s="17"/>
      <c r="M204" s="19">
        <f t="shared" si="21"/>
        <v>0</v>
      </c>
    </row>
    <row r="205" spans="1:13">
      <c r="A205" s="43"/>
      <c r="G205" s="5"/>
      <c r="H205" s="17">
        <v>200</v>
      </c>
      <c r="I205" s="18" t="str">
        <f t="shared" si="19"/>
        <v/>
      </c>
      <c r="J205" s="17">
        <f t="shared" si="22"/>
        <v>-5</v>
      </c>
      <c r="K205" s="17">
        <f t="shared" si="20"/>
        <v>-50</v>
      </c>
      <c r="L205" s="17"/>
      <c r="M205" s="19">
        <f t="shared" si="21"/>
        <v>0</v>
      </c>
    </row>
    <row r="206" spans="1:13">
      <c r="A206" s="43"/>
      <c r="G206" s="5"/>
      <c r="H206" s="17">
        <v>201</v>
      </c>
      <c r="I206" s="18" t="str">
        <f t="shared" si="19"/>
        <v/>
      </c>
      <c r="J206" s="17">
        <f t="shared" si="22"/>
        <v>-5</v>
      </c>
      <c r="K206" s="17">
        <f t="shared" si="20"/>
        <v>-50</v>
      </c>
      <c r="L206" s="17"/>
      <c r="M206" s="19">
        <f t="shared" si="21"/>
        <v>0</v>
      </c>
    </row>
    <row r="207" spans="1:13">
      <c r="A207" s="43"/>
      <c r="G207" s="5"/>
      <c r="H207" s="17">
        <v>202</v>
      </c>
      <c r="I207" s="18" t="str">
        <f t="shared" si="19"/>
        <v/>
      </c>
      <c r="J207" s="17">
        <f t="shared" si="22"/>
        <v>-5</v>
      </c>
      <c r="K207" s="17">
        <f t="shared" si="20"/>
        <v>-50</v>
      </c>
      <c r="L207" s="17"/>
      <c r="M207" s="19">
        <f t="shared" si="21"/>
        <v>0</v>
      </c>
    </row>
    <row r="208" spans="1:13">
      <c r="A208" s="43"/>
      <c r="G208" s="5"/>
      <c r="H208" s="17">
        <v>203</v>
      </c>
      <c r="I208" s="18" t="str">
        <f t="shared" si="19"/>
        <v/>
      </c>
      <c r="J208" s="17">
        <f t="shared" si="22"/>
        <v>-5</v>
      </c>
      <c r="K208" s="17">
        <f t="shared" si="20"/>
        <v>-50</v>
      </c>
      <c r="L208" s="17"/>
      <c r="M208" s="19">
        <f t="shared" si="21"/>
        <v>0</v>
      </c>
    </row>
    <row r="209" spans="1:13">
      <c r="A209" s="43"/>
      <c r="G209" s="5"/>
      <c r="H209" s="17">
        <v>204</v>
      </c>
      <c r="I209" s="18" t="str">
        <f t="shared" si="19"/>
        <v/>
      </c>
      <c r="J209" s="17">
        <f t="shared" si="22"/>
        <v>-5</v>
      </c>
      <c r="K209" s="17">
        <f t="shared" si="20"/>
        <v>-50</v>
      </c>
      <c r="L209" s="17"/>
      <c r="M209" s="19">
        <f t="shared" si="21"/>
        <v>0</v>
      </c>
    </row>
    <row r="210" spans="1:13">
      <c r="A210" s="43"/>
      <c r="G210" s="5"/>
      <c r="H210" s="17">
        <v>205</v>
      </c>
      <c r="I210" s="18" t="str">
        <f t="shared" si="19"/>
        <v/>
      </c>
      <c r="J210" s="17">
        <f t="shared" si="22"/>
        <v>-5</v>
      </c>
      <c r="K210" s="17">
        <f t="shared" si="20"/>
        <v>-50</v>
      </c>
      <c r="L210" s="17"/>
      <c r="M210" s="19">
        <f t="shared" si="21"/>
        <v>0</v>
      </c>
    </row>
    <row r="211" spans="1:13">
      <c r="A211" s="43"/>
      <c r="G211" s="5"/>
      <c r="H211" s="17">
        <v>206</v>
      </c>
      <c r="I211" s="18" t="str">
        <f t="shared" si="19"/>
        <v/>
      </c>
      <c r="J211" s="17">
        <f t="shared" si="22"/>
        <v>-5</v>
      </c>
      <c r="K211" s="17">
        <f t="shared" si="20"/>
        <v>-50</v>
      </c>
      <c r="L211" s="17"/>
      <c r="M211" s="19">
        <f t="shared" si="21"/>
        <v>0</v>
      </c>
    </row>
    <row r="212" spans="1:13">
      <c r="A212" s="43"/>
      <c r="G212" s="5"/>
      <c r="H212" s="17">
        <v>207</v>
      </c>
      <c r="I212" s="18" t="str">
        <f t="shared" si="19"/>
        <v/>
      </c>
      <c r="J212" s="17">
        <f t="shared" si="22"/>
        <v>-5</v>
      </c>
      <c r="K212" s="17">
        <f t="shared" si="20"/>
        <v>-50</v>
      </c>
      <c r="L212" s="17"/>
      <c r="M212" s="19">
        <f t="shared" si="21"/>
        <v>0</v>
      </c>
    </row>
    <row r="213" spans="1:13">
      <c r="A213" s="43"/>
      <c r="G213" s="5"/>
      <c r="H213" s="17">
        <v>208</v>
      </c>
      <c r="I213" s="18" t="str">
        <f t="shared" si="19"/>
        <v/>
      </c>
      <c r="J213" s="17">
        <f t="shared" si="22"/>
        <v>-5</v>
      </c>
      <c r="K213" s="17">
        <f t="shared" si="20"/>
        <v>-50</v>
      </c>
      <c r="L213" s="17"/>
      <c r="M213" s="19">
        <f t="shared" si="21"/>
        <v>0</v>
      </c>
    </row>
    <row r="214" spans="1:13">
      <c r="A214" s="43"/>
      <c r="G214" s="5"/>
      <c r="H214" s="17">
        <v>209</v>
      </c>
      <c r="I214" s="18" t="str">
        <f t="shared" si="19"/>
        <v/>
      </c>
      <c r="J214" s="17">
        <f t="shared" si="22"/>
        <v>-5</v>
      </c>
      <c r="K214" s="17">
        <f t="shared" si="20"/>
        <v>-50</v>
      </c>
      <c r="L214" s="17"/>
      <c r="M214" s="19">
        <f t="shared" si="21"/>
        <v>0</v>
      </c>
    </row>
    <row r="215" spans="1:13">
      <c r="A215" s="43"/>
      <c r="G215" s="5"/>
      <c r="H215" s="17">
        <v>210</v>
      </c>
      <c r="I215" s="18" t="str">
        <f t="shared" si="19"/>
        <v/>
      </c>
      <c r="J215" s="17">
        <f t="shared" si="22"/>
        <v>-5</v>
      </c>
      <c r="K215" s="17">
        <f t="shared" si="20"/>
        <v>-50</v>
      </c>
      <c r="L215" s="17"/>
      <c r="M215" s="19">
        <f t="shared" si="21"/>
        <v>0</v>
      </c>
    </row>
    <row r="216" spans="1:13">
      <c r="A216" s="43"/>
      <c r="G216" s="5"/>
      <c r="H216" s="17">
        <v>211</v>
      </c>
      <c r="I216" s="18" t="str">
        <f t="shared" si="19"/>
        <v/>
      </c>
      <c r="J216" s="17">
        <f t="shared" si="22"/>
        <v>-5</v>
      </c>
      <c r="K216" s="17">
        <f t="shared" si="20"/>
        <v>-50</v>
      </c>
      <c r="L216" s="17"/>
      <c r="M216" s="19">
        <f t="shared" si="21"/>
        <v>0</v>
      </c>
    </row>
    <row r="217" spans="1:13">
      <c r="A217" s="43"/>
      <c r="G217" s="5"/>
      <c r="H217" s="17">
        <v>212</v>
      </c>
      <c r="I217" s="18" t="str">
        <f t="shared" si="19"/>
        <v/>
      </c>
      <c r="J217" s="17">
        <f t="shared" si="22"/>
        <v>-5</v>
      </c>
      <c r="K217" s="17">
        <f t="shared" si="20"/>
        <v>-50</v>
      </c>
      <c r="L217" s="17"/>
      <c r="M217" s="19">
        <f t="shared" si="21"/>
        <v>0</v>
      </c>
    </row>
    <row r="218" spans="1:13">
      <c r="A218" s="43"/>
      <c r="G218" s="5"/>
      <c r="H218" s="17">
        <v>213</v>
      </c>
      <c r="I218" s="18" t="str">
        <f t="shared" si="19"/>
        <v/>
      </c>
      <c r="J218" s="17">
        <f t="shared" si="22"/>
        <v>-5</v>
      </c>
      <c r="K218" s="17">
        <f t="shared" si="20"/>
        <v>-50</v>
      </c>
      <c r="L218" s="17"/>
      <c r="M218" s="19">
        <f t="shared" si="21"/>
        <v>0</v>
      </c>
    </row>
    <row r="219" spans="1:13">
      <c r="A219" s="43"/>
      <c r="G219" s="5"/>
      <c r="H219" s="17">
        <v>214</v>
      </c>
      <c r="I219" s="18" t="str">
        <f t="shared" si="19"/>
        <v/>
      </c>
      <c r="J219" s="17">
        <f t="shared" si="22"/>
        <v>-5</v>
      </c>
      <c r="K219" s="17">
        <f t="shared" si="20"/>
        <v>-50</v>
      </c>
      <c r="L219" s="17"/>
      <c r="M219" s="19">
        <f t="shared" si="21"/>
        <v>0</v>
      </c>
    </row>
    <row r="220" spans="1:13">
      <c r="A220" s="43"/>
      <c r="G220" s="5"/>
      <c r="H220" s="17">
        <v>215</v>
      </c>
      <c r="I220" s="18" t="str">
        <f t="shared" si="19"/>
        <v/>
      </c>
      <c r="J220" s="17">
        <f t="shared" si="22"/>
        <v>-5</v>
      </c>
      <c r="K220" s="17">
        <f t="shared" si="20"/>
        <v>-50</v>
      </c>
      <c r="L220" s="17"/>
      <c r="M220" s="19">
        <f t="shared" si="21"/>
        <v>0</v>
      </c>
    </row>
    <row r="221" spans="1:13">
      <c r="A221" s="43"/>
      <c r="G221" s="5"/>
      <c r="H221" s="17">
        <v>216</v>
      </c>
      <c r="I221" s="18" t="str">
        <f t="shared" si="19"/>
        <v/>
      </c>
      <c r="J221" s="17">
        <f t="shared" si="22"/>
        <v>-5</v>
      </c>
      <c r="K221" s="17">
        <f t="shared" si="20"/>
        <v>-50</v>
      </c>
      <c r="L221" s="17"/>
      <c r="M221" s="19">
        <f t="shared" si="21"/>
        <v>0</v>
      </c>
    </row>
    <row r="222" spans="1:13">
      <c r="A222" s="43"/>
      <c r="G222" s="5"/>
      <c r="H222" s="17">
        <v>217</v>
      </c>
      <c r="I222" s="18" t="str">
        <f t="shared" si="19"/>
        <v/>
      </c>
      <c r="J222" s="17">
        <f t="shared" si="22"/>
        <v>-5</v>
      </c>
      <c r="K222" s="17">
        <f t="shared" si="20"/>
        <v>-50</v>
      </c>
      <c r="L222" s="17"/>
      <c r="M222" s="19">
        <f t="shared" si="21"/>
        <v>0</v>
      </c>
    </row>
    <row r="223" spans="1:13">
      <c r="A223" s="43"/>
      <c r="G223" s="5"/>
      <c r="H223" s="17">
        <v>218</v>
      </c>
      <c r="I223" s="18" t="str">
        <f t="shared" si="19"/>
        <v/>
      </c>
      <c r="J223" s="17">
        <f t="shared" si="22"/>
        <v>-5</v>
      </c>
      <c r="K223" s="17">
        <f t="shared" si="20"/>
        <v>-50</v>
      </c>
      <c r="L223" s="17"/>
      <c r="M223" s="19">
        <f t="shared" si="21"/>
        <v>0</v>
      </c>
    </row>
    <row r="224" spans="1:13">
      <c r="A224" s="43"/>
      <c r="G224" s="5"/>
      <c r="H224" s="17">
        <v>219</v>
      </c>
      <c r="I224" s="18" t="str">
        <f t="shared" si="19"/>
        <v/>
      </c>
      <c r="J224" s="17">
        <f t="shared" si="22"/>
        <v>-5</v>
      </c>
      <c r="K224" s="17">
        <f t="shared" si="20"/>
        <v>-50</v>
      </c>
      <c r="L224" s="17"/>
      <c r="M224" s="19">
        <f t="shared" si="21"/>
        <v>0</v>
      </c>
    </row>
    <row r="225" spans="1:13">
      <c r="A225" s="43"/>
      <c r="G225" s="5"/>
      <c r="H225" s="17">
        <v>220</v>
      </c>
      <c r="I225" s="18" t="str">
        <f t="shared" si="19"/>
        <v/>
      </c>
      <c r="J225" s="17">
        <f t="shared" si="22"/>
        <v>-5</v>
      </c>
      <c r="K225" s="17">
        <f t="shared" si="20"/>
        <v>-50</v>
      </c>
      <c r="L225" s="17"/>
      <c r="M225" s="19">
        <f t="shared" si="21"/>
        <v>0</v>
      </c>
    </row>
    <row r="226" spans="1:13">
      <c r="A226" s="43"/>
      <c r="G226" s="5"/>
      <c r="H226" s="17">
        <v>221</v>
      </c>
      <c r="I226" s="18" t="str">
        <f t="shared" si="19"/>
        <v/>
      </c>
      <c r="J226" s="17">
        <f t="shared" si="22"/>
        <v>-5</v>
      </c>
      <c r="K226" s="17">
        <f t="shared" si="20"/>
        <v>-50</v>
      </c>
      <c r="L226" s="17"/>
      <c r="M226" s="19">
        <f t="shared" si="21"/>
        <v>0</v>
      </c>
    </row>
    <row r="227" spans="1:13">
      <c r="A227" s="43"/>
      <c r="G227" s="5"/>
      <c r="H227" s="17">
        <v>222</v>
      </c>
      <c r="I227" s="18" t="str">
        <f t="shared" si="19"/>
        <v/>
      </c>
      <c r="J227" s="17">
        <f t="shared" si="22"/>
        <v>-5</v>
      </c>
      <c r="K227" s="17">
        <f t="shared" si="20"/>
        <v>-50</v>
      </c>
      <c r="L227" s="17"/>
      <c r="M227" s="19">
        <f t="shared" si="21"/>
        <v>0</v>
      </c>
    </row>
    <row r="228" spans="1:13">
      <c r="A228" s="43"/>
      <c r="G228" s="5"/>
      <c r="H228" s="17">
        <v>223</v>
      </c>
      <c r="I228" s="18" t="str">
        <f t="shared" si="19"/>
        <v/>
      </c>
      <c r="J228" s="17">
        <f t="shared" si="22"/>
        <v>-5</v>
      </c>
      <c r="K228" s="17">
        <f t="shared" si="20"/>
        <v>-50</v>
      </c>
      <c r="L228" s="17"/>
      <c r="M228" s="19">
        <f t="shared" si="21"/>
        <v>0</v>
      </c>
    </row>
    <row r="229" spans="1:13">
      <c r="A229" s="43"/>
      <c r="G229" s="5"/>
      <c r="H229" s="17">
        <v>224</v>
      </c>
      <c r="I229" s="18" t="str">
        <f t="shared" si="19"/>
        <v/>
      </c>
      <c r="J229" s="17">
        <f t="shared" si="22"/>
        <v>-5</v>
      </c>
      <c r="K229" s="17">
        <f t="shared" si="20"/>
        <v>-50</v>
      </c>
      <c r="L229" s="17"/>
      <c r="M229" s="19">
        <f t="shared" si="21"/>
        <v>0</v>
      </c>
    </row>
    <row r="230" spans="1:13">
      <c r="A230" s="43"/>
      <c r="G230" s="5"/>
      <c r="H230" s="17">
        <v>225</v>
      </c>
      <c r="I230" s="18" t="str">
        <f t="shared" si="19"/>
        <v/>
      </c>
      <c r="J230" s="17">
        <f t="shared" si="22"/>
        <v>-5</v>
      </c>
      <c r="K230" s="17">
        <f t="shared" si="20"/>
        <v>-50</v>
      </c>
      <c r="L230" s="17"/>
      <c r="M230" s="19">
        <f t="shared" si="21"/>
        <v>0</v>
      </c>
    </row>
    <row r="231" spans="1:13">
      <c r="A231" s="43"/>
      <c r="G231" s="5"/>
      <c r="H231" s="17">
        <v>226</v>
      </c>
      <c r="I231" s="18" t="str">
        <f t="shared" si="19"/>
        <v/>
      </c>
      <c r="J231" s="17">
        <f t="shared" si="22"/>
        <v>-5</v>
      </c>
      <c r="K231" s="17">
        <f t="shared" si="20"/>
        <v>-50</v>
      </c>
      <c r="L231" s="17"/>
      <c r="M231" s="19">
        <f t="shared" si="21"/>
        <v>0</v>
      </c>
    </row>
    <row r="232" spans="1:13">
      <c r="A232" s="43"/>
      <c r="G232" s="5"/>
      <c r="H232" s="17">
        <v>227</v>
      </c>
      <c r="I232" s="18" t="str">
        <f t="shared" si="19"/>
        <v/>
      </c>
      <c r="J232" s="17">
        <f t="shared" si="22"/>
        <v>-5</v>
      </c>
      <c r="K232" s="17">
        <f t="shared" si="20"/>
        <v>-50</v>
      </c>
      <c r="L232" s="17"/>
      <c r="M232" s="19">
        <f t="shared" si="21"/>
        <v>0</v>
      </c>
    </row>
    <row r="233" spans="1:13">
      <c r="A233" s="43"/>
      <c r="G233" s="5"/>
      <c r="H233" s="17">
        <v>228</v>
      </c>
      <c r="I233" s="18" t="str">
        <f t="shared" si="19"/>
        <v/>
      </c>
      <c r="J233" s="17">
        <f t="shared" si="22"/>
        <v>-5</v>
      </c>
      <c r="K233" s="17">
        <f t="shared" si="20"/>
        <v>-50</v>
      </c>
      <c r="L233" s="17"/>
      <c r="M233" s="19">
        <f t="shared" si="21"/>
        <v>0</v>
      </c>
    </row>
    <row r="234" spans="1:13">
      <c r="A234" s="43"/>
      <c r="G234" s="5"/>
      <c r="H234" s="17">
        <v>229</v>
      </c>
      <c r="I234" s="18" t="str">
        <f t="shared" si="19"/>
        <v/>
      </c>
      <c r="J234" s="17">
        <f t="shared" si="22"/>
        <v>-5</v>
      </c>
      <c r="K234" s="17">
        <f t="shared" si="20"/>
        <v>-50</v>
      </c>
      <c r="L234" s="17"/>
      <c r="M234" s="19">
        <f t="shared" si="21"/>
        <v>0</v>
      </c>
    </row>
    <row r="235" spans="1:13">
      <c r="A235" s="43"/>
      <c r="G235" s="5"/>
      <c r="H235" s="17">
        <v>230</v>
      </c>
      <c r="I235" s="18" t="str">
        <f t="shared" si="19"/>
        <v/>
      </c>
      <c r="J235" s="17">
        <f t="shared" si="22"/>
        <v>-5</v>
      </c>
      <c r="K235" s="17">
        <f t="shared" si="20"/>
        <v>-50</v>
      </c>
      <c r="L235" s="17"/>
      <c r="M235" s="19">
        <f t="shared" si="21"/>
        <v>0</v>
      </c>
    </row>
    <row r="236" spans="1:13">
      <c r="A236" s="43"/>
      <c r="G236" s="5"/>
      <c r="H236" s="17">
        <v>231</v>
      </c>
      <c r="I236" s="18" t="str">
        <f t="shared" si="19"/>
        <v/>
      </c>
      <c r="J236" s="17">
        <f t="shared" si="22"/>
        <v>-5</v>
      </c>
      <c r="K236" s="17">
        <f t="shared" si="20"/>
        <v>-50</v>
      </c>
      <c r="L236" s="17"/>
      <c r="M236" s="19">
        <f t="shared" si="21"/>
        <v>0</v>
      </c>
    </row>
    <row r="237" spans="1:13">
      <c r="A237" s="43"/>
      <c r="G237" s="5"/>
      <c r="H237" s="17">
        <v>232</v>
      </c>
      <c r="I237" s="18" t="str">
        <f t="shared" si="19"/>
        <v/>
      </c>
      <c r="J237" s="17">
        <f t="shared" si="22"/>
        <v>-5</v>
      </c>
      <c r="K237" s="17">
        <f t="shared" si="20"/>
        <v>-50</v>
      </c>
      <c r="L237" s="17"/>
      <c r="M237" s="19">
        <f t="shared" si="21"/>
        <v>0</v>
      </c>
    </row>
    <row r="238" spans="1:13">
      <c r="A238" s="43"/>
      <c r="G238" s="5"/>
      <c r="H238" s="17">
        <v>233</v>
      </c>
      <c r="I238" s="18" t="str">
        <f t="shared" si="19"/>
        <v/>
      </c>
      <c r="J238" s="17">
        <f t="shared" si="22"/>
        <v>-5</v>
      </c>
      <c r="K238" s="17">
        <f t="shared" si="20"/>
        <v>-50</v>
      </c>
      <c r="L238" s="17"/>
      <c r="M238" s="19">
        <f t="shared" si="21"/>
        <v>0</v>
      </c>
    </row>
    <row r="239" spans="1:13">
      <c r="A239" s="43"/>
      <c r="G239" s="5"/>
      <c r="H239" s="17">
        <v>234</v>
      </c>
      <c r="I239" s="18" t="str">
        <f t="shared" si="19"/>
        <v/>
      </c>
      <c r="J239" s="17">
        <f t="shared" si="22"/>
        <v>-5</v>
      </c>
      <c r="K239" s="17">
        <f t="shared" si="20"/>
        <v>-50</v>
      </c>
      <c r="L239" s="17"/>
      <c r="M239" s="19">
        <f t="shared" si="21"/>
        <v>0</v>
      </c>
    </row>
    <row r="240" spans="1:13">
      <c r="A240" s="43"/>
      <c r="G240" s="5"/>
      <c r="H240" s="17">
        <v>235</v>
      </c>
      <c r="I240" s="18" t="str">
        <f t="shared" si="19"/>
        <v/>
      </c>
      <c r="J240" s="17">
        <f t="shared" si="22"/>
        <v>-5</v>
      </c>
      <c r="K240" s="17">
        <f t="shared" si="20"/>
        <v>-50</v>
      </c>
      <c r="L240" s="17"/>
      <c r="M240" s="19">
        <f t="shared" si="21"/>
        <v>0</v>
      </c>
    </row>
    <row r="241" spans="1:13">
      <c r="A241" s="43"/>
      <c r="G241" s="5"/>
      <c r="H241" s="17">
        <v>236</v>
      </c>
      <c r="I241" s="18" t="str">
        <f t="shared" si="19"/>
        <v/>
      </c>
      <c r="J241" s="17">
        <f t="shared" si="22"/>
        <v>-5</v>
      </c>
      <c r="K241" s="17">
        <f t="shared" si="20"/>
        <v>-50</v>
      </c>
      <c r="L241" s="17"/>
      <c r="M241" s="19">
        <f t="shared" si="21"/>
        <v>0</v>
      </c>
    </row>
    <row r="242" spans="1:13">
      <c r="A242" s="43"/>
      <c r="G242" s="5"/>
      <c r="H242" s="17">
        <v>237</v>
      </c>
      <c r="I242" s="18" t="str">
        <f t="shared" si="19"/>
        <v/>
      </c>
      <c r="J242" s="17">
        <f t="shared" si="22"/>
        <v>-5</v>
      </c>
      <c r="K242" s="17">
        <f t="shared" si="20"/>
        <v>-50</v>
      </c>
      <c r="L242" s="17"/>
      <c r="M242" s="19">
        <f t="shared" si="21"/>
        <v>0</v>
      </c>
    </row>
    <row r="243" spans="1:13">
      <c r="A243" s="43"/>
      <c r="G243" s="5"/>
      <c r="H243" s="17">
        <v>238</v>
      </c>
      <c r="I243" s="18" t="str">
        <f t="shared" si="19"/>
        <v/>
      </c>
      <c r="J243" s="17">
        <f t="shared" si="22"/>
        <v>-5</v>
      </c>
      <c r="K243" s="17">
        <f t="shared" si="20"/>
        <v>-50</v>
      </c>
      <c r="L243" s="17"/>
      <c r="M243" s="19">
        <f t="shared" si="21"/>
        <v>0</v>
      </c>
    </row>
    <row r="244" spans="1:13">
      <c r="A244" s="43"/>
      <c r="G244" s="5"/>
      <c r="H244" s="17">
        <v>239</v>
      </c>
      <c r="I244" s="18" t="str">
        <f t="shared" si="19"/>
        <v/>
      </c>
      <c r="J244" s="17">
        <f t="shared" si="22"/>
        <v>-5</v>
      </c>
      <c r="K244" s="17">
        <f t="shared" si="20"/>
        <v>-50</v>
      </c>
      <c r="L244" s="17"/>
      <c r="M244" s="19">
        <f t="shared" si="21"/>
        <v>0</v>
      </c>
    </row>
    <row r="245" spans="1:13">
      <c r="A245" s="43"/>
      <c r="G245" s="5"/>
      <c r="H245" s="17">
        <v>240</v>
      </c>
      <c r="I245" s="18" t="str">
        <f t="shared" si="19"/>
        <v/>
      </c>
      <c r="J245" s="17">
        <f t="shared" si="22"/>
        <v>-5</v>
      </c>
      <c r="K245" s="17">
        <f t="shared" si="20"/>
        <v>-50</v>
      </c>
      <c r="L245" s="17"/>
      <c r="M245" s="19">
        <f t="shared" si="21"/>
        <v>0</v>
      </c>
    </row>
    <row r="246" spans="1:13">
      <c r="A246" s="43"/>
      <c r="G246" s="5"/>
      <c r="H246" s="17">
        <v>241</v>
      </c>
      <c r="I246" s="18" t="str">
        <f t="shared" si="19"/>
        <v/>
      </c>
      <c r="J246" s="17">
        <f t="shared" si="22"/>
        <v>-5</v>
      </c>
      <c r="K246" s="17">
        <f t="shared" si="20"/>
        <v>-50</v>
      </c>
      <c r="L246" s="17"/>
      <c r="M246" s="19">
        <f t="shared" si="21"/>
        <v>0</v>
      </c>
    </row>
    <row r="247" spans="1:13">
      <c r="A247" s="43"/>
      <c r="G247" s="5"/>
      <c r="H247" s="17">
        <v>242</v>
      </c>
      <c r="I247" s="18" t="str">
        <f t="shared" si="19"/>
        <v/>
      </c>
      <c r="J247" s="17">
        <f t="shared" si="22"/>
        <v>-5</v>
      </c>
      <c r="K247" s="17">
        <f t="shared" si="20"/>
        <v>-50</v>
      </c>
      <c r="L247" s="17"/>
      <c r="M247" s="19">
        <f t="shared" si="21"/>
        <v>0</v>
      </c>
    </row>
    <row r="248" spans="1:13">
      <c r="A248" s="43"/>
      <c r="G248" s="5"/>
      <c r="H248" s="17">
        <v>243</v>
      </c>
      <c r="I248" s="18" t="str">
        <f t="shared" si="19"/>
        <v/>
      </c>
      <c r="J248" s="17">
        <f t="shared" si="22"/>
        <v>-5</v>
      </c>
      <c r="K248" s="17">
        <f t="shared" si="20"/>
        <v>-50</v>
      </c>
      <c r="L248" s="17"/>
      <c r="M248" s="19">
        <f t="shared" si="21"/>
        <v>0</v>
      </c>
    </row>
    <row r="249" spans="1:13">
      <c r="A249" s="43"/>
      <c r="G249" s="5"/>
      <c r="H249" s="17">
        <v>244</v>
      </c>
      <c r="I249" s="18" t="str">
        <f t="shared" si="19"/>
        <v/>
      </c>
      <c r="J249" s="17">
        <f t="shared" si="22"/>
        <v>-5</v>
      </c>
      <c r="K249" s="17">
        <f t="shared" si="20"/>
        <v>-50</v>
      </c>
      <c r="L249" s="17"/>
      <c r="M249" s="19">
        <f t="shared" si="21"/>
        <v>0</v>
      </c>
    </row>
    <row r="250" spans="1:13">
      <c r="A250" s="43"/>
      <c r="G250" s="5"/>
      <c r="H250" s="17">
        <v>245</v>
      </c>
      <c r="I250" s="18" t="str">
        <f t="shared" si="19"/>
        <v/>
      </c>
      <c r="J250" s="17">
        <f t="shared" si="22"/>
        <v>-5</v>
      </c>
      <c r="K250" s="17">
        <f t="shared" si="20"/>
        <v>-50</v>
      </c>
      <c r="L250" s="17"/>
      <c r="M250" s="19">
        <f t="shared" si="21"/>
        <v>0</v>
      </c>
    </row>
    <row r="251" spans="1:13">
      <c r="A251" s="43"/>
      <c r="G251" s="5"/>
      <c r="H251" s="17">
        <v>246</v>
      </c>
      <c r="I251" s="18" t="str">
        <f t="shared" si="19"/>
        <v/>
      </c>
      <c r="J251" s="17">
        <f t="shared" si="22"/>
        <v>-5</v>
      </c>
      <c r="K251" s="17">
        <f t="shared" si="20"/>
        <v>-50</v>
      </c>
      <c r="L251" s="17"/>
      <c r="M251" s="19">
        <f t="shared" si="21"/>
        <v>0</v>
      </c>
    </row>
    <row r="252" spans="1:13">
      <c r="A252" s="43"/>
      <c r="G252" s="5"/>
      <c r="H252" s="17">
        <v>247</v>
      </c>
      <c r="I252" s="18" t="str">
        <f t="shared" si="19"/>
        <v/>
      </c>
      <c r="J252" s="17">
        <f t="shared" si="22"/>
        <v>-5</v>
      </c>
      <c r="K252" s="17">
        <f t="shared" si="20"/>
        <v>-50</v>
      </c>
      <c r="L252" s="17"/>
      <c r="M252" s="19">
        <f t="shared" si="21"/>
        <v>0</v>
      </c>
    </row>
    <row r="253" spans="1:13">
      <c r="A253" s="43"/>
      <c r="G253" s="5"/>
      <c r="H253" s="17">
        <v>248</v>
      </c>
      <c r="I253" s="18" t="str">
        <f t="shared" si="19"/>
        <v/>
      </c>
      <c r="J253" s="17">
        <f t="shared" si="22"/>
        <v>-5</v>
      </c>
      <c r="K253" s="17">
        <f t="shared" si="20"/>
        <v>-50</v>
      </c>
      <c r="L253" s="17"/>
      <c r="M253" s="19">
        <f t="shared" si="21"/>
        <v>0</v>
      </c>
    </row>
    <row r="254" spans="1:13">
      <c r="A254" s="43"/>
      <c r="G254" s="5"/>
      <c r="H254" s="17">
        <v>249</v>
      </c>
      <c r="I254" s="18" t="str">
        <f t="shared" si="19"/>
        <v/>
      </c>
      <c r="J254" s="17">
        <f t="shared" si="22"/>
        <v>-5</v>
      </c>
      <c r="K254" s="17">
        <f t="shared" si="20"/>
        <v>-50</v>
      </c>
      <c r="L254" s="17"/>
      <c r="M254" s="19">
        <f t="shared" si="21"/>
        <v>0</v>
      </c>
    </row>
    <row r="255" spans="1:13">
      <c r="A255" s="43"/>
      <c r="G255" s="5"/>
      <c r="H255" s="17">
        <v>250</v>
      </c>
      <c r="I255" s="18" t="str">
        <f t="shared" si="19"/>
        <v/>
      </c>
      <c r="J255" s="17">
        <f t="shared" si="22"/>
        <v>-5</v>
      </c>
      <c r="K255" s="17">
        <f t="shared" si="20"/>
        <v>-50</v>
      </c>
      <c r="L255" s="17"/>
      <c r="M255" s="19">
        <f t="shared" si="21"/>
        <v>0</v>
      </c>
    </row>
    <row r="256" spans="1:13">
      <c r="A256" s="43"/>
      <c r="G256" s="5"/>
      <c r="H256" s="17">
        <v>251</v>
      </c>
      <c r="I256" s="18" t="str">
        <f t="shared" si="19"/>
        <v/>
      </c>
      <c r="J256" s="17">
        <f t="shared" si="22"/>
        <v>-5</v>
      </c>
      <c r="K256" s="17">
        <f t="shared" si="20"/>
        <v>-50</v>
      </c>
      <c r="L256" s="17"/>
      <c r="M256" s="19">
        <f t="shared" si="21"/>
        <v>0</v>
      </c>
    </row>
    <row r="257" spans="1:13">
      <c r="A257" s="43"/>
      <c r="G257" s="5"/>
      <c r="H257" s="17">
        <v>252</v>
      </c>
      <c r="I257" s="18" t="str">
        <f t="shared" si="19"/>
        <v/>
      </c>
      <c r="J257" s="17">
        <f t="shared" si="22"/>
        <v>-5</v>
      </c>
      <c r="K257" s="17">
        <f t="shared" si="20"/>
        <v>-50</v>
      </c>
      <c r="L257" s="17"/>
      <c r="M257" s="19">
        <f t="shared" si="21"/>
        <v>0</v>
      </c>
    </row>
    <row r="258" spans="1:13">
      <c r="A258" s="43"/>
      <c r="G258" s="5"/>
      <c r="H258" s="17">
        <v>253</v>
      </c>
      <c r="I258" s="18" t="str">
        <f t="shared" si="19"/>
        <v/>
      </c>
      <c r="J258" s="17">
        <f t="shared" si="22"/>
        <v>-5</v>
      </c>
      <c r="K258" s="17">
        <f t="shared" si="20"/>
        <v>-50</v>
      </c>
      <c r="L258" s="17"/>
      <c r="M258" s="19">
        <f t="shared" si="21"/>
        <v>0</v>
      </c>
    </row>
    <row r="259" spans="1:13">
      <c r="A259" s="43"/>
      <c r="G259" s="5"/>
      <c r="H259" s="17">
        <v>254</v>
      </c>
      <c r="I259" s="18" t="str">
        <f t="shared" si="19"/>
        <v/>
      </c>
      <c r="J259" s="17">
        <f t="shared" si="22"/>
        <v>-5</v>
      </c>
      <c r="K259" s="17">
        <f t="shared" si="20"/>
        <v>-50</v>
      </c>
      <c r="L259" s="17"/>
      <c r="M259" s="19">
        <f t="shared" si="21"/>
        <v>0</v>
      </c>
    </row>
    <row r="260" spans="1:13">
      <c r="A260" s="43"/>
      <c r="G260" s="5"/>
      <c r="H260" s="17">
        <v>255</v>
      </c>
      <c r="I260" s="18" t="str">
        <f t="shared" si="19"/>
        <v/>
      </c>
      <c r="J260" s="17">
        <f t="shared" si="22"/>
        <v>-5</v>
      </c>
      <c r="K260" s="17">
        <f t="shared" si="20"/>
        <v>-50</v>
      </c>
      <c r="L260" s="17"/>
      <c r="M260" s="19">
        <f t="shared" si="21"/>
        <v>0</v>
      </c>
    </row>
    <row r="261" spans="1:13">
      <c r="A261" s="43"/>
      <c r="G261" s="5"/>
      <c r="H261" s="17">
        <v>256</v>
      </c>
      <c r="I261" s="18" t="str">
        <f t="shared" si="19"/>
        <v/>
      </c>
      <c r="J261" s="17">
        <f t="shared" si="22"/>
        <v>-5</v>
      </c>
      <c r="K261" s="17">
        <f t="shared" si="20"/>
        <v>-50</v>
      </c>
      <c r="L261" s="17"/>
      <c r="M261" s="19">
        <f t="shared" si="21"/>
        <v>0</v>
      </c>
    </row>
    <row r="262" spans="1:13">
      <c r="A262" s="43"/>
      <c r="G262" s="5"/>
      <c r="H262" s="17">
        <v>257</v>
      </c>
      <c r="I262" s="18" t="str">
        <f t="shared" ref="I262:I305" si="23">IF(H262&lt;$H$2+1,($I$2-($I$2-1)*(LOG(H262)/LOG($H$2))),"")</f>
        <v/>
      </c>
      <c r="J262" s="17">
        <f t="shared" si="22"/>
        <v>-6</v>
      </c>
      <c r="K262" s="17">
        <f t="shared" ref="K262:K305" si="24">J262*$J$2</f>
        <v>-60</v>
      </c>
      <c r="L262" s="17"/>
      <c r="M262" s="19">
        <f t="shared" ref="M262:M305" si="25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3"/>
        <v/>
      </c>
      <c r="J263" s="17">
        <f t="shared" ref="J263:J326" si="26">INT(LOG($H$2,2))-ROUNDUP(LOG(H263,2),0)+IF(OR($H$2=1,$H$2=2,$H$2=4,$H$2=8,$H$2=16,$H$2=32,$H$2=64,$H$2=128,$H$2=256),0,1)</f>
        <v>-6</v>
      </c>
      <c r="K263" s="17">
        <f t="shared" si="24"/>
        <v>-60</v>
      </c>
      <c r="L263" s="17"/>
      <c r="M263" s="19">
        <f t="shared" si="25"/>
        <v>0</v>
      </c>
    </row>
    <row r="264" spans="1:13">
      <c r="A264" s="43"/>
      <c r="G264" s="5"/>
      <c r="H264" s="17">
        <v>259</v>
      </c>
      <c r="I264" s="18" t="str">
        <f t="shared" si="23"/>
        <v/>
      </c>
      <c r="J264" s="17">
        <f t="shared" si="26"/>
        <v>-6</v>
      </c>
      <c r="K264" s="17">
        <f t="shared" si="24"/>
        <v>-60</v>
      </c>
      <c r="L264" s="17"/>
      <c r="M264" s="19">
        <f t="shared" si="25"/>
        <v>0</v>
      </c>
    </row>
    <row r="265" spans="1:13">
      <c r="A265" s="43"/>
      <c r="G265" s="5"/>
      <c r="H265" s="17">
        <v>260</v>
      </c>
      <c r="I265" s="18" t="str">
        <f t="shared" si="23"/>
        <v/>
      </c>
      <c r="J265" s="17">
        <f t="shared" si="26"/>
        <v>-6</v>
      </c>
      <c r="K265" s="17">
        <f t="shared" si="24"/>
        <v>-60</v>
      </c>
      <c r="L265" s="17"/>
      <c r="M265" s="19">
        <f t="shared" si="25"/>
        <v>0</v>
      </c>
    </row>
    <row r="266" spans="1:13">
      <c r="A266" s="43"/>
      <c r="G266" s="5"/>
      <c r="H266" s="17">
        <v>261</v>
      </c>
      <c r="I266" s="18" t="str">
        <f t="shared" si="23"/>
        <v/>
      </c>
      <c r="J266" s="17">
        <f t="shared" si="26"/>
        <v>-6</v>
      </c>
      <c r="K266" s="17">
        <f t="shared" si="24"/>
        <v>-60</v>
      </c>
      <c r="L266" s="17"/>
      <c r="M266" s="19">
        <f t="shared" si="25"/>
        <v>0</v>
      </c>
    </row>
    <row r="267" spans="1:13">
      <c r="A267" s="43"/>
      <c r="G267" s="5"/>
      <c r="H267" s="17">
        <v>262</v>
      </c>
      <c r="I267" s="18" t="str">
        <f t="shared" si="23"/>
        <v/>
      </c>
      <c r="J267" s="17">
        <f t="shared" si="26"/>
        <v>-6</v>
      </c>
      <c r="K267" s="17">
        <f t="shared" si="24"/>
        <v>-60</v>
      </c>
      <c r="L267" s="17"/>
      <c r="M267" s="19">
        <f t="shared" si="25"/>
        <v>0</v>
      </c>
    </row>
    <row r="268" spans="1:13">
      <c r="A268" s="43"/>
      <c r="G268" s="5"/>
      <c r="H268" s="17">
        <v>263</v>
      </c>
      <c r="I268" s="18" t="str">
        <f t="shared" si="23"/>
        <v/>
      </c>
      <c r="J268" s="17">
        <f t="shared" si="26"/>
        <v>-6</v>
      </c>
      <c r="K268" s="17">
        <f t="shared" si="24"/>
        <v>-60</v>
      </c>
      <c r="L268" s="17"/>
      <c r="M268" s="19">
        <f t="shared" si="25"/>
        <v>0</v>
      </c>
    </row>
    <row r="269" spans="1:13">
      <c r="A269" s="43"/>
      <c r="G269" s="5"/>
      <c r="H269" s="17">
        <v>264</v>
      </c>
      <c r="I269" s="18" t="str">
        <f t="shared" si="23"/>
        <v/>
      </c>
      <c r="J269" s="17">
        <f t="shared" si="26"/>
        <v>-6</v>
      </c>
      <c r="K269" s="17">
        <f t="shared" si="24"/>
        <v>-60</v>
      </c>
      <c r="L269" s="17"/>
      <c r="M269" s="19">
        <f t="shared" si="25"/>
        <v>0</v>
      </c>
    </row>
    <row r="270" spans="1:13">
      <c r="A270" s="43"/>
      <c r="G270" s="5"/>
      <c r="H270" s="17">
        <v>265</v>
      </c>
      <c r="I270" s="18" t="str">
        <f t="shared" si="23"/>
        <v/>
      </c>
      <c r="J270" s="17">
        <f t="shared" si="26"/>
        <v>-6</v>
      </c>
      <c r="K270" s="17">
        <f t="shared" si="24"/>
        <v>-60</v>
      </c>
      <c r="L270" s="17"/>
      <c r="M270" s="19">
        <f t="shared" si="25"/>
        <v>0</v>
      </c>
    </row>
    <row r="271" spans="1:13">
      <c r="A271" s="43"/>
      <c r="G271" s="5"/>
      <c r="H271" s="17">
        <v>266</v>
      </c>
      <c r="I271" s="18" t="str">
        <f t="shared" si="23"/>
        <v/>
      </c>
      <c r="J271" s="17">
        <f t="shared" si="26"/>
        <v>-6</v>
      </c>
      <c r="K271" s="17">
        <f t="shared" si="24"/>
        <v>-60</v>
      </c>
      <c r="L271" s="17"/>
      <c r="M271" s="19">
        <f t="shared" si="25"/>
        <v>0</v>
      </c>
    </row>
    <row r="272" spans="1:13">
      <c r="A272" s="43"/>
      <c r="G272" s="5"/>
      <c r="H272" s="17">
        <v>267</v>
      </c>
      <c r="I272" s="18" t="str">
        <f t="shared" si="23"/>
        <v/>
      </c>
      <c r="J272" s="17">
        <f t="shared" si="26"/>
        <v>-6</v>
      </c>
      <c r="K272" s="17">
        <f t="shared" si="24"/>
        <v>-60</v>
      </c>
      <c r="L272" s="17"/>
      <c r="M272" s="19">
        <f t="shared" si="25"/>
        <v>0</v>
      </c>
    </row>
    <row r="273" spans="1:13">
      <c r="A273" s="43"/>
      <c r="G273" s="5"/>
      <c r="H273" s="17">
        <v>268</v>
      </c>
      <c r="I273" s="18" t="str">
        <f t="shared" si="23"/>
        <v/>
      </c>
      <c r="J273" s="17">
        <f t="shared" si="26"/>
        <v>-6</v>
      </c>
      <c r="K273" s="17">
        <f t="shared" si="24"/>
        <v>-60</v>
      </c>
      <c r="L273" s="17"/>
      <c r="M273" s="19">
        <f t="shared" si="25"/>
        <v>0</v>
      </c>
    </row>
    <row r="274" spans="1:13">
      <c r="A274" s="43"/>
      <c r="G274" s="5"/>
      <c r="H274" s="17">
        <v>269</v>
      </c>
      <c r="I274" s="18" t="str">
        <f t="shared" si="23"/>
        <v/>
      </c>
      <c r="J274" s="17">
        <f t="shared" si="26"/>
        <v>-6</v>
      </c>
      <c r="K274" s="17">
        <f t="shared" si="24"/>
        <v>-60</v>
      </c>
      <c r="L274" s="17"/>
      <c r="M274" s="19">
        <f t="shared" si="25"/>
        <v>0</v>
      </c>
    </row>
    <row r="275" spans="1:13">
      <c r="A275" s="43"/>
      <c r="G275" s="5"/>
      <c r="H275" s="17">
        <v>270</v>
      </c>
      <c r="I275" s="18" t="str">
        <f t="shared" si="23"/>
        <v/>
      </c>
      <c r="J275" s="17">
        <f t="shared" si="26"/>
        <v>-6</v>
      </c>
      <c r="K275" s="17">
        <f t="shared" si="24"/>
        <v>-60</v>
      </c>
      <c r="L275" s="17"/>
      <c r="M275" s="19">
        <f t="shared" si="25"/>
        <v>0</v>
      </c>
    </row>
    <row r="276" spans="1:13">
      <c r="A276" s="43"/>
      <c r="G276" s="5"/>
      <c r="H276" s="17">
        <v>271</v>
      </c>
      <c r="I276" s="18" t="str">
        <f t="shared" si="23"/>
        <v/>
      </c>
      <c r="J276" s="17">
        <f t="shared" si="26"/>
        <v>-6</v>
      </c>
      <c r="K276" s="17">
        <f t="shared" si="24"/>
        <v>-60</v>
      </c>
      <c r="L276" s="17"/>
      <c r="M276" s="19">
        <f t="shared" si="25"/>
        <v>0</v>
      </c>
    </row>
    <row r="277" spans="1:13">
      <c r="A277" s="43"/>
      <c r="G277" s="5"/>
      <c r="H277" s="17">
        <v>272</v>
      </c>
      <c r="I277" s="18" t="str">
        <f t="shared" si="23"/>
        <v/>
      </c>
      <c r="J277" s="17">
        <f t="shared" si="26"/>
        <v>-6</v>
      </c>
      <c r="K277" s="17">
        <f t="shared" si="24"/>
        <v>-60</v>
      </c>
      <c r="L277" s="17"/>
      <c r="M277" s="19">
        <f t="shared" si="25"/>
        <v>0</v>
      </c>
    </row>
    <row r="278" spans="1:13">
      <c r="A278" s="43"/>
      <c r="G278" s="5"/>
      <c r="H278" s="17">
        <v>273</v>
      </c>
      <c r="I278" s="18" t="str">
        <f t="shared" si="23"/>
        <v/>
      </c>
      <c r="J278" s="17">
        <f t="shared" si="26"/>
        <v>-6</v>
      </c>
      <c r="K278" s="17">
        <f t="shared" si="24"/>
        <v>-60</v>
      </c>
      <c r="L278" s="17"/>
      <c r="M278" s="19">
        <f t="shared" si="25"/>
        <v>0</v>
      </c>
    </row>
    <row r="279" spans="1:13">
      <c r="A279" s="43"/>
      <c r="G279" s="5"/>
      <c r="H279" s="17">
        <v>274</v>
      </c>
      <c r="I279" s="18" t="str">
        <f t="shared" si="23"/>
        <v/>
      </c>
      <c r="J279" s="17">
        <f t="shared" si="26"/>
        <v>-6</v>
      </c>
      <c r="K279" s="17">
        <f t="shared" si="24"/>
        <v>-60</v>
      </c>
      <c r="L279" s="17"/>
      <c r="M279" s="19">
        <f t="shared" si="25"/>
        <v>0</v>
      </c>
    </row>
    <row r="280" spans="1:13">
      <c r="A280" s="43"/>
      <c r="G280" s="5"/>
      <c r="H280" s="17">
        <v>275</v>
      </c>
      <c r="I280" s="18" t="str">
        <f t="shared" si="23"/>
        <v/>
      </c>
      <c r="J280" s="17">
        <f t="shared" si="26"/>
        <v>-6</v>
      </c>
      <c r="K280" s="17">
        <f t="shared" si="24"/>
        <v>-60</v>
      </c>
      <c r="L280" s="17"/>
      <c r="M280" s="19">
        <f t="shared" si="25"/>
        <v>0</v>
      </c>
    </row>
    <row r="281" spans="1:13">
      <c r="A281" s="43"/>
      <c r="G281" s="5"/>
      <c r="H281" s="17">
        <v>276</v>
      </c>
      <c r="I281" s="18" t="str">
        <f t="shared" si="23"/>
        <v/>
      </c>
      <c r="J281" s="17">
        <f t="shared" si="26"/>
        <v>-6</v>
      </c>
      <c r="K281" s="17">
        <f t="shared" si="24"/>
        <v>-60</v>
      </c>
      <c r="L281" s="17"/>
      <c r="M281" s="19">
        <f t="shared" si="25"/>
        <v>0</v>
      </c>
    </row>
    <row r="282" spans="1:13">
      <c r="A282" s="43"/>
      <c r="G282" s="5"/>
      <c r="H282" s="17">
        <v>277</v>
      </c>
      <c r="I282" s="18" t="str">
        <f t="shared" si="23"/>
        <v/>
      </c>
      <c r="J282" s="17">
        <f t="shared" si="26"/>
        <v>-6</v>
      </c>
      <c r="K282" s="17">
        <f t="shared" si="24"/>
        <v>-60</v>
      </c>
      <c r="L282" s="17"/>
      <c r="M282" s="19">
        <f t="shared" si="25"/>
        <v>0</v>
      </c>
    </row>
    <row r="283" spans="1:13">
      <c r="A283" s="43"/>
      <c r="G283" s="5"/>
      <c r="H283" s="17">
        <v>278</v>
      </c>
      <c r="I283" s="18" t="str">
        <f t="shared" si="23"/>
        <v/>
      </c>
      <c r="J283" s="17">
        <f t="shared" si="26"/>
        <v>-6</v>
      </c>
      <c r="K283" s="17">
        <f t="shared" si="24"/>
        <v>-60</v>
      </c>
      <c r="L283" s="17"/>
      <c r="M283" s="19">
        <f t="shared" si="25"/>
        <v>0</v>
      </c>
    </row>
    <row r="284" spans="1:13">
      <c r="A284" s="43"/>
      <c r="G284" s="5"/>
      <c r="H284" s="17">
        <v>279</v>
      </c>
      <c r="I284" s="18" t="str">
        <f t="shared" si="23"/>
        <v/>
      </c>
      <c r="J284" s="17">
        <f t="shared" si="26"/>
        <v>-6</v>
      </c>
      <c r="K284" s="17">
        <f t="shared" si="24"/>
        <v>-60</v>
      </c>
      <c r="L284" s="17"/>
      <c r="M284" s="19">
        <f t="shared" si="25"/>
        <v>0</v>
      </c>
    </row>
    <row r="285" spans="1:13">
      <c r="A285" s="43"/>
      <c r="G285" s="5"/>
      <c r="H285" s="17">
        <v>280</v>
      </c>
      <c r="I285" s="18" t="str">
        <f t="shared" si="23"/>
        <v/>
      </c>
      <c r="J285" s="17">
        <f t="shared" si="26"/>
        <v>-6</v>
      </c>
      <c r="K285" s="17">
        <f t="shared" si="24"/>
        <v>-60</v>
      </c>
      <c r="L285" s="17"/>
      <c r="M285" s="19">
        <f t="shared" si="25"/>
        <v>0</v>
      </c>
    </row>
    <row r="286" spans="1:13">
      <c r="A286" s="43"/>
      <c r="G286" s="5"/>
      <c r="H286" s="17">
        <v>281</v>
      </c>
      <c r="I286" s="18" t="str">
        <f t="shared" si="23"/>
        <v/>
      </c>
      <c r="J286" s="17">
        <f t="shared" si="26"/>
        <v>-6</v>
      </c>
      <c r="K286" s="17">
        <f t="shared" si="24"/>
        <v>-60</v>
      </c>
      <c r="L286" s="17"/>
      <c r="M286" s="19">
        <f t="shared" si="25"/>
        <v>0</v>
      </c>
    </row>
    <row r="287" spans="1:13">
      <c r="A287" s="43"/>
      <c r="G287" s="5"/>
      <c r="H287" s="17">
        <v>282</v>
      </c>
      <c r="I287" s="18" t="str">
        <f t="shared" si="23"/>
        <v/>
      </c>
      <c r="J287" s="17">
        <f t="shared" si="26"/>
        <v>-6</v>
      </c>
      <c r="K287" s="17">
        <f t="shared" si="24"/>
        <v>-60</v>
      </c>
      <c r="L287" s="17"/>
      <c r="M287" s="19">
        <f t="shared" si="25"/>
        <v>0</v>
      </c>
    </row>
    <row r="288" spans="1:13">
      <c r="A288" s="43"/>
      <c r="G288" s="5"/>
      <c r="H288" s="17">
        <v>283</v>
      </c>
      <c r="I288" s="18" t="str">
        <f t="shared" si="23"/>
        <v/>
      </c>
      <c r="J288" s="17">
        <f t="shared" si="26"/>
        <v>-6</v>
      </c>
      <c r="K288" s="17">
        <f t="shared" si="24"/>
        <v>-60</v>
      </c>
      <c r="L288" s="17"/>
      <c r="M288" s="19">
        <f t="shared" si="25"/>
        <v>0</v>
      </c>
    </row>
    <row r="289" spans="1:13">
      <c r="A289" s="43"/>
      <c r="G289" s="5"/>
      <c r="H289" s="17">
        <v>284</v>
      </c>
      <c r="I289" s="18" t="str">
        <f t="shared" si="23"/>
        <v/>
      </c>
      <c r="J289" s="17">
        <f t="shared" si="26"/>
        <v>-6</v>
      </c>
      <c r="K289" s="17">
        <f t="shared" si="24"/>
        <v>-60</v>
      </c>
      <c r="L289" s="17"/>
      <c r="M289" s="19">
        <f t="shared" si="25"/>
        <v>0</v>
      </c>
    </row>
    <row r="290" spans="1:13">
      <c r="A290" s="43"/>
      <c r="G290" s="5"/>
      <c r="H290" s="17">
        <v>285</v>
      </c>
      <c r="I290" s="18" t="str">
        <f t="shared" si="23"/>
        <v/>
      </c>
      <c r="J290" s="17">
        <f t="shared" si="26"/>
        <v>-6</v>
      </c>
      <c r="K290" s="17">
        <f t="shared" si="24"/>
        <v>-60</v>
      </c>
      <c r="L290" s="17"/>
      <c r="M290" s="19">
        <f t="shared" si="25"/>
        <v>0</v>
      </c>
    </row>
    <row r="291" spans="1:13">
      <c r="A291" s="43"/>
      <c r="G291" s="5"/>
      <c r="H291" s="17">
        <v>286</v>
      </c>
      <c r="I291" s="18" t="str">
        <f t="shared" si="23"/>
        <v/>
      </c>
      <c r="J291" s="17">
        <f t="shared" si="26"/>
        <v>-6</v>
      </c>
      <c r="K291" s="17">
        <f t="shared" si="24"/>
        <v>-60</v>
      </c>
      <c r="L291" s="17"/>
      <c r="M291" s="19">
        <f t="shared" si="25"/>
        <v>0</v>
      </c>
    </row>
    <row r="292" spans="1:13">
      <c r="A292" s="43"/>
      <c r="G292" s="5"/>
      <c r="H292" s="17">
        <v>287</v>
      </c>
      <c r="I292" s="18" t="str">
        <f t="shared" si="23"/>
        <v/>
      </c>
      <c r="J292" s="17">
        <f t="shared" si="26"/>
        <v>-6</v>
      </c>
      <c r="K292" s="17">
        <f t="shared" si="24"/>
        <v>-60</v>
      </c>
      <c r="L292" s="17"/>
      <c r="M292" s="19">
        <f t="shared" si="25"/>
        <v>0</v>
      </c>
    </row>
    <row r="293" spans="1:13">
      <c r="A293" s="43"/>
      <c r="G293" s="5"/>
      <c r="H293" s="17">
        <v>288</v>
      </c>
      <c r="I293" s="18" t="str">
        <f t="shared" si="23"/>
        <v/>
      </c>
      <c r="J293" s="17">
        <f t="shared" si="26"/>
        <v>-6</v>
      </c>
      <c r="K293" s="17">
        <f t="shared" si="24"/>
        <v>-60</v>
      </c>
      <c r="L293" s="17"/>
      <c r="M293" s="19">
        <f t="shared" si="25"/>
        <v>0</v>
      </c>
    </row>
    <row r="294" spans="1:13">
      <c r="A294" s="43"/>
      <c r="G294" s="5"/>
      <c r="H294" s="17">
        <v>289</v>
      </c>
      <c r="I294" s="18" t="str">
        <f t="shared" si="23"/>
        <v/>
      </c>
      <c r="J294" s="17">
        <f t="shared" si="26"/>
        <v>-6</v>
      </c>
      <c r="K294" s="17">
        <f t="shared" si="24"/>
        <v>-60</v>
      </c>
      <c r="L294" s="17"/>
      <c r="M294" s="19">
        <f t="shared" si="25"/>
        <v>0</v>
      </c>
    </row>
    <row r="295" spans="1:13">
      <c r="A295" s="43"/>
      <c r="G295" s="5"/>
      <c r="H295" s="17">
        <v>290</v>
      </c>
      <c r="I295" s="18" t="str">
        <f t="shared" si="23"/>
        <v/>
      </c>
      <c r="J295" s="17">
        <f t="shared" si="26"/>
        <v>-6</v>
      </c>
      <c r="K295" s="17">
        <f t="shared" si="24"/>
        <v>-60</v>
      </c>
      <c r="L295" s="17"/>
      <c r="M295" s="19">
        <f t="shared" si="25"/>
        <v>0</v>
      </c>
    </row>
    <row r="296" spans="1:13">
      <c r="A296" s="43"/>
      <c r="G296" s="5"/>
      <c r="H296" s="17">
        <v>291</v>
      </c>
      <c r="I296" s="18" t="str">
        <f t="shared" si="23"/>
        <v/>
      </c>
      <c r="J296" s="17">
        <f t="shared" si="26"/>
        <v>-6</v>
      </c>
      <c r="K296" s="17">
        <f t="shared" si="24"/>
        <v>-60</v>
      </c>
      <c r="L296" s="17"/>
      <c r="M296" s="19">
        <f t="shared" si="25"/>
        <v>0</v>
      </c>
    </row>
    <row r="297" spans="1:13">
      <c r="A297" s="43"/>
      <c r="G297" s="5"/>
      <c r="H297" s="17">
        <v>292</v>
      </c>
      <c r="I297" s="18" t="str">
        <f t="shared" si="23"/>
        <v/>
      </c>
      <c r="J297" s="17">
        <f t="shared" si="26"/>
        <v>-6</v>
      </c>
      <c r="K297" s="17">
        <f t="shared" si="24"/>
        <v>-60</v>
      </c>
      <c r="L297" s="17"/>
      <c r="M297" s="19">
        <f t="shared" si="25"/>
        <v>0</v>
      </c>
    </row>
    <row r="298" spans="1:13">
      <c r="A298" s="43"/>
      <c r="G298" s="5"/>
      <c r="H298" s="17">
        <v>293</v>
      </c>
      <c r="I298" s="18" t="str">
        <f t="shared" si="23"/>
        <v/>
      </c>
      <c r="J298" s="17">
        <f t="shared" si="26"/>
        <v>-6</v>
      </c>
      <c r="K298" s="17">
        <f t="shared" si="24"/>
        <v>-60</v>
      </c>
      <c r="L298" s="17"/>
      <c r="M298" s="19">
        <f t="shared" si="25"/>
        <v>0</v>
      </c>
    </row>
    <row r="299" spans="1:13">
      <c r="A299" s="43"/>
      <c r="G299" s="5"/>
      <c r="H299" s="17">
        <v>294</v>
      </c>
      <c r="I299" s="18" t="str">
        <f t="shared" si="23"/>
        <v/>
      </c>
      <c r="J299" s="17">
        <f t="shared" si="26"/>
        <v>-6</v>
      </c>
      <c r="K299" s="17">
        <f t="shared" si="24"/>
        <v>-60</v>
      </c>
      <c r="L299" s="17"/>
      <c r="M299" s="19">
        <f t="shared" si="25"/>
        <v>0</v>
      </c>
    </row>
    <row r="300" spans="1:13">
      <c r="A300" s="43"/>
      <c r="G300" s="5"/>
      <c r="H300" s="17">
        <v>295</v>
      </c>
      <c r="I300" s="18" t="str">
        <f t="shared" si="23"/>
        <v/>
      </c>
      <c r="J300" s="17">
        <f t="shared" si="26"/>
        <v>-6</v>
      </c>
      <c r="K300" s="17">
        <f t="shared" si="24"/>
        <v>-60</v>
      </c>
      <c r="L300" s="17"/>
      <c r="M300" s="19">
        <f t="shared" si="25"/>
        <v>0</v>
      </c>
    </row>
    <row r="301" spans="1:13">
      <c r="A301" s="43"/>
      <c r="G301" s="5"/>
      <c r="H301" s="17">
        <v>296</v>
      </c>
      <c r="I301" s="18" t="str">
        <f t="shared" si="23"/>
        <v/>
      </c>
      <c r="J301" s="17">
        <f t="shared" si="26"/>
        <v>-6</v>
      </c>
      <c r="K301" s="17">
        <f t="shared" si="24"/>
        <v>-60</v>
      </c>
      <c r="L301" s="17"/>
      <c r="M301" s="19">
        <f t="shared" si="25"/>
        <v>0</v>
      </c>
    </row>
    <row r="302" spans="1:13">
      <c r="A302" s="43"/>
      <c r="G302" s="5"/>
      <c r="H302" s="17">
        <v>297</v>
      </c>
      <c r="I302" s="18" t="str">
        <f t="shared" si="23"/>
        <v/>
      </c>
      <c r="J302" s="17">
        <f t="shared" si="26"/>
        <v>-6</v>
      </c>
      <c r="K302" s="17">
        <f t="shared" si="24"/>
        <v>-60</v>
      </c>
      <c r="L302" s="17"/>
      <c r="M302" s="19">
        <f t="shared" si="25"/>
        <v>0</v>
      </c>
    </row>
    <row r="303" spans="1:13">
      <c r="A303" s="43"/>
      <c r="G303" s="5"/>
      <c r="H303" s="17">
        <v>298</v>
      </c>
      <c r="I303" s="18" t="str">
        <f t="shared" si="23"/>
        <v/>
      </c>
      <c r="J303" s="17">
        <f t="shared" si="26"/>
        <v>-6</v>
      </c>
      <c r="K303" s="17">
        <f t="shared" si="24"/>
        <v>-60</v>
      </c>
      <c r="L303" s="17"/>
      <c r="M303" s="19">
        <f t="shared" si="25"/>
        <v>0</v>
      </c>
    </row>
    <row r="304" spans="1:13">
      <c r="A304" s="43"/>
      <c r="G304" s="5"/>
      <c r="H304" s="17">
        <v>299</v>
      </c>
      <c r="I304" s="18" t="str">
        <f t="shared" si="23"/>
        <v/>
      </c>
      <c r="J304" s="17">
        <f t="shared" si="26"/>
        <v>-6</v>
      </c>
      <c r="K304" s="17">
        <f t="shared" si="24"/>
        <v>-60</v>
      </c>
      <c r="L304" s="17"/>
      <c r="M304" s="19">
        <f t="shared" si="25"/>
        <v>0</v>
      </c>
    </row>
    <row r="305" spans="1:16">
      <c r="A305" s="43"/>
      <c r="G305" s="5"/>
      <c r="H305" s="17">
        <v>300</v>
      </c>
      <c r="I305" s="18" t="str">
        <f t="shared" si="23"/>
        <v/>
      </c>
      <c r="J305" s="17">
        <f t="shared" si="26"/>
        <v>-6</v>
      </c>
      <c r="K305" s="17">
        <f t="shared" si="24"/>
        <v>-60</v>
      </c>
      <c r="L305" s="17"/>
      <c r="M305" s="19">
        <f t="shared" si="25"/>
        <v>0</v>
      </c>
    </row>
    <row r="306" spans="1:16">
      <c r="A306" s="4"/>
      <c r="J306" s="20" t="e">
        <f t="shared" si="26"/>
        <v>#NUM!</v>
      </c>
    </row>
    <row r="307" spans="1:16">
      <c r="J307" s="20" t="e">
        <f t="shared" si="26"/>
        <v>#NUM!</v>
      </c>
    </row>
    <row r="308" spans="1:16">
      <c r="J308" s="20" t="e">
        <f t="shared" si="26"/>
        <v>#NUM!</v>
      </c>
    </row>
    <row r="309" spans="1:16">
      <c r="J309" s="20" t="e">
        <f t="shared" si="26"/>
        <v>#NUM!</v>
      </c>
    </row>
    <row r="310" spans="1:16">
      <c r="J310" s="20" t="e">
        <f t="shared" si="26"/>
        <v>#NUM!</v>
      </c>
    </row>
    <row r="311" spans="1:16">
      <c r="J311" s="20" t="e">
        <f t="shared" si="26"/>
        <v>#NUM!</v>
      </c>
    </row>
    <row r="312" spans="1:16">
      <c r="J312" s="20" t="e">
        <f t="shared" si="26"/>
        <v>#NUM!</v>
      </c>
    </row>
    <row r="313" spans="1:16">
      <c r="J313" s="20" t="e">
        <f t="shared" si="26"/>
        <v>#NUM!</v>
      </c>
    </row>
    <row r="314" spans="1:16">
      <c r="J314" s="20" t="e">
        <f t="shared" si="26"/>
        <v>#NUM!</v>
      </c>
      <c r="L314" s="21"/>
      <c r="P314" s="49"/>
    </row>
    <row r="315" spans="1:16">
      <c r="J315" s="20" t="e">
        <f t="shared" si="26"/>
        <v>#NUM!</v>
      </c>
      <c r="L315" s="21"/>
      <c r="P315" s="49"/>
    </row>
    <row r="316" spans="1:16">
      <c r="J316" s="20" t="e">
        <f t="shared" si="26"/>
        <v>#NUM!</v>
      </c>
      <c r="L316" s="21"/>
      <c r="P316" s="49"/>
    </row>
    <row r="317" spans="1:16">
      <c r="J317" s="20" t="e">
        <f t="shared" si="26"/>
        <v>#NUM!</v>
      </c>
      <c r="L317" s="21"/>
      <c r="P317" s="49"/>
    </row>
    <row r="318" spans="1:16">
      <c r="J318" s="20" t="e">
        <f t="shared" si="26"/>
        <v>#NUM!</v>
      </c>
    </row>
    <row r="319" spans="1:16">
      <c r="J319" s="20" t="e">
        <f t="shared" si="26"/>
        <v>#NUM!</v>
      </c>
    </row>
    <row r="320" spans="1:16">
      <c r="J320" s="20" t="e">
        <f t="shared" si="26"/>
        <v>#NUM!</v>
      </c>
    </row>
    <row r="321" spans="10:10">
      <c r="J321" s="20" t="e">
        <f t="shared" si="26"/>
        <v>#NUM!</v>
      </c>
    </row>
    <row r="322" spans="10:10">
      <c r="J322" s="20" t="e">
        <f t="shared" si="26"/>
        <v>#NUM!</v>
      </c>
    </row>
    <row r="323" spans="10:10">
      <c r="J323" s="20" t="e">
        <f t="shared" si="26"/>
        <v>#NUM!</v>
      </c>
    </row>
    <row r="324" spans="10:10">
      <c r="J324" s="20" t="e">
        <f t="shared" si="26"/>
        <v>#NUM!</v>
      </c>
    </row>
    <row r="325" spans="10:10">
      <c r="J325" s="20" t="e">
        <f t="shared" si="26"/>
        <v>#NUM!</v>
      </c>
    </row>
    <row r="326" spans="10:10">
      <c r="J326" s="20" t="e">
        <f t="shared" si="26"/>
        <v>#NUM!</v>
      </c>
    </row>
    <row r="327" spans="10:10">
      <c r="J327" s="20" t="e">
        <f t="shared" ref="J327:J390" si="27">INT(LOG($H$2,2))-ROUNDUP(LOG(H327,2),0)+IF(OR($H$2=1,$H$2=2,$H$2=4,$H$2=8,$H$2=16,$H$2=32,$H$2=64,$H$2=128,$H$2=256),0,1)</f>
        <v>#NUM!</v>
      </c>
    </row>
    <row r="328" spans="10:10">
      <c r="J328" s="20" t="e">
        <f t="shared" si="27"/>
        <v>#NUM!</v>
      </c>
    </row>
    <row r="329" spans="10:10">
      <c r="J329" s="20" t="e">
        <f t="shared" si="27"/>
        <v>#NUM!</v>
      </c>
    </row>
    <row r="330" spans="10:10">
      <c r="J330" s="20" t="e">
        <f t="shared" si="27"/>
        <v>#NUM!</v>
      </c>
    </row>
    <row r="331" spans="10:10">
      <c r="J331" s="20" t="e">
        <f t="shared" si="27"/>
        <v>#NUM!</v>
      </c>
    </row>
    <row r="332" spans="10:10">
      <c r="J332" s="20" t="e">
        <f t="shared" si="27"/>
        <v>#NUM!</v>
      </c>
    </row>
    <row r="333" spans="10:10">
      <c r="J333" s="20" t="e">
        <f t="shared" si="27"/>
        <v>#NUM!</v>
      </c>
    </row>
    <row r="334" spans="10:10">
      <c r="J334" s="20" t="e">
        <f t="shared" si="27"/>
        <v>#NUM!</v>
      </c>
    </row>
    <row r="335" spans="10:10">
      <c r="J335" s="20" t="e">
        <f t="shared" si="27"/>
        <v>#NUM!</v>
      </c>
    </row>
    <row r="336" spans="10:10">
      <c r="J336" s="20" t="e">
        <f t="shared" si="27"/>
        <v>#NUM!</v>
      </c>
    </row>
    <row r="337" spans="10:10">
      <c r="J337" s="20" t="e">
        <f t="shared" si="27"/>
        <v>#NUM!</v>
      </c>
    </row>
    <row r="338" spans="10:10">
      <c r="J338" s="20" t="e">
        <f t="shared" si="27"/>
        <v>#NUM!</v>
      </c>
    </row>
    <row r="339" spans="10:10">
      <c r="J339" s="20" t="e">
        <f t="shared" si="27"/>
        <v>#NUM!</v>
      </c>
    </row>
    <row r="340" spans="10:10">
      <c r="J340" s="20" t="e">
        <f t="shared" si="27"/>
        <v>#NUM!</v>
      </c>
    </row>
    <row r="341" spans="10:10">
      <c r="J341" s="20" t="e">
        <f t="shared" si="27"/>
        <v>#NUM!</v>
      </c>
    </row>
    <row r="342" spans="10:10">
      <c r="J342" s="20" t="e">
        <f t="shared" si="27"/>
        <v>#NUM!</v>
      </c>
    </row>
    <row r="343" spans="10:10">
      <c r="J343" s="20" t="e">
        <f t="shared" si="27"/>
        <v>#NUM!</v>
      </c>
    </row>
    <row r="344" spans="10:10">
      <c r="J344" s="20" t="e">
        <f t="shared" si="27"/>
        <v>#NUM!</v>
      </c>
    </row>
    <row r="345" spans="10:10">
      <c r="J345" s="20" t="e">
        <f t="shared" si="27"/>
        <v>#NUM!</v>
      </c>
    </row>
    <row r="346" spans="10:10">
      <c r="J346" s="20" t="e">
        <f t="shared" si="27"/>
        <v>#NUM!</v>
      </c>
    </row>
    <row r="347" spans="10:10">
      <c r="J347" s="20" t="e">
        <f t="shared" si="27"/>
        <v>#NUM!</v>
      </c>
    </row>
    <row r="348" spans="10:10">
      <c r="J348" s="20" t="e">
        <f t="shared" si="27"/>
        <v>#NUM!</v>
      </c>
    </row>
    <row r="349" spans="10:10">
      <c r="J349" s="20" t="e">
        <f t="shared" si="27"/>
        <v>#NUM!</v>
      </c>
    </row>
    <row r="350" spans="10:10">
      <c r="J350" s="20" t="e">
        <f t="shared" si="27"/>
        <v>#NUM!</v>
      </c>
    </row>
    <row r="351" spans="10:10">
      <c r="J351" s="20" t="e">
        <f t="shared" si="27"/>
        <v>#NUM!</v>
      </c>
    </row>
    <row r="352" spans="10:10">
      <c r="J352" s="20" t="e">
        <f t="shared" si="27"/>
        <v>#NUM!</v>
      </c>
    </row>
    <row r="353" spans="10:10">
      <c r="J353" s="20" t="e">
        <f t="shared" si="27"/>
        <v>#NUM!</v>
      </c>
    </row>
    <row r="354" spans="10:10">
      <c r="J354" s="20" t="e">
        <f t="shared" si="27"/>
        <v>#NUM!</v>
      </c>
    </row>
    <row r="355" spans="10:10">
      <c r="J355" s="20" t="e">
        <f t="shared" si="27"/>
        <v>#NUM!</v>
      </c>
    </row>
    <row r="356" spans="10:10">
      <c r="J356" s="20" t="e">
        <f t="shared" si="27"/>
        <v>#NUM!</v>
      </c>
    </row>
    <row r="357" spans="10:10">
      <c r="J357" s="20" t="e">
        <f t="shared" si="27"/>
        <v>#NUM!</v>
      </c>
    </row>
    <row r="358" spans="10:10">
      <c r="J358" s="20" t="e">
        <f t="shared" si="27"/>
        <v>#NUM!</v>
      </c>
    </row>
    <row r="359" spans="10:10">
      <c r="J359" s="20" t="e">
        <f t="shared" si="27"/>
        <v>#NUM!</v>
      </c>
    </row>
    <row r="360" spans="10:10">
      <c r="J360" s="20" t="e">
        <f t="shared" si="27"/>
        <v>#NUM!</v>
      </c>
    </row>
    <row r="361" spans="10:10">
      <c r="J361" s="20" t="e">
        <f t="shared" si="27"/>
        <v>#NUM!</v>
      </c>
    </row>
    <row r="362" spans="10:10">
      <c r="J362" s="20" t="e">
        <f t="shared" si="27"/>
        <v>#NUM!</v>
      </c>
    </row>
    <row r="363" spans="10:10">
      <c r="J363" s="20" t="e">
        <f t="shared" si="27"/>
        <v>#NUM!</v>
      </c>
    </row>
    <row r="364" spans="10:10">
      <c r="J364" s="20" t="e">
        <f t="shared" si="27"/>
        <v>#NUM!</v>
      </c>
    </row>
    <row r="365" spans="10:10">
      <c r="J365" s="20" t="e">
        <f t="shared" si="27"/>
        <v>#NUM!</v>
      </c>
    </row>
    <row r="366" spans="10:10">
      <c r="J366" s="20" t="e">
        <f t="shared" si="27"/>
        <v>#NUM!</v>
      </c>
    </row>
    <row r="367" spans="10:10">
      <c r="J367" s="20" t="e">
        <f t="shared" si="27"/>
        <v>#NUM!</v>
      </c>
    </row>
    <row r="368" spans="10:10">
      <c r="J368" s="20" t="e">
        <f t="shared" si="27"/>
        <v>#NUM!</v>
      </c>
    </row>
    <row r="369" spans="10:10">
      <c r="J369" s="20" t="e">
        <f t="shared" si="27"/>
        <v>#NUM!</v>
      </c>
    </row>
    <row r="370" spans="10:10">
      <c r="J370" s="20" t="e">
        <f t="shared" si="27"/>
        <v>#NUM!</v>
      </c>
    </row>
    <row r="371" spans="10:10">
      <c r="J371" s="20" t="e">
        <f t="shared" si="27"/>
        <v>#NUM!</v>
      </c>
    </row>
    <row r="372" spans="10:10">
      <c r="J372" s="20" t="e">
        <f t="shared" si="27"/>
        <v>#NUM!</v>
      </c>
    </row>
    <row r="373" spans="10:10">
      <c r="J373" s="20" t="e">
        <f t="shared" si="27"/>
        <v>#NUM!</v>
      </c>
    </row>
    <row r="374" spans="10:10">
      <c r="J374" s="20" t="e">
        <f t="shared" si="27"/>
        <v>#NUM!</v>
      </c>
    </row>
    <row r="375" spans="10:10">
      <c r="J375" s="20" t="e">
        <f t="shared" si="27"/>
        <v>#NUM!</v>
      </c>
    </row>
    <row r="376" spans="10:10">
      <c r="J376" s="20" t="e">
        <f t="shared" si="27"/>
        <v>#NUM!</v>
      </c>
    </row>
    <row r="377" spans="10:10">
      <c r="J377" s="20" t="e">
        <f t="shared" si="27"/>
        <v>#NUM!</v>
      </c>
    </row>
    <row r="378" spans="10:10">
      <c r="J378" s="20" t="e">
        <f t="shared" si="27"/>
        <v>#NUM!</v>
      </c>
    </row>
    <row r="379" spans="10:10">
      <c r="J379" s="20" t="e">
        <f t="shared" si="27"/>
        <v>#NUM!</v>
      </c>
    </row>
    <row r="380" spans="10:10">
      <c r="J380" s="20" t="e">
        <f t="shared" si="27"/>
        <v>#NUM!</v>
      </c>
    </row>
    <row r="381" spans="10:10">
      <c r="J381" s="20" t="e">
        <f t="shared" si="27"/>
        <v>#NUM!</v>
      </c>
    </row>
    <row r="382" spans="10:10">
      <c r="J382" s="20" t="e">
        <f t="shared" si="27"/>
        <v>#NUM!</v>
      </c>
    </row>
    <row r="383" spans="10:10">
      <c r="J383" s="20" t="e">
        <f t="shared" si="27"/>
        <v>#NUM!</v>
      </c>
    </row>
    <row r="384" spans="10:10">
      <c r="J384" s="20" t="e">
        <f t="shared" si="27"/>
        <v>#NUM!</v>
      </c>
    </row>
    <row r="385" spans="10:10">
      <c r="J385" s="20" t="e">
        <f t="shared" si="27"/>
        <v>#NUM!</v>
      </c>
    </row>
    <row r="386" spans="10:10">
      <c r="J386" s="20" t="e">
        <f t="shared" si="27"/>
        <v>#NUM!</v>
      </c>
    </row>
    <row r="387" spans="10:10">
      <c r="J387" s="20" t="e">
        <f t="shared" si="27"/>
        <v>#NUM!</v>
      </c>
    </row>
    <row r="388" spans="10:10">
      <c r="J388" s="20" t="e">
        <f t="shared" si="27"/>
        <v>#NUM!</v>
      </c>
    </row>
    <row r="389" spans="10:10">
      <c r="J389" s="20" t="e">
        <f t="shared" si="27"/>
        <v>#NUM!</v>
      </c>
    </row>
    <row r="390" spans="10:10">
      <c r="J390" s="20" t="e">
        <f t="shared" si="27"/>
        <v>#NUM!</v>
      </c>
    </row>
    <row r="391" spans="10:10">
      <c r="J391" s="20" t="e">
        <f t="shared" ref="J391:J454" si="28">INT(LOG($H$2,2))-ROUNDUP(LOG(H391,2),0)+IF(OR($H$2=1,$H$2=2,$H$2=4,$H$2=8,$H$2=16,$H$2=32,$H$2=64,$H$2=128,$H$2=256),0,1)</f>
        <v>#NUM!</v>
      </c>
    </row>
    <row r="392" spans="10:10">
      <c r="J392" s="20" t="e">
        <f t="shared" si="28"/>
        <v>#NUM!</v>
      </c>
    </row>
    <row r="393" spans="10:10">
      <c r="J393" s="20" t="e">
        <f t="shared" si="28"/>
        <v>#NUM!</v>
      </c>
    </row>
    <row r="394" spans="10:10">
      <c r="J394" s="20" t="e">
        <f t="shared" si="28"/>
        <v>#NUM!</v>
      </c>
    </row>
    <row r="395" spans="10:10">
      <c r="J395" s="20" t="e">
        <f t="shared" si="28"/>
        <v>#NUM!</v>
      </c>
    </row>
    <row r="396" spans="10:10">
      <c r="J396" s="20" t="e">
        <f t="shared" si="28"/>
        <v>#NUM!</v>
      </c>
    </row>
    <row r="397" spans="10:10">
      <c r="J397" s="20" t="e">
        <f t="shared" si="28"/>
        <v>#NUM!</v>
      </c>
    </row>
    <row r="398" spans="10:10">
      <c r="J398" s="20" t="e">
        <f t="shared" si="28"/>
        <v>#NUM!</v>
      </c>
    </row>
    <row r="399" spans="10:10">
      <c r="J399" s="20" t="e">
        <f t="shared" si="28"/>
        <v>#NUM!</v>
      </c>
    </row>
    <row r="400" spans="10:10">
      <c r="J400" s="20" t="e">
        <f t="shared" si="28"/>
        <v>#NUM!</v>
      </c>
    </row>
    <row r="401" spans="10:10">
      <c r="J401" s="20" t="e">
        <f t="shared" si="28"/>
        <v>#NUM!</v>
      </c>
    </row>
    <row r="402" spans="10:10">
      <c r="J402" s="20" t="e">
        <f t="shared" si="28"/>
        <v>#NUM!</v>
      </c>
    </row>
    <row r="403" spans="10:10">
      <c r="J403" s="20" t="e">
        <f t="shared" si="28"/>
        <v>#NUM!</v>
      </c>
    </row>
    <row r="404" spans="10:10">
      <c r="J404" s="20" t="e">
        <f t="shared" si="28"/>
        <v>#NUM!</v>
      </c>
    </row>
    <row r="405" spans="10:10">
      <c r="J405" s="20" t="e">
        <f t="shared" si="28"/>
        <v>#NUM!</v>
      </c>
    </row>
    <row r="406" spans="10:10">
      <c r="J406" s="20" t="e">
        <f t="shared" si="28"/>
        <v>#NUM!</v>
      </c>
    </row>
    <row r="407" spans="10:10">
      <c r="J407" s="20" t="e">
        <f t="shared" si="28"/>
        <v>#NUM!</v>
      </c>
    </row>
    <row r="408" spans="10:10">
      <c r="J408" s="20" t="e">
        <f t="shared" si="28"/>
        <v>#NUM!</v>
      </c>
    </row>
    <row r="409" spans="10:10">
      <c r="J409" s="20" t="e">
        <f t="shared" si="28"/>
        <v>#NUM!</v>
      </c>
    </row>
    <row r="410" spans="10:10">
      <c r="J410" s="20" t="e">
        <f t="shared" si="28"/>
        <v>#NUM!</v>
      </c>
    </row>
    <row r="411" spans="10:10">
      <c r="J411" s="20" t="e">
        <f t="shared" si="28"/>
        <v>#NUM!</v>
      </c>
    </row>
    <row r="412" spans="10:10">
      <c r="J412" s="20" t="e">
        <f t="shared" si="28"/>
        <v>#NUM!</v>
      </c>
    </row>
    <row r="413" spans="10:10">
      <c r="J413" s="20" t="e">
        <f t="shared" si="28"/>
        <v>#NUM!</v>
      </c>
    </row>
    <row r="414" spans="10:10">
      <c r="J414" s="20" t="e">
        <f t="shared" si="28"/>
        <v>#NUM!</v>
      </c>
    </row>
    <row r="415" spans="10:10">
      <c r="J415" s="20" t="e">
        <f t="shared" si="28"/>
        <v>#NUM!</v>
      </c>
    </row>
    <row r="416" spans="10:10">
      <c r="J416" s="20" t="e">
        <f t="shared" si="28"/>
        <v>#NUM!</v>
      </c>
    </row>
    <row r="417" spans="10:10">
      <c r="J417" s="20" t="e">
        <f t="shared" si="28"/>
        <v>#NUM!</v>
      </c>
    </row>
    <row r="418" spans="10:10">
      <c r="J418" s="20" t="e">
        <f t="shared" si="28"/>
        <v>#NUM!</v>
      </c>
    </row>
    <row r="419" spans="10:10">
      <c r="J419" s="20" t="e">
        <f t="shared" si="28"/>
        <v>#NUM!</v>
      </c>
    </row>
    <row r="420" spans="10:10">
      <c r="J420" s="20" t="e">
        <f t="shared" si="28"/>
        <v>#NUM!</v>
      </c>
    </row>
    <row r="421" spans="10:10">
      <c r="J421" s="20" t="e">
        <f t="shared" si="28"/>
        <v>#NUM!</v>
      </c>
    </row>
    <row r="422" spans="10:10">
      <c r="J422" s="20" t="e">
        <f t="shared" si="28"/>
        <v>#NUM!</v>
      </c>
    </row>
    <row r="423" spans="10:10">
      <c r="J423" s="20" t="e">
        <f t="shared" si="28"/>
        <v>#NUM!</v>
      </c>
    </row>
    <row r="424" spans="10:10">
      <c r="J424" s="20" t="e">
        <f t="shared" si="28"/>
        <v>#NUM!</v>
      </c>
    </row>
    <row r="425" spans="10:10">
      <c r="J425" s="20" t="e">
        <f t="shared" si="28"/>
        <v>#NUM!</v>
      </c>
    </row>
    <row r="426" spans="10:10">
      <c r="J426" s="20" t="e">
        <f t="shared" si="28"/>
        <v>#NUM!</v>
      </c>
    </row>
    <row r="427" spans="10:10">
      <c r="J427" s="20" t="e">
        <f t="shared" si="28"/>
        <v>#NUM!</v>
      </c>
    </row>
    <row r="428" spans="10:10">
      <c r="J428" s="20" t="e">
        <f t="shared" si="28"/>
        <v>#NUM!</v>
      </c>
    </row>
    <row r="429" spans="10:10">
      <c r="J429" s="20" t="e">
        <f t="shared" si="28"/>
        <v>#NUM!</v>
      </c>
    </row>
    <row r="430" spans="10:10">
      <c r="J430" s="20" t="e">
        <f t="shared" si="28"/>
        <v>#NUM!</v>
      </c>
    </row>
    <row r="431" spans="10:10">
      <c r="J431" s="20" t="e">
        <f t="shared" si="28"/>
        <v>#NUM!</v>
      </c>
    </row>
    <row r="432" spans="10:10">
      <c r="J432" s="20" t="e">
        <f t="shared" si="28"/>
        <v>#NUM!</v>
      </c>
    </row>
    <row r="433" spans="10:10">
      <c r="J433" s="20" t="e">
        <f t="shared" si="28"/>
        <v>#NUM!</v>
      </c>
    </row>
    <row r="434" spans="10:10">
      <c r="J434" s="20" t="e">
        <f t="shared" si="28"/>
        <v>#NUM!</v>
      </c>
    </row>
    <row r="435" spans="10:10">
      <c r="J435" s="20" t="e">
        <f t="shared" si="28"/>
        <v>#NUM!</v>
      </c>
    </row>
    <row r="436" spans="10:10">
      <c r="J436" s="20" t="e">
        <f t="shared" si="28"/>
        <v>#NUM!</v>
      </c>
    </row>
    <row r="437" spans="10:10">
      <c r="J437" s="20" t="e">
        <f t="shared" si="28"/>
        <v>#NUM!</v>
      </c>
    </row>
    <row r="438" spans="10:10">
      <c r="J438" s="20" t="e">
        <f t="shared" si="28"/>
        <v>#NUM!</v>
      </c>
    </row>
    <row r="439" spans="10:10">
      <c r="J439" s="20" t="e">
        <f t="shared" si="28"/>
        <v>#NUM!</v>
      </c>
    </row>
    <row r="440" spans="10:10">
      <c r="J440" s="20" t="e">
        <f t="shared" si="28"/>
        <v>#NUM!</v>
      </c>
    </row>
    <row r="441" spans="10:10">
      <c r="J441" s="20" t="e">
        <f t="shared" si="28"/>
        <v>#NUM!</v>
      </c>
    </row>
    <row r="442" spans="10:10">
      <c r="J442" s="20" t="e">
        <f t="shared" si="28"/>
        <v>#NUM!</v>
      </c>
    </row>
    <row r="443" spans="10:10">
      <c r="J443" s="20" t="e">
        <f t="shared" si="28"/>
        <v>#NUM!</v>
      </c>
    </row>
    <row r="444" spans="10:10">
      <c r="J444" s="20" t="e">
        <f t="shared" si="28"/>
        <v>#NUM!</v>
      </c>
    </row>
    <row r="445" spans="10:10">
      <c r="J445" s="20" t="e">
        <f t="shared" si="28"/>
        <v>#NUM!</v>
      </c>
    </row>
    <row r="446" spans="10:10">
      <c r="J446" s="20" t="e">
        <f t="shared" si="28"/>
        <v>#NUM!</v>
      </c>
    </row>
    <row r="447" spans="10:10">
      <c r="J447" s="20" t="e">
        <f t="shared" si="28"/>
        <v>#NUM!</v>
      </c>
    </row>
    <row r="448" spans="10:10">
      <c r="J448" s="20" t="e">
        <f t="shared" si="28"/>
        <v>#NUM!</v>
      </c>
    </row>
    <row r="449" spans="10:10">
      <c r="J449" s="20" t="e">
        <f t="shared" si="28"/>
        <v>#NUM!</v>
      </c>
    </row>
    <row r="450" spans="10:10">
      <c r="J450" s="20" t="e">
        <f t="shared" si="28"/>
        <v>#NUM!</v>
      </c>
    </row>
    <row r="451" spans="10:10">
      <c r="J451" s="20" t="e">
        <f t="shared" si="28"/>
        <v>#NUM!</v>
      </c>
    </row>
    <row r="452" spans="10:10">
      <c r="J452" s="20" t="e">
        <f t="shared" si="28"/>
        <v>#NUM!</v>
      </c>
    </row>
    <row r="453" spans="10:10">
      <c r="J453" s="20" t="e">
        <f t="shared" si="28"/>
        <v>#NUM!</v>
      </c>
    </row>
    <row r="454" spans="10:10">
      <c r="J454" s="20" t="e">
        <f t="shared" si="28"/>
        <v>#NUM!</v>
      </c>
    </row>
    <row r="455" spans="10:10">
      <c r="J455" s="20" t="e">
        <f t="shared" ref="J455:J518" si="29">INT(LOG($H$2,2))-ROUNDUP(LOG(H455,2),0)+IF(OR($H$2=1,$H$2=2,$H$2=4,$H$2=8,$H$2=16,$H$2=32,$H$2=64,$H$2=128,$H$2=256),0,1)</f>
        <v>#NUM!</v>
      </c>
    </row>
    <row r="456" spans="10:10">
      <c r="J456" s="20" t="e">
        <f t="shared" si="29"/>
        <v>#NUM!</v>
      </c>
    </row>
    <row r="457" spans="10:10">
      <c r="J457" s="20" t="e">
        <f t="shared" si="29"/>
        <v>#NUM!</v>
      </c>
    </row>
    <row r="458" spans="10:10">
      <c r="J458" s="20" t="e">
        <f t="shared" si="29"/>
        <v>#NUM!</v>
      </c>
    </row>
    <row r="459" spans="10:10">
      <c r="J459" s="20" t="e">
        <f t="shared" si="29"/>
        <v>#NUM!</v>
      </c>
    </row>
    <row r="460" spans="10:10">
      <c r="J460" s="20" t="e">
        <f t="shared" si="29"/>
        <v>#NUM!</v>
      </c>
    </row>
    <row r="461" spans="10:10">
      <c r="J461" s="20" t="e">
        <f t="shared" si="29"/>
        <v>#NUM!</v>
      </c>
    </row>
    <row r="462" spans="10:10">
      <c r="J462" s="20" t="e">
        <f t="shared" si="29"/>
        <v>#NUM!</v>
      </c>
    </row>
    <row r="463" spans="10:10">
      <c r="J463" s="20" t="e">
        <f t="shared" si="29"/>
        <v>#NUM!</v>
      </c>
    </row>
    <row r="464" spans="10:10">
      <c r="J464" s="20" t="e">
        <f t="shared" si="29"/>
        <v>#NUM!</v>
      </c>
    </row>
    <row r="465" spans="10:10">
      <c r="J465" s="20" t="e">
        <f t="shared" si="29"/>
        <v>#NUM!</v>
      </c>
    </row>
    <row r="466" spans="10:10">
      <c r="J466" s="20" t="e">
        <f t="shared" si="29"/>
        <v>#NUM!</v>
      </c>
    </row>
    <row r="467" spans="10:10">
      <c r="J467" s="20" t="e">
        <f t="shared" si="29"/>
        <v>#NUM!</v>
      </c>
    </row>
    <row r="468" spans="10:10">
      <c r="J468" s="20" t="e">
        <f t="shared" si="29"/>
        <v>#NUM!</v>
      </c>
    </row>
    <row r="469" spans="10:10">
      <c r="J469" s="20" t="e">
        <f t="shared" si="29"/>
        <v>#NUM!</v>
      </c>
    </row>
    <row r="470" spans="10:10">
      <c r="J470" s="20" t="e">
        <f t="shared" si="29"/>
        <v>#NUM!</v>
      </c>
    </row>
    <row r="471" spans="10:10">
      <c r="J471" s="20" t="e">
        <f t="shared" si="29"/>
        <v>#NUM!</v>
      </c>
    </row>
    <row r="472" spans="10:10">
      <c r="J472" s="20" t="e">
        <f t="shared" si="29"/>
        <v>#NUM!</v>
      </c>
    </row>
    <row r="473" spans="10:10">
      <c r="J473" s="20" t="e">
        <f t="shared" si="29"/>
        <v>#NUM!</v>
      </c>
    </row>
    <row r="474" spans="10:10">
      <c r="J474" s="20" t="e">
        <f t="shared" si="29"/>
        <v>#NUM!</v>
      </c>
    </row>
    <row r="475" spans="10:10">
      <c r="J475" s="20" t="e">
        <f t="shared" si="29"/>
        <v>#NUM!</v>
      </c>
    </row>
    <row r="476" spans="10:10">
      <c r="J476" s="20" t="e">
        <f t="shared" si="29"/>
        <v>#NUM!</v>
      </c>
    </row>
    <row r="477" spans="10:10">
      <c r="J477" s="20" t="e">
        <f t="shared" si="29"/>
        <v>#NUM!</v>
      </c>
    </row>
    <row r="478" spans="10:10">
      <c r="J478" s="20" t="e">
        <f t="shared" si="29"/>
        <v>#NUM!</v>
      </c>
    </row>
    <row r="479" spans="10:10">
      <c r="J479" s="20" t="e">
        <f t="shared" si="29"/>
        <v>#NUM!</v>
      </c>
    </row>
    <row r="480" spans="10:10">
      <c r="J480" s="20" t="e">
        <f t="shared" si="29"/>
        <v>#NUM!</v>
      </c>
    </row>
    <row r="481" spans="10:10">
      <c r="J481" s="20" t="e">
        <f t="shared" si="29"/>
        <v>#NUM!</v>
      </c>
    </row>
    <row r="482" spans="10:10">
      <c r="J482" s="20" t="e">
        <f t="shared" si="29"/>
        <v>#NUM!</v>
      </c>
    </row>
    <row r="483" spans="10:10">
      <c r="J483" s="20" t="e">
        <f t="shared" si="29"/>
        <v>#NUM!</v>
      </c>
    </row>
    <row r="484" spans="10:10">
      <c r="J484" s="20" t="e">
        <f t="shared" si="29"/>
        <v>#NUM!</v>
      </c>
    </row>
    <row r="485" spans="10:10">
      <c r="J485" s="20" t="e">
        <f t="shared" si="29"/>
        <v>#NUM!</v>
      </c>
    </row>
    <row r="486" spans="10:10">
      <c r="J486" s="20" t="e">
        <f t="shared" si="29"/>
        <v>#NUM!</v>
      </c>
    </row>
    <row r="487" spans="10:10">
      <c r="J487" s="20" t="e">
        <f t="shared" si="29"/>
        <v>#NUM!</v>
      </c>
    </row>
    <row r="488" spans="10:10">
      <c r="J488" s="20" t="e">
        <f t="shared" si="29"/>
        <v>#NUM!</v>
      </c>
    </row>
    <row r="489" spans="10:10">
      <c r="J489" s="20" t="e">
        <f t="shared" si="29"/>
        <v>#NUM!</v>
      </c>
    </row>
    <row r="490" spans="10:10">
      <c r="J490" s="20" t="e">
        <f t="shared" si="29"/>
        <v>#NUM!</v>
      </c>
    </row>
    <row r="491" spans="10:10">
      <c r="J491" s="20" t="e">
        <f t="shared" si="29"/>
        <v>#NUM!</v>
      </c>
    </row>
    <row r="492" spans="10:10">
      <c r="J492" s="20" t="e">
        <f t="shared" si="29"/>
        <v>#NUM!</v>
      </c>
    </row>
    <row r="493" spans="10:10">
      <c r="J493" s="20" t="e">
        <f t="shared" si="29"/>
        <v>#NUM!</v>
      </c>
    </row>
    <row r="494" spans="10:10">
      <c r="J494" s="20" t="e">
        <f t="shared" si="29"/>
        <v>#NUM!</v>
      </c>
    </row>
    <row r="495" spans="10:10">
      <c r="J495" s="20" t="e">
        <f t="shared" si="29"/>
        <v>#NUM!</v>
      </c>
    </row>
    <row r="496" spans="10:10">
      <c r="J496" s="20" t="e">
        <f t="shared" si="29"/>
        <v>#NUM!</v>
      </c>
    </row>
    <row r="497" spans="10:10">
      <c r="J497" s="20" t="e">
        <f t="shared" si="29"/>
        <v>#NUM!</v>
      </c>
    </row>
    <row r="498" spans="10:10">
      <c r="J498" s="20" t="e">
        <f t="shared" si="29"/>
        <v>#NUM!</v>
      </c>
    </row>
    <row r="499" spans="10:10">
      <c r="J499" s="20" t="e">
        <f t="shared" si="29"/>
        <v>#NUM!</v>
      </c>
    </row>
    <row r="500" spans="10:10">
      <c r="J500" s="20" t="e">
        <f t="shared" si="29"/>
        <v>#NUM!</v>
      </c>
    </row>
    <row r="501" spans="10:10">
      <c r="J501" s="20" t="e">
        <f t="shared" si="29"/>
        <v>#NUM!</v>
      </c>
    </row>
    <row r="502" spans="10:10">
      <c r="J502" s="20" t="e">
        <f t="shared" si="29"/>
        <v>#NUM!</v>
      </c>
    </row>
    <row r="503" spans="10:10">
      <c r="J503" s="20" t="e">
        <f t="shared" si="29"/>
        <v>#NUM!</v>
      </c>
    </row>
    <row r="504" spans="10:10">
      <c r="J504" s="20" t="e">
        <f t="shared" si="29"/>
        <v>#NUM!</v>
      </c>
    </row>
    <row r="505" spans="10:10">
      <c r="J505" s="20" t="e">
        <f t="shared" si="29"/>
        <v>#NUM!</v>
      </c>
    </row>
    <row r="506" spans="10:10">
      <c r="J506" s="20" t="e">
        <f t="shared" si="29"/>
        <v>#NUM!</v>
      </c>
    </row>
    <row r="507" spans="10:10">
      <c r="J507" s="20" t="e">
        <f t="shared" si="29"/>
        <v>#NUM!</v>
      </c>
    </row>
    <row r="508" spans="10:10">
      <c r="J508" s="20" t="e">
        <f t="shared" si="29"/>
        <v>#NUM!</v>
      </c>
    </row>
    <row r="509" spans="10:10">
      <c r="J509" s="20" t="e">
        <f t="shared" si="29"/>
        <v>#NUM!</v>
      </c>
    </row>
    <row r="510" spans="10:10">
      <c r="J510" s="20" t="e">
        <f t="shared" si="29"/>
        <v>#NUM!</v>
      </c>
    </row>
    <row r="511" spans="10:10">
      <c r="J511" s="20" t="e">
        <f t="shared" si="29"/>
        <v>#NUM!</v>
      </c>
    </row>
    <row r="512" spans="10:10">
      <c r="J512" s="20" t="e">
        <f t="shared" si="29"/>
        <v>#NUM!</v>
      </c>
    </row>
    <row r="513" spans="10:10">
      <c r="J513" s="20" t="e">
        <f t="shared" si="29"/>
        <v>#NUM!</v>
      </c>
    </row>
    <row r="514" spans="10:10">
      <c r="J514" s="20" t="e">
        <f t="shared" si="29"/>
        <v>#NUM!</v>
      </c>
    </row>
    <row r="515" spans="10:10">
      <c r="J515" s="20" t="e">
        <f t="shared" si="29"/>
        <v>#NUM!</v>
      </c>
    </row>
    <row r="516" spans="10:10">
      <c r="J516" s="20" t="e">
        <f t="shared" si="29"/>
        <v>#NUM!</v>
      </c>
    </row>
    <row r="517" spans="10:10">
      <c r="J517" s="20" t="e">
        <f t="shared" si="29"/>
        <v>#NUM!</v>
      </c>
    </row>
    <row r="518" spans="10:10">
      <c r="J518" s="20" t="e">
        <f t="shared" si="29"/>
        <v>#NUM!</v>
      </c>
    </row>
    <row r="519" spans="10:10">
      <c r="J519" s="20" t="e">
        <f t="shared" ref="J519:J582" si="30">INT(LOG($H$2,2))-ROUNDUP(LOG(H519,2),0)+IF(OR($H$2=1,$H$2=2,$H$2=4,$H$2=8,$H$2=16,$H$2=32,$H$2=64,$H$2=128,$H$2=256),0,1)</f>
        <v>#NUM!</v>
      </c>
    </row>
    <row r="520" spans="10:10">
      <c r="J520" s="20" t="e">
        <f t="shared" si="30"/>
        <v>#NUM!</v>
      </c>
    </row>
    <row r="521" spans="10:10">
      <c r="J521" s="20" t="e">
        <f t="shared" si="30"/>
        <v>#NUM!</v>
      </c>
    </row>
    <row r="522" spans="10:10">
      <c r="J522" s="20" t="e">
        <f t="shared" si="30"/>
        <v>#NUM!</v>
      </c>
    </row>
    <row r="523" spans="10:10">
      <c r="J523" s="20" t="e">
        <f t="shared" si="30"/>
        <v>#NUM!</v>
      </c>
    </row>
    <row r="524" spans="10:10">
      <c r="J524" s="20" t="e">
        <f t="shared" si="30"/>
        <v>#NUM!</v>
      </c>
    </row>
    <row r="525" spans="10:10">
      <c r="J525" s="20" t="e">
        <f t="shared" si="30"/>
        <v>#NUM!</v>
      </c>
    </row>
    <row r="526" spans="10:10">
      <c r="J526" s="20" t="e">
        <f t="shared" si="30"/>
        <v>#NUM!</v>
      </c>
    </row>
    <row r="527" spans="10:10">
      <c r="J527" s="20" t="e">
        <f t="shared" si="30"/>
        <v>#NUM!</v>
      </c>
    </row>
    <row r="528" spans="10:10">
      <c r="J528" s="20" t="e">
        <f t="shared" si="30"/>
        <v>#NUM!</v>
      </c>
    </row>
    <row r="529" spans="10:10">
      <c r="J529" s="20" t="e">
        <f t="shared" si="30"/>
        <v>#NUM!</v>
      </c>
    </row>
    <row r="530" spans="10:10">
      <c r="J530" s="20" t="e">
        <f t="shared" si="30"/>
        <v>#NUM!</v>
      </c>
    </row>
    <row r="531" spans="10:10">
      <c r="J531" s="20" t="e">
        <f t="shared" si="30"/>
        <v>#NUM!</v>
      </c>
    </row>
    <row r="532" spans="10:10">
      <c r="J532" s="20" t="e">
        <f t="shared" si="30"/>
        <v>#NUM!</v>
      </c>
    </row>
    <row r="533" spans="10:10">
      <c r="J533" s="20" t="e">
        <f t="shared" si="30"/>
        <v>#NUM!</v>
      </c>
    </row>
    <row r="534" spans="10:10">
      <c r="J534" s="20" t="e">
        <f t="shared" si="30"/>
        <v>#NUM!</v>
      </c>
    </row>
    <row r="535" spans="10:10">
      <c r="J535" s="20" t="e">
        <f t="shared" si="30"/>
        <v>#NUM!</v>
      </c>
    </row>
    <row r="536" spans="10:10">
      <c r="J536" s="20" t="e">
        <f t="shared" si="30"/>
        <v>#NUM!</v>
      </c>
    </row>
    <row r="537" spans="10:10">
      <c r="J537" s="20" t="e">
        <f t="shared" si="30"/>
        <v>#NUM!</v>
      </c>
    </row>
    <row r="538" spans="10:10">
      <c r="J538" s="20" t="e">
        <f t="shared" si="30"/>
        <v>#NUM!</v>
      </c>
    </row>
    <row r="539" spans="10:10">
      <c r="J539" s="20" t="e">
        <f t="shared" si="30"/>
        <v>#NUM!</v>
      </c>
    </row>
    <row r="540" spans="10:10">
      <c r="J540" s="20" t="e">
        <f t="shared" si="30"/>
        <v>#NUM!</v>
      </c>
    </row>
    <row r="541" spans="10:10">
      <c r="J541" s="20" t="e">
        <f t="shared" si="30"/>
        <v>#NUM!</v>
      </c>
    </row>
    <row r="542" spans="10:10">
      <c r="J542" s="20" t="e">
        <f t="shared" si="30"/>
        <v>#NUM!</v>
      </c>
    </row>
    <row r="543" spans="10:10">
      <c r="J543" s="20" t="e">
        <f t="shared" si="30"/>
        <v>#NUM!</v>
      </c>
    </row>
    <row r="544" spans="10:10">
      <c r="J544" s="20" t="e">
        <f t="shared" si="30"/>
        <v>#NUM!</v>
      </c>
    </row>
    <row r="545" spans="10:10">
      <c r="J545" s="20" t="e">
        <f t="shared" si="30"/>
        <v>#NUM!</v>
      </c>
    </row>
    <row r="546" spans="10:10">
      <c r="J546" s="20" t="e">
        <f t="shared" si="30"/>
        <v>#NUM!</v>
      </c>
    </row>
    <row r="547" spans="10:10">
      <c r="J547" s="20" t="e">
        <f t="shared" si="30"/>
        <v>#NUM!</v>
      </c>
    </row>
    <row r="548" spans="10:10">
      <c r="J548" s="20" t="e">
        <f t="shared" si="30"/>
        <v>#NUM!</v>
      </c>
    </row>
    <row r="549" spans="10:10">
      <c r="J549" s="20" t="e">
        <f t="shared" si="30"/>
        <v>#NUM!</v>
      </c>
    </row>
    <row r="550" spans="10:10">
      <c r="J550" s="20" t="e">
        <f t="shared" si="30"/>
        <v>#NUM!</v>
      </c>
    </row>
    <row r="551" spans="10:10">
      <c r="J551" s="20" t="e">
        <f t="shared" si="30"/>
        <v>#NUM!</v>
      </c>
    </row>
    <row r="552" spans="10:10">
      <c r="J552" s="20" t="e">
        <f t="shared" si="30"/>
        <v>#NUM!</v>
      </c>
    </row>
    <row r="553" spans="10:10">
      <c r="J553" s="20" t="e">
        <f t="shared" si="30"/>
        <v>#NUM!</v>
      </c>
    </row>
    <row r="554" spans="10:10">
      <c r="J554" s="20" t="e">
        <f t="shared" si="30"/>
        <v>#NUM!</v>
      </c>
    </row>
    <row r="555" spans="10:10">
      <c r="J555" s="20" t="e">
        <f t="shared" si="30"/>
        <v>#NUM!</v>
      </c>
    </row>
    <row r="556" spans="10:10">
      <c r="J556" s="20" t="e">
        <f t="shared" si="30"/>
        <v>#NUM!</v>
      </c>
    </row>
    <row r="557" spans="10:10">
      <c r="J557" s="20" t="e">
        <f t="shared" si="30"/>
        <v>#NUM!</v>
      </c>
    </row>
    <row r="558" spans="10:10">
      <c r="J558" s="20" t="e">
        <f t="shared" si="30"/>
        <v>#NUM!</v>
      </c>
    </row>
    <row r="559" spans="10:10">
      <c r="J559" s="20" t="e">
        <f t="shared" si="30"/>
        <v>#NUM!</v>
      </c>
    </row>
    <row r="560" spans="10:10">
      <c r="J560" s="20" t="e">
        <f t="shared" si="30"/>
        <v>#NUM!</v>
      </c>
    </row>
    <row r="561" spans="10:10">
      <c r="J561" s="20" t="e">
        <f t="shared" si="30"/>
        <v>#NUM!</v>
      </c>
    </row>
    <row r="562" spans="10:10">
      <c r="J562" s="20" t="e">
        <f t="shared" si="30"/>
        <v>#NUM!</v>
      </c>
    </row>
    <row r="563" spans="10:10">
      <c r="J563" s="20" t="e">
        <f t="shared" si="30"/>
        <v>#NUM!</v>
      </c>
    </row>
    <row r="564" spans="10:10">
      <c r="J564" s="20" t="e">
        <f t="shared" si="30"/>
        <v>#NUM!</v>
      </c>
    </row>
    <row r="565" spans="10:10">
      <c r="J565" s="20" t="e">
        <f t="shared" si="30"/>
        <v>#NUM!</v>
      </c>
    </row>
    <row r="566" spans="10:10">
      <c r="J566" s="20" t="e">
        <f t="shared" si="30"/>
        <v>#NUM!</v>
      </c>
    </row>
    <row r="567" spans="10:10">
      <c r="J567" s="20" t="e">
        <f t="shared" si="30"/>
        <v>#NUM!</v>
      </c>
    </row>
    <row r="568" spans="10:10">
      <c r="J568" s="20" t="e">
        <f t="shared" si="30"/>
        <v>#NUM!</v>
      </c>
    </row>
    <row r="569" spans="10:10">
      <c r="J569" s="20" t="e">
        <f t="shared" si="30"/>
        <v>#NUM!</v>
      </c>
    </row>
    <row r="570" spans="10:10">
      <c r="J570" s="20" t="e">
        <f t="shared" si="30"/>
        <v>#NUM!</v>
      </c>
    </row>
    <row r="571" spans="10:10">
      <c r="J571" s="20" t="e">
        <f t="shared" si="30"/>
        <v>#NUM!</v>
      </c>
    </row>
    <row r="572" spans="10:10">
      <c r="J572" s="20" t="e">
        <f t="shared" si="30"/>
        <v>#NUM!</v>
      </c>
    </row>
    <row r="573" spans="10:10">
      <c r="J573" s="20" t="e">
        <f t="shared" si="30"/>
        <v>#NUM!</v>
      </c>
    </row>
    <row r="574" spans="10:10">
      <c r="J574" s="20" t="e">
        <f t="shared" si="30"/>
        <v>#NUM!</v>
      </c>
    </row>
    <row r="575" spans="10:10">
      <c r="J575" s="20" t="e">
        <f t="shared" si="30"/>
        <v>#NUM!</v>
      </c>
    </row>
    <row r="576" spans="10:10">
      <c r="J576" s="20" t="e">
        <f t="shared" si="30"/>
        <v>#NUM!</v>
      </c>
    </row>
    <row r="577" spans="10:10">
      <c r="J577" s="20" t="e">
        <f t="shared" si="30"/>
        <v>#NUM!</v>
      </c>
    </row>
    <row r="578" spans="10:10">
      <c r="J578" s="20" t="e">
        <f t="shared" si="30"/>
        <v>#NUM!</v>
      </c>
    </row>
    <row r="579" spans="10:10">
      <c r="J579" s="20" t="e">
        <f t="shared" si="30"/>
        <v>#NUM!</v>
      </c>
    </row>
    <row r="580" spans="10:10">
      <c r="J580" s="20" t="e">
        <f t="shared" si="30"/>
        <v>#NUM!</v>
      </c>
    </row>
    <row r="581" spans="10:10">
      <c r="J581" s="20" t="e">
        <f t="shared" si="30"/>
        <v>#NUM!</v>
      </c>
    </row>
    <row r="582" spans="10:10">
      <c r="J582" s="20" t="e">
        <f t="shared" si="30"/>
        <v>#NUM!</v>
      </c>
    </row>
    <row r="583" spans="10:10">
      <c r="J583" s="20" t="e">
        <f t="shared" ref="J583:J646" si="31">INT(LOG($H$2,2))-ROUNDUP(LOG(H583,2),0)+IF(OR($H$2=1,$H$2=2,$H$2=4,$H$2=8,$H$2=16,$H$2=32,$H$2=64,$H$2=128,$H$2=256),0,1)</f>
        <v>#NUM!</v>
      </c>
    </row>
    <row r="584" spans="10:10">
      <c r="J584" s="20" t="e">
        <f t="shared" si="31"/>
        <v>#NUM!</v>
      </c>
    </row>
    <row r="585" spans="10:10">
      <c r="J585" s="20" t="e">
        <f t="shared" si="31"/>
        <v>#NUM!</v>
      </c>
    </row>
    <row r="586" spans="10:10">
      <c r="J586" s="20" t="e">
        <f t="shared" si="31"/>
        <v>#NUM!</v>
      </c>
    </row>
    <row r="587" spans="10:10">
      <c r="J587" s="20" t="e">
        <f t="shared" si="31"/>
        <v>#NUM!</v>
      </c>
    </row>
    <row r="588" spans="10:10">
      <c r="J588" s="20" t="e">
        <f t="shared" si="31"/>
        <v>#NUM!</v>
      </c>
    </row>
    <row r="589" spans="10:10">
      <c r="J589" s="20" t="e">
        <f t="shared" si="31"/>
        <v>#NUM!</v>
      </c>
    </row>
    <row r="590" spans="10:10">
      <c r="J590" s="20" t="e">
        <f t="shared" si="31"/>
        <v>#NUM!</v>
      </c>
    </row>
    <row r="591" spans="10:10">
      <c r="J591" s="20" t="e">
        <f t="shared" si="31"/>
        <v>#NUM!</v>
      </c>
    </row>
    <row r="592" spans="10:10">
      <c r="J592" s="20" t="e">
        <f t="shared" si="31"/>
        <v>#NUM!</v>
      </c>
    </row>
    <row r="593" spans="10:10">
      <c r="J593" s="20" t="e">
        <f t="shared" si="31"/>
        <v>#NUM!</v>
      </c>
    </row>
    <row r="594" spans="10:10">
      <c r="J594" s="20" t="e">
        <f t="shared" si="31"/>
        <v>#NUM!</v>
      </c>
    </row>
    <row r="595" spans="10:10">
      <c r="J595" s="20" t="e">
        <f t="shared" si="31"/>
        <v>#NUM!</v>
      </c>
    </row>
    <row r="596" spans="10:10">
      <c r="J596" s="20" t="e">
        <f t="shared" si="31"/>
        <v>#NUM!</v>
      </c>
    </row>
    <row r="597" spans="10:10">
      <c r="J597" s="20" t="e">
        <f t="shared" si="31"/>
        <v>#NUM!</v>
      </c>
    </row>
    <row r="598" spans="10:10">
      <c r="J598" s="20" t="e">
        <f t="shared" si="31"/>
        <v>#NUM!</v>
      </c>
    </row>
    <row r="599" spans="10:10">
      <c r="J599" s="20" t="e">
        <f t="shared" si="31"/>
        <v>#NUM!</v>
      </c>
    </row>
    <row r="600" spans="10:10">
      <c r="J600" s="20" t="e">
        <f t="shared" si="31"/>
        <v>#NUM!</v>
      </c>
    </row>
    <row r="601" spans="10:10">
      <c r="J601" s="20" t="e">
        <f t="shared" si="31"/>
        <v>#NUM!</v>
      </c>
    </row>
    <row r="602" spans="10:10">
      <c r="J602" s="20" t="e">
        <f t="shared" si="31"/>
        <v>#NUM!</v>
      </c>
    </row>
    <row r="603" spans="10:10">
      <c r="J603" s="20" t="e">
        <f t="shared" si="31"/>
        <v>#NUM!</v>
      </c>
    </row>
    <row r="604" spans="10:10">
      <c r="J604" s="20" t="e">
        <f t="shared" si="31"/>
        <v>#NUM!</v>
      </c>
    </row>
    <row r="605" spans="10:10">
      <c r="J605" s="20" t="e">
        <f t="shared" si="31"/>
        <v>#NUM!</v>
      </c>
    </row>
    <row r="606" spans="10:10">
      <c r="J606" s="20" t="e">
        <f t="shared" si="31"/>
        <v>#NUM!</v>
      </c>
    </row>
    <row r="607" spans="10:10">
      <c r="J607" s="20" t="e">
        <f t="shared" si="31"/>
        <v>#NUM!</v>
      </c>
    </row>
    <row r="608" spans="10:10">
      <c r="J608" s="20" t="e">
        <f t="shared" si="31"/>
        <v>#NUM!</v>
      </c>
    </row>
    <row r="609" spans="10:10">
      <c r="J609" s="20" t="e">
        <f t="shared" si="31"/>
        <v>#NUM!</v>
      </c>
    </row>
    <row r="610" spans="10:10">
      <c r="J610" s="20" t="e">
        <f t="shared" si="31"/>
        <v>#NUM!</v>
      </c>
    </row>
    <row r="611" spans="10:10">
      <c r="J611" s="20" t="e">
        <f t="shared" si="31"/>
        <v>#NUM!</v>
      </c>
    </row>
    <row r="612" spans="10:10">
      <c r="J612" s="20" t="e">
        <f t="shared" si="31"/>
        <v>#NUM!</v>
      </c>
    </row>
    <row r="613" spans="10:10">
      <c r="J613" s="20" t="e">
        <f t="shared" si="31"/>
        <v>#NUM!</v>
      </c>
    </row>
    <row r="614" spans="10:10">
      <c r="J614" s="20" t="e">
        <f t="shared" si="31"/>
        <v>#NUM!</v>
      </c>
    </row>
    <row r="615" spans="10:10">
      <c r="J615" s="20" t="e">
        <f t="shared" si="31"/>
        <v>#NUM!</v>
      </c>
    </row>
    <row r="616" spans="10:10">
      <c r="J616" s="20" t="e">
        <f t="shared" si="31"/>
        <v>#NUM!</v>
      </c>
    </row>
    <row r="617" spans="10:10">
      <c r="J617" s="20" t="e">
        <f t="shared" si="31"/>
        <v>#NUM!</v>
      </c>
    </row>
    <row r="618" spans="10:10">
      <c r="J618" s="20" t="e">
        <f t="shared" si="31"/>
        <v>#NUM!</v>
      </c>
    </row>
    <row r="619" spans="10:10">
      <c r="J619" s="20" t="e">
        <f t="shared" si="31"/>
        <v>#NUM!</v>
      </c>
    </row>
    <row r="620" spans="10:10">
      <c r="J620" s="20" t="e">
        <f t="shared" si="31"/>
        <v>#NUM!</v>
      </c>
    </row>
    <row r="621" spans="10:10">
      <c r="J621" s="20" t="e">
        <f t="shared" si="31"/>
        <v>#NUM!</v>
      </c>
    </row>
    <row r="622" spans="10:10">
      <c r="J622" s="20" t="e">
        <f t="shared" si="31"/>
        <v>#NUM!</v>
      </c>
    </row>
    <row r="623" spans="10:10">
      <c r="J623" s="20" t="e">
        <f t="shared" si="31"/>
        <v>#NUM!</v>
      </c>
    </row>
    <row r="624" spans="10:10">
      <c r="J624" s="20" t="e">
        <f t="shared" si="31"/>
        <v>#NUM!</v>
      </c>
    </row>
    <row r="625" spans="10:10">
      <c r="J625" s="20" t="e">
        <f t="shared" si="31"/>
        <v>#NUM!</v>
      </c>
    </row>
    <row r="626" spans="10:10">
      <c r="J626" s="20" t="e">
        <f t="shared" si="31"/>
        <v>#NUM!</v>
      </c>
    </row>
    <row r="627" spans="10:10">
      <c r="J627" s="20" t="e">
        <f t="shared" si="31"/>
        <v>#NUM!</v>
      </c>
    </row>
    <row r="628" spans="10:10">
      <c r="J628" s="20" t="e">
        <f t="shared" si="31"/>
        <v>#NUM!</v>
      </c>
    </row>
    <row r="629" spans="10:10">
      <c r="J629" s="20" t="e">
        <f t="shared" si="31"/>
        <v>#NUM!</v>
      </c>
    </row>
    <row r="630" spans="10:10">
      <c r="J630" s="20" t="e">
        <f t="shared" si="31"/>
        <v>#NUM!</v>
      </c>
    </row>
    <row r="631" spans="10:10">
      <c r="J631" s="20" t="e">
        <f t="shared" si="31"/>
        <v>#NUM!</v>
      </c>
    </row>
    <row r="632" spans="10:10">
      <c r="J632" s="20" t="e">
        <f t="shared" si="31"/>
        <v>#NUM!</v>
      </c>
    </row>
    <row r="633" spans="10:10">
      <c r="J633" s="20" t="e">
        <f t="shared" si="31"/>
        <v>#NUM!</v>
      </c>
    </row>
    <row r="634" spans="10:10">
      <c r="J634" s="20" t="e">
        <f t="shared" si="31"/>
        <v>#NUM!</v>
      </c>
    </row>
    <row r="635" spans="10:10">
      <c r="J635" s="20" t="e">
        <f t="shared" si="31"/>
        <v>#NUM!</v>
      </c>
    </row>
    <row r="636" spans="10:10">
      <c r="J636" s="20" t="e">
        <f t="shared" si="31"/>
        <v>#NUM!</v>
      </c>
    </row>
    <row r="637" spans="10:10">
      <c r="J637" s="20" t="e">
        <f t="shared" si="31"/>
        <v>#NUM!</v>
      </c>
    </row>
    <row r="638" spans="10:10">
      <c r="J638" s="20" t="e">
        <f t="shared" si="31"/>
        <v>#NUM!</v>
      </c>
    </row>
    <row r="639" spans="10:10">
      <c r="J639" s="20" t="e">
        <f t="shared" si="31"/>
        <v>#NUM!</v>
      </c>
    </row>
    <row r="640" spans="10:10">
      <c r="J640" s="20" t="e">
        <f t="shared" si="31"/>
        <v>#NUM!</v>
      </c>
    </row>
    <row r="641" spans="10:10">
      <c r="J641" s="20" t="e">
        <f t="shared" si="31"/>
        <v>#NUM!</v>
      </c>
    </row>
    <row r="642" spans="10:10">
      <c r="J642" s="20" t="e">
        <f t="shared" si="31"/>
        <v>#NUM!</v>
      </c>
    </row>
    <row r="643" spans="10:10">
      <c r="J643" s="20" t="e">
        <f t="shared" si="31"/>
        <v>#NUM!</v>
      </c>
    </row>
    <row r="644" spans="10:10">
      <c r="J644" s="20" t="e">
        <f t="shared" si="31"/>
        <v>#NUM!</v>
      </c>
    </row>
    <row r="645" spans="10:10">
      <c r="J645" s="20" t="e">
        <f t="shared" si="31"/>
        <v>#NUM!</v>
      </c>
    </row>
    <row r="646" spans="10:10">
      <c r="J646" s="20" t="e">
        <f t="shared" si="31"/>
        <v>#NUM!</v>
      </c>
    </row>
    <row r="647" spans="10:10">
      <c r="J647" s="20" t="e">
        <f t="shared" ref="J647:J710" si="32">INT(LOG($H$2,2))-ROUNDUP(LOG(H647,2),0)+IF(OR($H$2=1,$H$2=2,$H$2=4,$H$2=8,$H$2=16,$H$2=32,$H$2=64,$H$2=128,$H$2=256),0,1)</f>
        <v>#NUM!</v>
      </c>
    </row>
    <row r="648" spans="10:10">
      <c r="J648" s="20" t="e">
        <f t="shared" si="32"/>
        <v>#NUM!</v>
      </c>
    </row>
    <row r="649" spans="10:10">
      <c r="J649" s="20" t="e">
        <f t="shared" si="32"/>
        <v>#NUM!</v>
      </c>
    </row>
    <row r="650" spans="10:10">
      <c r="J650" s="20" t="e">
        <f t="shared" si="32"/>
        <v>#NUM!</v>
      </c>
    </row>
    <row r="651" spans="10:10">
      <c r="J651" s="20" t="e">
        <f t="shared" si="32"/>
        <v>#NUM!</v>
      </c>
    </row>
    <row r="652" spans="10:10">
      <c r="J652" s="20" t="e">
        <f t="shared" si="32"/>
        <v>#NUM!</v>
      </c>
    </row>
    <row r="653" spans="10:10">
      <c r="J653" s="20" t="e">
        <f t="shared" si="32"/>
        <v>#NUM!</v>
      </c>
    </row>
    <row r="654" spans="10:10">
      <c r="J654" s="20" t="e">
        <f t="shared" si="32"/>
        <v>#NUM!</v>
      </c>
    </row>
    <row r="655" spans="10:10">
      <c r="J655" s="20" t="e">
        <f t="shared" si="32"/>
        <v>#NUM!</v>
      </c>
    </row>
    <row r="656" spans="10:10">
      <c r="J656" s="20" t="e">
        <f t="shared" si="32"/>
        <v>#NUM!</v>
      </c>
    </row>
    <row r="657" spans="10:10">
      <c r="J657" s="20" t="e">
        <f t="shared" si="32"/>
        <v>#NUM!</v>
      </c>
    </row>
    <row r="658" spans="10:10">
      <c r="J658" s="20" t="e">
        <f t="shared" si="32"/>
        <v>#NUM!</v>
      </c>
    </row>
    <row r="659" spans="10:10">
      <c r="J659" s="20" t="e">
        <f t="shared" si="32"/>
        <v>#NUM!</v>
      </c>
    </row>
    <row r="660" spans="10:10">
      <c r="J660" s="20" t="e">
        <f t="shared" si="32"/>
        <v>#NUM!</v>
      </c>
    </row>
    <row r="661" spans="10:10">
      <c r="J661" s="20" t="e">
        <f t="shared" si="32"/>
        <v>#NUM!</v>
      </c>
    </row>
    <row r="662" spans="10:10">
      <c r="J662" s="20" t="e">
        <f t="shared" si="32"/>
        <v>#NUM!</v>
      </c>
    </row>
    <row r="663" spans="10:10">
      <c r="J663" s="20" t="e">
        <f t="shared" si="32"/>
        <v>#NUM!</v>
      </c>
    </row>
    <row r="664" spans="10:10">
      <c r="J664" s="20" t="e">
        <f t="shared" si="32"/>
        <v>#NUM!</v>
      </c>
    </row>
    <row r="665" spans="10:10">
      <c r="J665" s="20" t="e">
        <f t="shared" si="32"/>
        <v>#NUM!</v>
      </c>
    </row>
    <row r="666" spans="10:10">
      <c r="J666" s="20" t="e">
        <f t="shared" si="32"/>
        <v>#NUM!</v>
      </c>
    </row>
    <row r="667" spans="10:10">
      <c r="J667" s="20" t="e">
        <f t="shared" si="32"/>
        <v>#NUM!</v>
      </c>
    </row>
    <row r="668" spans="10:10">
      <c r="J668" s="20" t="e">
        <f t="shared" si="32"/>
        <v>#NUM!</v>
      </c>
    </row>
    <row r="669" spans="10:10">
      <c r="J669" s="20" t="e">
        <f t="shared" si="32"/>
        <v>#NUM!</v>
      </c>
    </row>
    <row r="670" spans="10:10">
      <c r="J670" s="20" t="e">
        <f t="shared" si="32"/>
        <v>#NUM!</v>
      </c>
    </row>
    <row r="671" spans="10:10">
      <c r="J671" s="20" t="e">
        <f t="shared" si="32"/>
        <v>#NUM!</v>
      </c>
    </row>
    <row r="672" spans="10:10">
      <c r="J672" s="20" t="e">
        <f t="shared" si="32"/>
        <v>#NUM!</v>
      </c>
    </row>
    <row r="673" spans="10:10">
      <c r="J673" s="20" t="e">
        <f t="shared" si="32"/>
        <v>#NUM!</v>
      </c>
    </row>
    <row r="674" spans="10:10">
      <c r="J674" s="20" t="e">
        <f t="shared" si="32"/>
        <v>#NUM!</v>
      </c>
    </row>
    <row r="675" spans="10:10">
      <c r="J675" s="20" t="e">
        <f t="shared" si="32"/>
        <v>#NUM!</v>
      </c>
    </row>
    <row r="676" spans="10:10">
      <c r="J676" s="20" t="e">
        <f t="shared" si="32"/>
        <v>#NUM!</v>
      </c>
    </row>
    <row r="677" spans="10:10">
      <c r="J677" s="20" t="e">
        <f t="shared" si="32"/>
        <v>#NUM!</v>
      </c>
    </row>
    <row r="678" spans="10:10">
      <c r="J678" s="20" t="e">
        <f t="shared" si="32"/>
        <v>#NUM!</v>
      </c>
    </row>
    <row r="679" spans="10:10">
      <c r="J679" s="20" t="e">
        <f t="shared" si="32"/>
        <v>#NUM!</v>
      </c>
    </row>
    <row r="680" spans="10:10">
      <c r="J680" s="20" t="e">
        <f t="shared" si="32"/>
        <v>#NUM!</v>
      </c>
    </row>
    <row r="681" spans="10:10">
      <c r="J681" s="20" t="e">
        <f t="shared" si="32"/>
        <v>#NUM!</v>
      </c>
    </row>
    <row r="682" spans="10:10">
      <c r="J682" s="20" t="e">
        <f t="shared" si="32"/>
        <v>#NUM!</v>
      </c>
    </row>
    <row r="683" spans="10:10">
      <c r="J683" s="20" t="e">
        <f t="shared" si="32"/>
        <v>#NUM!</v>
      </c>
    </row>
    <row r="684" spans="10:10">
      <c r="J684" s="20" t="e">
        <f t="shared" si="32"/>
        <v>#NUM!</v>
      </c>
    </row>
    <row r="685" spans="10:10">
      <c r="J685" s="20" t="e">
        <f t="shared" si="32"/>
        <v>#NUM!</v>
      </c>
    </row>
    <row r="686" spans="10:10">
      <c r="J686" s="20" t="e">
        <f t="shared" si="32"/>
        <v>#NUM!</v>
      </c>
    </row>
    <row r="687" spans="10:10">
      <c r="J687" s="20" t="e">
        <f t="shared" si="32"/>
        <v>#NUM!</v>
      </c>
    </row>
    <row r="688" spans="10:10">
      <c r="J688" s="20" t="e">
        <f t="shared" si="32"/>
        <v>#NUM!</v>
      </c>
    </row>
    <row r="689" spans="10:10">
      <c r="J689" s="20" t="e">
        <f t="shared" si="32"/>
        <v>#NUM!</v>
      </c>
    </row>
    <row r="690" spans="10:10">
      <c r="J690" s="20" t="e">
        <f t="shared" si="32"/>
        <v>#NUM!</v>
      </c>
    </row>
    <row r="691" spans="10:10">
      <c r="J691" s="20" t="e">
        <f t="shared" si="32"/>
        <v>#NUM!</v>
      </c>
    </row>
    <row r="692" spans="10:10">
      <c r="J692" s="20" t="e">
        <f t="shared" si="32"/>
        <v>#NUM!</v>
      </c>
    </row>
    <row r="693" spans="10:10">
      <c r="J693" s="20" t="e">
        <f t="shared" si="32"/>
        <v>#NUM!</v>
      </c>
    </row>
    <row r="694" spans="10:10">
      <c r="J694" s="20" t="e">
        <f t="shared" si="32"/>
        <v>#NUM!</v>
      </c>
    </row>
    <row r="695" spans="10:10">
      <c r="J695" s="20" t="e">
        <f t="shared" si="32"/>
        <v>#NUM!</v>
      </c>
    </row>
    <row r="696" spans="10:10">
      <c r="J696" s="20" t="e">
        <f t="shared" si="32"/>
        <v>#NUM!</v>
      </c>
    </row>
    <row r="697" spans="10:10">
      <c r="J697" s="20" t="e">
        <f t="shared" si="32"/>
        <v>#NUM!</v>
      </c>
    </row>
    <row r="698" spans="10:10">
      <c r="J698" s="20" t="e">
        <f t="shared" si="32"/>
        <v>#NUM!</v>
      </c>
    </row>
    <row r="699" spans="10:10">
      <c r="J699" s="20" t="e">
        <f t="shared" si="32"/>
        <v>#NUM!</v>
      </c>
    </row>
    <row r="700" spans="10:10">
      <c r="J700" s="20" t="e">
        <f t="shared" si="32"/>
        <v>#NUM!</v>
      </c>
    </row>
    <row r="701" spans="10:10">
      <c r="J701" s="20" t="e">
        <f t="shared" si="32"/>
        <v>#NUM!</v>
      </c>
    </row>
    <row r="702" spans="10:10">
      <c r="J702" s="20" t="e">
        <f t="shared" si="32"/>
        <v>#NUM!</v>
      </c>
    </row>
    <row r="703" spans="10:10">
      <c r="J703" s="20" t="e">
        <f t="shared" si="32"/>
        <v>#NUM!</v>
      </c>
    </row>
    <row r="704" spans="10:10">
      <c r="J704" s="20" t="e">
        <f t="shared" si="32"/>
        <v>#NUM!</v>
      </c>
    </row>
    <row r="705" spans="10:10">
      <c r="J705" s="20" t="e">
        <f t="shared" si="32"/>
        <v>#NUM!</v>
      </c>
    </row>
    <row r="706" spans="10:10">
      <c r="J706" s="20" t="e">
        <f t="shared" si="32"/>
        <v>#NUM!</v>
      </c>
    </row>
    <row r="707" spans="10:10">
      <c r="J707" s="20" t="e">
        <f t="shared" si="32"/>
        <v>#NUM!</v>
      </c>
    </row>
    <row r="708" spans="10:10">
      <c r="J708" s="20" t="e">
        <f t="shared" si="32"/>
        <v>#NUM!</v>
      </c>
    </row>
    <row r="709" spans="10:10">
      <c r="J709" s="20" t="e">
        <f t="shared" si="32"/>
        <v>#NUM!</v>
      </c>
    </row>
    <row r="710" spans="10:10">
      <c r="J710" s="20" t="e">
        <f t="shared" si="32"/>
        <v>#NUM!</v>
      </c>
    </row>
    <row r="711" spans="10:10">
      <c r="J711" s="20" t="e">
        <f t="shared" ref="J711:J774" si="33">INT(LOG($H$2,2))-ROUNDUP(LOG(H711,2),0)+IF(OR($H$2=1,$H$2=2,$H$2=4,$H$2=8,$H$2=16,$H$2=32,$H$2=64,$H$2=128,$H$2=256),0,1)</f>
        <v>#NUM!</v>
      </c>
    </row>
    <row r="712" spans="10:10">
      <c r="J712" s="20" t="e">
        <f t="shared" si="33"/>
        <v>#NUM!</v>
      </c>
    </row>
    <row r="713" spans="10:10">
      <c r="J713" s="20" t="e">
        <f t="shared" si="33"/>
        <v>#NUM!</v>
      </c>
    </row>
    <row r="714" spans="10:10">
      <c r="J714" s="20" t="e">
        <f t="shared" si="33"/>
        <v>#NUM!</v>
      </c>
    </row>
    <row r="715" spans="10:10">
      <c r="J715" s="20" t="e">
        <f t="shared" si="33"/>
        <v>#NUM!</v>
      </c>
    </row>
    <row r="716" spans="10:10">
      <c r="J716" s="20" t="e">
        <f t="shared" si="33"/>
        <v>#NUM!</v>
      </c>
    </row>
    <row r="717" spans="10:10">
      <c r="J717" s="20" t="e">
        <f t="shared" si="33"/>
        <v>#NUM!</v>
      </c>
    </row>
    <row r="718" spans="10:10">
      <c r="J718" s="20" t="e">
        <f t="shared" si="33"/>
        <v>#NUM!</v>
      </c>
    </row>
    <row r="719" spans="10:10">
      <c r="J719" s="20" t="e">
        <f t="shared" si="33"/>
        <v>#NUM!</v>
      </c>
    </row>
    <row r="720" spans="10:10">
      <c r="J720" s="20" t="e">
        <f t="shared" si="33"/>
        <v>#NUM!</v>
      </c>
    </row>
    <row r="721" spans="10:10">
      <c r="J721" s="20" t="e">
        <f t="shared" si="33"/>
        <v>#NUM!</v>
      </c>
    </row>
    <row r="722" spans="10:10">
      <c r="J722" s="20" t="e">
        <f t="shared" si="33"/>
        <v>#NUM!</v>
      </c>
    </row>
    <row r="723" spans="10:10">
      <c r="J723" s="20" t="e">
        <f t="shared" si="33"/>
        <v>#NUM!</v>
      </c>
    </row>
    <row r="724" spans="10:10">
      <c r="J724" s="20" t="e">
        <f t="shared" si="33"/>
        <v>#NUM!</v>
      </c>
    </row>
    <row r="725" spans="10:10">
      <c r="J725" s="20" t="e">
        <f t="shared" si="33"/>
        <v>#NUM!</v>
      </c>
    </row>
    <row r="726" spans="10:10">
      <c r="J726" s="20" t="e">
        <f t="shared" si="33"/>
        <v>#NUM!</v>
      </c>
    </row>
    <row r="727" spans="10:10">
      <c r="J727" s="20" t="e">
        <f t="shared" si="33"/>
        <v>#NUM!</v>
      </c>
    </row>
    <row r="728" spans="10:10">
      <c r="J728" s="20" t="e">
        <f t="shared" si="33"/>
        <v>#NUM!</v>
      </c>
    </row>
    <row r="729" spans="10:10">
      <c r="J729" s="20" t="e">
        <f t="shared" si="33"/>
        <v>#NUM!</v>
      </c>
    </row>
    <row r="730" spans="10:10">
      <c r="J730" s="20" t="e">
        <f t="shared" si="33"/>
        <v>#NUM!</v>
      </c>
    </row>
    <row r="731" spans="10:10">
      <c r="J731" s="20" t="e">
        <f t="shared" si="33"/>
        <v>#NUM!</v>
      </c>
    </row>
    <row r="732" spans="10:10">
      <c r="J732" s="20" t="e">
        <f t="shared" si="33"/>
        <v>#NUM!</v>
      </c>
    </row>
    <row r="733" spans="10:10">
      <c r="J733" s="20" t="e">
        <f t="shared" si="33"/>
        <v>#NUM!</v>
      </c>
    </row>
    <row r="734" spans="10:10">
      <c r="J734" s="20" t="e">
        <f t="shared" si="33"/>
        <v>#NUM!</v>
      </c>
    </row>
    <row r="735" spans="10:10">
      <c r="J735" s="20" t="e">
        <f t="shared" si="33"/>
        <v>#NUM!</v>
      </c>
    </row>
    <row r="736" spans="10:10">
      <c r="J736" s="20" t="e">
        <f t="shared" si="33"/>
        <v>#NUM!</v>
      </c>
    </row>
    <row r="737" spans="10:10">
      <c r="J737" s="20" t="e">
        <f t="shared" si="33"/>
        <v>#NUM!</v>
      </c>
    </row>
    <row r="738" spans="10:10">
      <c r="J738" s="20" t="e">
        <f t="shared" si="33"/>
        <v>#NUM!</v>
      </c>
    </row>
    <row r="739" spans="10:10">
      <c r="J739" s="20" t="e">
        <f t="shared" si="33"/>
        <v>#NUM!</v>
      </c>
    </row>
    <row r="740" spans="10:10">
      <c r="J740" s="20" t="e">
        <f t="shared" si="33"/>
        <v>#NUM!</v>
      </c>
    </row>
    <row r="741" spans="10:10">
      <c r="J741" s="20" t="e">
        <f t="shared" si="33"/>
        <v>#NUM!</v>
      </c>
    </row>
    <row r="742" spans="10:10">
      <c r="J742" s="20" t="e">
        <f t="shared" si="33"/>
        <v>#NUM!</v>
      </c>
    </row>
    <row r="743" spans="10:10">
      <c r="J743" s="20" t="e">
        <f t="shared" si="33"/>
        <v>#NUM!</v>
      </c>
    </row>
    <row r="744" spans="10:10">
      <c r="J744" s="20" t="e">
        <f t="shared" si="33"/>
        <v>#NUM!</v>
      </c>
    </row>
    <row r="745" spans="10:10">
      <c r="J745" s="20" t="e">
        <f t="shared" si="33"/>
        <v>#NUM!</v>
      </c>
    </row>
    <row r="746" spans="10:10">
      <c r="J746" s="20" t="e">
        <f t="shared" si="33"/>
        <v>#NUM!</v>
      </c>
    </row>
    <row r="747" spans="10:10">
      <c r="J747" s="20" t="e">
        <f t="shared" si="33"/>
        <v>#NUM!</v>
      </c>
    </row>
    <row r="748" spans="10:10">
      <c r="J748" s="20" t="e">
        <f t="shared" si="33"/>
        <v>#NUM!</v>
      </c>
    </row>
    <row r="749" spans="10:10">
      <c r="J749" s="20" t="e">
        <f t="shared" si="33"/>
        <v>#NUM!</v>
      </c>
    </row>
    <row r="750" spans="10:10">
      <c r="J750" s="20" t="e">
        <f t="shared" si="33"/>
        <v>#NUM!</v>
      </c>
    </row>
    <row r="751" spans="10:10">
      <c r="J751" s="20" t="e">
        <f t="shared" si="33"/>
        <v>#NUM!</v>
      </c>
    </row>
    <row r="752" spans="10:10">
      <c r="J752" s="20" t="e">
        <f t="shared" si="33"/>
        <v>#NUM!</v>
      </c>
    </row>
    <row r="753" spans="10:10">
      <c r="J753" s="20" t="e">
        <f t="shared" si="33"/>
        <v>#NUM!</v>
      </c>
    </row>
    <row r="754" spans="10:10">
      <c r="J754" s="20" t="e">
        <f t="shared" si="33"/>
        <v>#NUM!</v>
      </c>
    </row>
    <row r="755" spans="10:10">
      <c r="J755" s="20" t="e">
        <f t="shared" si="33"/>
        <v>#NUM!</v>
      </c>
    </row>
    <row r="756" spans="10:10">
      <c r="J756" s="20" t="e">
        <f t="shared" si="33"/>
        <v>#NUM!</v>
      </c>
    </row>
    <row r="757" spans="10:10">
      <c r="J757" s="20" t="e">
        <f t="shared" si="33"/>
        <v>#NUM!</v>
      </c>
    </row>
    <row r="758" spans="10:10">
      <c r="J758" s="20" t="e">
        <f t="shared" si="33"/>
        <v>#NUM!</v>
      </c>
    </row>
    <row r="759" spans="10:10">
      <c r="J759" s="20" t="e">
        <f t="shared" si="33"/>
        <v>#NUM!</v>
      </c>
    </row>
    <row r="760" spans="10:10">
      <c r="J760" s="20" t="e">
        <f t="shared" si="33"/>
        <v>#NUM!</v>
      </c>
    </row>
    <row r="761" spans="10:10">
      <c r="J761" s="20" t="e">
        <f t="shared" si="33"/>
        <v>#NUM!</v>
      </c>
    </row>
    <row r="762" spans="10:10">
      <c r="J762" s="20" t="e">
        <f t="shared" si="33"/>
        <v>#NUM!</v>
      </c>
    </row>
    <row r="763" spans="10:10">
      <c r="J763" s="20" t="e">
        <f t="shared" si="33"/>
        <v>#NUM!</v>
      </c>
    </row>
    <row r="764" spans="10:10">
      <c r="J764" s="20" t="e">
        <f t="shared" si="33"/>
        <v>#NUM!</v>
      </c>
    </row>
    <row r="765" spans="10:10">
      <c r="J765" s="20" t="e">
        <f t="shared" si="33"/>
        <v>#NUM!</v>
      </c>
    </row>
    <row r="766" spans="10:10">
      <c r="J766" s="20" t="e">
        <f t="shared" si="33"/>
        <v>#NUM!</v>
      </c>
    </row>
    <row r="767" spans="10:10">
      <c r="J767" s="20" t="e">
        <f t="shared" si="33"/>
        <v>#NUM!</v>
      </c>
    </row>
    <row r="768" spans="10:10">
      <c r="J768" s="20" t="e">
        <f t="shared" si="33"/>
        <v>#NUM!</v>
      </c>
    </row>
    <row r="769" spans="10:10">
      <c r="J769" s="20" t="e">
        <f t="shared" si="33"/>
        <v>#NUM!</v>
      </c>
    </row>
    <row r="770" spans="10:10">
      <c r="J770" s="20" t="e">
        <f t="shared" si="33"/>
        <v>#NUM!</v>
      </c>
    </row>
    <row r="771" spans="10:10">
      <c r="J771" s="20" t="e">
        <f t="shared" si="33"/>
        <v>#NUM!</v>
      </c>
    </row>
    <row r="772" spans="10:10">
      <c r="J772" s="20" t="e">
        <f t="shared" si="33"/>
        <v>#NUM!</v>
      </c>
    </row>
    <row r="773" spans="10:10">
      <c r="J773" s="20" t="e">
        <f t="shared" si="33"/>
        <v>#NUM!</v>
      </c>
    </row>
    <row r="774" spans="10:10">
      <c r="J774" s="20" t="e">
        <f t="shared" si="33"/>
        <v>#NUM!</v>
      </c>
    </row>
    <row r="775" spans="10:10">
      <c r="J775" s="20" t="e">
        <f t="shared" ref="J775:J838" si="34">INT(LOG($H$2,2))-ROUNDUP(LOG(H775,2),0)+IF(OR($H$2=1,$H$2=2,$H$2=4,$H$2=8,$H$2=16,$H$2=32,$H$2=64,$H$2=128,$H$2=256),0,1)</f>
        <v>#NUM!</v>
      </c>
    </row>
    <row r="776" spans="10:10">
      <c r="J776" s="20" t="e">
        <f t="shared" si="34"/>
        <v>#NUM!</v>
      </c>
    </row>
    <row r="777" spans="10:10">
      <c r="J777" s="20" t="e">
        <f t="shared" si="34"/>
        <v>#NUM!</v>
      </c>
    </row>
    <row r="778" spans="10:10">
      <c r="J778" s="20" t="e">
        <f t="shared" si="34"/>
        <v>#NUM!</v>
      </c>
    </row>
    <row r="779" spans="10:10">
      <c r="J779" s="20" t="e">
        <f t="shared" si="34"/>
        <v>#NUM!</v>
      </c>
    </row>
    <row r="780" spans="10:10">
      <c r="J780" s="20" t="e">
        <f t="shared" si="34"/>
        <v>#NUM!</v>
      </c>
    </row>
    <row r="781" spans="10:10">
      <c r="J781" s="20" t="e">
        <f t="shared" si="34"/>
        <v>#NUM!</v>
      </c>
    </row>
    <row r="782" spans="10:10">
      <c r="J782" s="20" t="e">
        <f t="shared" si="34"/>
        <v>#NUM!</v>
      </c>
    </row>
    <row r="783" spans="10:10">
      <c r="J783" s="20" t="e">
        <f t="shared" si="34"/>
        <v>#NUM!</v>
      </c>
    </row>
    <row r="784" spans="10:10">
      <c r="J784" s="20" t="e">
        <f t="shared" si="34"/>
        <v>#NUM!</v>
      </c>
    </row>
    <row r="785" spans="10:10">
      <c r="J785" s="20" t="e">
        <f t="shared" si="34"/>
        <v>#NUM!</v>
      </c>
    </row>
    <row r="786" spans="10:10">
      <c r="J786" s="20" t="e">
        <f t="shared" si="34"/>
        <v>#NUM!</v>
      </c>
    </row>
    <row r="787" spans="10:10">
      <c r="J787" s="20" t="e">
        <f t="shared" si="34"/>
        <v>#NUM!</v>
      </c>
    </row>
    <row r="788" spans="10:10">
      <c r="J788" s="20" t="e">
        <f t="shared" si="34"/>
        <v>#NUM!</v>
      </c>
    </row>
    <row r="789" spans="10:10">
      <c r="J789" s="20" t="e">
        <f t="shared" si="34"/>
        <v>#NUM!</v>
      </c>
    </row>
    <row r="790" spans="10:10">
      <c r="J790" s="20" t="e">
        <f t="shared" si="34"/>
        <v>#NUM!</v>
      </c>
    </row>
    <row r="791" spans="10:10">
      <c r="J791" s="20" t="e">
        <f t="shared" si="34"/>
        <v>#NUM!</v>
      </c>
    </row>
    <row r="792" spans="10:10">
      <c r="J792" s="20" t="e">
        <f t="shared" si="34"/>
        <v>#NUM!</v>
      </c>
    </row>
    <row r="793" spans="10:10">
      <c r="J793" s="20" t="e">
        <f t="shared" si="34"/>
        <v>#NUM!</v>
      </c>
    </row>
    <row r="794" spans="10:10">
      <c r="J794" s="20" t="e">
        <f t="shared" si="34"/>
        <v>#NUM!</v>
      </c>
    </row>
    <row r="795" spans="10:10">
      <c r="J795" s="20" t="e">
        <f t="shared" si="34"/>
        <v>#NUM!</v>
      </c>
    </row>
    <row r="796" spans="10:10">
      <c r="J796" s="20" t="e">
        <f t="shared" si="34"/>
        <v>#NUM!</v>
      </c>
    </row>
    <row r="797" spans="10:10">
      <c r="J797" s="20" t="e">
        <f t="shared" si="34"/>
        <v>#NUM!</v>
      </c>
    </row>
    <row r="798" spans="10:10">
      <c r="J798" s="20" t="e">
        <f t="shared" si="34"/>
        <v>#NUM!</v>
      </c>
    </row>
    <row r="799" spans="10:10">
      <c r="J799" s="20" t="e">
        <f t="shared" si="34"/>
        <v>#NUM!</v>
      </c>
    </row>
    <row r="800" spans="10:10">
      <c r="J800" s="20" t="e">
        <f t="shared" si="34"/>
        <v>#NUM!</v>
      </c>
    </row>
    <row r="801" spans="10:10">
      <c r="J801" s="20" t="e">
        <f t="shared" si="34"/>
        <v>#NUM!</v>
      </c>
    </row>
    <row r="802" spans="10:10">
      <c r="J802" s="20" t="e">
        <f t="shared" si="34"/>
        <v>#NUM!</v>
      </c>
    </row>
    <row r="803" spans="10:10">
      <c r="J803" s="20" t="e">
        <f t="shared" si="34"/>
        <v>#NUM!</v>
      </c>
    </row>
    <row r="804" spans="10:10">
      <c r="J804" s="20" t="e">
        <f t="shared" si="34"/>
        <v>#NUM!</v>
      </c>
    </row>
    <row r="805" spans="10:10">
      <c r="J805" s="20" t="e">
        <f t="shared" si="34"/>
        <v>#NUM!</v>
      </c>
    </row>
    <row r="806" spans="10:10">
      <c r="J806" s="20" t="e">
        <f t="shared" si="34"/>
        <v>#NUM!</v>
      </c>
    </row>
    <row r="807" spans="10:10">
      <c r="J807" s="20" t="e">
        <f t="shared" si="34"/>
        <v>#NUM!</v>
      </c>
    </row>
    <row r="808" spans="10:10">
      <c r="J808" s="20" t="e">
        <f t="shared" si="34"/>
        <v>#NUM!</v>
      </c>
    </row>
    <row r="809" spans="10:10">
      <c r="J809" s="20" t="e">
        <f t="shared" si="34"/>
        <v>#NUM!</v>
      </c>
    </row>
    <row r="810" spans="10:10">
      <c r="J810" s="20" t="e">
        <f t="shared" si="34"/>
        <v>#NUM!</v>
      </c>
    </row>
    <row r="811" spans="10:10">
      <c r="J811" s="20" t="e">
        <f t="shared" si="34"/>
        <v>#NUM!</v>
      </c>
    </row>
    <row r="812" spans="10:10">
      <c r="J812" s="20" t="e">
        <f t="shared" si="34"/>
        <v>#NUM!</v>
      </c>
    </row>
    <row r="813" spans="10:10">
      <c r="J813" s="20" t="e">
        <f t="shared" si="34"/>
        <v>#NUM!</v>
      </c>
    </row>
    <row r="814" spans="10:10">
      <c r="J814" s="20" t="e">
        <f t="shared" si="34"/>
        <v>#NUM!</v>
      </c>
    </row>
    <row r="815" spans="10:10">
      <c r="J815" s="20" t="e">
        <f t="shared" si="34"/>
        <v>#NUM!</v>
      </c>
    </row>
    <row r="816" spans="10:10">
      <c r="J816" s="20" t="e">
        <f t="shared" si="34"/>
        <v>#NUM!</v>
      </c>
    </row>
    <row r="817" spans="10:10">
      <c r="J817" s="20" t="e">
        <f t="shared" si="34"/>
        <v>#NUM!</v>
      </c>
    </row>
    <row r="818" spans="10:10">
      <c r="J818" s="20" t="e">
        <f t="shared" si="34"/>
        <v>#NUM!</v>
      </c>
    </row>
    <row r="819" spans="10:10">
      <c r="J819" s="20" t="e">
        <f t="shared" si="34"/>
        <v>#NUM!</v>
      </c>
    </row>
    <row r="820" spans="10:10">
      <c r="J820" s="20" t="e">
        <f t="shared" si="34"/>
        <v>#NUM!</v>
      </c>
    </row>
    <row r="821" spans="10:10">
      <c r="J821" s="20" t="e">
        <f t="shared" si="34"/>
        <v>#NUM!</v>
      </c>
    </row>
    <row r="822" spans="10:10">
      <c r="J822" s="20" t="e">
        <f t="shared" si="34"/>
        <v>#NUM!</v>
      </c>
    </row>
    <row r="823" spans="10:10">
      <c r="J823" s="20" t="e">
        <f t="shared" si="34"/>
        <v>#NUM!</v>
      </c>
    </row>
    <row r="824" spans="10:10">
      <c r="J824" s="20" t="e">
        <f t="shared" si="34"/>
        <v>#NUM!</v>
      </c>
    </row>
    <row r="825" spans="10:10">
      <c r="J825" s="20" t="e">
        <f t="shared" si="34"/>
        <v>#NUM!</v>
      </c>
    </row>
    <row r="826" spans="10:10">
      <c r="J826" s="20" t="e">
        <f t="shared" si="34"/>
        <v>#NUM!</v>
      </c>
    </row>
    <row r="827" spans="10:10">
      <c r="J827" s="20" t="e">
        <f t="shared" si="34"/>
        <v>#NUM!</v>
      </c>
    </row>
    <row r="828" spans="10:10">
      <c r="J828" s="20" t="e">
        <f t="shared" si="34"/>
        <v>#NUM!</v>
      </c>
    </row>
    <row r="829" spans="10:10">
      <c r="J829" s="20" t="e">
        <f t="shared" si="34"/>
        <v>#NUM!</v>
      </c>
    </row>
    <row r="830" spans="10:10">
      <c r="J830" s="20" t="e">
        <f t="shared" si="34"/>
        <v>#NUM!</v>
      </c>
    </row>
    <row r="831" spans="10:10">
      <c r="J831" s="20" t="e">
        <f t="shared" si="34"/>
        <v>#NUM!</v>
      </c>
    </row>
    <row r="832" spans="10:10">
      <c r="J832" s="20" t="e">
        <f t="shared" si="34"/>
        <v>#NUM!</v>
      </c>
    </row>
    <row r="833" spans="10:10">
      <c r="J833" s="20" t="e">
        <f t="shared" si="34"/>
        <v>#NUM!</v>
      </c>
    </row>
    <row r="834" spans="10:10">
      <c r="J834" s="20" t="e">
        <f t="shared" si="34"/>
        <v>#NUM!</v>
      </c>
    </row>
    <row r="835" spans="10:10">
      <c r="J835" s="20" t="e">
        <f t="shared" si="34"/>
        <v>#NUM!</v>
      </c>
    </row>
    <row r="836" spans="10:10">
      <c r="J836" s="20" t="e">
        <f t="shared" si="34"/>
        <v>#NUM!</v>
      </c>
    </row>
    <row r="837" spans="10:10">
      <c r="J837" s="20" t="e">
        <f t="shared" si="34"/>
        <v>#NUM!</v>
      </c>
    </row>
    <row r="838" spans="10:10">
      <c r="J838" s="20" t="e">
        <f t="shared" si="34"/>
        <v>#NUM!</v>
      </c>
    </row>
    <row r="839" spans="10:10">
      <c r="J839" s="20" t="e">
        <f t="shared" ref="J839:J902" si="35">INT(LOG($H$2,2))-ROUNDUP(LOG(H839,2),0)+IF(OR($H$2=1,$H$2=2,$H$2=4,$H$2=8,$H$2=16,$H$2=32,$H$2=64,$H$2=128,$H$2=256),0,1)</f>
        <v>#NUM!</v>
      </c>
    </row>
    <row r="840" spans="10:10">
      <c r="J840" s="20" t="e">
        <f t="shared" si="35"/>
        <v>#NUM!</v>
      </c>
    </row>
    <row r="841" spans="10:10">
      <c r="J841" s="20" t="e">
        <f t="shared" si="35"/>
        <v>#NUM!</v>
      </c>
    </row>
    <row r="842" spans="10:10">
      <c r="J842" s="20" t="e">
        <f t="shared" si="35"/>
        <v>#NUM!</v>
      </c>
    </row>
    <row r="843" spans="10:10">
      <c r="J843" s="20" t="e">
        <f t="shared" si="35"/>
        <v>#NUM!</v>
      </c>
    </row>
    <row r="844" spans="10:10">
      <c r="J844" s="20" t="e">
        <f t="shared" si="35"/>
        <v>#NUM!</v>
      </c>
    </row>
    <row r="845" spans="10:10">
      <c r="J845" s="20" t="e">
        <f t="shared" si="35"/>
        <v>#NUM!</v>
      </c>
    </row>
    <row r="846" spans="10:10">
      <c r="J846" s="20" t="e">
        <f t="shared" si="35"/>
        <v>#NUM!</v>
      </c>
    </row>
    <row r="847" spans="10:10">
      <c r="J847" s="20" t="e">
        <f t="shared" si="35"/>
        <v>#NUM!</v>
      </c>
    </row>
    <row r="848" spans="10:10">
      <c r="J848" s="20" t="e">
        <f t="shared" si="35"/>
        <v>#NUM!</v>
      </c>
    </row>
    <row r="849" spans="10:10">
      <c r="J849" s="20" t="e">
        <f t="shared" si="35"/>
        <v>#NUM!</v>
      </c>
    </row>
    <row r="850" spans="10:10">
      <c r="J850" s="20" t="e">
        <f t="shared" si="35"/>
        <v>#NUM!</v>
      </c>
    </row>
    <row r="851" spans="10:10">
      <c r="J851" s="20" t="e">
        <f t="shared" si="35"/>
        <v>#NUM!</v>
      </c>
    </row>
    <row r="852" spans="10:10">
      <c r="J852" s="20" t="e">
        <f t="shared" si="35"/>
        <v>#NUM!</v>
      </c>
    </row>
    <row r="853" spans="10:10">
      <c r="J853" s="20" t="e">
        <f t="shared" si="35"/>
        <v>#NUM!</v>
      </c>
    </row>
    <row r="854" spans="10:10">
      <c r="J854" s="20" t="e">
        <f t="shared" si="35"/>
        <v>#NUM!</v>
      </c>
    </row>
    <row r="855" spans="10:10">
      <c r="J855" s="20" t="e">
        <f t="shared" si="35"/>
        <v>#NUM!</v>
      </c>
    </row>
    <row r="856" spans="10:10">
      <c r="J856" s="20" t="e">
        <f t="shared" si="35"/>
        <v>#NUM!</v>
      </c>
    </row>
    <row r="857" spans="10:10">
      <c r="J857" s="20" t="e">
        <f t="shared" si="35"/>
        <v>#NUM!</v>
      </c>
    </row>
    <row r="858" spans="10:10">
      <c r="J858" s="20" t="e">
        <f t="shared" si="35"/>
        <v>#NUM!</v>
      </c>
    </row>
    <row r="859" spans="10:10">
      <c r="J859" s="20" t="e">
        <f t="shared" si="35"/>
        <v>#NUM!</v>
      </c>
    </row>
    <row r="860" spans="10:10">
      <c r="J860" s="20" t="e">
        <f t="shared" si="35"/>
        <v>#NUM!</v>
      </c>
    </row>
    <row r="861" spans="10:10">
      <c r="J861" s="20" t="e">
        <f t="shared" si="35"/>
        <v>#NUM!</v>
      </c>
    </row>
    <row r="862" spans="10:10">
      <c r="J862" s="20" t="e">
        <f t="shared" si="35"/>
        <v>#NUM!</v>
      </c>
    </row>
    <row r="863" spans="10:10">
      <c r="J863" s="20" t="e">
        <f t="shared" si="35"/>
        <v>#NUM!</v>
      </c>
    </row>
    <row r="864" spans="10:10">
      <c r="J864" s="20" t="e">
        <f t="shared" si="35"/>
        <v>#NUM!</v>
      </c>
    </row>
    <row r="865" spans="10:10">
      <c r="J865" s="20" t="e">
        <f t="shared" si="35"/>
        <v>#NUM!</v>
      </c>
    </row>
    <row r="866" spans="10:10">
      <c r="J866" s="20" t="e">
        <f t="shared" si="35"/>
        <v>#NUM!</v>
      </c>
    </row>
    <row r="867" spans="10:10">
      <c r="J867" s="20" t="e">
        <f t="shared" si="35"/>
        <v>#NUM!</v>
      </c>
    </row>
    <row r="868" spans="10:10">
      <c r="J868" s="20" t="e">
        <f t="shared" si="35"/>
        <v>#NUM!</v>
      </c>
    </row>
    <row r="869" spans="10:10">
      <c r="J869" s="20" t="e">
        <f t="shared" si="35"/>
        <v>#NUM!</v>
      </c>
    </row>
    <row r="870" spans="10:10">
      <c r="J870" s="20" t="e">
        <f t="shared" si="35"/>
        <v>#NUM!</v>
      </c>
    </row>
    <row r="871" spans="10:10">
      <c r="J871" s="20" t="e">
        <f t="shared" si="35"/>
        <v>#NUM!</v>
      </c>
    </row>
    <row r="872" spans="10:10">
      <c r="J872" s="20" t="e">
        <f t="shared" si="35"/>
        <v>#NUM!</v>
      </c>
    </row>
    <row r="873" spans="10:10">
      <c r="J873" s="20" t="e">
        <f t="shared" si="35"/>
        <v>#NUM!</v>
      </c>
    </row>
    <row r="874" spans="10:10">
      <c r="J874" s="20" t="e">
        <f t="shared" si="35"/>
        <v>#NUM!</v>
      </c>
    </row>
    <row r="875" spans="10:10">
      <c r="J875" s="20" t="e">
        <f t="shared" si="35"/>
        <v>#NUM!</v>
      </c>
    </row>
    <row r="876" spans="10:10">
      <c r="J876" s="20" t="e">
        <f t="shared" si="35"/>
        <v>#NUM!</v>
      </c>
    </row>
    <row r="877" spans="10:10">
      <c r="J877" s="20" t="e">
        <f t="shared" si="35"/>
        <v>#NUM!</v>
      </c>
    </row>
    <row r="878" spans="10:10">
      <c r="J878" s="20" t="e">
        <f t="shared" si="35"/>
        <v>#NUM!</v>
      </c>
    </row>
    <row r="879" spans="10:10">
      <c r="J879" s="20" t="e">
        <f t="shared" si="35"/>
        <v>#NUM!</v>
      </c>
    </row>
    <row r="880" spans="10:10">
      <c r="J880" s="20" t="e">
        <f t="shared" si="35"/>
        <v>#NUM!</v>
      </c>
    </row>
    <row r="881" spans="10:10">
      <c r="J881" s="20" t="e">
        <f t="shared" si="35"/>
        <v>#NUM!</v>
      </c>
    </row>
    <row r="882" spans="10:10">
      <c r="J882" s="20" t="e">
        <f t="shared" si="35"/>
        <v>#NUM!</v>
      </c>
    </row>
    <row r="883" spans="10:10">
      <c r="J883" s="20" t="e">
        <f t="shared" si="35"/>
        <v>#NUM!</v>
      </c>
    </row>
    <row r="884" spans="10:10">
      <c r="J884" s="20" t="e">
        <f t="shared" si="35"/>
        <v>#NUM!</v>
      </c>
    </row>
    <row r="885" spans="10:10">
      <c r="J885" s="20" t="e">
        <f t="shared" si="35"/>
        <v>#NUM!</v>
      </c>
    </row>
    <row r="886" spans="10:10">
      <c r="J886" s="20" t="e">
        <f t="shared" si="35"/>
        <v>#NUM!</v>
      </c>
    </row>
    <row r="887" spans="10:10">
      <c r="J887" s="20" t="e">
        <f t="shared" si="35"/>
        <v>#NUM!</v>
      </c>
    </row>
    <row r="888" spans="10:10">
      <c r="J888" s="20" t="e">
        <f t="shared" si="35"/>
        <v>#NUM!</v>
      </c>
    </row>
    <row r="889" spans="10:10">
      <c r="J889" s="20" t="e">
        <f t="shared" si="35"/>
        <v>#NUM!</v>
      </c>
    </row>
    <row r="890" spans="10:10">
      <c r="J890" s="20" t="e">
        <f t="shared" si="35"/>
        <v>#NUM!</v>
      </c>
    </row>
    <row r="891" spans="10:10">
      <c r="J891" s="20" t="e">
        <f t="shared" si="35"/>
        <v>#NUM!</v>
      </c>
    </row>
    <row r="892" spans="10:10">
      <c r="J892" s="20" t="e">
        <f t="shared" si="35"/>
        <v>#NUM!</v>
      </c>
    </row>
    <row r="893" spans="10:10">
      <c r="J893" s="20" t="e">
        <f t="shared" si="35"/>
        <v>#NUM!</v>
      </c>
    </row>
    <row r="894" spans="10:10">
      <c r="J894" s="20" t="e">
        <f t="shared" si="35"/>
        <v>#NUM!</v>
      </c>
    </row>
    <row r="895" spans="10:10">
      <c r="J895" s="20" t="e">
        <f t="shared" si="35"/>
        <v>#NUM!</v>
      </c>
    </row>
    <row r="896" spans="10:10">
      <c r="J896" s="20" t="e">
        <f t="shared" si="35"/>
        <v>#NUM!</v>
      </c>
    </row>
    <row r="897" spans="10:10">
      <c r="J897" s="20" t="e">
        <f t="shared" si="35"/>
        <v>#NUM!</v>
      </c>
    </row>
    <row r="898" spans="10:10">
      <c r="J898" s="20" t="e">
        <f t="shared" si="35"/>
        <v>#NUM!</v>
      </c>
    </row>
    <row r="899" spans="10:10">
      <c r="J899" s="20" t="e">
        <f t="shared" si="35"/>
        <v>#NUM!</v>
      </c>
    </row>
    <row r="900" spans="10:10">
      <c r="J900" s="20" t="e">
        <f t="shared" si="35"/>
        <v>#NUM!</v>
      </c>
    </row>
    <row r="901" spans="10:10">
      <c r="J901" s="20" t="e">
        <f t="shared" si="35"/>
        <v>#NUM!</v>
      </c>
    </row>
    <row r="902" spans="10:10">
      <c r="J902" s="20" t="e">
        <f t="shared" si="35"/>
        <v>#NUM!</v>
      </c>
    </row>
    <row r="903" spans="10:10">
      <c r="J903" s="20" t="e">
        <f t="shared" ref="J903:J966" si="36">INT(LOG($H$2,2))-ROUNDUP(LOG(H903,2),0)+IF(OR($H$2=1,$H$2=2,$H$2=4,$H$2=8,$H$2=16,$H$2=32,$H$2=64,$H$2=128,$H$2=256),0,1)</f>
        <v>#NUM!</v>
      </c>
    </row>
    <row r="904" spans="10:10">
      <c r="J904" s="20" t="e">
        <f t="shared" si="36"/>
        <v>#NUM!</v>
      </c>
    </row>
    <row r="905" spans="10:10">
      <c r="J905" s="20" t="e">
        <f t="shared" si="36"/>
        <v>#NUM!</v>
      </c>
    </row>
    <row r="906" spans="10:10">
      <c r="J906" s="20" t="e">
        <f t="shared" si="36"/>
        <v>#NUM!</v>
      </c>
    </row>
    <row r="907" spans="10:10">
      <c r="J907" s="20" t="e">
        <f t="shared" si="36"/>
        <v>#NUM!</v>
      </c>
    </row>
    <row r="908" spans="10:10">
      <c r="J908" s="20" t="e">
        <f t="shared" si="36"/>
        <v>#NUM!</v>
      </c>
    </row>
    <row r="909" spans="10:10">
      <c r="J909" s="20" t="e">
        <f t="shared" si="36"/>
        <v>#NUM!</v>
      </c>
    </row>
    <row r="910" spans="10:10">
      <c r="J910" s="20" t="e">
        <f t="shared" si="36"/>
        <v>#NUM!</v>
      </c>
    </row>
    <row r="911" spans="10:10">
      <c r="J911" s="20" t="e">
        <f t="shared" si="36"/>
        <v>#NUM!</v>
      </c>
    </row>
    <row r="912" spans="10:10">
      <c r="J912" s="20" t="e">
        <f t="shared" si="36"/>
        <v>#NUM!</v>
      </c>
    </row>
    <row r="913" spans="10:10">
      <c r="J913" s="20" t="e">
        <f t="shared" si="36"/>
        <v>#NUM!</v>
      </c>
    </row>
    <row r="914" spans="10:10">
      <c r="J914" s="20" t="e">
        <f t="shared" si="36"/>
        <v>#NUM!</v>
      </c>
    </row>
    <row r="915" spans="10:10">
      <c r="J915" s="20" t="e">
        <f t="shared" si="36"/>
        <v>#NUM!</v>
      </c>
    </row>
    <row r="916" spans="10:10">
      <c r="J916" s="20" t="e">
        <f t="shared" si="36"/>
        <v>#NUM!</v>
      </c>
    </row>
    <row r="917" spans="10:10">
      <c r="J917" s="20" t="e">
        <f t="shared" si="36"/>
        <v>#NUM!</v>
      </c>
    </row>
    <row r="918" spans="10:10">
      <c r="J918" s="20" t="e">
        <f t="shared" si="36"/>
        <v>#NUM!</v>
      </c>
    </row>
    <row r="919" spans="10:10">
      <c r="J919" s="20" t="e">
        <f t="shared" si="36"/>
        <v>#NUM!</v>
      </c>
    </row>
    <row r="920" spans="10:10">
      <c r="J920" s="20" t="e">
        <f t="shared" si="36"/>
        <v>#NUM!</v>
      </c>
    </row>
    <row r="921" spans="10:10">
      <c r="J921" s="20" t="e">
        <f t="shared" si="36"/>
        <v>#NUM!</v>
      </c>
    </row>
    <row r="922" spans="10:10">
      <c r="J922" s="20" t="e">
        <f t="shared" si="36"/>
        <v>#NUM!</v>
      </c>
    </row>
    <row r="923" spans="10:10">
      <c r="J923" s="20" t="e">
        <f t="shared" si="36"/>
        <v>#NUM!</v>
      </c>
    </row>
    <row r="924" spans="10:10">
      <c r="J924" s="20" t="e">
        <f t="shared" si="36"/>
        <v>#NUM!</v>
      </c>
    </row>
    <row r="925" spans="10:10">
      <c r="J925" s="20" t="e">
        <f t="shared" si="36"/>
        <v>#NUM!</v>
      </c>
    </row>
    <row r="926" spans="10:10">
      <c r="J926" s="20" t="e">
        <f t="shared" si="36"/>
        <v>#NUM!</v>
      </c>
    </row>
    <row r="927" spans="10:10">
      <c r="J927" s="20" t="e">
        <f t="shared" si="36"/>
        <v>#NUM!</v>
      </c>
    </row>
    <row r="928" spans="10:10">
      <c r="J928" s="20" t="e">
        <f t="shared" si="36"/>
        <v>#NUM!</v>
      </c>
    </row>
    <row r="929" spans="10:10">
      <c r="J929" s="20" t="e">
        <f t="shared" si="36"/>
        <v>#NUM!</v>
      </c>
    </row>
    <row r="930" spans="10:10">
      <c r="J930" s="20" t="e">
        <f t="shared" si="36"/>
        <v>#NUM!</v>
      </c>
    </row>
    <row r="931" spans="10:10">
      <c r="J931" s="20" t="e">
        <f t="shared" si="36"/>
        <v>#NUM!</v>
      </c>
    </row>
    <row r="932" spans="10:10">
      <c r="J932" s="20" t="e">
        <f t="shared" si="36"/>
        <v>#NUM!</v>
      </c>
    </row>
    <row r="933" spans="10:10">
      <c r="J933" s="20" t="e">
        <f t="shared" si="36"/>
        <v>#NUM!</v>
      </c>
    </row>
    <row r="934" spans="10:10">
      <c r="J934" s="20" t="e">
        <f t="shared" si="36"/>
        <v>#NUM!</v>
      </c>
    </row>
    <row r="935" spans="10:10">
      <c r="J935" s="20" t="e">
        <f t="shared" si="36"/>
        <v>#NUM!</v>
      </c>
    </row>
    <row r="936" spans="10:10">
      <c r="J936" s="20" t="e">
        <f t="shared" si="36"/>
        <v>#NUM!</v>
      </c>
    </row>
    <row r="937" spans="10:10">
      <c r="J937" s="20" t="e">
        <f t="shared" si="36"/>
        <v>#NUM!</v>
      </c>
    </row>
    <row r="938" spans="10:10">
      <c r="J938" s="20" t="e">
        <f t="shared" si="36"/>
        <v>#NUM!</v>
      </c>
    </row>
    <row r="939" spans="10:10">
      <c r="J939" s="20" t="e">
        <f t="shared" si="36"/>
        <v>#NUM!</v>
      </c>
    </row>
    <row r="940" spans="10:10">
      <c r="J940" s="20" t="e">
        <f t="shared" si="36"/>
        <v>#NUM!</v>
      </c>
    </row>
    <row r="941" spans="10:10">
      <c r="J941" s="20" t="e">
        <f t="shared" si="36"/>
        <v>#NUM!</v>
      </c>
    </row>
    <row r="942" spans="10:10">
      <c r="J942" s="20" t="e">
        <f t="shared" si="36"/>
        <v>#NUM!</v>
      </c>
    </row>
    <row r="943" spans="10:10">
      <c r="J943" s="20" t="e">
        <f t="shared" si="36"/>
        <v>#NUM!</v>
      </c>
    </row>
    <row r="944" spans="10:10">
      <c r="J944" s="20" t="e">
        <f t="shared" si="36"/>
        <v>#NUM!</v>
      </c>
    </row>
    <row r="945" spans="10:10">
      <c r="J945" s="20" t="e">
        <f t="shared" si="36"/>
        <v>#NUM!</v>
      </c>
    </row>
    <row r="946" spans="10:10">
      <c r="J946" s="20" t="e">
        <f t="shared" si="36"/>
        <v>#NUM!</v>
      </c>
    </row>
    <row r="947" spans="10:10">
      <c r="J947" s="20" t="e">
        <f t="shared" si="36"/>
        <v>#NUM!</v>
      </c>
    </row>
    <row r="948" spans="10:10">
      <c r="J948" s="20" t="e">
        <f t="shared" si="36"/>
        <v>#NUM!</v>
      </c>
    </row>
    <row r="949" spans="10:10">
      <c r="J949" s="20" t="e">
        <f t="shared" si="36"/>
        <v>#NUM!</v>
      </c>
    </row>
    <row r="950" spans="10:10">
      <c r="J950" s="20" t="e">
        <f t="shared" si="36"/>
        <v>#NUM!</v>
      </c>
    </row>
    <row r="951" spans="10:10">
      <c r="J951" s="20" t="e">
        <f t="shared" si="36"/>
        <v>#NUM!</v>
      </c>
    </row>
    <row r="952" spans="10:10">
      <c r="J952" s="20" t="e">
        <f t="shared" si="36"/>
        <v>#NUM!</v>
      </c>
    </row>
    <row r="953" spans="10:10">
      <c r="J953" s="20" t="e">
        <f t="shared" si="36"/>
        <v>#NUM!</v>
      </c>
    </row>
    <row r="954" spans="10:10">
      <c r="J954" s="20" t="e">
        <f t="shared" si="36"/>
        <v>#NUM!</v>
      </c>
    </row>
    <row r="955" spans="10:10">
      <c r="J955" s="20" t="e">
        <f t="shared" si="36"/>
        <v>#NUM!</v>
      </c>
    </row>
    <row r="956" spans="10:10">
      <c r="J956" s="20" t="e">
        <f t="shared" si="36"/>
        <v>#NUM!</v>
      </c>
    </row>
    <row r="957" spans="10:10">
      <c r="J957" s="20" t="e">
        <f t="shared" si="36"/>
        <v>#NUM!</v>
      </c>
    </row>
    <row r="958" spans="10:10">
      <c r="J958" s="20" t="e">
        <f t="shared" si="36"/>
        <v>#NUM!</v>
      </c>
    </row>
    <row r="959" spans="10:10">
      <c r="J959" s="20" t="e">
        <f t="shared" si="36"/>
        <v>#NUM!</v>
      </c>
    </row>
    <row r="960" spans="10:10">
      <c r="J960" s="20" t="e">
        <f t="shared" si="36"/>
        <v>#NUM!</v>
      </c>
    </row>
    <row r="961" spans="10:10">
      <c r="J961" s="20" t="e">
        <f t="shared" si="36"/>
        <v>#NUM!</v>
      </c>
    </row>
    <row r="962" spans="10:10">
      <c r="J962" s="20" t="e">
        <f t="shared" si="36"/>
        <v>#NUM!</v>
      </c>
    </row>
    <row r="963" spans="10:10">
      <c r="J963" s="20" t="e">
        <f t="shared" si="36"/>
        <v>#NUM!</v>
      </c>
    </row>
    <row r="964" spans="10:10">
      <c r="J964" s="20" t="e">
        <f t="shared" si="36"/>
        <v>#NUM!</v>
      </c>
    </row>
    <row r="965" spans="10:10">
      <c r="J965" s="20" t="e">
        <f t="shared" si="36"/>
        <v>#NUM!</v>
      </c>
    </row>
    <row r="966" spans="10:10">
      <c r="J966" s="20" t="e">
        <f t="shared" si="36"/>
        <v>#NUM!</v>
      </c>
    </row>
    <row r="967" spans="10:10">
      <c r="J967" s="20" t="e">
        <f t="shared" ref="J967:J1030" si="37">INT(LOG($H$2,2))-ROUNDUP(LOG(H967,2),0)+IF(OR($H$2=1,$H$2=2,$H$2=4,$H$2=8,$H$2=16,$H$2=32,$H$2=64,$H$2=128,$H$2=256),0,1)</f>
        <v>#NUM!</v>
      </c>
    </row>
    <row r="968" spans="10:10">
      <c r="J968" s="20" t="e">
        <f t="shared" si="37"/>
        <v>#NUM!</v>
      </c>
    </row>
    <row r="969" spans="10:10">
      <c r="J969" s="20" t="e">
        <f t="shared" si="37"/>
        <v>#NUM!</v>
      </c>
    </row>
    <row r="970" spans="10:10">
      <c r="J970" s="20" t="e">
        <f t="shared" si="37"/>
        <v>#NUM!</v>
      </c>
    </row>
    <row r="971" spans="10:10">
      <c r="J971" s="20" t="e">
        <f t="shared" si="37"/>
        <v>#NUM!</v>
      </c>
    </row>
    <row r="972" spans="10:10">
      <c r="J972" s="20" t="e">
        <f t="shared" si="37"/>
        <v>#NUM!</v>
      </c>
    </row>
    <row r="973" spans="10:10">
      <c r="J973" s="20" t="e">
        <f t="shared" si="37"/>
        <v>#NUM!</v>
      </c>
    </row>
    <row r="974" spans="10:10">
      <c r="J974" s="20" t="e">
        <f t="shared" si="37"/>
        <v>#NUM!</v>
      </c>
    </row>
    <row r="975" spans="10:10">
      <c r="J975" s="20" t="e">
        <f t="shared" si="37"/>
        <v>#NUM!</v>
      </c>
    </row>
    <row r="976" spans="10:10">
      <c r="J976" s="20" t="e">
        <f t="shared" si="37"/>
        <v>#NUM!</v>
      </c>
    </row>
    <row r="977" spans="10:10">
      <c r="J977" s="20" t="e">
        <f t="shared" si="37"/>
        <v>#NUM!</v>
      </c>
    </row>
    <row r="978" spans="10:10">
      <c r="J978" s="20" t="e">
        <f t="shared" si="37"/>
        <v>#NUM!</v>
      </c>
    </row>
    <row r="979" spans="10:10">
      <c r="J979" s="20" t="e">
        <f t="shared" si="37"/>
        <v>#NUM!</v>
      </c>
    </row>
    <row r="980" spans="10:10">
      <c r="J980" s="20" t="e">
        <f t="shared" si="37"/>
        <v>#NUM!</v>
      </c>
    </row>
    <row r="981" spans="10:10">
      <c r="J981" s="20" t="e">
        <f t="shared" si="37"/>
        <v>#NUM!</v>
      </c>
    </row>
    <row r="982" spans="10:10">
      <c r="J982" s="20" t="e">
        <f t="shared" si="37"/>
        <v>#NUM!</v>
      </c>
    </row>
    <row r="983" spans="10:10">
      <c r="J983" s="20" t="e">
        <f t="shared" si="37"/>
        <v>#NUM!</v>
      </c>
    </row>
    <row r="984" spans="10:10">
      <c r="J984" s="20" t="e">
        <f t="shared" si="37"/>
        <v>#NUM!</v>
      </c>
    </row>
    <row r="985" spans="10:10">
      <c r="J985" s="20" t="e">
        <f t="shared" si="37"/>
        <v>#NUM!</v>
      </c>
    </row>
    <row r="986" spans="10:10">
      <c r="J986" s="20" t="e">
        <f t="shared" si="37"/>
        <v>#NUM!</v>
      </c>
    </row>
    <row r="987" spans="10:10">
      <c r="J987" s="20" t="e">
        <f t="shared" si="37"/>
        <v>#NUM!</v>
      </c>
    </row>
    <row r="988" spans="10:10">
      <c r="J988" s="20" t="e">
        <f t="shared" si="37"/>
        <v>#NUM!</v>
      </c>
    </row>
    <row r="989" spans="10:10">
      <c r="J989" s="20" t="e">
        <f t="shared" si="37"/>
        <v>#NUM!</v>
      </c>
    </row>
    <row r="990" spans="10:10">
      <c r="J990" s="20" t="e">
        <f t="shared" si="37"/>
        <v>#NUM!</v>
      </c>
    </row>
    <row r="991" spans="10:10">
      <c r="J991" s="20" t="e">
        <f t="shared" si="37"/>
        <v>#NUM!</v>
      </c>
    </row>
    <row r="992" spans="10:10">
      <c r="J992" s="20" t="e">
        <f t="shared" si="37"/>
        <v>#NUM!</v>
      </c>
    </row>
    <row r="993" spans="10:10">
      <c r="J993" s="20" t="e">
        <f t="shared" si="37"/>
        <v>#NUM!</v>
      </c>
    </row>
    <row r="994" spans="10:10">
      <c r="J994" s="20" t="e">
        <f t="shared" si="37"/>
        <v>#NUM!</v>
      </c>
    </row>
    <row r="995" spans="10:10">
      <c r="J995" s="20" t="e">
        <f t="shared" si="37"/>
        <v>#NUM!</v>
      </c>
    </row>
    <row r="996" spans="10:10">
      <c r="J996" s="20" t="e">
        <f t="shared" si="37"/>
        <v>#NUM!</v>
      </c>
    </row>
    <row r="997" spans="10:10">
      <c r="J997" s="20" t="e">
        <f t="shared" si="37"/>
        <v>#NUM!</v>
      </c>
    </row>
    <row r="998" spans="10:10">
      <c r="J998" s="20" t="e">
        <f t="shared" si="37"/>
        <v>#NUM!</v>
      </c>
    </row>
    <row r="999" spans="10:10">
      <c r="J999" s="20" t="e">
        <f t="shared" si="37"/>
        <v>#NUM!</v>
      </c>
    </row>
    <row r="1000" spans="10:10">
      <c r="J1000" s="20" t="e">
        <f t="shared" si="37"/>
        <v>#NUM!</v>
      </c>
    </row>
    <row r="1001" spans="10:10">
      <c r="J1001" s="20" t="e">
        <f t="shared" si="37"/>
        <v>#NUM!</v>
      </c>
    </row>
    <row r="1002" spans="10:10">
      <c r="J1002" s="20" t="e">
        <f t="shared" si="37"/>
        <v>#NUM!</v>
      </c>
    </row>
    <row r="1003" spans="10:10">
      <c r="J1003" s="20" t="e">
        <f t="shared" si="37"/>
        <v>#NUM!</v>
      </c>
    </row>
    <row r="1004" spans="10:10">
      <c r="J1004" s="20" t="e">
        <f t="shared" si="37"/>
        <v>#NUM!</v>
      </c>
    </row>
    <row r="1005" spans="10:10">
      <c r="J1005" s="20" t="e">
        <f t="shared" si="37"/>
        <v>#NUM!</v>
      </c>
    </row>
    <row r="1006" spans="10:10">
      <c r="J1006" s="20" t="e">
        <f t="shared" si="37"/>
        <v>#NUM!</v>
      </c>
    </row>
    <row r="1007" spans="10:10">
      <c r="J1007" s="20" t="e">
        <f t="shared" si="37"/>
        <v>#NUM!</v>
      </c>
    </row>
    <row r="1008" spans="10:10">
      <c r="J1008" s="20" t="e">
        <f t="shared" si="37"/>
        <v>#NUM!</v>
      </c>
    </row>
    <row r="1009" spans="10:10">
      <c r="J1009" s="20" t="e">
        <f t="shared" si="37"/>
        <v>#NUM!</v>
      </c>
    </row>
    <row r="1010" spans="10:10">
      <c r="J1010" s="20" t="e">
        <f t="shared" si="37"/>
        <v>#NUM!</v>
      </c>
    </row>
    <row r="1011" spans="10:10">
      <c r="J1011" s="20" t="e">
        <f t="shared" si="37"/>
        <v>#NUM!</v>
      </c>
    </row>
    <row r="1012" spans="10:10">
      <c r="J1012" s="20" t="e">
        <f t="shared" si="37"/>
        <v>#NUM!</v>
      </c>
    </row>
    <row r="1013" spans="10:10">
      <c r="J1013" s="20" t="e">
        <f t="shared" si="37"/>
        <v>#NUM!</v>
      </c>
    </row>
    <row r="1014" spans="10:10">
      <c r="J1014" s="20" t="e">
        <f t="shared" si="37"/>
        <v>#NUM!</v>
      </c>
    </row>
    <row r="1015" spans="10:10">
      <c r="J1015" s="20" t="e">
        <f t="shared" si="37"/>
        <v>#NUM!</v>
      </c>
    </row>
    <row r="1016" spans="10:10">
      <c r="J1016" s="20" t="e">
        <f t="shared" si="37"/>
        <v>#NUM!</v>
      </c>
    </row>
    <row r="1017" spans="10:10">
      <c r="J1017" s="20" t="e">
        <f t="shared" si="37"/>
        <v>#NUM!</v>
      </c>
    </row>
    <row r="1018" spans="10:10">
      <c r="J1018" s="20" t="e">
        <f t="shared" si="37"/>
        <v>#NUM!</v>
      </c>
    </row>
    <row r="1019" spans="10:10">
      <c r="J1019" s="20" t="e">
        <f t="shared" si="37"/>
        <v>#NUM!</v>
      </c>
    </row>
    <row r="1020" spans="10:10">
      <c r="J1020" s="20" t="e">
        <f t="shared" si="37"/>
        <v>#NUM!</v>
      </c>
    </row>
    <row r="1021" spans="10:10">
      <c r="J1021" s="20" t="e">
        <f t="shared" si="37"/>
        <v>#NUM!</v>
      </c>
    </row>
    <row r="1022" spans="10:10">
      <c r="J1022" s="20" t="e">
        <f t="shared" si="37"/>
        <v>#NUM!</v>
      </c>
    </row>
    <row r="1023" spans="10:10">
      <c r="J1023" s="20" t="e">
        <f t="shared" si="37"/>
        <v>#NUM!</v>
      </c>
    </row>
    <row r="1024" spans="10:10">
      <c r="J1024" s="20" t="e">
        <f t="shared" si="37"/>
        <v>#NUM!</v>
      </c>
    </row>
    <row r="1025" spans="10:10">
      <c r="J1025" s="20" t="e">
        <f t="shared" si="37"/>
        <v>#NUM!</v>
      </c>
    </row>
    <row r="1026" spans="10:10">
      <c r="J1026" s="20" t="e">
        <f t="shared" si="37"/>
        <v>#NUM!</v>
      </c>
    </row>
    <row r="1027" spans="10:10">
      <c r="J1027" s="20" t="e">
        <f t="shared" si="37"/>
        <v>#NUM!</v>
      </c>
    </row>
    <row r="1028" spans="10:10">
      <c r="J1028" s="20" t="e">
        <f t="shared" si="37"/>
        <v>#NUM!</v>
      </c>
    </row>
    <row r="1029" spans="10:10">
      <c r="J1029" s="20" t="e">
        <f t="shared" si="37"/>
        <v>#NUM!</v>
      </c>
    </row>
    <row r="1030" spans="10:10">
      <c r="J1030" s="20" t="e">
        <f t="shared" si="37"/>
        <v>#NUM!</v>
      </c>
    </row>
    <row r="1031" spans="10:10">
      <c r="J1031" s="20" t="e">
        <f t="shared" ref="J1031:J1094" si="38">INT(LOG($H$2,2))-ROUNDUP(LOG(H1031,2),0)+IF(OR($H$2=1,$H$2=2,$H$2=4,$H$2=8,$H$2=16,$H$2=32,$H$2=64,$H$2=128,$H$2=256),0,1)</f>
        <v>#NUM!</v>
      </c>
    </row>
    <row r="1032" spans="10:10">
      <c r="J1032" s="20" t="e">
        <f t="shared" si="38"/>
        <v>#NUM!</v>
      </c>
    </row>
    <row r="1033" spans="10:10">
      <c r="J1033" s="20" t="e">
        <f t="shared" si="38"/>
        <v>#NUM!</v>
      </c>
    </row>
    <row r="1034" spans="10:10">
      <c r="J1034" s="20" t="e">
        <f t="shared" si="38"/>
        <v>#NUM!</v>
      </c>
    </row>
    <row r="1035" spans="10:10">
      <c r="J1035" s="20" t="e">
        <f t="shared" si="38"/>
        <v>#NUM!</v>
      </c>
    </row>
    <row r="1036" spans="10:10">
      <c r="J1036" s="20" t="e">
        <f t="shared" si="38"/>
        <v>#NUM!</v>
      </c>
    </row>
    <row r="1037" spans="10:10">
      <c r="J1037" s="20" t="e">
        <f t="shared" si="38"/>
        <v>#NUM!</v>
      </c>
    </row>
    <row r="1038" spans="10:10">
      <c r="J1038" s="20" t="e">
        <f t="shared" si="38"/>
        <v>#NUM!</v>
      </c>
    </row>
    <row r="1039" spans="10:10">
      <c r="J1039" s="20" t="e">
        <f t="shared" si="38"/>
        <v>#NUM!</v>
      </c>
    </row>
    <row r="1040" spans="10:10">
      <c r="J1040" s="20" t="e">
        <f t="shared" si="38"/>
        <v>#NUM!</v>
      </c>
    </row>
    <row r="1041" spans="10:10">
      <c r="J1041" s="20" t="e">
        <f t="shared" si="38"/>
        <v>#NUM!</v>
      </c>
    </row>
    <row r="1042" spans="10:10">
      <c r="J1042" s="20" t="e">
        <f t="shared" si="38"/>
        <v>#NUM!</v>
      </c>
    </row>
    <row r="1043" spans="10:10">
      <c r="J1043" s="20" t="e">
        <f t="shared" si="38"/>
        <v>#NUM!</v>
      </c>
    </row>
    <row r="1044" spans="10:10">
      <c r="J1044" s="20" t="e">
        <f t="shared" si="38"/>
        <v>#NUM!</v>
      </c>
    </row>
    <row r="1045" spans="10:10">
      <c r="J1045" s="20" t="e">
        <f t="shared" si="38"/>
        <v>#NUM!</v>
      </c>
    </row>
    <row r="1046" spans="10:10">
      <c r="J1046" s="20" t="e">
        <f t="shared" si="38"/>
        <v>#NUM!</v>
      </c>
    </row>
    <row r="1047" spans="10:10">
      <c r="J1047" s="20" t="e">
        <f t="shared" si="38"/>
        <v>#NUM!</v>
      </c>
    </row>
    <row r="1048" spans="10:10">
      <c r="J1048" s="20" t="e">
        <f t="shared" si="38"/>
        <v>#NUM!</v>
      </c>
    </row>
    <row r="1049" spans="10:10">
      <c r="J1049" s="20" t="e">
        <f t="shared" si="38"/>
        <v>#NUM!</v>
      </c>
    </row>
    <row r="1050" spans="10:10">
      <c r="J1050" s="20" t="e">
        <f t="shared" si="38"/>
        <v>#NUM!</v>
      </c>
    </row>
    <row r="1051" spans="10:10">
      <c r="J1051" s="20" t="e">
        <f t="shared" si="38"/>
        <v>#NUM!</v>
      </c>
    </row>
    <row r="1052" spans="10:10">
      <c r="J1052" s="20" t="e">
        <f t="shared" si="38"/>
        <v>#NUM!</v>
      </c>
    </row>
    <row r="1053" spans="10:10">
      <c r="J1053" s="20" t="e">
        <f t="shared" si="38"/>
        <v>#NUM!</v>
      </c>
    </row>
    <row r="1054" spans="10:10">
      <c r="J1054" s="20" t="e">
        <f t="shared" si="38"/>
        <v>#NUM!</v>
      </c>
    </row>
    <row r="1055" spans="10:10">
      <c r="J1055" s="20" t="e">
        <f t="shared" si="38"/>
        <v>#NUM!</v>
      </c>
    </row>
    <row r="1056" spans="10:10">
      <c r="J1056" s="20" t="e">
        <f t="shared" si="38"/>
        <v>#NUM!</v>
      </c>
    </row>
    <row r="1057" spans="10:10">
      <c r="J1057" s="20" t="e">
        <f t="shared" si="38"/>
        <v>#NUM!</v>
      </c>
    </row>
    <row r="1058" spans="10:10">
      <c r="J1058" s="20" t="e">
        <f t="shared" si="38"/>
        <v>#NUM!</v>
      </c>
    </row>
    <row r="1059" spans="10:10">
      <c r="J1059" s="20" t="e">
        <f t="shared" si="38"/>
        <v>#NUM!</v>
      </c>
    </row>
    <row r="1060" spans="10:10">
      <c r="J1060" s="20" t="e">
        <f t="shared" si="38"/>
        <v>#NUM!</v>
      </c>
    </row>
    <row r="1061" spans="10:10">
      <c r="J1061" s="20" t="e">
        <f t="shared" si="38"/>
        <v>#NUM!</v>
      </c>
    </row>
    <row r="1062" spans="10:10">
      <c r="J1062" s="20" t="e">
        <f t="shared" si="38"/>
        <v>#NUM!</v>
      </c>
    </row>
    <row r="1063" spans="10:10">
      <c r="J1063" s="20" t="e">
        <f t="shared" si="38"/>
        <v>#NUM!</v>
      </c>
    </row>
    <row r="1064" spans="10:10">
      <c r="J1064" s="20" t="e">
        <f t="shared" si="38"/>
        <v>#NUM!</v>
      </c>
    </row>
    <row r="1065" spans="10:10">
      <c r="J1065" s="20" t="e">
        <f t="shared" si="38"/>
        <v>#NUM!</v>
      </c>
    </row>
    <row r="1066" spans="10:10">
      <c r="J1066" s="20" t="e">
        <f t="shared" si="38"/>
        <v>#NUM!</v>
      </c>
    </row>
    <row r="1067" spans="10:10">
      <c r="J1067" s="20" t="e">
        <f t="shared" si="38"/>
        <v>#NUM!</v>
      </c>
    </row>
    <row r="1068" spans="10:10">
      <c r="J1068" s="20" t="e">
        <f t="shared" si="38"/>
        <v>#NUM!</v>
      </c>
    </row>
    <row r="1069" spans="10:10">
      <c r="J1069" s="20" t="e">
        <f t="shared" si="38"/>
        <v>#NUM!</v>
      </c>
    </row>
    <row r="1070" spans="10:10">
      <c r="J1070" s="20" t="e">
        <f t="shared" si="38"/>
        <v>#NUM!</v>
      </c>
    </row>
    <row r="1071" spans="10:10">
      <c r="J1071" s="20" t="e">
        <f t="shared" si="38"/>
        <v>#NUM!</v>
      </c>
    </row>
    <row r="1072" spans="10:10">
      <c r="J1072" s="20" t="e">
        <f t="shared" si="38"/>
        <v>#NUM!</v>
      </c>
    </row>
    <row r="1073" spans="10:10">
      <c r="J1073" s="20" t="e">
        <f t="shared" si="38"/>
        <v>#NUM!</v>
      </c>
    </row>
    <row r="1074" spans="10:10">
      <c r="J1074" s="20" t="e">
        <f t="shared" si="38"/>
        <v>#NUM!</v>
      </c>
    </row>
    <row r="1075" spans="10:10">
      <c r="J1075" s="20" t="e">
        <f t="shared" si="38"/>
        <v>#NUM!</v>
      </c>
    </row>
    <row r="1076" spans="10:10">
      <c r="J1076" s="20" t="e">
        <f t="shared" si="38"/>
        <v>#NUM!</v>
      </c>
    </row>
    <row r="1077" spans="10:10">
      <c r="J1077" s="20" t="e">
        <f t="shared" si="38"/>
        <v>#NUM!</v>
      </c>
    </row>
    <row r="1078" spans="10:10">
      <c r="J1078" s="20" t="e">
        <f t="shared" si="38"/>
        <v>#NUM!</v>
      </c>
    </row>
    <row r="1079" spans="10:10">
      <c r="J1079" s="20" t="e">
        <f t="shared" si="38"/>
        <v>#NUM!</v>
      </c>
    </row>
    <row r="1080" spans="10:10">
      <c r="J1080" s="20" t="e">
        <f t="shared" si="38"/>
        <v>#NUM!</v>
      </c>
    </row>
    <row r="1081" spans="10:10">
      <c r="J1081" s="20" t="e">
        <f t="shared" si="38"/>
        <v>#NUM!</v>
      </c>
    </row>
    <row r="1082" spans="10:10">
      <c r="J1082" s="20" t="e">
        <f t="shared" si="38"/>
        <v>#NUM!</v>
      </c>
    </row>
    <row r="1083" spans="10:10">
      <c r="J1083" s="20" t="e">
        <f t="shared" si="38"/>
        <v>#NUM!</v>
      </c>
    </row>
    <row r="1084" spans="10:10">
      <c r="J1084" s="20" t="e">
        <f t="shared" si="38"/>
        <v>#NUM!</v>
      </c>
    </row>
    <row r="1085" spans="10:10">
      <c r="J1085" s="20" t="e">
        <f t="shared" si="38"/>
        <v>#NUM!</v>
      </c>
    </row>
    <row r="1086" spans="10:10">
      <c r="J1086" s="20" t="e">
        <f t="shared" si="38"/>
        <v>#NUM!</v>
      </c>
    </row>
    <row r="1087" spans="10:10">
      <c r="J1087" s="20" t="e">
        <f t="shared" si="38"/>
        <v>#NUM!</v>
      </c>
    </row>
    <row r="1088" spans="10:10">
      <c r="J1088" s="20" t="e">
        <f t="shared" si="38"/>
        <v>#NUM!</v>
      </c>
    </row>
    <row r="1089" spans="10:10">
      <c r="J1089" s="20" t="e">
        <f t="shared" si="38"/>
        <v>#NUM!</v>
      </c>
    </row>
    <row r="1090" spans="10:10">
      <c r="J1090" s="20" t="e">
        <f t="shared" si="38"/>
        <v>#NUM!</v>
      </c>
    </row>
    <row r="1091" spans="10:10">
      <c r="J1091" s="20" t="e">
        <f t="shared" si="38"/>
        <v>#NUM!</v>
      </c>
    </row>
    <row r="1092" spans="10:10">
      <c r="J1092" s="20" t="e">
        <f t="shared" si="38"/>
        <v>#NUM!</v>
      </c>
    </row>
    <row r="1093" spans="10:10">
      <c r="J1093" s="20" t="e">
        <f t="shared" si="38"/>
        <v>#NUM!</v>
      </c>
    </row>
    <row r="1094" spans="10:10">
      <c r="J1094" s="20" t="e">
        <f t="shared" si="38"/>
        <v>#NUM!</v>
      </c>
    </row>
    <row r="1095" spans="10:10">
      <c r="J1095" s="20" t="e">
        <f t="shared" ref="J1095:J1158" si="39">INT(LOG($H$2,2))-ROUNDUP(LOG(H1095,2),0)+IF(OR($H$2=1,$H$2=2,$H$2=4,$H$2=8,$H$2=16,$H$2=32,$H$2=64,$H$2=128,$H$2=256),0,1)</f>
        <v>#NUM!</v>
      </c>
    </row>
    <row r="1096" spans="10:10">
      <c r="J1096" s="20" t="e">
        <f t="shared" si="39"/>
        <v>#NUM!</v>
      </c>
    </row>
    <row r="1097" spans="10:10">
      <c r="J1097" s="20" t="e">
        <f t="shared" si="39"/>
        <v>#NUM!</v>
      </c>
    </row>
    <row r="1098" spans="10:10">
      <c r="J1098" s="20" t="e">
        <f t="shared" si="39"/>
        <v>#NUM!</v>
      </c>
    </row>
    <row r="1099" spans="10:10">
      <c r="J1099" s="20" t="e">
        <f t="shared" si="39"/>
        <v>#NUM!</v>
      </c>
    </row>
    <row r="1100" spans="10:10">
      <c r="J1100" s="20" t="e">
        <f t="shared" si="39"/>
        <v>#NUM!</v>
      </c>
    </row>
    <row r="1101" spans="10:10">
      <c r="J1101" s="20" t="e">
        <f t="shared" si="39"/>
        <v>#NUM!</v>
      </c>
    </row>
    <row r="1102" spans="10:10">
      <c r="J1102" s="20" t="e">
        <f t="shared" si="39"/>
        <v>#NUM!</v>
      </c>
    </row>
    <row r="1103" spans="10:10">
      <c r="J1103" s="20" t="e">
        <f t="shared" si="39"/>
        <v>#NUM!</v>
      </c>
    </row>
    <row r="1104" spans="10:10">
      <c r="J1104" s="20" t="e">
        <f t="shared" si="39"/>
        <v>#NUM!</v>
      </c>
    </row>
    <row r="1105" spans="10:10">
      <c r="J1105" s="20" t="e">
        <f t="shared" si="39"/>
        <v>#NUM!</v>
      </c>
    </row>
    <row r="1106" spans="10:10">
      <c r="J1106" s="20" t="e">
        <f t="shared" si="39"/>
        <v>#NUM!</v>
      </c>
    </row>
    <row r="1107" spans="10:10">
      <c r="J1107" s="20" t="e">
        <f t="shared" si="39"/>
        <v>#NUM!</v>
      </c>
    </row>
    <row r="1108" spans="10:10">
      <c r="J1108" s="20" t="e">
        <f t="shared" si="39"/>
        <v>#NUM!</v>
      </c>
    </row>
    <row r="1109" spans="10:10">
      <c r="J1109" s="20" t="e">
        <f t="shared" si="39"/>
        <v>#NUM!</v>
      </c>
    </row>
    <row r="1110" spans="10:10">
      <c r="J1110" s="20" t="e">
        <f t="shared" si="39"/>
        <v>#NUM!</v>
      </c>
    </row>
    <row r="1111" spans="10:10">
      <c r="J1111" s="20" t="e">
        <f t="shared" si="39"/>
        <v>#NUM!</v>
      </c>
    </row>
    <row r="1112" spans="10:10">
      <c r="J1112" s="20" t="e">
        <f t="shared" si="39"/>
        <v>#NUM!</v>
      </c>
    </row>
    <row r="1113" spans="10:10">
      <c r="J1113" s="20" t="e">
        <f t="shared" si="39"/>
        <v>#NUM!</v>
      </c>
    </row>
    <row r="1114" spans="10:10">
      <c r="J1114" s="20" t="e">
        <f t="shared" si="39"/>
        <v>#NUM!</v>
      </c>
    </row>
    <row r="1115" spans="10:10">
      <c r="J1115" s="20" t="e">
        <f t="shared" si="39"/>
        <v>#NUM!</v>
      </c>
    </row>
    <row r="1116" spans="10:10">
      <c r="J1116" s="20" t="e">
        <f t="shared" si="39"/>
        <v>#NUM!</v>
      </c>
    </row>
    <row r="1117" spans="10:10">
      <c r="J1117" s="20" t="e">
        <f t="shared" si="39"/>
        <v>#NUM!</v>
      </c>
    </row>
    <row r="1118" spans="10:10">
      <c r="J1118" s="20" t="e">
        <f t="shared" si="39"/>
        <v>#NUM!</v>
      </c>
    </row>
    <row r="1119" spans="10:10">
      <c r="J1119" s="20" t="e">
        <f t="shared" si="39"/>
        <v>#NUM!</v>
      </c>
    </row>
    <row r="1120" spans="10:10">
      <c r="J1120" s="20" t="e">
        <f t="shared" si="39"/>
        <v>#NUM!</v>
      </c>
    </row>
    <row r="1121" spans="10:10">
      <c r="J1121" s="20" t="e">
        <f t="shared" si="39"/>
        <v>#NUM!</v>
      </c>
    </row>
    <row r="1122" spans="10:10">
      <c r="J1122" s="20" t="e">
        <f t="shared" si="39"/>
        <v>#NUM!</v>
      </c>
    </row>
    <row r="1123" spans="10:10">
      <c r="J1123" s="20" t="e">
        <f t="shared" si="39"/>
        <v>#NUM!</v>
      </c>
    </row>
    <row r="1124" spans="10:10">
      <c r="J1124" s="20" t="e">
        <f t="shared" si="39"/>
        <v>#NUM!</v>
      </c>
    </row>
    <row r="1125" spans="10:10">
      <c r="J1125" s="20" t="e">
        <f t="shared" si="39"/>
        <v>#NUM!</v>
      </c>
    </row>
    <row r="1126" spans="10:10">
      <c r="J1126" s="20" t="e">
        <f t="shared" si="39"/>
        <v>#NUM!</v>
      </c>
    </row>
    <row r="1127" spans="10:10">
      <c r="J1127" s="20" t="e">
        <f t="shared" si="39"/>
        <v>#NUM!</v>
      </c>
    </row>
    <row r="1128" spans="10:10">
      <c r="J1128" s="20" t="e">
        <f t="shared" si="39"/>
        <v>#NUM!</v>
      </c>
    </row>
    <row r="1129" spans="10:10">
      <c r="J1129" s="20" t="e">
        <f t="shared" si="39"/>
        <v>#NUM!</v>
      </c>
    </row>
    <row r="1130" spans="10:10">
      <c r="J1130" s="20" t="e">
        <f t="shared" si="39"/>
        <v>#NUM!</v>
      </c>
    </row>
    <row r="1131" spans="10:10">
      <c r="J1131" s="20" t="e">
        <f t="shared" si="39"/>
        <v>#NUM!</v>
      </c>
    </row>
    <row r="1132" spans="10:10">
      <c r="J1132" s="20" t="e">
        <f t="shared" si="39"/>
        <v>#NUM!</v>
      </c>
    </row>
    <row r="1133" spans="10:10">
      <c r="J1133" s="20" t="e">
        <f t="shared" si="39"/>
        <v>#NUM!</v>
      </c>
    </row>
    <row r="1134" spans="10:10">
      <c r="J1134" s="20" t="e">
        <f t="shared" si="39"/>
        <v>#NUM!</v>
      </c>
    </row>
    <row r="1135" spans="10:10">
      <c r="J1135" s="20" t="e">
        <f t="shared" si="39"/>
        <v>#NUM!</v>
      </c>
    </row>
    <row r="1136" spans="10:10">
      <c r="J1136" s="20" t="e">
        <f t="shared" si="39"/>
        <v>#NUM!</v>
      </c>
    </row>
    <row r="1137" spans="10:10">
      <c r="J1137" s="20" t="e">
        <f t="shared" si="39"/>
        <v>#NUM!</v>
      </c>
    </row>
    <row r="1138" spans="10:10">
      <c r="J1138" s="20" t="e">
        <f t="shared" si="39"/>
        <v>#NUM!</v>
      </c>
    </row>
    <row r="1139" spans="10:10">
      <c r="J1139" s="20" t="e">
        <f t="shared" si="39"/>
        <v>#NUM!</v>
      </c>
    </row>
    <row r="1140" spans="10:10">
      <c r="J1140" s="20" t="e">
        <f t="shared" si="39"/>
        <v>#NUM!</v>
      </c>
    </row>
    <row r="1141" spans="10:10">
      <c r="J1141" s="20" t="e">
        <f t="shared" si="39"/>
        <v>#NUM!</v>
      </c>
    </row>
    <row r="1142" spans="10:10">
      <c r="J1142" s="20" t="e">
        <f t="shared" si="39"/>
        <v>#NUM!</v>
      </c>
    </row>
    <row r="1143" spans="10:10">
      <c r="J1143" s="20" t="e">
        <f t="shared" si="39"/>
        <v>#NUM!</v>
      </c>
    </row>
    <row r="1144" spans="10:10">
      <c r="J1144" s="20" t="e">
        <f t="shared" si="39"/>
        <v>#NUM!</v>
      </c>
    </row>
    <row r="1145" spans="10:10">
      <c r="J1145" s="20" t="e">
        <f t="shared" si="39"/>
        <v>#NUM!</v>
      </c>
    </row>
    <row r="1146" spans="10:10">
      <c r="J1146" s="20" t="e">
        <f t="shared" si="39"/>
        <v>#NUM!</v>
      </c>
    </row>
    <row r="1147" spans="10:10">
      <c r="J1147" s="20" t="e">
        <f t="shared" si="39"/>
        <v>#NUM!</v>
      </c>
    </row>
    <row r="1148" spans="10:10">
      <c r="J1148" s="20" t="e">
        <f t="shared" si="39"/>
        <v>#NUM!</v>
      </c>
    </row>
    <row r="1149" spans="10:10">
      <c r="J1149" s="20" t="e">
        <f t="shared" si="39"/>
        <v>#NUM!</v>
      </c>
    </row>
    <row r="1150" spans="10:10">
      <c r="J1150" s="20" t="e">
        <f t="shared" si="39"/>
        <v>#NUM!</v>
      </c>
    </row>
    <row r="1151" spans="10:10">
      <c r="J1151" s="20" t="e">
        <f t="shared" si="39"/>
        <v>#NUM!</v>
      </c>
    </row>
    <row r="1152" spans="10:10">
      <c r="J1152" s="20" t="e">
        <f t="shared" si="39"/>
        <v>#NUM!</v>
      </c>
    </row>
    <row r="1153" spans="10:10">
      <c r="J1153" s="20" t="e">
        <f t="shared" si="39"/>
        <v>#NUM!</v>
      </c>
    </row>
    <row r="1154" spans="10:10">
      <c r="J1154" s="20" t="e">
        <f t="shared" si="39"/>
        <v>#NUM!</v>
      </c>
    </row>
    <row r="1155" spans="10:10">
      <c r="J1155" s="20" t="e">
        <f t="shared" si="39"/>
        <v>#NUM!</v>
      </c>
    </row>
    <row r="1156" spans="10:10">
      <c r="J1156" s="20" t="e">
        <f t="shared" si="39"/>
        <v>#NUM!</v>
      </c>
    </row>
    <row r="1157" spans="10:10">
      <c r="J1157" s="20" t="e">
        <f t="shared" si="39"/>
        <v>#NUM!</v>
      </c>
    </row>
    <row r="1158" spans="10:10">
      <c r="J1158" s="20" t="e">
        <f t="shared" si="39"/>
        <v>#NUM!</v>
      </c>
    </row>
    <row r="1159" spans="10:10">
      <c r="J1159" s="20" t="e">
        <f t="shared" ref="J1159" si="40">INT(LOG($H$2,2))-ROUNDUP(LOG(H1159,2),0)+IF(OR($H$2=1,$H$2=2,$H$2=4,$H$2=8,$H$2=16,$H$2=32,$H$2=64,$H$2=128,$H$2=256),0,1)</f>
        <v>#NUM!</v>
      </c>
    </row>
  </sheetData>
  <mergeCells count="2">
    <mergeCell ref="C2:D2"/>
    <mergeCell ref="C3:D3"/>
  </mergeCells>
  <conditionalFormatting sqref="J7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BDE0A91B-36C7-41C8-94F3-5604465FC332}">
      <formula1>#REF!</formula1>
    </dataValidation>
  </dataValidations>
  <hyperlinks>
    <hyperlink ref="C2:D2" r:id="rId1" display="WISŁA" xr:uid="{0F46F1EC-0EB4-4DE8-9134-F557C56F7B5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76B1-C7D8-42DD-82BC-69E6FB9AB2B8}">
  <sheetPr>
    <tabColor rgb="FF92D050"/>
  </sheetPr>
  <dimension ref="A1:AL846"/>
  <sheetViews>
    <sheetView workbookViewId="0">
      <selection activeCell="A6" sqref="A6:A13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37.57031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5"/>
      <c r="B2" s="47" t="s">
        <v>35</v>
      </c>
      <c r="C2" s="127" t="s">
        <v>59</v>
      </c>
      <c r="D2" s="127"/>
      <c r="E2" s="6"/>
      <c r="F2" s="6"/>
      <c r="G2" s="6"/>
      <c r="H2" s="14">
        <v>8</v>
      </c>
      <c r="I2" s="68">
        <v>50</v>
      </c>
      <c r="J2" s="68">
        <v>10</v>
      </c>
      <c r="K2" s="69">
        <f>3*H2^(1/3)</f>
        <v>5.9999999999999991</v>
      </c>
      <c r="L2" s="13"/>
      <c r="M2" s="13"/>
    </row>
    <row r="3" spans="1:34">
      <c r="A3" s="5"/>
      <c r="B3" s="48" t="s">
        <v>37</v>
      </c>
      <c r="C3" s="128" t="s">
        <v>60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M6</f>
        <v>98</v>
      </c>
      <c r="B6" s="36">
        <v>1</v>
      </c>
      <c r="C6" s="24" t="s">
        <v>18</v>
      </c>
      <c r="D6" s="24" t="s">
        <v>61</v>
      </c>
      <c r="E6" s="24" t="s">
        <v>50</v>
      </c>
      <c r="F6" s="24"/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17.999999999999996</v>
      </c>
      <c r="M6" s="19">
        <f t="shared" ref="M6:M69" si="2">IF(I6&lt;&gt;"",K6+I6+L6,0)</f>
        <v>98</v>
      </c>
    </row>
    <row r="7" spans="1:34" ht="14.45" customHeight="1">
      <c r="A7" s="40">
        <f t="shared" ref="A7:A37" si="3">M7</f>
        <v>65.666666666666657</v>
      </c>
      <c r="B7" s="35">
        <v>2</v>
      </c>
      <c r="C7" s="25" t="s">
        <v>19</v>
      </c>
      <c r="D7" s="25" t="s">
        <v>54</v>
      </c>
      <c r="E7" s="25" t="s">
        <v>50</v>
      </c>
      <c r="F7" s="25"/>
      <c r="G7" s="8"/>
      <c r="H7" s="44">
        <v>2</v>
      </c>
      <c r="I7" s="45">
        <f t="shared" si="0"/>
        <v>33.666666666666664</v>
      </c>
      <c r="J7" s="44">
        <f t="shared" ref="J7:J70" si="4">INT(LOG($H$2,2))-ROUNDUP(LOG(H7,2),0)+IF(OR($H$2=1,$H$2=2,$H$2=4,$H$2=8,$H$2=16,$H$2=32,$H$2=64,$H$2=128,$H$2=256),0,1)</f>
        <v>2</v>
      </c>
      <c r="K7" s="44">
        <f t="shared" ref="K7:K69" si="5">J7*$J$2</f>
        <v>20</v>
      </c>
      <c r="L7" s="46">
        <f>2*K2</f>
        <v>11.999999999999998</v>
      </c>
      <c r="M7" s="46">
        <f t="shared" si="2"/>
        <v>65.666666666666657</v>
      </c>
    </row>
    <row r="8" spans="1:34" ht="14.45" customHeight="1">
      <c r="A8" s="39">
        <f t="shared" si="3"/>
        <v>40.112279154887787</v>
      </c>
      <c r="B8" s="36">
        <v>3</v>
      </c>
      <c r="C8" s="24" t="s">
        <v>20</v>
      </c>
      <c r="D8" s="24" t="s">
        <v>55</v>
      </c>
      <c r="E8" s="24" t="s">
        <v>50</v>
      </c>
      <c r="F8" s="24"/>
      <c r="G8" s="8"/>
      <c r="H8" s="17">
        <v>3</v>
      </c>
      <c r="I8" s="18">
        <f t="shared" si="0"/>
        <v>24.112279154887784</v>
      </c>
      <c r="J8" s="17">
        <f t="shared" si="4"/>
        <v>1</v>
      </c>
      <c r="K8" s="17">
        <f t="shared" si="5"/>
        <v>10</v>
      </c>
      <c r="L8" s="19">
        <f>K2</f>
        <v>5.9999999999999991</v>
      </c>
      <c r="M8" s="19">
        <f t="shared" si="2"/>
        <v>40.112279154887787</v>
      </c>
    </row>
    <row r="9" spans="1:34" ht="14.45" customHeight="1">
      <c r="A9" s="40">
        <f t="shared" si="3"/>
        <v>27.333333333333329</v>
      </c>
      <c r="B9" s="35">
        <v>4</v>
      </c>
      <c r="C9" s="25" t="s">
        <v>21</v>
      </c>
      <c r="D9" s="25"/>
      <c r="E9" s="25" t="s">
        <v>50</v>
      </c>
      <c r="F9" s="25"/>
      <c r="G9" s="8"/>
      <c r="H9" s="44">
        <v>4</v>
      </c>
      <c r="I9" s="45">
        <f t="shared" si="0"/>
        <v>17.333333333333329</v>
      </c>
      <c r="J9" s="44">
        <f t="shared" si="4"/>
        <v>1</v>
      </c>
      <c r="K9" s="44">
        <f t="shared" si="5"/>
        <v>10</v>
      </c>
      <c r="L9" s="46"/>
      <c r="M9" s="46">
        <f t="shared" si="2"/>
        <v>27.333333333333329</v>
      </c>
      <c r="V9" s="27"/>
      <c r="Z9" s="28"/>
      <c r="AA9" s="28"/>
      <c r="AG9" s="29"/>
    </row>
    <row r="10" spans="1:34" ht="14.45" customHeight="1">
      <c r="A10" s="39">
        <f t="shared" si="3"/>
        <v>12.07517445017308</v>
      </c>
      <c r="B10" s="36">
        <v>5</v>
      </c>
      <c r="C10" s="24" t="s">
        <v>23</v>
      </c>
      <c r="D10" s="24" t="s">
        <v>62</v>
      </c>
      <c r="E10" s="24" t="s">
        <v>50</v>
      </c>
      <c r="F10" s="24"/>
      <c r="G10" s="8"/>
      <c r="H10" s="17">
        <v>5</v>
      </c>
      <c r="I10" s="18">
        <f t="shared" si="0"/>
        <v>12.07517445017308</v>
      </c>
      <c r="J10" s="17">
        <f t="shared" si="4"/>
        <v>0</v>
      </c>
      <c r="K10" s="17">
        <f t="shared" si="5"/>
        <v>0</v>
      </c>
      <c r="L10" s="17"/>
      <c r="M10" s="19">
        <f t="shared" si="2"/>
        <v>12.07517445017308</v>
      </c>
      <c r="V10" s="27"/>
      <c r="Z10" s="28"/>
      <c r="AA10" s="28"/>
      <c r="AG10" s="29"/>
    </row>
    <row r="11" spans="1:34" ht="14.45" customHeight="1">
      <c r="A11" s="40">
        <f t="shared" si="3"/>
        <v>7.7789458215544443</v>
      </c>
      <c r="B11" s="35">
        <v>6</v>
      </c>
      <c r="C11" s="25" t="s">
        <v>25</v>
      </c>
      <c r="D11" s="25"/>
      <c r="E11" s="25" t="s">
        <v>50</v>
      </c>
      <c r="F11" s="25"/>
      <c r="G11" s="8"/>
      <c r="H11" s="44">
        <v>6</v>
      </c>
      <c r="I11" s="45">
        <f t="shared" si="0"/>
        <v>7.7789458215544443</v>
      </c>
      <c r="J11" s="44">
        <f t="shared" si="4"/>
        <v>0</v>
      </c>
      <c r="K11" s="44">
        <f t="shared" si="5"/>
        <v>0</v>
      </c>
      <c r="L11" s="44"/>
      <c r="M11" s="46">
        <f t="shared" si="2"/>
        <v>7.7789458215544443</v>
      </c>
      <c r="V11" s="30"/>
      <c r="Z11" s="28"/>
      <c r="AA11" s="28"/>
      <c r="AG11" s="29"/>
    </row>
    <row r="12" spans="1:34" ht="14.45" customHeight="1">
      <c r="A12" s="39">
        <f t="shared" si="3"/>
        <v>4.1465362730591337</v>
      </c>
      <c r="B12" s="36">
        <v>7</v>
      </c>
      <c r="C12" s="24" t="s">
        <v>28</v>
      </c>
      <c r="D12" s="24" t="s">
        <v>63</v>
      </c>
      <c r="E12" s="24" t="s">
        <v>50</v>
      </c>
      <c r="F12" s="24"/>
      <c r="G12" s="8"/>
      <c r="H12" s="17">
        <v>7</v>
      </c>
      <c r="I12" s="18">
        <f t="shared" si="0"/>
        <v>4.1465362730591337</v>
      </c>
      <c r="J12" s="17">
        <f t="shared" si="4"/>
        <v>0</v>
      </c>
      <c r="K12" s="17">
        <f t="shared" si="5"/>
        <v>0</v>
      </c>
      <c r="L12" s="17"/>
      <c r="M12" s="19">
        <f t="shared" si="2"/>
        <v>4.1465362730591337</v>
      </c>
      <c r="Z12" s="28"/>
      <c r="AA12" s="28"/>
      <c r="AG12" s="29"/>
    </row>
    <row r="13" spans="1:34" ht="14.45" customHeight="1">
      <c r="A13" s="41">
        <f t="shared" si="3"/>
        <v>1</v>
      </c>
      <c r="B13" s="35">
        <v>8</v>
      </c>
      <c r="C13" s="25" t="s">
        <v>26</v>
      </c>
      <c r="D13" s="25" t="s">
        <v>64</v>
      </c>
      <c r="E13" s="25" t="s">
        <v>50</v>
      </c>
      <c r="F13" s="25"/>
      <c r="G13" s="8"/>
      <c r="H13" s="44">
        <v>8</v>
      </c>
      <c r="I13" s="45">
        <f t="shared" si="0"/>
        <v>1</v>
      </c>
      <c r="J13" s="44">
        <f t="shared" si="4"/>
        <v>0</v>
      </c>
      <c r="K13" s="44">
        <f t="shared" si="5"/>
        <v>0</v>
      </c>
      <c r="L13" s="44"/>
      <c r="M13" s="46">
        <f t="shared" si="2"/>
        <v>1</v>
      </c>
      <c r="X13" s="27"/>
      <c r="AG13" s="29"/>
    </row>
    <row r="14" spans="1:34">
      <c r="A14" s="42">
        <f t="shared" si="3"/>
        <v>0</v>
      </c>
      <c r="B14" s="36" t="str">
        <f>IF(H14&gt;$H$2,"",(ROW()-5))</f>
        <v/>
      </c>
      <c r="C14" s="24"/>
      <c r="D14" s="24"/>
      <c r="E14" s="24"/>
      <c r="F14" s="24"/>
      <c r="G14" s="8"/>
      <c r="H14" s="17">
        <v>9</v>
      </c>
      <c r="I14" s="18" t="str">
        <f t="shared" si="0"/>
        <v/>
      </c>
      <c r="J14" s="17">
        <f t="shared" si="4"/>
        <v>-1</v>
      </c>
      <c r="K14" s="17">
        <f t="shared" si="5"/>
        <v>-10</v>
      </c>
      <c r="L14" s="17"/>
      <c r="M14" s="19">
        <f t="shared" si="2"/>
        <v>0</v>
      </c>
      <c r="X14" s="31"/>
      <c r="Z14" s="28"/>
      <c r="AA14" s="28"/>
      <c r="AG14" s="29"/>
    </row>
    <row r="15" spans="1:34">
      <c r="A15" s="41">
        <f t="shared" si="3"/>
        <v>0</v>
      </c>
      <c r="B15" s="35" t="str">
        <f t="shared" ref="B15:B65" si="6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0"/>
        <v/>
      </c>
      <c r="J15" s="44">
        <f t="shared" si="4"/>
        <v>-1</v>
      </c>
      <c r="K15" s="44">
        <f t="shared" si="5"/>
        <v>-10</v>
      </c>
      <c r="L15" s="44"/>
      <c r="M15" s="46">
        <f t="shared" si="2"/>
        <v>0</v>
      </c>
      <c r="X15" s="27"/>
      <c r="Z15" s="28"/>
      <c r="AA15" s="28"/>
    </row>
    <row r="16" spans="1:34">
      <c r="A16" s="42">
        <f t="shared" si="3"/>
        <v>0</v>
      </c>
      <c r="B16" s="36" t="str">
        <f t="shared" si="6"/>
        <v/>
      </c>
      <c r="C16" s="24"/>
      <c r="D16" s="24"/>
      <c r="E16" s="24"/>
      <c r="F16" s="24"/>
      <c r="G16" s="8"/>
      <c r="H16" s="17">
        <v>11</v>
      </c>
      <c r="I16" s="18" t="str">
        <f t="shared" si="0"/>
        <v/>
      </c>
      <c r="J16" s="17">
        <f t="shared" si="4"/>
        <v>-1</v>
      </c>
      <c r="K16" s="17">
        <f t="shared" si="5"/>
        <v>-10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6"/>
        <v/>
      </c>
      <c r="C17" s="25"/>
      <c r="D17" s="25"/>
      <c r="E17" s="25"/>
      <c r="F17" s="25"/>
      <c r="G17" s="8"/>
      <c r="H17" s="44">
        <v>12</v>
      </c>
      <c r="I17" s="45" t="str">
        <f t="shared" si="0"/>
        <v/>
      </c>
      <c r="J17" s="44">
        <f t="shared" si="4"/>
        <v>-1</v>
      </c>
      <c r="K17" s="44">
        <f t="shared" si="5"/>
        <v>-10</v>
      </c>
      <c r="L17" s="44"/>
      <c r="M17" s="46">
        <f t="shared" si="2"/>
        <v>0</v>
      </c>
    </row>
    <row r="18" spans="1:19">
      <c r="A18" s="42">
        <f t="shared" si="3"/>
        <v>0</v>
      </c>
      <c r="B18" s="36" t="str">
        <f t="shared" si="6"/>
        <v/>
      </c>
      <c r="C18" s="24"/>
      <c r="D18" s="24"/>
      <c r="E18" s="24"/>
      <c r="F18" s="24"/>
      <c r="G18" s="8"/>
      <c r="H18" s="17">
        <v>13</v>
      </c>
      <c r="I18" s="18" t="str">
        <f t="shared" si="0"/>
        <v/>
      </c>
      <c r="J18" s="17">
        <f t="shared" si="4"/>
        <v>-1</v>
      </c>
      <c r="K18" s="17">
        <f t="shared" si="5"/>
        <v>-10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6"/>
        <v/>
      </c>
      <c r="C19" s="25"/>
      <c r="D19" s="25"/>
      <c r="E19" s="25"/>
      <c r="F19" s="25"/>
      <c r="G19" s="8"/>
      <c r="H19" s="44">
        <v>14</v>
      </c>
      <c r="I19" s="45" t="str">
        <f t="shared" si="0"/>
        <v/>
      </c>
      <c r="J19" s="44">
        <f t="shared" si="4"/>
        <v>-1</v>
      </c>
      <c r="K19" s="44">
        <f t="shared" si="5"/>
        <v>-10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6"/>
        <v/>
      </c>
      <c r="C20" s="24"/>
      <c r="D20" s="24"/>
      <c r="E20" s="24"/>
      <c r="F20" s="24"/>
      <c r="G20" s="8"/>
      <c r="H20" s="17">
        <v>15</v>
      </c>
      <c r="I20" s="18" t="str">
        <f t="shared" si="0"/>
        <v/>
      </c>
      <c r="J20" s="17">
        <f t="shared" si="4"/>
        <v>-1</v>
      </c>
      <c r="K20" s="17">
        <f t="shared" si="5"/>
        <v>-10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6"/>
        <v/>
      </c>
      <c r="C21" s="25"/>
      <c r="D21" s="25"/>
      <c r="E21" s="25"/>
      <c r="F21" s="25"/>
      <c r="G21" s="8"/>
      <c r="H21" s="44">
        <v>16</v>
      </c>
      <c r="I21" s="45" t="str">
        <f t="shared" si="0"/>
        <v/>
      </c>
      <c r="J21" s="44">
        <f t="shared" si="4"/>
        <v>-1</v>
      </c>
      <c r="K21" s="44">
        <f t="shared" si="5"/>
        <v>-10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6"/>
        <v/>
      </c>
      <c r="C22" s="24"/>
      <c r="D22" s="24"/>
      <c r="E22" s="24"/>
      <c r="F22" s="24"/>
      <c r="G22" s="8"/>
      <c r="H22" s="17">
        <v>17</v>
      </c>
      <c r="I22" s="18" t="str">
        <f t="shared" si="0"/>
        <v/>
      </c>
      <c r="J22" s="17">
        <f t="shared" si="4"/>
        <v>-2</v>
      </c>
      <c r="K22" s="17">
        <f t="shared" si="5"/>
        <v>-20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6"/>
        <v/>
      </c>
      <c r="C23" s="25"/>
      <c r="D23" s="25"/>
      <c r="E23" s="25"/>
      <c r="F23" s="25"/>
      <c r="G23" s="8"/>
      <c r="H23" s="44">
        <v>18</v>
      </c>
      <c r="I23" s="45" t="str">
        <f t="shared" si="0"/>
        <v/>
      </c>
      <c r="J23" s="44">
        <f t="shared" si="4"/>
        <v>-2</v>
      </c>
      <c r="K23" s="44">
        <f t="shared" si="5"/>
        <v>-20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7">
        <v>19</v>
      </c>
      <c r="I24" s="18" t="str">
        <f t="shared" si="0"/>
        <v/>
      </c>
      <c r="J24" s="17">
        <f t="shared" si="4"/>
        <v>-2</v>
      </c>
      <c r="K24" s="17">
        <f t="shared" si="5"/>
        <v>-20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44">
        <v>20</v>
      </c>
      <c r="I25" s="45" t="str">
        <f t="shared" si="0"/>
        <v/>
      </c>
      <c r="J25" s="44">
        <f t="shared" si="4"/>
        <v>-2</v>
      </c>
      <c r="K25" s="44">
        <f t="shared" si="5"/>
        <v>-20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7">
        <v>21</v>
      </c>
      <c r="I26" s="18" t="str">
        <f t="shared" si="0"/>
        <v/>
      </c>
      <c r="J26" s="17">
        <f t="shared" si="4"/>
        <v>-2</v>
      </c>
      <c r="K26" s="17">
        <f t="shared" si="5"/>
        <v>-20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6"/>
        <v/>
      </c>
      <c r="C27" s="25"/>
      <c r="D27" s="25"/>
      <c r="E27" s="25"/>
      <c r="F27" s="25"/>
      <c r="G27" s="8"/>
      <c r="H27" s="44">
        <v>22</v>
      </c>
      <c r="I27" s="45" t="str">
        <f t="shared" si="0"/>
        <v/>
      </c>
      <c r="J27" s="44">
        <f t="shared" si="4"/>
        <v>-2</v>
      </c>
      <c r="K27" s="44">
        <f t="shared" si="5"/>
        <v>-20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6"/>
        <v/>
      </c>
      <c r="C28" s="24"/>
      <c r="D28" s="24"/>
      <c r="E28" s="24"/>
      <c r="F28" s="24"/>
      <c r="G28" s="8"/>
      <c r="H28" s="17">
        <v>23</v>
      </c>
      <c r="I28" s="18" t="str">
        <f t="shared" si="0"/>
        <v/>
      </c>
      <c r="J28" s="17">
        <f t="shared" si="4"/>
        <v>-2</v>
      </c>
      <c r="K28" s="17">
        <f t="shared" si="5"/>
        <v>-20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6"/>
        <v/>
      </c>
      <c r="C29" s="25"/>
      <c r="D29" s="25"/>
      <c r="E29" s="25"/>
      <c r="F29" s="25"/>
      <c r="G29" s="5"/>
      <c r="H29" s="44">
        <v>24</v>
      </c>
      <c r="I29" s="45" t="str">
        <f t="shared" si="0"/>
        <v/>
      </c>
      <c r="J29" s="44">
        <f t="shared" si="4"/>
        <v>-2</v>
      </c>
      <c r="K29" s="44">
        <f t="shared" si="5"/>
        <v>-20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6"/>
        <v/>
      </c>
      <c r="C30" s="24"/>
      <c r="D30" s="24"/>
      <c r="E30" s="24"/>
      <c r="F30" s="24"/>
      <c r="G30" s="5"/>
      <c r="H30" s="17">
        <v>25</v>
      </c>
      <c r="I30" s="18" t="str">
        <f t="shared" si="0"/>
        <v/>
      </c>
      <c r="J30" s="17">
        <f t="shared" si="4"/>
        <v>-2</v>
      </c>
      <c r="K30" s="17">
        <f t="shared" si="5"/>
        <v>-20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6"/>
        <v/>
      </c>
      <c r="C31" s="25"/>
      <c r="D31" s="25"/>
      <c r="E31" s="25"/>
      <c r="F31" s="25"/>
      <c r="G31" s="5"/>
      <c r="H31" s="44">
        <v>26</v>
      </c>
      <c r="I31" s="45" t="str">
        <f t="shared" si="0"/>
        <v/>
      </c>
      <c r="J31" s="44">
        <f t="shared" si="4"/>
        <v>-2</v>
      </c>
      <c r="K31" s="44">
        <f t="shared" si="5"/>
        <v>-20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6"/>
        <v/>
      </c>
      <c r="C32" s="24"/>
      <c r="D32" s="24"/>
      <c r="E32" s="24"/>
      <c r="F32" s="24"/>
      <c r="G32" s="5"/>
      <c r="H32" s="17">
        <v>27</v>
      </c>
      <c r="I32" s="18" t="str">
        <f t="shared" si="0"/>
        <v/>
      </c>
      <c r="J32" s="17">
        <f t="shared" si="4"/>
        <v>-2</v>
      </c>
      <c r="K32" s="17">
        <f t="shared" si="5"/>
        <v>-20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6"/>
        <v/>
      </c>
      <c r="C33" s="25"/>
      <c r="D33" s="25"/>
      <c r="E33" s="25"/>
      <c r="F33" s="25"/>
      <c r="G33" s="5"/>
      <c r="H33" s="44">
        <v>28</v>
      </c>
      <c r="I33" s="45" t="str">
        <f t="shared" si="0"/>
        <v/>
      </c>
      <c r="J33" s="44">
        <f t="shared" si="4"/>
        <v>-2</v>
      </c>
      <c r="K33" s="44">
        <f t="shared" si="5"/>
        <v>-20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6"/>
        <v/>
      </c>
      <c r="C34" s="24"/>
      <c r="D34" s="24"/>
      <c r="E34" s="24"/>
      <c r="F34" s="24"/>
      <c r="G34" s="5"/>
      <c r="H34" s="17">
        <v>29</v>
      </c>
      <c r="I34" s="18" t="str">
        <f t="shared" si="0"/>
        <v/>
      </c>
      <c r="J34" s="17">
        <f t="shared" si="4"/>
        <v>-2</v>
      </c>
      <c r="K34" s="17">
        <f t="shared" si="5"/>
        <v>-20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6"/>
        <v/>
      </c>
      <c r="C35" s="25"/>
      <c r="D35" s="25"/>
      <c r="E35" s="25"/>
      <c r="F35" s="25"/>
      <c r="G35" s="5"/>
      <c r="H35" s="44">
        <v>30</v>
      </c>
      <c r="I35" s="45" t="str">
        <f t="shared" si="0"/>
        <v/>
      </c>
      <c r="J35" s="44">
        <f t="shared" si="4"/>
        <v>-2</v>
      </c>
      <c r="K35" s="44">
        <f t="shared" si="5"/>
        <v>-20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6"/>
        <v/>
      </c>
      <c r="C36" s="24"/>
      <c r="D36" s="24"/>
      <c r="E36" s="24"/>
      <c r="F36" s="24"/>
      <c r="G36" s="5"/>
      <c r="H36" s="17">
        <v>31</v>
      </c>
      <c r="I36" s="18" t="str">
        <f t="shared" si="0"/>
        <v/>
      </c>
      <c r="J36" s="17">
        <f t="shared" si="4"/>
        <v>-2</v>
      </c>
      <c r="K36" s="17">
        <f t="shared" si="5"/>
        <v>-20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6"/>
        <v/>
      </c>
      <c r="C37" s="25"/>
      <c r="D37" s="25"/>
      <c r="E37" s="25"/>
      <c r="F37" s="25"/>
      <c r="G37" s="5"/>
      <c r="H37" s="44">
        <v>32</v>
      </c>
      <c r="I37" s="45" t="str">
        <f t="shared" si="0"/>
        <v/>
      </c>
      <c r="J37" s="44">
        <f t="shared" si="4"/>
        <v>-2</v>
      </c>
      <c r="K37" s="44">
        <f t="shared" si="5"/>
        <v>-20</v>
      </c>
      <c r="L37" s="44"/>
      <c r="M37" s="46">
        <f t="shared" si="2"/>
        <v>0</v>
      </c>
    </row>
    <row r="38" spans="1:19">
      <c r="A38" s="42"/>
      <c r="B38" s="36" t="str">
        <f t="shared" si="6"/>
        <v/>
      </c>
      <c r="C38" s="24"/>
      <c r="D38" s="24"/>
      <c r="E38" s="24"/>
      <c r="F38" s="24"/>
      <c r="G38" s="5"/>
      <c r="H38" s="17">
        <v>33</v>
      </c>
      <c r="I38" s="18" t="str">
        <f t="shared" si="0"/>
        <v/>
      </c>
      <c r="J38" s="17">
        <f t="shared" si="4"/>
        <v>-3</v>
      </c>
      <c r="K38" s="17">
        <f t="shared" si="5"/>
        <v>-30</v>
      </c>
      <c r="L38" s="17"/>
      <c r="M38" s="19">
        <f t="shared" si="2"/>
        <v>0</v>
      </c>
    </row>
    <row r="39" spans="1:19">
      <c r="A39" s="41"/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4"/>
        <v>-3</v>
      </c>
      <c r="K39" s="44">
        <f t="shared" si="5"/>
        <v>-30</v>
      </c>
      <c r="L39" s="44"/>
      <c r="M39" s="46">
        <f t="shared" si="2"/>
        <v>0</v>
      </c>
    </row>
    <row r="40" spans="1:19">
      <c r="A40" s="42"/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4"/>
        <v>-3</v>
      </c>
      <c r="K40" s="17">
        <f t="shared" si="5"/>
        <v>-30</v>
      </c>
      <c r="L40" s="17"/>
      <c r="M40" s="19">
        <f t="shared" si="2"/>
        <v>0</v>
      </c>
    </row>
    <row r="41" spans="1:19">
      <c r="A41" s="41"/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4"/>
        <v>-3</v>
      </c>
      <c r="K41" s="44">
        <f t="shared" si="5"/>
        <v>-30</v>
      </c>
      <c r="L41" s="44"/>
      <c r="M41" s="46">
        <f t="shared" si="2"/>
        <v>0</v>
      </c>
      <c r="S41" s="32"/>
    </row>
    <row r="42" spans="1:19">
      <c r="A42" s="42"/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4"/>
        <v>-3</v>
      </c>
      <c r="K42" s="17">
        <f t="shared" si="5"/>
        <v>-30</v>
      </c>
      <c r="L42" s="17"/>
      <c r="M42" s="19">
        <f t="shared" si="2"/>
        <v>0</v>
      </c>
    </row>
    <row r="43" spans="1:19">
      <c r="A43" s="41"/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4"/>
        <v>-3</v>
      </c>
      <c r="K43" s="44">
        <f t="shared" si="5"/>
        <v>-30</v>
      </c>
      <c r="L43" s="44"/>
      <c r="M43" s="46">
        <f t="shared" si="2"/>
        <v>0</v>
      </c>
    </row>
    <row r="44" spans="1:19">
      <c r="A44" s="42"/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4"/>
        <v>-3</v>
      </c>
      <c r="K44" s="17">
        <f t="shared" si="5"/>
        <v>-30</v>
      </c>
      <c r="L44" s="17"/>
      <c r="M44" s="19">
        <f t="shared" si="2"/>
        <v>0</v>
      </c>
    </row>
    <row r="45" spans="1:19">
      <c r="A45" s="41"/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4"/>
        <v>-3</v>
      </c>
      <c r="K45" s="44">
        <f t="shared" si="5"/>
        <v>-30</v>
      </c>
      <c r="L45" s="44"/>
      <c r="M45" s="46">
        <f t="shared" si="2"/>
        <v>0</v>
      </c>
    </row>
    <row r="46" spans="1:19">
      <c r="A46" s="42"/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4"/>
        <v>-3</v>
      </c>
      <c r="K46" s="17">
        <f t="shared" si="5"/>
        <v>-30</v>
      </c>
      <c r="L46" s="17"/>
      <c r="M46" s="19">
        <f t="shared" si="2"/>
        <v>0</v>
      </c>
    </row>
    <row r="47" spans="1:19">
      <c r="A47" s="41"/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4"/>
        <v>-3</v>
      </c>
      <c r="K47" s="44">
        <f t="shared" si="5"/>
        <v>-30</v>
      </c>
      <c r="L47" s="44"/>
      <c r="M47" s="46">
        <f t="shared" si="2"/>
        <v>0</v>
      </c>
    </row>
    <row r="48" spans="1:19">
      <c r="A48" s="42"/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4"/>
        <v>-3</v>
      </c>
      <c r="K48" s="17">
        <f t="shared" si="5"/>
        <v>-30</v>
      </c>
      <c r="L48" s="17"/>
      <c r="M48" s="19">
        <f t="shared" si="2"/>
        <v>0</v>
      </c>
    </row>
    <row r="49" spans="1:13">
      <c r="A49" s="41"/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4"/>
        <v>-3</v>
      </c>
      <c r="K49" s="44">
        <f t="shared" si="5"/>
        <v>-30</v>
      </c>
      <c r="L49" s="44"/>
      <c r="M49" s="46">
        <f t="shared" si="2"/>
        <v>0</v>
      </c>
    </row>
    <row r="50" spans="1:13">
      <c r="A50" s="42"/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4"/>
        <v>-3</v>
      </c>
      <c r="K50" s="17">
        <f t="shared" si="5"/>
        <v>-30</v>
      </c>
      <c r="L50" s="17"/>
      <c r="M50" s="19">
        <f t="shared" si="2"/>
        <v>0</v>
      </c>
    </row>
    <row r="51" spans="1:13">
      <c r="A51" s="41"/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4"/>
        <v>-3</v>
      </c>
      <c r="K51" s="44">
        <f t="shared" si="5"/>
        <v>-30</v>
      </c>
      <c r="L51" s="44"/>
      <c r="M51" s="46">
        <f t="shared" si="2"/>
        <v>0</v>
      </c>
    </row>
    <row r="52" spans="1:13">
      <c r="A52" s="42"/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4"/>
        <v>-3</v>
      </c>
      <c r="K52" s="17">
        <f t="shared" si="5"/>
        <v>-30</v>
      </c>
      <c r="L52" s="17"/>
      <c r="M52" s="19">
        <f t="shared" si="2"/>
        <v>0</v>
      </c>
    </row>
    <row r="53" spans="1:13">
      <c r="A53" s="41"/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4"/>
        <v>-3</v>
      </c>
      <c r="K53" s="44">
        <f t="shared" si="5"/>
        <v>-30</v>
      </c>
      <c r="L53" s="44"/>
      <c r="M53" s="46">
        <f t="shared" si="2"/>
        <v>0</v>
      </c>
    </row>
    <row r="54" spans="1:13">
      <c r="A54" s="42"/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4"/>
        <v>-3</v>
      </c>
      <c r="K54" s="17">
        <f t="shared" si="5"/>
        <v>-30</v>
      </c>
      <c r="L54" s="17"/>
      <c r="M54" s="19">
        <f t="shared" si="2"/>
        <v>0</v>
      </c>
    </row>
    <row r="55" spans="1:13">
      <c r="A55" s="41"/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4"/>
        <v>-3</v>
      </c>
      <c r="K55" s="44">
        <f t="shared" si="5"/>
        <v>-30</v>
      </c>
      <c r="L55" s="44"/>
      <c r="M55" s="46">
        <f t="shared" si="2"/>
        <v>0</v>
      </c>
    </row>
    <row r="56" spans="1:13">
      <c r="A56" s="42"/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4"/>
        <v>-3</v>
      </c>
      <c r="K56" s="17">
        <f t="shared" si="5"/>
        <v>-30</v>
      </c>
      <c r="L56" s="17"/>
      <c r="M56" s="19">
        <f t="shared" si="2"/>
        <v>0</v>
      </c>
    </row>
    <row r="57" spans="1:13">
      <c r="A57" s="41"/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4"/>
        <v>-3</v>
      </c>
      <c r="K57" s="44">
        <f t="shared" si="5"/>
        <v>-30</v>
      </c>
      <c r="L57" s="44"/>
      <c r="M57" s="46">
        <f t="shared" si="2"/>
        <v>0</v>
      </c>
    </row>
    <row r="58" spans="1:13">
      <c r="A58" s="42"/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4"/>
        <v>-3</v>
      </c>
      <c r="K58" s="17">
        <f t="shared" si="5"/>
        <v>-30</v>
      </c>
      <c r="L58" s="17"/>
      <c r="M58" s="19">
        <f t="shared" si="2"/>
        <v>0</v>
      </c>
    </row>
    <row r="59" spans="1:13">
      <c r="A59" s="41"/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4"/>
        <v>-3</v>
      </c>
      <c r="K59" s="44">
        <f t="shared" si="5"/>
        <v>-30</v>
      </c>
      <c r="L59" s="44"/>
      <c r="M59" s="46">
        <f t="shared" si="2"/>
        <v>0</v>
      </c>
    </row>
    <row r="60" spans="1:13">
      <c r="A60" s="42"/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4"/>
        <v>-3</v>
      </c>
      <c r="K60" s="17">
        <f t="shared" si="5"/>
        <v>-30</v>
      </c>
      <c r="L60" s="17"/>
      <c r="M60" s="19">
        <f t="shared" si="2"/>
        <v>0</v>
      </c>
    </row>
    <row r="61" spans="1:13">
      <c r="A61" s="41"/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4"/>
        <v>-3</v>
      </c>
      <c r="K61" s="44">
        <f t="shared" si="5"/>
        <v>-30</v>
      </c>
      <c r="L61" s="44"/>
      <c r="M61" s="46">
        <f t="shared" si="2"/>
        <v>0</v>
      </c>
    </row>
    <row r="62" spans="1:13">
      <c r="A62" s="42"/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4"/>
        <v>-3</v>
      </c>
      <c r="K62" s="17">
        <f t="shared" si="5"/>
        <v>-30</v>
      </c>
      <c r="L62" s="17"/>
      <c r="M62" s="19">
        <f t="shared" si="2"/>
        <v>0</v>
      </c>
    </row>
    <row r="63" spans="1:13">
      <c r="A63" s="41"/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4"/>
        <v>-3</v>
      </c>
      <c r="K63" s="44">
        <f t="shared" si="5"/>
        <v>-30</v>
      </c>
      <c r="L63" s="44"/>
      <c r="M63" s="46">
        <f t="shared" si="2"/>
        <v>0</v>
      </c>
    </row>
    <row r="64" spans="1:13">
      <c r="A64" s="42"/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4"/>
        <v>-3</v>
      </c>
      <c r="K64" s="17">
        <f t="shared" si="5"/>
        <v>-30</v>
      </c>
      <c r="L64" s="17"/>
      <c r="M64" s="19">
        <f t="shared" si="2"/>
        <v>0</v>
      </c>
    </row>
    <row r="65" spans="1:13">
      <c r="A65" s="41"/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4"/>
        <v>-3</v>
      </c>
      <c r="K65" s="44">
        <f t="shared" si="5"/>
        <v>-30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4"/>
        <v>-3</v>
      </c>
      <c r="K66" s="17">
        <f t="shared" si="5"/>
        <v>-30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4"/>
        <v>-3</v>
      </c>
      <c r="K67" s="17">
        <f t="shared" si="5"/>
        <v>-30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4"/>
        <v>-3</v>
      </c>
      <c r="K68" s="17">
        <f t="shared" si="5"/>
        <v>-30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4"/>
        <v>-3</v>
      </c>
      <c r="K69" s="17">
        <f t="shared" si="5"/>
        <v>-30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4"/>
        <v>-4</v>
      </c>
      <c r="K70" s="17">
        <f t="shared" ref="K70:K133" si="8">J70*$J$2</f>
        <v>-40</v>
      </c>
      <c r="L70" s="17"/>
      <c r="M70" s="19">
        <f t="shared" ref="M70:M133" si="9">IF(I70&lt;&gt;"",K70+I70+L70,0)</f>
        <v>0</v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10">INT(LOG($H$2,2))-ROUNDUP(LOG(H71,2),0)+IF(OR($H$2=1,$H$2=2,$H$2=4,$H$2=8,$H$2=16,$H$2=32,$H$2=64,$H$2=128,$H$2=256),0,1)</f>
        <v>-4</v>
      </c>
      <c r="K71" s="17">
        <f t="shared" si="8"/>
        <v>-40</v>
      </c>
      <c r="L71" s="17"/>
      <c r="M71" s="19">
        <f t="shared" si="9"/>
        <v>0</v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10"/>
        <v>-4</v>
      </c>
      <c r="K72" s="17">
        <f t="shared" si="8"/>
        <v>-40</v>
      </c>
      <c r="L72" s="17"/>
      <c r="M72" s="19">
        <f t="shared" si="9"/>
        <v>0</v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10"/>
        <v>-4</v>
      </c>
      <c r="K73" s="17">
        <f t="shared" si="8"/>
        <v>-40</v>
      </c>
      <c r="L73" s="17"/>
      <c r="M73" s="19">
        <f t="shared" si="9"/>
        <v>0</v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10"/>
        <v>-4</v>
      </c>
      <c r="K74" s="17">
        <f t="shared" si="8"/>
        <v>-40</v>
      </c>
      <c r="L74" s="17"/>
      <c r="M74" s="19">
        <f t="shared" si="9"/>
        <v>0</v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10"/>
        <v>-4</v>
      </c>
      <c r="K75" s="17">
        <f t="shared" si="8"/>
        <v>-40</v>
      </c>
      <c r="L75" s="17"/>
      <c r="M75" s="19">
        <f t="shared" si="9"/>
        <v>0</v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10"/>
        <v>-4</v>
      </c>
      <c r="K76" s="17">
        <f t="shared" si="8"/>
        <v>-40</v>
      </c>
      <c r="L76" s="17"/>
      <c r="M76" s="19">
        <f t="shared" si="9"/>
        <v>0</v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10"/>
        <v>-4</v>
      </c>
      <c r="K77" s="17">
        <f t="shared" si="8"/>
        <v>-40</v>
      </c>
      <c r="L77" s="17"/>
      <c r="M77" s="19">
        <f t="shared" si="9"/>
        <v>0</v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10"/>
        <v>-4</v>
      </c>
      <c r="K78" s="17">
        <f t="shared" si="8"/>
        <v>-40</v>
      </c>
      <c r="L78" s="17"/>
      <c r="M78" s="19">
        <f t="shared" si="9"/>
        <v>0</v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10"/>
        <v>-4</v>
      </c>
      <c r="K79" s="17">
        <f t="shared" si="8"/>
        <v>-40</v>
      </c>
      <c r="L79" s="17"/>
      <c r="M79" s="19">
        <f t="shared" si="9"/>
        <v>0</v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10"/>
        <v>-4</v>
      </c>
      <c r="K80" s="17">
        <f t="shared" si="8"/>
        <v>-40</v>
      </c>
      <c r="L80" s="17"/>
      <c r="M80" s="19">
        <f t="shared" si="9"/>
        <v>0</v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10"/>
        <v>-4</v>
      </c>
      <c r="K81" s="17">
        <f t="shared" si="8"/>
        <v>-40</v>
      </c>
      <c r="L81" s="17"/>
      <c r="M81" s="19">
        <f t="shared" si="9"/>
        <v>0</v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10"/>
        <v>-4</v>
      </c>
      <c r="K82" s="17">
        <f t="shared" si="8"/>
        <v>-40</v>
      </c>
      <c r="L82" s="17"/>
      <c r="M82" s="19">
        <f t="shared" si="9"/>
        <v>0</v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10"/>
        <v>-4</v>
      </c>
      <c r="K83" s="17">
        <f t="shared" si="8"/>
        <v>-40</v>
      </c>
      <c r="L83" s="17"/>
      <c r="M83" s="19">
        <f t="shared" si="9"/>
        <v>0</v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10"/>
        <v>-4</v>
      </c>
      <c r="K84" s="17">
        <f t="shared" si="8"/>
        <v>-40</v>
      </c>
      <c r="L84" s="17"/>
      <c r="M84" s="19">
        <f t="shared" si="9"/>
        <v>0</v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10"/>
        <v>-4</v>
      </c>
      <c r="K85" s="17">
        <f t="shared" si="8"/>
        <v>-40</v>
      </c>
      <c r="L85" s="17"/>
      <c r="M85" s="19">
        <f t="shared" si="9"/>
        <v>0</v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10"/>
        <v>-4</v>
      </c>
      <c r="K86" s="17">
        <f t="shared" si="8"/>
        <v>-40</v>
      </c>
      <c r="L86" s="17"/>
      <c r="M86" s="19">
        <f t="shared" si="9"/>
        <v>0</v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10"/>
        <v>-4</v>
      </c>
      <c r="K87" s="17">
        <f t="shared" si="8"/>
        <v>-40</v>
      </c>
      <c r="L87" s="17"/>
      <c r="M87" s="19">
        <f t="shared" si="9"/>
        <v>0</v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10"/>
        <v>-4</v>
      </c>
      <c r="K88" s="17">
        <f t="shared" si="8"/>
        <v>-40</v>
      </c>
      <c r="L88" s="17"/>
      <c r="M88" s="19">
        <f t="shared" si="9"/>
        <v>0</v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10"/>
        <v>-4</v>
      </c>
      <c r="K89" s="17">
        <f t="shared" si="8"/>
        <v>-40</v>
      </c>
      <c r="L89" s="17"/>
      <c r="M89" s="19">
        <f t="shared" si="9"/>
        <v>0</v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10"/>
        <v>-4</v>
      </c>
      <c r="K90" s="17">
        <f t="shared" si="8"/>
        <v>-40</v>
      </c>
      <c r="L90" s="17"/>
      <c r="M90" s="19">
        <f t="shared" si="9"/>
        <v>0</v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10"/>
        <v>-4</v>
      </c>
      <c r="K91" s="17">
        <f t="shared" si="8"/>
        <v>-40</v>
      </c>
      <c r="L91" s="17"/>
      <c r="M91" s="19">
        <f t="shared" si="9"/>
        <v>0</v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10"/>
        <v>-4</v>
      </c>
      <c r="K92" s="17">
        <f t="shared" si="8"/>
        <v>-40</v>
      </c>
      <c r="L92" s="17"/>
      <c r="M92" s="19">
        <f t="shared" si="9"/>
        <v>0</v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10"/>
        <v>-4</v>
      </c>
      <c r="K93" s="17">
        <f t="shared" si="8"/>
        <v>-40</v>
      </c>
      <c r="L93" s="17"/>
      <c r="M93" s="19">
        <f t="shared" si="9"/>
        <v>0</v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10"/>
        <v>-4</v>
      </c>
      <c r="K94" s="17">
        <f t="shared" si="8"/>
        <v>-40</v>
      </c>
      <c r="L94" s="17"/>
      <c r="M94" s="19">
        <f t="shared" si="9"/>
        <v>0</v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10"/>
        <v>-4</v>
      </c>
      <c r="K95" s="17">
        <f t="shared" si="8"/>
        <v>-40</v>
      </c>
      <c r="L95" s="17"/>
      <c r="M95" s="19">
        <f t="shared" si="9"/>
        <v>0</v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10"/>
        <v>-4</v>
      </c>
      <c r="K96" s="17">
        <f t="shared" si="8"/>
        <v>-40</v>
      </c>
      <c r="L96" s="17"/>
      <c r="M96" s="19">
        <f t="shared" si="9"/>
        <v>0</v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10"/>
        <v>-4</v>
      </c>
      <c r="K97" s="17">
        <f t="shared" si="8"/>
        <v>-40</v>
      </c>
      <c r="L97" s="17"/>
      <c r="M97" s="19">
        <f t="shared" si="9"/>
        <v>0</v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10"/>
        <v>-4</v>
      </c>
      <c r="K98" s="17">
        <f t="shared" si="8"/>
        <v>-40</v>
      </c>
      <c r="L98" s="17"/>
      <c r="M98" s="19">
        <f t="shared" si="9"/>
        <v>0</v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10"/>
        <v>-4</v>
      </c>
      <c r="K99" s="17">
        <f t="shared" si="8"/>
        <v>-40</v>
      </c>
      <c r="L99" s="17"/>
      <c r="M99" s="19">
        <f t="shared" si="9"/>
        <v>0</v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10"/>
        <v>-4</v>
      </c>
      <c r="K100" s="17">
        <f t="shared" si="8"/>
        <v>-40</v>
      </c>
      <c r="L100" s="17"/>
      <c r="M100" s="19">
        <f t="shared" si="9"/>
        <v>0</v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10"/>
        <v>-4</v>
      </c>
      <c r="K101" s="17">
        <f t="shared" si="8"/>
        <v>-40</v>
      </c>
      <c r="L101" s="17"/>
      <c r="M101" s="19">
        <f t="shared" si="9"/>
        <v>0</v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10"/>
        <v>-4</v>
      </c>
      <c r="K102" s="17">
        <f t="shared" si="8"/>
        <v>-40</v>
      </c>
      <c r="L102" s="17"/>
      <c r="M102" s="19">
        <f t="shared" si="9"/>
        <v>0</v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10"/>
        <v>-4</v>
      </c>
      <c r="K103" s="17">
        <f t="shared" si="8"/>
        <v>-40</v>
      </c>
      <c r="L103" s="17"/>
      <c r="M103" s="19">
        <f t="shared" si="9"/>
        <v>0</v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10"/>
        <v>-4</v>
      </c>
      <c r="K104" s="17">
        <f t="shared" si="8"/>
        <v>-40</v>
      </c>
      <c r="L104" s="17"/>
      <c r="M104" s="19">
        <f t="shared" si="9"/>
        <v>0</v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10"/>
        <v>-4</v>
      </c>
      <c r="K105" s="17">
        <f t="shared" si="8"/>
        <v>-40</v>
      </c>
      <c r="L105" s="17"/>
      <c r="M105" s="19">
        <f t="shared" si="9"/>
        <v>0</v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10"/>
        <v>-4</v>
      </c>
      <c r="K106" s="17">
        <f t="shared" si="8"/>
        <v>-40</v>
      </c>
      <c r="L106" s="17"/>
      <c r="M106" s="19">
        <f t="shared" si="9"/>
        <v>0</v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10"/>
        <v>-4</v>
      </c>
      <c r="K107" s="17">
        <f t="shared" si="8"/>
        <v>-40</v>
      </c>
      <c r="L107" s="17"/>
      <c r="M107" s="19">
        <f t="shared" si="9"/>
        <v>0</v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10"/>
        <v>-4</v>
      </c>
      <c r="K108" s="17">
        <f t="shared" si="8"/>
        <v>-40</v>
      </c>
      <c r="L108" s="17"/>
      <c r="M108" s="19">
        <f t="shared" si="9"/>
        <v>0</v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10"/>
        <v>-4</v>
      </c>
      <c r="K109" s="17">
        <f t="shared" si="8"/>
        <v>-40</v>
      </c>
      <c r="L109" s="17"/>
      <c r="M109" s="19">
        <f t="shared" si="9"/>
        <v>0</v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10"/>
        <v>-4</v>
      </c>
      <c r="K110" s="17">
        <f t="shared" si="8"/>
        <v>-40</v>
      </c>
      <c r="L110" s="17"/>
      <c r="M110" s="19">
        <f t="shared" si="9"/>
        <v>0</v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10"/>
        <v>-4</v>
      </c>
      <c r="K111" s="17">
        <f t="shared" si="8"/>
        <v>-40</v>
      </c>
      <c r="L111" s="17"/>
      <c r="M111" s="19">
        <f t="shared" si="9"/>
        <v>0</v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10"/>
        <v>-4</v>
      </c>
      <c r="K112" s="17">
        <f t="shared" si="8"/>
        <v>-40</v>
      </c>
      <c r="L112" s="17"/>
      <c r="M112" s="19">
        <f t="shared" si="9"/>
        <v>0</v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10"/>
        <v>-4</v>
      </c>
      <c r="K113" s="17">
        <f t="shared" si="8"/>
        <v>-40</v>
      </c>
      <c r="L113" s="17"/>
      <c r="M113" s="19">
        <f t="shared" si="9"/>
        <v>0</v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10"/>
        <v>-4</v>
      </c>
      <c r="K114" s="17">
        <f t="shared" si="8"/>
        <v>-40</v>
      </c>
      <c r="L114" s="17"/>
      <c r="M114" s="19">
        <f t="shared" si="9"/>
        <v>0</v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10"/>
        <v>-4</v>
      </c>
      <c r="K115" s="17">
        <f t="shared" si="8"/>
        <v>-40</v>
      </c>
      <c r="L115" s="17"/>
      <c r="M115" s="19">
        <f t="shared" si="9"/>
        <v>0</v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10"/>
        <v>-4</v>
      </c>
      <c r="K116" s="17">
        <f t="shared" si="8"/>
        <v>-40</v>
      </c>
      <c r="L116" s="17"/>
      <c r="M116" s="19">
        <f t="shared" si="9"/>
        <v>0</v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10"/>
        <v>-4</v>
      </c>
      <c r="K117" s="17">
        <f t="shared" si="8"/>
        <v>-40</v>
      </c>
      <c r="L117" s="17"/>
      <c r="M117" s="19">
        <f t="shared" si="9"/>
        <v>0</v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10"/>
        <v>-4</v>
      </c>
      <c r="K118" s="17">
        <f t="shared" si="8"/>
        <v>-40</v>
      </c>
      <c r="L118" s="17"/>
      <c r="M118" s="19">
        <f t="shared" si="9"/>
        <v>0</v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10"/>
        <v>-4</v>
      </c>
      <c r="K119" s="17">
        <f t="shared" si="8"/>
        <v>-40</v>
      </c>
      <c r="L119" s="17"/>
      <c r="M119" s="19">
        <f t="shared" si="9"/>
        <v>0</v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10"/>
        <v>-4</v>
      </c>
      <c r="K120" s="17">
        <f t="shared" si="8"/>
        <v>-40</v>
      </c>
      <c r="L120" s="17"/>
      <c r="M120" s="19">
        <f t="shared" si="9"/>
        <v>0</v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10"/>
        <v>-4</v>
      </c>
      <c r="K121" s="17">
        <f t="shared" si="8"/>
        <v>-40</v>
      </c>
      <c r="L121" s="17"/>
      <c r="M121" s="19">
        <f t="shared" si="9"/>
        <v>0</v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10"/>
        <v>-4</v>
      </c>
      <c r="K122" s="17">
        <f t="shared" si="8"/>
        <v>-40</v>
      </c>
      <c r="L122" s="17"/>
      <c r="M122" s="19">
        <f t="shared" si="9"/>
        <v>0</v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10"/>
        <v>-4</v>
      </c>
      <c r="K123" s="17">
        <f t="shared" si="8"/>
        <v>-40</v>
      </c>
      <c r="L123" s="17"/>
      <c r="M123" s="19">
        <f t="shared" si="9"/>
        <v>0</v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10"/>
        <v>-4</v>
      </c>
      <c r="K124" s="17">
        <f t="shared" si="8"/>
        <v>-40</v>
      </c>
      <c r="L124" s="17"/>
      <c r="M124" s="19">
        <f t="shared" si="9"/>
        <v>0</v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10"/>
        <v>-4</v>
      </c>
      <c r="K125" s="17">
        <f t="shared" si="8"/>
        <v>-40</v>
      </c>
      <c r="L125" s="17"/>
      <c r="M125" s="19">
        <f t="shared" si="9"/>
        <v>0</v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10"/>
        <v>-4</v>
      </c>
      <c r="K126" s="17">
        <f t="shared" si="8"/>
        <v>-40</v>
      </c>
      <c r="L126" s="17"/>
      <c r="M126" s="19">
        <f t="shared" si="9"/>
        <v>0</v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10"/>
        <v>-4</v>
      </c>
      <c r="K127" s="17">
        <f t="shared" si="8"/>
        <v>-40</v>
      </c>
      <c r="L127" s="17"/>
      <c r="M127" s="19">
        <f t="shared" si="9"/>
        <v>0</v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10"/>
        <v>-4</v>
      </c>
      <c r="K128" s="17">
        <f t="shared" si="8"/>
        <v>-40</v>
      </c>
      <c r="L128" s="17"/>
      <c r="M128" s="19">
        <f t="shared" si="9"/>
        <v>0</v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10"/>
        <v>-4</v>
      </c>
      <c r="K129" s="17">
        <f t="shared" si="8"/>
        <v>-40</v>
      </c>
      <c r="L129" s="17"/>
      <c r="M129" s="19">
        <f t="shared" si="9"/>
        <v>0</v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10"/>
        <v>-4</v>
      </c>
      <c r="K130" s="17">
        <f t="shared" si="8"/>
        <v>-40</v>
      </c>
      <c r="L130" s="17"/>
      <c r="M130" s="19">
        <f t="shared" si="9"/>
        <v>0</v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10"/>
        <v>-4</v>
      </c>
      <c r="K131" s="17">
        <f t="shared" si="8"/>
        <v>-40</v>
      </c>
      <c r="L131" s="17"/>
      <c r="M131" s="19">
        <f t="shared" si="9"/>
        <v>0</v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10"/>
        <v>-4</v>
      </c>
      <c r="K132" s="17">
        <f t="shared" si="8"/>
        <v>-40</v>
      </c>
      <c r="L132" s="17"/>
      <c r="M132" s="19">
        <f t="shared" si="9"/>
        <v>0</v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10"/>
        <v>-4</v>
      </c>
      <c r="K133" s="17">
        <f t="shared" si="8"/>
        <v>-40</v>
      </c>
      <c r="L133" s="17"/>
      <c r="M133" s="19">
        <f t="shared" si="9"/>
        <v>0</v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10"/>
        <v>-5</v>
      </c>
      <c r="K134" s="17">
        <f t="shared" ref="K134:K197" si="12">J134*$J$2</f>
        <v>-50</v>
      </c>
      <c r="L134" s="17"/>
      <c r="M134" s="19">
        <f t="shared" ref="M134:M197" si="13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4">INT(LOG($H$2,2))-ROUNDUP(LOG(H135,2),0)+IF(OR($H$2=1,$H$2=2,$H$2=4,$H$2=8,$H$2=16,$H$2=32,$H$2=64,$H$2=128,$H$2=256),0,1)</f>
        <v>-5</v>
      </c>
      <c r="K135" s="17">
        <f t="shared" si="12"/>
        <v>-50</v>
      </c>
      <c r="L135" s="17"/>
      <c r="M135" s="19">
        <f t="shared" si="13"/>
        <v>0</v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4"/>
        <v>-5</v>
      </c>
      <c r="K136" s="17">
        <f t="shared" si="12"/>
        <v>-50</v>
      </c>
      <c r="L136" s="17"/>
      <c r="M136" s="19">
        <f t="shared" si="13"/>
        <v>0</v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4"/>
        <v>-5</v>
      </c>
      <c r="K137" s="17">
        <f t="shared" si="12"/>
        <v>-50</v>
      </c>
      <c r="L137" s="17"/>
      <c r="M137" s="19">
        <f t="shared" si="13"/>
        <v>0</v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4"/>
        <v>-5</v>
      </c>
      <c r="K138" s="17">
        <f t="shared" si="12"/>
        <v>-50</v>
      </c>
      <c r="L138" s="17"/>
      <c r="M138" s="19">
        <f t="shared" si="13"/>
        <v>0</v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4"/>
        <v>-5</v>
      </c>
      <c r="K139" s="17">
        <f t="shared" si="12"/>
        <v>-50</v>
      </c>
      <c r="L139" s="17"/>
      <c r="M139" s="19">
        <f t="shared" si="13"/>
        <v>0</v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4"/>
        <v>-5</v>
      </c>
      <c r="K140" s="17">
        <f t="shared" si="12"/>
        <v>-50</v>
      </c>
      <c r="L140" s="17"/>
      <c r="M140" s="19">
        <f t="shared" si="13"/>
        <v>0</v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4"/>
        <v>-5</v>
      </c>
      <c r="K141" s="17">
        <f t="shared" si="12"/>
        <v>-50</v>
      </c>
      <c r="L141" s="17"/>
      <c r="M141" s="19">
        <f t="shared" si="13"/>
        <v>0</v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4"/>
        <v>-5</v>
      </c>
      <c r="K142" s="17">
        <f t="shared" si="12"/>
        <v>-50</v>
      </c>
      <c r="L142" s="17"/>
      <c r="M142" s="19">
        <f t="shared" si="13"/>
        <v>0</v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4"/>
        <v>-5</v>
      </c>
      <c r="K143" s="17">
        <f t="shared" si="12"/>
        <v>-50</v>
      </c>
      <c r="L143" s="17"/>
      <c r="M143" s="19">
        <f t="shared" si="13"/>
        <v>0</v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4"/>
        <v>-5</v>
      </c>
      <c r="K144" s="17">
        <f t="shared" si="12"/>
        <v>-50</v>
      </c>
      <c r="L144" s="17"/>
      <c r="M144" s="19">
        <f t="shared" si="13"/>
        <v>0</v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4"/>
        <v>-5</v>
      </c>
      <c r="K145" s="17">
        <f t="shared" si="12"/>
        <v>-50</v>
      </c>
      <c r="L145" s="17"/>
      <c r="M145" s="19">
        <f t="shared" si="13"/>
        <v>0</v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4"/>
        <v>-5</v>
      </c>
      <c r="K146" s="17">
        <f t="shared" si="12"/>
        <v>-50</v>
      </c>
      <c r="L146" s="17"/>
      <c r="M146" s="19">
        <f t="shared" si="13"/>
        <v>0</v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4"/>
        <v>-5</v>
      </c>
      <c r="K147" s="17">
        <f t="shared" si="12"/>
        <v>-50</v>
      </c>
      <c r="L147" s="17"/>
      <c r="M147" s="19">
        <f t="shared" si="13"/>
        <v>0</v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4"/>
        <v>-5</v>
      </c>
      <c r="K148" s="17">
        <f t="shared" si="12"/>
        <v>-50</v>
      </c>
      <c r="L148" s="17"/>
      <c r="M148" s="19">
        <f t="shared" si="13"/>
        <v>0</v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4"/>
        <v>-5</v>
      </c>
      <c r="K149" s="17">
        <f t="shared" si="12"/>
        <v>-50</v>
      </c>
      <c r="L149" s="17"/>
      <c r="M149" s="19">
        <f t="shared" si="13"/>
        <v>0</v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4"/>
        <v>-5</v>
      </c>
      <c r="K150" s="17">
        <f t="shared" si="12"/>
        <v>-50</v>
      </c>
      <c r="L150" s="17"/>
      <c r="M150" s="19">
        <f t="shared" si="13"/>
        <v>0</v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4"/>
        <v>-5</v>
      </c>
      <c r="K151" s="17">
        <f t="shared" si="12"/>
        <v>-50</v>
      </c>
      <c r="L151" s="17"/>
      <c r="M151" s="19">
        <f t="shared" si="13"/>
        <v>0</v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4"/>
        <v>-5</v>
      </c>
      <c r="K152" s="17">
        <f t="shared" si="12"/>
        <v>-50</v>
      </c>
      <c r="L152" s="17"/>
      <c r="M152" s="19">
        <f t="shared" si="13"/>
        <v>0</v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4"/>
        <v>-5</v>
      </c>
      <c r="K153" s="17">
        <f t="shared" si="12"/>
        <v>-50</v>
      </c>
      <c r="L153" s="17"/>
      <c r="M153" s="19">
        <f t="shared" si="13"/>
        <v>0</v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4"/>
        <v>-5</v>
      </c>
      <c r="K154" s="17">
        <f t="shared" si="12"/>
        <v>-50</v>
      </c>
      <c r="L154" s="17"/>
      <c r="M154" s="19">
        <f t="shared" si="13"/>
        <v>0</v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4"/>
        <v>-5</v>
      </c>
      <c r="K155" s="17">
        <f t="shared" si="12"/>
        <v>-50</v>
      </c>
      <c r="L155" s="17"/>
      <c r="M155" s="19">
        <f t="shared" si="13"/>
        <v>0</v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4"/>
        <v>-5</v>
      </c>
      <c r="K156" s="17">
        <f t="shared" si="12"/>
        <v>-50</v>
      </c>
      <c r="L156" s="17"/>
      <c r="M156" s="19">
        <f t="shared" si="13"/>
        <v>0</v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4"/>
        <v>-5</v>
      </c>
      <c r="K157" s="17">
        <f t="shared" si="12"/>
        <v>-50</v>
      </c>
      <c r="L157" s="17"/>
      <c r="M157" s="19">
        <f t="shared" si="13"/>
        <v>0</v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4"/>
        <v>-5</v>
      </c>
      <c r="K158" s="17">
        <f t="shared" si="12"/>
        <v>-50</v>
      </c>
      <c r="L158" s="17"/>
      <c r="M158" s="19">
        <f t="shared" si="13"/>
        <v>0</v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4"/>
        <v>-5</v>
      </c>
      <c r="K159" s="17">
        <f t="shared" si="12"/>
        <v>-50</v>
      </c>
      <c r="L159" s="17"/>
      <c r="M159" s="19">
        <f t="shared" si="13"/>
        <v>0</v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4"/>
        <v>-5</v>
      </c>
      <c r="K160" s="17">
        <f t="shared" si="12"/>
        <v>-50</v>
      </c>
      <c r="L160" s="17"/>
      <c r="M160" s="19">
        <f t="shared" si="13"/>
        <v>0</v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4"/>
        <v>-5</v>
      </c>
      <c r="K161" s="17">
        <f t="shared" si="12"/>
        <v>-50</v>
      </c>
      <c r="L161" s="17"/>
      <c r="M161" s="19">
        <f t="shared" si="13"/>
        <v>0</v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4"/>
        <v>-5</v>
      </c>
      <c r="K162" s="17">
        <f t="shared" si="12"/>
        <v>-50</v>
      </c>
      <c r="L162" s="17"/>
      <c r="M162" s="19">
        <f t="shared" si="13"/>
        <v>0</v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4"/>
        <v>-5</v>
      </c>
      <c r="K163" s="17">
        <f t="shared" si="12"/>
        <v>-50</v>
      </c>
      <c r="L163" s="17"/>
      <c r="M163" s="19">
        <f t="shared" si="13"/>
        <v>0</v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4"/>
        <v>-5</v>
      </c>
      <c r="K164" s="17">
        <f t="shared" si="12"/>
        <v>-50</v>
      </c>
      <c r="L164" s="17"/>
      <c r="M164" s="19">
        <f t="shared" si="13"/>
        <v>0</v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4"/>
        <v>-5</v>
      </c>
      <c r="K165" s="17">
        <f t="shared" si="12"/>
        <v>-50</v>
      </c>
      <c r="L165" s="17"/>
      <c r="M165" s="19">
        <f t="shared" si="13"/>
        <v>0</v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4"/>
        <v>-5</v>
      </c>
      <c r="K166" s="17">
        <f t="shared" si="12"/>
        <v>-50</v>
      </c>
      <c r="L166" s="17"/>
      <c r="M166" s="19">
        <f t="shared" si="13"/>
        <v>0</v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4"/>
        <v>-5</v>
      </c>
      <c r="K167" s="17">
        <f t="shared" si="12"/>
        <v>-50</v>
      </c>
      <c r="L167" s="17"/>
      <c r="M167" s="19">
        <f t="shared" si="13"/>
        <v>0</v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4"/>
        <v>-5</v>
      </c>
      <c r="K168" s="17">
        <f t="shared" si="12"/>
        <v>-50</v>
      </c>
      <c r="L168" s="17"/>
      <c r="M168" s="19">
        <f t="shared" si="13"/>
        <v>0</v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4"/>
        <v>-5</v>
      </c>
      <c r="K169" s="17">
        <f t="shared" si="12"/>
        <v>-50</v>
      </c>
      <c r="L169" s="17"/>
      <c r="M169" s="19">
        <f t="shared" si="13"/>
        <v>0</v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4"/>
        <v>-5</v>
      </c>
      <c r="K170" s="17">
        <f t="shared" si="12"/>
        <v>-50</v>
      </c>
      <c r="L170" s="17"/>
      <c r="M170" s="19">
        <f t="shared" si="13"/>
        <v>0</v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4"/>
        <v>-5</v>
      </c>
      <c r="K171" s="17">
        <f t="shared" si="12"/>
        <v>-50</v>
      </c>
      <c r="L171" s="17"/>
      <c r="M171" s="19">
        <f t="shared" si="13"/>
        <v>0</v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4"/>
        <v>-5</v>
      </c>
      <c r="K172" s="17">
        <f t="shared" si="12"/>
        <v>-50</v>
      </c>
      <c r="L172" s="17"/>
      <c r="M172" s="19">
        <f t="shared" si="13"/>
        <v>0</v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4"/>
        <v>-5</v>
      </c>
      <c r="K173" s="17">
        <f t="shared" si="12"/>
        <v>-50</v>
      </c>
      <c r="L173" s="17"/>
      <c r="M173" s="19">
        <f t="shared" si="13"/>
        <v>0</v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4"/>
        <v>-5</v>
      </c>
      <c r="K174" s="17">
        <f t="shared" si="12"/>
        <v>-50</v>
      </c>
      <c r="L174" s="17"/>
      <c r="M174" s="19">
        <f t="shared" si="13"/>
        <v>0</v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4"/>
        <v>-5</v>
      </c>
      <c r="K175" s="17">
        <f t="shared" si="12"/>
        <v>-50</v>
      </c>
      <c r="L175" s="17"/>
      <c r="M175" s="19">
        <f t="shared" si="13"/>
        <v>0</v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4"/>
        <v>-5</v>
      </c>
      <c r="K176" s="17">
        <f t="shared" si="12"/>
        <v>-50</v>
      </c>
      <c r="L176" s="17"/>
      <c r="M176" s="19">
        <f t="shared" si="13"/>
        <v>0</v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4"/>
        <v>-5</v>
      </c>
      <c r="K177" s="17">
        <f t="shared" si="12"/>
        <v>-50</v>
      </c>
      <c r="L177" s="17"/>
      <c r="M177" s="19">
        <f t="shared" si="13"/>
        <v>0</v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4"/>
        <v>-5</v>
      </c>
      <c r="K178" s="17">
        <f t="shared" si="12"/>
        <v>-50</v>
      </c>
      <c r="L178" s="17"/>
      <c r="M178" s="19">
        <f t="shared" si="13"/>
        <v>0</v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4"/>
        <v>-5</v>
      </c>
      <c r="K179" s="17">
        <f t="shared" si="12"/>
        <v>-50</v>
      </c>
      <c r="L179" s="17"/>
      <c r="M179" s="19">
        <f t="shared" si="13"/>
        <v>0</v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4"/>
        <v>-5</v>
      </c>
      <c r="K180" s="17">
        <f t="shared" si="12"/>
        <v>-50</v>
      </c>
      <c r="L180" s="17"/>
      <c r="M180" s="19">
        <f t="shared" si="13"/>
        <v>0</v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4"/>
        <v>-5</v>
      </c>
      <c r="K181" s="17">
        <f t="shared" si="12"/>
        <v>-50</v>
      </c>
      <c r="L181" s="17"/>
      <c r="M181" s="19">
        <f t="shared" si="13"/>
        <v>0</v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4"/>
        <v>-5</v>
      </c>
      <c r="K182" s="17">
        <f t="shared" si="12"/>
        <v>-50</v>
      </c>
      <c r="L182" s="17"/>
      <c r="M182" s="19">
        <f t="shared" si="13"/>
        <v>0</v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4"/>
        <v>-5</v>
      </c>
      <c r="K183" s="17">
        <f t="shared" si="12"/>
        <v>-50</v>
      </c>
      <c r="L183" s="17"/>
      <c r="M183" s="19">
        <f t="shared" si="13"/>
        <v>0</v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4"/>
        <v>-5</v>
      </c>
      <c r="K184" s="17">
        <f t="shared" si="12"/>
        <v>-50</v>
      </c>
      <c r="L184" s="17"/>
      <c r="M184" s="19">
        <f t="shared" si="13"/>
        <v>0</v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4"/>
        <v>-5</v>
      </c>
      <c r="K185" s="17">
        <f t="shared" si="12"/>
        <v>-50</v>
      </c>
      <c r="L185" s="17"/>
      <c r="M185" s="19">
        <f t="shared" si="13"/>
        <v>0</v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4"/>
        <v>-5</v>
      </c>
      <c r="K186" s="17">
        <f t="shared" si="12"/>
        <v>-50</v>
      </c>
      <c r="L186" s="17"/>
      <c r="M186" s="19">
        <f t="shared" si="13"/>
        <v>0</v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4"/>
        <v>-5</v>
      </c>
      <c r="K187" s="17">
        <f t="shared" si="12"/>
        <v>-50</v>
      </c>
      <c r="L187" s="17"/>
      <c r="M187" s="19">
        <f t="shared" si="13"/>
        <v>0</v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4"/>
        <v>-5</v>
      </c>
      <c r="K188" s="17">
        <f t="shared" si="12"/>
        <v>-50</v>
      </c>
      <c r="L188" s="17"/>
      <c r="M188" s="19">
        <f t="shared" si="13"/>
        <v>0</v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4"/>
        <v>-5</v>
      </c>
      <c r="K189" s="17">
        <f t="shared" si="12"/>
        <v>-50</v>
      </c>
      <c r="L189" s="17"/>
      <c r="M189" s="19">
        <f t="shared" si="13"/>
        <v>0</v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4"/>
        <v>-5</v>
      </c>
      <c r="K190" s="17">
        <f t="shared" si="12"/>
        <v>-50</v>
      </c>
      <c r="L190" s="17"/>
      <c r="M190" s="19">
        <f t="shared" si="13"/>
        <v>0</v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4"/>
        <v>-5</v>
      </c>
      <c r="K191" s="17">
        <f t="shared" si="12"/>
        <v>-50</v>
      </c>
      <c r="L191" s="17"/>
      <c r="M191" s="19">
        <f t="shared" si="13"/>
        <v>0</v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4"/>
        <v>-5</v>
      </c>
      <c r="K192" s="17">
        <f t="shared" si="12"/>
        <v>-50</v>
      </c>
      <c r="L192" s="17"/>
      <c r="M192" s="19">
        <f t="shared" si="13"/>
        <v>0</v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4"/>
        <v>-5</v>
      </c>
      <c r="K193" s="17">
        <f t="shared" si="12"/>
        <v>-50</v>
      </c>
      <c r="L193" s="17"/>
      <c r="M193" s="19">
        <f t="shared" si="13"/>
        <v>0</v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4"/>
        <v>-5</v>
      </c>
      <c r="K194" s="17">
        <f t="shared" si="12"/>
        <v>-50</v>
      </c>
      <c r="L194" s="17"/>
      <c r="M194" s="19">
        <f t="shared" si="13"/>
        <v>0</v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4"/>
        <v>-5</v>
      </c>
      <c r="K195" s="17">
        <f t="shared" si="12"/>
        <v>-50</v>
      </c>
      <c r="L195" s="17"/>
      <c r="M195" s="19">
        <f t="shared" si="13"/>
        <v>0</v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4"/>
        <v>-5</v>
      </c>
      <c r="K196" s="17">
        <f t="shared" si="12"/>
        <v>-50</v>
      </c>
      <c r="L196" s="17"/>
      <c r="M196" s="19">
        <f t="shared" si="13"/>
        <v>0</v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4"/>
        <v>-5</v>
      </c>
      <c r="K197" s="17">
        <f t="shared" si="12"/>
        <v>-50</v>
      </c>
      <c r="L197" s="17"/>
      <c r="M197" s="19">
        <f t="shared" si="13"/>
        <v>0</v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4"/>
        <v>-5</v>
      </c>
      <c r="K198" s="17">
        <f t="shared" ref="K198:K261" si="16">J198*$J$2</f>
        <v>-50</v>
      </c>
      <c r="L198" s="17"/>
      <c r="M198" s="19">
        <f t="shared" ref="M198:M261" si="17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8">INT(LOG($H$2,2))-ROUNDUP(LOG(H199,2),0)+IF(OR($H$2=1,$H$2=2,$H$2=4,$H$2=8,$H$2=16,$H$2=32,$H$2=64,$H$2=128,$H$2=256),0,1)</f>
        <v>-5</v>
      </c>
      <c r="K199" s="17">
        <f t="shared" si="16"/>
        <v>-50</v>
      </c>
      <c r="L199" s="17"/>
      <c r="M199" s="19">
        <f t="shared" si="17"/>
        <v>0</v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8"/>
        <v>-5</v>
      </c>
      <c r="K200" s="17">
        <f t="shared" si="16"/>
        <v>-50</v>
      </c>
      <c r="L200" s="17"/>
      <c r="M200" s="19">
        <f t="shared" si="17"/>
        <v>0</v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8"/>
        <v>-5</v>
      </c>
      <c r="K201" s="17">
        <f t="shared" si="16"/>
        <v>-50</v>
      </c>
      <c r="L201" s="17"/>
      <c r="M201" s="19">
        <f t="shared" si="17"/>
        <v>0</v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8"/>
        <v>-5</v>
      </c>
      <c r="K202" s="17">
        <f t="shared" si="16"/>
        <v>-50</v>
      </c>
      <c r="L202" s="17"/>
      <c r="M202" s="19">
        <f t="shared" si="17"/>
        <v>0</v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8"/>
        <v>-5</v>
      </c>
      <c r="K203" s="17">
        <f t="shared" si="16"/>
        <v>-50</v>
      </c>
      <c r="L203" s="17"/>
      <c r="M203" s="19">
        <f t="shared" si="17"/>
        <v>0</v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8"/>
        <v>-5</v>
      </c>
      <c r="K204" s="17">
        <f t="shared" si="16"/>
        <v>-50</v>
      </c>
      <c r="L204" s="17"/>
      <c r="M204" s="19">
        <f t="shared" si="17"/>
        <v>0</v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8"/>
        <v>-5</v>
      </c>
      <c r="K205" s="17">
        <f t="shared" si="16"/>
        <v>-50</v>
      </c>
      <c r="L205" s="17"/>
      <c r="M205" s="19">
        <f t="shared" si="17"/>
        <v>0</v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8"/>
        <v>-5</v>
      </c>
      <c r="K206" s="17">
        <f t="shared" si="16"/>
        <v>-50</v>
      </c>
      <c r="L206" s="17"/>
      <c r="M206" s="19">
        <f t="shared" si="17"/>
        <v>0</v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8"/>
        <v>-5</v>
      </c>
      <c r="K207" s="17">
        <f t="shared" si="16"/>
        <v>-50</v>
      </c>
      <c r="L207" s="17"/>
      <c r="M207" s="19">
        <f t="shared" si="17"/>
        <v>0</v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8"/>
        <v>-5</v>
      </c>
      <c r="K208" s="17">
        <f t="shared" si="16"/>
        <v>-50</v>
      </c>
      <c r="L208" s="17"/>
      <c r="M208" s="19">
        <f t="shared" si="17"/>
        <v>0</v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8"/>
        <v>-5</v>
      </c>
      <c r="K209" s="17">
        <f t="shared" si="16"/>
        <v>-50</v>
      </c>
      <c r="L209" s="17"/>
      <c r="M209" s="19">
        <f t="shared" si="17"/>
        <v>0</v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8"/>
        <v>-5</v>
      </c>
      <c r="K210" s="17">
        <f t="shared" si="16"/>
        <v>-50</v>
      </c>
      <c r="L210" s="17"/>
      <c r="M210" s="19">
        <f t="shared" si="17"/>
        <v>0</v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8"/>
        <v>-5</v>
      </c>
      <c r="K211" s="17">
        <f t="shared" si="16"/>
        <v>-50</v>
      </c>
      <c r="L211" s="17"/>
      <c r="M211" s="19">
        <f t="shared" si="17"/>
        <v>0</v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8"/>
        <v>-5</v>
      </c>
      <c r="K212" s="17">
        <f t="shared" si="16"/>
        <v>-50</v>
      </c>
      <c r="L212" s="17"/>
      <c r="M212" s="19">
        <f t="shared" si="17"/>
        <v>0</v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8"/>
        <v>-5</v>
      </c>
      <c r="K213" s="17">
        <f t="shared" si="16"/>
        <v>-50</v>
      </c>
      <c r="L213" s="17"/>
      <c r="M213" s="19">
        <f t="shared" si="17"/>
        <v>0</v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8"/>
        <v>-5</v>
      </c>
      <c r="K214" s="17">
        <f t="shared" si="16"/>
        <v>-50</v>
      </c>
      <c r="L214" s="17"/>
      <c r="M214" s="19">
        <f t="shared" si="17"/>
        <v>0</v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8"/>
        <v>-5</v>
      </c>
      <c r="K215" s="17">
        <f t="shared" si="16"/>
        <v>-50</v>
      </c>
      <c r="L215" s="17"/>
      <c r="M215" s="19">
        <f t="shared" si="17"/>
        <v>0</v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8"/>
        <v>-5</v>
      </c>
      <c r="K216" s="17">
        <f t="shared" si="16"/>
        <v>-50</v>
      </c>
      <c r="L216" s="17"/>
      <c r="M216" s="19">
        <f t="shared" si="17"/>
        <v>0</v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8"/>
        <v>-5</v>
      </c>
      <c r="K217" s="17">
        <f t="shared" si="16"/>
        <v>-50</v>
      </c>
      <c r="L217" s="17"/>
      <c r="M217" s="19">
        <f t="shared" si="17"/>
        <v>0</v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8"/>
        <v>-5</v>
      </c>
      <c r="K218" s="17">
        <f t="shared" si="16"/>
        <v>-50</v>
      </c>
      <c r="L218" s="17"/>
      <c r="M218" s="19">
        <f t="shared" si="17"/>
        <v>0</v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8"/>
        <v>-5</v>
      </c>
      <c r="K219" s="17">
        <f t="shared" si="16"/>
        <v>-50</v>
      </c>
      <c r="L219" s="17"/>
      <c r="M219" s="19">
        <f t="shared" si="17"/>
        <v>0</v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8"/>
        <v>-5</v>
      </c>
      <c r="K220" s="17">
        <f t="shared" si="16"/>
        <v>-50</v>
      </c>
      <c r="L220" s="17"/>
      <c r="M220" s="19">
        <f t="shared" si="17"/>
        <v>0</v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8"/>
        <v>-5</v>
      </c>
      <c r="K221" s="17">
        <f t="shared" si="16"/>
        <v>-50</v>
      </c>
      <c r="L221" s="17"/>
      <c r="M221" s="19">
        <f t="shared" si="17"/>
        <v>0</v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8"/>
        <v>-5</v>
      </c>
      <c r="K222" s="17">
        <f t="shared" si="16"/>
        <v>-50</v>
      </c>
      <c r="L222" s="17"/>
      <c r="M222" s="19">
        <f t="shared" si="17"/>
        <v>0</v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8"/>
        <v>-5</v>
      </c>
      <c r="K223" s="17">
        <f t="shared" si="16"/>
        <v>-50</v>
      </c>
      <c r="L223" s="17"/>
      <c r="M223" s="19">
        <f t="shared" si="17"/>
        <v>0</v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8"/>
        <v>-5</v>
      </c>
      <c r="K224" s="17">
        <f t="shared" si="16"/>
        <v>-50</v>
      </c>
      <c r="L224" s="17"/>
      <c r="M224" s="19">
        <f t="shared" si="17"/>
        <v>0</v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8"/>
        <v>-5</v>
      </c>
      <c r="K225" s="17">
        <f t="shared" si="16"/>
        <v>-50</v>
      </c>
      <c r="L225" s="17"/>
      <c r="M225" s="19">
        <f t="shared" si="17"/>
        <v>0</v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8"/>
        <v>-5</v>
      </c>
      <c r="K226" s="17">
        <f t="shared" si="16"/>
        <v>-50</v>
      </c>
      <c r="L226" s="17"/>
      <c r="M226" s="19">
        <f t="shared" si="17"/>
        <v>0</v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8"/>
        <v>-5</v>
      </c>
      <c r="K227" s="17">
        <f t="shared" si="16"/>
        <v>-50</v>
      </c>
      <c r="L227" s="17"/>
      <c r="M227" s="19">
        <f t="shared" si="17"/>
        <v>0</v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8"/>
        <v>-5</v>
      </c>
      <c r="K228" s="17">
        <f t="shared" si="16"/>
        <v>-50</v>
      </c>
      <c r="L228" s="17"/>
      <c r="M228" s="19">
        <f t="shared" si="17"/>
        <v>0</v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8"/>
        <v>-5</v>
      </c>
      <c r="K229" s="17">
        <f t="shared" si="16"/>
        <v>-50</v>
      </c>
      <c r="L229" s="17"/>
      <c r="M229" s="19">
        <f t="shared" si="17"/>
        <v>0</v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8"/>
        <v>-5</v>
      </c>
      <c r="K230" s="17">
        <f t="shared" si="16"/>
        <v>-50</v>
      </c>
      <c r="L230" s="17"/>
      <c r="M230" s="19">
        <f t="shared" si="17"/>
        <v>0</v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8"/>
        <v>-5</v>
      </c>
      <c r="K231" s="17">
        <f t="shared" si="16"/>
        <v>-50</v>
      </c>
      <c r="L231" s="17"/>
      <c r="M231" s="19">
        <f t="shared" si="17"/>
        <v>0</v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8"/>
        <v>-5</v>
      </c>
      <c r="K232" s="17">
        <f t="shared" si="16"/>
        <v>-50</v>
      </c>
      <c r="L232" s="17"/>
      <c r="M232" s="19">
        <f t="shared" si="17"/>
        <v>0</v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8"/>
        <v>-5</v>
      </c>
      <c r="K233" s="17">
        <f t="shared" si="16"/>
        <v>-50</v>
      </c>
      <c r="L233" s="17"/>
      <c r="M233" s="19">
        <f t="shared" si="17"/>
        <v>0</v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8"/>
        <v>-5</v>
      </c>
      <c r="K234" s="17">
        <f t="shared" si="16"/>
        <v>-50</v>
      </c>
      <c r="L234" s="17"/>
      <c r="M234" s="19">
        <f t="shared" si="17"/>
        <v>0</v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8"/>
        <v>-5</v>
      </c>
      <c r="K235" s="17">
        <f t="shared" si="16"/>
        <v>-50</v>
      </c>
      <c r="L235" s="17"/>
      <c r="M235" s="19">
        <f t="shared" si="17"/>
        <v>0</v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8"/>
        <v>-5</v>
      </c>
      <c r="K236" s="17">
        <f t="shared" si="16"/>
        <v>-50</v>
      </c>
      <c r="L236" s="17"/>
      <c r="M236" s="19">
        <f t="shared" si="17"/>
        <v>0</v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8"/>
        <v>-5</v>
      </c>
      <c r="K237" s="17">
        <f t="shared" si="16"/>
        <v>-50</v>
      </c>
      <c r="L237" s="17"/>
      <c r="M237" s="19">
        <f t="shared" si="17"/>
        <v>0</v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8"/>
        <v>-5</v>
      </c>
      <c r="K238" s="17">
        <f t="shared" si="16"/>
        <v>-50</v>
      </c>
      <c r="L238" s="17"/>
      <c r="M238" s="19">
        <f t="shared" si="17"/>
        <v>0</v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8"/>
        <v>-5</v>
      </c>
      <c r="K239" s="17">
        <f t="shared" si="16"/>
        <v>-50</v>
      </c>
      <c r="L239" s="17"/>
      <c r="M239" s="19">
        <f t="shared" si="17"/>
        <v>0</v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8"/>
        <v>-5</v>
      </c>
      <c r="K240" s="17">
        <f t="shared" si="16"/>
        <v>-50</v>
      </c>
      <c r="L240" s="17"/>
      <c r="M240" s="19">
        <f t="shared" si="17"/>
        <v>0</v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8"/>
        <v>-5</v>
      </c>
      <c r="K241" s="17">
        <f t="shared" si="16"/>
        <v>-50</v>
      </c>
      <c r="L241" s="17"/>
      <c r="M241" s="19">
        <f t="shared" si="17"/>
        <v>0</v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8"/>
        <v>-5</v>
      </c>
      <c r="K242" s="17">
        <f t="shared" si="16"/>
        <v>-50</v>
      </c>
      <c r="L242" s="17"/>
      <c r="M242" s="19">
        <f t="shared" si="17"/>
        <v>0</v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8"/>
        <v>-5</v>
      </c>
      <c r="K243" s="17">
        <f t="shared" si="16"/>
        <v>-50</v>
      </c>
      <c r="L243" s="17"/>
      <c r="M243" s="19">
        <f t="shared" si="17"/>
        <v>0</v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8"/>
        <v>-5</v>
      </c>
      <c r="K244" s="17">
        <f t="shared" si="16"/>
        <v>-50</v>
      </c>
      <c r="L244" s="17"/>
      <c r="M244" s="19">
        <f t="shared" si="17"/>
        <v>0</v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8"/>
        <v>-5</v>
      </c>
      <c r="K245" s="17">
        <f t="shared" si="16"/>
        <v>-50</v>
      </c>
      <c r="L245" s="17"/>
      <c r="M245" s="19">
        <f t="shared" si="17"/>
        <v>0</v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8"/>
        <v>-5</v>
      </c>
      <c r="K246" s="17">
        <f t="shared" si="16"/>
        <v>-50</v>
      </c>
      <c r="L246" s="17"/>
      <c r="M246" s="19">
        <f t="shared" si="17"/>
        <v>0</v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8"/>
        <v>-5</v>
      </c>
      <c r="K247" s="17">
        <f t="shared" si="16"/>
        <v>-50</v>
      </c>
      <c r="L247" s="17"/>
      <c r="M247" s="19">
        <f t="shared" si="17"/>
        <v>0</v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8"/>
        <v>-5</v>
      </c>
      <c r="K248" s="17">
        <f t="shared" si="16"/>
        <v>-50</v>
      </c>
      <c r="L248" s="17"/>
      <c r="M248" s="19">
        <f t="shared" si="17"/>
        <v>0</v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8"/>
        <v>-5</v>
      </c>
      <c r="K249" s="17">
        <f t="shared" si="16"/>
        <v>-50</v>
      </c>
      <c r="L249" s="17"/>
      <c r="M249" s="19">
        <f t="shared" si="17"/>
        <v>0</v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8"/>
        <v>-5</v>
      </c>
      <c r="K250" s="17">
        <f t="shared" si="16"/>
        <v>-50</v>
      </c>
      <c r="L250" s="17"/>
      <c r="M250" s="19">
        <f t="shared" si="17"/>
        <v>0</v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8"/>
        <v>-5</v>
      </c>
      <c r="K251" s="17">
        <f t="shared" si="16"/>
        <v>-50</v>
      </c>
      <c r="L251" s="17"/>
      <c r="M251" s="19">
        <f t="shared" si="17"/>
        <v>0</v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8"/>
        <v>-5</v>
      </c>
      <c r="K252" s="17">
        <f t="shared" si="16"/>
        <v>-50</v>
      </c>
      <c r="L252" s="17"/>
      <c r="M252" s="19">
        <f t="shared" si="17"/>
        <v>0</v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8"/>
        <v>-5</v>
      </c>
      <c r="K253" s="17">
        <f t="shared" si="16"/>
        <v>-50</v>
      </c>
      <c r="L253" s="17"/>
      <c r="M253" s="19">
        <f t="shared" si="17"/>
        <v>0</v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8"/>
        <v>-5</v>
      </c>
      <c r="K254" s="17">
        <f t="shared" si="16"/>
        <v>-50</v>
      </c>
      <c r="L254" s="17"/>
      <c r="M254" s="19">
        <f t="shared" si="17"/>
        <v>0</v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8"/>
        <v>-5</v>
      </c>
      <c r="K255" s="17">
        <f t="shared" si="16"/>
        <v>-50</v>
      </c>
      <c r="L255" s="17"/>
      <c r="M255" s="19">
        <f t="shared" si="17"/>
        <v>0</v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8"/>
        <v>-5</v>
      </c>
      <c r="K256" s="17">
        <f t="shared" si="16"/>
        <v>-50</v>
      </c>
      <c r="L256" s="17"/>
      <c r="M256" s="19">
        <f t="shared" si="17"/>
        <v>0</v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8"/>
        <v>-5</v>
      </c>
      <c r="K257" s="17">
        <f t="shared" si="16"/>
        <v>-50</v>
      </c>
      <c r="L257" s="17"/>
      <c r="M257" s="19">
        <f t="shared" si="17"/>
        <v>0</v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8"/>
        <v>-5</v>
      </c>
      <c r="K258" s="17">
        <f t="shared" si="16"/>
        <v>-50</v>
      </c>
      <c r="L258" s="17"/>
      <c r="M258" s="19">
        <f t="shared" si="17"/>
        <v>0</v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8"/>
        <v>-5</v>
      </c>
      <c r="K259" s="17">
        <f t="shared" si="16"/>
        <v>-50</v>
      </c>
      <c r="L259" s="17"/>
      <c r="M259" s="19">
        <f t="shared" si="17"/>
        <v>0</v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8"/>
        <v>-5</v>
      </c>
      <c r="K260" s="17">
        <f t="shared" si="16"/>
        <v>-50</v>
      </c>
      <c r="L260" s="17"/>
      <c r="M260" s="19">
        <f t="shared" si="17"/>
        <v>0</v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8"/>
        <v>-5</v>
      </c>
      <c r="K261" s="17">
        <f t="shared" si="16"/>
        <v>-50</v>
      </c>
      <c r="L261" s="17"/>
      <c r="M261" s="19">
        <f t="shared" si="17"/>
        <v>0</v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8"/>
        <v>-6</v>
      </c>
      <c r="K262" s="17">
        <f t="shared" ref="K262:K305" si="20">J262*$J$2</f>
        <v>-60</v>
      </c>
      <c r="L262" s="17"/>
      <c r="M262" s="19">
        <f t="shared" ref="M262:M305" si="21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2">INT(LOG($H$2,2))-ROUNDUP(LOG(H263,2),0)+IF(OR($H$2=1,$H$2=2,$H$2=4,$H$2=8,$H$2=16,$H$2=32,$H$2=64,$H$2=128,$H$2=256),0,1)</f>
        <v>-6</v>
      </c>
      <c r="K263" s="17">
        <f t="shared" si="20"/>
        <v>-60</v>
      </c>
      <c r="L263" s="17"/>
      <c r="M263" s="19">
        <f t="shared" si="21"/>
        <v>0</v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2"/>
        <v>-6</v>
      </c>
      <c r="K264" s="17">
        <f t="shared" si="20"/>
        <v>-60</v>
      </c>
      <c r="L264" s="17"/>
      <c r="M264" s="19">
        <f t="shared" si="21"/>
        <v>0</v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2"/>
        <v>-6</v>
      </c>
      <c r="K265" s="17">
        <f t="shared" si="20"/>
        <v>-60</v>
      </c>
      <c r="L265" s="17"/>
      <c r="M265" s="19">
        <f t="shared" si="21"/>
        <v>0</v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2"/>
        <v>-6</v>
      </c>
      <c r="K266" s="17">
        <f t="shared" si="20"/>
        <v>-60</v>
      </c>
      <c r="L266" s="17"/>
      <c r="M266" s="19">
        <f t="shared" si="21"/>
        <v>0</v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2"/>
        <v>-6</v>
      </c>
      <c r="K267" s="17">
        <f t="shared" si="20"/>
        <v>-60</v>
      </c>
      <c r="L267" s="17"/>
      <c r="M267" s="19">
        <f t="shared" si="21"/>
        <v>0</v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2"/>
        <v>-6</v>
      </c>
      <c r="K268" s="17">
        <f t="shared" si="20"/>
        <v>-60</v>
      </c>
      <c r="L268" s="17"/>
      <c r="M268" s="19">
        <f t="shared" si="21"/>
        <v>0</v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2"/>
        <v>-6</v>
      </c>
      <c r="K269" s="17">
        <f t="shared" si="20"/>
        <v>-60</v>
      </c>
      <c r="L269" s="17"/>
      <c r="M269" s="19">
        <f t="shared" si="21"/>
        <v>0</v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2"/>
        <v>-6</v>
      </c>
      <c r="K270" s="17">
        <f t="shared" si="20"/>
        <v>-60</v>
      </c>
      <c r="L270" s="17"/>
      <c r="M270" s="19">
        <f t="shared" si="21"/>
        <v>0</v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2"/>
        <v>-6</v>
      </c>
      <c r="K271" s="17">
        <f t="shared" si="20"/>
        <v>-60</v>
      </c>
      <c r="L271" s="17"/>
      <c r="M271" s="19">
        <f t="shared" si="21"/>
        <v>0</v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2"/>
        <v>-6</v>
      </c>
      <c r="K272" s="17">
        <f t="shared" si="20"/>
        <v>-60</v>
      </c>
      <c r="L272" s="17"/>
      <c r="M272" s="19">
        <f t="shared" si="21"/>
        <v>0</v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2"/>
        <v>-6</v>
      </c>
      <c r="K273" s="17">
        <f t="shared" si="20"/>
        <v>-60</v>
      </c>
      <c r="L273" s="17"/>
      <c r="M273" s="19">
        <f t="shared" si="21"/>
        <v>0</v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2"/>
        <v>-6</v>
      </c>
      <c r="K274" s="17">
        <f t="shared" si="20"/>
        <v>-60</v>
      </c>
      <c r="L274" s="17"/>
      <c r="M274" s="19">
        <f t="shared" si="21"/>
        <v>0</v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2"/>
        <v>-6</v>
      </c>
      <c r="K275" s="17">
        <f t="shared" si="20"/>
        <v>-60</v>
      </c>
      <c r="L275" s="17"/>
      <c r="M275" s="19">
        <f t="shared" si="21"/>
        <v>0</v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2"/>
        <v>-6</v>
      </c>
      <c r="K276" s="17">
        <f t="shared" si="20"/>
        <v>-60</v>
      </c>
      <c r="L276" s="17"/>
      <c r="M276" s="19">
        <f t="shared" si="21"/>
        <v>0</v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2"/>
        <v>-6</v>
      </c>
      <c r="K277" s="17">
        <f t="shared" si="20"/>
        <v>-60</v>
      </c>
      <c r="L277" s="17"/>
      <c r="M277" s="19">
        <f t="shared" si="21"/>
        <v>0</v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2"/>
        <v>-6</v>
      </c>
      <c r="K278" s="17">
        <f t="shared" si="20"/>
        <v>-60</v>
      </c>
      <c r="L278" s="17"/>
      <c r="M278" s="19">
        <f t="shared" si="21"/>
        <v>0</v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2"/>
        <v>-6</v>
      </c>
      <c r="K279" s="17">
        <f t="shared" si="20"/>
        <v>-60</v>
      </c>
      <c r="L279" s="17"/>
      <c r="M279" s="19">
        <f t="shared" si="21"/>
        <v>0</v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2"/>
        <v>-6</v>
      </c>
      <c r="K280" s="17">
        <f t="shared" si="20"/>
        <v>-60</v>
      </c>
      <c r="L280" s="17"/>
      <c r="M280" s="19">
        <f t="shared" si="21"/>
        <v>0</v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2"/>
        <v>-6</v>
      </c>
      <c r="K281" s="17">
        <f t="shared" si="20"/>
        <v>-60</v>
      </c>
      <c r="L281" s="17"/>
      <c r="M281" s="19">
        <f t="shared" si="21"/>
        <v>0</v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2"/>
        <v>-6</v>
      </c>
      <c r="K282" s="17">
        <f t="shared" si="20"/>
        <v>-60</v>
      </c>
      <c r="L282" s="17"/>
      <c r="M282" s="19">
        <f t="shared" si="21"/>
        <v>0</v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2"/>
        <v>-6</v>
      </c>
      <c r="K283" s="17">
        <f t="shared" si="20"/>
        <v>-60</v>
      </c>
      <c r="L283" s="17"/>
      <c r="M283" s="19">
        <f t="shared" si="21"/>
        <v>0</v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2"/>
        <v>-6</v>
      </c>
      <c r="K284" s="17">
        <f t="shared" si="20"/>
        <v>-60</v>
      </c>
      <c r="L284" s="17"/>
      <c r="M284" s="19">
        <f t="shared" si="21"/>
        <v>0</v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2"/>
        <v>-6</v>
      </c>
      <c r="K285" s="17">
        <f t="shared" si="20"/>
        <v>-60</v>
      </c>
      <c r="L285" s="17"/>
      <c r="M285" s="19">
        <f t="shared" si="21"/>
        <v>0</v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2"/>
        <v>-6</v>
      </c>
      <c r="K286" s="17">
        <f t="shared" si="20"/>
        <v>-60</v>
      </c>
      <c r="L286" s="17"/>
      <c r="M286" s="19">
        <f t="shared" si="21"/>
        <v>0</v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2"/>
        <v>-6</v>
      </c>
      <c r="K287" s="17">
        <f t="shared" si="20"/>
        <v>-60</v>
      </c>
      <c r="L287" s="17"/>
      <c r="M287" s="19">
        <f t="shared" si="21"/>
        <v>0</v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2"/>
        <v>-6</v>
      </c>
      <c r="K288" s="17">
        <f t="shared" si="20"/>
        <v>-60</v>
      </c>
      <c r="L288" s="17"/>
      <c r="M288" s="19">
        <f t="shared" si="21"/>
        <v>0</v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2"/>
        <v>-6</v>
      </c>
      <c r="K289" s="17">
        <f t="shared" si="20"/>
        <v>-60</v>
      </c>
      <c r="L289" s="17"/>
      <c r="M289" s="19">
        <f t="shared" si="21"/>
        <v>0</v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2"/>
        <v>-6</v>
      </c>
      <c r="K290" s="17">
        <f t="shared" si="20"/>
        <v>-60</v>
      </c>
      <c r="L290" s="17"/>
      <c r="M290" s="19">
        <f t="shared" si="21"/>
        <v>0</v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2"/>
        <v>-6</v>
      </c>
      <c r="K291" s="17">
        <f t="shared" si="20"/>
        <v>-60</v>
      </c>
      <c r="L291" s="17"/>
      <c r="M291" s="19">
        <f t="shared" si="21"/>
        <v>0</v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2"/>
        <v>-6</v>
      </c>
      <c r="K292" s="17">
        <f t="shared" si="20"/>
        <v>-60</v>
      </c>
      <c r="L292" s="17"/>
      <c r="M292" s="19">
        <f t="shared" si="21"/>
        <v>0</v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2"/>
        <v>-6</v>
      </c>
      <c r="K293" s="17">
        <f t="shared" si="20"/>
        <v>-60</v>
      </c>
      <c r="L293" s="17"/>
      <c r="M293" s="19">
        <f t="shared" si="21"/>
        <v>0</v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2"/>
        <v>-6</v>
      </c>
      <c r="K294" s="17">
        <f t="shared" si="20"/>
        <v>-60</v>
      </c>
      <c r="L294" s="17"/>
      <c r="M294" s="19">
        <f t="shared" si="21"/>
        <v>0</v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2"/>
        <v>-6</v>
      </c>
      <c r="K295" s="17">
        <f t="shared" si="20"/>
        <v>-60</v>
      </c>
      <c r="L295" s="17"/>
      <c r="M295" s="19">
        <f t="shared" si="21"/>
        <v>0</v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2"/>
        <v>-6</v>
      </c>
      <c r="K296" s="17">
        <f t="shared" si="20"/>
        <v>-60</v>
      </c>
      <c r="L296" s="17"/>
      <c r="M296" s="19">
        <f t="shared" si="21"/>
        <v>0</v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2"/>
        <v>-6</v>
      </c>
      <c r="K297" s="17">
        <f t="shared" si="20"/>
        <v>-60</v>
      </c>
      <c r="L297" s="17"/>
      <c r="M297" s="19">
        <f t="shared" si="21"/>
        <v>0</v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2"/>
        <v>-6</v>
      </c>
      <c r="K298" s="17">
        <f t="shared" si="20"/>
        <v>-60</v>
      </c>
      <c r="L298" s="17"/>
      <c r="M298" s="19">
        <f t="shared" si="21"/>
        <v>0</v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2"/>
        <v>-6</v>
      </c>
      <c r="K299" s="17">
        <f t="shared" si="20"/>
        <v>-60</v>
      </c>
      <c r="L299" s="17"/>
      <c r="M299" s="19">
        <f t="shared" si="21"/>
        <v>0</v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2"/>
        <v>-6</v>
      </c>
      <c r="K300" s="17">
        <f t="shared" si="20"/>
        <v>-60</v>
      </c>
      <c r="L300" s="17"/>
      <c r="M300" s="19">
        <f t="shared" si="21"/>
        <v>0</v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2"/>
        <v>-6</v>
      </c>
      <c r="K301" s="17">
        <f t="shared" si="20"/>
        <v>-60</v>
      </c>
      <c r="L301" s="17"/>
      <c r="M301" s="19">
        <f t="shared" si="21"/>
        <v>0</v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2"/>
        <v>-6</v>
      </c>
      <c r="K302" s="17">
        <f t="shared" si="20"/>
        <v>-60</v>
      </c>
      <c r="L302" s="17"/>
      <c r="M302" s="19">
        <f t="shared" si="21"/>
        <v>0</v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2"/>
        <v>-6</v>
      </c>
      <c r="K303" s="17">
        <f t="shared" si="20"/>
        <v>-60</v>
      </c>
      <c r="L303" s="17"/>
      <c r="M303" s="19">
        <f t="shared" si="21"/>
        <v>0</v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2"/>
        <v>-6</v>
      </c>
      <c r="K304" s="17">
        <f t="shared" si="20"/>
        <v>-60</v>
      </c>
      <c r="L304" s="17"/>
      <c r="M304" s="19">
        <f t="shared" si="21"/>
        <v>0</v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2"/>
        <v>-6</v>
      </c>
      <c r="K305" s="17">
        <f t="shared" si="20"/>
        <v>-60</v>
      </c>
      <c r="L305" s="17"/>
      <c r="M305" s="19">
        <f t="shared" si="21"/>
        <v>0</v>
      </c>
    </row>
    <row r="306" spans="1:16">
      <c r="A306" s="4"/>
      <c r="J306" s="20" t="e">
        <f t="shared" si="22"/>
        <v>#NUM!</v>
      </c>
    </row>
    <row r="307" spans="1:16">
      <c r="J307" s="20" t="e">
        <f t="shared" si="22"/>
        <v>#NUM!</v>
      </c>
    </row>
    <row r="308" spans="1:16">
      <c r="J308" s="20" t="e">
        <f t="shared" si="22"/>
        <v>#NUM!</v>
      </c>
    </row>
    <row r="309" spans="1:16">
      <c r="J309" s="20" t="e">
        <f t="shared" si="22"/>
        <v>#NUM!</v>
      </c>
    </row>
    <row r="310" spans="1:16">
      <c r="J310" s="20" t="e">
        <f t="shared" si="22"/>
        <v>#NUM!</v>
      </c>
    </row>
    <row r="311" spans="1:16">
      <c r="J311" s="20" t="e">
        <f t="shared" si="22"/>
        <v>#NUM!</v>
      </c>
    </row>
    <row r="312" spans="1:16">
      <c r="J312" s="20" t="e">
        <f t="shared" si="22"/>
        <v>#NUM!</v>
      </c>
    </row>
    <row r="313" spans="1:16">
      <c r="J313" s="20" t="e">
        <f t="shared" si="22"/>
        <v>#NUM!</v>
      </c>
    </row>
    <row r="314" spans="1:16">
      <c r="J314" s="20" t="e">
        <f t="shared" si="22"/>
        <v>#NUM!</v>
      </c>
      <c r="L314" s="21"/>
      <c r="P314" s="49"/>
    </row>
    <row r="315" spans="1:16">
      <c r="J315" s="20" t="e">
        <f t="shared" si="22"/>
        <v>#NUM!</v>
      </c>
      <c r="L315" s="21"/>
      <c r="P315" s="49"/>
    </row>
    <row r="316" spans="1:16">
      <c r="J316" s="20" t="e">
        <f t="shared" si="22"/>
        <v>#NUM!</v>
      </c>
      <c r="L316" s="21"/>
      <c r="P316" s="49"/>
    </row>
    <row r="317" spans="1:16">
      <c r="J317" s="20" t="e">
        <f t="shared" si="22"/>
        <v>#NUM!</v>
      </c>
      <c r="L317" s="21"/>
      <c r="P317" s="49"/>
    </row>
    <row r="318" spans="1:16">
      <c r="J318" s="20" t="e">
        <f t="shared" si="22"/>
        <v>#NUM!</v>
      </c>
    </row>
    <row r="319" spans="1:16">
      <c r="J319" s="20" t="e">
        <f t="shared" si="22"/>
        <v>#NUM!</v>
      </c>
    </row>
    <row r="320" spans="1:16">
      <c r="J320" s="20" t="e">
        <f t="shared" si="22"/>
        <v>#NUM!</v>
      </c>
    </row>
    <row r="321" spans="10:10">
      <c r="J321" s="20" t="e">
        <f t="shared" si="22"/>
        <v>#NUM!</v>
      </c>
    </row>
    <row r="322" spans="10:10">
      <c r="J322" s="20" t="e">
        <f t="shared" si="22"/>
        <v>#NUM!</v>
      </c>
    </row>
    <row r="323" spans="10:10">
      <c r="J323" s="20" t="e">
        <f t="shared" si="22"/>
        <v>#NUM!</v>
      </c>
    </row>
    <row r="324" spans="10:10">
      <c r="J324" s="20" t="e">
        <f t="shared" si="22"/>
        <v>#NUM!</v>
      </c>
    </row>
    <row r="325" spans="10:10">
      <c r="J325" s="20" t="e">
        <f t="shared" si="22"/>
        <v>#NUM!</v>
      </c>
    </row>
    <row r="326" spans="10:10">
      <c r="J326" s="20" t="e">
        <f t="shared" si="22"/>
        <v>#NUM!</v>
      </c>
    </row>
    <row r="327" spans="10:10">
      <c r="J327" s="20" t="e">
        <f t="shared" ref="J327:J390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  <row r="375" spans="10:10">
      <c r="J375" s="20" t="e">
        <f t="shared" si="23"/>
        <v>#NUM!</v>
      </c>
    </row>
    <row r="376" spans="10:10">
      <c r="J376" s="20" t="e">
        <f t="shared" si="23"/>
        <v>#NUM!</v>
      </c>
    </row>
    <row r="377" spans="10:10">
      <c r="J377" s="20" t="e">
        <f t="shared" si="23"/>
        <v>#NUM!</v>
      </c>
    </row>
    <row r="378" spans="10:10">
      <c r="J378" s="20" t="e">
        <f t="shared" si="23"/>
        <v>#NUM!</v>
      </c>
    </row>
    <row r="379" spans="10:10">
      <c r="J379" s="20" t="e">
        <f t="shared" si="23"/>
        <v>#NUM!</v>
      </c>
    </row>
    <row r="380" spans="10:10">
      <c r="J380" s="20" t="e">
        <f t="shared" si="23"/>
        <v>#NUM!</v>
      </c>
    </row>
    <row r="381" spans="10:10">
      <c r="J381" s="20" t="e">
        <f t="shared" si="23"/>
        <v>#NUM!</v>
      </c>
    </row>
    <row r="382" spans="10:10">
      <c r="J382" s="20" t="e">
        <f t="shared" si="23"/>
        <v>#NUM!</v>
      </c>
    </row>
    <row r="383" spans="10:10">
      <c r="J383" s="20" t="e">
        <f t="shared" si="23"/>
        <v>#NUM!</v>
      </c>
    </row>
    <row r="384" spans="10:10">
      <c r="J384" s="20" t="e">
        <f t="shared" si="23"/>
        <v>#NUM!</v>
      </c>
    </row>
    <row r="385" spans="10:10">
      <c r="J385" s="20" t="e">
        <f t="shared" si="23"/>
        <v>#NUM!</v>
      </c>
    </row>
    <row r="386" spans="10:10">
      <c r="J386" s="20" t="e">
        <f t="shared" si="23"/>
        <v>#NUM!</v>
      </c>
    </row>
    <row r="387" spans="10:10">
      <c r="J387" s="20" t="e">
        <f t="shared" si="23"/>
        <v>#NUM!</v>
      </c>
    </row>
    <row r="388" spans="10:10">
      <c r="J388" s="20" t="e">
        <f t="shared" si="23"/>
        <v>#NUM!</v>
      </c>
    </row>
    <row r="389" spans="10:10">
      <c r="J389" s="20" t="e">
        <f t="shared" si="23"/>
        <v>#NUM!</v>
      </c>
    </row>
    <row r="390" spans="10:10">
      <c r="J390" s="20" t="e">
        <f t="shared" si="23"/>
        <v>#NUM!</v>
      </c>
    </row>
    <row r="391" spans="10:10">
      <c r="J391" s="20" t="e">
        <f t="shared" ref="J391:J454" si="24">INT(LOG($H$2,2))-ROUNDUP(LOG(H391,2),0)+IF(OR($H$2=1,$H$2=2,$H$2=4,$H$2=8,$H$2=16,$H$2=32,$H$2=64,$H$2=128,$H$2=256),0,1)</f>
        <v>#NUM!</v>
      </c>
    </row>
    <row r="392" spans="10:10">
      <c r="J392" s="20" t="e">
        <f t="shared" si="24"/>
        <v>#NUM!</v>
      </c>
    </row>
    <row r="393" spans="10:10">
      <c r="J393" s="20" t="e">
        <f t="shared" si="24"/>
        <v>#NUM!</v>
      </c>
    </row>
    <row r="394" spans="10:10">
      <c r="J394" s="20" t="e">
        <f t="shared" si="24"/>
        <v>#NUM!</v>
      </c>
    </row>
    <row r="395" spans="10:10">
      <c r="J395" s="20" t="e">
        <f t="shared" si="24"/>
        <v>#NUM!</v>
      </c>
    </row>
    <row r="396" spans="10:10">
      <c r="J396" s="20" t="e">
        <f t="shared" si="24"/>
        <v>#NUM!</v>
      </c>
    </row>
    <row r="397" spans="10:10">
      <c r="J397" s="20" t="e">
        <f t="shared" si="24"/>
        <v>#NUM!</v>
      </c>
    </row>
    <row r="398" spans="10:10">
      <c r="J398" s="20" t="e">
        <f t="shared" si="24"/>
        <v>#NUM!</v>
      </c>
    </row>
    <row r="399" spans="10:10">
      <c r="J399" s="20" t="e">
        <f t="shared" si="24"/>
        <v>#NUM!</v>
      </c>
    </row>
    <row r="400" spans="10:10">
      <c r="J400" s="20" t="e">
        <f t="shared" si="24"/>
        <v>#NUM!</v>
      </c>
    </row>
    <row r="401" spans="10:10">
      <c r="J401" s="20" t="e">
        <f t="shared" si="24"/>
        <v>#NUM!</v>
      </c>
    </row>
    <row r="402" spans="10:10">
      <c r="J402" s="20" t="e">
        <f t="shared" si="24"/>
        <v>#NUM!</v>
      </c>
    </row>
    <row r="403" spans="10:10">
      <c r="J403" s="20" t="e">
        <f t="shared" si="24"/>
        <v>#NUM!</v>
      </c>
    </row>
    <row r="404" spans="10:10">
      <c r="J404" s="20" t="e">
        <f t="shared" si="24"/>
        <v>#NUM!</v>
      </c>
    </row>
    <row r="405" spans="10:10">
      <c r="J405" s="20" t="e">
        <f t="shared" si="24"/>
        <v>#NUM!</v>
      </c>
    </row>
    <row r="406" spans="10:10">
      <c r="J406" s="20" t="e">
        <f t="shared" si="24"/>
        <v>#NUM!</v>
      </c>
    </row>
    <row r="407" spans="10:10">
      <c r="J407" s="20" t="e">
        <f t="shared" si="24"/>
        <v>#NUM!</v>
      </c>
    </row>
    <row r="408" spans="10:10">
      <c r="J408" s="20" t="e">
        <f t="shared" si="24"/>
        <v>#NUM!</v>
      </c>
    </row>
    <row r="409" spans="10:10">
      <c r="J409" s="20" t="e">
        <f t="shared" si="24"/>
        <v>#NUM!</v>
      </c>
    </row>
    <row r="410" spans="10:10">
      <c r="J410" s="20" t="e">
        <f t="shared" si="24"/>
        <v>#NUM!</v>
      </c>
    </row>
    <row r="411" spans="10:10">
      <c r="J411" s="20" t="e">
        <f t="shared" si="24"/>
        <v>#NUM!</v>
      </c>
    </row>
    <row r="412" spans="10:10">
      <c r="J412" s="20" t="e">
        <f t="shared" si="24"/>
        <v>#NUM!</v>
      </c>
    </row>
    <row r="413" spans="10:10">
      <c r="J413" s="20" t="e">
        <f t="shared" si="24"/>
        <v>#NUM!</v>
      </c>
    </row>
    <row r="414" spans="10:10">
      <c r="J414" s="20" t="e">
        <f t="shared" si="24"/>
        <v>#NUM!</v>
      </c>
    </row>
    <row r="415" spans="10:10">
      <c r="J415" s="20" t="e">
        <f t="shared" si="24"/>
        <v>#NUM!</v>
      </c>
    </row>
    <row r="416" spans="10:10">
      <c r="J416" s="20" t="e">
        <f t="shared" si="24"/>
        <v>#NUM!</v>
      </c>
    </row>
    <row r="417" spans="10:10">
      <c r="J417" s="20" t="e">
        <f t="shared" si="24"/>
        <v>#NUM!</v>
      </c>
    </row>
    <row r="418" spans="10:10">
      <c r="J418" s="20" t="e">
        <f t="shared" si="24"/>
        <v>#NUM!</v>
      </c>
    </row>
    <row r="419" spans="10:10">
      <c r="J419" s="20" t="e">
        <f t="shared" si="24"/>
        <v>#NUM!</v>
      </c>
    </row>
    <row r="420" spans="10:10">
      <c r="J420" s="20" t="e">
        <f t="shared" si="24"/>
        <v>#NUM!</v>
      </c>
    </row>
    <row r="421" spans="10:10">
      <c r="J421" s="20" t="e">
        <f t="shared" si="24"/>
        <v>#NUM!</v>
      </c>
    </row>
    <row r="422" spans="10:10">
      <c r="J422" s="20" t="e">
        <f t="shared" si="24"/>
        <v>#NUM!</v>
      </c>
    </row>
    <row r="423" spans="10:10">
      <c r="J423" s="20" t="e">
        <f t="shared" si="24"/>
        <v>#NUM!</v>
      </c>
    </row>
    <row r="424" spans="10:10">
      <c r="J424" s="20" t="e">
        <f t="shared" si="24"/>
        <v>#NUM!</v>
      </c>
    </row>
    <row r="425" spans="10:10">
      <c r="J425" s="20" t="e">
        <f t="shared" si="24"/>
        <v>#NUM!</v>
      </c>
    </row>
    <row r="426" spans="10:10">
      <c r="J426" s="20" t="e">
        <f t="shared" si="24"/>
        <v>#NUM!</v>
      </c>
    </row>
    <row r="427" spans="10:10">
      <c r="J427" s="20" t="e">
        <f t="shared" si="24"/>
        <v>#NUM!</v>
      </c>
    </row>
    <row r="428" spans="10:10">
      <c r="J428" s="20" t="e">
        <f t="shared" si="24"/>
        <v>#NUM!</v>
      </c>
    </row>
    <row r="429" spans="10:10">
      <c r="J429" s="20" t="e">
        <f t="shared" si="24"/>
        <v>#NUM!</v>
      </c>
    </row>
    <row r="430" spans="10:10">
      <c r="J430" s="20" t="e">
        <f t="shared" si="24"/>
        <v>#NUM!</v>
      </c>
    </row>
    <row r="431" spans="10:10">
      <c r="J431" s="20" t="e">
        <f t="shared" si="24"/>
        <v>#NUM!</v>
      </c>
    </row>
    <row r="432" spans="10:10">
      <c r="J432" s="20" t="e">
        <f t="shared" si="24"/>
        <v>#NUM!</v>
      </c>
    </row>
    <row r="433" spans="10:10">
      <c r="J433" s="20" t="e">
        <f t="shared" si="24"/>
        <v>#NUM!</v>
      </c>
    </row>
    <row r="434" spans="10:10">
      <c r="J434" s="20" t="e">
        <f t="shared" si="24"/>
        <v>#NUM!</v>
      </c>
    </row>
    <row r="435" spans="10:10">
      <c r="J435" s="20" t="e">
        <f t="shared" si="24"/>
        <v>#NUM!</v>
      </c>
    </row>
    <row r="436" spans="10:10">
      <c r="J436" s="20" t="e">
        <f t="shared" si="24"/>
        <v>#NUM!</v>
      </c>
    </row>
    <row r="437" spans="10:10">
      <c r="J437" s="20" t="e">
        <f t="shared" si="24"/>
        <v>#NUM!</v>
      </c>
    </row>
    <row r="438" spans="10:10">
      <c r="J438" s="20" t="e">
        <f t="shared" si="24"/>
        <v>#NUM!</v>
      </c>
    </row>
    <row r="439" spans="10:10">
      <c r="J439" s="20" t="e">
        <f t="shared" si="24"/>
        <v>#NUM!</v>
      </c>
    </row>
    <row r="440" spans="10:10">
      <c r="J440" s="20" t="e">
        <f t="shared" si="24"/>
        <v>#NUM!</v>
      </c>
    </row>
    <row r="441" spans="10:10">
      <c r="J441" s="20" t="e">
        <f t="shared" si="24"/>
        <v>#NUM!</v>
      </c>
    </row>
    <row r="442" spans="10:10">
      <c r="J442" s="20" t="e">
        <f t="shared" si="24"/>
        <v>#NUM!</v>
      </c>
    </row>
    <row r="443" spans="10:10">
      <c r="J443" s="20" t="e">
        <f t="shared" si="24"/>
        <v>#NUM!</v>
      </c>
    </row>
    <row r="444" spans="10:10">
      <c r="J444" s="20" t="e">
        <f t="shared" si="24"/>
        <v>#NUM!</v>
      </c>
    </row>
    <row r="445" spans="10:10">
      <c r="J445" s="20" t="e">
        <f t="shared" si="24"/>
        <v>#NUM!</v>
      </c>
    </row>
    <row r="446" spans="10:10">
      <c r="J446" s="20" t="e">
        <f t="shared" si="24"/>
        <v>#NUM!</v>
      </c>
    </row>
    <row r="447" spans="10:10">
      <c r="J447" s="20" t="e">
        <f t="shared" si="24"/>
        <v>#NUM!</v>
      </c>
    </row>
    <row r="448" spans="10:10">
      <c r="J448" s="20" t="e">
        <f t="shared" si="24"/>
        <v>#NUM!</v>
      </c>
    </row>
    <row r="449" spans="10:10">
      <c r="J449" s="20" t="e">
        <f t="shared" si="24"/>
        <v>#NUM!</v>
      </c>
    </row>
    <row r="450" spans="10:10">
      <c r="J450" s="20" t="e">
        <f t="shared" si="24"/>
        <v>#NUM!</v>
      </c>
    </row>
    <row r="451" spans="10:10">
      <c r="J451" s="20" t="e">
        <f t="shared" si="24"/>
        <v>#NUM!</v>
      </c>
    </row>
    <row r="452" spans="10:10">
      <c r="J452" s="20" t="e">
        <f t="shared" si="24"/>
        <v>#NUM!</v>
      </c>
    </row>
    <row r="453" spans="10:10">
      <c r="J453" s="20" t="e">
        <f t="shared" si="24"/>
        <v>#NUM!</v>
      </c>
    </row>
    <row r="454" spans="10:10">
      <c r="J454" s="20" t="e">
        <f t="shared" si="24"/>
        <v>#NUM!</v>
      </c>
    </row>
    <row r="455" spans="10:10">
      <c r="J455" s="20" t="e">
        <f t="shared" ref="J455:J518" si="25">INT(LOG($H$2,2))-ROUNDUP(LOG(H455,2),0)+IF(OR($H$2=1,$H$2=2,$H$2=4,$H$2=8,$H$2=16,$H$2=32,$H$2=64,$H$2=128,$H$2=256),0,1)</f>
        <v>#NUM!</v>
      </c>
    </row>
    <row r="456" spans="10:10">
      <c r="J456" s="20" t="e">
        <f t="shared" si="25"/>
        <v>#NUM!</v>
      </c>
    </row>
    <row r="457" spans="10:10">
      <c r="J457" s="20" t="e">
        <f t="shared" si="25"/>
        <v>#NUM!</v>
      </c>
    </row>
    <row r="458" spans="10:10">
      <c r="J458" s="20" t="e">
        <f t="shared" si="25"/>
        <v>#NUM!</v>
      </c>
    </row>
    <row r="459" spans="10:10">
      <c r="J459" s="20" t="e">
        <f t="shared" si="25"/>
        <v>#NUM!</v>
      </c>
    </row>
    <row r="460" spans="10:10">
      <c r="J460" s="20" t="e">
        <f t="shared" si="25"/>
        <v>#NUM!</v>
      </c>
    </row>
    <row r="461" spans="10:10">
      <c r="J461" s="20" t="e">
        <f t="shared" si="25"/>
        <v>#NUM!</v>
      </c>
    </row>
    <row r="462" spans="10:10">
      <c r="J462" s="20" t="e">
        <f t="shared" si="25"/>
        <v>#NUM!</v>
      </c>
    </row>
    <row r="463" spans="10:10">
      <c r="J463" s="20" t="e">
        <f t="shared" si="25"/>
        <v>#NUM!</v>
      </c>
    </row>
    <row r="464" spans="10:10">
      <c r="J464" s="20" t="e">
        <f t="shared" si="25"/>
        <v>#NUM!</v>
      </c>
    </row>
    <row r="465" spans="10:10">
      <c r="J465" s="20" t="e">
        <f t="shared" si="25"/>
        <v>#NUM!</v>
      </c>
    </row>
    <row r="466" spans="10:10">
      <c r="J466" s="20" t="e">
        <f t="shared" si="25"/>
        <v>#NUM!</v>
      </c>
    </row>
    <row r="467" spans="10:10">
      <c r="J467" s="20" t="e">
        <f t="shared" si="25"/>
        <v>#NUM!</v>
      </c>
    </row>
    <row r="468" spans="10:10">
      <c r="J468" s="20" t="e">
        <f t="shared" si="25"/>
        <v>#NUM!</v>
      </c>
    </row>
    <row r="469" spans="10:10">
      <c r="J469" s="20" t="e">
        <f t="shared" si="25"/>
        <v>#NUM!</v>
      </c>
    </row>
    <row r="470" spans="10:10">
      <c r="J470" s="20" t="e">
        <f t="shared" si="25"/>
        <v>#NUM!</v>
      </c>
    </row>
    <row r="471" spans="10:10">
      <c r="J471" s="20" t="e">
        <f t="shared" si="25"/>
        <v>#NUM!</v>
      </c>
    </row>
    <row r="472" spans="10:10">
      <c r="J472" s="20" t="e">
        <f t="shared" si="25"/>
        <v>#NUM!</v>
      </c>
    </row>
    <row r="473" spans="10:10">
      <c r="J473" s="20" t="e">
        <f t="shared" si="25"/>
        <v>#NUM!</v>
      </c>
    </row>
    <row r="474" spans="10:10">
      <c r="J474" s="20" t="e">
        <f t="shared" si="25"/>
        <v>#NUM!</v>
      </c>
    </row>
    <row r="475" spans="10:10">
      <c r="J475" s="20" t="e">
        <f t="shared" si="25"/>
        <v>#NUM!</v>
      </c>
    </row>
    <row r="476" spans="10:10">
      <c r="J476" s="20" t="e">
        <f t="shared" si="25"/>
        <v>#NUM!</v>
      </c>
    </row>
    <row r="477" spans="10:10">
      <c r="J477" s="20" t="e">
        <f t="shared" si="25"/>
        <v>#NUM!</v>
      </c>
    </row>
    <row r="478" spans="10:10">
      <c r="J478" s="20" t="e">
        <f t="shared" si="25"/>
        <v>#NUM!</v>
      </c>
    </row>
    <row r="479" spans="10:10">
      <c r="J479" s="20" t="e">
        <f t="shared" si="25"/>
        <v>#NUM!</v>
      </c>
    </row>
    <row r="480" spans="10:10">
      <c r="J480" s="20" t="e">
        <f t="shared" si="25"/>
        <v>#NUM!</v>
      </c>
    </row>
    <row r="481" spans="10:10">
      <c r="J481" s="20" t="e">
        <f t="shared" si="25"/>
        <v>#NUM!</v>
      </c>
    </row>
    <row r="482" spans="10:10">
      <c r="J482" s="20" t="e">
        <f t="shared" si="25"/>
        <v>#NUM!</v>
      </c>
    </row>
    <row r="483" spans="10:10">
      <c r="J483" s="20" t="e">
        <f t="shared" si="25"/>
        <v>#NUM!</v>
      </c>
    </row>
    <row r="484" spans="10:10">
      <c r="J484" s="20" t="e">
        <f t="shared" si="25"/>
        <v>#NUM!</v>
      </c>
    </row>
    <row r="485" spans="10:10">
      <c r="J485" s="20" t="e">
        <f t="shared" si="25"/>
        <v>#NUM!</v>
      </c>
    </row>
    <row r="486" spans="10:10">
      <c r="J486" s="20" t="e">
        <f t="shared" si="25"/>
        <v>#NUM!</v>
      </c>
    </row>
    <row r="487" spans="10:10">
      <c r="J487" s="20" t="e">
        <f t="shared" si="25"/>
        <v>#NUM!</v>
      </c>
    </row>
    <row r="488" spans="10:10">
      <c r="J488" s="20" t="e">
        <f t="shared" si="25"/>
        <v>#NUM!</v>
      </c>
    </row>
    <row r="489" spans="10:10">
      <c r="J489" s="20" t="e">
        <f t="shared" si="25"/>
        <v>#NUM!</v>
      </c>
    </row>
    <row r="490" spans="10:10">
      <c r="J490" s="20" t="e">
        <f t="shared" si="25"/>
        <v>#NUM!</v>
      </c>
    </row>
    <row r="491" spans="10:10">
      <c r="J491" s="20" t="e">
        <f t="shared" si="25"/>
        <v>#NUM!</v>
      </c>
    </row>
    <row r="492" spans="10:10">
      <c r="J492" s="20" t="e">
        <f t="shared" si="25"/>
        <v>#NUM!</v>
      </c>
    </row>
    <row r="493" spans="10:10">
      <c r="J493" s="20" t="e">
        <f t="shared" si="25"/>
        <v>#NUM!</v>
      </c>
    </row>
    <row r="494" spans="10:10">
      <c r="J494" s="20" t="e">
        <f t="shared" si="25"/>
        <v>#NUM!</v>
      </c>
    </row>
    <row r="495" spans="10:10">
      <c r="J495" s="20" t="e">
        <f t="shared" si="25"/>
        <v>#NUM!</v>
      </c>
    </row>
    <row r="496" spans="10:10">
      <c r="J496" s="20" t="e">
        <f t="shared" si="25"/>
        <v>#NUM!</v>
      </c>
    </row>
    <row r="497" spans="10:10">
      <c r="J497" s="20" t="e">
        <f t="shared" si="25"/>
        <v>#NUM!</v>
      </c>
    </row>
    <row r="498" spans="10:10">
      <c r="J498" s="20" t="e">
        <f t="shared" si="25"/>
        <v>#NUM!</v>
      </c>
    </row>
    <row r="499" spans="10:10">
      <c r="J499" s="20" t="e">
        <f t="shared" si="25"/>
        <v>#NUM!</v>
      </c>
    </row>
    <row r="500" spans="10:10">
      <c r="J500" s="20" t="e">
        <f t="shared" si="25"/>
        <v>#NUM!</v>
      </c>
    </row>
    <row r="501" spans="10:10">
      <c r="J501" s="20" t="e">
        <f t="shared" si="25"/>
        <v>#NUM!</v>
      </c>
    </row>
    <row r="502" spans="10:10">
      <c r="J502" s="20" t="e">
        <f t="shared" si="25"/>
        <v>#NUM!</v>
      </c>
    </row>
    <row r="503" spans="10:10">
      <c r="J503" s="20" t="e">
        <f t="shared" si="25"/>
        <v>#NUM!</v>
      </c>
    </row>
    <row r="504" spans="10:10">
      <c r="J504" s="20" t="e">
        <f t="shared" si="25"/>
        <v>#NUM!</v>
      </c>
    </row>
    <row r="505" spans="10:10">
      <c r="J505" s="20" t="e">
        <f t="shared" si="25"/>
        <v>#NUM!</v>
      </c>
    </row>
    <row r="506" spans="10:10">
      <c r="J506" s="20" t="e">
        <f t="shared" si="25"/>
        <v>#NUM!</v>
      </c>
    </row>
    <row r="507" spans="10:10">
      <c r="J507" s="20" t="e">
        <f t="shared" si="25"/>
        <v>#NUM!</v>
      </c>
    </row>
    <row r="508" spans="10:10">
      <c r="J508" s="20" t="e">
        <f t="shared" si="25"/>
        <v>#NUM!</v>
      </c>
    </row>
    <row r="509" spans="10:10">
      <c r="J509" s="20" t="e">
        <f t="shared" si="25"/>
        <v>#NUM!</v>
      </c>
    </row>
    <row r="510" spans="10:10">
      <c r="J510" s="20" t="e">
        <f t="shared" si="25"/>
        <v>#NUM!</v>
      </c>
    </row>
    <row r="511" spans="10:10">
      <c r="J511" s="20" t="e">
        <f t="shared" si="25"/>
        <v>#NUM!</v>
      </c>
    </row>
    <row r="512" spans="10:10">
      <c r="J512" s="20" t="e">
        <f t="shared" si="25"/>
        <v>#NUM!</v>
      </c>
    </row>
    <row r="513" spans="10:10">
      <c r="J513" s="20" t="e">
        <f t="shared" si="25"/>
        <v>#NUM!</v>
      </c>
    </row>
    <row r="514" spans="10:10">
      <c r="J514" s="20" t="e">
        <f t="shared" si="25"/>
        <v>#NUM!</v>
      </c>
    </row>
    <row r="515" spans="10:10">
      <c r="J515" s="20" t="e">
        <f t="shared" si="25"/>
        <v>#NUM!</v>
      </c>
    </row>
    <row r="516" spans="10:10">
      <c r="J516" s="20" t="e">
        <f t="shared" si="25"/>
        <v>#NUM!</v>
      </c>
    </row>
    <row r="517" spans="10:10">
      <c r="J517" s="20" t="e">
        <f t="shared" si="25"/>
        <v>#NUM!</v>
      </c>
    </row>
    <row r="518" spans="10:10">
      <c r="J518" s="20" t="e">
        <f t="shared" si="25"/>
        <v>#NUM!</v>
      </c>
    </row>
    <row r="519" spans="10:10">
      <c r="J519" s="20" t="e">
        <f t="shared" ref="J519:J582" si="26">INT(LOG($H$2,2))-ROUNDUP(LOG(H519,2),0)+IF(OR($H$2=1,$H$2=2,$H$2=4,$H$2=8,$H$2=16,$H$2=32,$H$2=64,$H$2=128,$H$2=256),0,1)</f>
        <v>#NUM!</v>
      </c>
    </row>
    <row r="520" spans="10:10">
      <c r="J520" s="20" t="e">
        <f t="shared" si="26"/>
        <v>#NUM!</v>
      </c>
    </row>
    <row r="521" spans="10:10">
      <c r="J521" s="20" t="e">
        <f t="shared" si="26"/>
        <v>#NUM!</v>
      </c>
    </row>
    <row r="522" spans="10:10">
      <c r="J522" s="20" t="e">
        <f t="shared" si="26"/>
        <v>#NUM!</v>
      </c>
    </row>
    <row r="523" spans="10:10">
      <c r="J523" s="20" t="e">
        <f t="shared" si="26"/>
        <v>#NUM!</v>
      </c>
    </row>
    <row r="524" spans="10:10">
      <c r="J524" s="20" t="e">
        <f t="shared" si="26"/>
        <v>#NUM!</v>
      </c>
    </row>
    <row r="525" spans="10:10">
      <c r="J525" s="20" t="e">
        <f t="shared" si="26"/>
        <v>#NUM!</v>
      </c>
    </row>
    <row r="526" spans="10:10">
      <c r="J526" s="20" t="e">
        <f t="shared" si="26"/>
        <v>#NUM!</v>
      </c>
    </row>
    <row r="527" spans="10:10">
      <c r="J527" s="20" t="e">
        <f t="shared" si="26"/>
        <v>#NUM!</v>
      </c>
    </row>
    <row r="528" spans="10:10">
      <c r="J528" s="20" t="e">
        <f t="shared" si="26"/>
        <v>#NUM!</v>
      </c>
    </row>
    <row r="529" spans="10:10">
      <c r="J529" s="20" t="e">
        <f t="shared" si="26"/>
        <v>#NUM!</v>
      </c>
    </row>
    <row r="530" spans="10:10">
      <c r="J530" s="20" t="e">
        <f t="shared" si="26"/>
        <v>#NUM!</v>
      </c>
    </row>
    <row r="531" spans="10:10">
      <c r="J531" s="20" t="e">
        <f t="shared" si="26"/>
        <v>#NUM!</v>
      </c>
    </row>
    <row r="532" spans="10:10">
      <c r="J532" s="20" t="e">
        <f t="shared" si="26"/>
        <v>#NUM!</v>
      </c>
    </row>
    <row r="533" spans="10:10">
      <c r="J533" s="20" t="e">
        <f t="shared" si="26"/>
        <v>#NUM!</v>
      </c>
    </row>
    <row r="534" spans="10:10">
      <c r="J534" s="20" t="e">
        <f t="shared" si="26"/>
        <v>#NUM!</v>
      </c>
    </row>
    <row r="535" spans="10:10">
      <c r="J535" s="20" t="e">
        <f t="shared" si="26"/>
        <v>#NUM!</v>
      </c>
    </row>
    <row r="536" spans="10:10">
      <c r="J536" s="20" t="e">
        <f t="shared" si="26"/>
        <v>#NUM!</v>
      </c>
    </row>
    <row r="537" spans="10:10">
      <c r="J537" s="20" t="e">
        <f t="shared" si="26"/>
        <v>#NUM!</v>
      </c>
    </row>
    <row r="538" spans="10:10">
      <c r="J538" s="20" t="e">
        <f t="shared" si="26"/>
        <v>#NUM!</v>
      </c>
    </row>
    <row r="539" spans="10:10">
      <c r="J539" s="20" t="e">
        <f t="shared" si="26"/>
        <v>#NUM!</v>
      </c>
    </row>
    <row r="540" spans="10:10">
      <c r="J540" s="20" t="e">
        <f t="shared" si="26"/>
        <v>#NUM!</v>
      </c>
    </row>
    <row r="541" spans="10:10">
      <c r="J541" s="20" t="e">
        <f t="shared" si="26"/>
        <v>#NUM!</v>
      </c>
    </row>
    <row r="542" spans="10:10">
      <c r="J542" s="20" t="e">
        <f t="shared" si="26"/>
        <v>#NUM!</v>
      </c>
    </row>
    <row r="543" spans="10:10">
      <c r="J543" s="20" t="e">
        <f t="shared" si="26"/>
        <v>#NUM!</v>
      </c>
    </row>
    <row r="544" spans="10:10">
      <c r="J544" s="20" t="e">
        <f t="shared" si="26"/>
        <v>#NUM!</v>
      </c>
    </row>
    <row r="545" spans="10:10">
      <c r="J545" s="20" t="e">
        <f t="shared" si="26"/>
        <v>#NUM!</v>
      </c>
    </row>
    <row r="546" spans="10:10">
      <c r="J546" s="20" t="e">
        <f t="shared" si="26"/>
        <v>#NUM!</v>
      </c>
    </row>
    <row r="547" spans="10:10">
      <c r="J547" s="20" t="e">
        <f t="shared" si="26"/>
        <v>#NUM!</v>
      </c>
    </row>
    <row r="548" spans="10:10">
      <c r="J548" s="20" t="e">
        <f t="shared" si="26"/>
        <v>#NUM!</v>
      </c>
    </row>
    <row r="549" spans="10:10">
      <c r="J549" s="20" t="e">
        <f t="shared" si="26"/>
        <v>#NUM!</v>
      </c>
    </row>
    <row r="550" spans="10:10">
      <c r="J550" s="20" t="e">
        <f t="shared" si="26"/>
        <v>#NUM!</v>
      </c>
    </row>
    <row r="551" spans="10:10">
      <c r="J551" s="20" t="e">
        <f t="shared" si="26"/>
        <v>#NUM!</v>
      </c>
    </row>
    <row r="552" spans="10:10">
      <c r="J552" s="20" t="e">
        <f t="shared" si="26"/>
        <v>#NUM!</v>
      </c>
    </row>
    <row r="553" spans="10:10">
      <c r="J553" s="20" t="e">
        <f t="shared" si="26"/>
        <v>#NUM!</v>
      </c>
    </row>
    <row r="554" spans="10:10">
      <c r="J554" s="20" t="e">
        <f t="shared" si="26"/>
        <v>#NUM!</v>
      </c>
    </row>
    <row r="555" spans="10:10">
      <c r="J555" s="20" t="e">
        <f t="shared" si="26"/>
        <v>#NUM!</v>
      </c>
    </row>
    <row r="556" spans="10:10">
      <c r="J556" s="20" t="e">
        <f t="shared" si="26"/>
        <v>#NUM!</v>
      </c>
    </row>
    <row r="557" spans="10:10">
      <c r="J557" s="20" t="e">
        <f t="shared" si="26"/>
        <v>#NUM!</v>
      </c>
    </row>
    <row r="558" spans="10:10">
      <c r="J558" s="20" t="e">
        <f t="shared" si="26"/>
        <v>#NUM!</v>
      </c>
    </row>
    <row r="559" spans="10:10">
      <c r="J559" s="20" t="e">
        <f t="shared" si="26"/>
        <v>#NUM!</v>
      </c>
    </row>
    <row r="560" spans="10:10">
      <c r="J560" s="20" t="e">
        <f t="shared" si="26"/>
        <v>#NUM!</v>
      </c>
    </row>
    <row r="561" spans="10:10">
      <c r="J561" s="20" t="e">
        <f t="shared" si="26"/>
        <v>#NUM!</v>
      </c>
    </row>
    <row r="562" spans="10:10">
      <c r="J562" s="20" t="e">
        <f t="shared" si="26"/>
        <v>#NUM!</v>
      </c>
    </row>
    <row r="563" spans="10:10">
      <c r="J563" s="20" t="e">
        <f t="shared" si="26"/>
        <v>#NUM!</v>
      </c>
    </row>
    <row r="564" spans="10:10">
      <c r="J564" s="20" t="e">
        <f t="shared" si="26"/>
        <v>#NUM!</v>
      </c>
    </row>
    <row r="565" spans="10:10">
      <c r="J565" s="20" t="e">
        <f t="shared" si="26"/>
        <v>#NUM!</v>
      </c>
    </row>
    <row r="566" spans="10:10">
      <c r="J566" s="20" t="e">
        <f t="shared" si="26"/>
        <v>#NUM!</v>
      </c>
    </row>
    <row r="567" spans="10:10">
      <c r="J567" s="20" t="e">
        <f t="shared" si="26"/>
        <v>#NUM!</v>
      </c>
    </row>
    <row r="568" spans="10:10">
      <c r="J568" s="20" t="e">
        <f t="shared" si="26"/>
        <v>#NUM!</v>
      </c>
    </row>
    <row r="569" spans="10:10">
      <c r="J569" s="20" t="e">
        <f t="shared" si="26"/>
        <v>#NUM!</v>
      </c>
    </row>
    <row r="570" spans="10:10">
      <c r="J570" s="20" t="e">
        <f t="shared" si="26"/>
        <v>#NUM!</v>
      </c>
    </row>
    <row r="571" spans="10:10">
      <c r="J571" s="20" t="e">
        <f t="shared" si="26"/>
        <v>#NUM!</v>
      </c>
    </row>
    <row r="572" spans="10:10">
      <c r="J572" s="20" t="e">
        <f t="shared" si="26"/>
        <v>#NUM!</v>
      </c>
    </row>
    <row r="573" spans="10:10">
      <c r="J573" s="20" t="e">
        <f t="shared" si="26"/>
        <v>#NUM!</v>
      </c>
    </row>
    <row r="574" spans="10:10">
      <c r="J574" s="20" t="e">
        <f t="shared" si="26"/>
        <v>#NUM!</v>
      </c>
    </row>
    <row r="575" spans="10:10">
      <c r="J575" s="20" t="e">
        <f t="shared" si="26"/>
        <v>#NUM!</v>
      </c>
    </row>
    <row r="576" spans="10:10">
      <c r="J576" s="20" t="e">
        <f t="shared" si="26"/>
        <v>#NUM!</v>
      </c>
    </row>
    <row r="577" spans="10:10">
      <c r="J577" s="20" t="e">
        <f t="shared" si="26"/>
        <v>#NUM!</v>
      </c>
    </row>
    <row r="578" spans="10:10">
      <c r="J578" s="20" t="e">
        <f t="shared" si="26"/>
        <v>#NUM!</v>
      </c>
    </row>
    <row r="579" spans="10:10">
      <c r="J579" s="20" t="e">
        <f t="shared" si="26"/>
        <v>#NUM!</v>
      </c>
    </row>
    <row r="580" spans="10:10">
      <c r="J580" s="20" t="e">
        <f t="shared" si="26"/>
        <v>#NUM!</v>
      </c>
    </row>
    <row r="581" spans="10:10">
      <c r="J581" s="20" t="e">
        <f t="shared" si="26"/>
        <v>#NUM!</v>
      </c>
    </row>
    <row r="582" spans="10:10">
      <c r="J582" s="20" t="e">
        <f t="shared" si="26"/>
        <v>#NUM!</v>
      </c>
    </row>
    <row r="583" spans="10:10">
      <c r="J583" s="20" t="e">
        <f t="shared" ref="J583:J646" si="27">INT(LOG($H$2,2))-ROUNDUP(LOG(H583,2),0)+IF(OR($H$2=1,$H$2=2,$H$2=4,$H$2=8,$H$2=16,$H$2=32,$H$2=64,$H$2=128,$H$2=256),0,1)</f>
        <v>#NUM!</v>
      </c>
    </row>
    <row r="584" spans="10:10">
      <c r="J584" s="20" t="e">
        <f t="shared" si="27"/>
        <v>#NUM!</v>
      </c>
    </row>
    <row r="585" spans="10:10">
      <c r="J585" s="20" t="e">
        <f t="shared" si="27"/>
        <v>#NUM!</v>
      </c>
    </row>
    <row r="586" spans="10:10">
      <c r="J586" s="20" t="e">
        <f t="shared" si="27"/>
        <v>#NUM!</v>
      </c>
    </row>
    <row r="587" spans="10:10">
      <c r="J587" s="20" t="e">
        <f t="shared" si="27"/>
        <v>#NUM!</v>
      </c>
    </row>
    <row r="588" spans="10:10">
      <c r="J588" s="20" t="e">
        <f t="shared" si="27"/>
        <v>#NUM!</v>
      </c>
    </row>
    <row r="589" spans="10:10">
      <c r="J589" s="20" t="e">
        <f t="shared" si="27"/>
        <v>#NUM!</v>
      </c>
    </row>
    <row r="590" spans="10:10">
      <c r="J590" s="20" t="e">
        <f t="shared" si="27"/>
        <v>#NUM!</v>
      </c>
    </row>
    <row r="591" spans="10:10">
      <c r="J591" s="20" t="e">
        <f t="shared" si="27"/>
        <v>#NUM!</v>
      </c>
    </row>
    <row r="592" spans="10:10">
      <c r="J592" s="20" t="e">
        <f t="shared" si="27"/>
        <v>#NUM!</v>
      </c>
    </row>
    <row r="593" spans="10:10">
      <c r="J593" s="20" t="e">
        <f t="shared" si="27"/>
        <v>#NUM!</v>
      </c>
    </row>
    <row r="594" spans="10:10">
      <c r="J594" s="20" t="e">
        <f t="shared" si="27"/>
        <v>#NUM!</v>
      </c>
    </row>
    <row r="595" spans="10:10">
      <c r="J595" s="20" t="e">
        <f t="shared" si="27"/>
        <v>#NUM!</v>
      </c>
    </row>
    <row r="596" spans="10:10">
      <c r="J596" s="20" t="e">
        <f t="shared" si="27"/>
        <v>#NUM!</v>
      </c>
    </row>
    <row r="597" spans="10:10">
      <c r="J597" s="20" t="e">
        <f t="shared" si="27"/>
        <v>#NUM!</v>
      </c>
    </row>
    <row r="598" spans="10:10">
      <c r="J598" s="20" t="e">
        <f t="shared" si="27"/>
        <v>#NUM!</v>
      </c>
    </row>
    <row r="599" spans="10:10">
      <c r="J599" s="20" t="e">
        <f t="shared" si="27"/>
        <v>#NUM!</v>
      </c>
    </row>
    <row r="600" spans="10:10">
      <c r="J600" s="20" t="e">
        <f t="shared" si="27"/>
        <v>#NUM!</v>
      </c>
    </row>
    <row r="601" spans="10:10">
      <c r="J601" s="20" t="e">
        <f t="shared" si="27"/>
        <v>#NUM!</v>
      </c>
    </row>
    <row r="602" spans="10:10">
      <c r="J602" s="20" t="e">
        <f t="shared" si="27"/>
        <v>#NUM!</v>
      </c>
    </row>
    <row r="603" spans="10:10">
      <c r="J603" s="20" t="e">
        <f t="shared" si="27"/>
        <v>#NUM!</v>
      </c>
    </row>
    <row r="604" spans="10:10">
      <c r="J604" s="20" t="e">
        <f t="shared" si="27"/>
        <v>#NUM!</v>
      </c>
    </row>
    <row r="605" spans="10:10">
      <c r="J605" s="20" t="e">
        <f t="shared" si="27"/>
        <v>#NUM!</v>
      </c>
    </row>
    <row r="606" spans="10:10">
      <c r="J606" s="20" t="e">
        <f t="shared" si="27"/>
        <v>#NUM!</v>
      </c>
    </row>
    <row r="607" spans="10:10">
      <c r="J607" s="20" t="e">
        <f t="shared" si="27"/>
        <v>#NUM!</v>
      </c>
    </row>
    <row r="608" spans="10:10">
      <c r="J608" s="20" t="e">
        <f t="shared" si="27"/>
        <v>#NUM!</v>
      </c>
    </row>
    <row r="609" spans="10:10">
      <c r="J609" s="20" t="e">
        <f t="shared" si="27"/>
        <v>#NUM!</v>
      </c>
    </row>
    <row r="610" spans="10:10">
      <c r="J610" s="20" t="e">
        <f t="shared" si="27"/>
        <v>#NUM!</v>
      </c>
    </row>
    <row r="611" spans="10:10">
      <c r="J611" s="20" t="e">
        <f t="shared" si="27"/>
        <v>#NUM!</v>
      </c>
    </row>
    <row r="612" spans="10:10">
      <c r="J612" s="20" t="e">
        <f t="shared" si="27"/>
        <v>#NUM!</v>
      </c>
    </row>
    <row r="613" spans="10:10">
      <c r="J613" s="20" t="e">
        <f t="shared" si="27"/>
        <v>#NUM!</v>
      </c>
    </row>
    <row r="614" spans="10:10">
      <c r="J614" s="20" t="e">
        <f t="shared" si="27"/>
        <v>#NUM!</v>
      </c>
    </row>
    <row r="615" spans="10:10">
      <c r="J615" s="20" t="e">
        <f t="shared" si="27"/>
        <v>#NUM!</v>
      </c>
    </row>
    <row r="616" spans="10:10">
      <c r="J616" s="20" t="e">
        <f t="shared" si="27"/>
        <v>#NUM!</v>
      </c>
    </row>
    <row r="617" spans="10:10">
      <c r="J617" s="20" t="e">
        <f t="shared" si="27"/>
        <v>#NUM!</v>
      </c>
    </row>
    <row r="618" spans="10:10">
      <c r="J618" s="20" t="e">
        <f t="shared" si="27"/>
        <v>#NUM!</v>
      </c>
    </row>
    <row r="619" spans="10:10">
      <c r="J619" s="20" t="e">
        <f t="shared" si="27"/>
        <v>#NUM!</v>
      </c>
    </row>
    <row r="620" spans="10:10">
      <c r="J620" s="20" t="e">
        <f t="shared" si="27"/>
        <v>#NUM!</v>
      </c>
    </row>
    <row r="621" spans="10:10">
      <c r="J621" s="20" t="e">
        <f t="shared" si="27"/>
        <v>#NUM!</v>
      </c>
    </row>
    <row r="622" spans="10:10">
      <c r="J622" s="20" t="e">
        <f t="shared" si="27"/>
        <v>#NUM!</v>
      </c>
    </row>
    <row r="623" spans="10:10">
      <c r="J623" s="20" t="e">
        <f t="shared" si="27"/>
        <v>#NUM!</v>
      </c>
    </row>
    <row r="624" spans="10:10">
      <c r="J624" s="20" t="e">
        <f t="shared" si="27"/>
        <v>#NUM!</v>
      </c>
    </row>
    <row r="625" spans="10:10">
      <c r="J625" s="20" t="e">
        <f t="shared" si="27"/>
        <v>#NUM!</v>
      </c>
    </row>
    <row r="626" spans="10:10">
      <c r="J626" s="20" t="e">
        <f t="shared" si="27"/>
        <v>#NUM!</v>
      </c>
    </row>
    <row r="627" spans="10:10">
      <c r="J627" s="20" t="e">
        <f t="shared" si="27"/>
        <v>#NUM!</v>
      </c>
    </row>
    <row r="628" spans="10:10">
      <c r="J628" s="20" t="e">
        <f t="shared" si="27"/>
        <v>#NUM!</v>
      </c>
    </row>
    <row r="629" spans="10:10">
      <c r="J629" s="20" t="e">
        <f t="shared" si="27"/>
        <v>#NUM!</v>
      </c>
    </row>
    <row r="630" spans="10:10">
      <c r="J630" s="20" t="e">
        <f t="shared" si="27"/>
        <v>#NUM!</v>
      </c>
    </row>
    <row r="631" spans="10:10">
      <c r="J631" s="20" t="e">
        <f t="shared" si="27"/>
        <v>#NUM!</v>
      </c>
    </row>
    <row r="632" spans="10:10">
      <c r="J632" s="20" t="e">
        <f t="shared" si="27"/>
        <v>#NUM!</v>
      </c>
    </row>
    <row r="633" spans="10:10">
      <c r="J633" s="20" t="e">
        <f t="shared" si="27"/>
        <v>#NUM!</v>
      </c>
    </row>
    <row r="634" spans="10:10">
      <c r="J634" s="20" t="e">
        <f t="shared" si="27"/>
        <v>#NUM!</v>
      </c>
    </row>
    <row r="635" spans="10:10">
      <c r="J635" s="20" t="e">
        <f t="shared" si="27"/>
        <v>#NUM!</v>
      </c>
    </row>
    <row r="636" spans="10:10">
      <c r="J636" s="20" t="e">
        <f t="shared" si="27"/>
        <v>#NUM!</v>
      </c>
    </row>
    <row r="637" spans="10:10">
      <c r="J637" s="20" t="e">
        <f t="shared" si="27"/>
        <v>#NUM!</v>
      </c>
    </row>
    <row r="638" spans="10:10">
      <c r="J638" s="20" t="e">
        <f t="shared" si="27"/>
        <v>#NUM!</v>
      </c>
    </row>
    <row r="639" spans="10:10">
      <c r="J639" s="20" t="e">
        <f t="shared" si="27"/>
        <v>#NUM!</v>
      </c>
    </row>
    <row r="640" spans="10:10">
      <c r="J640" s="20" t="e">
        <f t="shared" si="27"/>
        <v>#NUM!</v>
      </c>
    </row>
    <row r="641" spans="10:10">
      <c r="J641" s="20" t="e">
        <f t="shared" si="27"/>
        <v>#NUM!</v>
      </c>
    </row>
    <row r="642" spans="10:10">
      <c r="J642" s="20" t="e">
        <f t="shared" si="27"/>
        <v>#NUM!</v>
      </c>
    </row>
    <row r="643" spans="10:10">
      <c r="J643" s="20" t="e">
        <f t="shared" si="27"/>
        <v>#NUM!</v>
      </c>
    </row>
    <row r="644" spans="10:10">
      <c r="J644" s="20" t="e">
        <f t="shared" si="27"/>
        <v>#NUM!</v>
      </c>
    </row>
    <row r="645" spans="10:10">
      <c r="J645" s="20" t="e">
        <f t="shared" si="27"/>
        <v>#NUM!</v>
      </c>
    </row>
    <row r="646" spans="10:10">
      <c r="J646" s="20" t="e">
        <f t="shared" si="27"/>
        <v>#NUM!</v>
      </c>
    </row>
    <row r="647" spans="10:10">
      <c r="J647" s="20" t="e">
        <f t="shared" ref="J647:J710" si="28">INT(LOG($H$2,2))-ROUNDUP(LOG(H647,2),0)+IF(OR($H$2=1,$H$2=2,$H$2=4,$H$2=8,$H$2=16,$H$2=32,$H$2=64,$H$2=128,$H$2=256),0,1)</f>
        <v>#NUM!</v>
      </c>
    </row>
    <row r="648" spans="10:10">
      <c r="J648" s="20" t="e">
        <f t="shared" si="28"/>
        <v>#NUM!</v>
      </c>
    </row>
    <row r="649" spans="10:10">
      <c r="J649" s="20" t="e">
        <f t="shared" si="28"/>
        <v>#NUM!</v>
      </c>
    </row>
    <row r="650" spans="10:10">
      <c r="J650" s="20" t="e">
        <f t="shared" si="28"/>
        <v>#NUM!</v>
      </c>
    </row>
    <row r="651" spans="10:10">
      <c r="J651" s="20" t="e">
        <f t="shared" si="28"/>
        <v>#NUM!</v>
      </c>
    </row>
    <row r="652" spans="10:10">
      <c r="J652" s="20" t="e">
        <f t="shared" si="28"/>
        <v>#NUM!</v>
      </c>
    </row>
    <row r="653" spans="10:10">
      <c r="J653" s="20" t="e">
        <f t="shared" si="28"/>
        <v>#NUM!</v>
      </c>
    </row>
    <row r="654" spans="10:10">
      <c r="J654" s="20" t="e">
        <f t="shared" si="28"/>
        <v>#NUM!</v>
      </c>
    </row>
    <row r="655" spans="10:10">
      <c r="J655" s="20" t="e">
        <f t="shared" si="28"/>
        <v>#NUM!</v>
      </c>
    </row>
    <row r="656" spans="10:10">
      <c r="J656" s="20" t="e">
        <f t="shared" si="28"/>
        <v>#NUM!</v>
      </c>
    </row>
    <row r="657" spans="10:10">
      <c r="J657" s="20" t="e">
        <f t="shared" si="28"/>
        <v>#NUM!</v>
      </c>
    </row>
    <row r="658" spans="10:10">
      <c r="J658" s="20" t="e">
        <f t="shared" si="28"/>
        <v>#NUM!</v>
      </c>
    </row>
    <row r="659" spans="10:10">
      <c r="J659" s="20" t="e">
        <f t="shared" si="28"/>
        <v>#NUM!</v>
      </c>
    </row>
    <row r="660" spans="10:10">
      <c r="J660" s="20" t="e">
        <f t="shared" si="28"/>
        <v>#NUM!</v>
      </c>
    </row>
    <row r="661" spans="10:10">
      <c r="J661" s="20" t="e">
        <f t="shared" si="28"/>
        <v>#NUM!</v>
      </c>
    </row>
    <row r="662" spans="10:10">
      <c r="J662" s="20" t="e">
        <f t="shared" si="28"/>
        <v>#NUM!</v>
      </c>
    </row>
    <row r="663" spans="10:10">
      <c r="J663" s="20" t="e">
        <f t="shared" si="28"/>
        <v>#NUM!</v>
      </c>
    </row>
    <row r="664" spans="10:10">
      <c r="J664" s="20" t="e">
        <f t="shared" si="28"/>
        <v>#NUM!</v>
      </c>
    </row>
    <row r="665" spans="10:10">
      <c r="J665" s="20" t="e">
        <f t="shared" si="28"/>
        <v>#NUM!</v>
      </c>
    </row>
    <row r="666" spans="10:10">
      <c r="J666" s="20" t="e">
        <f t="shared" si="28"/>
        <v>#NUM!</v>
      </c>
    </row>
    <row r="667" spans="10:10">
      <c r="J667" s="20" t="e">
        <f t="shared" si="28"/>
        <v>#NUM!</v>
      </c>
    </row>
    <row r="668" spans="10:10">
      <c r="J668" s="20" t="e">
        <f t="shared" si="28"/>
        <v>#NUM!</v>
      </c>
    </row>
    <row r="669" spans="10:10">
      <c r="J669" s="20" t="e">
        <f t="shared" si="28"/>
        <v>#NUM!</v>
      </c>
    </row>
    <row r="670" spans="10:10">
      <c r="J670" s="20" t="e">
        <f t="shared" si="28"/>
        <v>#NUM!</v>
      </c>
    </row>
    <row r="671" spans="10:10">
      <c r="J671" s="20" t="e">
        <f t="shared" si="28"/>
        <v>#NUM!</v>
      </c>
    </row>
    <row r="672" spans="10:10">
      <c r="J672" s="20" t="e">
        <f t="shared" si="28"/>
        <v>#NUM!</v>
      </c>
    </row>
    <row r="673" spans="10:10">
      <c r="J673" s="20" t="e">
        <f t="shared" si="28"/>
        <v>#NUM!</v>
      </c>
    </row>
    <row r="674" spans="10:10">
      <c r="J674" s="20" t="e">
        <f t="shared" si="28"/>
        <v>#NUM!</v>
      </c>
    </row>
    <row r="675" spans="10:10">
      <c r="J675" s="20" t="e">
        <f t="shared" si="28"/>
        <v>#NUM!</v>
      </c>
    </row>
    <row r="676" spans="10:10">
      <c r="J676" s="20" t="e">
        <f t="shared" si="28"/>
        <v>#NUM!</v>
      </c>
    </row>
    <row r="677" spans="10:10">
      <c r="J677" s="20" t="e">
        <f t="shared" si="28"/>
        <v>#NUM!</v>
      </c>
    </row>
    <row r="678" spans="10:10">
      <c r="J678" s="20" t="e">
        <f t="shared" si="28"/>
        <v>#NUM!</v>
      </c>
    </row>
    <row r="679" spans="10:10">
      <c r="J679" s="20" t="e">
        <f t="shared" si="28"/>
        <v>#NUM!</v>
      </c>
    </row>
    <row r="680" spans="10:10">
      <c r="J680" s="20" t="e">
        <f t="shared" si="28"/>
        <v>#NUM!</v>
      </c>
    </row>
    <row r="681" spans="10:10">
      <c r="J681" s="20" t="e">
        <f t="shared" si="28"/>
        <v>#NUM!</v>
      </c>
    </row>
    <row r="682" spans="10:10">
      <c r="J682" s="20" t="e">
        <f t="shared" si="28"/>
        <v>#NUM!</v>
      </c>
    </row>
    <row r="683" spans="10:10">
      <c r="J683" s="20" t="e">
        <f t="shared" si="28"/>
        <v>#NUM!</v>
      </c>
    </row>
    <row r="684" spans="10:10">
      <c r="J684" s="20" t="e">
        <f t="shared" si="28"/>
        <v>#NUM!</v>
      </c>
    </row>
    <row r="685" spans="10:10">
      <c r="J685" s="20" t="e">
        <f t="shared" si="28"/>
        <v>#NUM!</v>
      </c>
    </row>
    <row r="686" spans="10:10">
      <c r="J686" s="20" t="e">
        <f t="shared" si="28"/>
        <v>#NUM!</v>
      </c>
    </row>
    <row r="687" spans="10:10">
      <c r="J687" s="20" t="e">
        <f t="shared" si="28"/>
        <v>#NUM!</v>
      </c>
    </row>
    <row r="688" spans="10:10">
      <c r="J688" s="20" t="e">
        <f t="shared" si="28"/>
        <v>#NUM!</v>
      </c>
    </row>
    <row r="689" spans="10:10">
      <c r="J689" s="20" t="e">
        <f t="shared" si="28"/>
        <v>#NUM!</v>
      </c>
    </row>
    <row r="690" spans="10:10">
      <c r="J690" s="20" t="e">
        <f t="shared" si="28"/>
        <v>#NUM!</v>
      </c>
    </row>
    <row r="691" spans="10:10">
      <c r="J691" s="20" t="e">
        <f t="shared" si="28"/>
        <v>#NUM!</v>
      </c>
    </row>
    <row r="692" spans="10:10">
      <c r="J692" s="20" t="e">
        <f t="shared" si="28"/>
        <v>#NUM!</v>
      </c>
    </row>
    <row r="693" spans="10:10">
      <c r="J693" s="20" t="e">
        <f t="shared" si="28"/>
        <v>#NUM!</v>
      </c>
    </row>
    <row r="694" spans="10:10">
      <c r="J694" s="20" t="e">
        <f t="shared" si="28"/>
        <v>#NUM!</v>
      </c>
    </row>
    <row r="695" spans="10:10">
      <c r="J695" s="20" t="e">
        <f t="shared" si="28"/>
        <v>#NUM!</v>
      </c>
    </row>
    <row r="696" spans="10:10">
      <c r="J696" s="20" t="e">
        <f t="shared" si="28"/>
        <v>#NUM!</v>
      </c>
    </row>
    <row r="697" spans="10:10">
      <c r="J697" s="20" t="e">
        <f t="shared" si="28"/>
        <v>#NUM!</v>
      </c>
    </row>
    <row r="698" spans="10:10">
      <c r="J698" s="20" t="e">
        <f t="shared" si="28"/>
        <v>#NUM!</v>
      </c>
    </row>
    <row r="699" spans="10:10">
      <c r="J699" s="20" t="e">
        <f t="shared" si="28"/>
        <v>#NUM!</v>
      </c>
    </row>
    <row r="700" spans="10:10">
      <c r="J700" s="20" t="e">
        <f t="shared" si="28"/>
        <v>#NUM!</v>
      </c>
    </row>
    <row r="701" spans="10:10">
      <c r="J701" s="20" t="e">
        <f t="shared" si="28"/>
        <v>#NUM!</v>
      </c>
    </row>
    <row r="702" spans="10:10">
      <c r="J702" s="20" t="e">
        <f t="shared" si="28"/>
        <v>#NUM!</v>
      </c>
    </row>
    <row r="703" spans="10:10">
      <c r="J703" s="20" t="e">
        <f t="shared" si="28"/>
        <v>#NUM!</v>
      </c>
    </row>
    <row r="704" spans="10:10">
      <c r="J704" s="20" t="e">
        <f t="shared" si="28"/>
        <v>#NUM!</v>
      </c>
    </row>
    <row r="705" spans="10:10">
      <c r="J705" s="20" t="e">
        <f t="shared" si="28"/>
        <v>#NUM!</v>
      </c>
    </row>
    <row r="706" spans="10:10">
      <c r="J706" s="20" t="e">
        <f t="shared" si="28"/>
        <v>#NUM!</v>
      </c>
    </row>
    <row r="707" spans="10:10">
      <c r="J707" s="20" t="e">
        <f t="shared" si="28"/>
        <v>#NUM!</v>
      </c>
    </row>
    <row r="708" spans="10:10">
      <c r="J708" s="20" t="e">
        <f t="shared" si="28"/>
        <v>#NUM!</v>
      </c>
    </row>
    <row r="709" spans="10:10">
      <c r="J709" s="20" t="e">
        <f t="shared" si="28"/>
        <v>#NUM!</v>
      </c>
    </row>
    <row r="710" spans="10:10">
      <c r="J710" s="20" t="e">
        <f t="shared" si="28"/>
        <v>#NUM!</v>
      </c>
    </row>
    <row r="711" spans="10:10">
      <c r="J711" s="20" t="e">
        <f t="shared" ref="J711:J774" si="29">INT(LOG($H$2,2))-ROUNDUP(LOG(H711,2),0)+IF(OR($H$2=1,$H$2=2,$H$2=4,$H$2=8,$H$2=16,$H$2=32,$H$2=64,$H$2=128,$H$2=256),0,1)</f>
        <v>#NUM!</v>
      </c>
    </row>
    <row r="712" spans="10:10">
      <c r="J712" s="20" t="e">
        <f t="shared" si="29"/>
        <v>#NUM!</v>
      </c>
    </row>
    <row r="713" spans="10:10">
      <c r="J713" s="20" t="e">
        <f t="shared" si="29"/>
        <v>#NUM!</v>
      </c>
    </row>
    <row r="714" spans="10:10">
      <c r="J714" s="20" t="e">
        <f t="shared" si="29"/>
        <v>#NUM!</v>
      </c>
    </row>
    <row r="715" spans="10:10">
      <c r="J715" s="20" t="e">
        <f t="shared" si="29"/>
        <v>#NUM!</v>
      </c>
    </row>
    <row r="716" spans="10:10">
      <c r="J716" s="20" t="e">
        <f t="shared" si="29"/>
        <v>#NUM!</v>
      </c>
    </row>
    <row r="717" spans="10:10">
      <c r="J717" s="20" t="e">
        <f t="shared" si="29"/>
        <v>#NUM!</v>
      </c>
    </row>
    <row r="718" spans="10:10">
      <c r="J718" s="20" t="e">
        <f t="shared" si="29"/>
        <v>#NUM!</v>
      </c>
    </row>
    <row r="719" spans="10:10">
      <c r="J719" s="20" t="e">
        <f t="shared" si="29"/>
        <v>#NUM!</v>
      </c>
    </row>
    <row r="720" spans="10:10">
      <c r="J720" s="20" t="e">
        <f t="shared" si="29"/>
        <v>#NUM!</v>
      </c>
    </row>
    <row r="721" spans="10:10">
      <c r="J721" s="20" t="e">
        <f t="shared" si="29"/>
        <v>#NUM!</v>
      </c>
    </row>
    <row r="722" spans="10:10">
      <c r="J722" s="20" t="e">
        <f t="shared" si="29"/>
        <v>#NUM!</v>
      </c>
    </row>
    <row r="723" spans="10:10">
      <c r="J723" s="20" t="e">
        <f t="shared" si="29"/>
        <v>#NUM!</v>
      </c>
    </row>
    <row r="724" spans="10:10">
      <c r="J724" s="20" t="e">
        <f t="shared" si="29"/>
        <v>#NUM!</v>
      </c>
    </row>
    <row r="725" spans="10:10">
      <c r="J725" s="20" t="e">
        <f t="shared" si="29"/>
        <v>#NUM!</v>
      </c>
    </row>
    <row r="726" spans="10:10">
      <c r="J726" s="20" t="e">
        <f t="shared" si="29"/>
        <v>#NUM!</v>
      </c>
    </row>
    <row r="727" spans="10:10">
      <c r="J727" s="20" t="e">
        <f t="shared" si="29"/>
        <v>#NUM!</v>
      </c>
    </row>
    <row r="728" spans="10:10">
      <c r="J728" s="20" t="e">
        <f t="shared" si="29"/>
        <v>#NUM!</v>
      </c>
    </row>
    <row r="729" spans="10:10">
      <c r="J729" s="20" t="e">
        <f t="shared" si="29"/>
        <v>#NUM!</v>
      </c>
    </row>
    <row r="730" spans="10:10">
      <c r="J730" s="20" t="e">
        <f t="shared" si="29"/>
        <v>#NUM!</v>
      </c>
    </row>
    <row r="731" spans="10:10">
      <c r="J731" s="20" t="e">
        <f t="shared" si="29"/>
        <v>#NUM!</v>
      </c>
    </row>
    <row r="732" spans="10:10">
      <c r="J732" s="20" t="e">
        <f t="shared" si="29"/>
        <v>#NUM!</v>
      </c>
    </row>
    <row r="733" spans="10:10">
      <c r="J733" s="20" t="e">
        <f t="shared" si="29"/>
        <v>#NUM!</v>
      </c>
    </row>
    <row r="734" spans="10:10">
      <c r="J734" s="20" t="e">
        <f t="shared" si="29"/>
        <v>#NUM!</v>
      </c>
    </row>
    <row r="735" spans="10:10">
      <c r="J735" s="20" t="e">
        <f t="shared" si="29"/>
        <v>#NUM!</v>
      </c>
    </row>
    <row r="736" spans="10:10">
      <c r="J736" s="20" t="e">
        <f t="shared" si="29"/>
        <v>#NUM!</v>
      </c>
    </row>
    <row r="737" spans="10:10">
      <c r="J737" s="20" t="e">
        <f t="shared" si="29"/>
        <v>#NUM!</v>
      </c>
    </row>
    <row r="738" spans="10:10">
      <c r="J738" s="20" t="e">
        <f t="shared" si="29"/>
        <v>#NUM!</v>
      </c>
    </row>
    <row r="739" spans="10:10">
      <c r="J739" s="20" t="e">
        <f t="shared" si="29"/>
        <v>#NUM!</v>
      </c>
    </row>
    <row r="740" spans="10:10">
      <c r="J740" s="20" t="e">
        <f t="shared" si="29"/>
        <v>#NUM!</v>
      </c>
    </row>
    <row r="741" spans="10:10">
      <c r="J741" s="20" t="e">
        <f t="shared" si="29"/>
        <v>#NUM!</v>
      </c>
    </row>
    <row r="742" spans="10:10">
      <c r="J742" s="20" t="e">
        <f t="shared" si="29"/>
        <v>#NUM!</v>
      </c>
    </row>
    <row r="743" spans="10:10">
      <c r="J743" s="20" t="e">
        <f t="shared" si="29"/>
        <v>#NUM!</v>
      </c>
    </row>
    <row r="744" spans="10:10">
      <c r="J744" s="20" t="e">
        <f t="shared" si="29"/>
        <v>#NUM!</v>
      </c>
    </row>
    <row r="745" spans="10:10">
      <c r="J745" s="20" t="e">
        <f t="shared" si="29"/>
        <v>#NUM!</v>
      </c>
    </row>
    <row r="746" spans="10:10">
      <c r="J746" s="20" t="e">
        <f t="shared" si="29"/>
        <v>#NUM!</v>
      </c>
    </row>
    <row r="747" spans="10:10">
      <c r="J747" s="20" t="e">
        <f t="shared" si="29"/>
        <v>#NUM!</v>
      </c>
    </row>
    <row r="748" spans="10:10">
      <c r="J748" s="20" t="e">
        <f t="shared" si="29"/>
        <v>#NUM!</v>
      </c>
    </row>
    <row r="749" spans="10:10">
      <c r="J749" s="20" t="e">
        <f t="shared" si="29"/>
        <v>#NUM!</v>
      </c>
    </row>
    <row r="750" spans="10:10">
      <c r="J750" s="20" t="e">
        <f t="shared" si="29"/>
        <v>#NUM!</v>
      </c>
    </row>
    <row r="751" spans="10:10">
      <c r="J751" s="20" t="e">
        <f t="shared" si="29"/>
        <v>#NUM!</v>
      </c>
    </row>
    <row r="752" spans="10:10">
      <c r="J752" s="20" t="e">
        <f t="shared" si="29"/>
        <v>#NUM!</v>
      </c>
    </row>
    <row r="753" spans="10:10">
      <c r="J753" s="20" t="e">
        <f t="shared" si="29"/>
        <v>#NUM!</v>
      </c>
    </row>
    <row r="754" spans="10:10">
      <c r="J754" s="20" t="e">
        <f t="shared" si="29"/>
        <v>#NUM!</v>
      </c>
    </row>
    <row r="755" spans="10:10">
      <c r="J755" s="20" t="e">
        <f t="shared" si="29"/>
        <v>#NUM!</v>
      </c>
    </row>
    <row r="756" spans="10:10">
      <c r="J756" s="20" t="e">
        <f t="shared" si="29"/>
        <v>#NUM!</v>
      </c>
    </row>
    <row r="757" spans="10:10">
      <c r="J757" s="20" t="e">
        <f t="shared" si="29"/>
        <v>#NUM!</v>
      </c>
    </row>
    <row r="758" spans="10:10">
      <c r="J758" s="20" t="e">
        <f t="shared" si="29"/>
        <v>#NUM!</v>
      </c>
    </row>
    <row r="759" spans="10:10">
      <c r="J759" s="20" t="e">
        <f t="shared" si="29"/>
        <v>#NUM!</v>
      </c>
    </row>
    <row r="760" spans="10:10">
      <c r="J760" s="20" t="e">
        <f t="shared" si="29"/>
        <v>#NUM!</v>
      </c>
    </row>
    <row r="761" spans="10:10">
      <c r="J761" s="20" t="e">
        <f t="shared" si="29"/>
        <v>#NUM!</v>
      </c>
    </row>
    <row r="762" spans="10:10">
      <c r="J762" s="20" t="e">
        <f t="shared" si="29"/>
        <v>#NUM!</v>
      </c>
    </row>
    <row r="763" spans="10:10">
      <c r="J763" s="20" t="e">
        <f t="shared" si="29"/>
        <v>#NUM!</v>
      </c>
    </row>
    <row r="764" spans="10:10">
      <c r="J764" s="20" t="e">
        <f t="shared" si="29"/>
        <v>#NUM!</v>
      </c>
    </row>
    <row r="765" spans="10:10">
      <c r="J765" s="20" t="e">
        <f t="shared" si="29"/>
        <v>#NUM!</v>
      </c>
    </row>
    <row r="766" spans="10:10">
      <c r="J766" s="20" t="e">
        <f t="shared" si="29"/>
        <v>#NUM!</v>
      </c>
    </row>
    <row r="767" spans="10:10">
      <c r="J767" s="20" t="e">
        <f t="shared" si="29"/>
        <v>#NUM!</v>
      </c>
    </row>
    <row r="768" spans="10:10">
      <c r="J768" s="20" t="e">
        <f t="shared" si="29"/>
        <v>#NUM!</v>
      </c>
    </row>
    <row r="769" spans="10:10">
      <c r="J769" s="20" t="e">
        <f t="shared" si="29"/>
        <v>#NUM!</v>
      </c>
    </row>
    <row r="770" spans="10:10">
      <c r="J770" s="20" t="e">
        <f t="shared" si="29"/>
        <v>#NUM!</v>
      </c>
    </row>
    <row r="771" spans="10:10">
      <c r="J771" s="20" t="e">
        <f t="shared" si="29"/>
        <v>#NUM!</v>
      </c>
    </row>
    <row r="772" spans="10:10">
      <c r="J772" s="20" t="e">
        <f t="shared" si="29"/>
        <v>#NUM!</v>
      </c>
    </row>
    <row r="773" spans="10:10">
      <c r="J773" s="20" t="e">
        <f t="shared" si="29"/>
        <v>#NUM!</v>
      </c>
    </row>
    <row r="774" spans="10:10">
      <c r="J774" s="20" t="e">
        <f t="shared" si="29"/>
        <v>#NUM!</v>
      </c>
    </row>
    <row r="775" spans="10:10">
      <c r="J775" s="20" t="e">
        <f t="shared" ref="J775:J838" si="30">INT(LOG($H$2,2))-ROUNDUP(LOG(H775,2),0)+IF(OR($H$2=1,$H$2=2,$H$2=4,$H$2=8,$H$2=16,$H$2=32,$H$2=64,$H$2=128,$H$2=256),0,1)</f>
        <v>#NUM!</v>
      </c>
    </row>
    <row r="776" spans="10:10">
      <c r="J776" s="20" t="e">
        <f t="shared" si="30"/>
        <v>#NUM!</v>
      </c>
    </row>
    <row r="777" spans="10:10">
      <c r="J777" s="20" t="e">
        <f t="shared" si="30"/>
        <v>#NUM!</v>
      </c>
    </row>
    <row r="778" spans="10:10">
      <c r="J778" s="20" t="e">
        <f t="shared" si="30"/>
        <v>#NUM!</v>
      </c>
    </row>
    <row r="779" spans="10:10">
      <c r="J779" s="20" t="e">
        <f t="shared" si="30"/>
        <v>#NUM!</v>
      </c>
    </row>
    <row r="780" spans="10:10">
      <c r="J780" s="20" t="e">
        <f t="shared" si="30"/>
        <v>#NUM!</v>
      </c>
    </row>
    <row r="781" spans="10:10">
      <c r="J781" s="20" t="e">
        <f t="shared" si="30"/>
        <v>#NUM!</v>
      </c>
    </row>
    <row r="782" spans="10:10">
      <c r="J782" s="20" t="e">
        <f t="shared" si="30"/>
        <v>#NUM!</v>
      </c>
    </row>
    <row r="783" spans="10:10">
      <c r="J783" s="20" t="e">
        <f t="shared" si="30"/>
        <v>#NUM!</v>
      </c>
    </row>
    <row r="784" spans="10:10">
      <c r="J784" s="20" t="e">
        <f t="shared" si="30"/>
        <v>#NUM!</v>
      </c>
    </row>
    <row r="785" spans="10:10">
      <c r="J785" s="20" t="e">
        <f t="shared" si="30"/>
        <v>#NUM!</v>
      </c>
    </row>
    <row r="786" spans="10:10">
      <c r="J786" s="20" t="e">
        <f t="shared" si="30"/>
        <v>#NUM!</v>
      </c>
    </row>
    <row r="787" spans="10:10">
      <c r="J787" s="20" t="e">
        <f t="shared" si="30"/>
        <v>#NUM!</v>
      </c>
    </row>
    <row r="788" spans="10:10">
      <c r="J788" s="20" t="e">
        <f t="shared" si="30"/>
        <v>#NUM!</v>
      </c>
    </row>
    <row r="789" spans="10:10">
      <c r="J789" s="20" t="e">
        <f t="shared" si="30"/>
        <v>#NUM!</v>
      </c>
    </row>
    <row r="790" spans="10:10">
      <c r="J790" s="20" t="e">
        <f t="shared" si="30"/>
        <v>#NUM!</v>
      </c>
    </row>
    <row r="791" spans="10:10">
      <c r="J791" s="20" t="e">
        <f t="shared" si="30"/>
        <v>#NUM!</v>
      </c>
    </row>
    <row r="792" spans="10:10">
      <c r="J792" s="20" t="e">
        <f t="shared" si="30"/>
        <v>#NUM!</v>
      </c>
    </row>
    <row r="793" spans="10:10">
      <c r="J793" s="20" t="e">
        <f t="shared" si="30"/>
        <v>#NUM!</v>
      </c>
    </row>
    <row r="794" spans="10:10">
      <c r="J794" s="20" t="e">
        <f t="shared" si="30"/>
        <v>#NUM!</v>
      </c>
    </row>
    <row r="795" spans="10:10">
      <c r="J795" s="20" t="e">
        <f t="shared" si="30"/>
        <v>#NUM!</v>
      </c>
    </row>
    <row r="796" spans="10:10">
      <c r="J796" s="20" t="e">
        <f t="shared" si="30"/>
        <v>#NUM!</v>
      </c>
    </row>
    <row r="797" spans="10:10">
      <c r="J797" s="20" t="e">
        <f t="shared" si="30"/>
        <v>#NUM!</v>
      </c>
    </row>
    <row r="798" spans="10:10">
      <c r="J798" s="20" t="e">
        <f t="shared" si="30"/>
        <v>#NUM!</v>
      </c>
    </row>
    <row r="799" spans="10:10">
      <c r="J799" s="20" t="e">
        <f t="shared" si="30"/>
        <v>#NUM!</v>
      </c>
    </row>
    <row r="800" spans="10:10">
      <c r="J800" s="20" t="e">
        <f t="shared" si="30"/>
        <v>#NUM!</v>
      </c>
    </row>
    <row r="801" spans="10:10">
      <c r="J801" s="20" t="e">
        <f t="shared" si="30"/>
        <v>#NUM!</v>
      </c>
    </row>
    <row r="802" spans="10:10">
      <c r="J802" s="20" t="e">
        <f t="shared" si="30"/>
        <v>#NUM!</v>
      </c>
    </row>
    <row r="803" spans="10:10">
      <c r="J803" s="20" t="e">
        <f t="shared" si="30"/>
        <v>#NUM!</v>
      </c>
    </row>
    <row r="804" spans="10:10">
      <c r="J804" s="20" t="e">
        <f t="shared" si="30"/>
        <v>#NUM!</v>
      </c>
    </row>
    <row r="805" spans="10:10">
      <c r="J805" s="20" t="e">
        <f t="shared" si="30"/>
        <v>#NUM!</v>
      </c>
    </row>
    <row r="806" spans="10:10">
      <c r="J806" s="20" t="e">
        <f t="shared" si="30"/>
        <v>#NUM!</v>
      </c>
    </row>
    <row r="807" spans="10:10">
      <c r="J807" s="20" t="e">
        <f t="shared" si="30"/>
        <v>#NUM!</v>
      </c>
    </row>
    <row r="808" spans="10:10">
      <c r="J808" s="20" t="e">
        <f t="shared" si="30"/>
        <v>#NUM!</v>
      </c>
    </row>
    <row r="809" spans="10:10">
      <c r="J809" s="20" t="e">
        <f t="shared" si="30"/>
        <v>#NUM!</v>
      </c>
    </row>
    <row r="810" spans="10:10">
      <c r="J810" s="20" t="e">
        <f t="shared" si="30"/>
        <v>#NUM!</v>
      </c>
    </row>
    <row r="811" spans="10:10">
      <c r="J811" s="20" t="e">
        <f t="shared" si="30"/>
        <v>#NUM!</v>
      </c>
    </row>
    <row r="812" spans="10:10">
      <c r="J812" s="20" t="e">
        <f t="shared" si="30"/>
        <v>#NUM!</v>
      </c>
    </row>
    <row r="813" spans="10:10">
      <c r="J813" s="20" t="e">
        <f t="shared" si="30"/>
        <v>#NUM!</v>
      </c>
    </row>
    <row r="814" spans="10:10">
      <c r="J814" s="20" t="e">
        <f t="shared" si="30"/>
        <v>#NUM!</v>
      </c>
    </row>
    <row r="815" spans="10:10">
      <c r="J815" s="20" t="e">
        <f t="shared" si="30"/>
        <v>#NUM!</v>
      </c>
    </row>
    <row r="816" spans="10:10">
      <c r="J816" s="20" t="e">
        <f t="shared" si="30"/>
        <v>#NUM!</v>
      </c>
    </row>
    <row r="817" spans="10:10">
      <c r="J817" s="20" t="e">
        <f t="shared" si="30"/>
        <v>#NUM!</v>
      </c>
    </row>
    <row r="818" spans="10:10">
      <c r="J818" s="20" t="e">
        <f t="shared" si="30"/>
        <v>#NUM!</v>
      </c>
    </row>
    <row r="819" spans="10:10">
      <c r="J819" s="20" t="e">
        <f t="shared" si="30"/>
        <v>#NUM!</v>
      </c>
    </row>
    <row r="820" spans="10:10">
      <c r="J820" s="20" t="e">
        <f t="shared" si="30"/>
        <v>#NUM!</v>
      </c>
    </row>
    <row r="821" spans="10:10">
      <c r="J821" s="20" t="e">
        <f t="shared" si="30"/>
        <v>#NUM!</v>
      </c>
    </row>
    <row r="822" spans="10:10">
      <c r="J822" s="20" t="e">
        <f t="shared" si="30"/>
        <v>#NUM!</v>
      </c>
    </row>
    <row r="823" spans="10:10">
      <c r="J823" s="20" t="e">
        <f t="shared" si="30"/>
        <v>#NUM!</v>
      </c>
    </row>
    <row r="824" spans="10:10">
      <c r="J824" s="20" t="e">
        <f t="shared" si="30"/>
        <v>#NUM!</v>
      </c>
    </row>
    <row r="825" spans="10:10">
      <c r="J825" s="20" t="e">
        <f t="shared" si="30"/>
        <v>#NUM!</v>
      </c>
    </row>
    <row r="826" spans="10:10">
      <c r="J826" s="20" t="e">
        <f t="shared" si="30"/>
        <v>#NUM!</v>
      </c>
    </row>
    <row r="827" spans="10:10">
      <c r="J827" s="20" t="e">
        <f t="shared" si="30"/>
        <v>#NUM!</v>
      </c>
    </row>
    <row r="828" spans="10:10">
      <c r="J828" s="20" t="e">
        <f t="shared" si="30"/>
        <v>#NUM!</v>
      </c>
    </row>
    <row r="829" spans="10:10">
      <c r="J829" s="20" t="e">
        <f t="shared" si="30"/>
        <v>#NUM!</v>
      </c>
    </row>
    <row r="830" spans="10:10">
      <c r="J830" s="20" t="e">
        <f t="shared" si="30"/>
        <v>#NUM!</v>
      </c>
    </row>
    <row r="831" spans="10:10">
      <c r="J831" s="20" t="e">
        <f t="shared" si="30"/>
        <v>#NUM!</v>
      </c>
    </row>
    <row r="832" spans="10:10">
      <c r="J832" s="20" t="e">
        <f t="shared" si="30"/>
        <v>#NUM!</v>
      </c>
    </row>
    <row r="833" spans="10:10">
      <c r="J833" s="20" t="e">
        <f t="shared" si="30"/>
        <v>#NUM!</v>
      </c>
    </row>
    <row r="834" spans="10:10">
      <c r="J834" s="20" t="e">
        <f t="shared" si="30"/>
        <v>#NUM!</v>
      </c>
    </row>
    <row r="835" spans="10:10">
      <c r="J835" s="20" t="e">
        <f t="shared" si="30"/>
        <v>#NUM!</v>
      </c>
    </row>
    <row r="836" spans="10:10">
      <c r="J836" s="20" t="e">
        <f t="shared" si="30"/>
        <v>#NUM!</v>
      </c>
    </row>
    <row r="837" spans="10:10">
      <c r="J837" s="20" t="e">
        <f t="shared" si="30"/>
        <v>#NUM!</v>
      </c>
    </row>
    <row r="838" spans="10:10">
      <c r="J838" s="20" t="e">
        <f t="shared" si="30"/>
        <v>#NUM!</v>
      </c>
    </row>
    <row r="839" spans="10:10">
      <c r="J839" s="20" t="e">
        <f t="shared" ref="J839:J846" si="31">INT(LOG($H$2,2))-ROUNDUP(LOG(H839,2),0)+IF(OR($H$2=1,$H$2=2,$H$2=4,$H$2=8,$H$2=16,$H$2=32,$H$2=64,$H$2=128,$H$2=256),0,1)</f>
        <v>#NUM!</v>
      </c>
    </row>
    <row r="840" spans="10:10">
      <c r="J840" s="20" t="e">
        <f t="shared" si="31"/>
        <v>#NUM!</v>
      </c>
    </row>
    <row r="841" spans="10:10">
      <c r="J841" s="20" t="e">
        <f t="shared" si="31"/>
        <v>#NUM!</v>
      </c>
    </row>
    <row r="842" spans="10:10">
      <c r="J842" s="20" t="e">
        <f t="shared" si="31"/>
        <v>#NUM!</v>
      </c>
    </row>
    <row r="843" spans="10:10">
      <c r="J843" s="20" t="e">
        <f t="shared" si="31"/>
        <v>#NUM!</v>
      </c>
    </row>
    <row r="844" spans="10:10">
      <c r="J844" s="20" t="e">
        <f t="shared" si="31"/>
        <v>#NUM!</v>
      </c>
    </row>
    <row r="845" spans="10:10">
      <c r="J845" s="20" t="e">
        <f t="shared" si="31"/>
        <v>#NUM!</v>
      </c>
    </row>
    <row r="846" spans="10:10">
      <c r="J846" s="20" t="e">
        <f t="shared" si="31"/>
        <v>#NUM!</v>
      </c>
    </row>
  </sheetData>
  <mergeCells count="2">
    <mergeCell ref="C2:D2"/>
    <mergeCell ref="C3:D3"/>
  </mergeCells>
  <conditionalFormatting sqref="J7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CBB91615-7F20-43DA-82CF-6D20EA496ECC}">
      <formula1>#REF!</formula1>
    </dataValidation>
  </dataValidations>
  <hyperlinks>
    <hyperlink ref="C2:D2" r:id="rId1" display="NIEPOŁOMICE" xr:uid="{43040EA4-F889-4DD8-9723-D75A31507AAB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rgb="FF92D050"/>
  </sheetPr>
  <dimension ref="A1:AL687"/>
  <sheetViews>
    <sheetView workbookViewId="0">
      <selection activeCell="D25" sqref="D25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 ht="14.45" customHeight="1">
      <c r="A2" s="5"/>
      <c r="B2" s="47" t="s">
        <v>35</v>
      </c>
      <c r="C2" s="127" t="s">
        <v>65</v>
      </c>
      <c r="D2" s="127"/>
      <c r="E2" s="6"/>
      <c r="F2" s="6"/>
      <c r="G2" s="6"/>
      <c r="H2" s="14">
        <v>8</v>
      </c>
      <c r="I2" s="68">
        <v>50</v>
      </c>
      <c r="J2" s="68">
        <v>10</v>
      </c>
      <c r="K2" s="69">
        <f>3*H2^(1/3)</f>
        <v>5.9999999999999991</v>
      </c>
      <c r="L2" s="13"/>
      <c r="M2" s="13"/>
    </row>
    <row r="3" spans="1:34" ht="14.45" customHeight="1">
      <c r="A3" s="5"/>
      <c r="B3" s="48" t="s">
        <v>37</v>
      </c>
      <c r="C3" s="128" t="s">
        <v>66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M6</f>
        <v>98</v>
      </c>
      <c r="B6" s="36">
        <f t="shared" ref="B6:B25" si="0">IF(H6&gt;$H$2,"",(ROW()-5))</f>
        <v>1</v>
      </c>
      <c r="C6" s="24" t="s">
        <v>18</v>
      </c>
      <c r="D6" s="24" t="s">
        <v>67</v>
      </c>
      <c r="E6" s="24"/>
      <c r="F6" s="24" t="s">
        <v>68</v>
      </c>
      <c r="G6" s="8"/>
      <c r="H6" s="17">
        <v>1</v>
      </c>
      <c r="I6" s="18">
        <f t="shared" ref="I6:I69" si="1">IF(H6&lt;$H$2+1,($I$2-($I$2-1)*(LOG(H6)/LOG($H$2))),"")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2">J6*$J$2</f>
        <v>30</v>
      </c>
      <c r="L6" s="19">
        <f>3*K2</f>
        <v>17.999999999999996</v>
      </c>
      <c r="M6" s="19">
        <f t="shared" ref="M6:M69" si="3">IF(I6&lt;&gt;"",K6+I6+L6,0)</f>
        <v>98</v>
      </c>
    </row>
    <row r="7" spans="1:34" ht="14.45" customHeight="1">
      <c r="A7" s="40">
        <f t="shared" ref="A7:A37" si="4">M7</f>
        <v>65.666666666666657</v>
      </c>
      <c r="B7" s="35">
        <f t="shared" si="0"/>
        <v>2</v>
      </c>
      <c r="C7" s="25" t="s">
        <v>19</v>
      </c>
      <c r="D7" s="25" t="s">
        <v>54</v>
      </c>
      <c r="E7" s="25"/>
      <c r="F7" s="25" t="s">
        <v>68</v>
      </c>
      <c r="G7" s="8"/>
      <c r="H7" s="44">
        <v>2</v>
      </c>
      <c r="I7" s="45">
        <f t="shared" si="1"/>
        <v>33.666666666666664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ref="K7:K69" si="6">J7*$J$2</f>
        <v>20</v>
      </c>
      <c r="L7" s="46">
        <f>2*K2</f>
        <v>11.999999999999998</v>
      </c>
      <c r="M7" s="46">
        <f t="shared" si="3"/>
        <v>65.666666666666657</v>
      </c>
    </row>
    <row r="8" spans="1:34" ht="14.45" customHeight="1">
      <c r="A8" s="39">
        <f t="shared" si="4"/>
        <v>40.112279154887787</v>
      </c>
      <c r="B8" s="36">
        <f t="shared" si="0"/>
        <v>3</v>
      </c>
      <c r="C8" s="24" t="s">
        <v>20</v>
      </c>
      <c r="D8" s="24" t="s">
        <v>55</v>
      </c>
      <c r="E8" s="24"/>
      <c r="F8" s="24" t="s">
        <v>68</v>
      </c>
      <c r="G8" s="8"/>
      <c r="H8" s="17">
        <v>3</v>
      </c>
      <c r="I8" s="18">
        <f t="shared" si="1"/>
        <v>24.112279154887784</v>
      </c>
      <c r="J8" s="17">
        <f t="shared" si="5"/>
        <v>1</v>
      </c>
      <c r="K8" s="17">
        <f t="shared" si="6"/>
        <v>10</v>
      </c>
      <c r="L8" s="19">
        <f>K2</f>
        <v>5.9999999999999991</v>
      </c>
      <c r="M8" s="19">
        <f t="shared" si="3"/>
        <v>40.112279154887787</v>
      </c>
    </row>
    <row r="9" spans="1:34" ht="14.45" customHeight="1">
      <c r="A9" s="40">
        <f t="shared" si="4"/>
        <v>40.112279154887787</v>
      </c>
      <c r="B9" s="35">
        <v>3</v>
      </c>
      <c r="C9" s="25" t="s">
        <v>21</v>
      </c>
      <c r="D9" s="25"/>
      <c r="E9" s="25"/>
      <c r="F9" s="25" t="s">
        <v>68</v>
      </c>
      <c r="G9" s="8"/>
      <c r="H9" s="44">
        <v>3</v>
      </c>
      <c r="I9" s="45">
        <f t="shared" si="1"/>
        <v>24.112279154887784</v>
      </c>
      <c r="J9" s="44">
        <f t="shared" si="5"/>
        <v>1</v>
      </c>
      <c r="K9" s="44">
        <f t="shared" si="6"/>
        <v>10</v>
      </c>
      <c r="L9" s="46">
        <f>K2</f>
        <v>5.9999999999999991</v>
      </c>
      <c r="M9" s="46">
        <f t="shared" si="3"/>
        <v>40.112279154887787</v>
      </c>
      <c r="V9" s="27"/>
      <c r="Z9" s="28"/>
      <c r="AA9" s="28"/>
      <c r="AG9" s="29"/>
    </row>
    <row r="10" spans="1:34" ht="14.45" customHeight="1">
      <c r="A10" s="39">
        <f t="shared" si="4"/>
        <v>12.07517445017308</v>
      </c>
      <c r="B10" s="36">
        <f t="shared" si="0"/>
        <v>5</v>
      </c>
      <c r="C10" s="24" t="s">
        <v>27</v>
      </c>
      <c r="D10" s="24" t="s">
        <v>69</v>
      </c>
      <c r="E10" s="24"/>
      <c r="F10" s="24" t="s">
        <v>70</v>
      </c>
      <c r="G10" s="8"/>
      <c r="H10" s="17">
        <v>5</v>
      </c>
      <c r="I10" s="18">
        <f t="shared" si="1"/>
        <v>12.07517445017308</v>
      </c>
      <c r="J10" s="17">
        <f t="shared" si="5"/>
        <v>0</v>
      </c>
      <c r="K10" s="17">
        <f t="shared" si="6"/>
        <v>0</v>
      </c>
      <c r="L10" s="17"/>
      <c r="M10" s="19">
        <f t="shared" si="3"/>
        <v>12.07517445017308</v>
      </c>
      <c r="V10" s="27"/>
      <c r="Z10" s="28"/>
      <c r="AA10" s="28"/>
      <c r="AG10" s="29"/>
    </row>
    <row r="11" spans="1:34" ht="14.45" customHeight="1">
      <c r="A11" s="40">
        <f t="shared" si="4"/>
        <v>7.7789458215544443</v>
      </c>
      <c r="B11" s="35">
        <f t="shared" si="0"/>
        <v>6</v>
      </c>
      <c r="C11" s="25" t="s">
        <v>25</v>
      </c>
      <c r="D11" s="25"/>
      <c r="E11" s="25"/>
      <c r="F11" s="25" t="s">
        <v>68</v>
      </c>
      <c r="G11" s="8"/>
      <c r="H11" s="44">
        <v>6</v>
      </c>
      <c r="I11" s="45">
        <f t="shared" si="1"/>
        <v>7.7789458215544443</v>
      </c>
      <c r="J11" s="44">
        <f t="shared" si="5"/>
        <v>0</v>
      </c>
      <c r="K11" s="44">
        <f t="shared" si="6"/>
        <v>0</v>
      </c>
      <c r="L11" s="44"/>
      <c r="M11" s="46">
        <f t="shared" si="3"/>
        <v>7.7789458215544443</v>
      </c>
      <c r="V11" s="30"/>
      <c r="Z11" s="28"/>
      <c r="AA11" s="28"/>
      <c r="AG11" s="29"/>
    </row>
    <row r="12" spans="1:34" ht="14.45" customHeight="1">
      <c r="A12" s="39">
        <f t="shared" si="4"/>
        <v>4.1465362730591337</v>
      </c>
      <c r="B12" s="36">
        <f t="shared" si="0"/>
        <v>7</v>
      </c>
      <c r="C12" s="24" t="s">
        <v>26</v>
      </c>
      <c r="D12" s="24" t="s">
        <v>64</v>
      </c>
      <c r="E12" s="24"/>
      <c r="F12" s="24" t="s">
        <v>68</v>
      </c>
      <c r="G12" s="8"/>
      <c r="H12" s="17">
        <v>7</v>
      </c>
      <c r="I12" s="18">
        <f t="shared" si="1"/>
        <v>4.1465362730591337</v>
      </c>
      <c r="J12" s="17">
        <f t="shared" si="5"/>
        <v>0</v>
      </c>
      <c r="K12" s="17">
        <f t="shared" si="6"/>
        <v>0</v>
      </c>
      <c r="L12" s="17"/>
      <c r="M12" s="19">
        <f t="shared" si="3"/>
        <v>4.1465362730591337</v>
      </c>
      <c r="Z12" s="28"/>
      <c r="AA12" s="28"/>
      <c r="AG12" s="29"/>
    </row>
    <row r="13" spans="1:34" ht="14.45" customHeight="1">
      <c r="A13" s="41">
        <f t="shared" si="4"/>
        <v>1</v>
      </c>
      <c r="B13" s="35">
        <f t="shared" si="0"/>
        <v>8</v>
      </c>
      <c r="C13" s="25" t="s">
        <v>28</v>
      </c>
      <c r="D13" s="25" t="s">
        <v>63</v>
      </c>
      <c r="E13" s="25"/>
      <c r="F13" s="25" t="s">
        <v>68</v>
      </c>
      <c r="G13" s="8"/>
      <c r="H13" s="44">
        <v>8</v>
      </c>
      <c r="I13" s="45">
        <f t="shared" si="1"/>
        <v>1</v>
      </c>
      <c r="J13" s="44">
        <f t="shared" si="5"/>
        <v>0</v>
      </c>
      <c r="K13" s="44">
        <f t="shared" si="6"/>
        <v>0</v>
      </c>
      <c r="L13" s="44"/>
      <c r="M13" s="46">
        <f t="shared" si="3"/>
        <v>1</v>
      </c>
      <c r="X13" s="27"/>
      <c r="AG13" s="29"/>
    </row>
    <row r="14" spans="1:34">
      <c r="A14" s="42">
        <f t="shared" si="4"/>
        <v>0</v>
      </c>
      <c r="B14" s="36" t="str">
        <f t="shared" si="0"/>
        <v/>
      </c>
      <c r="C14" s="24"/>
      <c r="D14" s="24"/>
      <c r="E14" s="24"/>
      <c r="F14" s="24"/>
      <c r="G14" s="8"/>
      <c r="H14" s="17">
        <v>9</v>
      </c>
      <c r="I14" s="18" t="str">
        <f t="shared" si="1"/>
        <v/>
      </c>
      <c r="J14" s="17">
        <f t="shared" si="5"/>
        <v>-1</v>
      </c>
      <c r="K14" s="17">
        <f t="shared" si="6"/>
        <v>-10</v>
      </c>
      <c r="L14" s="17"/>
      <c r="M14" s="19">
        <f t="shared" si="3"/>
        <v>0</v>
      </c>
      <c r="X14" s="31"/>
      <c r="Z14" s="28"/>
      <c r="AA14" s="28"/>
      <c r="AG14" s="29"/>
    </row>
    <row r="15" spans="1:34">
      <c r="A15" s="41">
        <f t="shared" si="4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1"/>
        <v/>
      </c>
      <c r="J15" s="44">
        <f t="shared" si="5"/>
        <v>-1</v>
      </c>
      <c r="K15" s="44">
        <f t="shared" si="6"/>
        <v>-10</v>
      </c>
      <c r="L15" s="44"/>
      <c r="M15" s="46">
        <f t="shared" si="3"/>
        <v>0</v>
      </c>
      <c r="X15" s="27"/>
      <c r="Z15" s="28"/>
      <c r="AA15" s="28"/>
    </row>
    <row r="16" spans="1:34">
      <c r="A16" s="42">
        <f t="shared" si="4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1"/>
        <v/>
      </c>
      <c r="J16" s="17">
        <f t="shared" si="5"/>
        <v>-1</v>
      </c>
      <c r="K16" s="17">
        <f t="shared" si="6"/>
        <v>-10</v>
      </c>
      <c r="L16" s="17"/>
      <c r="M16" s="19">
        <f t="shared" si="3"/>
        <v>0</v>
      </c>
      <c r="R16" s="49"/>
      <c r="Z16" s="28"/>
      <c r="AA16" s="28"/>
      <c r="AH16" s="33"/>
    </row>
    <row r="17" spans="1:19">
      <c r="A17" s="41">
        <f t="shared" si="4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1"/>
        <v/>
      </c>
      <c r="J17" s="44">
        <f t="shared" si="5"/>
        <v>-1</v>
      </c>
      <c r="K17" s="44">
        <f t="shared" si="6"/>
        <v>-10</v>
      </c>
      <c r="L17" s="44"/>
      <c r="M17" s="46">
        <f t="shared" si="3"/>
        <v>0</v>
      </c>
    </row>
    <row r="18" spans="1:19">
      <c r="A18" s="42">
        <f t="shared" si="4"/>
        <v>0</v>
      </c>
      <c r="B18" s="36" t="str">
        <f t="shared" si="0"/>
        <v/>
      </c>
      <c r="C18" s="24"/>
      <c r="D18" s="24"/>
      <c r="E18" s="24"/>
      <c r="F18" s="24"/>
      <c r="G18" s="8"/>
      <c r="H18" s="17">
        <v>13</v>
      </c>
      <c r="I18" s="18" t="str">
        <f t="shared" si="1"/>
        <v/>
      </c>
      <c r="J18" s="17">
        <f t="shared" si="5"/>
        <v>-1</v>
      </c>
      <c r="K18" s="17">
        <f t="shared" si="6"/>
        <v>-10</v>
      </c>
      <c r="L18" s="17"/>
      <c r="M18" s="19">
        <f t="shared" si="3"/>
        <v>0</v>
      </c>
    </row>
    <row r="19" spans="1:19">
      <c r="A19" s="41">
        <f t="shared" si="4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1"/>
        <v/>
      </c>
      <c r="J19" s="44">
        <f t="shared" si="5"/>
        <v>-1</v>
      </c>
      <c r="K19" s="44">
        <f t="shared" si="6"/>
        <v>-10</v>
      </c>
      <c r="L19" s="44"/>
      <c r="M19" s="46">
        <f t="shared" si="3"/>
        <v>0</v>
      </c>
    </row>
    <row r="20" spans="1:19">
      <c r="A20" s="42">
        <f t="shared" si="4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1"/>
        <v/>
      </c>
      <c r="J20" s="17">
        <f t="shared" si="5"/>
        <v>-1</v>
      </c>
      <c r="K20" s="17">
        <f t="shared" si="6"/>
        <v>-10</v>
      </c>
      <c r="L20" s="17"/>
      <c r="M20" s="19">
        <f t="shared" si="3"/>
        <v>0</v>
      </c>
      <c r="R20" s="50"/>
      <c r="S20" s="34"/>
    </row>
    <row r="21" spans="1:19">
      <c r="A21" s="41">
        <f t="shared" si="4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1"/>
        <v/>
      </c>
      <c r="J21" s="44">
        <f t="shared" si="5"/>
        <v>-1</v>
      </c>
      <c r="K21" s="44">
        <f t="shared" si="6"/>
        <v>-10</v>
      </c>
      <c r="L21" s="44"/>
      <c r="M21" s="46">
        <f t="shared" si="3"/>
        <v>0</v>
      </c>
    </row>
    <row r="22" spans="1:19">
      <c r="A22" s="42">
        <f t="shared" si="4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1"/>
        <v/>
      </c>
      <c r="J22" s="17">
        <f t="shared" si="5"/>
        <v>-2</v>
      </c>
      <c r="K22" s="17">
        <f t="shared" si="6"/>
        <v>-20</v>
      </c>
      <c r="L22" s="17"/>
      <c r="M22" s="19">
        <f t="shared" si="3"/>
        <v>0</v>
      </c>
    </row>
    <row r="23" spans="1:19">
      <c r="A23" s="41">
        <f t="shared" si="4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1"/>
        <v/>
      </c>
      <c r="J23" s="44">
        <f t="shared" si="5"/>
        <v>-2</v>
      </c>
      <c r="K23" s="44">
        <f t="shared" si="6"/>
        <v>-20</v>
      </c>
      <c r="L23" s="44"/>
      <c r="M23" s="46">
        <f t="shared" si="3"/>
        <v>0</v>
      </c>
    </row>
    <row r="24" spans="1:19">
      <c r="A24" s="42">
        <f t="shared" si="4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1"/>
        <v/>
      </c>
      <c r="J24" s="17">
        <f t="shared" si="5"/>
        <v>-2</v>
      </c>
      <c r="K24" s="17">
        <f t="shared" si="6"/>
        <v>-20</v>
      </c>
      <c r="L24" s="17"/>
      <c r="M24" s="19">
        <f t="shared" si="3"/>
        <v>0</v>
      </c>
      <c r="R24" s="50"/>
      <c r="S24" s="34"/>
    </row>
    <row r="25" spans="1:19">
      <c r="A25" s="41">
        <f t="shared" si="4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1"/>
        <v/>
      </c>
      <c r="J25" s="44">
        <f t="shared" si="5"/>
        <v>-2</v>
      </c>
      <c r="K25" s="44">
        <f t="shared" si="6"/>
        <v>-20</v>
      </c>
      <c r="L25" s="44"/>
      <c r="M25" s="46">
        <f t="shared" si="3"/>
        <v>0</v>
      </c>
    </row>
    <row r="26" spans="1:19">
      <c r="A26" s="42">
        <f t="shared" si="4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1"/>
        <v/>
      </c>
      <c r="J26" s="17">
        <f t="shared" si="5"/>
        <v>-2</v>
      </c>
      <c r="K26" s="17">
        <f t="shared" si="6"/>
        <v>-20</v>
      </c>
      <c r="L26" s="17"/>
      <c r="M26" s="19">
        <f t="shared" si="3"/>
        <v>0</v>
      </c>
    </row>
    <row r="27" spans="1:19">
      <c r="A27" s="41">
        <f t="shared" si="4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1"/>
        <v/>
      </c>
      <c r="J27" s="44">
        <f t="shared" si="5"/>
        <v>-2</v>
      </c>
      <c r="K27" s="44">
        <f t="shared" si="6"/>
        <v>-20</v>
      </c>
      <c r="L27" s="44"/>
      <c r="M27" s="46">
        <f t="shared" si="3"/>
        <v>0</v>
      </c>
    </row>
    <row r="28" spans="1:19">
      <c r="A28" s="42">
        <f t="shared" si="4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1"/>
        <v/>
      </c>
      <c r="J28" s="17">
        <f t="shared" si="5"/>
        <v>-2</v>
      </c>
      <c r="K28" s="17">
        <f t="shared" si="6"/>
        <v>-20</v>
      </c>
      <c r="L28" s="17"/>
      <c r="M28" s="19">
        <f t="shared" si="3"/>
        <v>0</v>
      </c>
      <c r="R28" s="50"/>
      <c r="S28" s="34"/>
    </row>
    <row r="29" spans="1:19">
      <c r="A29" s="41">
        <f t="shared" si="4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1"/>
        <v/>
      </c>
      <c r="J29" s="44">
        <f t="shared" si="5"/>
        <v>-2</v>
      </c>
      <c r="K29" s="44">
        <f t="shared" si="6"/>
        <v>-20</v>
      </c>
      <c r="L29" s="44"/>
      <c r="M29" s="46">
        <f t="shared" si="3"/>
        <v>0</v>
      </c>
    </row>
    <row r="30" spans="1:19">
      <c r="A30" s="42">
        <f t="shared" si="4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1"/>
        <v/>
      </c>
      <c r="J30" s="17">
        <f t="shared" si="5"/>
        <v>-2</v>
      </c>
      <c r="K30" s="17">
        <f t="shared" si="6"/>
        <v>-20</v>
      </c>
      <c r="L30" s="17"/>
      <c r="M30" s="19">
        <f t="shared" si="3"/>
        <v>0</v>
      </c>
    </row>
    <row r="31" spans="1:19">
      <c r="A31" s="41">
        <f t="shared" si="4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1"/>
        <v/>
      </c>
      <c r="J31" s="44">
        <f t="shared" si="5"/>
        <v>-2</v>
      </c>
      <c r="K31" s="44">
        <f t="shared" si="6"/>
        <v>-20</v>
      </c>
      <c r="L31" s="44"/>
      <c r="M31" s="46">
        <f t="shared" si="3"/>
        <v>0</v>
      </c>
    </row>
    <row r="32" spans="1:19">
      <c r="A32" s="42">
        <f t="shared" si="4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1"/>
        <v/>
      </c>
      <c r="J32" s="17">
        <f t="shared" si="5"/>
        <v>-2</v>
      </c>
      <c r="K32" s="17">
        <f t="shared" si="6"/>
        <v>-20</v>
      </c>
      <c r="L32" s="17"/>
      <c r="M32" s="19">
        <f t="shared" si="3"/>
        <v>0</v>
      </c>
      <c r="R32" s="50"/>
      <c r="S32" s="34"/>
    </row>
    <row r="33" spans="1:19">
      <c r="A33" s="41">
        <f t="shared" si="4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1"/>
        <v/>
      </c>
      <c r="J33" s="44">
        <f t="shared" si="5"/>
        <v>-2</v>
      </c>
      <c r="K33" s="44">
        <f t="shared" si="6"/>
        <v>-20</v>
      </c>
      <c r="L33" s="44"/>
      <c r="M33" s="46">
        <f t="shared" si="3"/>
        <v>0</v>
      </c>
    </row>
    <row r="34" spans="1:19">
      <c r="A34" s="42">
        <f t="shared" si="4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1"/>
        <v/>
      </c>
      <c r="J34" s="17">
        <f t="shared" si="5"/>
        <v>-2</v>
      </c>
      <c r="K34" s="17">
        <f t="shared" si="6"/>
        <v>-20</v>
      </c>
      <c r="L34" s="17"/>
      <c r="M34" s="19">
        <f t="shared" si="3"/>
        <v>0</v>
      </c>
    </row>
    <row r="35" spans="1:19">
      <c r="A35" s="41">
        <f t="shared" si="4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1"/>
        <v/>
      </c>
      <c r="J35" s="44">
        <f t="shared" si="5"/>
        <v>-2</v>
      </c>
      <c r="K35" s="44">
        <f t="shared" si="6"/>
        <v>-20</v>
      </c>
      <c r="L35" s="44"/>
      <c r="M35" s="46">
        <f t="shared" si="3"/>
        <v>0</v>
      </c>
    </row>
    <row r="36" spans="1:19">
      <c r="A36" s="42">
        <f t="shared" si="4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1"/>
        <v/>
      </c>
      <c r="J36" s="17">
        <f t="shared" si="5"/>
        <v>-2</v>
      </c>
      <c r="K36" s="17">
        <f t="shared" si="6"/>
        <v>-20</v>
      </c>
      <c r="L36" s="17"/>
      <c r="M36" s="19">
        <f t="shared" si="3"/>
        <v>0</v>
      </c>
      <c r="R36" s="50"/>
      <c r="S36" s="34"/>
    </row>
    <row r="37" spans="1:19">
      <c r="A37" s="41">
        <f t="shared" si="4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1"/>
        <v/>
      </c>
      <c r="J37" s="44">
        <f t="shared" si="5"/>
        <v>-2</v>
      </c>
      <c r="K37" s="44">
        <f t="shared" si="6"/>
        <v>-20</v>
      </c>
      <c r="L37" s="44"/>
      <c r="M37" s="46">
        <f t="shared" si="3"/>
        <v>0</v>
      </c>
    </row>
    <row r="38" spans="1:19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1"/>
        <v/>
      </c>
      <c r="J38" s="17">
        <f t="shared" si="5"/>
        <v>-3</v>
      </c>
      <c r="K38" s="17">
        <f t="shared" si="6"/>
        <v>-30</v>
      </c>
      <c r="L38" s="17"/>
      <c r="M38" s="19">
        <f t="shared" si="3"/>
        <v>0</v>
      </c>
    </row>
    <row r="39" spans="1:19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1"/>
        <v/>
      </c>
      <c r="J39" s="44">
        <f t="shared" si="5"/>
        <v>-3</v>
      </c>
      <c r="K39" s="44">
        <f t="shared" si="6"/>
        <v>-30</v>
      </c>
      <c r="L39" s="44"/>
      <c r="M39" s="46">
        <f t="shared" si="3"/>
        <v>0</v>
      </c>
    </row>
    <row r="40" spans="1:19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1"/>
        <v/>
      </c>
      <c r="J40" s="17">
        <f t="shared" si="5"/>
        <v>-3</v>
      </c>
      <c r="K40" s="17">
        <f t="shared" si="6"/>
        <v>-30</v>
      </c>
      <c r="L40" s="17"/>
      <c r="M40" s="19">
        <f t="shared" si="3"/>
        <v>0</v>
      </c>
    </row>
    <row r="41" spans="1:19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1"/>
        <v/>
      </c>
      <c r="J41" s="44">
        <f t="shared" si="5"/>
        <v>-3</v>
      </c>
      <c r="K41" s="44">
        <f t="shared" si="6"/>
        <v>-30</v>
      </c>
      <c r="L41" s="44"/>
      <c r="M41" s="46">
        <f t="shared" si="3"/>
        <v>0</v>
      </c>
      <c r="S41" s="32"/>
    </row>
    <row r="42" spans="1:19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1"/>
        <v/>
      </c>
      <c r="J42" s="17">
        <f t="shared" si="5"/>
        <v>-3</v>
      </c>
      <c r="K42" s="17">
        <f t="shared" si="6"/>
        <v>-30</v>
      </c>
      <c r="L42" s="17"/>
      <c r="M42" s="19">
        <f t="shared" si="3"/>
        <v>0</v>
      </c>
    </row>
    <row r="43" spans="1:19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1"/>
        <v/>
      </c>
      <c r="J43" s="44">
        <f t="shared" si="5"/>
        <v>-3</v>
      </c>
      <c r="K43" s="44">
        <f t="shared" si="6"/>
        <v>-30</v>
      </c>
      <c r="L43" s="44"/>
      <c r="M43" s="46">
        <f t="shared" si="3"/>
        <v>0</v>
      </c>
    </row>
    <row r="44" spans="1:19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1"/>
        <v/>
      </c>
      <c r="J44" s="17">
        <f t="shared" si="5"/>
        <v>-3</v>
      </c>
      <c r="K44" s="17">
        <f t="shared" si="6"/>
        <v>-30</v>
      </c>
      <c r="L44" s="17"/>
      <c r="M44" s="19">
        <f t="shared" si="3"/>
        <v>0</v>
      </c>
    </row>
    <row r="45" spans="1:19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1"/>
        <v/>
      </c>
      <c r="J45" s="44">
        <f t="shared" si="5"/>
        <v>-3</v>
      </c>
      <c r="K45" s="44">
        <f t="shared" si="6"/>
        <v>-30</v>
      </c>
      <c r="L45" s="44"/>
      <c r="M45" s="46">
        <f t="shared" si="3"/>
        <v>0</v>
      </c>
    </row>
    <row r="46" spans="1:19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1"/>
        <v/>
      </c>
      <c r="J46" s="17">
        <f t="shared" si="5"/>
        <v>-3</v>
      </c>
      <c r="K46" s="17">
        <f t="shared" si="6"/>
        <v>-30</v>
      </c>
      <c r="L46" s="17"/>
      <c r="M46" s="19">
        <f t="shared" si="3"/>
        <v>0</v>
      </c>
    </row>
    <row r="47" spans="1:19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1"/>
        <v/>
      </c>
      <c r="J47" s="44">
        <f t="shared" si="5"/>
        <v>-3</v>
      </c>
      <c r="K47" s="44">
        <f t="shared" si="6"/>
        <v>-30</v>
      </c>
      <c r="L47" s="44"/>
      <c r="M47" s="46">
        <f t="shared" si="3"/>
        <v>0</v>
      </c>
    </row>
    <row r="48" spans="1:19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1"/>
        <v/>
      </c>
      <c r="J48" s="17">
        <f t="shared" si="5"/>
        <v>-3</v>
      </c>
      <c r="K48" s="17">
        <f t="shared" si="6"/>
        <v>-30</v>
      </c>
      <c r="L48" s="17"/>
      <c r="M48" s="19">
        <f t="shared" si="3"/>
        <v>0</v>
      </c>
    </row>
    <row r="49" spans="1:13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1"/>
        <v/>
      </c>
      <c r="J49" s="44">
        <f t="shared" si="5"/>
        <v>-3</v>
      </c>
      <c r="K49" s="44">
        <f t="shared" si="6"/>
        <v>-30</v>
      </c>
      <c r="L49" s="44"/>
      <c r="M49" s="46">
        <f t="shared" si="3"/>
        <v>0</v>
      </c>
    </row>
    <row r="50" spans="1:13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1"/>
        <v/>
      </c>
      <c r="J50" s="17">
        <f t="shared" si="5"/>
        <v>-3</v>
      </c>
      <c r="K50" s="17">
        <f t="shared" si="6"/>
        <v>-30</v>
      </c>
      <c r="L50" s="17"/>
      <c r="M50" s="19">
        <f t="shared" si="3"/>
        <v>0</v>
      </c>
    </row>
    <row r="51" spans="1:13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1"/>
        <v/>
      </c>
      <c r="J51" s="44">
        <f t="shared" si="5"/>
        <v>-3</v>
      </c>
      <c r="K51" s="44">
        <f t="shared" si="6"/>
        <v>-30</v>
      </c>
      <c r="L51" s="44"/>
      <c r="M51" s="46">
        <f t="shared" si="3"/>
        <v>0</v>
      </c>
    </row>
    <row r="52" spans="1:13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1"/>
        <v/>
      </c>
      <c r="J52" s="17">
        <f t="shared" si="5"/>
        <v>-3</v>
      </c>
      <c r="K52" s="17">
        <f t="shared" si="6"/>
        <v>-30</v>
      </c>
      <c r="L52" s="17"/>
      <c r="M52" s="19">
        <f t="shared" si="3"/>
        <v>0</v>
      </c>
    </row>
    <row r="53" spans="1:13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1"/>
        <v/>
      </c>
      <c r="J53" s="44">
        <f t="shared" si="5"/>
        <v>-3</v>
      </c>
      <c r="K53" s="44">
        <f t="shared" si="6"/>
        <v>-30</v>
      </c>
      <c r="L53" s="44"/>
      <c r="M53" s="46">
        <f t="shared" si="3"/>
        <v>0</v>
      </c>
    </row>
    <row r="54" spans="1:13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1"/>
        <v/>
      </c>
      <c r="J54" s="17">
        <f t="shared" si="5"/>
        <v>-3</v>
      </c>
      <c r="K54" s="17">
        <f t="shared" si="6"/>
        <v>-30</v>
      </c>
      <c r="L54" s="17"/>
      <c r="M54" s="19">
        <f t="shared" si="3"/>
        <v>0</v>
      </c>
    </row>
    <row r="55" spans="1:13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1"/>
        <v/>
      </c>
      <c r="J55" s="44">
        <f t="shared" si="5"/>
        <v>-3</v>
      </c>
      <c r="K55" s="44">
        <f t="shared" si="6"/>
        <v>-30</v>
      </c>
      <c r="L55" s="44"/>
      <c r="M55" s="46">
        <f t="shared" si="3"/>
        <v>0</v>
      </c>
    </row>
    <row r="56" spans="1:13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1"/>
        <v/>
      </c>
      <c r="J56" s="17">
        <f t="shared" si="5"/>
        <v>-3</v>
      </c>
      <c r="K56" s="17">
        <f t="shared" si="6"/>
        <v>-30</v>
      </c>
      <c r="L56" s="17"/>
      <c r="M56" s="19">
        <f t="shared" si="3"/>
        <v>0</v>
      </c>
    </row>
    <row r="57" spans="1:13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1"/>
        <v/>
      </c>
      <c r="J57" s="44">
        <f t="shared" si="5"/>
        <v>-3</v>
      </c>
      <c r="K57" s="44">
        <f t="shared" si="6"/>
        <v>-30</v>
      </c>
      <c r="L57" s="44"/>
      <c r="M57" s="46">
        <f t="shared" si="3"/>
        <v>0</v>
      </c>
    </row>
    <row r="58" spans="1:13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1"/>
        <v/>
      </c>
      <c r="J58" s="17">
        <f t="shared" si="5"/>
        <v>-3</v>
      </c>
      <c r="K58" s="17">
        <f t="shared" si="6"/>
        <v>-30</v>
      </c>
      <c r="L58" s="17"/>
      <c r="M58" s="19">
        <f t="shared" si="3"/>
        <v>0</v>
      </c>
    </row>
    <row r="59" spans="1:13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1"/>
        <v/>
      </c>
      <c r="J59" s="44">
        <f t="shared" si="5"/>
        <v>-3</v>
      </c>
      <c r="K59" s="44">
        <f t="shared" si="6"/>
        <v>-30</v>
      </c>
      <c r="L59" s="44"/>
      <c r="M59" s="46">
        <f t="shared" si="3"/>
        <v>0</v>
      </c>
    </row>
    <row r="60" spans="1:13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1"/>
        <v/>
      </c>
      <c r="J60" s="17">
        <f t="shared" si="5"/>
        <v>-3</v>
      </c>
      <c r="K60" s="17">
        <f t="shared" si="6"/>
        <v>-30</v>
      </c>
      <c r="L60" s="17"/>
      <c r="M60" s="19">
        <f t="shared" si="3"/>
        <v>0</v>
      </c>
    </row>
    <row r="61" spans="1:13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1"/>
        <v/>
      </c>
      <c r="J61" s="44">
        <f t="shared" si="5"/>
        <v>-3</v>
      </c>
      <c r="K61" s="44">
        <f t="shared" si="6"/>
        <v>-30</v>
      </c>
      <c r="L61" s="44"/>
      <c r="M61" s="46">
        <f t="shared" si="3"/>
        <v>0</v>
      </c>
    </row>
    <row r="62" spans="1:13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1"/>
        <v/>
      </c>
      <c r="J62" s="17">
        <f t="shared" si="5"/>
        <v>-3</v>
      </c>
      <c r="K62" s="17">
        <f t="shared" si="6"/>
        <v>-30</v>
      </c>
      <c r="L62" s="17"/>
      <c r="M62" s="19">
        <f t="shared" si="3"/>
        <v>0</v>
      </c>
    </row>
    <row r="63" spans="1:13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1"/>
        <v/>
      </c>
      <c r="J63" s="44">
        <f t="shared" si="5"/>
        <v>-3</v>
      </c>
      <c r="K63" s="44">
        <f t="shared" si="6"/>
        <v>-30</v>
      </c>
      <c r="L63" s="44"/>
      <c r="M63" s="46">
        <f t="shared" si="3"/>
        <v>0</v>
      </c>
    </row>
    <row r="64" spans="1:13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1"/>
        <v/>
      </c>
      <c r="J64" s="17">
        <f t="shared" si="5"/>
        <v>-3</v>
      </c>
      <c r="K64" s="17">
        <f t="shared" si="6"/>
        <v>-30</v>
      </c>
      <c r="L64" s="17"/>
      <c r="M64" s="19">
        <f t="shared" si="3"/>
        <v>0</v>
      </c>
    </row>
    <row r="65" spans="1:13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1"/>
        <v/>
      </c>
      <c r="J65" s="44">
        <f t="shared" si="5"/>
        <v>-3</v>
      </c>
      <c r="K65" s="44">
        <f t="shared" si="6"/>
        <v>-30</v>
      </c>
      <c r="L65" s="44"/>
      <c r="M65" s="46">
        <f t="shared" si="3"/>
        <v>0</v>
      </c>
    </row>
    <row r="66" spans="1:13">
      <c r="A66" s="43"/>
      <c r="B66" s="36"/>
      <c r="G66" s="5"/>
      <c r="H66" s="17">
        <v>61</v>
      </c>
      <c r="I66" s="18" t="str">
        <f t="shared" si="1"/>
        <v/>
      </c>
      <c r="J66" s="17">
        <f t="shared" si="5"/>
        <v>-3</v>
      </c>
      <c r="K66" s="17">
        <f t="shared" si="6"/>
        <v>-30</v>
      </c>
      <c r="L66" s="17"/>
      <c r="M66" s="19">
        <f t="shared" si="3"/>
        <v>0</v>
      </c>
    </row>
    <row r="67" spans="1:13">
      <c r="A67" s="43"/>
      <c r="B67" s="35"/>
      <c r="G67" s="5"/>
      <c r="H67" s="17">
        <v>62</v>
      </c>
      <c r="I67" s="18" t="str">
        <f t="shared" si="1"/>
        <v/>
      </c>
      <c r="J67" s="17">
        <f t="shared" si="5"/>
        <v>-3</v>
      </c>
      <c r="K67" s="17">
        <f t="shared" si="6"/>
        <v>-30</v>
      </c>
      <c r="L67" s="17"/>
      <c r="M67" s="19">
        <f t="shared" si="3"/>
        <v>0</v>
      </c>
    </row>
    <row r="68" spans="1:13">
      <c r="A68" s="43"/>
      <c r="B68" s="36"/>
      <c r="G68" s="5"/>
      <c r="H68" s="17">
        <v>63</v>
      </c>
      <c r="I68" s="18" t="str">
        <f t="shared" si="1"/>
        <v/>
      </c>
      <c r="J68" s="17">
        <f t="shared" si="5"/>
        <v>-3</v>
      </c>
      <c r="K68" s="17">
        <f t="shared" si="6"/>
        <v>-30</v>
      </c>
      <c r="L68" s="17"/>
      <c r="M68" s="19">
        <f t="shared" si="3"/>
        <v>0</v>
      </c>
    </row>
    <row r="69" spans="1:13">
      <c r="A69" s="43"/>
      <c r="B69" s="35"/>
      <c r="G69" s="5"/>
      <c r="H69" s="17">
        <v>64</v>
      </c>
      <c r="I69" s="18" t="str">
        <f t="shared" si="1"/>
        <v/>
      </c>
      <c r="J69" s="17">
        <f t="shared" si="5"/>
        <v>-3</v>
      </c>
      <c r="K69" s="17">
        <f t="shared" si="6"/>
        <v>-30</v>
      </c>
      <c r="L69" s="17"/>
      <c r="M69" s="19">
        <f t="shared" si="3"/>
        <v>0</v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-4</v>
      </c>
      <c r="K70" s="17">
        <f t="shared" ref="K70:K133" si="9">J70*$J$2</f>
        <v>-40</v>
      </c>
      <c r="L70" s="17"/>
      <c r="M70" s="19">
        <f t="shared" ref="M70:M133" si="10">IF(I70&lt;&gt;"",K70+I70+L70,0)</f>
        <v>0</v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-4</v>
      </c>
      <c r="K71" s="17">
        <f t="shared" si="9"/>
        <v>-40</v>
      </c>
      <c r="L71" s="17"/>
      <c r="M71" s="19">
        <f t="shared" si="10"/>
        <v>0</v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1"/>
        <v>-4</v>
      </c>
      <c r="K72" s="17">
        <f t="shared" si="9"/>
        <v>-40</v>
      </c>
      <c r="L72" s="17"/>
      <c r="M72" s="19">
        <f t="shared" si="10"/>
        <v>0</v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1"/>
        <v>-4</v>
      </c>
      <c r="K73" s="17">
        <f t="shared" si="9"/>
        <v>-40</v>
      </c>
      <c r="L73" s="17"/>
      <c r="M73" s="19">
        <f t="shared" si="10"/>
        <v>0</v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1"/>
        <v>-4</v>
      </c>
      <c r="K74" s="17">
        <f t="shared" si="9"/>
        <v>-40</v>
      </c>
      <c r="L74" s="17"/>
      <c r="M74" s="19">
        <f t="shared" si="10"/>
        <v>0</v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1"/>
        <v>-4</v>
      </c>
      <c r="K75" s="17">
        <f t="shared" si="9"/>
        <v>-40</v>
      </c>
      <c r="L75" s="17"/>
      <c r="M75" s="19">
        <f t="shared" si="10"/>
        <v>0</v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1"/>
        <v>-4</v>
      </c>
      <c r="K76" s="17">
        <f t="shared" si="9"/>
        <v>-40</v>
      </c>
      <c r="L76" s="17"/>
      <c r="M76" s="19">
        <f t="shared" si="10"/>
        <v>0</v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1"/>
        <v>-4</v>
      </c>
      <c r="K77" s="17">
        <f t="shared" si="9"/>
        <v>-40</v>
      </c>
      <c r="L77" s="17"/>
      <c r="M77" s="19">
        <f t="shared" si="10"/>
        <v>0</v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1"/>
        <v>-4</v>
      </c>
      <c r="K78" s="17">
        <f t="shared" si="9"/>
        <v>-40</v>
      </c>
      <c r="L78" s="17"/>
      <c r="M78" s="19">
        <f t="shared" si="10"/>
        <v>0</v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1"/>
        <v>-4</v>
      </c>
      <c r="K79" s="17">
        <f t="shared" si="9"/>
        <v>-40</v>
      </c>
      <c r="L79" s="17"/>
      <c r="M79" s="19">
        <f t="shared" si="10"/>
        <v>0</v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1"/>
        <v>-4</v>
      </c>
      <c r="K80" s="17">
        <f t="shared" si="9"/>
        <v>-40</v>
      </c>
      <c r="L80" s="17"/>
      <c r="M80" s="19">
        <f t="shared" si="10"/>
        <v>0</v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1"/>
        <v>-4</v>
      </c>
      <c r="K81" s="17">
        <f t="shared" si="9"/>
        <v>-40</v>
      </c>
      <c r="L81" s="17"/>
      <c r="M81" s="19">
        <f t="shared" si="10"/>
        <v>0</v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1"/>
        <v>-4</v>
      </c>
      <c r="K82" s="17">
        <f t="shared" si="9"/>
        <v>-40</v>
      </c>
      <c r="L82" s="17"/>
      <c r="M82" s="19">
        <f t="shared" si="10"/>
        <v>0</v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1"/>
        <v>-4</v>
      </c>
      <c r="K83" s="17">
        <f t="shared" si="9"/>
        <v>-40</v>
      </c>
      <c r="L83" s="17"/>
      <c r="M83" s="19">
        <f t="shared" si="10"/>
        <v>0</v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1"/>
        <v>-4</v>
      </c>
      <c r="K84" s="17">
        <f t="shared" si="9"/>
        <v>-40</v>
      </c>
      <c r="L84" s="17"/>
      <c r="M84" s="19">
        <f t="shared" si="10"/>
        <v>0</v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1"/>
        <v>-4</v>
      </c>
      <c r="K85" s="17">
        <f t="shared" si="9"/>
        <v>-40</v>
      </c>
      <c r="L85" s="17"/>
      <c r="M85" s="19">
        <f t="shared" si="10"/>
        <v>0</v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1"/>
        <v>-4</v>
      </c>
      <c r="K86" s="17">
        <f t="shared" si="9"/>
        <v>-40</v>
      </c>
      <c r="L86" s="17"/>
      <c r="M86" s="19">
        <f t="shared" si="10"/>
        <v>0</v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1"/>
        <v>-4</v>
      </c>
      <c r="K87" s="17">
        <f t="shared" si="9"/>
        <v>-40</v>
      </c>
      <c r="L87" s="17"/>
      <c r="M87" s="19">
        <f t="shared" si="10"/>
        <v>0</v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1"/>
        <v>-4</v>
      </c>
      <c r="K88" s="17">
        <f t="shared" si="9"/>
        <v>-40</v>
      </c>
      <c r="L88" s="17"/>
      <c r="M88" s="19">
        <f t="shared" si="10"/>
        <v>0</v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1"/>
        <v>-4</v>
      </c>
      <c r="K89" s="17">
        <f t="shared" si="9"/>
        <v>-40</v>
      </c>
      <c r="L89" s="17"/>
      <c r="M89" s="19">
        <f t="shared" si="10"/>
        <v>0</v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1"/>
        <v>-4</v>
      </c>
      <c r="K90" s="17">
        <f t="shared" si="9"/>
        <v>-40</v>
      </c>
      <c r="L90" s="17"/>
      <c r="M90" s="19">
        <f t="shared" si="10"/>
        <v>0</v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1"/>
        <v>-4</v>
      </c>
      <c r="K91" s="17">
        <f t="shared" si="9"/>
        <v>-40</v>
      </c>
      <c r="L91" s="17"/>
      <c r="M91" s="19">
        <f t="shared" si="10"/>
        <v>0</v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1"/>
        <v>-4</v>
      </c>
      <c r="K92" s="17">
        <f t="shared" si="9"/>
        <v>-40</v>
      </c>
      <c r="L92" s="17"/>
      <c r="M92" s="19">
        <f t="shared" si="10"/>
        <v>0</v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1"/>
        <v>-4</v>
      </c>
      <c r="K93" s="17">
        <f t="shared" si="9"/>
        <v>-40</v>
      </c>
      <c r="L93" s="17"/>
      <c r="M93" s="19">
        <f t="shared" si="10"/>
        <v>0</v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1"/>
        <v>-4</v>
      </c>
      <c r="K94" s="17">
        <f t="shared" si="9"/>
        <v>-40</v>
      </c>
      <c r="L94" s="17"/>
      <c r="M94" s="19">
        <f t="shared" si="10"/>
        <v>0</v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1"/>
        <v>-4</v>
      </c>
      <c r="K95" s="17">
        <f t="shared" si="9"/>
        <v>-40</v>
      </c>
      <c r="L95" s="17"/>
      <c r="M95" s="19">
        <f t="shared" si="10"/>
        <v>0</v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1"/>
        <v>-4</v>
      </c>
      <c r="K96" s="17">
        <f t="shared" si="9"/>
        <v>-40</v>
      </c>
      <c r="L96" s="17"/>
      <c r="M96" s="19">
        <f t="shared" si="10"/>
        <v>0</v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1"/>
        <v>-4</v>
      </c>
      <c r="K97" s="17">
        <f t="shared" si="9"/>
        <v>-40</v>
      </c>
      <c r="L97" s="17"/>
      <c r="M97" s="19">
        <f t="shared" si="10"/>
        <v>0</v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1"/>
        <v>-4</v>
      </c>
      <c r="K98" s="17">
        <f t="shared" si="9"/>
        <v>-40</v>
      </c>
      <c r="L98" s="17"/>
      <c r="M98" s="19">
        <f t="shared" si="10"/>
        <v>0</v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1"/>
        <v>-4</v>
      </c>
      <c r="K99" s="17">
        <f t="shared" si="9"/>
        <v>-40</v>
      </c>
      <c r="L99" s="17"/>
      <c r="M99" s="19">
        <f t="shared" si="10"/>
        <v>0</v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1"/>
        <v>-4</v>
      </c>
      <c r="K100" s="17">
        <f t="shared" si="9"/>
        <v>-40</v>
      </c>
      <c r="L100" s="17"/>
      <c r="M100" s="19">
        <f t="shared" si="10"/>
        <v>0</v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1"/>
        <v>-4</v>
      </c>
      <c r="K101" s="17">
        <f t="shared" si="9"/>
        <v>-40</v>
      </c>
      <c r="L101" s="17"/>
      <c r="M101" s="19">
        <f t="shared" si="10"/>
        <v>0</v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1"/>
        <v>-4</v>
      </c>
      <c r="K102" s="17">
        <f t="shared" si="9"/>
        <v>-40</v>
      </c>
      <c r="L102" s="17"/>
      <c r="M102" s="19">
        <f t="shared" si="10"/>
        <v>0</v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1"/>
        <v>-4</v>
      </c>
      <c r="K103" s="17">
        <f t="shared" si="9"/>
        <v>-40</v>
      </c>
      <c r="L103" s="17"/>
      <c r="M103" s="19">
        <f t="shared" si="10"/>
        <v>0</v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1"/>
        <v>-4</v>
      </c>
      <c r="K104" s="17">
        <f t="shared" si="9"/>
        <v>-40</v>
      </c>
      <c r="L104" s="17"/>
      <c r="M104" s="19">
        <f t="shared" si="10"/>
        <v>0</v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1"/>
        <v>-4</v>
      </c>
      <c r="K105" s="17">
        <f t="shared" si="9"/>
        <v>-40</v>
      </c>
      <c r="L105" s="17"/>
      <c r="M105" s="19">
        <f t="shared" si="10"/>
        <v>0</v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1"/>
        <v>-4</v>
      </c>
      <c r="K106" s="17">
        <f t="shared" si="9"/>
        <v>-40</v>
      </c>
      <c r="L106" s="17"/>
      <c r="M106" s="19">
        <f t="shared" si="10"/>
        <v>0</v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1"/>
        <v>-4</v>
      </c>
      <c r="K107" s="17">
        <f t="shared" si="9"/>
        <v>-40</v>
      </c>
      <c r="L107" s="17"/>
      <c r="M107" s="19">
        <f t="shared" si="10"/>
        <v>0</v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1"/>
        <v>-4</v>
      </c>
      <c r="K108" s="17">
        <f t="shared" si="9"/>
        <v>-40</v>
      </c>
      <c r="L108" s="17"/>
      <c r="M108" s="19">
        <f t="shared" si="10"/>
        <v>0</v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1"/>
        <v>-4</v>
      </c>
      <c r="K109" s="17">
        <f t="shared" si="9"/>
        <v>-40</v>
      </c>
      <c r="L109" s="17"/>
      <c r="M109" s="19">
        <f t="shared" si="10"/>
        <v>0</v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1"/>
        <v>-4</v>
      </c>
      <c r="K110" s="17">
        <f t="shared" si="9"/>
        <v>-40</v>
      </c>
      <c r="L110" s="17"/>
      <c r="M110" s="19">
        <f t="shared" si="10"/>
        <v>0</v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1"/>
        <v>-4</v>
      </c>
      <c r="K111" s="17">
        <f t="shared" si="9"/>
        <v>-40</v>
      </c>
      <c r="L111" s="17"/>
      <c r="M111" s="19">
        <f t="shared" si="10"/>
        <v>0</v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1"/>
        <v>-4</v>
      </c>
      <c r="K112" s="17">
        <f t="shared" si="9"/>
        <v>-40</v>
      </c>
      <c r="L112" s="17"/>
      <c r="M112" s="19">
        <f t="shared" si="10"/>
        <v>0</v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1"/>
        <v>-4</v>
      </c>
      <c r="K113" s="17">
        <f t="shared" si="9"/>
        <v>-40</v>
      </c>
      <c r="L113" s="17"/>
      <c r="M113" s="19">
        <f t="shared" si="10"/>
        <v>0</v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1"/>
        <v>-4</v>
      </c>
      <c r="K114" s="17">
        <f t="shared" si="9"/>
        <v>-40</v>
      </c>
      <c r="L114" s="17"/>
      <c r="M114" s="19">
        <f t="shared" si="10"/>
        <v>0</v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1"/>
        <v>-4</v>
      </c>
      <c r="K115" s="17">
        <f t="shared" si="9"/>
        <v>-40</v>
      </c>
      <c r="L115" s="17"/>
      <c r="M115" s="19">
        <f t="shared" si="10"/>
        <v>0</v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1"/>
        <v>-4</v>
      </c>
      <c r="K116" s="17">
        <f t="shared" si="9"/>
        <v>-40</v>
      </c>
      <c r="L116" s="17"/>
      <c r="M116" s="19">
        <f t="shared" si="10"/>
        <v>0</v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1"/>
        <v>-4</v>
      </c>
      <c r="K117" s="17">
        <f t="shared" si="9"/>
        <v>-40</v>
      </c>
      <c r="L117" s="17"/>
      <c r="M117" s="19">
        <f t="shared" si="10"/>
        <v>0</v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1"/>
        <v>-4</v>
      </c>
      <c r="K118" s="17">
        <f t="shared" si="9"/>
        <v>-40</v>
      </c>
      <c r="L118" s="17"/>
      <c r="M118" s="19">
        <f t="shared" si="10"/>
        <v>0</v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1"/>
        <v>-4</v>
      </c>
      <c r="K119" s="17">
        <f t="shared" si="9"/>
        <v>-40</v>
      </c>
      <c r="L119" s="17"/>
      <c r="M119" s="19">
        <f t="shared" si="10"/>
        <v>0</v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1"/>
        <v>-4</v>
      </c>
      <c r="K120" s="17">
        <f t="shared" si="9"/>
        <v>-40</v>
      </c>
      <c r="L120" s="17"/>
      <c r="M120" s="19">
        <f t="shared" si="10"/>
        <v>0</v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1"/>
        <v>-4</v>
      </c>
      <c r="K121" s="17">
        <f t="shared" si="9"/>
        <v>-40</v>
      </c>
      <c r="L121" s="17"/>
      <c r="M121" s="19">
        <f t="shared" si="10"/>
        <v>0</v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1"/>
        <v>-4</v>
      </c>
      <c r="K122" s="17">
        <f t="shared" si="9"/>
        <v>-40</v>
      </c>
      <c r="L122" s="17"/>
      <c r="M122" s="19">
        <f t="shared" si="10"/>
        <v>0</v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1"/>
        <v>-4</v>
      </c>
      <c r="K123" s="17">
        <f t="shared" si="9"/>
        <v>-40</v>
      </c>
      <c r="L123" s="17"/>
      <c r="M123" s="19">
        <f t="shared" si="10"/>
        <v>0</v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1"/>
        <v>-4</v>
      </c>
      <c r="K124" s="17">
        <f t="shared" si="9"/>
        <v>-40</v>
      </c>
      <c r="L124" s="17"/>
      <c r="M124" s="19">
        <f t="shared" si="10"/>
        <v>0</v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1"/>
        <v>-4</v>
      </c>
      <c r="K125" s="17">
        <f t="shared" si="9"/>
        <v>-40</v>
      </c>
      <c r="L125" s="17"/>
      <c r="M125" s="19">
        <f t="shared" si="10"/>
        <v>0</v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1"/>
        <v>-4</v>
      </c>
      <c r="K126" s="17">
        <f t="shared" si="9"/>
        <v>-40</v>
      </c>
      <c r="L126" s="17"/>
      <c r="M126" s="19">
        <f t="shared" si="10"/>
        <v>0</v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1"/>
        <v>-4</v>
      </c>
      <c r="K127" s="17">
        <f t="shared" si="9"/>
        <v>-40</v>
      </c>
      <c r="L127" s="17"/>
      <c r="M127" s="19">
        <f t="shared" si="10"/>
        <v>0</v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1"/>
        <v>-4</v>
      </c>
      <c r="K128" s="17">
        <f t="shared" si="9"/>
        <v>-40</v>
      </c>
      <c r="L128" s="17"/>
      <c r="M128" s="19">
        <f t="shared" si="10"/>
        <v>0</v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1"/>
        <v>-4</v>
      </c>
      <c r="K129" s="17">
        <f t="shared" si="9"/>
        <v>-40</v>
      </c>
      <c r="L129" s="17"/>
      <c r="M129" s="19">
        <f t="shared" si="10"/>
        <v>0</v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1"/>
        <v>-4</v>
      </c>
      <c r="K130" s="17">
        <f t="shared" si="9"/>
        <v>-40</v>
      </c>
      <c r="L130" s="17"/>
      <c r="M130" s="19">
        <f t="shared" si="10"/>
        <v>0</v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1"/>
        <v>-4</v>
      </c>
      <c r="K131" s="17">
        <f t="shared" si="9"/>
        <v>-40</v>
      </c>
      <c r="L131" s="17"/>
      <c r="M131" s="19">
        <f t="shared" si="10"/>
        <v>0</v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1"/>
        <v>-4</v>
      </c>
      <c r="K132" s="17">
        <f t="shared" si="9"/>
        <v>-40</v>
      </c>
      <c r="L132" s="17"/>
      <c r="M132" s="19">
        <f t="shared" si="10"/>
        <v>0</v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1"/>
        <v>-4</v>
      </c>
      <c r="K133" s="17">
        <f t="shared" si="9"/>
        <v>-40</v>
      </c>
      <c r="L133" s="17"/>
      <c r="M133" s="19">
        <f t="shared" si="10"/>
        <v>0</v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-5</v>
      </c>
      <c r="K134" s="17">
        <f t="shared" ref="K134:K197" si="13">J134*$J$2</f>
        <v>-50</v>
      </c>
      <c r="L134" s="17"/>
      <c r="M134" s="19">
        <f t="shared" ref="M134:M197" si="14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-5</v>
      </c>
      <c r="K135" s="17">
        <f t="shared" si="13"/>
        <v>-50</v>
      </c>
      <c r="L135" s="17"/>
      <c r="M135" s="19">
        <f t="shared" si="14"/>
        <v>0</v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5"/>
        <v>-5</v>
      </c>
      <c r="K136" s="17">
        <f t="shared" si="13"/>
        <v>-50</v>
      </c>
      <c r="L136" s="17"/>
      <c r="M136" s="19">
        <f t="shared" si="14"/>
        <v>0</v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5"/>
        <v>-5</v>
      </c>
      <c r="K137" s="17">
        <f t="shared" si="13"/>
        <v>-50</v>
      </c>
      <c r="L137" s="17"/>
      <c r="M137" s="19">
        <f t="shared" si="14"/>
        <v>0</v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5"/>
        <v>-5</v>
      </c>
      <c r="K138" s="17">
        <f t="shared" si="13"/>
        <v>-50</v>
      </c>
      <c r="L138" s="17"/>
      <c r="M138" s="19">
        <f t="shared" si="14"/>
        <v>0</v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5"/>
        <v>-5</v>
      </c>
      <c r="K139" s="17">
        <f t="shared" si="13"/>
        <v>-50</v>
      </c>
      <c r="L139" s="17"/>
      <c r="M139" s="19">
        <f t="shared" si="14"/>
        <v>0</v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5"/>
        <v>-5</v>
      </c>
      <c r="K140" s="17">
        <f t="shared" si="13"/>
        <v>-50</v>
      </c>
      <c r="L140" s="17"/>
      <c r="M140" s="19">
        <f t="shared" si="14"/>
        <v>0</v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5"/>
        <v>-5</v>
      </c>
      <c r="K141" s="17">
        <f t="shared" si="13"/>
        <v>-50</v>
      </c>
      <c r="L141" s="17"/>
      <c r="M141" s="19">
        <f t="shared" si="14"/>
        <v>0</v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5"/>
        <v>-5</v>
      </c>
      <c r="K142" s="17">
        <f t="shared" si="13"/>
        <v>-50</v>
      </c>
      <c r="L142" s="17"/>
      <c r="M142" s="19">
        <f t="shared" si="14"/>
        <v>0</v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5"/>
        <v>-5</v>
      </c>
      <c r="K143" s="17">
        <f t="shared" si="13"/>
        <v>-50</v>
      </c>
      <c r="L143" s="17"/>
      <c r="M143" s="19">
        <f t="shared" si="14"/>
        <v>0</v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5"/>
        <v>-5</v>
      </c>
      <c r="K144" s="17">
        <f t="shared" si="13"/>
        <v>-50</v>
      </c>
      <c r="L144" s="17"/>
      <c r="M144" s="19">
        <f t="shared" si="14"/>
        <v>0</v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5"/>
        <v>-5</v>
      </c>
      <c r="K145" s="17">
        <f t="shared" si="13"/>
        <v>-50</v>
      </c>
      <c r="L145" s="17"/>
      <c r="M145" s="19">
        <f t="shared" si="14"/>
        <v>0</v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5"/>
        <v>-5</v>
      </c>
      <c r="K146" s="17">
        <f t="shared" si="13"/>
        <v>-50</v>
      </c>
      <c r="L146" s="17"/>
      <c r="M146" s="19">
        <f t="shared" si="14"/>
        <v>0</v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5"/>
        <v>-5</v>
      </c>
      <c r="K147" s="17">
        <f t="shared" si="13"/>
        <v>-50</v>
      </c>
      <c r="L147" s="17"/>
      <c r="M147" s="19">
        <f t="shared" si="14"/>
        <v>0</v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5"/>
        <v>-5</v>
      </c>
      <c r="K148" s="17">
        <f t="shared" si="13"/>
        <v>-50</v>
      </c>
      <c r="L148" s="17"/>
      <c r="M148" s="19">
        <f t="shared" si="14"/>
        <v>0</v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5"/>
        <v>-5</v>
      </c>
      <c r="K149" s="17">
        <f t="shared" si="13"/>
        <v>-50</v>
      </c>
      <c r="L149" s="17"/>
      <c r="M149" s="19">
        <f t="shared" si="14"/>
        <v>0</v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5"/>
        <v>-5</v>
      </c>
      <c r="K150" s="17">
        <f t="shared" si="13"/>
        <v>-50</v>
      </c>
      <c r="L150" s="17"/>
      <c r="M150" s="19">
        <f t="shared" si="14"/>
        <v>0</v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5"/>
        <v>-5</v>
      </c>
      <c r="K151" s="17">
        <f t="shared" si="13"/>
        <v>-50</v>
      </c>
      <c r="L151" s="17"/>
      <c r="M151" s="19">
        <f t="shared" si="14"/>
        <v>0</v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5"/>
        <v>-5</v>
      </c>
      <c r="K152" s="17">
        <f t="shared" si="13"/>
        <v>-50</v>
      </c>
      <c r="L152" s="17"/>
      <c r="M152" s="19">
        <f t="shared" si="14"/>
        <v>0</v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5"/>
        <v>-5</v>
      </c>
      <c r="K153" s="17">
        <f t="shared" si="13"/>
        <v>-50</v>
      </c>
      <c r="L153" s="17"/>
      <c r="M153" s="19">
        <f t="shared" si="14"/>
        <v>0</v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5"/>
        <v>-5</v>
      </c>
      <c r="K154" s="17">
        <f t="shared" si="13"/>
        <v>-50</v>
      </c>
      <c r="L154" s="17"/>
      <c r="M154" s="19">
        <f t="shared" si="14"/>
        <v>0</v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5"/>
        <v>-5</v>
      </c>
      <c r="K155" s="17">
        <f t="shared" si="13"/>
        <v>-50</v>
      </c>
      <c r="L155" s="17"/>
      <c r="M155" s="19">
        <f t="shared" si="14"/>
        <v>0</v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5"/>
        <v>-5</v>
      </c>
      <c r="K156" s="17">
        <f t="shared" si="13"/>
        <v>-50</v>
      </c>
      <c r="L156" s="17"/>
      <c r="M156" s="19">
        <f t="shared" si="14"/>
        <v>0</v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5"/>
        <v>-5</v>
      </c>
      <c r="K157" s="17">
        <f t="shared" si="13"/>
        <v>-50</v>
      </c>
      <c r="L157" s="17"/>
      <c r="M157" s="19">
        <f t="shared" si="14"/>
        <v>0</v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5"/>
        <v>-5</v>
      </c>
      <c r="K158" s="17">
        <f t="shared" si="13"/>
        <v>-50</v>
      </c>
      <c r="L158" s="17"/>
      <c r="M158" s="19">
        <f t="shared" si="14"/>
        <v>0</v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5"/>
        <v>-5</v>
      </c>
      <c r="K159" s="17">
        <f t="shared" si="13"/>
        <v>-50</v>
      </c>
      <c r="L159" s="17"/>
      <c r="M159" s="19">
        <f t="shared" si="14"/>
        <v>0</v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5"/>
        <v>-5</v>
      </c>
      <c r="K160" s="17">
        <f t="shared" si="13"/>
        <v>-50</v>
      </c>
      <c r="L160" s="17"/>
      <c r="M160" s="19">
        <f t="shared" si="14"/>
        <v>0</v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5"/>
        <v>-5</v>
      </c>
      <c r="K161" s="17">
        <f t="shared" si="13"/>
        <v>-50</v>
      </c>
      <c r="L161" s="17"/>
      <c r="M161" s="19">
        <f t="shared" si="14"/>
        <v>0</v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5"/>
        <v>-5</v>
      </c>
      <c r="K162" s="17">
        <f t="shared" si="13"/>
        <v>-50</v>
      </c>
      <c r="L162" s="17"/>
      <c r="M162" s="19">
        <f t="shared" si="14"/>
        <v>0</v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5"/>
        <v>-5</v>
      </c>
      <c r="K163" s="17">
        <f t="shared" si="13"/>
        <v>-50</v>
      </c>
      <c r="L163" s="17"/>
      <c r="M163" s="19">
        <f t="shared" si="14"/>
        <v>0</v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5"/>
        <v>-5</v>
      </c>
      <c r="K164" s="17">
        <f t="shared" si="13"/>
        <v>-50</v>
      </c>
      <c r="L164" s="17"/>
      <c r="M164" s="19">
        <f t="shared" si="14"/>
        <v>0</v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5"/>
        <v>-5</v>
      </c>
      <c r="K165" s="17">
        <f t="shared" si="13"/>
        <v>-50</v>
      </c>
      <c r="L165" s="17"/>
      <c r="M165" s="19">
        <f t="shared" si="14"/>
        <v>0</v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5"/>
        <v>-5</v>
      </c>
      <c r="K166" s="17">
        <f t="shared" si="13"/>
        <v>-50</v>
      </c>
      <c r="L166" s="17"/>
      <c r="M166" s="19">
        <f t="shared" si="14"/>
        <v>0</v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5"/>
        <v>-5</v>
      </c>
      <c r="K167" s="17">
        <f t="shared" si="13"/>
        <v>-50</v>
      </c>
      <c r="L167" s="17"/>
      <c r="M167" s="19">
        <f t="shared" si="14"/>
        <v>0</v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5"/>
        <v>-5</v>
      </c>
      <c r="K168" s="17">
        <f t="shared" si="13"/>
        <v>-50</v>
      </c>
      <c r="L168" s="17"/>
      <c r="M168" s="19">
        <f t="shared" si="14"/>
        <v>0</v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5"/>
        <v>-5</v>
      </c>
      <c r="K169" s="17">
        <f t="shared" si="13"/>
        <v>-50</v>
      </c>
      <c r="L169" s="17"/>
      <c r="M169" s="19">
        <f t="shared" si="14"/>
        <v>0</v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5"/>
        <v>-5</v>
      </c>
      <c r="K170" s="17">
        <f t="shared" si="13"/>
        <v>-50</v>
      </c>
      <c r="L170" s="17"/>
      <c r="M170" s="19">
        <f t="shared" si="14"/>
        <v>0</v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5"/>
        <v>-5</v>
      </c>
      <c r="K171" s="17">
        <f t="shared" si="13"/>
        <v>-50</v>
      </c>
      <c r="L171" s="17"/>
      <c r="M171" s="19">
        <f t="shared" si="14"/>
        <v>0</v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5"/>
        <v>-5</v>
      </c>
      <c r="K172" s="17">
        <f t="shared" si="13"/>
        <v>-50</v>
      </c>
      <c r="L172" s="17"/>
      <c r="M172" s="19">
        <f t="shared" si="14"/>
        <v>0</v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5"/>
        <v>-5</v>
      </c>
      <c r="K173" s="17">
        <f t="shared" si="13"/>
        <v>-50</v>
      </c>
      <c r="L173" s="17"/>
      <c r="M173" s="19">
        <f t="shared" si="14"/>
        <v>0</v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5"/>
        <v>-5</v>
      </c>
      <c r="K174" s="17">
        <f t="shared" si="13"/>
        <v>-50</v>
      </c>
      <c r="L174" s="17"/>
      <c r="M174" s="19">
        <f t="shared" si="14"/>
        <v>0</v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5"/>
        <v>-5</v>
      </c>
      <c r="K175" s="17">
        <f t="shared" si="13"/>
        <v>-50</v>
      </c>
      <c r="L175" s="17"/>
      <c r="M175" s="19">
        <f t="shared" si="14"/>
        <v>0</v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5"/>
        <v>-5</v>
      </c>
      <c r="K176" s="17">
        <f t="shared" si="13"/>
        <v>-50</v>
      </c>
      <c r="L176" s="17"/>
      <c r="M176" s="19">
        <f t="shared" si="14"/>
        <v>0</v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5"/>
        <v>-5</v>
      </c>
      <c r="K177" s="17">
        <f t="shared" si="13"/>
        <v>-50</v>
      </c>
      <c r="L177" s="17"/>
      <c r="M177" s="19">
        <f t="shared" si="14"/>
        <v>0</v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5"/>
        <v>-5</v>
      </c>
      <c r="K178" s="17">
        <f t="shared" si="13"/>
        <v>-50</v>
      </c>
      <c r="L178" s="17"/>
      <c r="M178" s="19">
        <f t="shared" si="14"/>
        <v>0</v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5"/>
        <v>-5</v>
      </c>
      <c r="K179" s="17">
        <f t="shared" si="13"/>
        <v>-50</v>
      </c>
      <c r="L179" s="17"/>
      <c r="M179" s="19">
        <f t="shared" si="14"/>
        <v>0</v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5"/>
        <v>-5</v>
      </c>
      <c r="K180" s="17">
        <f t="shared" si="13"/>
        <v>-50</v>
      </c>
      <c r="L180" s="17"/>
      <c r="M180" s="19">
        <f t="shared" si="14"/>
        <v>0</v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5"/>
        <v>-5</v>
      </c>
      <c r="K181" s="17">
        <f t="shared" si="13"/>
        <v>-50</v>
      </c>
      <c r="L181" s="17"/>
      <c r="M181" s="19">
        <f t="shared" si="14"/>
        <v>0</v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5"/>
        <v>-5</v>
      </c>
      <c r="K182" s="17">
        <f t="shared" si="13"/>
        <v>-50</v>
      </c>
      <c r="L182" s="17"/>
      <c r="M182" s="19">
        <f t="shared" si="14"/>
        <v>0</v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5"/>
        <v>-5</v>
      </c>
      <c r="K183" s="17">
        <f t="shared" si="13"/>
        <v>-50</v>
      </c>
      <c r="L183" s="17"/>
      <c r="M183" s="19">
        <f t="shared" si="14"/>
        <v>0</v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5"/>
        <v>-5</v>
      </c>
      <c r="K184" s="17">
        <f t="shared" si="13"/>
        <v>-50</v>
      </c>
      <c r="L184" s="17"/>
      <c r="M184" s="19">
        <f t="shared" si="14"/>
        <v>0</v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5"/>
        <v>-5</v>
      </c>
      <c r="K185" s="17">
        <f t="shared" si="13"/>
        <v>-50</v>
      </c>
      <c r="L185" s="17"/>
      <c r="M185" s="19">
        <f t="shared" si="14"/>
        <v>0</v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5"/>
        <v>-5</v>
      </c>
      <c r="K186" s="17">
        <f t="shared" si="13"/>
        <v>-50</v>
      </c>
      <c r="L186" s="17"/>
      <c r="M186" s="19">
        <f t="shared" si="14"/>
        <v>0</v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5"/>
        <v>-5</v>
      </c>
      <c r="K187" s="17">
        <f t="shared" si="13"/>
        <v>-50</v>
      </c>
      <c r="L187" s="17"/>
      <c r="M187" s="19">
        <f t="shared" si="14"/>
        <v>0</v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5"/>
        <v>-5</v>
      </c>
      <c r="K188" s="17">
        <f t="shared" si="13"/>
        <v>-50</v>
      </c>
      <c r="L188" s="17"/>
      <c r="M188" s="19">
        <f t="shared" si="14"/>
        <v>0</v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5"/>
        <v>-5</v>
      </c>
      <c r="K189" s="17">
        <f t="shared" si="13"/>
        <v>-50</v>
      </c>
      <c r="L189" s="17"/>
      <c r="M189" s="19">
        <f t="shared" si="14"/>
        <v>0</v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5"/>
        <v>-5</v>
      </c>
      <c r="K190" s="17">
        <f t="shared" si="13"/>
        <v>-50</v>
      </c>
      <c r="L190" s="17"/>
      <c r="M190" s="19">
        <f t="shared" si="14"/>
        <v>0</v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5"/>
        <v>-5</v>
      </c>
      <c r="K191" s="17">
        <f t="shared" si="13"/>
        <v>-50</v>
      </c>
      <c r="L191" s="17"/>
      <c r="M191" s="19">
        <f t="shared" si="14"/>
        <v>0</v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5"/>
        <v>-5</v>
      </c>
      <c r="K192" s="17">
        <f t="shared" si="13"/>
        <v>-50</v>
      </c>
      <c r="L192" s="17"/>
      <c r="M192" s="19">
        <f t="shared" si="14"/>
        <v>0</v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5"/>
        <v>-5</v>
      </c>
      <c r="K193" s="17">
        <f t="shared" si="13"/>
        <v>-50</v>
      </c>
      <c r="L193" s="17"/>
      <c r="M193" s="19">
        <f t="shared" si="14"/>
        <v>0</v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5"/>
        <v>-5</v>
      </c>
      <c r="K194" s="17">
        <f t="shared" si="13"/>
        <v>-50</v>
      </c>
      <c r="L194" s="17"/>
      <c r="M194" s="19">
        <f t="shared" si="14"/>
        <v>0</v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5"/>
        <v>-5</v>
      </c>
      <c r="K195" s="17">
        <f t="shared" si="13"/>
        <v>-50</v>
      </c>
      <c r="L195" s="17"/>
      <c r="M195" s="19">
        <f t="shared" si="14"/>
        <v>0</v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5"/>
        <v>-5</v>
      </c>
      <c r="K196" s="17">
        <f t="shared" si="13"/>
        <v>-50</v>
      </c>
      <c r="L196" s="17"/>
      <c r="M196" s="19">
        <f t="shared" si="14"/>
        <v>0</v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5"/>
        <v>-5</v>
      </c>
      <c r="K197" s="17">
        <f t="shared" si="13"/>
        <v>-50</v>
      </c>
      <c r="L197" s="17"/>
      <c r="M197" s="19">
        <f t="shared" si="14"/>
        <v>0</v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-5</v>
      </c>
      <c r="K198" s="17">
        <f t="shared" ref="K198:K261" si="17">J198*$J$2</f>
        <v>-50</v>
      </c>
      <c r="L198" s="17"/>
      <c r="M198" s="19">
        <f t="shared" ref="M198:M261" si="18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-5</v>
      </c>
      <c r="K199" s="17">
        <f t="shared" si="17"/>
        <v>-50</v>
      </c>
      <c r="L199" s="17"/>
      <c r="M199" s="19">
        <f t="shared" si="18"/>
        <v>0</v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9"/>
        <v>-5</v>
      </c>
      <c r="K200" s="17">
        <f t="shared" si="17"/>
        <v>-50</v>
      </c>
      <c r="L200" s="17"/>
      <c r="M200" s="19">
        <f t="shared" si="18"/>
        <v>0</v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9"/>
        <v>-5</v>
      </c>
      <c r="K201" s="17">
        <f t="shared" si="17"/>
        <v>-50</v>
      </c>
      <c r="L201" s="17"/>
      <c r="M201" s="19">
        <f t="shared" si="18"/>
        <v>0</v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9"/>
        <v>-5</v>
      </c>
      <c r="K202" s="17">
        <f t="shared" si="17"/>
        <v>-50</v>
      </c>
      <c r="L202" s="17"/>
      <c r="M202" s="19">
        <f t="shared" si="18"/>
        <v>0</v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9"/>
        <v>-5</v>
      </c>
      <c r="K203" s="17">
        <f t="shared" si="17"/>
        <v>-50</v>
      </c>
      <c r="L203" s="17"/>
      <c r="M203" s="19">
        <f t="shared" si="18"/>
        <v>0</v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9"/>
        <v>-5</v>
      </c>
      <c r="K204" s="17">
        <f t="shared" si="17"/>
        <v>-50</v>
      </c>
      <c r="L204" s="17"/>
      <c r="M204" s="19">
        <f t="shared" si="18"/>
        <v>0</v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9"/>
        <v>-5</v>
      </c>
      <c r="K205" s="17">
        <f t="shared" si="17"/>
        <v>-50</v>
      </c>
      <c r="L205" s="17"/>
      <c r="M205" s="19">
        <f t="shared" si="18"/>
        <v>0</v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9"/>
        <v>-5</v>
      </c>
      <c r="K206" s="17">
        <f t="shared" si="17"/>
        <v>-50</v>
      </c>
      <c r="L206" s="17"/>
      <c r="M206" s="19">
        <f t="shared" si="18"/>
        <v>0</v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9"/>
        <v>-5</v>
      </c>
      <c r="K207" s="17">
        <f t="shared" si="17"/>
        <v>-50</v>
      </c>
      <c r="L207" s="17"/>
      <c r="M207" s="19">
        <f t="shared" si="18"/>
        <v>0</v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9"/>
        <v>-5</v>
      </c>
      <c r="K208" s="17">
        <f t="shared" si="17"/>
        <v>-50</v>
      </c>
      <c r="L208" s="17"/>
      <c r="M208" s="19">
        <f t="shared" si="18"/>
        <v>0</v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9"/>
        <v>-5</v>
      </c>
      <c r="K209" s="17">
        <f t="shared" si="17"/>
        <v>-50</v>
      </c>
      <c r="L209" s="17"/>
      <c r="M209" s="19">
        <f t="shared" si="18"/>
        <v>0</v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9"/>
        <v>-5</v>
      </c>
      <c r="K210" s="17">
        <f t="shared" si="17"/>
        <v>-50</v>
      </c>
      <c r="L210" s="17"/>
      <c r="M210" s="19">
        <f t="shared" si="18"/>
        <v>0</v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9"/>
        <v>-5</v>
      </c>
      <c r="K211" s="17">
        <f t="shared" si="17"/>
        <v>-50</v>
      </c>
      <c r="L211" s="17"/>
      <c r="M211" s="19">
        <f t="shared" si="18"/>
        <v>0</v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9"/>
        <v>-5</v>
      </c>
      <c r="K212" s="17">
        <f t="shared" si="17"/>
        <v>-50</v>
      </c>
      <c r="L212" s="17"/>
      <c r="M212" s="19">
        <f t="shared" si="18"/>
        <v>0</v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9"/>
        <v>-5</v>
      </c>
      <c r="K213" s="17">
        <f t="shared" si="17"/>
        <v>-50</v>
      </c>
      <c r="L213" s="17"/>
      <c r="M213" s="19">
        <f t="shared" si="18"/>
        <v>0</v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9"/>
        <v>-5</v>
      </c>
      <c r="K214" s="17">
        <f t="shared" si="17"/>
        <v>-50</v>
      </c>
      <c r="L214" s="17"/>
      <c r="M214" s="19">
        <f t="shared" si="18"/>
        <v>0</v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9"/>
        <v>-5</v>
      </c>
      <c r="K215" s="17">
        <f t="shared" si="17"/>
        <v>-50</v>
      </c>
      <c r="L215" s="17"/>
      <c r="M215" s="19">
        <f t="shared" si="18"/>
        <v>0</v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9"/>
        <v>-5</v>
      </c>
      <c r="K216" s="17">
        <f t="shared" si="17"/>
        <v>-50</v>
      </c>
      <c r="L216" s="17"/>
      <c r="M216" s="19">
        <f t="shared" si="18"/>
        <v>0</v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9"/>
        <v>-5</v>
      </c>
      <c r="K217" s="17">
        <f t="shared" si="17"/>
        <v>-50</v>
      </c>
      <c r="L217" s="17"/>
      <c r="M217" s="19">
        <f t="shared" si="18"/>
        <v>0</v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9"/>
        <v>-5</v>
      </c>
      <c r="K218" s="17">
        <f t="shared" si="17"/>
        <v>-50</v>
      </c>
      <c r="L218" s="17"/>
      <c r="M218" s="19">
        <f t="shared" si="18"/>
        <v>0</v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9"/>
        <v>-5</v>
      </c>
      <c r="K219" s="17">
        <f t="shared" si="17"/>
        <v>-50</v>
      </c>
      <c r="L219" s="17"/>
      <c r="M219" s="19">
        <f t="shared" si="18"/>
        <v>0</v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9"/>
        <v>-5</v>
      </c>
      <c r="K220" s="17">
        <f t="shared" si="17"/>
        <v>-50</v>
      </c>
      <c r="L220" s="17"/>
      <c r="M220" s="19">
        <f t="shared" si="18"/>
        <v>0</v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9"/>
        <v>-5</v>
      </c>
      <c r="K221" s="17">
        <f t="shared" si="17"/>
        <v>-50</v>
      </c>
      <c r="L221" s="17"/>
      <c r="M221" s="19">
        <f t="shared" si="18"/>
        <v>0</v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9"/>
        <v>-5</v>
      </c>
      <c r="K222" s="17">
        <f t="shared" si="17"/>
        <v>-50</v>
      </c>
      <c r="L222" s="17"/>
      <c r="M222" s="19">
        <f t="shared" si="18"/>
        <v>0</v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9"/>
        <v>-5</v>
      </c>
      <c r="K223" s="17">
        <f t="shared" si="17"/>
        <v>-50</v>
      </c>
      <c r="L223" s="17"/>
      <c r="M223" s="19">
        <f t="shared" si="18"/>
        <v>0</v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9"/>
        <v>-5</v>
      </c>
      <c r="K224" s="17">
        <f t="shared" si="17"/>
        <v>-50</v>
      </c>
      <c r="L224" s="17"/>
      <c r="M224" s="19">
        <f t="shared" si="18"/>
        <v>0</v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9"/>
        <v>-5</v>
      </c>
      <c r="K225" s="17">
        <f t="shared" si="17"/>
        <v>-50</v>
      </c>
      <c r="L225" s="17"/>
      <c r="M225" s="19">
        <f t="shared" si="18"/>
        <v>0</v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9"/>
        <v>-5</v>
      </c>
      <c r="K226" s="17">
        <f t="shared" si="17"/>
        <v>-50</v>
      </c>
      <c r="L226" s="17"/>
      <c r="M226" s="19">
        <f t="shared" si="18"/>
        <v>0</v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9"/>
        <v>-5</v>
      </c>
      <c r="K227" s="17">
        <f t="shared" si="17"/>
        <v>-50</v>
      </c>
      <c r="L227" s="17"/>
      <c r="M227" s="19">
        <f t="shared" si="18"/>
        <v>0</v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9"/>
        <v>-5</v>
      </c>
      <c r="K228" s="17">
        <f t="shared" si="17"/>
        <v>-50</v>
      </c>
      <c r="L228" s="17"/>
      <c r="M228" s="19">
        <f t="shared" si="18"/>
        <v>0</v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9"/>
        <v>-5</v>
      </c>
      <c r="K229" s="17">
        <f t="shared" si="17"/>
        <v>-50</v>
      </c>
      <c r="L229" s="17"/>
      <c r="M229" s="19">
        <f t="shared" si="18"/>
        <v>0</v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9"/>
        <v>-5</v>
      </c>
      <c r="K230" s="17">
        <f t="shared" si="17"/>
        <v>-50</v>
      </c>
      <c r="L230" s="17"/>
      <c r="M230" s="19">
        <f t="shared" si="18"/>
        <v>0</v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9"/>
        <v>-5</v>
      </c>
      <c r="K231" s="17">
        <f t="shared" si="17"/>
        <v>-50</v>
      </c>
      <c r="L231" s="17"/>
      <c r="M231" s="19">
        <f t="shared" si="18"/>
        <v>0</v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9"/>
        <v>-5</v>
      </c>
      <c r="K232" s="17">
        <f t="shared" si="17"/>
        <v>-50</v>
      </c>
      <c r="L232" s="17"/>
      <c r="M232" s="19">
        <f t="shared" si="18"/>
        <v>0</v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9"/>
        <v>-5</v>
      </c>
      <c r="K233" s="17">
        <f t="shared" si="17"/>
        <v>-50</v>
      </c>
      <c r="L233" s="17"/>
      <c r="M233" s="19">
        <f t="shared" si="18"/>
        <v>0</v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9"/>
        <v>-5</v>
      </c>
      <c r="K234" s="17">
        <f t="shared" si="17"/>
        <v>-50</v>
      </c>
      <c r="L234" s="17"/>
      <c r="M234" s="19">
        <f t="shared" si="18"/>
        <v>0</v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9"/>
        <v>-5</v>
      </c>
      <c r="K235" s="17">
        <f t="shared" si="17"/>
        <v>-50</v>
      </c>
      <c r="L235" s="17"/>
      <c r="M235" s="19">
        <f t="shared" si="18"/>
        <v>0</v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9"/>
        <v>-5</v>
      </c>
      <c r="K236" s="17">
        <f t="shared" si="17"/>
        <v>-50</v>
      </c>
      <c r="L236" s="17"/>
      <c r="M236" s="19">
        <f t="shared" si="18"/>
        <v>0</v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9"/>
        <v>-5</v>
      </c>
      <c r="K237" s="17">
        <f t="shared" si="17"/>
        <v>-50</v>
      </c>
      <c r="L237" s="17"/>
      <c r="M237" s="19">
        <f t="shared" si="18"/>
        <v>0</v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9"/>
        <v>-5</v>
      </c>
      <c r="K238" s="17">
        <f t="shared" si="17"/>
        <v>-50</v>
      </c>
      <c r="L238" s="17"/>
      <c r="M238" s="19">
        <f t="shared" si="18"/>
        <v>0</v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9"/>
        <v>-5</v>
      </c>
      <c r="K239" s="17">
        <f t="shared" si="17"/>
        <v>-50</v>
      </c>
      <c r="L239" s="17"/>
      <c r="M239" s="19">
        <f t="shared" si="18"/>
        <v>0</v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9"/>
        <v>-5</v>
      </c>
      <c r="K240" s="17">
        <f t="shared" si="17"/>
        <v>-50</v>
      </c>
      <c r="L240" s="17"/>
      <c r="M240" s="19">
        <f t="shared" si="18"/>
        <v>0</v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9"/>
        <v>-5</v>
      </c>
      <c r="K241" s="17">
        <f t="shared" si="17"/>
        <v>-50</v>
      </c>
      <c r="L241" s="17"/>
      <c r="M241" s="19">
        <f t="shared" si="18"/>
        <v>0</v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9"/>
        <v>-5</v>
      </c>
      <c r="K242" s="17">
        <f t="shared" si="17"/>
        <v>-50</v>
      </c>
      <c r="L242" s="17"/>
      <c r="M242" s="19">
        <f t="shared" si="18"/>
        <v>0</v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9"/>
        <v>-5</v>
      </c>
      <c r="K243" s="17">
        <f t="shared" si="17"/>
        <v>-50</v>
      </c>
      <c r="L243" s="17"/>
      <c r="M243" s="19">
        <f t="shared" si="18"/>
        <v>0</v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9"/>
        <v>-5</v>
      </c>
      <c r="K244" s="17">
        <f t="shared" si="17"/>
        <v>-50</v>
      </c>
      <c r="L244" s="17"/>
      <c r="M244" s="19">
        <f t="shared" si="18"/>
        <v>0</v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9"/>
        <v>-5</v>
      </c>
      <c r="K245" s="17">
        <f t="shared" si="17"/>
        <v>-50</v>
      </c>
      <c r="L245" s="17"/>
      <c r="M245" s="19">
        <f t="shared" si="18"/>
        <v>0</v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9"/>
        <v>-5</v>
      </c>
      <c r="K246" s="17">
        <f t="shared" si="17"/>
        <v>-50</v>
      </c>
      <c r="L246" s="17"/>
      <c r="M246" s="19">
        <f t="shared" si="18"/>
        <v>0</v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9"/>
        <v>-5</v>
      </c>
      <c r="K247" s="17">
        <f t="shared" si="17"/>
        <v>-50</v>
      </c>
      <c r="L247" s="17"/>
      <c r="M247" s="19">
        <f t="shared" si="18"/>
        <v>0</v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9"/>
        <v>-5</v>
      </c>
      <c r="K248" s="17">
        <f t="shared" si="17"/>
        <v>-50</v>
      </c>
      <c r="L248" s="17"/>
      <c r="M248" s="19">
        <f t="shared" si="18"/>
        <v>0</v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9"/>
        <v>-5</v>
      </c>
      <c r="K249" s="17">
        <f t="shared" si="17"/>
        <v>-50</v>
      </c>
      <c r="L249" s="17"/>
      <c r="M249" s="19">
        <f t="shared" si="18"/>
        <v>0</v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9"/>
        <v>-5</v>
      </c>
      <c r="K250" s="17">
        <f t="shared" si="17"/>
        <v>-50</v>
      </c>
      <c r="L250" s="17"/>
      <c r="M250" s="19">
        <f t="shared" si="18"/>
        <v>0</v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9"/>
        <v>-5</v>
      </c>
      <c r="K251" s="17">
        <f t="shared" si="17"/>
        <v>-50</v>
      </c>
      <c r="L251" s="17"/>
      <c r="M251" s="19">
        <f t="shared" si="18"/>
        <v>0</v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9"/>
        <v>-5</v>
      </c>
      <c r="K252" s="17">
        <f t="shared" si="17"/>
        <v>-50</v>
      </c>
      <c r="L252" s="17"/>
      <c r="M252" s="19">
        <f t="shared" si="18"/>
        <v>0</v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9"/>
        <v>-5</v>
      </c>
      <c r="K253" s="17">
        <f t="shared" si="17"/>
        <v>-50</v>
      </c>
      <c r="L253" s="17"/>
      <c r="M253" s="19">
        <f t="shared" si="18"/>
        <v>0</v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9"/>
        <v>-5</v>
      </c>
      <c r="K254" s="17">
        <f t="shared" si="17"/>
        <v>-50</v>
      </c>
      <c r="L254" s="17"/>
      <c r="M254" s="19">
        <f t="shared" si="18"/>
        <v>0</v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9"/>
        <v>-5</v>
      </c>
      <c r="K255" s="17">
        <f t="shared" si="17"/>
        <v>-50</v>
      </c>
      <c r="L255" s="17"/>
      <c r="M255" s="19">
        <f t="shared" si="18"/>
        <v>0</v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9"/>
        <v>-5</v>
      </c>
      <c r="K256" s="17">
        <f t="shared" si="17"/>
        <v>-50</v>
      </c>
      <c r="L256" s="17"/>
      <c r="M256" s="19">
        <f t="shared" si="18"/>
        <v>0</v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9"/>
        <v>-5</v>
      </c>
      <c r="K257" s="17">
        <f t="shared" si="17"/>
        <v>-50</v>
      </c>
      <c r="L257" s="17"/>
      <c r="M257" s="19">
        <f t="shared" si="18"/>
        <v>0</v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9"/>
        <v>-5</v>
      </c>
      <c r="K258" s="17">
        <f t="shared" si="17"/>
        <v>-50</v>
      </c>
      <c r="L258" s="17"/>
      <c r="M258" s="19">
        <f t="shared" si="18"/>
        <v>0</v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9"/>
        <v>-5</v>
      </c>
      <c r="K259" s="17">
        <f t="shared" si="17"/>
        <v>-50</v>
      </c>
      <c r="L259" s="17"/>
      <c r="M259" s="19">
        <f t="shared" si="18"/>
        <v>0</v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9"/>
        <v>-5</v>
      </c>
      <c r="K260" s="17">
        <f t="shared" si="17"/>
        <v>-50</v>
      </c>
      <c r="L260" s="17"/>
      <c r="M260" s="19">
        <f t="shared" si="18"/>
        <v>0</v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9"/>
        <v>-5</v>
      </c>
      <c r="K261" s="17">
        <f t="shared" si="17"/>
        <v>-50</v>
      </c>
      <c r="L261" s="17"/>
      <c r="M261" s="19">
        <f t="shared" si="18"/>
        <v>0</v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-6</v>
      </c>
      <c r="K262" s="17">
        <f t="shared" ref="K262:K305" si="21">J262*$J$2</f>
        <v>-60</v>
      </c>
      <c r="L262" s="17"/>
      <c r="M262" s="19">
        <f t="shared" ref="M262:M305" si="22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-6</v>
      </c>
      <c r="K263" s="17">
        <f t="shared" si="21"/>
        <v>-60</v>
      </c>
      <c r="L263" s="17"/>
      <c r="M263" s="19">
        <f t="shared" si="22"/>
        <v>0</v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3"/>
        <v>-6</v>
      </c>
      <c r="K264" s="17">
        <f t="shared" si="21"/>
        <v>-60</v>
      </c>
      <c r="L264" s="17"/>
      <c r="M264" s="19">
        <f t="shared" si="22"/>
        <v>0</v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3"/>
        <v>-6</v>
      </c>
      <c r="K265" s="17">
        <f t="shared" si="21"/>
        <v>-60</v>
      </c>
      <c r="L265" s="17"/>
      <c r="M265" s="19">
        <f t="shared" si="22"/>
        <v>0</v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3"/>
        <v>-6</v>
      </c>
      <c r="K266" s="17">
        <f t="shared" si="21"/>
        <v>-60</v>
      </c>
      <c r="L266" s="17"/>
      <c r="M266" s="19">
        <f t="shared" si="22"/>
        <v>0</v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3"/>
        <v>-6</v>
      </c>
      <c r="K267" s="17">
        <f t="shared" si="21"/>
        <v>-60</v>
      </c>
      <c r="L267" s="17"/>
      <c r="M267" s="19">
        <f t="shared" si="22"/>
        <v>0</v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3"/>
        <v>-6</v>
      </c>
      <c r="K268" s="17">
        <f t="shared" si="21"/>
        <v>-60</v>
      </c>
      <c r="L268" s="17"/>
      <c r="M268" s="19">
        <f t="shared" si="22"/>
        <v>0</v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3"/>
        <v>-6</v>
      </c>
      <c r="K269" s="17">
        <f t="shared" si="21"/>
        <v>-60</v>
      </c>
      <c r="L269" s="17"/>
      <c r="M269" s="19">
        <f t="shared" si="22"/>
        <v>0</v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3"/>
        <v>-6</v>
      </c>
      <c r="K270" s="17">
        <f t="shared" si="21"/>
        <v>-60</v>
      </c>
      <c r="L270" s="17"/>
      <c r="M270" s="19">
        <f t="shared" si="22"/>
        <v>0</v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3"/>
        <v>-6</v>
      </c>
      <c r="K271" s="17">
        <f t="shared" si="21"/>
        <v>-60</v>
      </c>
      <c r="L271" s="17"/>
      <c r="M271" s="19">
        <f t="shared" si="22"/>
        <v>0</v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3"/>
        <v>-6</v>
      </c>
      <c r="K272" s="17">
        <f t="shared" si="21"/>
        <v>-60</v>
      </c>
      <c r="L272" s="17"/>
      <c r="M272" s="19">
        <f t="shared" si="22"/>
        <v>0</v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3"/>
        <v>-6</v>
      </c>
      <c r="K273" s="17">
        <f t="shared" si="21"/>
        <v>-60</v>
      </c>
      <c r="L273" s="17"/>
      <c r="M273" s="19">
        <f t="shared" si="22"/>
        <v>0</v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3"/>
        <v>-6</v>
      </c>
      <c r="K274" s="17">
        <f t="shared" si="21"/>
        <v>-60</v>
      </c>
      <c r="L274" s="17"/>
      <c r="M274" s="19">
        <f t="shared" si="22"/>
        <v>0</v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3"/>
        <v>-6</v>
      </c>
      <c r="K275" s="17">
        <f t="shared" si="21"/>
        <v>-60</v>
      </c>
      <c r="L275" s="17"/>
      <c r="M275" s="19">
        <f t="shared" si="22"/>
        <v>0</v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3"/>
        <v>-6</v>
      </c>
      <c r="K276" s="17">
        <f t="shared" si="21"/>
        <v>-60</v>
      </c>
      <c r="L276" s="17"/>
      <c r="M276" s="19">
        <f t="shared" si="22"/>
        <v>0</v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3"/>
        <v>-6</v>
      </c>
      <c r="K277" s="17">
        <f t="shared" si="21"/>
        <v>-60</v>
      </c>
      <c r="L277" s="17"/>
      <c r="M277" s="19">
        <f t="shared" si="22"/>
        <v>0</v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3"/>
        <v>-6</v>
      </c>
      <c r="K278" s="17">
        <f t="shared" si="21"/>
        <v>-60</v>
      </c>
      <c r="L278" s="17"/>
      <c r="M278" s="19">
        <f t="shared" si="22"/>
        <v>0</v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3"/>
        <v>-6</v>
      </c>
      <c r="K279" s="17">
        <f t="shared" si="21"/>
        <v>-60</v>
      </c>
      <c r="L279" s="17"/>
      <c r="M279" s="19">
        <f t="shared" si="22"/>
        <v>0</v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3"/>
        <v>-6</v>
      </c>
      <c r="K280" s="17">
        <f t="shared" si="21"/>
        <v>-60</v>
      </c>
      <c r="L280" s="17"/>
      <c r="M280" s="19">
        <f t="shared" si="22"/>
        <v>0</v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3"/>
        <v>-6</v>
      </c>
      <c r="K281" s="17">
        <f t="shared" si="21"/>
        <v>-60</v>
      </c>
      <c r="L281" s="17"/>
      <c r="M281" s="19">
        <f t="shared" si="22"/>
        <v>0</v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3"/>
        <v>-6</v>
      </c>
      <c r="K282" s="17">
        <f t="shared" si="21"/>
        <v>-60</v>
      </c>
      <c r="L282" s="17"/>
      <c r="M282" s="19">
        <f t="shared" si="22"/>
        <v>0</v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3"/>
        <v>-6</v>
      </c>
      <c r="K283" s="17">
        <f t="shared" si="21"/>
        <v>-60</v>
      </c>
      <c r="L283" s="17"/>
      <c r="M283" s="19">
        <f t="shared" si="22"/>
        <v>0</v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3"/>
        <v>-6</v>
      </c>
      <c r="K284" s="17">
        <f t="shared" si="21"/>
        <v>-60</v>
      </c>
      <c r="L284" s="17"/>
      <c r="M284" s="19">
        <f t="shared" si="22"/>
        <v>0</v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3"/>
        <v>-6</v>
      </c>
      <c r="K285" s="17">
        <f t="shared" si="21"/>
        <v>-60</v>
      </c>
      <c r="L285" s="17"/>
      <c r="M285" s="19">
        <f t="shared" si="22"/>
        <v>0</v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3"/>
        <v>-6</v>
      </c>
      <c r="K286" s="17">
        <f t="shared" si="21"/>
        <v>-60</v>
      </c>
      <c r="L286" s="17"/>
      <c r="M286" s="19">
        <f t="shared" si="22"/>
        <v>0</v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3"/>
        <v>-6</v>
      </c>
      <c r="K287" s="17">
        <f t="shared" si="21"/>
        <v>-60</v>
      </c>
      <c r="L287" s="17"/>
      <c r="M287" s="19">
        <f t="shared" si="22"/>
        <v>0</v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3"/>
        <v>-6</v>
      </c>
      <c r="K288" s="17">
        <f t="shared" si="21"/>
        <v>-60</v>
      </c>
      <c r="L288" s="17"/>
      <c r="M288" s="19">
        <f t="shared" si="22"/>
        <v>0</v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3"/>
        <v>-6</v>
      </c>
      <c r="K289" s="17">
        <f t="shared" si="21"/>
        <v>-60</v>
      </c>
      <c r="L289" s="17"/>
      <c r="M289" s="19">
        <f t="shared" si="22"/>
        <v>0</v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3"/>
        <v>-6</v>
      </c>
      <c r="K290" s="17">
        <f t="shared" si="21"/>
        <v>-60</v>
      </c>
      <c r="L290" s="17"/>
      <c r="M290" s="19">
        <f t="shared" si="22"/>
        <v>0</v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3"/>
        <v>-6</v>
      </c>
      <c r="K291" s="17">
        <f t="shared" si="21"/>
        <v>-60</v>
      </c>
      <c r="L291" s="17"/>
      <c r="M291" s="19">
        <f t="shared" si="22"/>
        <v>0</v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3"/>
        <v>-6</v>
      </c>
      <c r="K292" s="17">
        <f t="shared" si="21"/>
        <v>-60</v>
      </c>
      <c r="L292" s="17"/>
      <c r="M292" s="19">
        <f t="shared" si="22"/>
        <v>0</v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3"/>
        <v>-6</v>
      </c>
      <c r="K293" s="17">
        <f t="shared" si="21"/>
        <v>-60</v>
      </c>
      <c r="L293" s="17"/>
      <c r="M293" s="19">
        <f t="shared" si="22"/>
        <v>0</v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3"/>
        <v>-6</v>
      </c>
      <c r="K294" s="17">
        <f t="shared" si="21"/>
        <v>-60</v>
      </c>
      <c r="L294" s="17"/>
      <c r="M294" s="19">
        <f t="shared" si="22"/>
        <v>0</v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3"/>
        <v>-6</v>
      </c>
      <c r="K295" s="17">
        <f t="shared" si="21"/>
        <v>-60</v>
      </c>
      <c r="L295" s="17"/>
      <c r="M295" s="19">
        <f t="shared" si="22"/>
        <v>0</v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3"/>
        <v>-6</v>
      </c>
      <c r="K296" s="17">
        <f t="shared" si="21"/>
        <v>-60</v>
      </c>
      <c r="L296" s="17"/>
      <c r="M296" s="19">
        <f t="shared" si="22"/>
        <v>0</v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3"/>
        <v>-6</v>
      </c>
      <c r="K297" s="17">
        <f t="shared" si="21"/>
        <v>-60</v>
      </c>
      <c r="L297" s="17"/>
      <c r="M297" s="19">
        <f t="shared" si="22"/>
        <v>0</v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3"/>
        <v>-6</v>
      </c>
      <c r="K298" s="17">
        <f t="shared" si="21"/>
        <v>-60</v>
      </c>
      <c r="L298" s="17"/>
      <c r="M298" s="19">
        <f t="shared" si="22"/>
        <v>0</v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3"/>
        <v>-6</v>
      </c>
      <c r="K299" s="17">
        <f t="shared" si="21"/>
        <v>-60</v>
      </c>
      <c r="L299" s="17"/>
      <c r="M299" s="19">
        <f t="shared" si="22"/>
        <v>0</v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3"/>
        <v>-6</v>
      </c>
      <c r="K300" s="17">
        <f t="shared" si="21"/>
        <v>-60</v>
      </c>
      <c r="L300" s="17"/>
      <c r="M300" s="19">
        <f t="shared" si="22"/>
        <v>0</v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3"/>
        <v>-6</v>
      </c>
      <c r="K301" s="17">
        <f t="shared" si="21"/>
        <v>-60</v>
      </c>
      <c r="L301" s="17"/>
      <c r="M301" s="19">
        <f t="shared" si="22"/>
        <v>0</v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3"/>
        <v>-6</v>
      </c>
      <c r="K302" s="17">
        <f t="shared" si="21"/>
        <v>-60</v>
      </c>
      <c r="L302" s="17"/>
      <c r="M302" s="19">
        <f t="shared" si="22"/>
        <v>0</v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3"/>
        <v>-6</v>
      </c>
      <c r="K303" s="17">
        <f t="shared" si="21"/>
        <v>-60</v>
      </c>
      <c r="L303" s="17"/>
      <c r="M303" s="19">
        <f t="shared" si="22"/>
        <v>0</v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3"/>
        <v>-6</v>
      </c>
      <c r="K304" s="17">
        <f t="shared" si="21"/>
        <v>-60</v>
      </c>
      <c r="L304" s="17"/>
      <c r="M304" s="19">
        <f t="shared" si="22"/>
        <v>0</v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3"/>
        <v>-6</v>
      </c>
      <c r="K305" s="17">
        <f t="shared" si="21"/>
        <v>-60</v>
      </c>
      <c r="L305" s="17"/>
      <c r="M305" s="19">
        <f t="shared" si="22"/>
        <v>0</v>
      </c>
    </row>
    <row r="306" spans="1:16">
      <c r="A306" s="4"/>
      <c r="J306" s="20" t="e">
        <f t="shared" si="23"/>
        <v>#NUM!</v>
      </c>
    </row>
    <row r="307" spans="1:16">
      <c r="J307" s="20" t="e">
        <f t="shared" si="23"/>
        <v>#NUM!</v>
      </c>
    </row>
    <row r="308" spans="1:16">
      <c r="J308" s="20" t="e">
        <f t="shared" si="23"/>
        <v>#NUM!</v>
      </c>
    </row>
    <row r="309" spans="1:16">
      <c r="J309" s="20" t="e">
        <f t="shared" si="23"/>
        <v>#NUM!</v>
      </c>
    </row>
    <row r="310" spans="1:16">
      <c r="J310" s="20" t="e">
        <f t="shared" si="23"/>
        <v>#NUM!</v>
      </c>
    </row>
    <row r="311" spans="1:16">
      <c r="J311" s="20" t="e">
        <f t="shared" si="23"/>
        <v>#NUM!</v>
      </c>
    </row>
    <row r="312" spans="1:16">
      <c r="J312" s="20" t="e">
        <f t="shared" si="23"/>
        <v>#NUM!</v>
      </c>
    </row>
    <row r="313" spans="1:16">
      <c r="J313" s="20" t="e">
        <f t="shared" si="23"/>
        <v>#NUM!</v>
      </c>
    </row>
    <row r="314" spans="1:16">
      <c r="J314" s="20" t="e">
        <f t="shared" si="23"/>
        <v>#NUM!</v>
      </c>
      <c r="L314" s="21"/>
      <c r="P314" s="49"/>
    </row>
    <row r="315" spans="1:16">
      <c r="J315" s="20" t="e">
        <f t="shared" si="23"/>
        <v>#NUM!</v>
      </c>
      <c r="L315" s="21"/>
      <c r="P315" s="49"/>
    </row>
    <row r="316" spans="1:16">
      <c r="J316" s="20" t="e">
        <f t="shared" si="23"/>
        <v>#NUM!</v>
      </c>
      <c r="L316" s="21"/>
      <c r="P316" s="49"/>
    </row>
    <row r="317" spans="1:16">
      <c r="J317" s="20" t="e">
        <f t="shared" si="23"/>
        <v>#NUM!</v>
      </c>
      <c r="L317" s="21"/>
      <c r="P317" s="49"/>
    </row>
    <row r="318" spans="1:16">
      <c r="J318" s="20" t="e">
        <f t="shared" si="23"/>
        <v>#NUM!</v>
      </c>
    </row>
    <row r="319" spans="1:16">
      <c r="J319" s="20" t="e">
        <f t="shared" si="23"/>
        <v>#NUM!</v>
      </c>
    </row>
    <row r="320" spans="1:16">
      <c r="J320" s="20" t="e">
        <f t="shared" si="23"/>
        <v>#NUM!</v>
      </c>
    </row>
    <row r="321" spans="10:10">
      <c r="J321" s="20" t="e">
        <f t="shared" si="23"/>
        <v>#NUM!</v>
      </c>
    </row>
    <row r="322" spans="10:10">
      <c r="J322" s="20" t="e">
        <f t="shared" si="23"/>
        <v>#NUM!</v>
      </c>
    </row>
    <row r="323" spans="10:10">
      <c r="J323" s="20" t="e">
        <f t="shared" si="23"/>
        <v>#NUM!</v>
      </c>
    </row>
    <row r="324" spans="10:10">
      <c r="J324" s="20" t="e">
        <f t="shared" si="23"/>
        <v>#NUM!</v>
      </c>
    </row>
    <row r="325" spans="10:10">
      <c r="J325" s="20" t="e">
        <f t="shared" si="23"/>
        <v>#NUM!</v>
      </c>
    </row>
    <row r="326" spans="10:10">
      <c r="J326" s="20" t="e">
        <f t="shared" si="23"/>
        <v>#NUM!</v>
      </c>
    </row>
    <row r="327" spans="10:10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  <row r="374" spans="10:10">
      <c r="J374" s="20" t="e">
        <f t="shared" si="24"/>
        <v>#NUM!</v>
      </c>
    </row>
    <row r="375" spans="10:10">
      <c r="J375" s="20" t="e">
        <f t="shared" si="24"/>
        <v>#NUM!</v>
      </c>
    </row>
    <row r="376" spans="10:10">
      <c r="J376" s="20" t="e">
        <f t="shared" si="24"/>
        <v>#NUM!</v>
      </c>
    </row>
    <row r="377" spans="10:10">
      <c r="J377" s="20" t="e">
        <f t="shared" si="24"/>
        <v>#NUM!</v>
      </c>
    </row>
    <row r="378" spans="10:10">
      <c r="J378" s="20" t="e">
        <f t="shared" si="24"/>
        <v>#NUM!</v>
      </c>
    </row>
    <row r="379" spans="10:10">
      <c r="J379" s="20" t="e">
        <f t="shared" si="24"/>
        <v>#NUM!</v>
      </c>
    </row>
    <row r="380" spans="10:10">
      <c r="J380" s="20" t="e">
        <f t="shared" si="24"/>
        <v>#NUM!</v>
      </c>
    </row>
    <row r="381" spans="10:10">
      <c r="J381" s="20" t="e">
        <f t="shared" si="24"/>
        <v>#NUM!</v>
      </c>
    </row>
    <row r="382" spans="10:10">
      <c r="J382" s="20" t="e">
        <f t="shared" si="24"/>
        <v>#NUM!</v>
      </c>
    </row>
    <row r="383" spans="10:10">
      <c r="J383" s="20" t="e">
        <f t="shared" si="24"/>
        <v>#NUM!</v>
      </c>
    </row>
    <row r="384" spans="10:10">
      <c r="J384" s="20" t="e">
        <f t="shared" si="24"/>
        <v>#NUM!</v>
      </c>
    </row>
    <row r="385" spans="10:10">
      <c r="J385" s="20" t="e">
        <f t="shared" si="24"/>
        <v>#NUM!</v>
      </c>
    </row>
    <row r="386" spans="10:10">
      <c r="J386" s="20" t="e">
        <f t="shared" si="24"/>
        <v>#NUM!</v>
      </c>
    </row>
    <row r="387" spans="10:10">
      <c r="J387" s="20" t="e">
        <f t="shared" si="24"/>
        <v>#NUM!</v>
      </c>
    </row>
    <row r="388" spans="10:10">
      <c r="J388" s="20" t="e">
        <f t="shared" si="24"/>
        <v>#NUM!</v>
      </c>
    </row>
    <row r="389" spans="10:10">
      <c r="J389" s="20" t="e">
        <f t="shared" si="24"/>
        <v>#NUM!</v>
      </c>
    </row>
    <row r="390" spans="10:10">
      <c r="J390" s="20" t="e">
        <f t="shared" si="24"/>
        <v>#NUM!</v>
      </c>
    </row>
    <row r="391" spans="10:10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>
      <c r="J392" s="20" t="e">
        <f t="shared" si="25"/>
        <v>#NUM!</v>
      </c>
    </row>
    <row r="393" spans="10:10">
      <c r="J393" s="20" t="e">
        <f t="shared" si="25"/>
        <v>#NUM!</v>
      </c>
    </row>
    <row r="394" spans="10:10">
      <c r="J394" s="20" t="e">
        <f t="shared" si="25"/>
        <v>#NUM!</v>
      </c>
    </row>
    <row r="395" spans="10:10">
      <c r="J395" s="20" t="e">
        <f t="shared" si="25"/>
        <v>#NUM!</v>
      </c>
    </row>
    <row r="396" spans="10:10">
      <c r="J396" s="20" t="e">
        <f t="shared" si="25"/>
        <v>#NUM!</v>
      </c>
    </row>
    <row r="397" spans="10:10">
      <c r="J397" s="20" t="e">
        <f t="shared" si="25"/>
        <v>#NUM!</v>
      </c>
    </row>
    <row r="398" spans="10:10">
      <c r="J398" s="20" t="e">
        <f t="shared" si="25"/>
        <v>#NUM!</v>
      </c>
    </row>
    <row r="399" spans="10:10">
      <c r="J399" s="20" t="e">
        <f t="shared" si="25"/>
        <v>#NUM!</v>
      </c>
    </row>
    <row r="400" spans="10:10">
      <c r="J400" s="20" t="e">
        <f t="shared" si="25"/>
        <v>#NUM!</v>
      </c>
    </row>
    <row r="401" spans="10:10">
      <c r="J401" s="20" t="e">
        <f t="shared" si="25"/>
        <v>#NUM!</v>
      </c>
    </row>
    <row r="402" spans="10:10">
      <c r="J402" s="20" t="e">
        <f t="shared" si="25"/>
        <v>#NUM!</v>
      </c>
    </row>
    <row r="403" spans="10:10">
      <c r="J403" s="20" t="e">
        <f t="shared" si="25"/>
        <v>#NUM!</v>
      </c>
    </row>
    <row r="404" spans="10:10">
      <c r="J404" s="20" t="e">
        <f t="shared" si="25"/>
        <v>#NUM!</v>
      </c>
    </row>
    <row r="405" spans="10:10">
      <c r="J405" s="20" t="e">
        <f t="shared" si="25"/>
        <v>#NUM!</v>
      </c>
    </row>
    <row r="406" spans="10:10">
      <c r="J406" s="20" t="e">
        <f t="shared" si="25"/>
        <v>#NUM!</v>
      </c>
    </row>
    <row r="407" spans="10:10">
      <c r="J407" s="20" t="e">
        <f t="shared" si="25"/>
        <v>#NUM!</v>
      </c>
    </row>
    <row r="408" spans="10:10">
      <c r="J408" s="20" t="e">
        <f t="shared" si="25"/>
        <v>#NUM!</v>
      </c>
    </row>
    <row r="409" spans="10:10">
      <c r="J409" s="20" t="e">
        <f t="shared" si="25"/>
        <v>#NUM!</v>
      </c>
    </row>
    <row r="410" spans="10:10">
      <c r="J410" s="20" t="e">
        <f t="shared" si="25"/>
        <v>#NUM!</v>
      </c>
    </row>
    <row r="411" spans="10:10">
      <c r="J411" s="20" t="e">
        <f t="shared" si="25"/>
        <v>#NUM!</v>
      </c>
    </row>
    <row r="412" spans="10:10">
      <c r="J412" s="20" t="e">
        <f t="shared" si="25"/>
        <v>#NUM!</v>
      </c>
    </row>
    <row r="413" spans="10:10">
      <c r="J413" s="20" t="e">
        <f t="shared" si="25"/>
        <v>#NUM!</v>
      </c>
    </row>
    <row r="414" spans="10:10">
      <c r="J414" s="20" t="e">
        <f t="shared" si="25"/>
        <v>#NUM!</v>
      </c>
    </row>
    <row r="415" spans="10:10">
      <c r="J415" s="20" t="e">
        <f t="shared" si="25"/>
        <v>#NUM!</v>
      </c>
    </row>
    <row r="416" spans="10:10">
      <c r="J416" s="20" t="e">
        <f t="shared" si="25"/>
        <v>#NUM!</v>
      </c>
    </row>
    <row r="417" spans="10:10">
      <c r="J417" s="20" t="e">
        <f t="shared" si="25"/>
        <v>#NUM!</v>
      </c>
    </row>
    <row r="418" spans="10:10">
      <c r="J418" s="20" t="e">
        <f t="shared" si="25"/>
        <v>#NUM!</v>
      </c>
    </row>
    <row r="419" spans="10:10">
      <c r="J419" s="20" t="e">
        <f t="shared" si="25"/>
        <v>#NUM!</v>
      </c>
    </row>
    <row r="420" spans="10:10">
      <c r="J420" s="20" t="e">
        <f t="shared" si="25"/>
        <v>#NUM!</v>
      </c>
    </row>
    <row r="421" spans="10:10">
      <c r="J421" s="20" t="e">
        <f t="shared" si="25"/>
        <v>#NUM!</v>
      </c>
    </row>
    <row r="422" spans="10:10">
      <c r="J422" s="20" t="e">
        <f t="shared" si="25"/>
        <v>#NUM!</v>
      </c>
    </row>
    <row r="423" spans="10:10">
      <c r="J423" s="20" t="e">
        <f t="shared" si="25"/>
        <v>#NUM!</v>
      </c>
    </row>
    <row r="424" spans="10:10">
      <c r="J424" s="20" t="e">
        <f t="shared" si="25"/>
        <v>#NUM!</v>
      </c>
    </row>
    <row r="425" spans="10:10">
      <c r="J425" s="20" t="e">
        <f t="shared" si="25"/>
        <v>#NUM!</v>
      </c>
    </row>
    <row r="426" spans="10:10">
      <c r="J426" s="20" t="e">
        <f t="shared" si="25"/>
        <v>#NUM!</v>
      </c>
    </row>
    <row r="427" spans="10:10">
      <c r="J427" s="20" t="e">
        <f t="shared" si="25"/>
        <v>#NUM!</v>
      </c>
    </row>
    <row r="428" spans="10:10">
      <c r="J428" s="20" t="e">
        <f t="shared" si="25"/>
        <v>#NUM!</v>
      </c>
    </row>
    <row r="429" spans="10:10">
      <c r="J429" s="20" t="e">
        <f t="shared" si="25"/>
        <v>#NUM!</v>
      </c>
    </row>
    <row r="430" spans="10:10">
      <c r="J430" s="20" t="e">
        <f t="shared" si="25"/>
        <v>#NUM!</v>
      </c>
    </row>
    <row r="431" spans="10:10">
      <c r="J431" s="20" t="e">
        <f t="shared" si="25"/>
        <v>#NUM!</v>
      </c>
    </row>
    <row r="432" spans="10:10">
      <c r="J432" s="20" t="e">
        <f t="shared" si="25"/>
        <v>#NUM!</v>
      </c>
    </row>
    <row r="433" spans="10:10">
      <c r="J433" s="20" t="e">
        <f t="shared" si="25"/>
        <v>#NUM!</v>
      </c>
    </row>
    <row r="434" spans="10:10">
      <c r="J434" s="20" t="e">
        <f t="shared" si="25"/>
        <v>#NUM!</v>
      </c>
    </row>
    <row r="435" spans="10:10">
      <c r="J435" s="20" t="e">
        <f t="shared" si="25"/>
        <v>#NUM!</v>
      </c>
    </row>
    <row r="436" spans="10:10">
      <c r="J436" s="20" t="e">
        <f t="shared" si="25"/>
        <v>#NUM!</v>
      </c>
    </row>
    <row r="437" spans="10:10">
      <c r="J437" s="20" t="e">
        <f t="shared" si="25"/>
        <v>#NUM!</v>
      </c>
    </row>
    <row r="438" spans="10:10">
      <c r="J438" s="20" t="e">
        <f t="shared" si="25"/>
        <v>#NUM!</v>
      </c>
    </row>
    <row r="439" spans="10:10">
      <c r="J439" s="20" t="e">
        <f t="shared" si="25"/>
        <v>#NUM!</v>
      </c>
    </row>
    <row r="440" spans="10:10">
      <c r="J440" s="20" t="e">
        <f t="shared" si="25"/>
        <v>#NUM!</v>
      </c>
    </row>
    <row r="441" spans="10:10">
      <c r="J441" s="20" t="e">
        <f t="shared" si="25"/>
        <v>#NUM!</v>
      </c>
    </row>
    <row r="442" spans="10:10">
      <c r="J442" s="20" t="e">
        <f t="shared" si="25"/>
        <v>#NUM!</v>
      </c>
    </row>
    <row r="443" spans="10:10">
      <c r="J443" s="20" t="e">
        <f t="shared" si="25"/>
        <v>#NUM!</v>
      </c>
    </row>
    <row r="444" spans="10:10">
      <c r="J444" s="20" t="e">
        <f t="shared" si="25"/>
        <v>#NUM!</v>
      </c>
    </row>
    <row r="445" spans="10:10">
      <c r="J445" s="20" t="e">
        <f t="shared" si="25"/>
        <v>#NUM!</v>
      </c>
    </row>
    <row r="446" spans="10:10">
      <c r="J446" s="20" t="e">
        <f t="shared" si="25"/>
        <v>#NUM!</v>
      </c>
    </row>
    <row r="447" spans="10:10">
      <c r="J447" s="20" t="e">
        <f t="shared" si="25"/>
        <v>#NUM!</v>
      </c>
    </row>
    <row r="448" spans="10:10">
      <c r="J448" s="20" t="e">
        <f t="shared" si="25"/>
        <v>#NUM!</v>
      </c>
    </row>
    <row r="449" spans="10:10">
      <c r="J449" s="20" t="e">
        <f t="shared" si="25"/>
        <v>#NUM!</v>
      </c>
    </row>
    <row r="450" spans="10:10">
      <c r="J450" s="20" t="e">
        <f t="shared" si="25"/>
        <v>#NUM!</v>
      </c>
    </row>
    <row r="451" spans="10:10">
      <c r="J451" s="20" t="e">
        <f t="shared" si="25"/>
        <v>#NUM!</v>
      </c>
    </row>
    <row r="452" spans="10:10">
      <c r="J452" s="20" t="e">
        <f t="shared" si="25"/>
        <v>#NUM!</v>
      </c>
    </row>
    <row r="453" spans="10:10">
      <c r="J453" s="20" t="e">
        <f t="shared" si="25"/>
        <v>#NUM!</v>
      </c>
    </row>
    <row r="454" spans="10:10">
      <c r="J454" s="20" t="e">
        <f t="shared" si="25"/>
        <v>#NUM!</v>
      </c>
    </row>
    <row r="455" spans="10:10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>
      <c r="J456" s="20" t="e">
        <f t="shared" si="26"/>
        <v>#NUM!</v>
      </c>
    </row>
    <row r="457" spans="10:10">
      <c r="J457" s="20" t="e">
        <f t="shared" si="26"/>
        <v>#NUM!</v>
      </c>
    </row>
    <row r="458" spans="10:10">
      <c r="J458" s="20" t="e">
        <f t="shared" si="26"/>
        <v>#NUM!</v>
      </c>
    </row>
    <row r="459" spans="10:10">
      <c r="J459" s="20" t="e">
        <f t="shared" si="26"/>
        <v>#NUM!</v>
      </c>
    </row>
    <row r="460" spans="10:10">
      <c r="J460" s="20" t="e">
        <f t="shared" si="26"/>
        <v>#NUM!</v>
      </c>
    </row>
    <row r="461" spans="10:10">
      <c r="J461" s="20" t="e">
        <f t="shared" si="26"/>
        <v>#NUM!</v>
      </c>
    </row>
    <row r="462" spans="10:10">
      <c r="J462" s="20" t="e">
        <f t="shared" si="26"/>
        <v>#NUM!</v>
      </c>
    </row>
    <row r="463" spans="10:10">
      <c r="J463" s="20" t="e">
        <f t="shared" si="26"/>
        <v>#NUM!</v>
      </c>
    </row>
    <row r="464" spans="10:10">
      <c r="J464" s="20" t="e">
        <f t="shared" si="26"/>
        <v>#NUM!</v>
      </c>
    </row>
    <row r="465" spans="10:10">
      <c r="J465" s="20" t="e">
        <f t="shared" si="26"/>
        <v>#NUM!</v>
      </c>
    </row>
    <row r="466" spans="10:10">
      <c r="J466" s="20" t="e">
        <f t="shared" si="26"/>
        <v>#NUM!</v>
      </c>
    </row>
    <row r="467" spans="10:10">
      <c r="J467" s="20" t="e">
        <f t="shared" si="26"/>
        <v>#NUM!</v>
      </c>
    </row>
    <row r="468" spans="10:10">
      <c r="J468" s="20" t="e">
        <f t="shared" si="26"/>
        <v>#NUM!</v>
      </c>
    </row>
    <row r="469" spans="10:10">
      <c r="J469" s="20" t="e">
        <f t="shared" si="26"/>
        <v>#NUM!</v>
      </c>
    </row>
    <row r="470" spans="10:10">
      <c r="J470" s="20" t="e">
        <f t="shared" si="26"/>
        <v>#NUM!</v>
      </c>
    </row>
    <row r="471" spans="10:10">
      <c r="J471" s="20" t="e">
        <f t="shared" si="26"/>
        <v>#NUM!</v>
      </c>
    </row>
    <row r="472" spans="10:10">
      <c r="J472" s="20" t="e">
        <f t="shared" si="26"/>
        <v>#NUM!</v>
      </c>
    </row>
    <row r="473" spans="10:10">
      <c r="J473" s="20" t="e">
        <f t="shared" si="26"/>
        <v>#NUM!</v>
      </c>
    </row>
    <row r="474" spans="10:10">
      <c r="J474" s="20" t="e">
        <f t="shared" si="26"/>
        <v>#NUM!</v>
      </c>
    </row>
    <row r="475" spans="10:10">
      <c r="J475" s="20" t="e">
        <f t="shared" si="26"/>
        <v>#NUM!</v>
      </c>
    </row>
    <row r="476" spans="10:10">
      <c r="J476" s="20" t="e">
        <f t="shared" si="26"/>
        <v>#NUM!</v>
      </c>
    </row>
    <row r="477" spans="10:10">
      <c r="J477" s="20" t="e">
        <f t="shared" si="26"/>
        <v>#NUM!</v>
      </c>
    </row>
    <row r="478" spans="10:10">
      <c r="J478" s="20" t="e">
        <f t="shared" si="26"/>
        <v>#NUM!</v>
      </c>
    </row>
    <row r="479" spans="10:10">
      <c r="J479" s="20" t="e">
        <f t="shared" si="26"/>
        <v>#NUM!</v>
      </c>
    </row>
    <row r="480" spans="10:10">
      <c r="J480" s="20" t="e">
        <f t="shared" si="26"/>
        <v>#NUM!</v>
      </c>
    </row>
    <row r="481" spans="10:10">
      <c r="J481" s="20" t="e">
        <f t="shared" si="26"/>
        <v>#NUM!</v>
      </c>
    </row>
    <row r="482" spans="10:10">
      <c r="J482" s="20" t="e">
        <f t="shared" si="26"/>
        <v>#NUM!</v>
      </c>
    </row>
    <row r="483" spans="10:10">
      <c r="J483" s="20" t="e">
        <f t="shared" si="26"/>
        <v>#NUM!</v>
      </c>
    </row>
    <row r="484" spans="10:10">
      <c r="J484" s="20" t="e">
        <f t="shared" si="26"/>
        <v>#NUM!</v>
      </c>
    </row>
    <row r="485" spans="10:10">
      <c r="J485" s="20" t="e">
        <f t="shared" si="26"/>
        <v>#NUM!</v>
      </c>
    </row>
    <row r="486" spans="10:10">
      <c r="J486" s="20" t="e">
        <f t="shared" si="26"/>
        <v>#NUM!</v>
      </c>
    </row>
    <row r="487" spans="10:10">
      <c r="J487" s="20" t="e">
        <f t="shared" si="26"/>
        <v>#NUM!</v>
      </c>
    </row>
    <row r="488" spans="10:10">
      <c r="J488" s="20" t="e">
        <f t="shared" si="26"/>
        <v>#NUM!</v>
      </c>
    </row>
    <row r="489" spans="10:10">
      <c r="J489" s="20" t="e">
        <f t="shared" si="26"/>
        <v>#NUM!</v>
      </c>
    </row>
    <row r="490" spans="10:10">
      <c r="J490" s="20" t="e">
        <f t="shared" si="26"/>
        <v>#NUM!</v>
      </c>
    </row>
    <row r="491" spans="10:10">
      <c r="J491" s="20" t="e">
        <f t="shared" si="26"/>
        <v>#NUM!</v>
      </c>
    </row>
    <row r="492" spans="10:10">
      <c r="J492" s="20" t="e">
        <f t="shared" si="26"/>
        <v>#NUM!</v>
      </c>
    </row>
    <row r="493" spans="10:10">
      <c r="J493" s="20" t="e">
        <f t="shared" si="26"/>
        <v>#NUM!</v>
      </c>
    </row>
    <row r="494" spans="10:10">
      <c r="J494" s="20" t="e">
        <f t="shared" si="26"/>
        <v>#NUM!</v>
      </c>
    </row>
    <row r="495" spans="10:10">
      <c r="J495" s="20" t="e">
        <f t="shared" si="26"/>
        <v>#NUM!</v>
      </c>
    </row>
    <row r="496" spans="10:10">
      <c r="J496" s="20" t="e">
        <f t="shared" si="26"/>
        <v>#NUM!</v>
      </c>
    </row>
    <row r="497" spans="10:10">
      <c r="J497" s="20" t="e">
        <f t="shared" si="26"/>
        <v>#NUM!</v>
      </c>
    </row>
    <row r="498" spans="10:10">
      <c r="J498" s="20" t="e">
        <f t="shared" si="26"/>
        <v>#NUM!</v>
      </c>
    </row>
    <row r="499" spans="10:10">
      <c r="J499" s="20" t="e">
        <f t="shared" si="26"/>
        <v>#NUM!</v>
      </c>
    </row>
    <row r="500" spans="10:10">
      <c r="J500" s="20" t="e">
        <f t="shared" si="26"/>
        <v>#NUM!</v>
      </c>
    </row>
    <row r="501" spans="10:10">
      <c r="J501" s="20" t="e">
        <f t="shared" si="26"/>
        <v>#NUM!</v>
      </c>
    </row>
    <row r="502" spans="10:10">
      <c r="J502" s="20" t="e">
        <f t="shared" si="26"/>
        <v>#NUM!</v>
      </c>
    </row>
    <row r="503" spans="10:10">
      <c r="J503" s="20" t="e">
        <f t="shared" si="26"/>
        <v>#NUM!</v>
      </c>
    </row>
    <row r="504" spans="10:10">
      <c r="J504" s="20" t="e">
        <f t="shared" si="26"/>
        <v>#NUM!</v>
      </c>
    </row>
    <row r="505" spans="10:10">
      <c r="J505" s="20" t="e">
        <f t="shared" si="26"/>
        <v>#NUM!</v>
      </c>
    </row>
    <row r="506" spans="10:10">
      <c r="J506" s="20" t="e">
        <f t="shared" si="26"/>
        <v>#NUM!</v>
      </c>
    </row>
    <row r="507" spans="10:10">
      <c r="J507" s="20" t="e">
        <f t="shared" si="26"/>
        <v>#NUM!</v>
      </c>
    </row>
    <row r="508" spans="10:10">
      <c r="J508" s="20" t="e">
        <f t="shared" si="26"/>
        <v>#NUM!</v>
      </c>
    </row>
    <row r="509" spans="10:10">
      <c r="J509" s="20" t="e">
        <f t="shared" si="26"/>
        <v>#NUM!</v>
      </c>
    </row>
    <row r="510" spans="10:10">
      <c r="J510" s="20" t="e">
        <f t="shared" si="26"/>
        <v>#NUM!</v>
      </c>
    </row>
    <row r="511" spans="10:10">
      <c r="J511" s="20" t="e">
        <f t="shared" si="26"/>
        <v>#NUM!</v>
      </c>
    </row>
    <row r="512" spans="10:10">
      <c r="J512" s="20" t="e">
        <f t="shared" si="26"/>
        <v>#NUM!</v>
      </c>
    </row>
    <row r="513" spans="10:10">
      <c r="J513" s="20" t="e">
        <f t="shared" si="26"/>
        <v>#NUM!</v>
      </c>
    </row>
    <row r="514" spans="10:10">
      <c r="J514" s="20" t="e">
        <f t="shared" si="26"/>
        <v>#NUM!</v>
      </c>
    </row>
    <row r="515" spans="10:10">
      <c r="J515" s="20" t="e">
        <f t="shared" si="26"/>
        <v>#NUM!</v>
      </c>
    </row>
    <row r="516" spans="10:10">
      <c r="J516" s="20" t="e">
        <f t="shared" si="26"/>
        <v>#NUM!</v>
      </c>
    </row>
    <row r="517" spans="10:10">
      <c r="J517" s="20" t="e">
        <f t="shared" si="26"/>
        <v>#NUM!</v>
      </c>
    </row>
    <row r="518" spans="10:10">
      <c r="J518" s="20" t="e">
        <f t="shared" si="26"/>
        <v>#NUM!</v>
      </c>
    </row>
    <row r="519" spans="10:10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>
      <c r="J520" s="20" t="e">
        <f t="shared" si="27"/>
        <v>#NUM!</v>
      </c>
    </row>
    <row r="521" spans="10:10">
      <c r="J521" s="20" t="e">
        <f t="shared" si="27"/>
        <v>#NUM!</v>
      </c>
    </row>
    <row r="522" spans="10:10">
      <c r="J522" s="20" t="e">
        <f t="shared" si="27"/>
        <v>#NUM!</v>
      </c>
    </row>
    <row r="523" spans="10:10">
      <c r="J523" s="20" t="e">
        <f t="shared" si="27"/>
        <v>#NUM!</v>
      </c>
    </row>
    <row r="524" spans="10:10">
      <c r="J524" s="20" t="e">
        <f t="shared" si="27"/>
        <v>#NUM!</v>
      </c>
    </row>
    <row r="525" spans="10:10">
      <c r="J525" s="20" t="e">
        <f t="shared" si="27"/>
        <v>#NUM!</v>
      </c>
    </row>
    <row r="526" spans="10:10">
      <c r="J526" s="20" t="e">
        <f t="shared" si="27"/>
        <v>#NUM!</v>
      </c>
    </row>
    <row r="527" spans="10:10">
      <c r="J527" s="20" t="e">
        <f t="shared" si="27"/>
        <v>#NUM!</v>
      </c>
    </row>
    <row r="528" spans="10:10">
      <c r="J528" s="20" t="e">
        <f t="shared" si="27"/>
        <v>#NUM!</v>
      </c>
    </row>
    <row r="529" spans="10:10">
      <c r="J529" s="20" t="e">
        <f t="shared" si="27"/>
        <v>#NUM!</v>
      </c>
    </row>
    <row r="530" spans="10:10">
      <c r="J530" s="20" t="e">
        <f t="shared" si="27"/>
        <v>#NUM!</v>
      </c>
    </row>
    <row r="531" spans="10:10">
      <c r="J531" s="20" t="e">
        <f t="shared" si="27"/>
        <v>#NUM!</v>
      </c>
    </row>
    <row r="532" spans="10:10">
      <c r="J532" s="20" t="e">
        <f t="shared" si="27"/>
        <v>#NUM!</v>
      </c>
    </row>
    <row r="533" spans="10:10">
      <c r="J533" s="20" t="e">
        <f t="shared" si="27"/>
        <v>#NUM!</v>
      </c>
    </row>
    <row r="534" spans="10:10">
      <c r="J534" s="20" t="e">
        <f t="shared" si="27"/>
        <v>#NUM!</v>
      </c>
    </row>
    <row r="535" spans="10:10">
      <c r="J535" s="20" t="e">
        <f t="shared" si="27"/>
        <v>#NUM!</v>
      </c>
    </row>
    <row r="536" spans="10:10">
      <c r="J536" s="20" t="e">
        <f t="shared" si="27"/>
        <v>#NUM!</v>
      </c>
    </row>
    <row r="537" spans="10:10">
      <c r="J537" s="20" t="e">
        <f t="shared" si="27"/>
        <v>#NUM!</v>
      </c>
    </row>
    <row r="538" spans="10:10">
      <c r="J538" s="20" t="e">
        <f t="shared" si="27"/>
        <v>#NUM!</v>
      </c>
    </row>
    <row r="539" spans="10:10">
      <c r="J539" s="20" t="e">
        <f t="shared" si="27"/>
        <v>#NUM!</v>
      </c>
    </row>
    <row r="540" spans="10:10">
      <c r="J540" s="20" t="e">
        <f t="shared" si="27"/>
        <v>#NUM!</v>
      </c>
    </row>
    <row r="541" spans="10:10">
      <c r="J541" s="20" t="e">
        <f t="shared" si="27"/>
        <v>#NUM!</v>
      </c>
    </row>
    <row r="542" spans="10:10">
      <c r="J542" s="20" t="e">
        <f t="shared" si="27"/>
        <v>#NUM!</v>
      </c>
    </row>
    <row r="543" spans="10:10">
      <c r="J543" s="20" t="e">
        <f t="shared" si="27"/>
        <v>#NUM!</v>
      </c>
    </row>
    <row r="544" spans="10:10">
      <c r="J544" s="20" t="e">
        <f t="shared" si="27"/>
        <v>#NUM!</v>
      </c>
    </row>
    <row r="545" spans="10:10">
      <c r="J545" s="20" t="e">
        <f t="shared" si="27"/>
        <v>#NUM!</v>
      </c>
    </row>
    <row r="546" spans="10:10">
      <c r="J546" s="20" t="e">
        <f t="shared" si="27"/>
        <v>#NUM!</v>
      </c>
    </row>
    <row r="547" spans="10:10">
      <c r="J547" s="20" t="e">
        <f t="shared" si="27"/>
        <v>#NUM!</v>
      </c>
    </row>
    <row r="548" spans="10:10">
      <c r="J548" s="20" t="e">
        <f t="shared" si="27"/>
        <v>#NUM!</v>
      </c>
    </row>
    <row r="549" spans="10:10">
      <c r="J549" s="20" t="e">
        <f t="shared" si="27"/>
        <v>#NUM!</v>
      </c>
    </row>
    <row r="550" spans="10:10">
      <c r="J550" s="20" t="e">
        <f t="shared" si="27"/>
        <v>#NUM!</v>
      </c>
    </row>
    <row r="551" spans="10:10">
      <c r="J551" s="20" t="e">
        <f t="shared" si="27"/>
        <v>#NUM!</v>
      </c>
    </row>
    <row r="552" spans="10:10">
      <c r="J552" s="20" t="e">
        <f t="shared" si="27"/>
        <v>#NUM!</v>
      </c>
    </row>
    <row r="553" spans="10:10">
      <c r="J553" s="20" t="e">
        <f t="shared" si="27"/>
        <v>#NUM!</v>
      </c>
    </row>
    <row r="554" spans="10:10">
      <c r="J554" s="20" t="e">
        <f t="shared" si="27"/>
        <v>#NUM!</v>
      </c>
    </row>
    <row r="555" spans="10:10">
      <c r="J555" s="20" t="e">
        <f t="shared" si="27"/>
        <v>#NUM!</v>
      </c>
    </row>
    <row r="556" spans="10:10">
      <c r="J556" s="20" t="e">
        <f t="shared" si="27"/>
        <v>#NUM!</v>
      </c>
    </row>
    <row r="557" spans="10:10">
      <c r="J557" s="20" t="e">
        <f t="shared" si="27"/>
        <v>#NUM!</v>
      </c>
    </row>
    <row r="558" spans="10:10">
      <c r="J558" s="20" t="e">
        <f t="shared" si="27"/>
        <v>#NUM!</v>
      </c>
    </row>
    <row r="559" spans="10:10">
      <c r="J559" s="20" t="e">
        <f t="shared" si="27"/>
        <v>#NUM!</v>
      </c>
    </row>
    <row r="560" spans="10:10">
      <c r="J560" s="20" t="e">
        <f t="shared" si="27"/>
        <v>#NUM!</v>
      </c>
    </row>
    <row r="561" spans="10:10">
      <c r="J561" s="20" t="e">
        <f t="shared" si="27"/>
        <v>#NUM!</v>
      </c>
    </row>
    <row r="562" spans="10:10">
      <c r="J562" s="20" t="e">
        <f t="shared" si="27"/>
        <v>#NUM!</v>
      </c>
    </row>
    <row r="563" spans="10:10">
      <c r="J563" s="20" t="e">
        <f t="shared" si="27"/>
        <v>#NUM!</v>
      </c>
    </row>
    <row r="564" spans="10:10">
      <c r="J564" s="20" t="e">
        <f t="shared" si="27"/>
        <v>#NUM!</v>
      </c>
    </row>
    <row r="565" spans="10:10">
      <c r="J565" s="20" t="e">
        <f t="shared" si="27"/>
        <v>#NUM!</v>
      </c>
    </row>
    <row r="566" spans="10:10">
      <c r="J566" s="20" t="e">
        <f t="shared" si="27"/>
        <v>#NUM!</v>
      </c>
    </row>
    <row r="567" spans="10:10">
      <c r="J567" s="20" t="e">
        <f t="shared" si="27"/>
        <v>#NUM!</v>
      </c>
    </row>
    <row r="568" spans="10:10">
      <c r="J568" s="20" t="e">
        <f t="shared" si="27"/>
        <v>#NUM!</v>
      </c>
    </row>
    <row r="569" spans="10:10">
      <c r="J569" s="20" t="e">
        <f t="shared" si="27"/>
        <v>#NUM!</v>
      </c>
    </row>
    <row r="570" spans="10:10">
      <c r="J570" s="20" t="e">
        <f t="shared" si="27"/>
        <v>#NUM!</v>
      </c>
    </row>
    <row r="571" spans="10:10">
      <c r="J571" s="20" t="e">
        <f t="shared" si="27"/>
        <v>#NUM!</v>
      </c>
    </row>
    <row r="572" spans="10:10">
      <c r="J572" s="20" t="e">
        <f t="shared" si="27"/>
        <v>#NUM!</v>
      </c>
    </row>
    <row r="573" spans="10:10">
      <c r="J573" s="20" t="e">
        <f t="shared" si="27"/>
        <v>#NUM!</v>
      </c>
    </row>
    <row r="574" spans="10:10">
      <c r="J574" s="20" t="e">
        <f t="shared" si="27"/>
        <v>#NUM!</v>
      </c>
    </row>
    <row r="575" spans="10:10">
      <c r="J575" s="20" t="e">
        <f t="shared" si="27"/>
        <v>#NUM!</v>
      </c>
    </row>
    <row r="576" spans="10:10">
      <c r="J576" s="20" t="e">
        <f t="shared" si="27"/>
        <v>#NUM!</v>
      </c>
    </row>
    <row r="577" spans="10:10">
      <c r="J577" s="20" t="e">
        <f t="shared" si="27"/>
        <v>#NUM!</v>
      </c>
    </row>
    <row r="578" spans="10:10">
      <c r="J578" s="20" t="e">
        <f t="shared" si="27"/>
        <v>#NUM!</v>
      </c>
    </row>
    <row r="579" spans="10:10">
      <c r="J579" s="20" t="e">
        <f t="shared" si="27"/>
        <v>#NUM!</v>
      </c>
    </row>
    <row r="580" spans="10:10">
      <c r="J580" s="20" t="e">
        <f t="shared" si="27"/>
        <v>#NUM!</v>
      </c>
    </row>
    <row r="581" spans="10:10">
      <c r="J581" s="20" t="e">
        <f t="shared" si="27"/>
        <v>#NUM!</v>
      </c>
    </row>
    <row r="582" spans="10:10">
      <c r="J582" s="20" t="e">
        <f t="shared" si="27"/>
        <v>#NUM!</v>
      </c>
    </row>
    <row r="583" spans="10:10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>
      <c r="J584" s="20" t="e">
        <f t="shared" si="28"/>
        <v>#NUM!</v>
      </c>
    </row>
    <row r="585" spans="10:10">
      <c r="J585" s="20" t="e">
        <f t="shared" si="28"/>
        <v>#NUM!</v>
      </c>
    </row>
    <row r="586" spans="10:10">
      <c r="J586" s="20" t="e">
        <f t="shared" si="28"/>
        <v>#NUM!</v>
      </c>
    </row>
    <row r="587" spans="10:10">
      <c r="J587" s="20" t="e">
        <f t="shared" si="28"/>
        <v>#NUM!</v>
      </c>
    </row>
    <row r="588" spans="10:10">
      <c r="J588" s="20" t="e">
        <f t="shared" si="28"/>
        <v>#NUM!</v>
      </c>
    </row>
    <row r="589" spans="10:10">
      <c r="J589" s="20" t="e">
        <f t="shared" si="28"/>
        <v>#NUM!</v>
      </c>
    </row>
    <row r="590" spans="10:10">
      <c r="J590" s="20" t="e">
        <f t="shared" si="28"/>
        <v>#NUM!</v>
      </c>
    </row>
    <row r="591" spans="10:10">
      <c r="J591" s="20" t="e">
        <f t="shared" si="28"/>
        <v>#NUM!</v>
      </c>
    </row>
    <row r="592" spans="10:10">
      <c r="J592" s="20" t="e">
        <f t="shared" si="28"/>
        <v>#NUM!</v>
      </c>
    </row>
    <row r="593" spans="10:10">
      <c r="J593" s="20" t="e">
        <f t="shared" si="28"/>
        <v>#NUM!</v>
      </c>
    </row>
    <row r="594" spans="10:10">
      <c r="J594" s="20" t="e">
        <f t="shared" si="28"/>
        <v>#NUM!</v>
      </c>
    </row>
    <row r="595" spans="10:10">
      <c r="J595" s="20" t="e">
        <f t="shared" si="28"/>
        <v>#NUM!</v>
      </c>
    </row>
    <row r="596" spans="10:10">
      <c r="J596" s="20" t="e">
        <f t="shared" si="28"/>
        <v>#NUM!</v>
      </c>
    </row>
    <row r="597" spans="10:10">
      <c r="J597" s="20" t="e">
        <f t="shared" si="28"/>
        <v>#NUM!</v>
      </c>
    </row>
    <row r="598" spans="10:10">
      <c r="J598" s="20" t="e">
        <f t="shared" si="28"/>
        <v>#NUM!</v>
      </c>
    </row>
    <row r="599" spans="10:10">
      <c r="J599" s="20" t="e">
        <f t="shared" si="28"/>
        <v>#NUM!</v>
      </c>
    </row>
    <row r="600" spans="10:10">
      <c r="J600" s="20" t="e">
        <f t="shared" si="28"/>
        <v>#NUM!</v>
      </c>
    </row>
    <row r="601" spans="10:10">
      <c r="J601" s="20" t="e">
        <f t="shared" si="28"/>
        <v>#NUM!</v>
      </c>
    </row>
    <row r="602" spans="10:10">
      <c r="J602" s="20" t="e">
        <f t="shared" si="28"/>
        <v>#NUM!</v>
      </c>
    </row>
    <row r="603" spans="10:10">
      <c r="J603" s="20" t="e">
        <f t="shared" si="28"/>
        <v>#NUM!</v>
      </c>
    </row>
    <row r="604" spans="10:10">
      <c r="J604" s="20" t="e">
        <f t="shared" si="28"/>
        <v>#NUM!</v>
      </c>
    </row>
    <row r="605" spans="10:10">
      <c r="J605" s="20" t="e">
        <f t="shared" si="28"/>
        <v>#NUM!</v>
      </c>
    </row>
    <row r="606" spans="10:10">
      <c r="J606" s="20" t="e">
        <f t="shared" si="28"/>
        <v>#NUM!</v>
      </c>
    </row>
    <row r="607" spans="10:10">
      <c r="J607" s="20" t="e">
        <f t="shared" si="28"/>
        <v>#NUM!</v>
      </c>
    </row>
    <row r="608" spans="10:10">
      <c r="J608" s="20" t="e">
        <f t="shared" si="28"/>
        <v>#NUM!</v>
      </c>
    </row>
    <row r="609" spans="10:10">
      <c r="J609" s="20" t="e">
        <f t="shared" si="28"/>
        <v>#NUM!</v>
      </c>
    </row>
    <row r="610" spans="10:10">
      <c r="J610" s="20" t="e">
        <f t="shared" si="28"/>
        <v>#NUM!</v>
      </c>
    </row>
    <row r="611" spans="10:10">
      <c r="J611" s="20" t="e">
        <f t="shared" si="28"/>
        <v>#NUM!</v>
      </c>
    </row>
    <row r="612" spans="10:10">
      <c r="J612" s="20" t="e">
        <f t="shared" si="28"/>
        <v>#NUM!</v>
      </c>
    </row>
    <row r="613" spans="10:10">
      <c r="J613" s="20" t="e">
        <f t="shared" si="28"/>
        <v>#NUM!</v>
      </c>
    </row>
    <row r="614" spans="10:10">
      <c r="J614" s="20" t="e">
        <f t="shared" si="28"/>
        <v>#NUM!</v>
      </c>
    </row>
    <row r="615" spans="10:10">
      <c r="J615" s="20" t="e">
        <f t="shared" si="28"/>
        <v>#NUM!</v>
      </c>
    </row>
    <row r="616" spans="10:10">
      <c r="J616" s="20" t="e">
        <f t="shared" si="28"/>
        <v>#NUM!</v>
      </c>
    </row>
    <row r="617" spans="10:10">
      <c r="J617" s="20" t="e">
        <f t="shared" si="28"/>
        <v>#NUM!</v>
      </c>
    </row>
    <row r="618" spans="10:10">
      <c r="J618" s="20" t="e">
        <f t="shared" si="28"/>
        <v>#NUM!</v>
      </c>
    </row>
    <row r="619" spans="10:10">
      <c r="J619" s="20" t="e">
        <f t="shared" si="28"/>
        <v>#NUM!</v>
      </c>
    </row>
    <row r="620" spans="10:10">
      <c r="J620" s="20" t="e">
        <f t="shared" si="28"/>
        <v>#NUM!</v>
      </c>
    </row>
    <row r="621" spans="10:10">
      <c r="J621" s="20" t="e">
        <f t="shared" si="28"/>
        <v>#NUM!</v>
      </c>
    </row>
    <row r="622" spans="10:10">
      <c r="J622" s="20" t="e">
        <f t="shared" si="28"/>
        <v>#NUM!</v>
      </c>
    </row>
    <row r="623" spans="10:10">
      <c r="J623" s="20" t="e">
        <f t="shared" si="28"/>
        <v>#NUM!</v>
      </c>
    </row>
    <row r="624" spans="10:10">
      <c r="J624" s="20" t="e">
        <f t="shared" si="28"/>
        <v>#NUM!</v>
      </c>
    </row>
    <row r="625" spans="10:10">
      <c r="J625" s="20" t="e">
        <f t="shared" si="28"/>
        <v>#NUM!</v>
      </c>
    </row>
    <row r="626" spans="10:10">
      <c r="J626" s="20" t="e">
        <f t="shared" si="28"/>
        <v>#NUM!</v>
      </c>
    </row>
    <row r="627" spans="10:10">
      <c r="J627" s="20" t="e">
        <f t="shared" si="28"/>
        <v>#NUM!</v>
      </c>
    </row>
    <row r="628" spans="10:10">
      <c r="J628" s="20" t="e">
        <f t="shared" si="28"/>
        <v>#NUM!</v>
      </c>
    </row>
    <row r="629" spans="10:10">
      <c r="J629" s="20" t="e">
        <f t="shared" si="28"/>
        <v>#NUM!</v>
      </c>
    </row>
    <row r="630" spans="10:10">
      <c r="J630" s="20" t="e">
        <f t="shared" si="28"/>
        <v>#NUM!</v>
      </c>
    </row>
    <row r="631" spans="10:10">
      <c r="J631" s="20" t="e">
        <f t="shared" si="28"/>
        <v>#NUM!</v>
      </c>
    </row>
    <row r="632" spans="10:10">
      <c r="J632" s="20" t="e">
        <f t="shared" si="28"/>
        <v>#NUM!</v>
      </c>
    </row>
    <row r="633" spans="10:10">
      <c r="J633" s="20" t="e">
        <f t="shared" si="28"/>
        <v>#NUM!</v>
      </c>
    </row>
    <row r="634" spans="10:10">
      <c r="J634" s="20" t="e">
        <f t="shared" si="28"/>
        <v>#NUM!</v>
      </c>
    </row>
    <row r="635" spans="10:10">
      <c r="J635" s="20" t="e">
        <f t="shared" si="28"/>
        <v>#NUM!</v>
      </c>
    </row>
    <row r="636" spans="10:10">
      <c r="J636" s="20" t="e">
        <f t="shared" si="28"/>
        <v>#NUM!</v>
      </c>
    </row>
    <row r="637" spans="10:10">
      <c r="J637" s="20" t="e">
        <f t="shared" si="28"/>
        <v>#NUM!</v>
      </c>
    </row>
    <row r="638" spans="10:10">
      <c r="J638" s="20" t="e">
        <f t="shared" si="28"/>
        <v>#NUM!</v>
      </c>
    </row>
    <row r="639" spans="10:10">
      <c r="J639" s="20" t="e">
        <f t="shared" si="28"/>
        <v>#NUM!</v>
      </c>
    </row>
    <row r="640" spans="10:10">
      <c r="J640" s="20" t="e">
        <f t="shared" si="28"/>
        <v>#NUM!</v>
      </c>
    </row>
    <row r="641" spans="10:10">
      <c r="J641" s="20" t="e">
        <f t="shared" si="28"/>
        <v>#NUM!</v>
      </c>
    </row>
    <row r="642" spans="10:10">
      <c r="J642" s="20" t="e">
        <f t="shared" si="28"/>
        <v>#NUM!</v>
      </c>
    </row>
    <row r="643" spans="10:10">
      <c r="J643" s="20" t="e">
        <f t="shared" si="28"/>
        <v>#NUM!</v>
      </c>
    </row>
    <row r="644" spans="10:10">
      <c r="J644" s="20" t="e">
        <f t="shared" si="28"/>
        <v>#NUM!</v>
      </c>
    </row>
    <row r="645" spans="10:10">
      <c r="J645" s="20" t="e">
        <f t="shared" si="28"/>
        <v>#NUM!</v>
      </c>
    </row>
    <row r="646" spans="10:10">
      <c r="J646" s="20" t="e">
        <f t="shared" si="28"/>
        <v>#NUM!</v>
      </c>
    </row>
    <row r="647" spans="10:10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>
      <c r="J648" s="20" t="e">
        <f t="shared" si="29"/>
        <v>#NUM!</v>
      </c>
    </row>
    <row r="649" spans="10:10">
      <c r="J649" s="20" t="e">
        <f t="shared" si="29"/>
        <v>#NUM!</v>
      </c>
    </row>
    <row r="650" spans="10:10">
      <c r="J650" s="20" t="e">
        <f t="shared" si="29"/>
        <v>#NUM!</v>
      </c>
    </row>
    <row r="651" spans="10:10">
      <c r="J651" s="20" t="e">
        <f t="shared" si="29"/>
        <v>#NUM!</v>
      </c>
    </row>
    <row r="652" spans="10:10">
      <c r="J652" s="20" t="e">
        <f t="shared" si="29"/>
        <v>#NUM!</v>
      </c>
    </row>
    <row r="653" spans="10:10">
      <c r="J653" s="20" t="e">
        <f t="shared" si="29"/>
        <v>#NUM!</v>
      </c>
    </row>
    <row r="654" spans="10:10">
      <c r="J654" s="20" t="e">
        <f t="shared" si="29"/>
        <v>#NUM!</v>
      </c>
    </row>
    <row r="655" spans="10:10">
      <c r="J655" s="20" t="e">
        <f t="shared" si="29"/>
        <v>#NUM!</v>
      </c>
    </row>
    <row r="656" spans="10:10">
      <c r="J656" s="20" t="e">
        <f t="shared" si="29"/>
        <v>#NUM!</v>
      </c>
    </row>
    <row r="657" spans="10:10">
      <c r="J657" s="20" t="e">
        <f t="shared" si="29"/>
        <v>#NUM!</v>
      </c>
    </row>
    <row r="658" spans="10:10">
      <c r="J658" s="20" t="e">
        <f t="shared" si="29"/>
        <v>#NUM!</v>
      </c>
    </row>
    <row r="659" spans="10:10">
      <c r="J659" s="20" t="e">
        <f t="shared" si="29"/>
        <v>#NUM!</v>
      </c>
    </row>
    <row r="660" spans="10:10">
      <c r="J660" s="20" t="e">
        <f t="shared" si="29"/>
        <v>#NUM!</v>
      </c>
    </row>
    <row r="661" spans="10:10">
      <c r="J661" s="20" t="e">
        <f t="shared" si="29"/>
        <v>#NUM!</v>
      </c>
    </row>
    <row r="662" spans="10:10">
      <c r="J662" s="20" t="e">
        <f t="shared" si="29"/>
        <v>#NUM!</v>
      </c>
    </row>
    <row r="663" spans="10:10">
      <c r="J663" s="20" t="e">
        <f t="shared" si="29"/>
        <v>#NUM!</v>
      </c>
    </row>
    <row r="664" spans="10:10">
      <c r="J664" s="20" t="e">
        <f t="shared" si="29"/>
        <v>#NUM!</v>
      </c>
    </row>
    <row r="665" spans="10:10">
      <c r="J665" s="20" t="e">
        <f t="shared" si="29"/>
        <v>#NUM!</v>
      </c>
    </row>
    <row r="666" spans="10:10">
      <c r="J666" s="20" t="e">
        <f t="shared" si="29"/>
        <v>#NUM!</v>
      </c>
    </row>
    <row r="667" spans="10:10">
      <c r="J667" s="20" t="e">
        <f t="shared" si="29"/>
        <v>#NUM!</v>
      </c>
    </row>
    <row r="668" spans="10:10">
      <c r="J668" s="20" t="e">
        <f t="shared" si="29"/>
        <v>#NUM!</v>
      </c>
    </row>
    <row r="669" spans="10:10">
      <c r="J669" s="20" t="e">
        <f t="shared" si="29"/>
        <v>#NUM!</v>
      </c>
    </row>
    <row r="670" spans="10:10">
      <c r="J670" s="20" t="e">
        <f t="shared" si="29"/>
        <v>#NUM!</v>
      </c>
    </row>
    <row r="671" spans="10:10">
      <c r="J671" s="20" t="e">
        <f t="shared" si="29"/>
        <v>#NUM!</v>
      </c>
    </row>
    <row r="672" spans="10:10">
      <c r="J672" s="20" t="e">
        <f t="shared" si="29"/>
        <v>#NUM!</v>
      </c>
    </row>
    <row r="673" spans="10:10">
      <c r="J673" s="20" t="e">
        <f t="shared" si="29"/>
        <v>#NUM!</v>
      </c>
    </row>
    <row r="674" spans="10:10">
      <c r="J674" s="20" t="e">
        <f t="shared" si="29"/>
        <v>#NUM!</v>
      </c>
    </row>
    <row r="675" spans="10:10">
      <c r="J675" s="20" t="e">
        <f t="shared" si="29"/>
        <v>#NUM!</v>
      </c>
    </row>
    <row r="676" spans="10:10">
      <c r="J676" s="20" t="e">
        <f t="shared" si="29"/>
        <v>#NUM!</v>
      </c>
    </row>
    <row r="677" spans="10:10">
      <c r="J677" s="20" t="e">
        <f t="shared" si="29"/>
        <v>#NUM!</v>
      </c>
    </row>
    <row r="678" spans="10:10">
      <c r="J678" s="20" t="e">
        <f t="shared" si="29"/>
        <v>#NUM!</v>
      </c>
    </row>
    <row r="679" spans="10:10">
      <c r="J679" s="20" t="e">
        <f t="shared" si="29"/>
        <v>#NUM!</v>
      </c>
    </row>
    <row r="680" spans="10:10">
      <c r="J680" s="20" t="e">
        <f t="shared" si="29"/>
        <v>#NUM!</v>
      </c>
    </row>
    <row r="681" spans="10:10">
      <c r="J681" s="20" t="e">
        <f t="shared" si="29"/>
        <v>#NUM!</v>
      </c>
    </row>
    <row r="682" spans="10:10">
      <c r="J682" s="20" t="e">
        <f t="shared" si="29"/>
        <v>#NUM!</v>
      </c>
    </row>
    <row r="683" spans="10:10">
      <c r="J683" s="20" t="e">
        <f t="shared" si="29"/>
        <v>#NUM!</v>
      </c>
    </row>
    <row r="684" spans="10:10">
      <c r="J684" s="20" t="e">
        <f t="shared" si="29"/>
        <v>#NUM!</v>
      </c>
    </row>
    <row r="685" spans="10:10">
      <c r="J685" s="20" t="e">
        <f t="shared" si="29"/>
        <v>#NUM!</v>
      </c>
    </row>
    <row r="686" spans="10:10">
      <c r="J686" s="20" t="e">
        <f t="shared" si="29"/>
        <v>#NUM!</v>
      </c>
    </row>
    <row r="687" spans="10:10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19" priority="1" operator="lessThanOrEqual">
      <formula>0</formula>
    </cfRule>
  </conditionalFormatting>
  <dataValidations disablePrompts="1" count="1">
    <dataValidation type="list" allowBlank="1" showInputMessage="1" showErrorMessage="1" sqref="C38:C69" xr:uid="{D284F17E-95A2-4CB0-8E54-3E3A0B85F19D}">
      <formula1>#REF!</formula1>
    </dataValidation>
  </dataValidations>
  <hyperlinks>
    <hyperlink ref="C2:D2" r:id="rId1" display="KATOWICE" xr:uid="{11EA18AE-9D78-442A-BCEB-43B985709F5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EA9C-3BD5-4ECA-950B-40009BC732EF}">
  <sheetPr>
    <tabColor rgb="FF92D050"/>
  </sheetPr>
  <dimension ref="A1:AL373"/>
  <sheetViews>
    <sheetView workbookViewId="0">
      <selection activeCell="C3" sqref="C3:D3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5"/>
      <c r="B2" s="47" t="s">
        <v>35</v>
      </c>
      <c r="C2" s="127" t="s">
        <v>71</v>
      </c>
      <c r="D2" s="127"/>
      <c r="E2" s="6"/>
      <c r="F2" s="6"/>
      <c r="G2" s="6"/>
      <c r="H2" s="14">
        <v>5</v>
      </c>
      <c r="I2" s="68">
        <v>50</v>
      </c>
      <c r="J2" s="68">
        <v>10</v>
      </c>
      <c r="K2" s="69">
        <f>3*H2^(1/3)</f>
        <v>5.1299278400300903</v>
      </c>
      <c r="L2" s="13"/>
      <c r="M2" s="13"/>
    </row>
    <row r="3" spans="1:34" ht="14.25" customHeight="1">
      <c r="A3" s="5"/>
      <c r="B3" s="48" t="s">
        <v>37</v>
      </c>
      <c r="C3" s="128" t="s">
        <v>72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6.15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M6</f>
        <v>95.389783520090276</v>
      </c>
      <c r="B6" s="36">
        <v>1</v>
      </c>
      <c r="C6" s="24" t="s">
        <v>22</v>
      </c>
      <c r="D6" s="24" t="s">
        <v>73</v>
      </c>
      <c r="E6" s="24"/>
      <c r="F6" s="24" t="s">
        <v>68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15.389783520090271</v>
      </c>
      <c r="M6" s="19">
        <f t="shared" ref="M6:M69" si="2">IF(I6&lt;&gt;"",K6+I6+L6,0)</f>
        <v>95.389783520090276</v>
      </c>
    </row>
    <row r="7" spans="1:34" ht="14.45" customHeight="1">
      <c r="A7" s="40">
        <f t="shared" ref="A7:A37" si="3">M7</f>
        <v>59.156704334463925</v>
      </c>
      <c r="B7" s="35">
        <v>2</v>
      </c>
      <c r="C7" s="25" t="s">
        <v>21</v>
      </c>
      <c r="D7" s="25" t="s">
        <v>74</v>
      </c>
      <c r="E7" s="25"/>
      <c r="F7" s="25" t="s">
        <v>68</v>
      </c>
      <c r="G7" s="8"/>
      <c r="H7" s="44">
        <v>2</v>
      </c>
      <c r="I7" s="45">
        <f t="shared" si="0"/>
        <v>28.896848654403744</v>
      </c>
      <c r="J7" s="44">
        <f t="shared" ref="J7:J70" si="4">INT(LOG($H$2,2))-ROUNDUP(LOG(H7,2),0)+IF(OR($H$2=1,$H$2=2,$H$2=4,$H$2=8,$H$2=16,$H$2=32,$H$2=64,$H$2=128,$H$2=256),0,1)</f>
        <v>2</v>
      </c>
      <c r="K7" s="44">
        <f t="shared" ref="K7:K69" si="5">J7*$J$2</f>
        <v>20</v>
      </c>
      <c r="L7" s="46">
        <f>2*K2</f>
        <v>10.259855680060181</v>
      </c>
      <c r="M7" s="46">
        <f t="shared" si="2"/>
        <v>59.156704334463925</v>
      </c>
    </row>
    <row r="8" spans="1:34" ht="14.45" customHeight="1">
      <c r="A8" s="39">
        <f t="shared" si="3"/>
        <v>31.682224310216817</v>
      </c>
      <c r="B8" s="36">
        <v>3</v>
      </c>
      <c r="C8" s="24" t="s">
        <v>24</v>
      </c>
      <c r="D8" s="24" t="s">
        <v>74</v>
      </c>
      <c r="E8" s="24"/>
      <c r="F8" s="24" t="s">
        <v>68</v>
      </c>
      <c r="G8" s="8"/>
      <c r="H8" s="17">
        <v>3</v>
      </c>
      <c r="I8" s="18">
        <f t="shared" si="0"/>
        <v>16.552296470186725</v>
      </c>
      <c r="J8" s="17">
        <f t="shared" si="4"/>
        <v>1</v>
      </c>
      <c r="K8" s="17">
        <f t="shared" si="5"/>
        <v>10</v>
      </c>
      <c r="L8" s="19">
        <f>K2</f>
        <v>5.1299278400300903</v>
      </c>
      <c r="M8" s="19">
        <f t="shared" si="2"/>
        <v>31.682224310216817</v>
      </c>
    </row>
    <row r="9" spans="1:34" ht="14.45" customHeight="1">
      <c r="A9" s="40">
        <f t="shared" si="3"/>
        <v>17.793697308807488</v>
      </c>
      <c r="B9" s="35">
        <v>4</v>
      </c>
      <c r="C9" s="25" t="s">
        <v>25</v>
      </c>
      <c r="D9" s="25" t="s">
        <v>55</v>
      </c>
      <c r="E9" s="25"/>
      <c r="F9" s="25" t="s">
        <v>68</v>
      </c>
      <c r="G9" s="8"/>
      <c r="H9" s="44">
        <v>4</v>
      </c>
      <c r="I9" s="45">
        <f t="shared" si="0"/>
        <v>7.7936973088074879</v>
      </c>
      <c r="J9" s="44">
        <f t="shared" si="4"/>
        <v>1</v>
      </c>
      <c r="K9" s="44">
        <f t="shared" si="5"/>
        <v>10</v>
      </c>
      <c r="L9" s="46"/>
      <c r="M9" s="46">
        <f t="shared" si="2"/>
        <v>17.793697308807488</v>
      </c>
      <c r="V9" s="27"/>
      <c r="Z9" s="28"/>
      <c r="AA9" s="28"/>
      <c r="AG9" s="29"/>
    </row>
    <row r="10" spans="1:34" ht="14.45" customHeight="1">
      <c r="A10" s="39">
        <f t="shared" si="3"/>
        <v>1</v>
      </c>
      <c r="B10" s="36">
        <v>5</v>
      </c>
      <c r="C10" s="24" t="s">
        <v>28</v>
      </c>
      <c r="D10" s="24" t="s">
        <v>75</v>
      </c>
      <c r="E10" s="24"/>
      <c r="F10" s="24" t="s">
        <v>68</v>
      </c>
      <c r="G10" s="8"/>
      <c r="H10" s="17">
        <v>5</v>
      </c>
      <c r="I10" s="18">
        <f t="shared" si="0"/>
        <v>1</v>
      </c>
      <c r="J10" s="17">
        <f t="shared" si="4"/>
        <v>0</v>
      </c>
      <c r="K10" s="17">
        <f t="shared" si="5"/>
        <v>0</v>
      </c>
      <c r="L10" s="17"/>
      <c r="M10" s="19">
        <f t="shared" si="2"/>
        <v>1</v>
      </c>
      <c r="V10" s="27"/>
      <c r="Z10" s="28"/>
      <c r="AA10" s="28"/>
      <c r="AG10" s="29"/>
    </row>
    <row r="11" spans="1:34" ht="14.45" customHeight="1">
      <c r="A11" s="40">
        <f t="shared" si="3"/>
        <v>0</v>
      </c>
      <c r="B11" s="35" t="str">
        <f t="shared" ref="B11:B13" si="6">IF(H11&gt;$H$2,"",(ROW()-5))</f>
        <v/>
      </c>
      <c r="C11" s="25"/>
      <c r="D11" s="25"/>
      <c r="E11" s="25"/>
      <c r="F11" s="25"/>
      <c r="G11" s="8"/>
      <c r="H11" s="44">
        <v>6</v>
      </c>
      <c r="I11" s="45" t="str">
        <f t="shared" si="0"/>
        <v/>
      </c>
      <c r="J11" s="44">
        <f t="shared" si="4"/>
        <v>0</v>
      </c>
      <c r="K11" s="44">
        <f t="shared" si="5"/>
        <v>0</v>
      </c>
      <c r="L11" s="44"/>
      <c r="M11" s="46">
        <f t="shared" si="2"/>
        <v>0</v>
      </c>
      <c r="V11" s="30"/>
      <c r="Z11" s="28"/>
      <c r="AA11" s="28"/>
      <c r="AG11" s="29"/>
    </row>
    <row r="12" spans="1:34" ht="14.45" customHeight="1">
      <c r="A12" s="39">
        <f t="shared" si="3"/>
        <v>0</v>
      </c>
      <c r="B12" s="36" t="str">
        <f t="shared" si="6"/>
        <v/>
      </c>
      <c r="C12" s="24"/>
      <c r="D12" s="24"/>
      <c r="E12" s="24"/>
      <c r="F12" s="24"/>
      <c r="G12" s="8"/>
      <c r="H12" s="17">
        <v>7</v>
      </c>
      <c r="I12" s="18" t="str">
        <f t="shared" si="0"/>
        <v/>
      </c>
      <c r="J12" s="17">
        <f t="shared" si="4"/>
        <v>0</v>
      </c>
      <c r="K12" s="17">
        <f t="shared" si="5"/>
        <v>0</v>
      </c>
      <c r="L12" s="17"/>
      <c r="M12" s="19">
        <f t="shared" si="2"/>
        <v>0</v>
      </c>
      <c r="Z12" s="28"/>
      <c r="AA12" s="28"/>
      <c r="AG12" s="29"/>
    </row>
    <row r="13" spans="1:34" ht="14.45" customHeight="1">
      <c r="A13" s="41">
        <f t="shared" si="3"/>
        <v>0</v>
      </c>
      <c r="B13" s="35" t="str">
        <f t="shared" si="6"/>
        <v/>
      </c>
      <c r="C13" s="25"/>
      <c r="D13" s="25"/>
      <c r="E13" s="25"/>
      <c r="F13" s="25"/>
      <c r="G13" s="8"/>
      <c r="H13" s="44">
        <v>8</v>
      </c>
      <c r="I13" s="45" t="str">
        <f t="shared" si="0"/>
        <v/>
      </c>
      <c r="J13" s="44">
        <f t="shared" si="4"/>
        <v>0</v>
      </c>
      <c r="K13" s="44">
        <f t="shared" si="5"/>
        <v>0</v>
      </c>
      <c r="L13" s="44"/>
      <c r="M13" s="46">
        <f t="shared" si="2"/>
        <v>0</v>
      </c>
      <c r="X13" s="27"/>
      <c r="AG13" s="29"/>
    </row>
    <row r="14" spans="1:34">
      <c r="A14" s="42">
        <f t="shared" si="3"/>
        <v>0</v>
      </c>
      <c r="B14" s="36" t="str">
        <f>IF(H14&gt;$H$2,"",(ROW()-5))</f>
        <v/>
      </c>
      <c r="C14" s="24"/>
      <c r="D14" s="24"/>
      <c r="E14" s="24"/>
      <c r="F14" s="24"/>
      <c r="G14" s="8"/>
      <c r="H14" s="17">
        <v>9</v>
      </c>
      <c r="I14" s="18" t="str">
        <f t="shared" si="0"/>
        <v/>
      </c>
      <c r="J14" s="17">
        <f t="shared" si="4"/>
        <v>-1</v>
      </c>
      <c r="K14" s="17">
        <f t="shared" si="5"/>
        <v>-10</v>
      </c>
      <c r="L14" s="17"/>
      <c r="M14" s="19">
        <f t="shared" si="2"/>
        <v>0</v>
      </c>
      <c r="X14" s="31"/>
      <c r="Z14" s="28"/>
      <c r="AA14" s="28"/>
      <c r="AG14" s="29"/>
    </row>
    <row r="15" spans="1:34">
      <c r="A15" s="41">
        <f t="shared" si="3"/>
        <v>0</v>
      </c>
      <c r="B15" s="35" t="str">
        <f t="shared" ref="B15:B65" si="7">IF(H15&gt;$H$2,"",(ROW()-5))</f>
        <v/>
      </c>
      <c r="C15" s="25"/>
      <c r="D15" s="25"/>
      <c r="E15" s="25"/>
      <c r="F15" s="25"/>
      <c r="G15" s="8"/>
      <c r="H15" s="44">
        <v>10</v>
      </c>
      <c r="I15" s="45" t="str">
        <f t="shared" si="0"/>
        <v/>
      </c>
      <c r="J15" s="44">
        <f t="shared" si="4"/>
        <v>-1</v>
      </c>
      <c r="K15" s="44">
        <f t="shared" si="5"/>
        <v>-10</v>
      </c>
      <c r="L15" s="44"/>
      <c r="M15" s="46">
        <f t="shared" si="2"/>
        <v>0</v>
      </c>
      <c r="X15" s="27"/>
      <c r="Z15" s="28"/>
      <c r="AA15" s="28"/>
    </row>
    <row r="16" spans="1:34">
      <c r="A16" s="42">
        <f t="shared" si="3"/>
        <v>0</v>
      </c>
      <c r="B16" s="36" t="str">
        <f t="shared" si="7"/>
        <v/>
      </c>
      <c r="C16" s="24"/>
      <c r="D16" s="24"/>
      <c r="E16" s="24"/>
      <c r="F16" s="24"/>
      <c r="G16" s="8"/>
      <c r="H16" s="17">
        <v>11</v>
      </c>
      <c r="I16" s="18" t="str">
        <f t="shared" si="0"/>
        <v/>
      </c>
      <c r="J16" s="17">
        <f t="shared" si="4"/>
        <v>-1</v>
      </c>
      <c r="K16" s="17">
        <f t="shared" si="5"/>
        <v>-10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0"/>
        <v/>
      </c>
      <c r="J17" s="44">
        <f t="shared" si="4"/>
        <v>-1</v>
      </c>
      <c r="K17" s="44">
        <f t="shared" si="5"/>
        <v>-10</v>
      </c>
      <c r="L17" s="44"/>
      <c r="M17" s="46">
        <f t="shared" si="2"/>
        <v>0</v>
      </c>
    </row>
    <row r="18" spans="1:19">
      <c r="A18" s="42">
        <f t="shared" si="3"/>
        <v>0</v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0"/>
        <v/>
      </c>
      <c r="J18" s="17">
        <f t="shared" si="4"/>
        <v>-1</v>
      </c>
      <c r="K18" s="17">
        <f t="shared" si="5"/>
        <v>-10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0"/>
        <v/>
      </c>
      <c r="J19" s="44">
        <f t="shared" si="4"/>
        <v>-1</v>
      </c>
      <c r="K19" s="44">
        <f t="shared" si="5"/>
        <v>-10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0"/>
        <v/>
      </c>
      <c r="J20" s="17">
        <f t="shared" si="4"/>
        <v>-1</v>
      </c>
      <c r="K20" s="17">
        <f t="shared" si="5"/>
        <v>-10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0"/>
        <v/>
      </c>
      <c r="J21" s="44">
        <f t="shared" si="4"/>
        <v>-1</v>
      </c>
      <c r="K21" s="44">
        <f t="shared" si="5"/>
        <v>-10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0"/>
        <v/>
      </c>
      <c r="J22" s="17">
        <f t="shared" si="4"/>
        <v>-2</v>
      </c>
      <c r="K22" s="17">
        <f t="shared" si="5"/>
        <v>-20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0"/>
        <v/>
      </c>
      <c r="J23" s="44">
        <f t="shared" si="4"/>
        <v>-2</v>
      </c>
      <c r="K23" s="44">
        <f t="shared" si="5"/>
        <v>-20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0"/>
        <v/>
      </c>
      <c r="J24" s="17">
        <f t="shared" si="4"/>
        <v>-2</v>
      </c>
      <c r="K24" s="17">
        <f t="shared" si="5"/>
        <v>-20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0"/>
        <v/>
      </c>
      <c r="J25" s="44">
        <f t="shared" si="4"/>
        <v>-2</v>
      </c>
      <c r="K25" s="44">
        <f t="shared" si="5"/>
        <v>-20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0"/>
        <v/>
      </c>
      <c r="J26" s="17">
        <f t="shared" si="4"/>
        <v>-2</v>
      </c>
      <c r="K26" s="17">
        <f t="shared" si="5"/>
        <v>-20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0"/>
        <v/>
      </c>
      <c r="J27" s="44">
        <f t="shared" si="4"/>
        <v>-2</v>
      </c>
      <c r="K27" s="44">
        <f t="shared" si="5"/>
        <v>-20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0"/>
        <v/>
      </c>
      <c r="J28" s="17">
        <f t="shared" si="4"/>
        <v>-2</v>
      </c>
      <c r="K28" s="17">
        <f t="shared" si="5"/>
        <v>-20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0"/>
        <v/>
      </c>
      <c r="J29" s="44">
        <f t="shared" si="4"/>
        <v>-2</v>
      </c>
      <c r="K29" s="44">
        <f t="shared" si="5"/>
        <v>-20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0"/>
        <v/>
      </c>
      <c r="J30" s="17">
        <f t="shared" si="4"/>
        <v>-2</v>
      </c>
      <c r="K30" s="17">
        <f t="shared" si="5"/>
        <v>-20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0"/>
        <v/>
      </c>
      <c r="J31" s="44">
        <f t="shared" si="4"/>
        <v>-2</v>
      </c>
      <c r="K31" s="44">
        <f t="shared" si="5"/>
        <v>-20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0"/>
        <v/>
      </c>
      <c r="J32" s="17">
        <f t="shared" si="4"/>
        <v>-2</v>
      </c>
      <c r="K32" s="17">
        <f t="shared" si="5"/>
        <v>-20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0"/>
        <v/>
      </c>
      <c r="J33" s="44">
        <f t="shared" si="4"/>
        <v>-2</v>
      </c>
      <c r="K33" s="44">
        <f t="shared" si="5"/>
        <v>-20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0"/>
        <v/>
      </c>
      <c r="J34" s="17">
        <f t="shared" si="4"/>
        <v>-2</v>
      </c>
      <c r="K34" s="17">
        <f t="shared" si="5"/>
        <v>-20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0"/>
        <v/>
      </c>
      <c r="J35" s="44">
        <f t="shared" si="4"/>
        <v>-2</v>
      </c>
      <c r="K35" s="44">
        <f t="shared" si="5"/>
        <v>-20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0"/>
        <v/>
      </c>
      <c r="J36" s="17">
        <f t="shared" si="4"/>
        <v>-2</v>
      </c>
      <c r="K36" s="17">
        <f t="shared" si="5"/>
        <v>-20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0"/>
        <v/>
      </c>
      <c r="J37" s="44">
        <f t="shared" si="4"/>
        <v>-2</v>
      </c>
      <c r="K37" s="44">
        <f t="shared" si="5"/>
        <v>-20</v>
      </c>
      <c r="L37" s="44"/>
      <c r="M37" s="46">
        <f t="shared" si="2"/>
        <v>0</v>
      </c>
    </row>
    <row r="38" spans="1:19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0"/>
        <v/>
      </c>
      <c r="J38" s="17">
        <f t="shared" si="4"/>
        <v>-3</v>
      </c>
      <c r="K38" s="17">
        <f t="shared" si="5"/>
        <v>-30</v>
      </c>
      <c r="L38" s="17"/>
      <c r="M38" s="19">
        <f t="shared" si="2"/>
        <v>0</v>
      </c>
    </row>
    <row r="39" spans="1:19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4"/>
        <v>-3</v>
      </c>
      <c r="K39" s="44">
        <f t="shared" si="5"/>
        <v>-30</v>
      </c>
      <c r="L39" s="44"/>
      <c r="M39" s="46">
        <f t="shared" si="2"/>
        <v>0</v>
      </c>
    </row>
    <row r="40" spans="1:19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4"/>
        <v>-3</v>
      </c>
      <c r="K40" s="17">
        <f t="shared" si="5"/>
        <v>-30</v>
      </c>
      <c r="L40" s="17"/>
      <c r="M40" s="19">
        <f t="shared" si="2"/>
        <v>0</v>
      </c>
    </row>
    <row r="41" spans="1:19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4"/>
        <v>-3</v>
      </c>
      <c r="K41" s="44">
        <f t="shared" si="5"/>
        <v>-30</v>
      </c>
      <c r="L41" s="44"/>
      <c r="M41" s="46">
        <f t="shared" si="2"/>
        <v>0</v>
      </c>
      <c r="S41" s="32"/>
    </row>
    <row r="42" spans="1:19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4"/>
        <v>-3</v>
      </c>
      <c r="K42" s="17">
        <f t="shared" si="5"/>
        <v>-30</v>
      </c>
      <c r="L42" s="17"/>
      <c r="M42" s="19">
        <f t="shared" si="2"/>
        <v>0</v>
      </c>
    </row>
    <row r="43" spans="1:19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4"/>
        <v>-3</v>
      </c>
      <c r="K43" s="44">
        <f t="shared" si="5"/>
        <v>-30</v>
      </c>
      <c r="L43" s="44"/>
      <c r="M43" s="46">
        <f t="shared" si="2"/>
        <v>0</v>
      </c>
    </row>
    <row r="44" spans="1:19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4"/>
        <v>-3</v>
      </c>
      <c r="K44" s="17">
        <f t="shared" si="5"/>
        <v>-30</v>
      </c>
      <c r="L44" s="17"/>
      <c r="M44" s="19">
        <f t="shared" si="2"/>
        <v>0</v>
      </c>
    </row>
    <row r="45" spans="1:19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4"/>
        <v>-3</v>
      </c>
      <c r="K45" s="44">
        <f t="shared" si="5"/>
        <v>-30</v>
      </c>
      <c r="L45" s="44"/>
      <c r="M45" s="46">
        <f t="shared" si="2"/>
        <v>0</v>
      </c>
    </row>
    <row r="46" spans="1:19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4"/>
        <v>-3</v>
      </c>
      <c r="K46" s="17">
        <f t="shared" si="5"/>
        <v>-30</v>
      </c>
      <c r="L46" s="17"/>
      <c r="M46" s="19">
        <f t="shared" si="2"/>
        <v>0</v>
      </c>
    </row>
    <row r="47" spans="1:19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4"/>
        <v>-3</v>
      </c>
      <c r="K47" s="44">
        <f t="shared" si="5"/>
        <v>-30</v>
      </c>
      <c r="L47" s="44"/>
      <c r="M47" s="46">
        <f t="shared" si="2"/>
        <v>0</v>
      </c>
    </row>
    <row r="48" spans="1:19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4"/>
        <v>-3</v>
      </c>
      <c r="K48" s="17">
        <f t="shared" si="5"/>
        <v>-30</v>
      </c>
      <c r="L48" s="17"/>
      <c r="M48" s="19">
        <f t="shared" si="2"/>
        <v>0</v>
      </c>
    </row>
    <row r="49" spans="1:13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4"/>
        <v>-3</v>
      </c>
      <c r="K49" s="44">
        <f t="shared" si="5"/>
        <v>-30</v>
      </c>
      <c r="L49" s="44"/>
      <c r="M49" s="46">
        <f t="shared" si="2"/>
        <v>0</v>
      </c>
    </row>
    <row r="50" spans="1:13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4"/>
        <v>-3</v>
      </c>
      <c r="K50" s="17">
        <f t="shared" si="5"/>
        <v>-30</v>
      </c>
      <c r="L50" s="17"/>
      <c r="M50" s="19">
        <f t="shared" si="2"/>
        <v>0</v>
      </c>
    </row>
    <row r="51" spans="1:13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4"/>
        <v>-3</v>
      </c>
      <c r="K51" s="44">
        <f t="shared" si="5"/>
        <v>-30</v>
      </c>
      <c r="L51" s="44"/>
      <c r="M51" s="46">
        <f t="shared" si="2"/>
        <v>0</v>
      </c>
    </row>
    <row r="52" spans="1:13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4"/>
        <v>-3</v>
      </c>
      <c r="K52" s="17">
        <f t="shared" si="5"/>
        <v>-30</v>
      </c>
      <c r="L52" s="17"/>
      <c r="M52" s="19">
        <f t="shared" si="2"/>
        <v>0</v>
      </c>
    </row>
    <row r="53" spans="1:13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4"/>
        <v>-3</v>
      </c>
      <c r="K53" s="44">
        <f t="shared" si="5"/>
        <v>-30</v>
      </c>
      <c r="L53" s="44"/>
      <c r="M53" s="46">
        <f t="shared" si="2"/>
        <v>0</v>
      </c>
    </row>
    <row r="54" spans="1:13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4"/>
        <v>-3</v>
      </c>
      <c r="K54" s="17">
        <f t="shared" si="5"/>
        <v>-30</v>
      </c>
      <c r="L54" s="17"/>
      <c r="M54" s="19">
        <f t="shared" si="2"/>
        <v>0</v>
      </c>
    </row>
    <row r="55" spans="1:13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4"/>
        <v>-3</v>
      </c>
      <c r="K55" s="44">
        <f t="shared" si="5"/>
        <v>-30</v>
      </c>
      <c r="L55" s="44"/>
      <c r="M55" s="46">
        <f t="shared" si="2"/>
        <v>0</v>
      </c>
    </row>
    <row r="56" spans="1:13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4"/>
        <v>-3</v>
      </c>
      <c r="K56" s="17">
        <f t="shared" si="5"/>
        <v>-30</v>
      </c>
      <c r="L56" s="17"/>
      <c r="M56" s="19">
        <f t="shared" si="2"/>
        <v>0</v>
      </c>
    </row>
    <row r="57" spans="1:13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4"/>
        <v>-3</v>
      </c>
      <c r="K57" s="44">
        <f t="shared" si="5"/>
        <v>-30</v>
      </c>
      <c r="L57" s="44"/>
      <c r="M57" s="46">
        <f t="shared" si="2"/>
        <v>0</v>
      </c>
    </row>
    <row r="58" spans="1:13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4"/>
        <v>-3</v>
      </c>
      <c r="K58" s="17">
        <f t="shared" si="5"/>
        <v>-30</v>
      </c>
      <c r="L58" s="17"/>
      <c r="M58" s="19">
        <f t="shared" si="2"/>
        <v>0</v>
      </c>
    </row>
    <row r="59" spans="1:13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4"/>
        <v>-3</v>
      </c>
      <c r="K59" s="44">
        <f t="shared" si="5"/>
        <v>-30</v>
      </c>
      <c r="L59" s="44"/>
      <c r="M59" s="46">
        <f t="shared" si="2"/>
        <v>0</v>
      </c>
    </row>
    <row r="60" spans="1:13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4"/>
        <v>-3</v>
      </c>
      <c r="K60" s="17">
        <f t="shared" si="5"/>
        <v>-30</v>
      </c>
      <c r="L60" s="17"/>
      <c r="M60" s="19">
        <f t="shared" si="2"/>
        <v>0</v>
      </c>
    </row>
    <row r="61" spans="1:13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4"/>
        <v>-3</v>
      </c>
      <c r="K61" s="44">
        <f t="shared" si="5"/>
        <v>-30</v>
      </c>
      <c r="L61" s="44"/>
      <c r="M61" s="46">
        <f t="shared" si="2"/>
        <v>0</v>
      </c>
    </row>
    <row r="62" spans="1:13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4"/>
        <v>-3</v>
      </c>
      <c r="K62" s="17">
        <f t="shared" si="5"/>
        <v>-30</v>
      </c>
      <c r="L62" s="17"/>
      <c r="M62" s="19">
        <f t="shared" si="2"/>
        <v>0</v>
      </c>
    </row>
    <row r="63" spans="1:13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4"/>
        <v>-3</v>
      </c>
      <c r="K63" s="44">
        <f t="shared" si="5"/>
        <v>-30</v>
      </c>
      <c r="L63" s="44"/>
      <c r="M63" s="46">
        <f t="shared" si="2"/>
        <v>0</v>
      </c>
    </row>
    <row r="64" spans="1:13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4"/>
        <v>-3</v>
      </c>
      <c r="K64" s="17">
        <f t="shared" si="5"/>
        <v>-30</v>
      </c>
      <c r="L64" s="17"/>
      <c r="M64" s="19">
        <f t="shared" si="2"/>
        <v>0</v>
      </c>
    </row>
    <row r="65" spans="1:13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4"/>
        <v>-3</v>
      </c>
      <c r="K65" s="44">
        <f t="shared" si="5"/>
        <v>-30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4"/>
        <v>-3</v>
      </c>
      <c r="K66" s="17">
        <f t="shared" si="5"/>
        <v>-30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4"/>
        <v>-3</v>
      </c>
      <c r="K67" s="17">
        <f t="shared" si="5"/>
        <v>-30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4"/>
        <v>-3</v>
      </c>
      <c r="K68" s="17">
        <f t="shared" si="5"/>
        <v>-30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4"/>
        <v>-3</v>
      </c>
      <c r="K69" s="17">
        <f t="shared" si="5"/>
        <v>-30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4"/>
        <v>-4</v>
      </c>
      <c r="K70" s="17">
        <f t="shared" ref="K70:K133" si="9">J70*$J$2</f>
        <v>-40</v>
      </c>
      <c r="L70" s="17"/>
      <c r="M70" s="19">
        <f t="shared" ref="M70:M133" si="10">IF(I70&lt;&gt;"",K70+I70+L70,0)</f>
        <v>0</v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-4</v>
      </c>
      <c r="K71" s="17">
        <f t="shared" si="9"/>
        <v>-40</v>
      </c>
      <c r="L71" s="17"/>
      <c r="M71" s="19">
        <f t="shared" si="10"/>
        <v>0</v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1"/>
        <v>-4</v>
      </c>
      <c r="K72" s="17">
        <f t="shared" si="9"/>
        <v>-40</v>
      </c>
      <c r="L72" s="17"/>
      <c r="M72" s="19">
        <f t="shared" si="10"/>
        <v>0</v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1"/>
        <v>-4</v>
      </c>
      <c r="K73" s="17">
        <f t="shared" si="9"/>
        <v>-40</v>
      </c>
      <c r="L73" s="17"/>
      <c r="M73" s="19">
        <f t="shared" si="10"/>
        <v>0</v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1"/>
        <v>-4</v>
      </c>
      <c r="K74" s="17">
        <f t="shared" si="9"/>
        <v>-40</v>
      </c>
      <c r="L74" s="17"/>
      <c r="M74" s="19">
        <f t="shared" si="10"/>
        <v>0</v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1"/>
        <v>-4</v>
      </c>
      <c r="K75" s="17">
        <f t="shared" si="9"/>
        <v>-40</v>
      </c>
      <c r="L75" s="17"/>
      <c r="M75" s="19">
        <f t="shared" si="10"/>
        <v>0</v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1"/>
        <v>-4</v>
      </c>
      <c r="K76" s="17">
        <f t="shared" si="9"/>
        <v>-40</v>
      </c>
      <c r="L76" s="17"/>
      <c r="M76" s="19">
        <f t="shared" si="10"/>
        <v>0</v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1"/>
        <v>-4</v>
      </c>
      <c r="K77" s="17">
        <f t="shared" si="9"/>
        <v>-40</v>
      </c>
      <c r="L77" s="17"/>
      <c r="M77" s="19">
        <f t="shared" si="10"/>
        <v>0</v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1"/>
        <v>-4</v>
      </c>
      <c r="K78" s="17">
        <f t="shared" si="9"/>
        <v>-40</v>
      </c>
      <c r="L78" s="17"/>
      <c r="M78" s="19">
        <f t="shared" si="10"/>
        <v>0</v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1"/>
        <v>-4</v>
      </c>
      <c r="K79" s="17">
        <f t="shared" si="9"/>
        <v>-40</v>
      </c>
      <c r="L79" s="17"/>
      <c r="M79" s="19">
        <f t="shared" si="10"/>
        <v>0</v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1"/>
        <v>-4</v>
      </c>
      <c r="K80" s="17">
        <f t="shared" si="9"/>
        <v>-40</v>
      </c>
      <c r="L80" s="17"/>
      <c r="M80" s="19">
        <f t="shared" si="10"/>
        <v>0</v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1"/>
        <v>-4</v>
      </c>
      <c r="K81" s="17">
        <f t="shared" si="9"/>
        <v>-40</v>
      </c>
      <c r="L81" s="17"/>
      <c r="M81" s="19">
        <f t="shared" si="10"/>
        <v>0</v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1"/>
        <v>-4</v>
      </c>
      <c r="K82" s="17">
        <f t="shared" si="9"/>
        <v>-40</v>
      </c>
      <c r="L82" s="17"/>
      <c r="M82" s="19">
        <f t="shared" si="10"/>
        <v>0</v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1"/>
        <v>-4</v>
      </c>
      <c r="K83" s="17">
        <f t="shared" si="9"/>
        <v>-40</v>
      </c>
      <c r="L83" s="17"/>
      <c r="M83" s="19">
        <f t="shared" si="10"/>
        <v>0</v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1"/>
        <v>-4</v>
      </c>
      <c r="K84" s="17">
        <f t="shared" si="9"/>
        <v>-40</v>
      </c>
      <c r="L84" s="17"/>
      <c r="M84" s="19">
        <f t="shared" si="10"/>
        <v>0</v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1"/>
        <v>-4</v>
      </c>
      <c r="K85" s="17">
        <f t="shared" si="9"/>
        <v>-40</v>
      </c>
      <c r="L85" s="17"/>
      <c r="M85" s="19">
        <f t="shared" si="10"/>
        <v>0</v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1"/>
        <v>-4</v>
      </c>
      <c r="K86" s="17">
        <f t="shared" si="9"/>
        <v>-40</v>
      </c>
      <c r="L86" s="17"/>
      <c r="M86" s="19">
        <f t="shared" si="10"/>
        <v>0</v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1"/>
        <v>-4</v>
      </c>
      <c r="K87" s="17">
        <f t="shared" si="9"/>
        <v>-40</v>
      </c>
      <c r="L87" s="17"/>
      <c r="M87" s="19">
        <f t="shared" si="10"/>
        <v>0</v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1"/>
        <v>-4</v>
      </c>
      <c r="K88" s="17">
        <f t="shared" si="9"/>
        <v>-40</v>
      </c>
      <c r="L88" s="17"/>
      <c r="M88" s="19">
        <f t="shared" si="10"/>
        <v>0</v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1"/>
        <v>-4</v>
      </c>
      <c r="K89" s="17">
        <f t="shared" si="9"/>
        <v>-40</v>
      </c>
      <c r="L89" s="17"/>
      <c r="M89" s="19">
        <f t="shared" si="10"/>
        <v>0</v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1"/>
        <v>-4</v>
      </c>
      <c r="K90" s="17">
        <f t="shared" si="9"/>
        <v>-40</v>
      </c>
      <c r="L90" s="17"/>
      <c r="M90" s="19">
        <f t="shared" si="10"/>
        <v>0</v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1"/>
        <v>-4</v>
      </c>
      <c r="K91" s="17">
        <f t="shared" si="9"/>
        <v>-40</v>
      </c>
      <c r="L91" s="17"/>
      <c r="M91" s="19">
        <f t="shared" si="10"/>
        <v>0</v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1"/>
        <v>-4</v>
      </c>
      <c r="K92" s="17">
        <f t="shared" si="9"/>
        <v>-40</v>
      </c>
      <c r="L92" s="17"/>
      <c r="M92" s="19">
        <f t="shared" si="10"/>
        <v>0</v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1"/>
        <v>-4</v>
      </c>
      <c r="K93" s="17">
        <f t="shared" si="9"/>
        <v>-40</v>
      </c>
      <c r="L93" s="17"/>
      <c r="M93" s="19">
        <f t="shared" si="10"/>
        <v>0</v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1"/>
        <v>-4</v>
      </c>
      <c r="K94" s="17">
        <f t="shared" si="9"/>
        <v>-40</v>
      </c>
      <c r="L94" s="17"/>
      <c r="M94" s="19">
        <f t="shared" si="10"/>
        <v>0</v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1"/>
        <v>-4</v>
      </c>
      <c r="K95" s="17">
        <f t="shared" si="9"/>
        <v>-40</v>
      </c>
      <c r="L95" s="17"/>
      <c r="M95" s="19">
        <f t="shared" si="10"/>
        <v>0</v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1"/>
        <v>-4</v>
      </c>
      <c r="K96" s="17">
        <f t="shared" si="9"/>
        <v>-40</v>
      </c>
      <c r="L96" s="17"/>
      <c r="M96" s="19">
        <f t="shared" si="10"/>
        <v>0</v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1"/>
        <v>-4</v>
      </c>
      <c r="K97" s="17">
        <f t="shared" si="9"/>
        <v>-40</v>
      </c>
      <c r="L97" s="17"/>
      <c r="M97" s="19">
        <f t="shared" si="10"/>
        <v>0</v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1"/>
        <v>-4</v>
      </c>
      <c r="K98" s="17">
        <f t="shared" si="9"/>
        <v>-40</v>
      </c>
      <c r="L98" s="17"/>
      <c r="M98" s="19">
        <f t="shared" si="10"/>
        <v>0</v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1"/>
        <v>-4</v>
      </c>
      <c r="K99" s="17">
        <f t="shared" si="9"/>
        <v>-40</v>
      </c>
      <c r="L99" s="17"/>
      <c r="M99" s="19">
        <f t="shared" si="10"/>
        <v>0</v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1"/>
        <v>-4</v>
      </c>
      <c r="K100" s="17">
        <f t="shared" si="9"/>
        <v>-40</v>
      </c>
      <c r="L100" s="17"/>
      <c r="M100" s="19">
        <f t="shared" si="10"/>
        <v>0</v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1"/>
        <v>-4</v>
      </c>
      <c r="K101" s="17">
        <f t="shared" si="9"/>
        <v>-40</v>
      </c>
      <c r="L101" s="17"/>
      <c r="M101" s="19">
        <f t="shared" si="10"/>
        <v>0</v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1"/>
        <v>-4</v>
      </c>
      <c r="K102" s="17">
        <f t="shared" si="9"/>
        <v>-40</v>
      </c>
      <c r="L102" s="17"/>
      <c r="M102" s="19">
        <f t="shared" si="10"/>
        <v>0</v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1"/>
        <v>-4</v>
      </c>
      <c r="K103" s="17">
        <f t="shared" si="9"/>
        <v>-40</v>
      </c>
      <c r="L103" s="17"/>
      <c r="M103" s="19">
        <f t="shared" si="10"/>
        <v>0</v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1"/>
        <v>-4</v>
      </c>
      <c r="K104" s="17">
        <f t="shared" si="9"/>
        <v>-40</v>
      </c>
      <c r="L104" s="17"/>
      <c r="M104" s="19">
        <f t="shared" si="10"/>
        <v>0</v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1"/>
        <v>-4</v>
      </c>
      <c r="K105" s="17">
        <f t="shared" si="9"/>
        <v>-40</v>
      </c>
      <c r="L105" s="17"/>
      <c r="M105" s="19">
        <f t="shared" si="10"/>
        <v>0</v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1"/>
        <v>-4</v>
      </c>
      <c r="K106" s="17">
        <f t="shared" si="9"/>
        <v>-40</v>
      </c>
      <c r="L106" s="17"/>
      <c r="M106" s="19">
        <f t="shared" si="10"/>
        <v>0</v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1"/>
        <v>-4</v>
      </c>
      <c r="K107" s="17">
        <f t="shared" si="9"/>
        <v>-40</v>
      </c>
      <c r="L107" s="17"/>
      <c r="M107" s="19">
        <f t="shared" si="10"/>
        <v>0</v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1"/>
        <v>-4</v>
      </c>
      <c r="K108" s="17">
        <f t="shared" si="9"/>
        <v>-40</v>
      </c>
      <c r="L108" s="17"/>
      <c r="M108" s="19">
        <f t="shared" si="10"/>
        <v>0</v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1"/>
        <v>-4</v>
      </c>
      <c r="K109" s="17">
        <f t="shared" si="9"/>
        <v>-40</v>
      </c>
      <c r="L109" s="17"/>
      <c r="M109" s="19">
        <f t="shared" si="10"/>
        <v>0</v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1"/>
        <v>-4</v>
      </c>
      <c r="K110" s="17">
        <f t="shared" si="9"/>
        <v>-40</v>
      </c>
      <c r="L110" s="17"/>
      <c r="M110" s="19">
        <f t="shared" si="10"/>
        <v>0</v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1"/>
        <v>-4</v>
      </c>
      <c r="K111" s="17">
        <f t="shared" si="9"/>
        <v>-40</v>
      </c>
      <c r="L111" s="17"/>
      <c r="M111" s="19">
        <f t="shared" si="10"/>
        <v>0</v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1"/>
        <v>-4</v>
      </c>
      <c r="K112" s="17">
        <f t="shared" si="9"/>
        <v>-40</v>
      </c>
      <c r="L112" s="17"/>
      <c r="M112" s="19">
        <f t="shared" si="10"/>
        <v>0</v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1"/>
        <v>-4</v>
      </c>
      <c r="K113" s="17">
        <f t="shared" si="9"/>
        <v>-40</v>
      </c>
      <c r="L113" s="17"/>
      <c r="M113" s="19">
        <f t="shared" si="10"/>
        <v>0</v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1"/>
        <v>-4</v>
      </c>
      <c r="K114" s="17">
        <f t="shared" si="9"/>
        <v>-40</v>
      </c>
      <c r="L114" s="17"/>
      <c r="M114" s="19">
        <f t="shared" si="10"/>
        <v>0</v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1"/>
        <v>-4</v>
      </c>
      <c r="K115" s="17">
        <f t="shared" si="9"/>
        <v>-40</v>
      </c>
      <c r="L115" s="17"/>
      <c r="M115" s="19">
        <f t="shared" si="10"/>
        <v>0</v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1"/>
        <v>-4</v>
      </c>
      <c r="K116" s="17">
        <f t="shared" si="9"/>
        <v>-40</v>
      </c>
      <c r="L116" s="17"/>
      <c r="M116" s="19">
        <f t="shared" si="10"/>
        <v>0</v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1"/>
        <v>-4</v>
      </c>
      <c r="K117" s="17">
        <f t="shared" si="9"/>
        <v>-40</v>
      </c>
      <c r="L117" s="17"/>
      <c r="M117" s="19">
        <f t="shared" si="10"/>
        <v>0</v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1"/>
        <v>-4</v>
      </c>
      <c r="K118" s="17">
        <f t="shared" si="9"/>
        <v>-40</v>
      </c>
      <c r="L118" s="17"/>
      <c r="M118" s="19">
        <f t="shared" si="10"/>
        <v>0</v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1"/>
        <v>-4</v>
      </c>
      <c r="K119" s="17">
        <f t="shared" si="9"/>
        <v>-40</v>
      </c>
      <c r="L119" s="17"/>
      <c r="M119" s="19">
        <f t="shared" si="10"/>
        <v>0</v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1"/>
        <v>-4</v>
      </c>
      <c r="K120" s="17">
        <f t="shared" si="9"/>
        <v>-40</v>
      </c>
      <c r="L120" s="17"/>
      <c r="M120" s="19">
        <f t="shared" si="10"/>
        <v>0</v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1"/>
        <v>-4</v>
      </c>
      <c r="K121" s="17">
        <f t="shared" si="9"/>
        <v>-40</v>
      </c>
      <c r="L121" s="17"/>
      <c r="M121" s="19">
        <f t="shared" si="10"/>
        <v>0</v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1"/>
        <v>-4</v>
      </c>
      <c r="K122" s="17">
        <f t="shared" si="9"/>
        <v>-40</v>
      </c>
      <c r="L122" s="17"/>
      <c r="M122" s="19">
        <f t="shared" si="10"/>
        <v>0</v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1"/>
        <v>-4</v>
      </c>
      <c r="K123" s="17">
        <f t="shared" si="9"/>
        <v>-40</v>
      </c>
      <c r="L123" s="17"/>
      <c r="M123" s="19">
        <f t="shared" si="10"/>
        <v>0</v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1"/>
        <v>-4</v>
      </c>
      <c r="K124" s="17">
        <f t="shared" si="9"/>
        <v>-40</v>
      </c>
      <c r="L124" s="17"/>
      <c r="M124" s="19">
        <f t="shared" si="10"/>
        <v>0</v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1"/>
        <v>-4</v>
      </c>
      <c r="K125" s="17">
        <f t="shared" si="9"/>
        <v>-40</v>
      </c>
      <c r="L125" s="17"/>
      <c r="M125" s="19">
        <f t="shared" si="10"/>
        <v>0</v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1"/>
        <v>-4</v>
      </c>
      <c r="K126" s="17">
        <f t="shared" si="9"/>
        <v>-40</v>
      </c>
      <c r="L126" s="17"/>
      <c r="M126" s="19">
        <f t="shared" si="10"/>
        <v>0</v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1"/>
        <v>-4</v>
      </c>
      <c r="K127" s="17">
        <f t="shared" si="9"/>
        <v>-40</v>
      </c>
      <c r="L127" s="17"/>
      <c r="M127" s="19">
        <f t="shared" si="10"/>
        <v>0</v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1"/>
        <v>-4</v>
      </c>
      <c r="K128" s="17">
        <f t="shared" si="9"/>
        <v>-40</v>
      </c>
      <c r="L128" s="17"/>
      <c r="M128" s="19">
        <f t="shared" si="10"/>
        <v>0</v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1"/>
        <v>-4</v>
      </c>
      <c r="K129" s="17">
        <f t="shared" si="9"/>
        <v>-40</v>
      </c>
      <c r="L129" s="17"/>
      <c r="M129" s="19">
        <f t="shared" si="10"/>
        <v>0</v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1"/>
        <v>-4</v>
      </c>
      <c r="K130" s="17">
        <f t="shared" si="9"/>
        <v>-40</v>
      </c>
      <c r="L130" s="17"/>
      <c r="M130" s="19">
        <f t="shared" si="10"/>
        <v>0</v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1"/>
        <v>-4</v>
      </c>
      <c r="K131" s="17">
        <f t="shared" si="9"/>
        <v>-40</v>
      </c>
      <c r="L131" s="17"/>
      <c r="M131" s="19">
        <f t="shared" si="10"/>
        <v>0</v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1"/>
        <v>-4</v>
      </c>
      <c r="K132" s="17">
        <f t="shared" si="9"/>
        <v>-40</v>
      </c>
      <c r="L132" s="17"/>
      <c r="M132" s="19">
        <f t="shared" si="10"/>
        <v>0</v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1"/>
        <v>-4</v>
      </c>
      <c r="K133" s="17">
        <f t="shared" si="9"/>
        <v>-40</v>
      </c>
      <c r="L133" s="17"/>
      <c r="M133" s="19">
        <f t="shared" si="10"/>
        <v>0</v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-5</v>
      </c>
      <c r="K134" s="17">
        <f t="shared" ref="K134:K197" si="13">J134*$J$2</f>
        <v>-50</v>
      </c>
      <c r="L134" s="17"/>
      <c r="M134" s="19">
        <f t="shared" ref="M134:M197" si="14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-5</v>
      </c>
      <c r="K135" s="17">
        <f t="shared" si="13"/>
        <v>-50</v>
      </c>
      <c r="L135" s="17"/>
      <c r="M135" s="19">
        <f t="shared" si="14"/>
        <v>0</v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5"/>
        <v>-5</v>
      </c>
      <c r="K136" s="17">
        <f t="shared" si="13"/>
        <v>-50</v>
      </c>
      <c r="L136" s="17"/>
      <c r="M136" s="19">
        <f t="shared" si="14"/>
        <v>0</v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5"/>
        <v>-5</v>
      </c>
      <c r="K137" s="17">
        <f t="shared" si="13"/>
        <v>-50</v>
      </c>
      <c r="L137" s="17"/>
      <c r="M137" s="19">
        <f t="shared" si="14"/>
        <v>0</v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5"/>
        <v>-5</v>
      </c>
      <c r="K138" s="17">
        <f t="shared" si="13"/>
        <v>-50</v>
      </c>
      <c r="L138" s="17"/>
      <c r="M138" s="19">
        <f t="shared" si="14"/>
        <v>0</v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5"/>
        <v>-5</v>
      </c>
      <c r="K139" s="17">
        <f t="shared" si="13"/>
        <v>-50</v>
      </c>
      <c r="L139" s="17"/>
      <c r="M139" s="19">
        <f t="shared" si="14"/>
        <v>0</v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5"/>
        <v>-5</v>
      </c>
      <c r="K140" s="17">
        <f t="shared" si="13"/>
        <v>-50</v>
      </c>
      <c r="L140" s="17"/>
      <c r="M140" s="19">
        <f t="shared" si="14"/>
        <v>0</v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5"/>
        <v>-5</v>
      </c>
      <c r="K141" s="17">
        <f t="shared" si="13"/>
        <v>-50</v>
      </c>
      <c r="L141" s="17"/>
      <c r="M141" s="19">
        <f t="shared" si="14"/>
        <v>0</v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5"/>
        <v>-5</v>
      </c>
      <c r="K142" s="17">
        <f t="shared" si="13"/>
        <v>-50</v>
      </c>
      <c r="L142" s="17"/>
      <c r="M142" s="19">
        <f t="shared" si="14"/>
        <v>0</v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5"/>
        <v>-5</v>
      </c>
      <c r="K143" s="17">
        <f t="shared" si="13"/>
        <v>-50</v>
      </c>
      <c r="L143" s="17"/>
      <c r="M143" s="19">
        <f t="shared" si="14"/>
        <v>0</v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5"/>
        <v>-5</v>
      </c>
      <c r="K144" s="17">
        <f t="shared" si="13"/>
        <v>-50</v>
      </c>
      <c r="L144" s="17"/>
      <c r="M144" s="19">
        <f t="shared" si="14"/>
        <v>0</v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5"/>
        <v>-5</v>
      </c>
      <c r="K145" s="17">
        <f t="shared" si="13"/>
        <v>-50</v>
      </c>
      <c r="L145" s="17"/>
      <c r="M145" s="19">
        <f t="shared" si="14"/>
        <v>0</v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5"/>
        <v>-5</v>
      </c>
      <c r="K146" s="17">
        <f t="shared" si="13"/>
        <v>-50</v>
      </c>
      <c r="L146" s="17"/>
      <c r="M146" s="19">
        <f t="shared" si="14"/>
        <v>0</v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5"/>
        <v>-5</v>
      </c>
      <c r="K147" s="17">
        <f t="shared" si="13"/>
        <v>-50</v>
      </c>
      <c r="L147" s="17"/>
      <c r="M147" s="19">
        <f t="shared" si="14"/>
        <v>0</v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5"/>
        <v>-5</v>
      </c>
      <c r="K148" s="17">
        <f t="shared" si="13"/>
        <v>-50</v>
      </c>
      <c r="L148" s="17"/>
      <c r="M148" s="19">
        <f t="shared" si="14"/>
        <v>0</v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5"/>
        <v>-5</v>
      </c>
      <c r="K149" s="17">
        <f t="shared" si="13"/>
        <v>-50</v>
      </c>
      <c r="L149" s="17"/>
      <c r="M149" s="19">
        <f t="shared" si="14"/>
        <v>0</v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5"/>
        <v>-5</v>
      </c>
      <c r="K150" s="17">
        <f t="shared" si="13"/>
        <v>-50</v>
      </c>
      <c r="L150" s="17"/>
      <c r="M150" s="19">
        <f t="shared" si="14"/>
        <v>0</v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5"/>
        <v>-5</v>
      </c>
      <c r="K151" s="17">
        <f t="shared" si="13"/>
        <v>-50</v>
      </c>
      <c r="L151" s="17"/>
      <c r="M151" s="19">
        <f t="shared" si="14"/>
        <v>0</v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5"/>
        <v>-5</v>
      </c>
      <c r="K152" s="17">
        <f t="shared" si="13"/>
        <v>-50</v>
      </c>
      <c r="L152" s="17"/>
      <c r="M152" s="19">
        <f t="shared" si="14"/>
        <v>0</v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5"/>
        <v>-5</v>
      </c>
      <c r="K153" s="17">
        <f t="shared" si="13"/>
        <v>-50</v>
      </c>
      <c r="L153" s="17"/>
      <c r="M153" s="19">
        <f t="shared" si="14"/>
        <v>0</v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5"/>
        <v>-5</v>
      </c>
      <c r="K154" s="17">
        <f t="shared" si="13"/>
        <v>-50</v>
      </c>
      <c r="L154" s="17"/>
      <c r="M154" s="19">
        <f t="shared" si="14"/>
        <v>0</v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5"/>
        <v>-5</v>
      </c>
      <c r="K155" s="17">
        <f t="shared" si="13"/>
        <v>-50</v>
      </c>
      <c r="L155" s="17"/>
      <c r="M155" s="19">
        <f t="shared" si="14"/>
        <v>0</v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5"/>
        <v>-5</v>
      </c>
      <c r="K156" s="17">
        <f t="shared" si="13"/>
        <v>-50</v>
      </c>
      <c r="L156" s="17"/>
      <c r="M156" s="19">
        <f t="shared" si="14"/>
        <v>0</v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5"/>
        <v>-5</v>
      </c>
      <c r="K157" s="17">
        <f t="shared" si="13"/>
        <v>-50</v>
      </c>
      <c r="L157" s="17"/>
      <c r="M157" s="19">
        <f t="shared" si="14"/>
        <v>0</v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5"/>
        <v>-5</v>
      </c>
      <c r="K158" s="17">
        <f t="shared" si="13"/>
        <v>-50</v>
      </c>
      <c r="L158" s="17"/>
      <c r="M158" s="19">
        <f t="shared" si="14"/>
        <v>0</v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5"/>
        <v>-5</v>
      </c>
      <c r="K159" s="17">
        <f t="shared" si="13"/>
        <v>-50</v>
      </c>
      <c r="L159" s="17"/>
      <c r="M159" s="19">
        <f t="shared" si="14"/>
        <v>0</v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5"/>
        <v>-5</v>
      </c>
      <c r="K160" s="17">
        <f t="shared" si="13"/>
        <v>-50</v>
      </c>
      <c r="L160" s="17"/>
      <c r="M160" s="19">
        <f t="shared" si="14"/>
        <v>0</v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5"/>
        <v>-5</v>
      </c>
      <c r="K161" s="17">
        <f t="shared" si="13"/>
        <v>-50</v>
      </c>
      <c r="L161" s="17"/>
      <c r="M161" s="19">
        <f t="shared" si="14"/>
        <v>0</v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5"/>
        <v>-5</v>
      </c>
      <c r="K162" s="17">
        <f t="shared" si="13"/>
        <v>-50</v>
      </c>
      <c r="L162" s="17"/>
      <c r="M162" s="19">
        <f t="shared" si="14"/>
        <v>0</v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5"/>
        <v>-5</v>
      </c>
      <c r="K163" s="17">
        <f t="shared" si="13"/>
        <v>-50</v>
      </c>
      <c r="L163" s="17"/>
      <c r="M163" s="19">
        <f t="shared" si="14"/>
        <v>0</v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5"/>
        <v>-5</v>
      </c>
      <c r="K164" s="17">
        <f t="shared" si="13"/>
        <v>-50</v>
      </c>
      <c r="L164" s="17"/>
      <c r="M164" s="19">
        <f t="shared" si="14"/>
        <v>0</v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5"/>
        <v>-5</v>
      </c>
      <c r="K165" s="17">
        <f t="shared" si="13"/>
        <v>-50</v>
      </c>
      <c r="L165" s="17"/>
      <c r="M165" s="19">
        <f t="shared" si="14"/>
        <v>0</v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5"/>
        <v>-5</v>
      </c>
      <c r="K166" s="17">
        <f t="shared" si="13"/>
        <v>-50</v>
      </c>
      <c r="L166" s="17"/>
      <c r="M166" s="19">
        <f t="shared" si="14"/>
        <v>0</v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5"/>
        <v>-5</v>
      </c>
      <c r="K167" s="17">
        <f t="shared" si="13"/>
        <v>-50</v>
      </c>
      <c r="L167" s="17"/>
      <c r="M167" s="19">
        <f t="shared" si="14"/>
        <v>0</v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5"/>
        <v>-5</v>
      </c>
      <c r="K168" s="17">
        <f t="shared" si="13"/>
        <v>-50</v>
      </c>
      <c r="L168" s="17"/>
      <c r="M168" s="19">
        <f t="shared" si="14"/>
        <v>0</v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5"/>
        <v>-5</v>
      </c>
      <c r="K169" s="17">
        <f t="shared" si="13"/>
        <v>-50</v>
      </c>
      <c r="L169" s="17"/>
      <c r="M169" s="19">
        <f t="shared" si="14"/>
        <v>0</v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5"/>
        <v>-5</v>
      </c>
      <c r="K170" s="17">
        <f t="shared" si="13"/>
        <v>-50</v>
      </c>
      <c r="L170" s="17"/>
      <c r="M170" s="19">
        <f t="shared" si="14"/>
        <v>0</v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5"/>
        <v>-5</v>
      </c>
      <c r="K171" s="17">
        <f t="shared" si="13"/>
        <v>-50</v>
      </c>
      <c r="L171" s="17"/>
      <c r="M171" s="19">
        <f t="shared" si="14"/>
        <v>0</v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5"/>
        <v>-5</v>
      </c>
      <c r="K172" s="17">
        <f t="shared" si="13"/>
        <v>-50</v>
      </c>
      <c r="L172" s="17"/>
      <c r="M172" s="19">
        <f t="shared" si="14"/>
        <v>0</v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5"/>
        <v>-5</v>
      </c>
      <c r="K173" s="17">
        <f t="shared" si="13"/>
        <v>-50</v>
      </c>
      <c r="L173" s="17"/>
      <c r="M173" s="19">
        <f t="shared" si="14"/>
        <v>0</v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5"/>
        <v>-5</v>
      </c>
      <c r="K174" s="17">
        <f t="shared" si="13"/>
        <v>-50</v>
      </c>
      <c r="L174" s="17"/>
      <c r="M174" s="19">
        <f t="shared" si="14"/>
        <v>0</v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5"/>
        <v>-5</v>
      </c>
      <c r="K175" s="17">
        <f t="shared" si="13"/>
        <v>-50</v>
      </c>
      <c r="L175" s="17"/>
      <c r="M175" s="19">
        <f t="shared" si="14"/>
        <v>0</v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5"/>
        <v>-5</v>
      </c>
      <c r="K176" s="17">
        <f t="shared" si="13"/>
        <v>-50</v>
      </c>
      <c r="L176" s="17"/>
      <c r="M176" s="19">
        <f t="shared" si="14"/>
        <v>0</v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5"/>
        <v>-5</v>
      </c>
      <c r="K177" s="17">
        <f t="shared" si="13"/>
        <v>-50</v>
      </c>
      <c r="L177" s="17"/>
      <c r="M177" s="19">
        <f t="shared" si="14"/>
        <v>0</v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5"/>
        <v>-5</v>
      </c>
      <c r="K178" s="17">
        <f t="shared" si="13"/>
        <v>-50</v>
      </c>
      <c r="L178" s="17"/>
      <c r="M178" s="19">
        <f t="shared" si="14"/>
        <v>0</v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5"/>
        <v>-5</v>
      </c>
      <c r="K179" s="17">
        <f t="shared" si="13"/>
        <v>-50</v>
      </c>
      <c r="L179" s="17"/>
      <c r="M179" s="19">
        <f t="shared" si="14"/>
        <v>0</v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5"/>
        <v>-5</v>
      </c>
      <c r="K180" s="17">
        <f t="shared" si="13"/>
        <v>-50</v>
      </c>
      <c r="L180" s="17"/>
      <c r="M180" s="19">
        <f t="shared" si="14"/>
        <v>0</v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5"/>
        <v>-5</v>
      </c>
      <c r="K181" s="17">
        <f t="shared" si="13"/>
        <v>-50</v>
      </c>
      <c r="L181" s="17"/>
      <c r="M181" s="19">
        <f t="shared" si="14"/>
        <v>0</v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5"/>
        <v>-5</v>
      </c>
      <c r="K182" s="17">
        <f t="shared" si="13"/>
        <v>-50</v>
      </c>
      <c r="L182" s="17"/>
      <c r="M182" s="19">
        <f t="shared" si="14"/>
        <v>0</v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5"/>
        <v>-5</v>
      </c>
      <c r="K183" s="17">
        <f t="shared" si="13"/>
        <v>-50</v>
      </c>
      <c r="L183" s="17"/>
      <c r="M183" s="19">
        <f t="shared" si="14"/>
        <v>0</v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5"/>
        <v>-5</v>
      </c>
      <c r="K184" s="17">
        <f t="shared" si="13"/>
        <v>-50</v>
      </c>
      <c r="L184" s="17"/>
      <c r="M184" s="19">
        <f t="shared" si="14"/>
        <v>0</v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5"/>
        <v>-5</v>
      </c>
      <c r="K185" s="17">
        <f t="shared" si="13"/>
        <v>-50</v>
      </c>
      <c r="L185" s="17"/>
      <c r="M185" s="19">
        <f t="shared" si="14"/>
        <v>0</v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5"/>
        <v>-5</v>
      </c>
      <c r="K186" s="17">
        <f t="shared" si="13"/>
        <v>-50</v>
      </c>
      <c r="L186" s="17"/>
      <c r="M186" s="19">
        <f t="shared" si="14"/>
        <v>0</v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5"/>
        <v>-5</v>
      </c>
      <c r="K187" s="17">
        <f t="shared" si="13"/>
        <v>-50</v>
      </c>
      <c r="L187" s="17"/>
      <c r="M187" s="19">
        <f t="shared" si="14"/>
        <v>0</v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5"/>
        <v>-5</v>
      </c>
      <c r="K188" s="17">
        <f t="shared" si="13"/>
        <v>-50</v>
      </c>
      <c r="L188" s="17"/>
      <c r="M188" s="19">
        <f t="shared" si="14"/>
        <v>0</v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5"/>
        <v>-5</v>
      </c>
      <c r="K189" s="17">
        <f t="shared" si="13"/>
        <v>-50</v>
      </c>
      <c r="L189" s="17"/>
      <c r="M189" s="19">
        <f t="shared" si="14"/>
        <v>0</v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5"/>
        <v>-5</v>
      </c>
      <c r="K190" s="17">
        <f t="shared" si="13"/>
        <v>-50</v>
      </c>
      <c r="L190" s="17"/>
      <c r="M190" s="19">
        <f t="shared" si="14"/>
        <v>0</v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5"/>
        <v>-5</v>
      </c>
      <c r="K191" s="17">
        <f t="shared" si="13"/>
        <v>-50</v>
      </c>
      <c r="L191" s="17"/>
      <c r="M191" s="19">
        <f t="shared" si="14"/>
        <v>0</v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5"/>
        <v>-5</v>
      </c>
      <c r="K192" s="17">
        <f t="shared" si="13"/>
        <v>-50</v>
      </c>
      <c r="L192" s="17"/>
      <c r="M192" s="19">
        <f t="shared" si="14"/>
        <v>0</v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5"/>
        <v>-5</v>
      </c>
      <c r="K193" s="17">
        <f t="shared" si="13"/>
        <v>-50</v>
      </c>
      <c r="L193" s="17"/>
      <c r="M193" s="19">
        <f t="shared" si="14"/>
        <v>0</v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5"/>
        <v>-5</v>
      </c>
      <c r="K194" s="17">
        <f t="shared" si="13"/>
        <v>-50</v>
      </c>
      <c r="L194" s="17"/>
      <c r="M194" s="19">
        <f t="shared" si="14"/>
        <v>0</v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5"/>
        <v>-5</v>
      </c>
      <c r="K195" s="17">
        <f t="shared" si="13"/>
        <v>-50</v>
      </c>
      <c r="L195" s="17"/>
      <c r="M195" s="19">
        <f t="shared" si="14"/>
        <v>0</v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5"/>
        <v>-5</v>
      </c>
      <c r="K196" s="17">
        <f t="shared" si="13"/>
        <v>-50</v>
      </c>
      <c r="L196" s="17"/>
      <c r="M196" s="19">
        <f t="shared" si="14"/>
        <v>0</v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5"/>
        <v>-5</v>
      </c>
      <c r="K197" s="17">
        <f t="shared" si="13"/>
        <v>-50</v>
      </c>
      <c r="L197" s="17"/>
      <c r="M197" s="19">
        <f t="shared" si="14"/>
        <v>0</v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-5</v>
      </c>
      <c r="K198" s="17">
        <f t="shared" ref="K198:K261" si="17">J198*$J$2</f>
        <v>-50</v>
      </c>
      <c r="L198" s="17"/>
      <c r="M198" s="19">
        <f t="shared" ref="M198:M261" si="18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-5</v>
      </c>
      <c r="K199" s="17">
        <f t="shared" si="17"/>
        <v>-50</v>
      </c>
      <c r="L199" s="17"/>
      <c r="M199" s="19">
        <f t="shared" si="18"/>
        <v>0</v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9"/>
        <v>-5</v>
      </c>
      <c r="K200" s="17">
        <f t="shared" si="17"/>
        <v>-50</v>
      </c>
      <c r="L200" s="17"/>
      <c r="M200" s="19">
        <f t="shared" si="18"/>
        <v>0</v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9"/>
        <v>-5</v>
      </c>
      <c r="K201" s="17">
        <f t="shared" si="17"/>
        <v>-50</v>
      </c>
      <c r="L201" s="17"/>
      <c r="M201" s="19">
        <f t="shared" si="18"/>
        <v>0</v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9"/>
        <v>-5</v>
      </c>
      <c r="K202" s="17">
        <f t="shared" si="17"/>
        <v>-50</v>
      </c>
      <c r="L202" s="17"/>
      <c r="M202" s="19">
        <f t="shared" si="18"/>
        <v>0</v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9"/>
        <v>-5</v>
      </c>
      <c r="K203" s="17">
        <f t="shared" si="17"/>
        <v>-50</v>
      </c>
      <c r="L203" s="17"/>
      <c r="M203" s="19">
        <f t="shared" si="18"/>
        <v>0</v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9"/>
        <v>-5</v>
      </c>
      <c r="K204" s="17">
        <f t="shared" si="17"/>
        <v>-50</v>
      </c>
      <c r="L204" s="17"/>
      <c r="M204" s="19">
        <f t="shared" si="18"/>
        <v>0</v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9"/>
        <v>-5</v>
      </c>
      <c r="K205" s="17">
        <f t="shared" si="17"/>
        <v>-50</v>
      </c>
      <c r="L205" s="17"/>
      <c r="M205" s="19">
        <f t="shared" si="18"/>
        <v>0</v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9"/>
        <v>-5</v>
      </c>
      <c r="K206" s="17">
        <f t="shared" si="17"/>
        <v>-50</v>
      </c>
      <c r="L206" s="17"/>
      <c r="M206" s="19">
        <f t="shared" si="18"/>
        <v>0</v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9"/>
        <v>-5</v>
      </c>
      <c r="K207" s="17">
        <f t="shared" si="17"/>
        <v>-50</v>
      </c>
      <c r="L207" s="17"/>
      <c r="M207" s="19">
        <f t="shared" si="18"/>
        <v>0</v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9"/>
        <v>-5</v>
      </c>
      <c r="K208" s="17">
        <f t="shared" si="17"/>
        <v>-50</v>
      </c>
      <c r="L208" s="17"/>
      <c r="M208" s="19">
        <f t="shared" si="18"/>
        <v>0</v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9"/>
        <v>-5</v>
      </c>
      <c r="K209" s="17">
        <f t="shared" si="17"/>
        <v>-50</v>
      </c>
      <c r="L209" s="17"/>
      <c r="M209" s="19">
        <f t="shared" si="18"/>
        <v>0</v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9"/>
        <v>-5</v>
      </c>
      <c r="K210" s="17">
        <f t="shared" si="17"/>
        <v>-50</v>
      </c>
      <c r="L210" s="17"/>
      <c r="M210" s="19">
        <f t="shared" si="18"/>
        <v>0</v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9"/>
        <v>-5</v>
      </c>
      <c r="K211" s="17">
        <f t="shared" si="17"/>
        <v>-50</v>
      </c>
      <c r="L211" s="17"/>
      <c r="M211" s="19">
        <f t="shared" si="18"/>
        <v>0</v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9"/>
        <v>-5</v>
      </c>
      <c r="K212" s="17">
        <f t="shared" si="17"/>
        <v>-50</v>
      </c>
      <c r="L212" s="17"/>
      <c r="M212" s="19">
        <f t="shared" si="18"/>
        <v>0</v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9"/>
        <v>-5</v>
      </c>
      <c r="K213" s="17">
        <f t="shared" si="17"/>
        <v>-50</v>
      </c>
      <c r="L213" s="17"/>
      <c r="M213" s="19">
        <f t="shared" si="18"/>
        <v>0</v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9"/>
        <v>-5</v>
      </c>
      <c r="K214" s="17">
        <f t="shared" si="17"/>
        <v>-50</v>
      </c>
      <c r="L214" s="17"/>
      <c r="M214" s="19">
        <f t="shared" si="18"/>
        <v>0</v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9"/>
        <v>-5</v>
      </c>
      <c r="K215" s="17">
        <f t="shared" si="17"/>
        <v>-50</v>
      </c>
      <c r="L215" s="17"/>
      <c r="M215" s="19">
        <f t="shared" si="18"/>
        <v>0</v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9"/>
        <v>-5</v>
      </c>
      <c r="K216" s="17">
        <f t="shared" si="17"/>
        <v>-50</v>
      </c>
      <c r="L216" s="17"/>
      <c r="M216" s="19">
        <f t="shared" si="18"/>
        <v>0</v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9"/>
        <v>-5</v>
      </c>
      <c r="K217" s="17">
        <f t="shared" si="17"/>
        <v>-50</v>
      </c>
      <c r="L217" s="17"/>
      <c r="M217" s="19">
        <f t="shared" si="18"/>
        <v>0</v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9"/>
        <v>-5</v>
      </c>
      <c r="K218" s="17">
        <f t="shared" si="17"/>
        <v>-50</v>
      </c>
      <c r="L218" s="17"/>
      <c r="M218" s="19">
        <f t="shared" si="18"/>
        <v>0</v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9"/>
        <v>-5</v>
      </c>
      <c r="K219" s="17">
        <f t="shared" si="17"/>
        <v>-50</v>
      </c>
      <c r="L219" s="17"/>
      <c r="M219" s="19">
        <f t="shared" si="18"/>
        <v>0</v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9"/>
        <v>-5</v>
      </c>
      <c r="K220" s="17">
        <f t="shared" si="17"/>
        <v>-50</v>
      </c>
      <c r="L220" s="17"/>
      <c r="M220" s="19">
        <f t="shared" si="18"/>
        <v>0</v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9"/>
        <v>-5</v>
      </c>
      <c r="K221" s="17">
        <f t="shared" si="17"/>
        <v>-50</v>
      </c>
      <c r="L221" s="17"/>
      <c r="M221" s="19">
        <f t="shared" si="18"/>
        <v>0</v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9"/>
        <v>-5</v>
      </c>
      <c r="K222" s="17">
        <f t="shared" si="17"/>
        <v>-50</v>
      </c>
      <c r="L222" s="17"/>
      <c r="M222" s="19">
        <f t="shared" si="18"/>
        <v>0</v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9"/>
        <v>-5</v>
      </c>
      <c r="K223" s="17">
        <f t="shared" si="17"/>
        <v>-50</v>
      </c>
      <c r="L223" s="17"/>
      <c r="M223" s="19">
        <f t="shared" si="18"/>
        <v>0</v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9"/>
        <v>-5</v>
      </c>
      <c r="K224" s="17">
        <f t="shared" si="17"/>
        <v>-50</v>
      </c>
      <c r="L224" s="17"/>
      <c r="M224" s="19">
        <f t="shared" si="18"/>
        <v>0</v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9"/>
        <v>-5</v>
      </c>
      <c r="K225" s="17">
        <f t="shared" si="17"/>
        <v>-50</v>
      </c>
      <c r="L225" s="17"/>
      <c r="M225" s="19">
        <f t="shared" si="18"/>
        <v>0</v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9"/>
        <v>-5</v>
      </c>
      <c r="K226" s="17">
        <f t="shared" si="17"/>
        <v>-50</v>
      </c>
      <c r="L226" s="17"/>
      <c r="M226" s="19">
        <f t="shared" si="18"/>
        <v>0</v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9"/>
        <v>-5</v>
      </c>
      <c r="K227" s="17">
        <f t="shared" si="17"/>
        <v>-50</v>
      </c>
      <c r="L227" s="17"/>
      <c r="M227" s="19">
        <f t="shared" si="18"/>
        <v>0</v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9"/>
        <v>-5</v>
      </c>
      <c r="K228" s="17">
        <f t="shared" si="17"/>
        <v>-50</v>
      </c>
      <c r="L228" s="17"/>
      <c r="M228" s="19">
        <f t="shared" si="18"/>
        <v>0</v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9"/>
        <v>-5</v>
      </c>
      <c r="K229" s="17">
        <f t="shared" si="17"/>
        <v>-50</v>
      </c>
      <c r="L229" s="17"/>
      <c r="M229" s="19">
        <f t="shared" si="18"/>
        <v>0</v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9"/>
        <v>-5</v>
      </c>
      <c r="K230" s="17">
        <f t="shared" si="17"/>
        <v>-50</v>
      </c>
      <c r="L230" s="17"/>
      <c r="M230" s="19">
        <f t="shared" si="18"/>
        <v>0</v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9"/>
        <v>-5</v>
      </c>
      <c r="K231" s="17">
        <f t="shared" si="17"/>
        <v>-50</v>
      </c>
      <c r="L231" s="17"/>
      <c r="M231" s="19">
        <f t="shared" si="18"/>
        <v>0</v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9"/>
        <v>-5</v>
      </c>
      <c r="K232" s="17">
        <f t="shared" si="17"/>
        <v>-50</v>
      </c>
      <c r="L232" s="17"/>
      <c r="M232" s="19">
        <f t="shared" si="18"/>
        <v>0</v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9"/>
        <v>-5</v>
      </c>
      <c r="K233" s="17">
        <f t="shared" si="17"/>
        <v>-50</v>
      </c>
      <c r="L233" s="17"/>
      <c r="M233" s="19">
        <f t="shared" si="18"/>
        <v>0</v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9"/>
        <v>-5</v>
      </c>
      <c r="K234" s="17">
        <f t="shared" si="17"/>
        <v>-50</v>
      </c>
      <c r="L234" s="17"/>
      <c r="M234" s="19">
        <f t="shared" si="18"/>
        <v>0</v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9"/>
        <v>-5</v>
      </c>
      <c r="K235" s="17">
        <f t="shared" si="17"/>
        <v>-50</v>
      </c>
      <c r="L235" s="17"/>
      <c r="M235" s="19">
        <f t="shared" si="18"/>
        <v>0</v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9"/>
        <v>-5</v>
      </c>
      <c r="K236" s="17">
        <f t="shared" si="17"/>
        <v>-50</v>
      </c>
      <c r="L236" s="17"/>
      <c r="M236" s="19">
        <f t="shared" si="18"/>
        <v>0</v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9"/>
        <v>-5</v>
      </c>
      <c r="K237" s="17">
        <f t="shared" si="17"/>
        <v>-50</v>
      </c>
      <c r="L237" s="17"/>
      <c r="M237" s="19">
        <f t="shared" si="18"/>
        <v>0</v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9"/>
        <v>-5</v>
      </c>
      <c r="K238" s="17">
        <f t="shared" si="17"/>
        <v>-50</v>
      </c>
      <c r="L238" s="17"/>
      <c r="M238" s="19">
        <f t="shared" si="18"/>
        <v>0</v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9"/>
        <v>-5</v>
      </c>
      <c r="K239" s="17">
        <f t="shared" si="17"/>
        <v>-50</v>
      </c>
      <c r="L239" s="17"/>
      <c r="M239" s="19">
        <f t="shared" si="18"/>
        <v>0</v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9"/>
        <v>-5</v>
      </c>
      <c r="K240" s="17">
        <f t="shared" si="17"/>
        <v>-50</v>
      </c>
      <c r="L240" s="17"/>
      <c r="M240" s="19">
        <f t="shared" si="18"/>
        <v>0</v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9"/>
        <v>-5</v>
      </c>
      <c r="K241" s="17">
        <f t="shared" si="17"/>
        <v>-50</v>
      </c>
      <c r="L241" s="17"/>
      <c r="M241" s="19">
        <f t="shared" si="18"/>
        <v>0</v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9"/>
        <v>-5</v>
      </c>
      <c r="K242" s="17">
        <f t="shared" si="17"/>
        <v>-50</v>
      </c>
      <c r="L242" s="17"/>
      <c r="M242" s="19">
        <f t="shared" si="18"/>
        <v>0</v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9"/>
        <v>-5</v>
      </c>
      <c r="K243" s="17">
        <f t="shared" si="17"/>
        <v>-50</v>
      </c>
      <c r="L243" s="17"/>
      <c r="M243" s="19">
        <f t="shared" si="18"/>
        <v>0</v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9"/>
        <v>-5</v>
      </c>
      <c r="K244" s="17">
        <f t="shared" si="17"/>
        <v>-50</v>
      </c>
      <c r="L244" s="17"/>
      <c r="M244" s="19">
        <f t="shared" si="18"/>
        <v>0</v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9"/>
        <v>-5</v>
      </c>
      <c r="K245" s="17">
        <f t="shared" si="17"/>
        <v>-50</v>
      </c>
      <c r="L245" s="17"/>
      <c r="M245" s="19">
        <f t="shared" si="18"/>
        <v>0</v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9"/>
        <v>-5</v>
      </c>
      <c r="K246" s="17">
        <f t="shared" si="17"/>
        <v>-50</v>
      </c>
      <c r="L246" s="17"/>
      <c r="M246" s="19">
        <f t="shared" si="18"/>
        <v>0</v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9"/>
        <v>-5</v>
      </c>
      <c r="K247" s="17">
        <f t="shared" si="17"/>
        <v>-50</v>
      </c>
      <c r="L247" s="17"/>
      <c r="M247" s="19">
        <f t="shared" si="18"/>
        <v>0</v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9"/>
        <v>-5</v>
      </c>
      <c r="K248" s="17">
        <f t="shared" si="17"/>
        <v>-50</v>
      </c>
      <c r="L248" s="17"/>
      <c r="M248" s="19">
        <f t="shared" si="18"/>
        <v>0</v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9"/>
        <v>-5</v>
      </c>
      <c r="K249" s="17">
        <f t="shared" si="17"/>
        <v>-50</v>
      </c>
      <c r="L249" s="17"/>
      <c r="M249" s="19">
        <f t="shared" si="18"/>
        <v>0</v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9"/>
        <v>-5</v>
      </c>
      <c r="K250" s="17">
        <f t="shared" si="17"/>
        <v>-50</v>
      </c>
      <c r="L250" s="17"/>
      <c r="M250" s="19">
        <f t="shared" si="18"/>
        <v>0</v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9"/>
        <v>-5</v>
      </c>
      <c r="K251" s="17">
        <f t="shared" si="17"/>
        <v>-50</v>
      </c>
      <c r="L251" s="17"/>
      <c r="M251" s="19">
        <f t="shared" si="18"/>
        <v>0</v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9"/>
        <v>-5</v>
      </c>
      <c r="K252" s="17">
        <f t="shared" si="17"/>
        <v>-50</v>
      </c>
      <c r="L252" s="17"/>
      <c r="M252" s="19">
        <f t="shared" si="18"/>
        <v>0</v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9"/>
        <v>-5</v>
      </c>
      <c r="K253" s="17">
        <f t="shared" si="17"/>
        <v>-50</v>
      </c>
      <c r="L253" s="17"/>
      <c r="M253" s="19">
        <f t="shared" si="18"/>
        <v>0</v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9"/>
        <v>-5</v>
      </c>
      <c r="K254" s="17">
        <f t="shared" si="17"/>
        <v>-50</v>
      </c>
      <c r="L254" s="17"/>
      <c r="M254" s="19">
        <f t="shared" si="18"/>
        <v>0</v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9"/>
        <v>-5</v>
      </c>
      <c r="K255" s="17">
        <f t="shared" si="17"/>
        <v>-50</v>
      </c>
      <c r="L255" s="17"/>
      <c r="M255" s="19">
        <f t="shared" si="18"/>
        <v>0</v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9"/>
        <v>-5</v>
      </c>
      <c r="K256" s="17">
        <f t="shared" si="17"/>
        <v>-50</v>
      </c>
      <c r="L256" s="17"/>
      <c r="M256" s="19">
        <f t="shared" si="18"/>
        <v>0</v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9"/>
        <v>-5</v>
      </c>
      <c r="K257" s="17">
        <f t="shared" si="17"/>
        <v>-50</v>
      </c>
      <c r="L257" s="17"/>
      <c r="M257" s="19">
        <f t="shared" si="18"/>
        <v>0</v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9"/>
        <v>-5</v>
      </c>
      <c r="K258" s="17">
        <f t="shared" si="17"/>
        <v>-50</v>
      </c>
      <c r="L258" s="17"/>
      <c r="M258" s="19">
        <f t="shared" si="18"/>
        <v>0</v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9"/>
        <v>-5</v>
      </c>
      <c r="K259" s="17">
        <f t="shared" si="17"/>
        <v>-50</v>
      </c>
      <c r="L259" s="17"/>
      <c r="M259" s="19">
        <f t="shared" si="18"/>
        <v>0</v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9"/>
        <v>-5</v>
      </c>
      <c r="K260" s="17">
        <f t="shared" si="17"/>
        <v>-50</v>
      </c>
      <c r="L260" s="17"/>
      <c r="M260" s="19">
        <f t="shared" si="18"/>
        <v>0</v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9"/>
        <v>-5</v>
      </c>
      <c r="K261" s="17">
        <f t="shared" si="17"/>
        <v>-50</v>
      </c>
      <c r="L261" s="17"/>
      <c r="M261" s="19">
        <f t="shared" si="18"/>
        <v>0</v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-6</v>
      </c>
      <c r="K262" s="17">
        <f t="shared" ref="K262:K305" si="21">J262*$J$2</f>
        <v>-60</v>
      </c>
      <c r="L262" s="17"/>
      <c r="M262" s="19">
        <f t="shared" ref="M262:M305" si="22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-6</v>
      </c>
      <c r="K263" s="17">
        <f t="shared" si="21"/>
        <v>-60</v>
      </c>
      <c r="L263" s="17"/>
      <c r="M263" s="19">
        <f t="shared" si="22"/>
        <v>0</v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3"/>
        <v>-6</v>
      </c>
      <c r="K264" s="17">
        <f t="shared" si="21"/>
        <v>-60</v>
      </c>
      <c r="L264" s="17"/>
      <c r="M264" s="19">
        <f t="shared" si="22"/>
        <v>0</v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3"/>
        <v>-6</v>
      </c>
      <c r="K265" s="17">
        <f t="shared" si="21"/>
        <v>-60</v>
      </c>
      <c r="L265" s="17"/>
      <c r="M265" s="19">
        <f t="shared" si="22"/>
        <v>0</v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3"/>
        <v>-6</v>
      </c>
      <c r="K266" s="17">
        <f t="shared" si="21"/>
        <v>-60</v>
      </c>
      <c r="L266" s="17"/>
      <c r="M266" s="19">
        <f t="shared" si="22"/>
        <v>0</v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3"/>
        <v>-6</v>
      </c>
      <c r="K267" s="17">
        <f t="shared" si="21"/>
        <v>-60</v>
      </c>
      <c r="L267" s="17"/>
      <c r="M267" s="19">
        <f t="shared" si="22"/>
        <v>0</v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3"/>
        <v>-6</v>
      </c>
      <c r="K268" s="17">
        <f t="shared" si="21"/>
        <v>-60</v>
      </c>
      <c r="L268" s="17"/>
      <c r="M268" s="19">
        <f t="shared" si="22"/>
        <v>0</v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3"/>
        <v>-6</v>
      </c>
      <c r="K269" s="17">
        <f t="shared" si="21"/>
        <v>-60</v>
      </c>
      <c r="L269" s="17"/>
      <c r="M269" s="19">
        <f t="shared" si="22"/>
        <v>0</v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3"/>
        <v>-6</v>
      </c>
      <c r="K270" s="17">
        <f t="shared" si="21"/>
        <v>-60</v>
      </c>
      <c r="L270" s="17"/>
      <c r="M270" s="19">
        <f t="shared" si="22"/>
        <v>0</v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3"/>
        <v>-6</v>
      </c>
      <c r="K271" s="17">
        <f t="shared" si="21"/>
        <v>-60</v>
      </c>
      <c r="L271" s="17"/>
      <c r="M271" s="19">
        <f t="shared" si="22"/>
        <v>0</v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3"/>
        <v>-6</v>
      </c>
      <c r="K272" s="17">
        <f t="shared" si="21"/>
        <v>-60</v>
      </c>
      <c r="L272" s="17"/>
      <c r="M272" s="19">
        <f t="shared" si="22"/>
        <v>0</v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3"/>
        <v>-6</v>
      </c>
      <c r="K273" s="17">
        <f t="shared" si="21"/>
        <v>-60</v>
      </c>
      <c r="L273" s="17"/>
      <c r="M273" s="19">
        <f t="shared" si="22"/>
        <v>0</v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3"/>
        <v>-6</v>
      </c>
      <c r="K274" s="17">
        <f t="shared" si="21"/>
        <v>-60</v>
      </c>
      <c r="L274" s="17"/>
      <c r="M274" s="19">
        <f t="shared" si="22"/>
        <v>0</v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3"/>
        <v>-6</v>
      </c>
      <c r="K275" s="17">
        <f t="shared" si="21"/>
        <v>-60</v>
      </c>
      <c r="L275" s="17"/>
      <c r="M275" s="19">
        <f t="shared" si="22"/>
        <v>0</v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3"/>
        <v>-6</v>
      </c>
      <c r="K276" s="17">
        <f t="shared" si="21"/>
        <v>-60</v>
      </c>
      <c r="L276" s="17"/>
      <c r="M276" s="19">
        <f t="shared" si="22"/>
        <v>0</v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3"/>
        <v>-6</v>
      </c>
      <c r="K277" s="17">
        <f t="shared" si="21"/>
        <v>-60</v>
      </c>
      <c r="L277" s="17"/>
      <c r="M277" s="19">
        <f t="shared" si="22"/>
        <v>0</v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3"/>
        <v>-6</v>
      </c>
      <c r="K278" s="17">
        <f t="shared" si="21"/>
        <v>-60</v>
      </c>
      <c r="L278" s="17"/>
      <c r="M278" s="19">
        <f t="shared" si="22"/>
        <v>0</v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3"/>
        <v>-6</v>
      </c>
      <c r="K279" s="17">
        <f t="shared" si="21"/>
        <v>-60</v>
      </c>
      <c r="L279" s="17"/>
      <c r="M279" s="19">
        <f t="shared" si="22"/>
        <v>0</v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3"/>
        <v>-6</v>
      </c>
      <c r="K280" s="17">
        <f t="shared" si="21"/>
        <v>-60</v>
      </c>
      <c r="L280" s="17"/>
      <c r="M280" s="19">
        <f t="shared" si="22"/>
        <v>0</v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3"/>
        <v>-6</v>
      </c>
      <c r="K281" s="17">
        <f t="shared" si="21"/>
        <v>-60</v>
      </c>
      <c r="L281" s="17"/>
      <c r="M281" s="19">
        <f t="shared" si="22"/>
        <v>0</v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3"/>
        <v>-6</v>
      </c>
      <c r="K282" s="17">
        <f t="shared" si="21"/>
        <v>-60</v>
      </c>
      <c r="L282" s="17"/>
      <c r="M282" s="19">
        <f t="shared" si="22"/>
        <v>0</v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3"/>
        <v>-6</v>
      </c>
      <c r="K283" s="17">
        <f t="shared" si="21"/>
        <v>-60</v>
      </c>
      <c r="L283" s="17"/>
      <c r="M283" s="19">
        <f t="shared" si="22"/>
        <v>0</v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3"/>
        <v>-6</v>
      </c>
      <c r="K284" s="17">
        <f t="shared" si="21"/>
        <v>-60</v>
      </c>
      <c r="L284" s="17"/>
      <c r="M284" s="19">
        <f t="shared" si="22"/>
        <v>0</v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3"/>
        <v>-6</v>
      </c>
      <c r="K285" s="17">
        <f t="shared" si="21"/>
        <v>-60</v>
      </c>
      <c r="L285" s="17"/>
      <c r="M285" s="19">
        <f t="shared" si="22"/>
        <v>0</v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3"/>
        <v>-6</v>
      </c>
      <c r="K286" s="17">
        <f t="shared" si="21"/>
        <v>-60</v>
      </c>
      <c r="L286" s="17"/>
      <c r="M286" s="19">
        <f t="shared" si="22"/>
        <v>0</v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3"/>
        <v>-6</v>
      </c>
      <c r="K287" s="17">
        <f t="shared" si="21"/>
        <v>-60</v>
      </c>
      <c r="L287" s="17"/>
      <c r="M287" s="19">
        <f t="shared" si="22"/>
        <v>0</v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3"/>
        <v>-6</v>
      </c>
      <c r="K288" s="17">
        <f t="shared" si="21"/>
        <v>-60</v>
      </c>
      <c r="L288" s="17"/>
      <c r="M288" s="19">
        <f t="shared" si="22"/>
        <v>0</v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3"/>
        <v>-6</v>
      </c>
      <c r="K289" s="17">
        <f t="shared" si="21"/>
        <v>-60</v>
      </c>
      <c r="L289" s="17"/>
      <c r="M289" s="19">
        <f t="shared" si="22"/>
        <v>0</v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3"/>
        <v>-6</v>
      </c>
      <c r="K290" s="17">
        <f t="shared" si="21"/>
        <v>-60</v>
      </c>
      <c r="L290" s="17"/>
      <c r="M290" s="19">
        <f t="shared" si="22"/>
        <v>0</v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3"/>
        <v>-6</v>
      </c>
      <c r="K291" s="17">
        <f t="shared" si="21"/>
        <v>-60</v>
      </c>
      <c r="L291" s="17"/>
      <c r="M291" s="19">
        <f t="shared" si="22"/>
        <v>0</v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3"/>
        <v>-6</v>
      </c>
      <c r="K292" s="17">
        <f t="shared" si="21"/>
        <v>-60</v>
      </c>
      <c r="L292" s="17"/>
      <c r="M292" s="19">
        <f t="shared" si="22"/>
        <v>0</v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3"/>
        <v>-6</v>
      </c>
      <c r="K293" s="17">
        <f t="shared" si="21"/>
        <v>-60</v>
      </c>
      <c r="L293" s="17"/>
      <c r="M293" s="19">
        <f t="shared" si="22"/>
        <v>0</v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3"/>
        <v>-6</v>
      </c>
      <c r="K294" s="17">
        <f t="shared" si="21"/>
        <v>-60</v>
      </c>
      <c r="L294" s="17"/>
      <c r="M294" s="19">
        <f t="shared" si="22"/>
        <v>0</v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3"/>
        <v>-6</v>
      </c>
      <c r="K295" s="17">
        <f t="shared" si="21"/>
        <v>-60</v>
      </c>
      <c r="L295" s="17"/>
      <c r="M295" s="19">
        <f t="shared" si="22"/>
        <v>0</v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3"/>
        <v>-6</v>
      </c>
      <c r="K296" s="17">
        <f t="shared" si="21"/>
        <v>-60</v>
      </c>
      <c r="L296" s="17"/>
      <c r="M296" s="19">
        <f t="shared" si="22"/>
        <v>0</v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3"/>
        <v>-6</v>
      </c>
      <c r="K297" s="17">
        <f t="shared" si="21"/>
        <v>-60</v>
      </c>
      <c r="L297" s="17"/>
      <c r="M297" s="19">
        <f t="shared" si="22"/>
        <v>0</v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3"/>
        <v>-6</v>
      </c>
      <c r="K298" s="17">
        <f t="shared" si="21"/>
        <v>-60</v>
      </c>
      <c r="L298" s="17"/>
      <c r="M298" s="19">
        <f t="shared" si="22"/>
        <v>0</v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3"/>
        <v>-6</v>
      </c>
      <c r="K299" s="17">
        <f t="shared" si="21"/>
        <v>-60</v>
      </c>
      <c r="L299" s="17"/>
      <c r="M299" s="19">
        <f t="shared" si="22"/>
        <v>0</v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3"/>
        <v>-6</v>
      </c>
      <c r="K300" s="17">
        <f t="shared" si="21"/>
        <v>-60</v>
      </c>
      <c r="L300" s="17"/>
      <c r="M300" s="19">
        <f t="shared" si="22"/>
        <v>0</v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3"/>
        <v>-6</v>
      </c>
      <c r="K301" s="17">
        <f t="shared" si="21"/>
        <v>-60</v>
      </c>
      <c r="L301" s="17"/>
      <c r="M301" s="19">
        <f t="shared" si="22"/>
        <v>0</v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3"/>
        <v>-6</v>
      </c>
      <c r="K302" s="17">
        <f t="shared" si="21"/>
        <v>-60</v>
      </c>
      <c r="L302" s="17"/>
      <c r="M302" s="19">
        <f t="shared" si="22"/>
        <v>0</v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3"/>
        <v>-6</v>
      </c>
      <c r="K303" s="17">
        <f t="shared" si="21"/>
        <v>-60</v>
      </c>
      <c r="L303" s="17"/>
      <c r="M303" s="19">
        <f t="shared" si="22"/>
        <v>0</v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3"/>
        <v>-6</v>
      </c>
      <c r="K304" s="17">
        <f t="shared" si="21"/>
        <v>-60</v>
      </c>
      <c r="L304" s="17"/>
      <c r="M304" s="19">
        <f t="shared" si="22"/>
        <v>0</v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3"/>
        <v>-6</v>
      </c>
      <c r="K305" s="17">
        <f t="shared" si="21"/>
        <v>-60</v>
      </c>
      <c r="L305" s="17"/>
      <c r="M305" s="19">
        <f t="shared" si="22"/>
        <v>0</v>
      </c>
    </row>
    <row r="306" spans="1:16">
      <c r="A306" s="4"/>
      <c r="J306" s="20" t="e">
        <f t="shared" si="23"/>
        <v>#NUM!</v>
      </c>
    </row>
    <row r="307" spans="1:16">
      <c r="J307" s="20" t="e">
        <f t="shared" si="23"/>
        <v>#NUM!</v>
      </c>
    </row>
    <row r="308" spans="1:16">
      <c r="J308" s="20" t="e">
        <f t="shared" si="23"/>
        <v>#NUM!</v>
      </c>
    </row>
    <row r="309" spans="1:16">
      <c r="J309" s="20" t="e">
        <f t="shared" si="23"/>
        <v>#NUM!</v>
      </c>
    </row>
    <row r="310" spans="1:16">
      <c r="J310" s="20" t="e">
        <f t="shared" si="23"/>
        <v>#NUM!</v>
      </c>
    </row>
    <row r="311" spans="1:16">
      <c r="J311" s="20" t="e">
        <f t="shared" si="23"/>
        <v>#NUM!</v>
      </c>
    </row>
    <row r="312" spans="1:16">
      <c r="J312" s="20" t="e">
        <f t="shared" si="23"/>
        <v>#NUM!</v>
      </c>
    </row>
    <row r="313" spans="1:16">
      <c r="J313" s="20" t="e">
        <f t="shared" si="23"/>
        <v>#NUM!</v>
      </c>
    </row>
    <row r="314" spans="1:16">
      <c r="J314" s="20" t="e">
        <f t="shared" si="23"/>
        <v>#NUM!</v>
      </c>
      <c r="L314" s="21"/>
      <c r="P314" s="49"/>
    </row>
    <row r="315" spans="1:16">
      <c r="J315" s="20" t="e">
        <f t="shared" si="23"/>
        <v>#NUM!</v>
      </c>
      <c r="L315" s="21"/>
      <c r="P315" s="49"/>
    </row>
    <row r="316" spans="1:16">
      <c r="J316" s="20" t="e">
        <f t="shared" si="23"/>
        <v>#NUM!</v>
      </c>
      <c r="L316" s="21"/>
      <c r="P316" s="49"/>
    </row>
    <row r="317" spans="1:16">
      <c r="J317" s="20" t="e">
        <f t="shared" si="23"/>
        <v>#NUM!</v>
      </c>
      <c r="L317" s="21"/>
      <c r="P317" s="49"/>
    </row>
    <row r="318" spans="1:16">
      <c r="J318" s="20" t="e">
        <f t="shared" si="23"/>
        <v>#NUM!</v>
      </c>
    </row>
    <row r="319" spans="1:16">
      <c r="J319" s="20" t="e">
        <f t="shared" si="23"/>
        <v>#NUM!</v>
      </c>
    </row>
    <row r="320" spans="1:16">
      <c r="J320" s="20" t="e">
        <f t="shared" si="23"/>
        <v>#NUM!</v>
      </c>
    </row>
    <row r="321" spans="10:10">
      <c r="J321" s="20" t="e">
        <f t="shared" si="23"/>
        <v>#NUM!</v>
      </c>
    </row>
    <row r="322" spans="10:10">
      <c r="J322" s="20" t="e">
        <f t="shared" si="23"/>
        <v>#NUM!</v>
      </c>
    </row>
    <row r="323" spans="10:10">
      <c r="J323" s="20" t="e">
        <f t="shared" si="23"/>
        <v>#NUM!</v>
      </c>
    </row>
    <row r="324" spans="10:10">
      <c r="J324" s="20" t="e">
        <f t="shared" si="23"/>
        <v>#NUM!</v>
      </c>
    </row>
    <row r="325" spans="10:10">
      <c r="J325" s="20" t="e">
        <f t="shared" si="23"/>
        <v>#NUM!</v>
      </c>
    </row>
    <row r="326" spans="10:10">
      <c r="J326" s="20" t="e">
        <f t="shared" si="23"/>
        <v>#NUM!</v>
      </c>
    </row>
    <row r="327" spans="10:10">
      <c r="J327" s="20" t="e">
        <f t="shared" ref="J327:J373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</sheetData>
  <mergeCells count="2">
    <mergeCell ref="C2:D2"/>
    <mergeCell ref="C3:D3"/>
  </mergeCells>
  <conditionalFormatting sqref="J7:K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F484B82C-C91C-4FDC-BA6C-90D1BEE9D278}">
      <formula1>#REF!</formula1>
    </dataValidation>
  </dataValidations>
  <hyperlinks>
    <hyperlink ref="C2:D2" r:id="rId1" display="ŚWIDNICA" xr:uid="{2A701071-A4A7-4A48-9BE4-655F64D6706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rgb="FF92D050"/>
  </sheetPr>
  <dimension ref="A1:AM373"/>
  <sheetViews>
    <sheetView workbookViewId="0">
      <selection activeCell="C3" sqref="C3:D3"/>
    </sheetView>
  </sheetViews>
  <sheetFormatPr defaultColWidth="8.85546875" defaultRowHeight="14.2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20" customWidth="1"/>
    <col min="14" max="14" width="11.7109375" style="15" customWidth="1"/>
    <col min="15" max="16" width="13.85546875" style="5" customWidth="1"/>
    <col min="17" max="19" width="8.85546875" style="5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3"/>
  </cols>
  <sheetData>
    <row r="1" spans="1:35">
      <c r="A1" s="5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76</v>
      </c>
      <c r="L1" s="72" t="s">
        <v>77</v>
      </c>
      <c r="M1" s="71"/>
      <c r="N1" s="13"/>
    </row>
    <row r="2" spans="1:35" ht="15">
      <c r="A2" s="5"/>
      <c r="B2" s="47" t="s">
        <v>35</v>
      </c>
      <c r="C2" s="127" t="s">
        <v>78</v>
      </c>
      <c r="D2" s="127"/>
      <c r="E2" s="6"/>
      <c r="F2" s="6"/>
      <c r="G2" s="6"/>
      <c r="H2" s="14">
        <v>10</v>
      </c>
      <c r="I2" s="68">
        <v>50</v>
      </c>
      <c r="J2" s="68">
        <v>10</v>
      </c>
      <c r="K2" s="69">
        <f>3*H2^(1/3)</f>
        <v>6.463304070095651</v>
      </c>
      <c r="L2" s="70">
        <f>1.2</f>
        <v>1.2</v>
      </c>
      <c r="M2" s="13"/>
      <c r="N2" s="13"/>
    </row>
    <row r="3" spans="1:35" ht="14.25" customHeight="1">
      <c r="A3" s="5"/>
      <c r="B3" s="48" t="s">
        <v>37</v>
      </c>
      <c r="C3" s="128" t="s">
        <v>79</v>
      </c>
      <c r="D3" s="128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6.15">
      <c r="A5" s="1" t="s">
        <v>38</v>
      </c>
      <c r="B5" s="37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  <c r="N5" s="9" t="s">
        <v>80</v>
      </c>
    </row>
    <row r="6" spans="1:35" ht="14.45" customHeight="1">
      <c r="A6" s="39">
        <f>N6</f>
        <v>131.26789465234432</v>
      </c>
      <c r="B6" s="36">
        <v>1</v>
      </c>
      <c r="C6" s="24" t="s">
        <v>19</v>
      </c>
      <c r="D6" s="24" t="s">
        <v>54</v>
      </c>
      <c r="E6" s="24"/>
      <c r="F6" s="24" t="s">
        <v>68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4</v>
      </c>
      <c r="K6" s="17">
        <f t="shared" ref="K6" si="1">J6*$J$2</f>
        <v>40</v>
      </c>
      <c r="L6" s="19">
        <f>3*K2</f>
        <v>19.389912210286951</v>
      </c>
      <c r="M6" s="19">
        <f t="shared" ref="M6:M69" si="2">IF(I6&lt;&gt;"",K6+I6+L6,0)</f>
        <v>109.38991221028695</v>
      </c>
      <c r="N6" s="19">
        <f>IF(I6&lt;&gt;"",M6*L$2,"")</f>
        <v>131.26789465234432</v>
      </c>
    </row>
    <row r="7" spans="1:35" ht="14.45" customHeight="1">
      <c r="A7" s="40">
        <f t="shared" ref="A7:A70" si="3">N7</f>
        <v>93.81136602318746</v>
      </c>
      <c r="B7" s="35">
        <v>2</v>
      </c>
      <c r="C7" s="25" t="s">
        <v>20</v>
      </c>
      <c r="D7" s="25" t="s">
        <v>81</v>
      </c>
      <c r="E7" s="25"/>
      <c r="F7" s="25" t="s">
        <v>68</v>
      </c>
      <c r="G7" s="8"/>
      <c r="H7" s="44">
        <v>2</v>
      </c>
      <c r="I7" s="45">
        <f t="shared" si="0"/>
        <v>35.249530212464919</v>
      </c>
      <c r="J7" s="44">
        <f t="shared" ref="J7:J70" si="4">INT(LOG($H$2,2))-ROUNDUP(LOG(H7,2),0)+IF(OR($H$2=1,$H$2=2,$H$2=4,$H$2=8,$H$2=16,$H$2=32,$H$2=64,$H$2=128,$H$2=256),0,1)</f>
        <v>3</v>
      </c>
      <c r="K7" s="44">
        <f t="shared" ref="K7:K69" si="5">J7*$J$2</f>
        <v>30</v>
      </c>
      <c r="L7" s="46">
        <f>2*K2</f>
        <v>12.926608140191302</v>
      </c>
      <c r="M7" s="46">
        <f t="shared" si="2"/>
        <v>78.176138352656224</v>
      </c>
      <c r="N7" s="46">
        <f t="shared" ref="N7:N70" si="6">IF(I7&lt;&gt;"",M7*L$2,"")</f>
        <v>93.81136602318746</v>
      </c>
    </row>
    <row r="8" spans="1:35" ht="14.45" customHeight="1">
      <c r="A8" s="39">
        <f t="shared" si="3"/>
        <v>63.701235106598631</v>
      </c>
      <c r="B8" s="36">
        <v>3</v>
      </c>
      <c r="C8" s="24" t="s">
        <v>21</v>
      </c>
      <c r="D8" s="24" t="s">
        <v>74</v>
      </c>
      <c r="E8" s="24"/>
      <c r="F8" s="24" t="s">
        <v>68</v>
      </c>
      <c r="G8" s="8"/>
      <c r="H8" s="17">
        <v>3</v>
      </c>
      <c r="I8" s="18">
        <f t="shared" si="0"/>
        <v>26.62105851873654</v>
      </c>
      <c r="J8" s="17">
        <f t="shared" si="4"/>
        <v>2</v>
      </c>
      <c r="K8" s="17">
        <f t="shared" si="5"/>
        <v>20</v>
      </c>
      <c r="L8" s="19">
        <f>K2</f>
        <v>6.463304070095651</v>
      </c>
      <c r="M8" s="19">
        <f t="shared" si="2"/>
        <v>53.084362588832192</v>
      </c>
      <c r="N8" s="19">
        <f t="shared" si="6"/>
        <v>63.701235106598631</v>
      </c>
    </row>
    <row r="9" spans="1:35" ht="14.45" customHeight="1">
      <c r="A9" s="40">
        <f t="shared" si="3"/>
        <v>48.598872509915815</v>
      </c>
      <c r="B9" s="35">
        <v>4</v>
      </c>
      <c r="C9" s="25" t="s">
        <v>22</v>
      </c>
      <c r="D9" s="25" t="s">
        <v>73</v>
      </c>
      <c r="E9" s="25"/>
      <c r="F9" s="25" t="s">
        <v>68</v>
      </c>
      <c r="G9" s="8"/>
      <c r="H9" s="44">
        <v>4</v>
      </c>
      <c r="I9" s="45">
        <f t="shared" si="0"/>
        <v>20.499060424929844</v>
      </c>
      <c r="J9" s="44">
        <f t="shared" si="4"/>
        <v>2</v>
      </c>
      <c r="K9" s="44">
        <f t="shared" si="5"/>
        <v>20</v>
      </c>
      <c r="L9" s="46"/>
      <c r="M9" s="46">
        <f t="shared" si="2"/>
        <v>40.499060424929844</v>
      </c>
      <c r="N9" s="46">
        <f t="shared" si="6"/>
        <v>48.598872509915815</v>
      </c>
      <c r="W9" s="27"/>
      <c r="AA9" s="28"/>
      <c r="AB9" s="28"/>
      <c r="AH9" s="29"/>
    </row>
    <row r="10" spans="1:35" ht="14.45" customHeight="1">
      <c r="A10" s="39">
        <f t="shared" si="3"/>
        <v>30.900563745042088</v>
      </c>
      <c r="B10" s="36">
        <v>5</v>
      </c>
      <c r="C10" s="24" t="s">
        <v>23</v>
      </c>
      <c r="D10" s="24" t="s">
        <v>82</v>
      </c>
      <c r="E10" s="24"/>
      <c r="F10" s="24" t="s">
        <v>68</v>
      </c>
      <c r="G10" s="8"/>
      <c r="H10" s="17">
        <v>5</v>
      </c>
      <c r="I10" s="18">
        <f t="shared" si="0"/>
        <v>15.750469787535074</v>
      </c>
      <c r="J10" s="17">
        <f t="shared" si="4"/>
        <v>1</v>
      </c>
      <c r="K10" s="17">
        <f t="shared" si="5"/>
        <v>10</v>
      </c>
      <c r="L10" s="17"/>
      <c r="M10" s="19">
        <f t="shared" si="2"/>
        <v>25.750469787535074</v>
      </c>
      <c r="N10" s="19">
        <f t="shared" si="6"/>
        <v>30.900563745042088</v>
      </c>
      <c r="W10" s="27"/>
      <c r="AA10" s="28"/>
      <c r="AB10" s="28"/>
      <c r="AH10" s="29"/>
    </row>
    <row r="11" spans="1:35" ht="14.45" customHeight="1">
      <c r="A11" s="40">
        <f t="shared" si="3"/>
        <v>26.244706477441756</v>
      </c>
      <c r="B11" s="35">
        <v>6</v>
      </c>
      <c r="C11" s="25" t="s">
        <v>24</v>
      </c>
      <c r="D11" s="25" t="s">
        <v>74</v>
      </c>
      <c r="E11" s="25"/>
      <c r="F11" s="25" t="s">
        <v>68</v>
      </c>
      <c r="G11" s="8"/>
      <c r="H11" s="44">
        <v>6</v>
      </c>
      <c r="I11" s="45">
        <f t="shared" si="0"/>
        <v>11.870588731201465</v>
      </c>
      <c r="J11" s="44">
        <f t="shared" si="4"/>
        <v>1</v>
      </c>
      <c r="K11" s="44">
        <f t="shared" si="5"/>
        <v>10</v>
      </c>
      <c r="L11" s="44"/>
      <c r="M11" s="46">
        <f t="shared" si="2"/>
        <v>21.870588731201465</v>
      </c>
      <c r="N11" s="46">
        <f t="shared" si="6"/>
        <v>26.244706477441756</v>
      </c>
      <c r="W11" s="30"/>
      <c r="AA11" s="28"/>
      <c r="AB11" s="28"/>
      <c r="AH11" s="29"/>
    </row>
    <row r="12" spans="1:35" ht="14.45" customHeight="1">
      <c r="A12" s="39">
        <f t="shared" si="3"/>
        <v>22.308235247161701</v>
      </c>
      <c r="B12" s="36">
        <v>7</v>
      </c>
      <c r="C12" s="24" t="s">
        <v>18</v>
      </c>
      <c r="D12" s="24" t="s">
        <v>83</v>
      </c>
      <c r="E12" s="24"/>
      <c r="F12" s="24" t="s">
        <v>68</v>
      </c>
      <c r="G12" s="8"/>
      <c r="H12" s="17">
        <v>7</v>
      </c>
      <c r="I12" s="18">
        <f t="shared" si="0"/>
        <v>8.5901960393014178</v>
      </c>
      <c r="J12" s="17">
        <f t="shared" si="4"/>
        <v>1</v>
      </c>
      <c r="K12" s="17">
        <f t="shared" si="5"/>
        <v>10</v>
      </c>
      <c r="L12" s="17"/>
      <c r="M12" s="19">
        <f t="shared" si="2"/>
        <v>18.590196039301418</v>
      </c>
      <c r="N12" s="19">
        <f t="shared" si="6"/>
        <v>22.308235247161701</v>
      </c>
      <c r="AA12" s="28"/>
      <c r="AB12" s="28"/>
      <c r="AH12" s="29"/>
    </row>
    <row r="13" spans="1:35" ht="14.45" customHeight="1">
      <c r="A13" s="41">
        <f t="shared" si="3"/>
        <v>18.898308764873722</v>
      </c>
      <c r="B13" s="35">
        <v>8</v>
      </c>
      <c r="C13" s="25" t="s">
        <v>26</v>
      </c>
      <c r="D13" s="25" t="s">
        <v>58</v>
      </c>
      <c r="E13" s="25" t="s">
        <v>84</v>
      </c>
      <c r="F13" s="25" t="s">
        <v>68</v>
      </c>
      <c r="G13" s="8"/>
      <c r="H13" s="44">
        <v>8</v>
      </c>
      <c r="I13" s="45">
        <f t="shared" si="0"/>
        <v>5.7485906373947699</v>
      </c>
      <c r="J13" s="44">
        <f t="shared" si="4"/>
        <v>1</v>
      </c>
      <c r="K13" s="44">
        <f t="shared" si="5"/>
        <v>10</v>
      </c>
      <c r="L13" s="44"/>
      <c r="M13" s="46">
        <f t="shared" si="2"/>
        <v>15.74859063739477</v>
      </c>
      <c r="N13" s="46">
        <f t="shared" si="6"/>
        <v>18.898308764873722</v>
      </c>
      <c r="Y13" s="27"/>
      <c r="AH13" s="29"/>
    </row>
    <row r="14" spans="1:35" ht="25.9">
      <c r="A14" s="42">
        <f t="shared" si="3"/>
        <v>3.8905404449676948</v>
      </c>
      <c r="B14" s="36">
        <v>9</v>
      </c>
      <c r="C14" s="24" t="s">
        <v>25</v>
      </c>
      <c r="D14" s="24" t="s">
        <v>81</v>
      </c>
      <c r="E14" s="24"/>
      <c r="F14" s="24" t="s">
        <v>68</v>
      </c>
      <c r="G14" s="8"/>
      <c r="H14" s="17">
        <v>9</v>
      </c>
      <c r="I14" s="18">
        <f t="shared" si="0"/>
        <v>3.2421170374730792</v>
      </c>
      <c r="J14" s="17">
        <f t="shared" si="4"/>
        <v>0</v>
      </c>
      <c r="K14" s="17">
        <f t="shared" si="5"/>
        <v>0</v>
      </c>
      <c r="L14" s="17"/>
      <c r="M14" s="19">
        <f t="shared" si="2"/>
        <v>3.2421170374730792</v>
      </c>
      <c r="N14" s="19">
        <f t="shared" si="6"/>
        <v>3.8905404449676948</v>
      </c>
      <c r="Y14" s="31"/>
      <c r="AA14" s="28"/>
      <c r="AB14" s="28"/>
      <c r="AH14" s="29"/>
    </row>
    <row r="15" spans="1:35" ht="25.9">
      <c r="A15" s="41">
        <f t="shared" si="3"/>
        <v>1.2</v>
      </c>
      <c r="B15" s="35">
        <v>10</v>
      </c>
      <c r="C15" s="25" t="s">
        <v>28</v>
      </c>
      <c r="D15" s="25" t="s">
        <v>85</v>
      </c>
      <c r="E15" s="25"/>
      <c r="F15" s="25" t="s">
        <v>68</v>
      </c>
      <c r="G15" s="8"/>
      <c r="H15" s="44">
        <v>10</v>
      </c>
      <c r="I15" s="45">
        <f t="shared" si="0"/>
        <v>1</v>
      </c>
      <c r="J15" s="44">
        <f t="shared" si="4"/>
        <v>0</v>
      </c>
      <c r="K15" s="44">
        <f t="shared" si="5"/>
        <v>0</v>
      </c>
      <c r="L15" s="44"/>
      <c r="M15" s="46">
        <f t="shared" si="2"/>
        <v>1</v>
      </c>
      <c r="N15" s="46">
        <f t="shared" si="6"/>
        <v>1.2</v>
      </c>
      <c r="Y15" s="27"/>
      <c r="AA15" s="28"/>
      <c r="AB15" s="28"/>
    </row>
    <row r="16" spans="1:35">
      <c r="A16" s="42" t="str">
        <f t="shared" si="3"/>
        <v/>
      </c>
      <c r="B16" s="36" t="str">
        <f t="shared" ref="B16:B65" si="7">IF(H16&gt;$H$2,"",(ROW()-5))</f>
        <v/>
      </c>
      <c r="C16" s="24"/>
      <c r="D16" s="24"/>
      <c r="E16" s="24"/>
      <c r="F16" s="24"/>
      <c r="G16" s="8"/>
      <c r="H16" s="17">
        <v>11</v>
      </c>
      <c r="I16" s="18" t="str">
        <f t="shared" si="0"/>
        <v/>
      </c>
      <c r="J16" s="17">
        <f t="shared" si="4"/>
        <v>0</v>
      </c>
      <c r="K16" s="17">
        <f t="shared" si="5"/>
        <v>0</v>
      </c>
      <c r="L16" s="17"/>
      <c r="M16" s="19">
        <f t="shared" si="2"/>
        <v>0</v>
      </c>
      <c r="N16" s="19" t="str">
        <f t="shared" si="6"/>
        <v/>
      </c>
      <c r="S16" s="49"/>
      <c r="AA16" s="28"/>
      <c r="AB16" s="28"/>
      <c r="AI16" s="33"/>
    </row>
    <row r="17" spans="1:20">
      <c r="A17" s="41" t="str">
        <f t="shared" si="3"/>
        <v/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0"/>
        <v/>
      </c>
      <c r="J17" s="44">
        <f t="shared" si="4"/>
        <v>0</v>
      </c>
      <c r="K17" s="44">
        <f t="shared" si="5"/>
        <v>0</v>
      </c>
      <c r="L17" s="44"/>
      <c r="M17" s="46">
        <f t="shared" si="2"/>
        <v>0</v>
      </c>
      <c r="N17" s="46" t="str">
        <f t="shared" si="6"/>
        <v/>
      </c>
    </row>
    <row r="18" spans="1:20">
      <c r="A18" s="42" t="str">
        <f t="shared" si="3"/>
        <v/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0"/>
        <v/>
      </c>
      <c r="J18" s="17">
        <f t="shared" si="4"/>
        <v>0</v>
      </c>
      <c r="K18" s="17">
        <f t="shared" si="5"/>
        <v>0</v>
      </c>
      <c r="L18" s="17"/>
      <c r="M18" s="19">
        <f t="shared" si="2"/>
        <v>0</v>
      </c>
      <c r="N18" s="19" t="str">
        <f t="shared" si="6"/>
        <v/>
      </c>
    </row>
    <row r="19" spans="1:20">
      <c r="A19" s="41" t="str">
        <f t="shared" si="3"/>
        <v/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0"/>
        <v/>
      </c>
      <c r="J19" s="44">
        <f t="shared" si="4"/>
        <v>0</v>
      </c>
      <c r="K19" s="44">
        <f t="shared" si="5"/>
        <v>0</v>
      </c>
      <c r="L19" s="44"/>
      <c r="M19" s="46">
        <f t="shared" si="2"/>
        <v>0</v>
      </c>
      <c r="N19" s="46" t="str">
        <f t="shared" si="6"/>
        <v/>
      </c>
    </row>
    <row r="20" spans="1:20">
      <c r="A20" s="42" t="str">
        <f t="shared" si="3"/>
        <v/>
      </c>
      <c r="B20" s="36" t="str">
        <f t="shared" si="7"/>
        <v/>
      </c>
      <c r="C20" s="24"/>
      <c r="D20" s="24"/>
      <c r="E20" s="24"/>
      <c r="F20" s="24"/>
      <c r="G20" s="8"/>
      <c r="H20" s="17">
        <v>15</v>
      </c>
      <c r="I20" s="18" t="str">
        <f t="shared" si="0"/>
        <v/>
      </c>
      <c r="J20" s="17">
        <f t="shared" si="4"/>
        <v>0</v>
      </c>
      <c r="K20" s="17">
        <f t="shared" si="5"/>
        <v>0</v>
      </c>
      <c r="L20" s="17"/>
      <c r="M20" s="19">
        <f t="shared" si="2"/>
        <v>0</v>
      </c>
      <c r="N20" s="19" t="str">
        <f t="shared" si="6"/>
        <v/>
      </c>
      <c r="S20" s="50"/>
      <c r="T20" s="34"/>
    </row>
    <row r="21" spans="1:20">
      <c r="A21" s="41" t="str">
        <f t="shared" si="3"/>
        <v/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0"/>
        <v/>
      </c>
      <c r="J21" s="44">
        <f t="shared" si="4"/>
        <v>0</v>
      </c>
      <c r="K21" s="44">
        <f t="shared" si="5"/>
        <v>0</v>
      </c>
      <c r="L21" s="44"/>
      <c r="M21" s="46">
        <f t="shared" si="2"/>
        <v>0</v>
      </c>
      <c r="N21" s="46" t="str">
        <f t="shared" si="6"/>
        <v/>
      </c>
    </row>
    <row r="22" spans="1:20">
      <c r="A22" s="42" t="str">
        <f t="shared" si="3"/>
        <v/>
      </c>
      <c r="B22" s="36" t="str">
        <f t="shared" si="7"/>
        <v/>
      </c>
      <c r="C22" s="24"/>
      <c r="D22" s="24"/>
      <c r="E22" s="24"/>
      <c r="F22" s="24"/>
      <c r="G22" s="8"/>
      <c r="H22" s="17">
        <v>17</v>
      </c>
      <c r="I22" s="18" t="str">
        <f t="shared" si="0"/>
        <v/>
      </c>
      <c r="J22" s="17">
        <f t="shared" si="4"/>
        <v>-1</v>
      </c>
      <c r="K22" s="17">
        <f t="shared" si="5"/>
        <v>-10</v>
      </c>
      <c r="L22" s="17"/>
      <c r="M22" s="19">
        <f t="shared" si="2"/>
        <v>0</v>
      </c>
      <c r="N22" s="19" t="str">
        <f t="shared" si="6"/>
        <v/>
      </c>
    </row>
    <row r="23" spans="1:20">
      <c r="A23" s="41" t="str">
        <f t="shared" si="3"/>
        <v/>
      </c>
      <c r="B23" s="35" t="str">
        <f t="shared" si="7"/>
        <v/>
      </c>
      <c r="C23" s="25"/>
      <c r="D23" s="25"/>
      <c r="E23" s="25"/>
      <c r="F23" s="25"/>
      <c r="G23" s="8"/>
      <c r="H23" s="44">
        <v>18</v>
      </c>
      <c r="I23" s="45" t="str">
        <f t="shared" si="0"/>
        <v/>
      </c>
      <c r="J23" s="44">
        <f t="shared" si="4"/>
        <v>-1</v>
      </c>
      <c r="K23" s="44">
        <f t="shared" si="5"/>
        <v>-10</v>
      </c>
      <c r="L23" s="44"/>
      <c r="M23" s="46">
        <f t="shared" si="2"/>
        <v>0</v>
      </c>
      <c r="N23" s="46" t="str">
        <f t="shared" si="6"/>
        <v/>
      </c>
    </row>
    <row r="24" spans="1:20">
      <c r="A24" s="42" t="str">
        <f t="shared" si="3"/>
        <v/>
      </c>
      <c r="B24" s="36" t="str">
        <f t="shared" si="7"/>
        <v/>
      </c>
      <c r="C24" s="24"/>
      <c r="D24" s="24"/>
      <c r="E24" s="24"/>
      <c r="F24" s="24"/>
      <c r="G24" s="8"/>
      <c r="H24" s="17">
        <v>19</v>
      </c>
      <c r="I24" s="18" t="str">
        <f t="shared" si="0"/>
        <v/>
      </c>
      <c r="J24" s="17">
        <f t="shared" si="4"/>
        <v>-1</v>
      </c>
      <c r="K24" s="17">
        <f t="shared" si="5"/>
        <v>-10</v>
      </c>
      <c r="L24" s="17"/>
      <c r="M24" s="19">
        <f t="shared" si="2"/>
        <v>0</v>
      </c>
      <c r="N24" s="19" t="str">
        <f t="shared" si="6"/>
        <v/>
      </c>
      <c r="S24" s="50"/>
      <c r="T24" s="34"/>
    </row>
    <row r="25" spans="1:20">
      <c r="A25" s="41" t="str">
        <f t="shared" si="3"/>
        <v/>
      </c>
      <c r="B25" s="35" t="str">
        <f t="shared" si="7"/>
        <v/>
      </c>
      <c r="C25" s="25"/>
      <c r="D25" s="25"/>
      <c r="E25" s="25"/>
      <c r="F25" s="25"/>
      <c r="G25" s="8"/>
      <c r="H25" s="44">
        <v>20</v>
      </c>
      <c r="I25" s="45" t="str">
        <f t="shared" si="0"/>
        <v/>
      </c>
      <c r="J25" s="44">
        <f t="shared" si="4"/>
        <v>-1</v>
      </c>
      <c r="K25" s="44">
        <f t="shared" si="5"/>
        <v>-10</v>
      </c>
      <c r="L25" s="44"/>
      <c r="M25" s="46">
        <f t="shared" si="2"/>
        <v>0</v>
      </c>
      <c r="N25" s="46" t="str">
        <f t="shared" si="6"/>
        <v/>
      </c>
    </row>
    <row r="26" spans="1:20">
      <c r="A26" s="42" t="str">
        <f t="shared" si="3"/>
        <v/>
      </c>
      <c r="B26" s="36" t="str">
        <f t="shared" si="7"/>
        <v/>
      </c>
      <c r="C26" s="24"/>
      <c r="D26" s="24"/>
      <c r="E26" s="24"/>
      <c r="F26" s="24"/>
      <c r="G26" s="8"/>
      <c r="H26" s="17">
        <v>21</v>
      </c>
      <c r="I26" s="18" t="str">
        <f t="shared" si="0"/>
        <v/>
      </c>
      <c r="J26" s="17">
        <f t="shared" si="4"/>
        <v>-1</v>
      </c>
      <c r="K26" s="17">
        <f t="shared" si="5"/>
        <v>-10</v>
      </c>
      <c r="L26" s="17"/>
      <c r="M26" s="19">
        <f t="shared" si="2"/>
        <v>0</v>
      </c>
      <c r="N26" s="19" t="str">
        <f t="shared" si="6"/>
        <v/>
      </c>
    </row>
    <row r="27" spans="1:20">
      <c r="A27" s="41" t="str">
        <f t="shared" si="3"/>
        <v/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0"/>
        <v/>
      </c>
      <c r="J27" s="44">
        <f t="shared" si="4"/>
        <v>-1</v>
      </c>
      <c r="K27" s="44">
        <f t="shared" si="5"/>
        <v>-10</v>
      </c>
      <c r="L27" s="44"/>
      <c r="M27" s="46">
        <f t="shared" si="2"/>
        <v>0</v>
      </c>
      <c r="N27" s="46" t="str">
        <f t="shared" si="6"/>
        <v/>
      </c>
    </row>
    <row r="28" spans="1:20">
      <c r="A28" s="42" t="str">
        <f t="shared" si="3"/>
        <v/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0"/>
        <v/>
      </c>
      <c r="J28" s="17">
        <f t="shared" si="4"/>
        <v>-1</v>
      </c>
      <c r="K28" s="17">
        <f t="shared" si="5"/>
        <v>-10</v>
      </c>
      <c r="L28" s="17"/>
      <c r="M28" s="19">
        <f t="shared" si="2"/>
        <v>0</v>
      </c>
      <c r="N28" s="19" t="str">
        <f t="shared" si="6"/>
        <v/>
      </c>
      <c r="S28" s="50"/>
      <c r="T28" s="34"/>
    </row>
    <row r="29" spans="1:20">
      <c r="A29" s="41" t="str">
        <f t="shared" si="3"/>
        <v/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0"/>
        <v/>
      </c>
      <c r="J29" s="44">
        <f t="shared" si="4"/>
        <v>-1</v>
      </c>
      <c r="K29" s="44">
        <f t="shared" si="5"/>
        <v>-10</v>
      </c>
      <c r="L29" s="44"/>
      <c r="M29" s="46">
        <f t="shared" si="2"/>
        <v>0</v>
      </c>
      <c r="N29" s="46" t="str">
        <f t="shared" si="6"/>
        <v/>
      </c>
    </row>
    <row r="30" spans="1:20">
      <c r="A30" s="42" t="str">
        <f t="shared" si="3"/>
        <v/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0"/>
        <v/>
      </c>
      <c r="J30" s="17">
        <f t="shared" si="4"/>
        <v>-1</v>
      </c>
      <c r="K30" s="17">
        <f t="shared" si="5"/>
        <v>-10</v>
      </c>
      <c r="L30" s="17"/>
      <c r="M30" s="19">
        <f t="shared" si="2"/>
        <v>0</v>
      </c>
      <c r="N30" s="19" t="str">
        <f t="shared" si="6"/>
        <v/>
      </c>
    </row>
    <row r="31" spans="1:20">
      <c r="A31" s="41" t="str">
        <f t="shared" si="3"/>
        <v/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0"/>
        <v/>
      </c>
      <c r="J31" s="44">
        <f t="shared" si="4"/>
        <v>-1</v>
      </c>
      <c r="K31" s="44">
        <f t="shared" si="5"/>
        <v>-10</v>
      </c>
      <c r="L31" s="44"/>
      <c r="M31" s="46">
        <f t="shared" si="2"/>
        <v>0</v>
      </c>
      <c r="N31" s="46" t="str">
        <f t="shared" si="6"/>
        <v/>
      </c>
    </row>
    <row r="32" spans="1:20">
      <c r="A32" s="42" t="str">
        <f t="shared" si="3"/>
        <v/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0"/>
        <v/>
      </c>
      <c r="J32" s="17">
        <f t="shared" si="4"/>
        <v>-1</v>
      </c>
      <c r="K32" s="17">
        <f t="shared" si="5"/>
        <v>-10</v>
      </c>
      <c r="L32" s="17"/>
      <c r="M32" s="19">
        <f t="shared" si="2"/>
        <v>0</v>
      </c>
      <c r="N32" s="19" t="str">
        <f t="shared" si="6"/>
        <v/>
      </c>
      <c r="S32" s="50"/>
      <c r="T32" s="34"/>
    </row>
    <row r="33" spans="1:20">
      <c r="A33" s="41" t="str">
        <f t="shared" si="3"/>
        <v/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0"/>
        <v/>
      </c>
      <c r="J33" s="44">
        <f t="shared" si="4"/>
        <v>-1</v>
      </c>
      <c r="K33" s="44">
        <f t="shared" si="5"/>
        <v>-10</v>
      </c>
      <c r="L33" s="44"/>
      <c r="M33" s="46">
        <f t="shared" si="2"/>
        <v>0</v>
      </c>
      <c r="N33" s="46" t="str">
        <f t="shared" si="6"/>
        <v/>
      </c>
    </row>
    <row r="34" spans="1:20">
      <c r="A34" s="42" t="str">
        <f t="shared" si="3"/>
        <v/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0"/>
        <v/>
      </c>
      <c r="J34" s="17">
        <f t="shared" si="4"/>
        <v>-1</v>
      </c>
      <c r="K34" s="17">
        <f t="shared" si="5"/>
        <v>-10</v>
      </c>
      <c r="L34" s="17"/>
      <c r="M34" s="19">
        <f t="shared" si="2"/>
        <v>0</v>
      </c>
      <c r="N34" s="19" t="str">
        <f t="shared" si="6"/>
        <v/>
      </c>
    </row>
    <row r="35" spans="1:20">
      <c r="A35" s="41" t="str">
        <f t="shared" si="3"/>
        <v/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0"/>
        <v/>
      </c>
      <c r="J35" s="44">
        <f t="shared" si="4"/>
        <v>-1</v>
      </c>
      <c r="K35" s="44">
        <f t="shared" si="5"/>
        <v>-10</v>
      </c>
      <c r="L35" s="44"/>
      <c r="M35" s="46">
        <f t="shared" si="2"/>
        <v>0</v>
      </c>
      <c r="N35" s="46" t="str">
        <f t="shared" si="6"/>
        <v/>
      </c>
    </row>
    <row r="36" spans="1:20">
      <c r="A36" s="42" t="str">
        <f t="shared" si="3"/>
        <v/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0"/>
        <v/>
      </c>
      <c r="J36" s="17">
        <f t="shared" si="4"/>
        <v>-1</v>
      </c>
      <c r="K36" s="17">
        <f t="shared" si="5"/>
        <v>-10</v>
      </c>
      <c r="L36" s="17"/>
      <c r="M36" s="19">
        <f t="shared" si="2"/>
        <v>0</v>
      </c>
      <c r="N36" s="19" t="str">
        <f t="shared" si="6"/>
        <v/>
      </c>
      <c r="S36" s="50"/>
      <c r="T36" s="34"/>
    </row>
    <row r="37" spans="1:20">
      <c r="A37" s="41" t="str">
        <f t="shared" si="3"/>
        <v/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0"/>
        <v/>
      </c>
      <c r="J37" s="44">
        <f t="shared" si="4"/>
        <v>-1</v>
      </c>
      <c r="K37" s="44">
        <f t="shared" si="5"/>
        <v>-10</v>
      </c>
      <c r="L37" s="44"/>
      <c r="M37" s="46">
        <f t="shared" si="2"/>
        <v>0</v>
      </c>
      <c r="N37" s="46" t="str">
        <f t="shared" si="6"/>
        <v/>
      </c>
    </row>
    <row r="38" spans="1:20">
      <c r="A38" s="42" t="str">
        <f t="shared" si="3"/>
        <v/>
      </c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0"/>
        <v/>
      </c>
      <c r="J38" s="17">
        <f t="shared" si="4"/>
        <v>-2</v>
      </c>
      <c r="K38" s="17">
        <f t="shared" si="5"/>
        <v>-20</v>
      </c>
      <c r="L38" s="17"/>
      <c r="M38" s="19">
        <f t="shared" si="2"/>
        <v>0</v>
      </c>
      <c r="N38" s="19" t="str">
        <f t="shared" si="6"/>
        <v/>
      </c>
    </row>
    <row r="39" spans="1:20">
      <c r="A39" s="41" t="str">
        <f t="shared" si="3"/>
        <v/>
      </c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4"/>
        <v>-2</v>
      </c>
      <c r="K39" s="44">
        <f t="shared" si="5"/>
        <v>-20</v>
      </c>
      <c r="L39" s="44"/>
      <c r="M39" s="46">
        <f t="shared" si="2"/>
        <v>0</v>
      </c>
      <c r="N39" s="46" t="str">
        <f t="shared" si="6"/>
        <v/>
      </c>
    </row>
    <row r="40" spans="1:20">
      <c r="A40" s="42" t="str">
        <f t="shared" si="3"/>
        <v/>
      </c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4"/>
        <v>-2</v>
      </c>
      <c r="K40" s="17">
        <f t="shared" si="5"/>
        <v>-20</v>
      </c>
      <c r="L40" s="17"/>
      <c r="M40" s="19">
        <f t="shared" si="2"/>
        <v>0</v>
      </c>
      <c r="N40" s="19" t="str">
        <f t="shared" si="6"/>
        <v/>
      </c>
    </row>
    <row r="41" spans="1:20">
      <c r="A41" s="41" t="str">
        <f t="shared" si="3"/>
        <v/>
      </c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4"/>
        <v>-2</v>
      </c>
      <c r="K41" s="44">
        <f t="shared" si="5"/>
        <v>-20</v>
      </c>
      <c r="L41" s="44"/>
      <c r="M41" s="46">
        <f t="shared" si="2"/>
        <v>0</v>
      </c>
      <c r="N41" s="46" t="str">
        <f t="shared" si="6"/>
        <v/>
      </c>
      <c r="T41" s="32"/>
    </row>
    <row r="42" spans="1:20">
      <c r="A42" s="42" t="str">
        <f t="shared" si="3"/>
        <v/>
      </c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4"/>
        <v>-2</v>
      </c>
      <c r="K42" s="17">
        <f t="shared" si="5"/>
        <v>-20</v>
      </c>
      <c r="L42" s="17"/>
      <c r="M42" s="19">
        <f t="shared" si="2"/>
        <v>0</v>
      </c>
      <c r="N42" s="19" t="str">
        <f t="shared" si="6"/>
        <v/>
      </c>
    </row>
    <row r="43" spans="1:20">
      <c r="A43" s="41" t="str">
        <f t="shared" si="3"/>
        <v/>
      </c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4"/>
        <v>-2</v>
      </c>
      <c r="K43" s="44">
        <f t="shared" si="5"/>
        <v>-20</v>
      </c>
      <c r="L43" s="44"/>
      <c r="M43" s="46">
        <f t="shared" si="2"/>
        <v>0</v>
      </c>
      <c r="N43" s="46" t="str">
        <f t="shared" si="6"/>
        <v/>
      </c>
    </row>
    <row r="44" spans="1:20">
      <c r="A44" s="42" t="str">
        <f t="shared" si="3"/>
        <v/>
      </c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4"/>
        <v>-2</v>
      </c>
      <c r="K44" s="17">
        <f t="shared" si="5"/>
        <v>-20</v>
      </c>
      <c r="L44" s="17"/>
      <c r="M44" s="19">
        <f t="shared" si="2"/>
        <v>0</v>
      </c>
      <c r="N44" s="19" t="str">
        <f t="shared" si="6"/>
        <v/>
      </c>
    </row>
    <row r="45" spans="1:20">
      <c r="A45" s="41" t="str">
        <f t="shared" si="3"/>
        <v/>
      </c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4"/>
        <v>-2</v>
      </c>
      <c r="K45" s="44">
        <f t="shared" si="5"/>
        <v>-20</v>
      </c>
      <c r="L45" s="44"/>
      <c r="M45" s="46">
        <f t="shared" si="2"/>
        <v>0</v>
      </c>
      <c r="N45" s="46" t="str">
        <f t="shared" si="6"/>
        <v/>
      </c>
    </row>
    <row r="46" spans="1:20">
      <c r="A46" s="42" t="str">
        <f t="shared" si="3"/>
        <v/>
      </c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4"/>
        <v>-2</v>
      </c>
      <c r="K46" s="17">
        <f t="shared" si="5"/>
        <v>-20</v>
      </c>
      <c r="L46" s="17"/>
      <c r="M46" s="19">
        <f t="shared" si="2"/>
        <v>0</v>
      </c>
      <c r="N46" s="19" t="str">
        <f t="shared" si="6"/>
        <v/>
      </c>
    </row>
    <row r="47" spans="1:20">
      <c r="A47" s="41" t="str">
        <f t="shared" si="3"/>
        <v/>
      </c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4"/>
        <v>-2</v>
      </c>
      <c r="K47" s="44">
        <f t="shared" si="5"/>
        <v>-20</v>
      </c>
      <c r="L47" s="44"/>
      <c r="M47" s="46">
        <f t="shared" si="2"/>
        <v>0</v>
      </c>
      <c r="N47" s="46" t="str">
        <f t="shared" si="6"/>
        <v/>
      </c>
    </row>
    <row r="48" spans="1:20">
      <c r="A48" s="42" t="str">
        <f t="shared" si="3"/>
        <v/>
      </c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4"/>
        <v>-2</v>
      </c>
      <c r="K48" s="17">
        <f t="shared" si="5"/>
        <v>-20</v>
      </c>
      <c r="L48" s="17"/>
      <c r="M48" s="19">
        <f t="shared" si="2"/>
        <v>0</v>
      </c>
      <c r="N48" s="19" t="str">
        <f t="shared" si="6"/>
        <v/>
      </c>
    </row>
    <row r="49" spans="1:14">
      <c r="A49" s="41" t="str">
        <f t="shared" si="3"/>
        <v/>
      </c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4"/>
        <v>-2</v>
      </c>
      <c r="K49" s="44">
        <f t="shared" si="5"/>
        <v>-20</v>
      </c>
      <c r="L49" s="44"/>
      <c r="M49" s="46">
        <f t="shared" si="2"/>
        <v>0</v>
      </c>
      <c r="N49" s="46" t="str">
        <f t="shared" si="6"/>
        <v/>
      </c>
    </row>
    <row r="50" spans="1:14">
      <c r="A50" s="42" t="str">
        <f t="shared" si="3"/>
        <v/>
      </c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4"/>
        <v>-2</v>
      </c>
      <c r="K50" s="17">
        <f t="shared" si="5"/>
        <v>-20</v>
      </c>
      <c r="L50" s="17"/>
      <c r="M50" s="19">
        <f t="shared" si="2"/>
        <v>0</v>
      </c>
      <c r="N50" s="19" t="str">
        <f t="shared" si="6"/>
        <v/>
      </c>
    </row>
    <row r="51" spans="1:14">
      <c r="A51" s="41" t="str">
        <f t="shared" si="3"/>
        <v/>
      </c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4"/>
        <v>-2</v>
      </c>
      <c r="K51" s="44">
        <f t="shared" si="5"/>
        <v>-20</v>
      </c>
      <c r="L51" s="44"/>
      <c r="M51" s="46">
        <f t="shared" si="2"/>
        <v>0</v>
      </c>
      <c r="N51" s="46" t="str">
        <f t="shared" si="6"/>
        <v/>
      </c>
    </row>
    <row r="52" spans="1:14">
      <c r="A52" s="42" t="str">
        <f t="shared" si="3"/>
        <v/>
      </c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4"/>
        <v>-2</v>
      </c>
      <c r="K52" s="17">
        <f t="shared" si="5"/>
        <v>-20</v>
      </c>
      <c r="L52" s="17"/>
      <c r="M52" s="19">
        <f t="shared" si="2"/>
        <v>0</v>
      </c>
      <c r="N52" s="19" t="str">
        <f t="shared" si="6"/>
        <v/>
      </c>
    </row>
    <row r="53" spans="1:14">
      <c r="A53" s="41" t="str">
        <f t="shared" si="3"/>
        <v/>
      </c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4"/>
        <v>-2</v>
      </c>
      <c r="K53" s="44">
        <f t="shared" si="5"/>
        <v>-20</v>
      </c>
      <c r="L53" s="44"/>
      <c r="M53" s="46">
        <f t="shared" si="2"/>
        <v>0</v>
      </c>
      <c r="N53" s="46" t="str">
        <f t="shared" si="6"/>
        <v/>
      </c>
    </row>
    <row r="54" spans="1:14">
      <c r="A54" s="42" t="str">
        <f t="shared" si="3"/>
        <v/>
      </c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4"/>
        <v>-2</v>
      </c>
      <c r="K54" s="17">
        <f t="shared" si="5"/>
        <v>-20</v>
      </c>
      <c r="L54" s="17"/>
      <c r="M54" s="19">
        <f t="shared" si="2"/>
        <v>0</v>
      </c>
      <c r="N54" s="19" t="str">
        <f t="shared" si="6"/>
        <v/>
      </c>
    </row>
    <row r="55" spans="1:14">
      <c r="A55" s="41" t="str">
        <f t="shared" si="3"/>
        <v/>
      </c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4"/>
        <v>-2</v>
      </c>
      <c r="K55" s="44">
        <f t="shared" si="5"/>
        <v>-20</v>
      </c>
      <c r="L55" s="44"/>
      <c r="M55" s="46">
        <f t="shared" si="2"/>
        <v>0</v>
      </c>
      <c r="N55" s="46" t="str">
        <f t="shared" si="6"/>
        <v/>
      </c>
    </row>
    <row r="56" spans="1:14">
      <c r="A56" s="42" t="str">
        <f t="shared" si="3"/>
        <v/>
      </c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4"/>
        <v>-2</v>
      </c>
      <c r="K56" s="17">
        <f t="shared" si="5"/>
        <v>-20</v>
      </c>
      <c r="L56" s="17"/>
      <c r="M56" s="19">
        <f t="shared" si="2"/>
        <v>0</v>
      </c>
      <c r="N56" s="19" t="str">
        <f t="shared" si="6"/>
        <v/>
      </c>
    </row>
    <row r="57" spans="1:14">
      <c r="A57" s="41" t="str">
        <f t="shared" si="3"/>
        <v/>
      </c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4"/>
        <v>-2</v>
      </c>
      <c r="K57" s="44">
        <f t="shared" si="5"/>
        <v>-20</v>
      </c>
      <c r="L57" s="44"/>
      <c r="M57" s="46">
        <f t="shared" si="2"/>
        <v>0</v>
      </c>
      <c r="N57" s="46" t="str">
        <f t="shared" si="6"/>
        <v/>
      </c>
    </row>
    <row r="58" spans="1:14">
      <c r="A58" s="42" t="str">
        <f t="shared" si="3"/>
        <v/>
      </c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4"/>
        <v>-2</v>
      </c>
      <c r="K58" s="17">
        <f t="shared" si="5"/>
        <v>-20</v>
      </c>
      <c r="L58" s="17"/>
      <c r="M58" s="19">
        <f t="shared" si="2"/>
        <v>0</v>
      </c>
      <c r="N58" s="19" t="str">
        <f t="shared" si="6"/>
        <v/>
      </c>
    </row>
    <row r="59" spans="1:14">
      <c r="A59" s="41" t="str">
        <f t="shared" si="3"/>
        <v/>
      </c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4"/>
        <v>-2</v>
      </c>
      <c r="K59" s="44">
        <f t="shared" si="5"/>
        <v>-20</v>
      </c>
      <c r="L59" s="44"/>
      <c r="M59" s="46">
        <f t="shared" si="2"/>
        <v>0</v>
      </c>
      <c r="N59" s="46" t="str">
        <f t="shared" si="6"/>
        <v/>
      </c>
    </row>
    <row r="60" spans="1:14">
      <c r="A60" s="42" t="str">
        <f t="shared" si="3"/>
        <v/>
      </c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4"/>
        <v>-2</v>
      </c>
      <c r="K60" s="17">
        <f t="shared" si="5"/>
        <v>-20</v>
      </c>
      <c r="L60" s="17"/>
      <c r="M60" s="19">
        <f t="shared" si="2"/>
        <v>0</v>
      </c>
      <c r="N60" s="19" t="str">
        <f t="shared" si="6"/>
        <v/>
      </c>
    </row>
    <row r="61" spans="1:14">
      <c r="A61" s="41" t="str">
        <f t="shared" si="3"/>
        <v/>
      </c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4"/>
        <v>-2</v>
      </c>
      <c r="K61" s="44">
        <f t="shared" si="5"/>
        <v>-20</v>
      </c>
      <c r="L61" s="44"/>
      <c r="M61" s="46">
        <f t="shared" si="2"/>
        <v>0</v>
      </c>
      <c r="N61" s="46" t="str">
        <f t="shared" si="6"/>
        <v/>
      </c>
    </row>
    <row r="62" spans="1:14">
      <c r="A62" s="42" t="str">
        <f t="shared" si="3"/>
        <v/>
      </c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4"/>
        <v>-2</v>
      </c>
      <c r="K62" s="17">
        <f t="shared" si="5"/>
        <v>-20</v>
      </c>
      <c r="L62" s="17"/>
      <c r="M62" s="19">
        <f t="shared" si="2"/>
        <v>0</v>
      </c>
      <c r="N62" s="19" t="str">
        <f t="shared" si="6"/>
        <v/>
      </c>
    </row>
    <row r="63" spans="1:14">
      <c r="A63" s="41" t="str">
        <f t="shared" si="3"/>
        <v/>
      </c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4"/>
        <v>-2</v>
      </c>
      <c r="K63" s="44">
        <f t="shared" si="5"/>
        <v>-20</v>
      </c>
      <c r="L63" s="44"/>
      <c r="M63" s="46">
        <f t="shared" si="2"/>
        <v>0</v>
      </c>
      <c r="N63" s="46" t="str">
        <f t="shared" si="6"/>
        <v/>
      </c>
    </row>
    <row r="64" spans="1:14">
      <c r="A64" s="42" t="str">
        <f t="shared" si="3"/>
        <v/>
      </c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4"/>
        <v>-2</v>
      </c>
      <c r="K64" s="17">
        <f t="shared" si="5"/>
        <v>-20</v>
      </c>
      <c r="L64" s="17"/>
      <c r="M64" s="19">
        <f t="shared" si="2"/>
        <v>0</v>
      </c>
      <c r="N64" s="19" t="str">
        <f t="shared" si="6"/>
        <v/>
      </c>
    </row>
    <row r="65" spans="1:14">
      <c r="A65" s="41" t="str">
        <f t="shared" si="3"/>
        <v/>
      </c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4"/>
        <v>-2</v>
      </c>
      <c r="K65" s="44">
        <f t="shared" si="5"/>
        <v>-20</v>
      </c>
      <c r="L65" s="44"/>
      <c r="M65" s="46">
        <f t="shared" si="2"/>
        <v>0</v>
      </c>
      <c r="N65" s="46" t="str">
        <f t="shared" si="6"/>
        <v/>
      </c>
    </row>
    <row r="66" spans="1:14">
      <c r="A66" s="43" t="str">
        <f t="shared" si="3"/>
        <v/>
      </c>
      <c r="B66" s="36"/>
      <c r="G66" s="5"/>
      <c r="H66" s="17">
        <v>61</v>
      </c>
      <c r="I66" s="18" t="str">
        <f t="shared" si="0"/>
        <v/>
      </c>
      <c r="J66" s="17">
        <f t="shared" si="4"/>
        <v>-2</v>
      </c>
      <c r="K66" s="17">
        <f t="shared" si="5"/>
        <v>-20</v>
      </c>
      <c r="L66" s="17"/>
      <c r="M66" s="19">
        <f t="shared" si="2"/>
        <v>0</v>
      </c>
      <c r="N66" s="19" t="str">
        <f t="shared" si="6"/>
        <v/>
      </c>
    </row>
    <row r="67" spans="1:14">
      <c r="A67" s="43" t="str">
        <f t="shared" si="3"/>
        <v/>
      </c>
      <c r="B67" s="35"/>
      <c r="G67" s="5"/>
      <c r="H67" s="17">
        <v>62</v>
      </c>
      <c r="I67" s="18" t="str">
        <f t="shared" si="0"/>
        <v/>
      </c>
      <c r="J67" s="17">
        <f t="shared" si="4"/>
        <v>-2</v>
      </c>
      <c r="K67" s="17">
        <f t="shared" si="5"/>
        <v>-20</v>
      </c>
      <c r="L67" s="17"/>
      <c r="M67" s="19">
        <f t="shared" si="2"/>
        <v>0</v>
      </c>
      <c r="N67" s="19" t="str">
        <f t="shared" si="6"/>
        <v/>
      </c>
    </row>
    <row r="68" spans="1:14">
      <c r="A68" s="43" t="str">
        <f t="shared" si="3"/>
        <v/>
      </c>
      <c r="B68" s="36"/>
      <c r="G68" s="5"/>
      <c r="H68" s="17">
        <v>63</v>
      </c>
      <c r="I68" s="18" t="str">
        <f t="shared" si="0"/>
        <v/>
      </c>
      <c r="J68" s="17">
        <f t="shared" si="4"/>
        <v>-2</v>
      </c>
      <c r="K68" s="17">
        <f t="shared" si="5"/>
        <v>-20</v>
      </c>
      <c r="L68" s="17"/>
      <c r="M68" s="19">
        <f t="shared" si="2"/>
        <v>0</v>
      </c>
      <c r="N68" s="19" t="str">
        <f t="shared" si="6"/>
        <v/>
      </c>
    </row>
    <row r="69" spans="1:14">
      <c r="A69" s="43" t="str">
        <f t="shared" si="3"/>
        <v/>
      </c>
      <c r="B69" s="35"/>
      <c r="G69" s="5"/>
      <c r="H69" s="17">
        <v>64</v>
      </c>
      <c r="I69" s="18" t="str">
        <f t="shared" si="0"/>
        <v/>
      </c>
      <c r="J69" s="17">
        <f t="shared" si="4"/>
        <v>-2</v>
      </c>
      <c r="K69" s="17">
        <f t="shared" si="5"/>
        <v>-20</v>
      </c>
      <c r="L69" s="17"/>
      <c r="M69" s="19">
        <f t="shared" si="2"/>
        <v>0</v>
      </c>
      <c r="N69" s="19" t="str">
        <f t="shared" si="6"/>
        <v/>
      </c>
    </row>
    <row r="70" spans="1:14">
      <c r="A70" s="43" t="str">
        <f t="shared" si="3"/>
        <v/>
      </c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4"/>
        <v>-3</v>
      </c>
      <c r="K70" s="17">
        <f t="shared" ref="K70:K133" si="9">J70*$J$2</f>
        <v>-30</v>
      </c>
      <c r="L70" s="17"/>
      <c r="M70" s="19">
        <f t="shared" ref="M70:M133" si="10">IF(I70&lt;&gt;"",K70+I70+L70,0)</f>
        <v>0</v>
      </c>
      <c r="N70" s="19" t="str">
        <f t="shared" si="6"/>
        <v/>
      </c>
    </row>
    <row r="71" spans="1:14">
      <c r="A71" s="43" t="str">
        <f t="shared" ref="A71:A134" si="11">N71</f>
        <v/>
      </c>
      <c r="G71" s="5"/>
      <c r="H71" s="17">
        <v>66</v>
      </c>
      <c r="I71" s="18" t="str">
        <f t="shared" si="8"/>
        <v/>
      </c>
      <c r="J71" s="17">
        <f t="shared" ref="J71:J134" si="12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>
        <f t="shared" si="10"/>
        <v>0</v>
      </c>
      <c r="N71" s="19" t="str">
        <f t="shared" ref="N71:N134" si="13">IF(I71&lt;&gt;"",M71*L$2,"")</f>
        <v/>
      </c>
    </row>
    <row r="72" spans="1:14">
      <c r="A72" s="43" t="str">
        <f t="shared" si="11"/>
        <v/>
      </c>
      <c r="G72" s="5"/>
      <c r="H72" s="17">
        <v>67</v>
      </c>
      <c r="I72" s="18" t="str">
        <f t="shared" si="8"/>
        <v/>
      </c>
      <c r="J72" s="17">
        <f t="shared" si="12"/>
        <v>-3</v>
      </c>
      <c r="K72" s="17">
        <f t="shared" si="9"/>
        <v>-30</v>
      </c>
      <c r="L72" s="17"/>
      <c r="M72" s="19">
        <f t="shared" si="10"/>
        <v>0</v>
      </c>
      <c r="N72" s="19" t="str">
        <f t="shared" si="13"/>
        <v/>
      </c>
    </row>
    <row r="73" spans="1:14">
      <c r="A73" s="43" t="str">
        <f t="shared" si="11"/>
        <v/>
      </c>
      <c r="G73" s="5"/>
      <c r="H73" s="17">
        <v>68</v>
      </c>
      <c r="I73" s="18" t="str">
        <f t="shared" si="8"/>
        <v/>
      </c>
      <c r="J73" s="17">
        <f t="shared" si="12"/>
        <v>-3</v>
      </c>
      <c r="K73" s="17">
        <f t="shared" si="9"/>
        <v>-30</v>
      </c>
      <c r="L73" s="17"/>
      <c r="M73" s="19">
        <f t="shared" si="10"/>
        <v>0</v>
      </c>
      <c r="N73" s="19" t="str">
        <f t="shared" si="13"/>
        <v/>
      </c>
    </row>
    <row r="74" spans="1:14">
      <c r="A74" s="43" t="str">
        <f t="shared" si="11"/>
        <v/>
      </c>
      <c r="G74" s="5"/>
      <c r="H74" s="17">
        <v>69</v>
      </c>
      <c r="I74" s="18" t="str">
        <f t="shared" si="8"/>
        <v/>
      </c>
      <c r="J74" s="17">
        <f t="shared" si="12"/>
        <v>-3</v>
      </c>
      <c r="K74" s="17">
        <f t="shared" si="9"/>
        <v>-30</v>
      </c>
      <c r="L74" s="17"/>
      <c r="M74" s="19">
        <f t="shared" si="10"/>
        <v>0</v>
      </c>
      <c r="N74" s="19" t="str">
        <f t="shared" si="13"/>
        <v/>
      </c>
    </row>
    <row r="75" spans="1:14">
      <c r="A75" s="43" t="str">
        <f t="shared" si="11"/>
        <v/>
      </c>
      <c r="G75" s="5"/>
      <c r="H75" s="17">
        <v>70</v>
      </c>
      <c r="I75" s="18" t="str">
        <f t="shared" si="8"/>
        <v/>
      </c>
      <c r="J75" s="17">
        <f t="shared" si="12"/>
        <v>-3</v>
      </c>
      <c r="K75" s="17">
        <f t="shared" si="9"/>
        <v>-30</v>
      </c>
      <c r="L75" s="17"/>
      <c r="M75" s="19">
        <f t="shared" si="10"/>
        <v>0</v>
      </c>
      <c r="N75" s="19" t="str">
        <f t="shared" si="13"/>
        <v/>
      </c>
    </row>
    <row r="76" spans="1:14">
      <c r="A76" s="43" t="str">
        <f t="shared" si="11"/>
        <v/>
      </c>
      <c r="G76" s="5"/>
      <c r="H76" s="17">
        <v>71</v>
      </c>
      <c r="I76" s="18" t="str">
        <f t="shared" si="8"/>
        <v/>
      </c>
      <c r="J76" s="17">
        <f t="shared" si="12"/>
        <v>-3</v>
      </c>
      <c r="K76" s="17">
        <f t="shared" si="9"/>
        <v>-30</v>
      </c>
      <c r="L76" s="17"/>
      <c r="M76" s="19">
        <f t="shared" si="10"/>
        <v>0</v>
      </c>
      <c r="N76" s="19" t="str">
        <f t="shared" si="13"/>
        <v/>
      </c>
    </row>
    <row r="77" spans="1:14">
      <c r="A77" s="43" t="str">
        <f t="shared" si="11"/>
        <v/>
      </c>
      <c r="G77" s="5"/>
      <c r="H77" s="17">
        <v>72</v>
      </c>
      <c r="I77" s="18" t="str">
        <f t="shared" si="8"/>
        <v/>
      </c>
      <c r="J77" s="17">
        <f t="shared" si="12"/>
        <v>-3</v>
      </c>
      <c r="K77" s="17">
        <f t="shared" si="9"/>
        <v>-30</v>
      </c>
      <c r="L77" s="17"/>
      <c r="M77" s="19">
        <f t="shared" si="10"/>
        <v>0</v>
      </c>
      <c r="N77" s="19" t="str">
        <f t="shared" si="13"/>
        <v/>
      </c>
    </row>
    <row r="78" spans="1:14">
      <c r="A78" s="43" t="str">
        <f t="shared" si="11"/>
        <v/>
      </c>
      <c r="G78" s="5"/>
      <c r="H78" s="17">
        <v>73</v>
      </c>
      <c r="I78" s="18" t="str">
        <f t="shared" si="8"/>
        <v/>
      </c>
      <c r="J78" s="17">
        <f t="shared" si="12"/>
        <v>-3</v>
      </c>
      <c r="K78" s="17">
        <f t="shared" si="9"/>
        <v>-30</v>
      </c>
      <c r="L78" s="17"/>
      <c r="M78" s="19">
        <f t="shared" si="10"/>
        <v>0</v>
      </c>
      <c r="N78" s="19" t="str">
        <f t="shared" si="13"/>
        <v/>
      </c>
    </row>
    <row r="79" spans="1:14">
      <c r="A79" s="43" t="str">
        <f t="shared" si="11"/>
        <v/>
      </c>
      <c r="G79" s="5"/>
      <c r="H79" s="17">
        <v>74</v>
      </c>
      <c r="I79" s="18" t="str">
        <f t="shared" si="8"/>
        <v/>
      </c>
      <c r="J79" s="17">
        <f t="shared" si="12"/>
        <v>-3</v>
      </c>
      <c r="K79" s="17">
        <f t="shared" si="9"/>
        <v>-30</v>
      </c>
      <c r="L79" s="17"/>
      <c r="M79" s="19">
        <f t="shared" si="10"/>
        <v>0</v>
      </c>
      <c r="N79" s="19" t="str">
        <f t="shared" si="13"/>
        <v/>
      </c>
    </row>
    <row r="80" spans="1:14">
      <c r="A80" s="43" t="str">
        <f t="shared" si="11"/>
        <v/>
      </c>
      <c r="G80" s="5"/>
      <c r="H80" s="17">
        <v>75</v>
      </c>
      <c r="I80" s="18" t="str">
        <f t="shared" si="8"/>
        <v/>
      </c>
      <c r="J80" s="17">
        <f t="shared" si="12"/>
        <v>-3</v>
      </c>
      <c r="K80" s="17">
        <f t="shared" si="9"/>
        <v>-30</v>
      </c>
      <c r="L80" s="17"/>
      <c r="M80" s="19">
        <f t="shared" si="10"/>
        <v>0</v>
      </c>
      <c r="N80" s="19" t="str">
        <f t="shared" si="13"/>
        <v/>
      </c>
    </row>
    <row r="81" spans="1:14">
      <c r="A81" s="43" t="str">
        <f t="shared" si="11"/>
        <v/>
      </c>
      <c r="G81" s="5"/>
      <c r="H81" s="17">
        <v>76</v>
      </c>
      <c r="I81" s="18" t="str">
        <f t="shared" si="8"/>
        <v/>
      </c>
      <c r="J81" s="17">
        <f t="shared" si="12"/>
        <v>-3</v>
      </c>
      <c r="K81" s="17">
        <f t="shared" si="9"/>
        <v>-30</v>
      </c>
      <c r="L81" s="17"/>
      <c r="M81" s="19">
        <f t="shared" si="10"/>
        <v>0</v>
      </c>
      <c r="N81" s="19" t="str">
        <f t="shared" si="13"/>
        <v/>
      </c>
    </row>
    <row r="82" spans="1:14">
      <c r="A82" s="43" t="str">
        <f t="shared" si="11"/>
        <v/>
      </c>
      <c r="G82" s="5"/>
      <c r="H82" s="17">
        <v>77</v>
      </c>
      <c r="I82" s="18" t="str">
        <f t="shared" si="8"/>
        <v/>
      </c>
      <c r="J82" s="17">
        <f t="shared" si="12"/>
        <v>-3</v>
      </c>
      <c r="K82" s="17">
        <f t="shared" si="9"/>
        <v>-30</v>
      </c>
      <c r="L82" s="17"/>
      <c r="M82" s="19">
        <f t="shared" si="10"/>
        <v>0</v>
      </c>
      <c r="N82" s="19" t="str">
        <f t="shared" si="13"/>
        <v/>
      </c>
    </row>
    <row r="83" spans="1:14">
      <c r="A83" s="43" t="str">
        <f t="shared" si="11"/>
        <v/>
      </c>
      <c r="G83" s="5"/>
      <c r="H83" s="17">
        <v>78</v>
      </c>
      <c r="I83" s="18" t="str">
        <f t="shared" si="8"/>
        <v/>
      </c>
      <c r="J83" s="17">
        <f t="shared" si="12"/>
        <v>-3</v>
      </c>
      <c r="K83" s="17">
        <f t="shared" si="9"/>
        <v>-30</v>
      </c>
      <c r="L83" s="17"/>
      <c r="M83" s="19">
        <f t="shared" si="10"/>
        <v>0</v>
      </c>
      <c r="N83" s="19" t="str">
        <f t="shared" si="13"/>
        <v/>
      </c>
    </row>
    <row r="84" spans="1:14">
      <c r="A84" s="43" t="str">
        <f t="shared" si="11"/>
        <v/>
      </c>
      <c r="G84" s="5"/>
      <c r="H84" s="17">
        <v>79</v>
      </c>
      <c r="I84" s="18" t="str">
        <f t="shared" si="8"/>
        <v/>
      </c>
      <c r="J84" s="17">
        <f t="shared" si="12"/>
        <v>-3</v>
      </c>
      <c r="K84" s="17">
        <f t="shared" si="9"/>
        <v>-30</v>
      </c>
      <c r="L84" s="17"/>
      <c r="M84" s="19">
        <f t="shared" si="10"/>
        <v>0</v>
      </c>
      <c r="N84" s="19" t="str">
        <f t="shared" si="13"/>
        <v/>
      </c>
    </row>
    <row r="85" spans="1:14">
      <c r="A85" s="43" t="str">
        <f t="shared" si="11"/>
        <v/>
      </c>
      <c r="G85" s="5"/>
      <c r="H85" s="17">
        <v>80</v>
      </c>
      <c r="I85" s="18" t="str">
        <f t="shared" si="8"/>
        <v/>
      </c>
      <c r="J85" s="17">
        <f t="shared" si="12"/>
        <v>-3</v>
      </c>
      <c r="K85" s="17">
        <f t="shared" si="9"/>
        <v>-30</v>
      </c>
      <c r="L85" s="17"/>
      <c r="M85" s="19">
        <f t="shared" si="10"/>
        <v>0</v>
      </c>
      <c r="N85" s="19" t="str">
        <f t="shared" si="13"/>
        <v/>
      </c>
    </row>
    <row r="86" spans="1:14">
      <c r="A86" s="43" t="str">
        <f t="shared" si="11"/>
        <v/>
      </c>
      <c r="G86" s="5"/>
      <c r="H86" s="17">
        <v>81</v>
      </c>
      <c r="I86" s="18" t="str">
        <f t="shared" si="8"/>
        <v/>
      </c>
      <c r="J86" s="17">
        <f t="shared" si="12"/>
        <v>-3</v>
      </c>
      <c r="K86" s="17">
        <f t="shared" si="9"/>
        <v>-30</v>
      </c>
      <c r="L86" s="17"/>
      <c r="M86" s="19">
        <f t="shared" si="10"/>
        <v>0</v>
      </c>
      <c r="N86" s="19" t="str">
        <f t="shared" si="13"/>
        <v/>
      </c>
    </row>
    <row r="87" spans="1:14">
      <c r="A87" s="43" t="str">
        <f t="shared" si="11"/>
        <v/>
      </c>
      <c r="G87" s="5"/>
      <c r="H87" s="17">
        <v>82</v>
      </c>
      <c r="I87" s="18" t="str">
        <f t="shared" si="8"/>
        <v/>
      </c>
      <c r="J87" s="17">
        <f t="shared" si="12"/>
        <v>-3</v>
      </c>
      <c r="K87" s="17">
        <f t="shared" si="9"/>
        <v>-30</v>
      </c>
      <c r="L87" s="17"/>
      <c r="M87" s="19">
        <f t="shared" si="10"/>
        <v>0</v>
      </c>
      <c r="N87" s="19" t="str">
        <f t="shared" si="13"/>
        <v/>
      </c>
    </row>
    <row r="88" spans="1:14">
      <c r="A88" s="43" t="str">
        <f t="shared" si="11"/>
        <v/>
      </c>
      <c r="G88" s="5"/>
      <c r="H88" s="17">
        <v>83</v>
      </c>
      <c r="I88" s="18" t="str">
        <f t="shared" si="8"/>
        <v/>
      </c>
      <c r="J88" s="17">
        <f t="shared" si="12"/>
        <v>-3</v>
      </c>
      <c r="K88" s="17">
        <f t="shared" si="9"/>
        <v>-30</v>
      </c>
      <c r="L88" s="17"/>
      <c r="M88" s="19">
        <f t="shared" si="10"/>
        <v>0</v>
      </c>
      <c r="N88" s="19" t="str">
        <f t="shared" si="13"/>
        <v/>
      </c>
    </row>
    <row r="89" spans="1:14">
      <c r="A89" s="43" t="str">
        <f t="shared" si="11"/>
        <v/>
      </c>
      <c r="G89" s="5"/>
      <c r="H89" s="17">
        <v>84</v>
      </c>
      <c r="I89" s="18" t="str">
        <f t="shared" si="8"/>
        <v/>
      </c>
      <c r="J89" s="17">
        <f t="shared" si="12"/>
        <v>-3</v>
      </c>
      <c r="K89" s="17">
        <f t="shared" si="9"/>
        <v>-30</v>
      </c>
      <c r="L89" s="17"/>
      <c r="M89" s="19">
        <f t="shared" si="10"/>
        <v>0</v>
      </c>
      <c r="N89" s="19" t="str">
        <f t="shared" si="13"/>
        <v/>
      </c>
    </row>
    <row r="90" spans="1:14">
      <c r="A90" s="43" t="str">
        <f t="shared" si="11"/>
        <v/>
      </c>
      <c r="G90" s="5"/>
      <c r="H90" s="17">
        <v>85</v>
      </c>
      <c r="I90" s="18" t="str">
        <f t="shared" si="8"/>
        <v/>
      </c>
      <c r="J90" s="17">
        <f t="shared" si="12"/>
        <v>-3</v>
      </c>
      <c r="K90" s="17">
        <f t="shared" si="9"/>
        <v>-30</v>
      </c>
      <c r="L90" s="17"/>
      <c r="M90" s="19">
        <f t="shared" si="10"/>
        <v>0</v>
      </c>
      <c r="N90" s="19" t="str">
        <f t="shared" si="13"/>
        <v/>
      </c>
    </row>
    <row r="91" spans="1:14">
      <c r="A91" s="43" t="str">
        <f t="shared" si="11"/>
        <v/>
      </c>
      <c r="G91" s="5"/>
      <c r="H91" s="17">
        <v>86</v>
      </c>
      <c r="I91" s="18" t="str">
        <f t="shared" si="8"/>
        <v/>
      </c>
      <c r="J91" s="17">
        <f t="shared" si="12"/>
        <v>-3</v>
      </c>
      <c r="K91" s="17">
        <f t="shared" si="9"/>
        <v>-30</v>
      </c>
      <c r="L91" s="17"/>
      <c r="M91" s="19">
        <f t="shared" si="10"/>
        <v>0</v>
      </c>
      <c r="N91" s="19" t="str">
        <f t="shared" si="13"/>
        <v/>
      </c>
    </row>
    <row r="92" spans="1:14">
      <c r="A92" s="43" t="str">
        <f t="shared" si="11"/>
        <v/>
      </c>
      <c r="G92" s="5"/>
      <c r="H92" s="17">
        <v>87</v>
      </c>
      <c r="I92" s="18" t="str">
        <f t="shared" si="8"/>
        <v/>
      </c>
      <c r="J92" s="17">
        <f t="shared" si="12"/>
        <v>-3</v>
      </c>
      <c r="K92" s="17">
        <f t="shared" si="9"/>
        <v>-30</v>
      </c>
      <c r="L92" s="17"/>
      <c r="M92" s="19">
        <f t="shared" si="10"/>
        <v>0</v>
      </c>
      <c r="N92" s="19" t="str">
        <f t="shared" si="13"/>
        <v/>
      </c>
    </row>
    <row r="93" spans="1:14">
      <c r="A93" s="43" t="str">
        <f t="shared" si="11"/>
        <v/>
      </c>
      <c r="G93" s="5"/>
      <c r="H93" s="17">
        <v>88</v>
      </c>
      <c r="I93" s="18" t="str">
        <f t="shared" si="8"/>
        <v/>
      </c>
      <c r="J93" s="17">
        <f t="shared" si="12"/>
        <v>-3</v>
      </c>
      <c r="K93" s="17">
        <f t="shared" si="9"/>
        <v>-30</v>
      </c>
      <c r="L93" s="17"/>
      <c r="M93" s="19">
        <f t="shared" si="10"/>
        <v>0</v>
      </c>
      <c r="N93" s="19" t="str">
        <f t="shared" si="13"/>
        <v/>
      </c>
    </row>
    <row r="94" spans="1:14">
      <c r="A94" s="43" t="str">
        <f t="shared" si="11"/>
        <v/>
      </c>
      <c r="G94" s="5"/>
      <c r="H94" s="17">
        <v>89</v>
      </c>
      <c r="I94" s="18" t="str">
        <f t="shared" si="8"/>
        <v/>
      </c>
      <c r="J94" s="17">
        <f t="shared" si="12"/>
        <v>-3</v>
      </c>
      <c r="K94" s="17">
        <f t="shared" si="9"/>
        <v>-30</v>
      </c>
      <c r="L94" s="17"/>
      <c r="M94" s="19">
        <f t="shared" si="10"/>
        <v>0</v>
      </c>
      <c r="N94" s="19" t="str">
        <f t="shared" si="13"/>
        <v/>
      </c>
    </row>
    <row r="95" spans="1:14">
      <c r="A95" s="43" t="str">
        <f t="shared" si="11"/>
        <v/>
      </c>
      <c r="G95" s="5"/>
      <c r="H95" s="17">
        <v>90</v>
      </c>
      <c r="I95" s="18" t="str">
        <f t="shared" si="8"/>
        <v/>
      </c>
      <c r="J95" s="17">
        <f t="shared" si="12"/>
        <v>-3</v>
      </c>
      <c r="K95" s="17">
        <f t="shared" si="9"/>
        <v>-30</v>
      </c>
      <c r="L95" s="17"/>
      <c r="M95" s="19">
        <f t="shared" si="10"/>
        <v>0</v>
      </c>
      <c r="N95" s="19" t="str">
        <f t="shared" si="13"/>
        <v/>
      </c>
    </row>
    <row r="96" spans="1:14">
      <c r="A96" s="43" t="str">
        <f t="shared" si="11"/>
        <v/>
      </c>
      <c r="G96" s="5"/>
      <c r="H96" s="17">
        <v>91</v>
      </c>
      <c r="I96" s="18" t="str">
        <f t="shared" si="8"/>
        <v/>
      </c>
      <c r="J96" s="17">
        <f t="shared" si="12"/>
        <v>-3</v>
      </c>
      <c r="K96" s="17">
        <f t="shared" si="9"/>
        <v>-30</v>
      </c>
      <c r="L96" s="17"/>
      <c r="M96" s="19">
        <f t="shared" si="10"/>
        <v>0</v>
      </c>
      <c r="N96" s="19" t="str">
        <f t="shared" si="13"/>
        <v/>
      </c>
    </row>
    <row r="97" spans="1:14">
      <c r="A97" s="43" t="str">
        <f t="shared" si="11"/>
        <v/>
      </c>
      <c r="G97" s="5"/>
      <c r="H97" s="17">
        <v>92</v>
      </c>
      <c r="I97" s="18" t="str">
        <f t="shared" si="8"/>
        <v/>
      </c>
      <c r="J97" s="17">
        <f t="shared" si="12"/>
        <v>-3</v>
      </c>
      <c r="K97" s="17">
        <f t="shared" si="9"/>
        <v>-30</v>
      </c>
      <c r="L97" s="17"/>
      <c r="M97" s="19">
        <f t="shared" si="10"/>
        <v>0</v>
      </c>
      <c r="N97" s="19" t="str">
        <f t="shared" si="13"/>
        <v/>
      </c>
    </row>
    <row r="98" spans="1:14">
      <c r="A98" s="43" t="str">
        <f t="shared" si="11"/>
        <v/>
      </c>
      <c r="G98" s="5"/>
      <c r="H98" s="17">
        <v>93</v>
      </c>
      <c r="I98" s="18" t="str">
        <f t="shared" si="8"/>
        <v/>
      </c>
      <c r="J98" s="17">
        <f t="shared" si="12"/>
        <v>-3</v>
      </c>
      <c r="K98" s="17">
        <f t="shared" si="9"/>
        <v>-30</v>
      </c>
      <c r="L98" s="17"/>
      <c r="M98" s="19">
        <f t="shared" si="10"/>
        <v>0</v>
      </c>
      <c r="N98" s="19" t="str">
        <f t="shared" si="13"/>
        <v/>
      </c>
    </row>
    <row r="99" spans="1:14">
      <c r="A99" s="43" t="str">
        <f t="shared" si="11"/>
        <v/>
      </c>
      <c r="G99" s="5"/>
      <c r="H99" s="17">
        <v>94</v>
      </c>
      <c r="I99" s="18" t="str">
        <f t="shared" si="8"/>
        <v/>
      </c>
      <c r="J99" s="17">
        <f t="shared" si="12"/>
        <v>-3</v>
      </c>
      <c r="K99" s="17">
        <f t="shared" si="9"/>
        <v>-30</v>
      </c>
      <c r="L99" s="17"/>
      <c r="M99" s="19">
        <f t="shared" si="10"/>
        <v>0</v>
      </c>
      <c r="N99" s="19" t="str">
        <f t="shared" si="13"/>
        <v/>
      </c>
    </row>
    <row r="100" spans="1:14">
      <c r="A100" s="43" t="str">
        <f t="shared" si="11"/>
        <v/>
      </c>
      <c r="G100" s="5"/>
      <c r="H100" s="17">
        <v>95</v>
      </c>
      <c r="I100" s="18" t="str">
        <f t="shared" si="8"/>
        <v/>
      </c>
      <c r="J100" s="17">
        <f t="shared" si="12"/>
        <v>-3</v>
      </c>
      <c r="K100" s="17">
        <f t="shared" si="9"/>
        <v>-30</v>
      </c>
      <c r="L100" s="17"/>
      <c r="M100" s="19">
        <f t="shared" si="10"/>
        <v>0</v>
      </c>
      <c r="N100" s="19" t="str">
        <f t="shared" si="13"/>
        <v/>
      </c>
    </row>
    <row r="101" spans="1:14">
      <c r="A101" s="43" t="str">
        <f t="shared" si="11"/>
        <v/>
      </c>
      <c r="G101" s="5"/>
      <c r="H101" s="17">
        <v>96</v>
      </c>
      <c r="I101" s="18" t="str">
        <f t="shared" si="8"/>
        <v/>
      </c>
      <c r="J101" s="17">
        <f t="shared" si="12"/>
        <v>-3</v>
      </c>
      <c r="K101" s="17">
        <f t="shared" si="9"/>
        <v>-30</v>
      </c>
      <c r="L101" s="17"/>
      <c r="M101" s="19">
        <f t="shared" si="10"/>
        <v>0</v>
      </c>
      <c r="N101" s="19" t="str">
        <f t="shared" si="13"/>
        <v/>
      </c>
    </row>
    <row r="102" spans="1:14">
      <c r="A102" s="43" t="str">
        <f t="shared" si="11"/>
        <v/>
      </c>
      <c r="G102" s="5"/>
      <c r="H102" s="17">
        <v>97</v>
      </c>
      <c r="I102" s="18" t="str">
        <f t="shared" si="8"/>
        <v/>
      </c>
      <c r="J102" s="17">
        <f t="shared" si="12"/>
        <v>-3</v>
      </c>
      <c r="K102" s="17">
        <f t="shared" si="9"/>
        <v>-30</v>
      </c>
      <c r="L102" s="17"/>
      <c r="M102" s="19">
        <f t="shared" si="10"/>
        <v>0</v>
      </c>
      <c r="N102" s="19" t="str">
        <f t="shared" si="13"/>
        <v/>
      </c>
    </row>
    <row r="103" spans="1:14">
      <c r="A103" s="43" t="str">
        <f t="shared" si="11"/>
        <v/>
      </c>
      <c r="G103" s="5"/>
      <c r="H103" s="17">
        <v>98</v>
      </c>
      <c r="I103" s="18" t="str">
        <f t="shared" si="8"/>
        <v/>
      </c>
      <c r="J103" s="17">
        <f t="shared" si="12"/>
        <v>-3</v>
      </c>
      <c r="K103" s="17">
        <f t="shared" si="9"/>
        <v>-30</v>
      </c>
      <c r="L103" s="17"/>
      <c r="M103" s="19">
        <f t="shared" si="10"/>
        <v>0</v>
      </c>
      <c r="N103" s="19" t="str">
        <f t="shared" si="13"/>
        <v/>
      </c>
    </row>
    <row r="104" spans="1:14">
      <c r="A104" s="43" t="str">
        <f t="shared" si="11"/>
        <v/>
      </c>
      <c r="G104" s="5"/>
      <c r="H104" s="17">
        <v>99</v>
      </c>
      <c r="I104" s="18" t="str">
        <f t="shared" si="8"/>
        <v/>
      </c>
      <c r="J104" s="17">
        <f t="shared" si="12"/>
        <v>-3</v>
      </c>
      <c r="K104" s="17">
        <f t="shared" si="9"/>
        <v>-30</v>
      </c>
      <c r="L104" s="17"/>
      <c r="M104" s="19">
        <f t="shared" si="10"/>
        <v>0</v>
      </c>
      <c r="N104" s="19" t="str">
        <f t="shared" si="13"/>
        <v/>
      </c>
    </row>
    <row r="105" spans="1:14">
      <c r="A105" s="43" t="str">
        <f t="shared" si="11"/>
        <v/>
      </c>
      <c r="G105" s="5"/>
      <c r="H105" s="17">
        <v>100</v>
      </c>
      <c r="I105" s="18" t="str">
        <f t="shared" si="8"/>
        <v/>
      </c>
      <c r="J105" s="17">
        <f t="shared" si="12"/>
        <v>-3</v>
      </c>
      <c r="K105" s="17">
        <f t="shared" si="9"/>
        <v>-30</v>
      </c>
      <c r="L105" s="17"/>
      <c r="M105" s="19">
        <f t="shared" si="10"/>
        <v>0</v>
      </c>
      <c r="N105" s="19" t="str">
        <f t="shared" si="13"/>
        <v/>
      </c>
    </row>
    <row r="106" spans="1:14">
      <c r="A106" s="43" t="str">
        <f t="shared" si="11"/>
        <v/>
      </c>
      <c r="G106" s="5"/>
      <c r="H106" s="17">
        <v>101</v>
      </c>
      <c r="I106" s="18" t="str">
        <f t="shared" si="8"/>
        <v/>
      </c>
      <c r="J106" s="17">
        <f t="shared" si="12"/>
        <v>-3</v>
      </c>
      <c r="K106" s="17">
        <f t="shared" si="9"/>
        <v>-30</v>
      </c>
      <c r="L106" s="17"/>
      <c r="M106" s="19">
        <f t="shared" si="10"/>
        <v>0</v>
      </c>
      <c r="N106" s="19" t="str">
        <f t="shared" si="13"/>
        <v/>
      </c>
    </row>
    <row r="107" spans="1:14">
      <c r="A107" s="43" t="str">
        <f t="shared" si="11"/>
        <v/>
      </c>
      <c r="G107" s="5"/>
      <c r="H107" s="17">
        <v>102</v>
      </c>
      <c r="I107" s="18" t="str">
        <f t="shared" si="8"/>
        <v/>
      </c>
      <c r="J107" s="17">
        <f t="shared" si="12"/>
        <v>-3</v>
      </c>
      <c r="K107" s="17">
        <f t="shared" si="9"/>
        <v>-30</v>
      </c>
      <c r="L107" s="17"/>
      <c r="M107" s="19">
        <f t="shared" si="10"/>
        <v>0</v>
      </c>
      <c r="N107" s="19" t="str">
        <f t="shared" si="13"/>
        <v/>
      </c>
    </row>
    <row r="108" spans="1:14">
      <c r="A108" s="43" t="str">
        <f t="shared" si="11"/>
        <v/>
      </c>
      <c r="G108" s="5"/>
      <c r="H108" s="17">
        <v>103</v>
      </c>
      <c r="I108" s="18" t="str">
        <f t="shared" si="8"/>
        <v/>
      </c>
      <c r="J108" s="17">
        <f t="shared" si="12"/>
        <v>-3</v>
      </c>
      <c r="K108" s="17">
        <f t="shared" si="9"/>
        <v>-30</v>
      </c>
      <c r="L108" s="17"/>
      <c r="M108" s="19">
        <f t="shared" si="10"/>
        <v>0</v>
      </c>
      <c r="N108" s="19" t="str">
        <f t="shared" si="13"/>
        <v/>
      </c>
    </row>
    <row r="109" spans="1:14">
      <c r="A109" s="43" t="str">
        <f t="shared" si="11"/>
        <v/>
      </c>
      <c r="G109" s="5"/>
      <c r="H109" s="17">
        <v>104</v>
      </c>
      <c r="I109" s="18" t="str">
        <f t="shared" si="8"/>
        <v/>
      </c>
      <c r="J109" s="17">
        <f t="shared" si="12"/>
        <v>-3</v>
      </c>
      <c r="K109" s="17">
        <f t="shared" si="9"/>
        <v>-30</v>
      </c>
      <c r="L109" s="17"/>
      <c r="M109" s="19">
        <f t="shared" si="10"/>
        <v>0</v>
      </c>
      <c r="N109" s="19" t="str">
        <f t="shared" si="13"/>
        <v/>
      </c>
    </row>
    <row r="110" spans="1:14">
      <c r="A110" s="43" t="str">
        <f t="shared" si="11"/>
        <v/>
      </c>
      <c r="G110" s="5"/>
      <c r="H110" s="17">
        <v>105</v>
      </c>
      <c r="I110" s="18" t="str">
        <f t="shared" si="8"/>
        <v/>
      </c>
      <c r="J110" s="17">
        <f t="shared" si="12"/>
        <v>-3</v>
      </c>
      <c r="K110" s="17">
        <f t="shared" si="9"/>
        <v>-30</v>
      </c>
      <c r="L110" s="17"/>
      <c r="M110" s="19">
        <f t="shared" si="10"/>
        <v>0</v>
      </c>
      <c r="N110" s="19" t="str">
        <f t="shared" si="13"/>
        <v/>
      </c>
    </row>
    <row r="111" spans="1:14">
      <c r="A111" s="43" t="str">
        <f t="shared" si="11"/>
        <v/>
      </c>
      <c r="G111" s="5"/>
      <c r="H111" s="17">
        <v>106</v>
      </c>
      <c r="I111" s="18" t="str">
        <f t="shared" si="8"/>
        <v/>
      </c>
      <c r="J111" s="17">
        <f t="shared" si="12"/>
        <v>-3</v>
      </c>
      <c r="K111" s="17">
        <f t="shared" si="9"/>
        <v>-30</v>
      </c>
      <c r="L111" s="17"/>
      <c r="M111" s="19">
        <f t="shared" si="10"/>
        <v>0</v>
      </c>
      <c r="N111" s="19" t="str">
        <f t="shared" si="13"/>
        <v/>
      </c>
    </row>
    <row r="112" spans="1:14">
      <c r="A112" s="43" t="str">
        <f t="shared" si="11"/>
        <v/>
      </c>
      <c r="G112" s="5"/>
      <c r="H112" s="17">
        <v>107</v>
      </c>
      <c r="I112" s="18" t="str">
        <f t="shared" si="8"/>
        <v/>
      </c>
      <c r="J112" s="17">
        <f t="shared" si="12"/>
        <v>-3</v>
      </c>
      <c r="K112" s="17">
        <f t="shared" si="9"/>
        <v>-30</v>
      </c>
      <c r="L112" s="17"/>
      <c r="M112" s="19">
        <f t="shared" si="10"/>
        <v>0</v>
      </c>
      <c r="N112" s="19" t="str">
        <f t="shared" si="13"/>
        <v/>
      </c>
    </row>
    <row r="113" spans="1:14">
      <c r="A113" s="43" t="str">
        <f t="shared" si="11"/>
        <v/>
      </c>
      <c r="G113" s="5"/>
      <c r="H113" s="17">
        <v>108</v>
      </c>
      <c r="I113" s="18" t="str">
        <f t="shared" si="8"/>
        <v/>
      </c>
      <c r="J113" s="17">
        <f t="shared" si="12"/>
        <v>-3</v>
      </c>
      <c r="K113" s="17">
        <f t="shared" si="9"/>
        <v>-30</v>
      </c>
      <c r="L113" s="17"/>
      <c r="M113" s="19">
        <f t="shared" si="10"/>
        <v>0</v>
      </c>
      <c r="N113" s="19" t="str">
        <f t="shared" si="13"/>
        <v/>
      </c>
    </row>
    <row r="114" spans="1:14">
      <c r="A114" s="43" t="str">
        <f t="shared" si="11"/>
        <v/>
      </c>
      <c r="G114" s="5"/>
      <c r="H114" s="17">
        <v>109</v>
      </c>
      <c r="I114" s="18" t="str">
        <f t="shared" si="8"/>
        <v/>
      </c>
      <c r="J114" s="17">
        <f t="shared" si="12"/>
        <v>-3</v>
      </c>
      <c r="K114" s="17">
        <f t="shared" si="9"/>
        <v>-30</v>
      </c>
      <c r="L114" s="17"/>
      <c r="M114" s="19">
        <f t="shared" si="10"/>
        <v>0</v>
      </c>
      <c r="N114" s="19" t="str">
        <f t="shared" si="13"/>
        <v/>
      </c>
    </row>
    <row r="115" spans="1:14">
      <c r="A115" s="43" t="str">
        <f t="shared" si="11"/>
        <v/>
      </c>
      <c r="G115" s="5"/>
      <c r="H115" s="17">
        <v>110</v>
      </c>
      <c r="I115" s="18" t="str">
        <f t="shared" si="8"/>
        <v/>
      </c>
      <c r="J115" s="17">
        <f t="shared" si="12"/>
        <v>-3</v>
      </c>
      <c r="K115" s="17">
        <f t="shared" si="9"/>
        <v>-30</v>
      </c>
      <c r="L115" s="17"/>
      <c r="M115" s="19">
        <f t="shared" si="10"/>
        <v>0</v>
      </c>
      <c r="N115" s="19" t="str">
        <f t="shared" si="13"/>
        <v/>
      </c>
    </row>
    <row r="116" spans="1:14">
      <c r="A116" s="43" t="str">
        <f t="shared" si="11"/>
        <v/>
      </c>
      <c r="G116" s="5"/>
      <c r="H116" s="17">
        <v>111</v>
      </c>
      <c r="I116" s="18" t="str">
        <f t="shared" si="8"/>
        <v/>
      </c>
      <c r="J116" s="17">
        <f t="shared" si="12"/>
        <v>-3</v>
      </c>
      <c r="K116" s="17">
        <f t="shared" si="9"/>
        <v>-30</v>
      </c>
      <c r="L116" s="17"/>
      <c r="M116" s="19">
        <f t="shared" si="10"/>
        <v>0</v>
      </c>
      <c r="N116" s="19" t="str">
        <f t="shared" si="13"/>
        <v/>
      </c>
    </row>
    <row r="117" spans="1:14">
      <c r="A117" s="43" t="str">
        <f t="shared" si="11"/>
        <v/>
      </c>
      <c r="G117" s="5"/>
      <c r="H117" s="17">
        <v>112</v>
      </c>
      <c r="I117" s="18" t="str">
        <f t="shared" si="8"/>
        <v/>
      </c>
      <c r="J117" s="17">
        <f t="shared" si="12"/>
        <v>-3</v>
      </c>
      <c r="K117" s="17">
        <f t="shared" si="9"/>
        <v>-30</v>
      </c>
      <c r="L117" s="17"/>
      <c r="M117" s="19">
        <f t="shared" si="10"/>
        <v>0</v>
      </c>
      <c r="N117" s="19" t="str">
        <f t="shared" si="13"/>
        <v/>
      </c>
    </row>
    <row r="118" spans="1:14">
      <c r="A118" s="43" t="str">
        <f t="shared" si="11"/>
        <v/>
      </c>
      <c r="G118" s="5"/>
      <c r="H118" s="17">
        <v>113</v>
      </c>
      <c r="I118" s="18" t="str">
        <f t="shared" si="8"/>
        <v/>
      </c>
      <c r="J118" s="17">
        <f t="shared" si="12"/>
        <v>-3</v>
      </c>
      <c r="K118" s="17">
        <f t="shared" si="9"/>
        <v>-30</v>
      </c>
      <c r="L118" s="17"/>
      <c r="M118" s="19">
        <f t="shared" si="10"/>
        <v>0</v>
      </c>
      <c r="N118" s="19" t="str">
        <f t="shared" si="13"/>
        <v/>
      </c>
    </row>
    <row r="119" spans="1:14">
      <c r="A119" s="43" t="str">
        <f t="shared" si="11"/>
        <v/>
      </c>
      <c r="G119" s="5"/>
      <c r="H119" s="17">
        <v>114</v>
      </c>
      <c r="I119" s="18" t="str">
        <f t="shared" si="8"/>
        <v/>
      </c>
      <c r="J119" s="17">
        <f t="shared" si="12"/>
        <v>-3</v>
      </c>
      <c r="K119" s="17">
        <f t="shared" si="9"/>
        <v>-30</v>
      </c>
      <c r="L119" s="17"/>
      <c r="M119" s="19">
        <f t="shared" si="10"/>
        <v>0</v>
      </c>
      <c r="N119" s="19" t="str">
        <f t="shared" si="13"/>
        <v/>
      </c>
    </row>
    <row r="120" spans="1:14">
      <c r="A120" s="43" t="str">
        <f t="shared" si="11"/>
        <v/>
      </c>
      <c r="G120" s="5"/>
      <c r="H120" s="17">
        <v>115</v>
      </c>
      <c r="I120" s="18" t="str">
        <f t="shared" si="8"/>
        <v/>
      </c>
      <c r="J120" s="17">
        <f t="shared" si="12"/>
        <v>-3</v>
      </c>
      <c r="K120" s="17">
        <f t="shared" si="9"/>
        <v>-30</v>
      </c>
      <c r="L120" s="17"/>
      <c r="M120" s="19">
        <f t="shared" si="10"/>
        <v>0</v>
      </c>
      <c r="N120" s="19" t="str">
        <f t="shared" si="13"/>
        <v/>
      </c>
    </row>
    <row r="121" spans="1:14">
      <c r="A121" s="43" t="str">
        <f t="shared" si="11"/>
        <v/>
      </c>
      <c r="G121" s="5"/>
      <c r="H121" s="17">
        <v>116</v>
      </c>
      <c r="I121" s="18" t="str">
        <f t="shared" si="8"/>
        <v/>
      </c>
      <c r="J121" s="17">
        <f t="shared" si="12"/>
        <v>-3</v>
      </c>
      <c r="K121" s="17">
        <f t="shared" si="9"/>
        <v>-30</v>
      </c>
      <c r="L121" s="17"/>
      <c r="M121" s="19">
        <f t="shared" si="10"/>
        <v>0</v>
      </c>
      <c r="N121" s="19" t="str">
        <f t="shared" si="13"/>
        <v/>
      </c>
    </row>
    <row r="122" spans="1:14">
      <c r="A122" s="43" t="str">
        <f t="shared" si="11"/>
        <v/>
      </c>
      <c r="G122" s="5"/>
      <c r="H122" s="17">
        <v>117</v>
      </c>
      <c r="I122" s="18" t="str">
        <f t="shared" si="8"/>
        <v/>
      </c>
      <c r="J122" s="17">
        <f t="shared" si="12"/>
        <v>-3</v>
      </c>
      <c r="K122" s="17">
        <f t="shared" si="9"/>
        <v>-30</v>
      </c>
      <c r="L122" s="17"/>
      <c r="M122" s="19">
        <f t="shared" si="10"/>
        <v>0</v>
      </c>
      <c r="N122" s="19" t="str">
        <f t="shared" si="13"/>
        <v/>
      </c>
    </row>
    <row r="123" spans="1:14">
      <c r="A123" s="43" t="str">
        <f t="shared" si="11"/>
        <v/>
      </c>
      <c r="G123" s="5"/>
      <c r="H123" s="17">
        <v>118</v>
      </c>
      <c r="I123" s="18" t="str">
        <f t="shared" si="8"/>
        <v/>
      </c>
      <c r="J123" s="17">
        <f t="shared" si="12"/>
        <v>-3</v>
      </c>
      <c r="K123" s="17">
        <f t="shared" si="9"/>
        <v>-30</v>
      </c>
      <c r="L123" s="17"/>
      <c r="M123" s="19">
        <f t="shared" si="10"/>
        <v>0</v>
      </c>
      <c r="N123" s="19" t="str">
        <f t="shared" si="13"/>
        <v/>
      </c>
    </row>
    <row r="124" spans="1:14">
      <c r="A124" s="43" t="str">
        <f t="shared" si="11"/>
        <v/>
      </c>
      <c r="G124" s="5"/>
      <c r="H124" s="17">
        <v>119</v>
      </c>
      <c r="I124" s="18" t="str">
        <f t="shared" si="8"/>
        <v/>
      </c>
      <c r="J124" s="17">
        <f t="shared" si="12"/>
        <v>-3</v>
      </c>
      <c r="K124" s="17">
        <f t="shared" si="9"/>
        <v>-30</v>
      </c>
      <c r="L124" s="17"/>
      <c r="M124" s="19">
        <f t="shared" si="10"/>
        <v>0</v>
      </c>
      <c r="N124" s="19" t="str">
        <f t="shared" si="13"/>
        <v/>
      </c>
    </row>
    <row r="125" spans="1:14">
      <c r="A125" s="43" t="str">
        <f t="shared" si="11"/>
        <v/>
      </c>
      <c r="G125" s="5"/>
      <c r="H125" s="17">
        <v>120</v>
      </c>
      <c r="I125" s="18" t="str">
        <f t="shared" si="8"/>
        <v/>
      </c>
      <c r="J125" s="17">
        <f t="shared" si="12"/>
        <v>-3</v>
      </c>
      <c r="K125" s="17">
        <f t="shared" si="9"/>
        <v>-30</v>
      </c>
      <c r="L125" s="17"/>
      <c r="M125" s="19">
        <f t="shared" si="10"/>
        <v>0</v>
      </c>
      <c r="N125" s="19" t="str">
        <f t="shared" si="13"/>
        <v/>
      </c>
    </row>
    <row r="126" spans="1:14">
      <c r="A126" s="43" t="str">
        <f t="shared" si="11"/>
        <v/>
      </c>
      <c r="G126" s="5"/>
      <c r="H126" s="17">
        <v>121</v>
      </c>
      <c r="I126" s="18" t="str">
        <f t="shared" si="8"/>
        <v/>
      </c>
      <c r="J126" s="17">
        <f t="shared" si="12"/>
        <v>-3</v>
      </c>
      <c r="K126" s="17">
        <f t="shared" si="9"/>
        <v>-30</v>
      </c>
      <c r="L126" s="17"/>
      <c r="M126" s="19">
        <f t="shared" si="10"/>
        <v>0</v>
      </c>
      <c r="N126" s="19" t="str">
        <f t="shared" si="13"/>
        <v/>
      </c>
    </row>
    <row r="127" spans="1:14">
      <c r="A127" s="43" t="str">
        <f t="shared" si="11"/>
        <v/>
      </c>
      <c r="G127" s="5"/>
      <c r="H127" s="17">
        <v>122</v>
      </c>
      <c r="I127" s="18" t="str">
        <f t="shared" si="8"/>
        <v/>
      </c>
      <c r="J127" s="17">
        <f t="shared" si="12"/>
        <v>-3</v>
      </c>
      <c r="K127" s="17">
        <f t="shared" si="9"/>
        <v>-30</v>
      </c>
      <c r="L127" s="17"/>
      <c r="M127" s="19">
        <f t="shared" si="10"/>
        <v>0</v>
      </c>
      <c r="N127" s="19" t="str">
        <f t="shared" si="13"/>
        <v/>
      </c>
    </row>
    <row r="128" spans="1:14">
      <c r="A128" s="43" t="str">
        <f t="shared" si="11"/>
        <v/>
      </c>
      <c r="G128" s="5"/>
      <c r="H128" s="17">
        <v>123</v>
      </c>
      <c r="I128" s="18" t="str">
        <f t="shared" si="8"/>
        <v/>
      </c>
      <c r="J128" s="17">
        <f t="shared" si="12"/>
        <v>-3</v>
      </c>
      <c r="K128" s="17">
        <f t="shared" si="9"/>
        <v>-30</v>
      </c>
      <c r="L128" s="17"/>
      <c r="M128" s="19">
        <f t="shared" si="10"/>
        <v>0</v>
      </c>
      <c r="N128" s="19" t="str">
        <f t="shared" si="13"/>
        <v/>
      </c>
    </row>
    <row r="129" spans="1:14">
      <c r="A129" s="43" t="str">
        <f t="shared" si="11"/>
        <v/>
      </c>
      <c r="G129" s="5"/>
      <c r="H129" s="17">
        <v>124</v>
      </c>
      <c r="I129" s="18" t="str">
        <f t="shared" si="8"/>
        <v/>
      </c>
      <c r="J129" s="17">
        <f t="shared" si="12"/>
        <v>-3</v>
      </c>
      <c r="K129" s="17">
        <f t="shared" si="9"/>
        <v>-30</v>
      </c>
      <c r="L129" s="17"/>
      <c r="M129" s="19">
        <f t="shared" si="10"/>
        <v>0</v>
      </c>
      <c r="N129" s="19" t="str">
        <f t="shared" si="13"/>
        <v/>
      </c>
    </row>
    <row r="130" spans="1:14">
      <c r="A130" s="43" t="str">
        <f t="shared" si="11"/>
        <v/>
      </c>
      <c r="G130" s="5"/>
      <c r="H130" s="17">
        <v>125</v>
      </c>
      <c r="I130" s="18" t="str">
        <f t="shared" si="8"/>
        <v/>
      </c>
      <c r="J130" s="17">
        <f t="shared" si="12"/>
        <v>-3</v>
      </c>
      <c r="K130" s="17">
        <f t="shared" si="9"/>
        <v>-30</v>
      </c>
      <c r="L130" s="17"/>
      <c r="M130" s="19">
        <f t="shared" si="10"/>
        <v>0</v>
      </c>
      <c r="N130" s="19" t="str">
        <f t="shared" si="13"/>
        <v/>
      </c>
    </row>
    <row r="131" spans="1:14">
      <c r="A131" s="43" t="str">
        <f t="shared" si="11"/>
        <v/>
      </c>
      <c r="G131" s="5"/>
      <c r="H131" s="17">
        <v>126</v>
      </c>
      <c r="I131" s="18" t="str">
        <f t="shared" si="8"/>
        <v/>
      </c>
      <c r="J131" s="17">
        <f t="shared" si="12"/>
        <v>-3</v>
      </c>
      <c r="K131" s="17">
        <f t="shared" si="9"/>
        <v>-30</v>
      </c>
      <c r="L131" s="17"/>
      <c r="M131" s="19">
        <f t="shared" si="10"/>
        <v>0</v>
      </c>
      <c r="N131" s="19" t="str">
        <f t="shared" si="13"/>
        <v/>
      </c>
    </row>
    <row r="132" spans="1:14">
      <c r="A132" s="43" t="str">
        <f t="shared" si="11"/>
        <v/>
      </c>
      <c r="G132" s="5"/>
      <c r="H132" s="17">
        <v>127</v>
      </c>
      <c r="I132" s="18" t="str">
        <f t="shared" si="8"/>
        <v/>
      </c>
      <c r="J132" s="17">
        <f t="shared" si="12"/>
        <v>-3</v>
      </c>
      <c r="K132" s="17">
        <f t="shared" si="9"/>
        <v>-30</v>
      </c>
      <c r="L132" s="17"/>
      <c r="M132" s="19">
        <f t="shared" si="10"/>
        <v>0</v>
      </c>
      <c r="N132" s="19" t="str">
        <f t="shared" si="13"/>
        <v/>
      </c>
    </row>
    <row r="133" spans="1:14">
      <c r="A133" s="43" t="str">
        <f t="shared" si="11"/>
        <v/>
      </c>
      <c r="G133" s="5"/>
      <c r="H133" s="17">
        <v>128</v>
      </c>
      <c r="I133" s="18" t="str">
        <f t="shared" si="8"/>
        <v/>
      </c>
      <c r="J133" s="17">
        <f t="shared" si="12"/>
        <v>-3</v>
      </c>
      <c r="K133" s="17">
        <f t="shared" si="9"/>
        <v>-30</v>
      </c>
      <c r="L133" s="17"/>
      <c r="M133" s="19">
        <f t="shared" si="10"/>
        <v>0</v>
      </c>
      <c r="N133" s="19" t="str">
        <f t="shared" si="13"/>
        <v/>
      </c>
    </row>
    <row r="134" spans="1:14">
      <c r="A134" s="43" t="str">
        <f t="shared" si="11"/>
        <v/>
      </c>
      <c r="G134" s="5"/>
      <c r="H134" s="17">
        <v>129</v>
      </c>
      <c r="I134" s="18" t="str">
        <f t="shared" ref="I134:I197" si="14">IF(H134&lt;$H$2+1,($I$2-($I$2-1)*(LOG(H134)/LOG($H$2))),"")</f>
        <v/>
      </c>
      <c r="J134" s="17">
        <f t="shared" si="12"/>
        <v>-4</v>
      </c>
      <c r="K134" s="17">
        <f t="shared" ref="K134:K197" si="15">J134*$J$2</f>
        <v>-40</v>
      </c>
      <c r="L134" s="17"/>
      <c r="M134" s="19">
        <f t="shared" ref="M134:M197" si="16">IF(I134&lt;&gt;"",K134+I134+L134,0)</f>
        <v>0</v>
      </c>
      <c r="N134" s="19" t="str">
        <f t="shared" si="13"/>
        <v/>
      </c>
    </row>
    <row r="135" spans="1:14">
      <c r="A135" s="43" t="str">
        <f t="shared" ref="A135:A198" si="17">N135</f>
        <v/>
      </c>
      <c r="G135" s="5"/>
      <c r="H135" s="17">
        <v>130</v>
      </c>
      <c r="I135" s="18" t="str">
        <f t="shared" si="14"/>
        <v/>
      </c>
      <c r="J135" s="17">
        <f t="shared" ref="J135:J198" si="18">INT(LOG($H$2,2))-ROUNDUP(LOG(H135,2),0)+IF(OR($H$2=1,$H$2=2,$H$2=4,$H$2=8,$H$2=16,$H$2=32,$H$2=64,$H$2=128,$H$2=256),0,1)</f>
        <v>-4</v>
      </c>
      <c r="K135" s="17">
        <f t="shared" si="15"/>
        <v>-40</v>
      </c>
      <c r="L135" s="17"/>
      <c r="M135" s="19">
        <f t="shared" si="16"/>
        <v>0</v>
      </c>
      <c r="N135" s="19" t="str">
        <f t="shared" ref="N135:N198" si="19">IF(I135&lt;&gt;"",M135*L$2,"")</f>
        <v/>
      </c>
    </row>
    <row r="136" spans="1:14">
      <c r="A136" s="43" t="str">
        <f t="shared" si="17"/>
        <v/>
      </c>
      <c r="G136" s="5"/>
      <c r="H136" s="17">
        <v>131</v>
      </c>
      <c r="I136" s="18" t="str">
        <f t="shared" si="14"/>
        <v/>
      </c>
      <c r="J136" s="17">
        <f t="shared" si="18"/>
        <v>-4</v>
      </c>
      <c r="K136" s="17">
        <f t="shared" si="15"/>
        <v>-40</v>
      </c>
      <c r="L136" s="17"/>
      <c r="M136" s="19">
        <f t="shared" si="16"/>
        <v>0</v>
      </c>
      <c r="N136" s="19" t="str">
        <f t="shared" si="19"/>
        <v/>
      </c>
    </row>
    <row r="137" spans="1:14">
      <c r="A137" s="43" t="str">
        <f t="shared" si="17"/>
        <v/>
      </c>
      <c r="G137" s="5"/>
      <c r="H137" s="17">
        <v>132</v>
      </c>
      <c r="I137" s="18" t="str">
        <f t="shared" si="14"/>
        <v/>
      </c>
      <c r="J137" s="17">
        <f t="shared" si="18"/>
        <v>-4</v>
      </c>
      <c r="K137" s="17">
        <f t="shared" si="15"/>
        <v>-40</v>
      </c>
      <c r="L137" s="17"/>
      <c r="M137" s="19">
        <f t="shared" si="16"/>
        <v>0</v>
      </c>
      <c r="N137" s="19" t="str">
        <f t="shared" si="19"/>
        <v/>
      </c>
    </row>
    <row r="138" spans="1:14">
      <c r="A138" s="43" t="str">
        <f t="shared" si="17"/>
        <v/>
      </c>
      <c r="G138" s="5"/>
      <c r="H138" s="17">
        <v>133</v>
      </c>
      <c r="I138" s="18" t="str">
        <f t="shared" si="14"/>
        <v/>
      </c>
      <c r="J138" s="17">
        <f t="shared" si="18"/>
        <v>-4</v>
      </c>
      <c r="K138" s="17">
        <f t="shared" si="15"/>
        <v>-40</v>
      </c>
      <c r="L138" s="17"/>
      <c r="M138" s="19">
        <f t="shared" si="16"/>
        <v>0</v>
      </c>
      <c r="N138" s="19" t="str">
        <f t="shared" si="19"/>
        <v/>
      </c>
    </row>
    <row r="139" spans="1:14">
      <c r="A139" s="43" t="str">
        <f t="shared" si="17"/>
        <v/>
      </c>
      <c r="G139" s="5"/>
      <c r="H139" s="17">
        <v>134</v>
      </c>
      <c r="I139" s="18" t="str">
        <f t="shared" si="14"/>
        <v/>
      </c>
      <c r="J139" s="17">
        <f t="shared" si="18"/>
        <v>-4</v>
      </c>
      <c r="K139" s="17">
        <f t="shared" si="15"/>
        <v>-40</v>
      </c>
      <c r="L139" s="17"/>
      <c r="M139" s="19">
        <f t="shared" si="16"/>
        <v>0</v>
      </c>
      <c r="N139" s="19" t="str">
        <f t="shared" si="19"/>
        <v/>
      </c>
    </row>
    <row r="140" spans="1:14">
      <c r="A140" s="43" t="str">
        <f t="shared" si="17"/>
        <v/>
      </c>
      <c r="G140" s="5"/>
      <c r="H140" s="17">
        <v>135</v>
      </c>
      <c r="I140" s="18" t="str">
        <f t="shared" si="14"/>
        <v/>
      </c>
      <c r="J140" s="17">
        <f t="shared" si="18"/>
        <v>-4</v>
      </c>
      <c r="K140" s="17">
        <f t="shared" si="15"/>
        <v>-40</v>
      </c>
      <c r="L140" s="17"/>
      <c r="M140" s="19">
        <f t="shared" si="16"/>
        <v>0</v>
      </c>
      <c r="N140" s="19" t="str">
        <f t="shared" si="19"/>
        <v/>
      </c>
    </row>
    <row r="141" spans="1:14">
      <c r="A141" s="43" t="str">
        <f t="shared" si="17"/>
        <v/>
      </c>
      <c r="G141" s="5"/>
      <c r="H141" s="17">
        <v>136</v>
      </c>
      <c r="I141" s="18" t="str">
        <f t="shared" si="14"/>
        <v/>
      </c>
      <c r="J141" s="17">
        <f t="shared" si="18"/>
        <v>-4</v>
      </c>
      <c r="K141" s="17">
        <f t="shared" si="15"/>
        <v>-40</v>
      </c>
      <c r="L141" s="17"/>
      <c r="M141" s="19">
        <f t="shared" si="16"/>
        <v>0</v>
      </c>
      <c r="N141" s="19" t="str">
        <f t="shared" si="19"/>
        <v/>
      </c>
    </row>
    <row r="142" spans="1:14">
      <c r="A142" s="43" t="str">
        <f t="shared" si="17"/>
        <v/>
      </c>
      <c r="G142" s="5"/>
      <c r="H142" s="17">
        <v>137</v>
      </c>
      <c r="I142" s="18" t="str">
        <f t="shared" si="14"/>
        <v/>
      </c>
      <c r="J142" s="17">
        <f t="shared" si="18"/>
        <v>-4</v>
      </c>
      <c r="K142" s="17">
        <f t="shared" si="15"/>
        <v>-40</v>
      </c>
      <c r="L142" s="17"/>
      <c r="M142" s="19">
        <f t="shared" si="16"/>
        <v>0</v>
      </c>
      <c r="N142" s="19" t="str">
        <f t="shared" si="19"/>
        <v/>
      </c>
    </row>
    <row r="143" spans="1:14">
      <c r="A143" s="43" t="str">
        <f t="shared" si="17"/>
        <v/>
      </c>
      <c r="G143" s="5"/>
      <c r="H143" s="17">
        <v>138</v>
      </c>
      <c r="I143" s="18" t="str">
        <f t="shared" si="14"/>
        <v/>
      </c>
      <c r="J143" s="17">
        <f t="shared" si="18"/>
        <v>-4</v>
      </c>
      <c r="K143" s="17">
        <f t="shared" si="15"/>
        <v>-40</v>
      </c>
      <c r="L143" s="17"/>
      <c r="M143" s="19">
        <f t="shared" si="16"/>
        <v>0</v>
      </c>
      <c r="N143" s="19" t="str">
        <f t="shared" si="19"/>
        <v/>
      </c>
    </row>
    <row r="144" spans="1:14">
      <c r="A144" s="43" t="str">
        <f t="shared" si="17"/>
        <v/>
      </c>
      <c r="G144" s="5"/>
      <c r="H144" s="17">
        <v>139</v>
      </c>
      <c r="I144" s="18" t="str">
        <f t="shared" si="14"/>
        <v/>
      </c>
      <c r="J144" s="17">
        <f t="shared" si="18"/>
        <v>-4</v>
      </c>
      <c r="K144" s="17">
        <f t="shared" si="15"/>
        <v>-40</v>
      </c>
      <c r="L144" s="17"/>
      <c r="M144" s="19">
        <f t="shared" si="16"/>
        <v>0</v>
      </c>
      <c r="N144" s="19" t="str">
        <f t="shared" si="19"/>
        <v/>
      </c>
    </row>
    <row r="145" spans="1:14">
      <c r="A145" s="43" t="str">
        <f t="shared" si="17"/>
        <v/>
      </c>
      <c r="G145" s="5"/>
      <c r="H145" s="17">
        <v>140</v>
      </c>
      <c r="I145" s="18" t="str">
        <f t="shared" si="14"/>
        <v/>
      </c>
      <c r="J145" s="17">
        <f t="shared" si="18"/>
        <v>-4</v>
      </c>
      <c r="K145" s="17">
        <f t="shared" si="15"/>
        <v>-40</v>
      </c>
      <c r="L145" s="17"/>
      <c r="M145" s="19">
        <f t="shared" si="16"/>
        <v>0</v>
      </c>
      <c r="N145" s="19" t="str">
        <f t="shared" si="19"/>
        <v/>
      </c>
    </row>
    <row r="146" spans="1:14">
      <c r="A146" s="43" t="str">
        <f t="shared" si="17"/>
        <v/>
      </c>
      <c r="G146" s="5"/>
      <c r="H146" s="17">
        <v>141</v>
      </c>
      <c r="I146" s="18" t="str">
        <f t="shared" si="14"/>
        <v/>
      </c>
      <c r="J146" s="17">
        <f t="shared" si="18"/>
        <v>-4</v>
      </c>
      <c r="K146" s="17">
        <f t="shared" si="15"/>
        <v>-40</v>
      </c>
      <c r="L146" s="17"/>
      <c r="M146" s="19">
        <f t="shared" si="16"/>
        <v>0</v>
      </c>
      <c r="N146" s="19" t="str">
        <f t="shared" si="19"/>
        <v/>
      </c>
    </row>
    <row r="147" spans="1:14">
      <c r="A147" s="43" t="str">
        <f t="shared" si="17"/>
        <v/>
      </c>
      <c r="G147" s="5"/>
      <c r="H147" s="17">
        <v>142</v>
      </c>
      <c r="I147" s="18" t="str">
        <f t="shared" si="14"/>
        <v/>
      </c>
      <c r="J147" s="17">
        <f t="shared" si="18"/>
        <v>-4</v>
      </c>
      <c r="K147" s="17">
        <f t="shared" si="15"/>
        <v>-40</v>
      </c>
      <c r="L147" s="17"/>
      <c r="M147" s="19">
        <f t="shared" si="16"/>
        <v>0</v>
      </c>
      <c r="N147" s="19" t="str">
        <f t="shared" si="19"/>
        <v/>
      </c>
    </row>
    <row r="148" spans="1:14">
      <c r="A148" s="43" t="str">
        <f t="shared" si="17"/>
        <v/>
      </c>
      <c r="G148" s="5"/>
      <c r="H148" s="17">
        <v>143</v>
      </c>
      <c r="I148" s="18" t="str">
        <f t="shared" si="14"/>
        <v/>
      </c>
      <c r="J148" s="17">
        <f t="shared" si="18"/>
        <v>-4</v>
      </c>
      <c r="K148" s="17">
        <f t="shared" si="15"/>
        <v>-40</v>
      </c>
      <c r="L148" s="17"/>
      <c r="M148" s="19">
        <f t="shared" si="16"/>
        <v>0</v>
      </c>
      <c r="N148" s="19" t="str">
        <f t="shared" si="19"/>
        <v/>
      </c>
    </row>
    <row r="149" spans="1:14">
      <c r="A149" s="43" t="str">
        <f t="shared" si="17"/>
        <v/>
      </c>
      <c r="G149" s="5"/>
      <c r="H149" s="17">
        <v>144</v>
      </c>
      <c r="I149" s="18" t="str">
        <f t="shared" si="14"/>
        <v/>
      </c>
      <c r="J149" s="17">
        <f t="shared" si="18"/>
        <v>-4</v>
      </c>
      <c r="K149" s="17">
        <f t="shared" si="15"/>
        <v>-40</v>
      </c>
      <c r="L149" s="17"/>
      <c r="M149" s="19">
        <f t="shared" si="16"/>
        <v>0</v>
      </c>
      <c r="N149" s="19" t="str">
        <f t="shared" si="19"/>
        <v/>
      </c>
    </row>
    <row r="150" spans="1:14">
      <c r="A150" s="43" t="str">
        <f t="shared" si="17"/>
        <v/>
      </c>
      <c r="G150" s="5"/>
      <c r="H150" s="17">
        <v>145</v>
      </c>
      <c r="I150" s="18" t="str">
        <f t="shared" si="14"/>
        <v/>
      </c>
      <c r="J150" s="17">
        <f t="shared" si="18"/>
        <v>-4</v>
      </c>
      <c r="K150" s="17">
        <f t="shared" si="15"/>
        <v>-40</v>
      </c>
      <c r="L150" s="17"/>
      <c r="M150" s="19">
        <f t="shared" si="16"/>
        <v>0</v>
      </c>
      <c r="N150" s="19" t="str">
        <f t="shared" si="19"/>
        <v/>
      </c>
    </row>
    <row r="151" spans="1:14">
      <c r="A151" s="43" t="str">
        <f t="shared" si="17"/>
        <v/>
      </c>
      <c r="G151" s="5"/>
      <c r="H151" s="17">
        <v>146</v>
      </c>
      <c r="I151" s="18" t="str">
        <f t="shared" si="14"/>
        <v/>
      </c>
      <c r="J151" s="17">
        <f t="shared" si="18"/>
        <v>-4</v>
      </c>
      <c r="K151" s="17">
        <f t="shared" si="15"/>
        <v>-40</v>
      </c>
      <c r="L151" s="17"/>
      <c r="M151" s="19">
        <f t="shared" si="16"/>
        <v>0</v>
      </c>
      <c r="N151" s="19" t="str">
        <f t="shared" si="19"/>
        <v/>
      </c>
    </row>
    <row r="152" spans="1:14">
      <c r="A152" s="43" t="str">
        <f t="shared" si="17"/>
        <v/>
      </c>
      <c r="G152" s="5"/>
      <c r="H152" s="17">
        <v>147</v>
      </c>
      <c r="I152" s="18" t="str">
        <f t="shared" si="14"/>
        <v/>
      </c>
      <c r="J152" s="17">
        <f t="shared" si="18"/>
        <v>-4</v>
      </c>
      <c r="K152" s="17">
        <f t="shared" si="15"/>
        <v>-40</v>
      </c>
      <c r="L152" s="17"/>
      <c r="M152" s="19">
        <f t="shared" si="16"/>
        <v>0</v>
      </c>
      <c r="N152" s="19" t="str">
        <f t="shared" si="19"/>
        <v/>
      </c>
    </row>
    <row r="153" spans="1:14">
      <c r="A153" s="43" t="str">
        <f t="shared" si="17"/>
        <v/>
      </c>
      <c r="G153" s="5"/>
      <c r="H153" s="17">
        <v>148</v>
      </c>
      <c r="I153" s="18" t="str">
        <f t="shared" si="14"/>
        <v/>
      </c>
      <c r="J153" s="17">
        <f t="shared" si="18"/>
        <v>-4</v>
      </c>
      <c r="K153" s="17">
        <f t="shared" si="15"/>
        <v>-40</v>
      </c>
      <c r="L153" s="17"/>
      <c r="M153" s="19">
        <f t="shared" si="16"/>
        <v>0</v>
      </c>
      <c r="N153" s="19" t="str">
        <f t="shared" si="19"/>
        <v/>
      </c>
    </row>
    <row r="154" spans="1:14">
      <c r="A154" s="43" t="str">
        <f t="shared" si="17"/>
        <v/>
      </c>
      <c r="G154" s="5"/>
      <c r="H154" s="17">
        <v>149</v>
      </c>
      <c r="I154" s="18" t="str">
        <f t="shared" si="14"/>
        <v/>
      </c>
      <c r="J154" s="17">
        <f t="shared" si="18"/>
        <v>-4</v>
      </c>
      <c r="K154" s="17">
        <f t="shared" si="15"/>
        <v>-40</v>
      </c>
      <c r="L154" s="17"/>
      <c r="M154" s="19">
        <f t="shared" si="16"/>
        <v>0</v>
      </c>
      <c r="N154" s="19" t="str">
        <f t="shared" si="19"/>
        <v/>
      </c>
    </row>
    <row r="155" spans="1:14">
      <c r="A155" s="43" t="str">
        <f t="shared" si="17"/>
        <v/>
      </c>
      <c r="G155" s="5"/>
      <c r="H155" s="17">
        <v>150</v>
      </c>
      <c r="I155" s="18" t="str">
        <f t="shared" si="14"/>
        <v/>
      </c>
      <c r="J155" s="17">
        <f t="shared" si="18"/>
        <v>-4</v>
      </c>
      <c r="K155" s="17">
        <f t="shared" si="15"/>
        <v>-40</v>
      </c>
      <c r="L155" s="17"/>
      <c r="M155" s="19">
        <f t="shared" si="16"/>
        <v>0</v>
      </c>
      <c r="N155" s="19" t="str">
        <f t="shared" si="19"/>
        <v/>
      </c>
    </row>
    <row r="156" spans="1:14">
      <c r="A156" s="43" t="str">
        <f t="shared" si="17"/>
        <v/>
      </c>
      <c r="G156" s="5"/>
      <c r="H156" s="17">
        <v>151</v>
      </c>
      <c r="I156" s="18" t="str">
        <f t="shared" si="14"/>
        <v/>
      </c>
      <c r="J156" s="17">
        <f t="shared" si="18"/>
        <v>-4</v>
      </c>
      <c r="K156" s="17">
        <f t="shared" si="15"/>
        <v>-40</v>
      </c>
      <c r="L156" s="17"/>
      <c r="M156" s="19">
        <f t="shared" si="16"/>
        <v>0</v>
      </c>
      <c r="N156" s="19" t="str">
        <f t="shared" si="19"/>
        <v/>
      </c>
    </row>
    <row r="157" spans="1:14">
      <c r="A157" s="43" t="str">
        <f t="shared" si="17"/>
        <v/>
      </c>
      <c r="G157" s="5"/>
      <c r="H157" s="17">
        <v>152</v>
      </c>
      <c r="I157" s="18" t="str">
        <f t="shared" si="14"/>
        <v/>
      </c>
      <c r="J157" s="17">
        <f t="shared" si="18"/>
        <v>-4</v>
      </c>
      <c r="K157" s="17">
        <f t="shared" si="15"/>
        <v>-40</v>
      </c>
      <c r="L157" s="17"/>
      <c r="M157" s="19">
        <f t="shared" si="16"/>
        <v>0</v>
      </c>
      <c r="N157" s="19" t="str">
        <f t="shared" si="19"/>
        <v/>
      </c>
    </row>
    <row r="158" spans="1:14">
      <c r="A158" s="43" t="str">
        <f t="shared" si="17"/>
        <v/>
      </c>
      <c r="G158" s="5"/>
      <c r="H158" s="17">
        <v>153</v>
      </c>
      <c r="I158" s="18" t="str">
        <f t="shared" si="14"/>
        <v/>
      </c>
      <c r="J158" s="17">
        <f t="shared" si="18"/>
        <v>-4</v>
      </c>
      <c r="K158" s="17">
        <f t="shared" si="15"/>
        <v>-40</v>
      </c>
      <c r="L158" s="17"/>
      <c r="M158" s="19">
        <f t="shared" si="16"/>
        <v>0</v>
      </c>
      <c r="N158" s="19" t="str">
        <f t="shared" si="19"/>
        <v/>
      </c>
    </row>
    <row r="159" spans="1:14">
      <c r="A159" s="43" t="str">
        <f t="shared" si="17"/>
        <v/>
      </c>
      <c r="G159" s="5"/>
      <c r="H159" s="17">
        <v>154</v>
      </c>
      <c r="I159" s="18" t="str">
        <f t="shared" si="14"/>
        <v/>
      </c>
      <c r="J159" s="17">
        <f t="shared" si="18"/>
        <v>-4</v>
      </c>
      <c r="K159" s="17">
        <f t="shared" si="15"/>
        <v>-40</v>
      </c>
      <c r="L159" s="17"/>
      <c r="M159" s="19">
        <f t="shared" si="16"/>
        <v>0</v>
      </c>
      <c r="N159" s="19" t="str">
        <f t="shared" si="19"/>
        <v/>
      </c>
    </row>
    <row r="160" spans="1:14">
      <c r="A160" s="43" t="str">
        <f t="shared" si="17"/>
        <v/>
      </c>
      <c r="G160" s="5"/>
      <c r="H160" s="17">
        <v>155</v>
      </c>
      <c r="I160" s="18" t="str">
        <f t="shared" si="14"/>
        <v/>
      </c>
      <c r="J160" s="17">
        <f t="shared" si="18"/>
        <v>-4</v>
      </c>
      <c r="K160" s="17">
        <f t="shared" si="15"/>
        <v>-40</v>
      </c>
      <c r="L160" s="17"/>
      <c r="M160" s="19">
        <f t="shared" si="16"/>
        <v>0</v>
      </c>
      <c r="N160" s="19" t="str">
        <f t="shared" si="19"/>
        <v/>
      </c>
    </row>
    <row r="161" spans="1:14">
      <c r="A161" s="43" t="str">
        <f t="shared" si="17"/>
        <v/>
      </c>
      <c r="G161" s="5"/>
      <c r="H161" s="17">
        <v>156</v>
      </c>
      <c r="I161" s="18" t="str">
        <f t="shared" si="14"/>
        <v/>
      </c>
      <c r="J161" s="17">
        <f t="shared" si="18"/>
        <v>-4</v>
      </c>
      <c r="K161" s="17">
        <f t="shared" si="15"/>
        <v>-40</v>
      </c>
      <c r="L161" s="17"/>
      <c r="M161" s="19">
        <f t="shared" si="16"/>
        <v>0</v>
      </c>
      <c r="N161" s="19" t="str">
        <f t="shared" si="19"/>
        <v/>
      </c>
    </row>
    <row r="162" spans="1:14">
      <c r="A162" s="43" t="str">
        <f t="shared" si="17"/>
        <v/>
      </c>
      <c r="G162" s="5"/>
      <c r="H162" s="17">
        <v>157</v>
      </c>
      <c r="I162" s="18" t="str">
        <f t="shared" si="14"/>
        <v/>
      </c>
      <c r="J162" s="17">
        <f t="shared" si="18"/>
        <v>-4</v>
      </c>
      <c r="K162" s="17">
        <f t="shared" si="15"/>
        <v>-40</v>
      </c>
      <c r="L162" s="17"/>
      <c r="M162" s="19">
        <f t="shared" si="16"/>
        <v>0</v>
      </c>
      <c r="N162" s="19" t="str">
        <f t="shared" si="19"/>
        <v/>
      </c>
    </row>
    <row r="163" spans="1:14">
      <c r="A163" s="43" t="str">
        <f t="shared" si="17"/>
        <v/>
      </c>
      <c r="G163" s="5"/>
      <c r="H163" s="17">
        <v>158</v>
      </c>
      <c r="I163" s="18" t="str">
        <f t="shared" si="14"/>
        <v/>
      </c>
      <c r="J163" s="17">
        <f t="shared" si="18"/>
        <v>-4</v>
      </c>
      <c r="K163" s="17">
        <f t="shared" si="15"/>
        <v>-40</v>
      </c>
      <c r="L163" s="17"/>
      <c r="M163" s="19">
        <f t="shared" si="16"/>
        <v>0</v>
      </c>
      <c r="N163" s="19" t="str">
        <f t="shared" si="19"/>
        <v/>
      </c>
    </row>
    <row r="164" spans="1:14">
      <c r="A164" s="43" t="str">
        <f t="shared" si="17"/>
        <v/>
      </c>
      <c r="G164" s="5"/>
      <c r="H164" s="17">
        <v>159</v>
      </c>
      <c r="I164" s="18" t="str">
        <f t="shared" si="14"/>
        <v/>
      </c>
      <c r="J164" s="17">
        <f t="shared" si="18"/>
        <v>-4</v>
      </c>
      <c r="K164" s="17">
        <f t="shared" si="15"/>
        <v>-40</v>
      </c>
      <c r="L164" s="17"/>
      <c r="M164" s="19">
        <f t="shared" si="16"/>
        <v>0</v>
      </c>
      <c r="N164" s="19" t="str">
        <f t="shared" si="19"/>
        <v/>
      </c>
    </row>
    <row r="165" spans="1:14">
      <c r="A165" s="43" t="str">
        <f t="shared" si="17"/>
        <v/>
      </c>
      <c r="G165" s="5"/>
      <c r="H165" s="17">
        <v>160</v>
      </c>
      <c r="I165" s="18" t="str">
        <f t="shared" si="14"/>
        <v/>
      </c>
      <c r="J165" s="17">
        <f t="shared" si="18"/>
        <v>-4</v>
      </c>
      <c r="K165" s="17">
        <f t="shared" si="15"/>
        <v>-40</v>
      </c>
      <c r="L165" s="17"/>
      <c r="M165" s="19">
        <f t="shared" si="16"/>
        <v>0</v>
      </c>
      <c r="N165" s="19" t="str">
        <f t="shared" si="19"/>
        <v/>
      </c>
    </row>
    <row r="166" spans="1:14">
      <c r="A166" s="43" t="str">
        <f t="shared" si="17"/>
        <v/>
      </c>
      <c r="G166" s="5"/>
      <c r="H166" s="17">
        <v>161</v>
      </c>
      <c r="I166" s="18" t="str">
        <f t="shared" si="14"/>
        <v/>
      </c>
      <c r="J166" s="17">
        <f t="shared" si="18"/>
        <v>-4</v>
      </c>
      <c r="K166" s="17">
        <f t="shared" si="15"/>
        <v>-40</v>
      </c>
      <c r="L166" s="17"/>
      <c r="M166" s="19">
        <f t="shared" si="16"/>
        <v>0</v>
      </c>
      <c r="N166" s="19" t="str">
        <f t="shared" si="19"/>
        <v/>
      </c>
    </row>
    <row r="167" spans="1:14">
      <c r="A167" s="43" t="str">
        <f t="shared" si="17"/>
        <v/>
      </c>
      <c r="G167" s="5"/>
      <c r="H167" s="17">
        <v>162</v>
      </c>
      <c r="I167" s="18" t="str">
        <f t="shared" si="14"/>
        <v/>
      </c>
      <c r="J167" s="17">
        <f t="shared" si="18"/>
        <v>-4</v>
      </c>
      <c r="K167" s="17">
        <f t="shared" si="15"/>
        <v>-40</v>
      </c>
      <c r="L167" s="17"/>
      <c r="M167" s="19">
        <f t="shared" si="16"/>
        <v>0</v>
      </c>
      <c r="N167" s="19" t="str">
        <f t="shared" si="19"/>
        <v/>
      </c>
    </row>
    <row r="168" spans="1:14">
      <c r="A168" s="43" t="str">
        <f t="shared" si="17"/>
        <v/>
      </c>
      <c r="G168" s="5"/>
      <c r="H168" s="17">
        <v>163</v>
      </c>
      <c r="I168" s="18" t="str">
        <f t="shared" si="14"/>
        <v/>
      </c>
      <c r="J168" s="17">
        <f t="shared" si="18"/>
        <v>-4</v>
      </c>
      <c r="K168" s="17">
        <f t="shared" si="15"/>
        <v>-40</v>
      </c>
      <c r="L168" s="17"/>
      <c r="M168" s="19">
        <f t="shared" si="16"/>
        <v>0</v>
      </c>
      <c r="N168" s="19" t="str">
        <f t="shared" si="19"/>
        <v/>
      </c>
    </row>
    <row r="169" spans="1:14">
      <c r="A169" s="43" t="str">
        <f t="shared" si="17"/>
        <v/>
      </c>
      <c r="G169" s="5"/>
      <c r="H169" s="17">
        <v>164</v>
      </c>
      <c r="I169" s="18" t="str">
        <f t="shared" si="14"/>
        <v/>
      </c>
      <c r="J169" s="17">
        <f t="shared" si="18"/>
        <v>-4</v>
      </c>
      <c r="K169" s="17">
        <f t="shared" si="15"/>
        <v>-40</v>
      </c>
      <c r="L169" s="17"/>
      <c r="M169" s="19">
        <f t="shared" si="16"/>
        <v>0</v>
      </c>
      <c r="N169" s="19" t="str">
        <f t="shared" si="19"/>
        <v/>
      </c>
    </row>
    <row r="170" spans="1:14">
      <c r="A170" s="43" t="str">
        <f t="shared" si="17"/>
        <v/>
      </c>
      <c r="G170" s="5"/>
      <c r="H170" s="17">
        <v>165</v>
      </c>
      <c r="I170" s="18" t="str">
        <f t="shared" si="14"/>
        <v/>
      </c>
      <c r="J170" s="17">
        <f t="shared" si="18"/>
        <v>-4</v>
      </c>
      <c r="K170" s="17">
        <f t="shared" si="15"/>
        <v>-40</v>
      </c>
      <c r="L170" s="17"/>
      <c r="M170" s="19">
        <f t="shared" si="16"/>
        <v>0</v>
      </c>
      <c r="N170" s="19" t="str">
        <f t="shared" si="19"/>
        <v/>
      </c>
    </row>
    <row r="171" spans="1:14">
      <c r="A171" s="43" t="str">
        <f t="shared" si="17"/>
        <v/>
      </c>
      <c r="G171" s="5"/>
      <c r="H171" s="17">
        <v>166</v>
      </c>
      <c r="I171" s="18" t="str">
        <f t="shared" si="14"/>
        <v/>
      </c>
      <c r="J171" s="17">
        <f t="shared" si="18"/>
        <v>-4</v>
      </c>
      <c r="K171" s="17">
        <f t="shared" si="15"/>
        <v>-40</v>
      </c>
      <c r="L171" s="17"/>
      <c r="M171" s="19">
        <f t="shared" si="16"/>
        <v>0</v>
      </c>
      <c r="N171" s="19" t="str">
        <f t="shared" si="19"/>
        <v/>
      </c>
    </row>
    <row r="172" spans="1:14">
      <c r="A172" s="43" t="str">
        <f t="shared" si="17"/>
        <v/>
      </c>
      <c r="G172" s="5"/>
      <c r="H172" s="17">
        <v>167</v>
      </c>
      <c r="I172" s="18" t="str">
        <f t="shared" si="14"/>
        <v/>
      </c>
      <c r="J172" s="17">
        <f t="shared" si="18"/>
        <v>-4</v>
      </c>
      <c r="K172" s="17">
        <f t="shared" si="15"/>
        <v>-40</v>
      </c>
      <c r="L172" s="17"/>
      <c r="M172" s="19">
        <f t="shared" si="16"/>
        <v>0</v>
      </c>
      <c r="N172" s="19" t="str">
        <f t="shared" si="19"/>
        <v/>
      </c>
    </row>
    <row r="173" spans="1:14">
      <c r="A173" s="43" t="str">
        <f t="shared" si="17"/>
        <v/>
      </c>
      <c r="G173" s="5"/>
      <c r="H173" s="17">
        <v>168</v>
      </c>
      <c r="I173" s="18" t="str">
        <f t="shared" si="14"/>
        <v/>
      </c>
      <c r="J173" s="17">
        <f t="shared" si="18"/>
        <v>-4</v>
      </c>
      <c r="K173" s="17">
        <f t="shared" si="15"/>
        <v>-40</v>
      </c>
      <c r="L173" s="17"/>
      <c r="M173" s="19">
        <f t="shared" si="16"/>
        <v>0</v>
      </c>
      <c r="N173" s="19" t="str">
        <f t="shared" si="19"/>
        <v/>
      </c>
    </row>
    <row r="174" spans="1:14">
      <c r="A174" s="43" t="str">
        <f t="shared" si="17"/>
        <v/>
      </c>
      <c r="G174" s="5"/>
      <c r="H174" s="17">
        <v>169</v>
      </c>
      <c r="I174" s="18" t="str">
        <f t="shared" si="14"/>
        <v/>
      </c>
      <c r="J174" s="17">
        <f t="shared" si="18"/>
        <v>-4</v>
      </c>
      <c r="K174" s="17">
        <f t="shared" si="15"/>
        <v>-40</v>
      </c>
      <c r="L174" s="17"/>
      <c r="M174" s="19">
        <f t="shared" si="16"/>
        <v>0</v>
      </c>
      <c r="N174" s="19" t="str">
        <f t="shared" si="19"/>
        <v/>
      </c>
    </row>
    <row r="175" spans="1:14">
      <c r="A175" s="43" t="str">
        <f t="shared" si="17"/>
        <v/>
      </c>
      <c r="G175" s="5"/>
      <c r="H175" s="17">
        <v>170</v>
      </c>
      <c r="I175" s="18" t="str">
        <f t="shared" si="14"/>
        <v/>
      </c>
      <c r="J175" s="17">
        <f t="shared" si="18"/>
        <v>-4</v>
      </c>
      <c r="K175" s="17">
        <f t="shared" si="15"/>
        <v>-40</v>
      </c>
      <c r="L175" s="17"/>
      <c r="M175" s="19">
        <f t="shared" si="16"/>
        <v>0</v>
      </c>
      <c r="N175" s="19" t="str">
        <f t="shared" si="19"/>
        <v/>
      </c>
    </row>
    <row r="176" spans="1:14">
      <c r="A176" s="43" t="str">
        <f t="shared" si="17"/>
        <v/>
      </c>
      <c r="G176" s="5"/>
      <c r="H176" s="17">
        <v>171</v>
      </c>
      <c r="I176" s="18" t="str">
        <f t="shared" si="14"/>
        <v/>
      </c>
      <c r="J176" s="17">
        <f t="shared" si="18"/>
        <v>-4</v>
      </c>
      <c r="K176" s="17">
        <f t="shared" si="15"/>
        <v>-40</v>
      </c>
      <c r="L176" s="17"/>
      <c r="M176" s="19">
        <f t="shared" si="16"/>
        <v>0</v>
      </c>
      <c r="N176" s="19" t="str">
        <f t="shared" si="19"/>
        <v/>
      </c>
    </row>
    <row r="177" spans="1:14">
      <c r="A177" s="43" t="str">
        <f t="shared" si="17"/>
        <v/>
      </c>
      <c r="G177" s="5"/>
      <c r="H177" s="17">
        <v>172</v>
      </c>
      <c r="I177" s="18" t="str">
        <f t="shared" si="14"/>
        <v/>
      </c>
      <c r="J177" s="17">
        <f t="shared" si="18"/>
        <v>-4</v>
      </c>
      <c r="K177" s="17">
        <f t="shared" si="15"/>
        <v>-40</v>
      </c>
      <c r="L177" s="17"/>
      <c r="M177" s="19">
        <f t="shared" si="16"/>
        <v>0</v>
      </c>
      <c r="N177" s="19" t="str">
        <f t="shared" si="19"/>
        <v/>
      </c>
    </row>
    <row r="178" spans="1:14">
      <c r="A178" s="43" t="str">
        <f t="shared" si="17"/>
        <v/>
      </c>
      <c r="G178" s="5"/>
      <c r="H178" s="17">
        <v>173</v>
      </c>
      <c r="I178" s="18" t="str">
        <f t="shared" si="14"/>
        <v/>
      </c>
      <c r="J178" s="17">
        <f t="shared" si="18"/>
        <v>-4</v>
      </c>
      <c r="K178" s="17">
        <f t="shared" si="15"/>
        <v>-40</v>
      </c>
      <c r="L178" s="17"/>
      <c r="M178" s="19">
        <f t="shared" si="16"/>
        <v>0</v>
      </c>
      <c r="N178" s="19" t="str">
        <f t="shared" si="19"/>
        <v/>
      </c>
    </row>
    <row r="179" spans="1:14">
      <c r="A179" s="43" t="str">
        <f t="shared" si="17"/>
        <v/>
      </c>
      <c r="G179" s="5"/>
      <c r="H179" s="17">
        <v>174</v>
      </c>
      <c r="I179" s="18" t="str">
        <f t="shared" si="14"/>
        <v/>
      </c>
      <c r="J179" s="17">
        <f t="shared" si="18"/>
        <v>-4</v>
      </c>
      <c r="K179" s="17">
        <f t="shared" si="15"/>
        <v>-40</v>
      </c>
      <c r="L179" s="17"/>
      <c r="M179" s="19">
        <f t="shared" si="16"/>
        <v>0</v>
      </c>
      <c r="N179" s="19" t="str">
        <f t="shared" si="19"/>
        <v/>
      </c>
    </row>
    <row r="180" spans="1:14">
      <c r="A180" s="43" t="str">
        <f t="shared" si="17"/>
        <v/>
      </c>
      <c r="G180" s="5"/>
      <c r="H180" s="17">
        <v>175</v>
      </c>
      <c r="I180" s="18" t="str">
        <f t="shared" si="14"/>
        <v/>
      </c>
      <c r="J180" s="17">
        <f t="shared" si="18"/>
        <v>-4</v>
      </c>
      <c r="K180" s="17">
        <f t="shared" si="15"/>
        <v>-40</v>
      </c>
      <c r="L180" s="17"/>
      <c r="M180" s="19">
        <f t="shared" si="16"/>
        <v>0</v>
      </c>
      <c r="N180" s="19" t="str">
        <f t="shared" si="19"/>
        <v/>
      </c>
    </row>
    <row r="181" spans="1:14">
      <c r="A181" s="43" t="str">
        <f t="shared" si="17"/>
        <v/>
      </c>
      <c r="G181" s="5"/>
      <c r="H181" s="17">
        <v>176</v>
      </c>
      <c r="I181" s="18" t="str">
        <f t="shared" si="14"/>
        <v/>
      </c>
      <c r="J181" s="17">
        <f t="shared" si="18"/>
        <v>-4</v>
      </c>
      <c r="K181" s="17">
        <f t="shared" si="15"/>
        <v>-40</v>
      </c>
      <c r="L181" s="17"/>
      <c r="M181" s="19">
        <f t="shared" si="16"/>
        <v>0</v>
      </c>
      <c r="N181" s="19" t="str">
        <f t="shared" si="19"/>
        <v/>
      </c>
    </row>
    <row r="182" spans="1:14">
      <c r="A182" s="43" t="str">
        <f t="shared" si="17"/>
        <v/>
      </c>
      <c r="G182" s="5"/>
      <c r="H182" s="17">
        <v>177</v>
      </c>
      <c r="I182" s="18" t="str">
        <f t="shared" si="14"/>
        <v/>
      </c>
      <c r="J182" s="17">
        <f t="shared" si="18"/>
        <v>-4</v>
      </c>
      <c r="K182" s="17">
        <f t="shared" si="15"/>
        <v>-40</v>
      </c>
      <c r="L182" s="17"/>
      <c r="M182" s="19">
        <f t="shared" si="16"/>
        <v>0</v>
      </c>
      <c r="N182" s="19" t="str">
        <f t="shared" si="19"/>
        <v/>
      </c>
    </row>
    <row r="183" spans="1:14">
      <c r="A183" s="43" t="str">
        <f t="shared" si="17"/>
        <v/>
      </c>
      <c r="G183" s="5"/>
      <c r="H183" s="17">
        <v>178</v>
      </c>
      <c r="I183" s="18" t="str">
        <f t="shared" si="14"/>
        <v/>
      </c>
      <c r="J183" s="17">
        <f t="shared" si="18"/>
        <v>-4</v>
      </c>
      <c r="K183" s="17">
        <f t="shared" si="15"/>
        <v>-40</v>
      </c>
      <c r="L183" s="17"/>
      <c r="M183" s="19">
        <f t="shared" si="16"/>
        <v>0</v>
      </c>
      <c r="N183" s="19" t="str">
        <f t="shared" si="19"/>
        <v/>
      </c>
    </row>
    <row r="184" spans="1:14">
      <c r="A184" s="43" t="str">
        <f t="shared" si="17"/>
        <v/>
      </c>
      <c r="G184" s="5"/>
      <c r="H184" s="17">
        <v>179</v>
      </c>
      <c r="I184" s="18" t="str">
        <f t="shared" si="14"/>
        <v/>
      </c>
      <c r="J184" s="17">
        <f t="shared" si="18"/>
        <v>-4</v>
      </c>
      <c r="K184" s="17">
        <f t="shared" si="15"/>
        <v>-40</v>
      </c>
      <c r="L184" s="17"/>
      <c r="M184" s="19">
        <f t="shared" si="16"/>
        <v>0</v>
      </c>
      <c r="N184" s="19" t="str">
        <f t="shared" si="19"/>
        <v/>
      </c>
    </row>
    <row r="185" spans="1:14">
      <c r="A185" s="43" t="str">
        <f t="shared" si="17"/>
        <v/>
      </c>
      <c r="G185" s="5"/>
      <c r="H185" s="17">
        <v>180</v>
      </c>
      <c r="I185" s="18" t="str">
        <f t="shared" si="14"/>
        <v/>
      </c>
      <c r="J185" s="17">
        <f t="shared" si="18"/>
        <v>-4</v>
      </c>
      <c r="K185" s="17">
        <f t="shared" si="15"/>
        <v>-40</v>
      </c>
      <c r="L185" s="17"/>
      <c r="M185" s="19">
        <f t="shared" si="16"/>
        <v>0</v>
      </c>
      <c r="N185" s="19" t="str">
        <f t="shared" si="19"/>
        <v/>
      </c>
    </row>
    <row r="186" spans="1:14">
      <c r="A186" s="43" t="str">
        <f t="shared" si="17"/>
        <v/>
      </c>
      <c r="G186" s="5"/>
      <c r="H186" s="17">
        <v>181</v>
      </c>
      <c r="I186" s="18" t="str">
        <f t="shared" si="14"/>
        <v/>
      </c>
      <c r="J186" s="17">
        <f t="shared" si="18"/>
        <v>-4</v>
      </c>
      <c r="K186" s="17">
        <f t="shared" si="15"/>
        <v>-40</v>
      </c>
      <c r="L186" s="17"/>
      <c r="M186" s="19">
        <f t="shared" si="16"/>
        <v>0</v>
      </c>
      <c r="N186" s="19" t="str">
        <f t="shared" si="19"/>
        <v/>
      </c>
    </row>
    <row r="187" spans="1:14">
      <c r="A187" s="43" t="str">
        <f t="shared" si="17"/>
        <v/>
      </c>
      <c r="G187" s="5"/>
      <c r="H187" s="17">
        <v>182</v>
      </c>
      <c r="I187" s="18" t="str">
        <f t="shared" si="14"/>
        <v/>
      </c>
      <c r="J187" s="17">
        <f t="shared" si="18"/>
        <v>-4</v>
      </c>
      <c r="K187" s="17">
        <f t="shared" si="15"/>
        <v>-40</v>
      </c>
      <c r="L187" s="17"/>
      <c r="M187" s="19">
        <f t="shared" si="16"/>
        <v>0</v>
      </c>
      <c r="N187" s="19" t="str">
        <f t="shared" si="19"/>
        <v/>
      </c>
    </row>
    <row r="188" spans="1:14">
      <c r="A188" s="43" t="str">
        <f t="shared" si="17"/>
        <v/>
      </c>
      <c r="G188" s="5"/>
      <c r="H188" s="17">
        <v>183</v>
      </c>
      <c r="I188" s="18" t="str">
        <f t="shared" si="14"/>
        <v/>
      </c>
      <c r="J188" s="17">
        <f t="shared" si="18"/>
        <v>-4</v>
      </c>
      <c r="K188" s="17">
        <f t="shared" si="15"/>
        <v>-40</v>
      </c>
      <c r="L188" s="17"/>
      <c r="M188" s="19">
        <f t="shared" si="16"/>
        <v>0</v>
      </c>
      <c r="N188" s="19" t="str">
        <f t="shared" si="19"/>
        <v/>
      </c>
    </row>
    <row r="189" spans="1:14">
      <c r="A189" s="43" t="str">
        <f t="shared" si="17"/>
        <v/>
      </c>
      <c r="G189" s="5"/>
      <c r="H189" s="17">
        <v>184</v>
      </c>
      <c r="I189" s="18" t="str">
        <f t="shared" si="14"/>
        <v/>
      </c>
      <c r="J189" s="17">
        <f t="shared" si="18"/>
        <v>-4</v>
      </c>
      <c r="K189" s="17">
        <f t="shared" si="15"/>
        <v>-40</v>
      </c>
      <c r="L189" s="17"/>
      <c r="M189" s="19">
        <f t="shared" si="16"/>
        <v>0</v>
      </c>
      <c r="N189" s="19" t="str">
        <f t="shared" si="19"/>
        <v/>
      </c>
    </row>
    <row r="190" spans="1:14">
      <c r="A190" s="43" t="str">
        <f t="shared" si="17"/>
        <v/>
      </c>
      <c r="G190" s="5"/>
      <c r="H190" s="17">
        <v>185</v>
      </c>
      <c r="I190" s="18" t="str">
        <f t="shared" si="14"/>
        <v/>
      </c>
      <c r="J190" s="17">
        <f t="shared" si="18"/>
        <v>-4</v>
      </c>
      <c r="K190" s="17">
        <f t="shared" si="15"/>
        <v>-40</v>
      </c>
      <c r="L190" s="17"/>
      <c r="M190" s="19">
        <f t="shared" si="16"/>
        <v>0</v>
      </c>
      <c r="N190" s="19" t="str">
        <f t="shared" si="19"/>
        <v/>
      </c>
    </row>
    <row r="191" spans="1:14">
      <c r="A191" s="43" t="str">
        <f t="shared" si="17"/>
        <v/>
      </c>
      <c r="G191" s="5"/>
      <c r="H191" s="17">
        <v>186</v>
      </c>
      <c r="I191" s="18" t="str">
        <f t="shared" si="14"/>
        <v/>
      </c>
      <c r="J191" s="17">
        <f t="shared" si="18"/>
        <v>-4</v>
      </c>
      <c r="K191" s="17">
        <f t="shared" si="15"/>
        <v>-40</v>
      </c>
      <c r="L191" s="17"/>
      <c r="M191" s="19">
        <f t="shared" si="16"/>
        <v>0</v>
      </c>
      <c r="N191" s="19" t="str">
        <f t="shared" si="19"/>
        <v/>
      </c>
    </row>
    <row r="192" spans="1:14">
      <c r="A192" s="43" t="str">
        <f t="shared" si="17"/>
        <v/>
      </c>
      <c r="G192" s="5"/>
      <c r="H192" s="17">
        <v>187</v>
      </c>
      <c r="I192" s="18" t="str">
        <f t="shared" si="14"/>
        <v/>
      </c>
      <c r="J192" s="17">
        <f t="shared" si="18"/>
        <v>-4</v>
      </c>
      <c r="K192" s="17">
        <f t="shared" si="15"/>
        <v>-40</v>
      </c>
      <c r="L192" s="17"/>
      <c r="M192" s="19">
        <f t="shared" si="16"/>
        <v>0</v>
      </c>
      <c r="N192" s="19" t="str">
        <f t="shared" si="19"/>
        <v/>
      </c>
    </row>
    <row r="193" spans="1:14">
      <c r="A193" s="43" t="str">
        <f t="shared" si="17"/>
        <v/>
      </c>
      <c r="G193" s="5"/>
      <c r="H193" s="17">
        <v>188</v>
      </c>
      <c r="I193" s="18" t="str">
        <f t="shared" si="14"/>
        <v/>
      </c>
      <c r="J193" s="17">
        <f t="shared" si="18"/>
        <v>-4</v>
      </c>
      <c r="K193" s="17">
        <f t="shared" si="15"/>
        <v>-40</v>
      </c>
      <c r="L193" s="17"/>
      <c r="M193" s="19">
        <f t="shared" si="16"/>
        <v>0</v>
      </c>
      <c r="N193" s="19" t="str">
        <f t="shared" si="19"/>
        <v/>
      </c>
    </row>
    <row r="194" spans="1:14">
      <c r="A194" s="43" t="str">
        <f t="shared" si="17"/>
        <v/>
      </c>
      <c r="G194" s="5"/>
      <c r="H194" s="17">
        <v>189</v>
      </c>
      <c r="I194" s="18" t="str">
        <f t="shared" si="14"/>
        <v/>
      </c>
      <c r="J194" s="17">
        <f t="shared" si="18"/>
        <v>-4</v>
      </c>
      <c r="K194" s="17">
        <f t="shared" si="15"/>
        <v>-40</v>
      </c>
      <c r="L194" s="17"/>
      <c r="M194" s="19">
        <f t="shared" si="16"/>
        <v>0</v>
      </c>
      <c r="N194" s="19" t="str">
        <f t="shared" si="19"/>
        <v/>
      </c>
    </row>
    <row r="195" spans="1:14">
      <c r="A195" s="43" t="str">
        <f t="shared" si="17"/>
        <v/>
      </c>
      <c r="G195" s="5"/>
      <c r="H195" s="17">
        <v>190</v>
      </c>
      <c r="I195" s="18" t="str">
        <f t="shared" si="14"/>
        <v/>
      </c>
      <c r="J195" s="17">
        <f t="shared" si="18"/>
        <v>-4</v>
      </c>
      <c r="K195" s="17">
        <f t="shared" si="15"/>
        <v>-40</v>
      </c>
      <c r="L195" s="17"/>
      <c r="M195" s="19">
        <f t="shared" si="16"/>
        <v>0</v>
      </c>
      <c r="N195" s="19" t="str">
        <f t="shared" si="19"/>
        <v/>
      </c>
    </row>
    <row r="196" spans="1:14">
      <c r="A196" s="43" t="str">
        <f t="shared" si="17"/>
        <v/>
      </c>
      <c r="G196" s="5"/>
      <c r="H196" s="17">
        <v>191</v>
      </c>
      <c r="I196" s="18" t="str">
        <f t="shared" si="14"/>
        <v/>
      </c>
      <c r="J196" s="17">
        <f t="shared" si="18"/>
        <v>-4</v>
      </c>
      <c r="K196" s="17">
        <f t="shared" si="15"/>
        <v>-40</v>
      </c>
      <c r="L196" s="17"/>
      <c r="M196" s="19">
        <f t="shared" si="16"/>
        <v>0</v>
      </c>
      <c r="N196" s="19" t="str">
        <f t="shared" si="19"/>
        <v/>
      </c>
    </row>
    <row r="197" spans="1:14">
      <c r="A197" s="43" t="str">
        <f t="shared" si="17"/>
        <v/>
      </c>
      <c r="G197" s="5"/>
      <c r="H197" s="17">
        <v>192</v>
      </c>
      <c r="I197" s="18" t="str">
        <f t="shared" si="14"/>
        <v/>
      </c>
      <c r="J197" s="17">
        <f t="shared" si="18"/>
        <v>-4</v>
      </c>
      <c r="K197" s="17">
        <f t="shared" si="15"/>
        <v>-40</v>
      </c>
      <c r="L197" s="17"/>
      <c r="M197" s="19">
        <f t="shared" si="16"/>
        <v>0</v>
      </c>
      <c r="N197" s="19" t="str">
        <f t="shared" si="19"/>
        <v/>
      </c>
    </row>
    <row r="198" spans="1:14">
      <c r="A198" s="43" t="str">
        <f t="shared" si="17"/>
        <v/>
      </c>
      <c r="G198" s="5"/>
      <c r="H198" s="17">
        <v>193</v>
      </c>
      <c r="I198" s="18" t="str">
        <f t="shared" ref="I198:I261" si="20">IF(H198&lt;$H$2+1,($I$2-($I$2-1)*(LOG(H198)/LOG($H$2))),"")</f>
        <v/>
      </c>
      <c r="J198" s="17">
        <f t="shared" si="18"/>
        <v>-4</v>
      </c>
      <c r="K198" s="17">
        <f t="shared" ref="K198:K261" si="21">J198*$J$2</f>
        <v>-40</v>
      </c>
      <c r="L198" s="17"/>
      <c r="M198" s="19">
        <f t="shared" ref="M198:M261" si="22">IF(I198&lt;&gt;"",K198+I198+L198,0)</f>
        <v>0</v>
      </c>
      <c r="N198" s="19" t="str">
        <f t="shared" si="19"/>
        <v/>
      </c>
    </row>
    <row r="199" spans="1:14">
      <c r="A199" s="43" t="str">
        <f t="shared" ref="A199:A262" si="23">N199</f>
        <v/>
      </c>
      <c r="G199" s="5"/>
      <c r="H199" s="17">
        <v>194</v>
      </c>
      <c r="I199" s="18" t="str">
        <f t="shared" si="20"/>
        <v/>
      </c>
      <c r="J199" s="17">
        <f t="shared" ref="J199:J262" si="24">INT(LOG($H$2,2))-ROUNDUP(LOG(H199,2),0)+IF(OR($H$2=1,$H$2=2,$H$2=4,$H$2=8,$H$2=16,$H$2=32,$H$2=64,$H$2=128,$H$2=256),0,1)</f>
        <v>-4</v>
      </c>
      <c r="K199" s="17">
        <f t="shared" si="21"/>
        <v>-40</v>
      </c>
      <c r="L199" s="17"/>
      <c r="M199" s="19">
        <f t="shared" si="22"/>
        <v>0</v>
      </c>
      <c r="N199" s="19" t="str">
        <f t="shared" ref="N199:N262" si="25">IF(I199&lt;&gt;"",M199*L$2,"")</f>
        <v/>
      </c>
    </row>
    <row r="200" spans="1:14">
      <c r="A200" s="43" t="str">
        <f t="shared" si="23"/>
        <v/>
      </c>
      <c r="G200" s="5"/>
      <c r="H200" s="17">
        <v>195</v>
      </c>
      <c r="I200" s="18" t="str">
        <f t="shared" si="20"/>
        <v/>
      </c>
      <c r="J200" s="17">
        <f t="shared" si="24"/>
        <v>-4</v>
      </c>
      <c r="K200" s="17">
        <f t="shared" si="21"/>
        <v>-40</v>
      </c>
      <c r="L200" s="17"/>
      <c r="M200" s="19">
        <f t="shared" si="22"/>
        <v>0</v>
      </c>
      <c r="N200" s="19" t="str">
        <f t="shared" si="25"/>
        <v/>
      </c>
    </row>
    <row r="201" spans="1:14">
      <c r="A201" s="43" t="str">
        <f t="shared" si="23"/>
        <v/>
      </c>
      <c r="G201" s="5"/>
      <c r="H201" s="17">
        <v>196</v>
      </c>
      <c r="I201" s="18" t="str">
        <f t="shared" si="20"/>
        <v/>
      </c>
      <c r="J201" s="17">
        <f t="shared" si="24"/>
        <v>-4</v>
      </c>
      <c r="K201" s="17">
        <f t="shared" si="21"/>
        <v>-40</v>
      </c>
      <c r="L201" s="17"/>
      <c r="M201" s="19">
        <f t="shared" si="22"/>
        <v>0</v>
      </c>
      <c r="N201" s="19" t="str">
        <f t="shared" si="25"/>
        <v/>
      </c>
    </row>
    <row r="202" spans="1:14">
      <c r="A202" s="43" t="str">
        <f t="shared" si="23"/>
        <v/>
      </c>
      <c r="G202" s="5"/>
      <c r="H202" s="17">
        <v>197</v>
      </c>
      <c r="I202" s="18" t="str">
        <f t="shared" si="20"/>
        <v/>
      </c>
      <c r="J202" s="17">
        <f t="shared" si="24"/>
        <v>-4</v>
      </c>
      <c r="K202" s="17">
        <f t="shared" si="21"/>
        <v>-40</v>
      </c>
      <c r="L202" s="17"/>
      <c r="M202" s="19">
        <f t="shared" si="22"/>
        <v>0</v>
      </c>
      <c r="N202" s="19" t="str">
        <f t="shared" si="25"/>
        <v/>
      </c>
    </row>
    <row r="203" spans="1:14">
      <c r="A203" s="43" t="str">
        <f t="shared" si="23"/>
        <v/>
      </c>
      <c r="G203" s="5"/>
      <c r="H203" s="17">
        <v>198</v>
      </c>
      <c r="I203" s="18" t="str">
        <f t="shared" si="20"/>
        <v/>
      </c>
      <c r="J203" s="17">
        <f t="shared" si="24"/>
        <v>-4</v>
      </c>
      <c r="K203" s="17">
        <f t="shared" si="21"/>
        <v>-40</v>
      </c>
      <c r="L203" s="17"/>
      <c r="M203" s="19">
        <f t="shared" si="22"/>
        <v>0</v>
      </c>
      <c r="N203" s="19" t="str">
        <f t="shared" si="25"/>
        <v/>
      </c>
    </row>
    <row r="204" spans="1:14">
      <c r="A204" s="43" t="str">
        <f t="shared" si="23"/>
        <v/>
      </c>
      <c r="G204" s="5"/>
      <c r="H204" s="17">
        <v>199</v>
      </c>
      <c r="I204" s="18" t="str">
        <f t="shared" si="20"/>
        <v/>
      </c>
      <c r="J204" s="17">
        <f t="shared" si="24"/>
        <v>-4</v>
      </c>
      <c r="K204" s="17">
        <f t="shared" si="21"/>
        <v>-40</v>
      </c>
      <c r="L204" s="17"/>
      <c r="M204" s="19">
        <f t="shared" si="22"/>
        <v>0</v>
      </c>
      <c r="N204" s="19" t="str">
        <f t="shared" si="25"/>
        <v/>
      </c>
    </row>
    <row r="205" spans="1:14">
      <c r="A205" s="43" t="str">
        <f t="shared" si="23"/>
        <v/>
      </c>
      <c r="G205" s="5"/>
      <c r="H205" s="17">
        <v>200</v>
      </c>
      <c r="I205" s="18" t="str">
        <f t="shared" si="20"/>
        <v/>
      </c>
      <c r="J205" s="17">
        <f t="shared" si="24"/>
        <v>-4</v>
      </c>
      <c r="K205" s="17">
        <f t="shared" si="21"/>
        <v>-40</v>
      </c>
      <c r="L205" s="17"/>
      <c r="M205" s="19">
        <f t="shared" si="22"/>
        <v>0</v>
      </c>
      <c r="N205" s="19" t="str">
        <f t="shared" si="25"/>
        <v/>
      </c>
    </row>
    <row r="206" spans="1:14">
      <c r="A206" s="43" t="str">
        <f t="shared" si="23"/>
        <v/>
      </c>
      <c r="G206" s="5"/>
      <c r="H206" s="17">
        <v>201</v>
      </c>
      <c r="I206" s="18" t="str">
        <f t="shared" si="20"/>
        <v/>
      </c>
      <c r="J206" s="17">
        <f t="shared" si="24"/>
        <v>-4</v>
      </c>
      <c r="K206" s="17">
        <f t="shared" si="21"/>
        <v>-40</v>
      </c>
      <c r="L206" s="17"/>
      <c r="M206" s="19">
        <f t="shared" si="22"/>
        <v>0</v>
      </c>
      <c r="N206" s="19" t="str">
        <f t="shared" si="25"/>
        <v/>
      </c>
    </row>
    <row r="207" spans="1:14">
      <c r="A207" s="43" t="str">
        <f t="shared" si="23"/>
        <v/>
      </c>
      <c r="G207" s="5"/>
      <c r="H207" s="17">
        <v>202</v>
      </c>
      <c r="I207" s="18" t="str">
        <f t="shared" si="20"/>
        <v/>
      </c>
      <c r="J207" s="17">
        <f t="shared" si="24"/>
        <v>-4</v>
      </c>
      <c r="K207" s="17">
        <f t="shared" si="21"/>
        <v>-40</v>
      </c>
      <c r="L207" s="17"/>
      <c r="M207" s="19">
        <f t="shared" si="22"/>
        <v>0</v>
      </c>
      <c r="N207" s="19" t="str">
        <f t="shared" si="25"/>
        <v/>
      </c>
    </row>
    <row r="208" spans="1:14">
      <c r="A208" s="43" t="str">
        <f t="shared" si="23"/>
        <v/>
      </c>
      <c r="G208" s="5"/>
      <c r="H208" s="17">
        <v>203</v>
      </c>
      <c r="I208" s="18" t="str">
        <f t="shared" si="20"/>
        <v/>
      </c>
      <c r="J208" s="17">
        <f t="shared" si="24"/>
        <v>-4</v>
      </c>
      <c r="K208" s="17">
        <f t="shared" si="21"/>
        <v>-40</v>
      </c>
      <c r="L208" s="17"/>
      <c r="M208" s="19">
        <f t="shared" si="22"/>
        <v>0</v>
      </c>
      <c r="N208" s="19" t="str">
        <f t="shared" si="25"/>
        <v/>
      </c>
    </row>
    <row r="209" spans="1:14">
      <c r="A209" s="43" t="str">
        <f t="shared" si="23"/>
        <v/>
      </c>
      <c r="G209" s="5"/>
      <c r="H209" s="17">
        <v>204</v>
      </c>
      <c r="I209" s="18" t="str">
        <f t="shared" si="20"/>
        <v/>
      </c>
      <c r="J209" s="17">
        <f t="shared" si="24"/>
        <v>-4</v>
      </c>
      <c r="K209" s="17">
        <f t="shared" si="21"/>
        <v>-40</v>
      </c>
      <c r="L209" s="17"/>
      <c r="M209" s="19">
        <f t="shared" si="22"/>
        <v>0</v>
      </c>
      <c r="N209" s="19" t="str">
        <f t="shared" si="25"/>
        <v/>
      </c>
    </row>
    <row r="210" spans="1:14">
      <c r="A210" s="43" t="str">
        <f t="shared" si="23"/>
        <v/>
      </c>
      <c r="G210" s="5"/>
      <c r="H210" s="17">
        <v>205</v>
      </c>
      <c r="I210" s="18" t="str">
        <f t="shared" si="20"/>
        <v/>
      </c>
      <c r="J210" s="17">
        <f t="shared" si="24"/>
        <v>-4</v>
      </c>
      <c r="K210" s="17">
        <f t="shared" si="21"/>
        <v>-40</v>
      </c>
      <c r="L210" s="17"/>
      <c r="M210" s="19">
        <f t="shared" si="22"/>
        <v>0</v>
      </c>
      <c r="N210" s="19" t="str">
        <f t="shared" si="25"/>
        <v/>
      </c>
    </row>
    <row r="211" spans="1:14">
      <c r="A211" s="43" t="str">
        <f t="shared" si="23"/>
        <v/>
      </c>
      <c r="G211" s="5"/>
      <c r="H211" s="17">
        <v>206</v>
      </c>
      <c r="I211" s="18" t="str">
        <f t="shared" si="20"/>
        <v/>
      </c>
      <c r="J211" s="17">
        <f t="shared" si="24"/>
        <v>-4</v>
      </c>
      <c r="K211" s="17">
        <f t="shared" si="21"/>
        <v>-40</v>
      </c>
      <c r="L211" s="17"/>
      <c r="M211" s="19">
        <f t="shared" si="22"/>
        <v>0</v>
      </c>
      <c r="N211" s="19" t="str">
        <f t="shared" si="25"/>
        <v/>
      </c>
    </row>
    <row r="212" spans="1:14">
      <c r="A212" s="43" t="str">
        <f t="shared" si="23"/>
        <v/>
      </c>
      <c r="G212" s="5"/>
      <c r="H212" s="17">
        <v>207</v>
      </c>
      <c r="I212" s="18" t="str">
        <f t="shared" si="20"/>
        <v/>
      </c>
      <c r="J212" s="17">
        <f t="shared" si="24"/>
        <v>-4</v>
      </c>
      <c r="K212" s="17">
        <f t="shared" si="21"/>
        <v>-40</v>
      </c>
      <c r="L212" s="17"/>
      <c r="M212" s="19">
        <f t="shared" si="22"/>
        <v>0</v>
      </c>
      <c r="N212" s="19" t="str">
        <f t="shared" si="25"/>
        <v/>
      </c>
    </row>
    <row r="213" spans="1:14">
      <c r="A213" s="43" t="str">
        <f t="shared" si="23"/>
        <v/>
      </c>
      <c r="G213" s="5"/>
      <c r="H213" s="17">
        <v>208</v>
      </c>
      <c r="I213" s="18" t="str">
        <f t="shared" si="20"/>
        <v/>
      </c>
      <c r="J213" s="17">
        <f t="shared" si="24"/>
        <v>-4</v>
      </c>
      <c r="K213" s="17">
        <f t="shared" si="21"/>
        <v>-40</v>
      </c>
      <c r="L213" s="17"/>
      <c r="M213" s="19">
        <f t="shared" si="22"/>
        <v>0</v>
      </c>
      <c r="N213" s="19" t="str">
        <f t="shared" si="25"/>
        <v/>
      </c>
    </row>
    <row r="214" spans="1:14">
      <c r="A214" s="43" t="str">
        <f t="shared" si="23"/>
        <v/>
      </c>
      <c r="G214" s="5"/>
      <c r="H214" s="17">
        <v>209</v>
      </c>
      <c r="I214" s="18" t="str">
        <f t="shared" si="20"/>
        <v/>
      </c>
      <c r="J214" s="17">
        <f t="shared" si="24"/>
        <v>-4</v>
      </c>
      <c r="K214" s="17">
        <f t="shared" si="21"/>
        <v>-40</v>
      </c>
      <c r="L214" s="17"/>
      <c r="M214" s="19">
        <f t="shared" si="22"/>
        <v>0</v>
      </c>
      <c r="N214" s="19" t="str">
        <f t="shared" si="25"/>
        <v/>
      </c>
    </row>
    <row r="215" spans="1:14">
      <c r="A215" s="43" t="str">
        <f t="shared" si="23"/>
        <v/>
      </c>
      <c r="G215" s="5"/>
      <c r="H215" s="17">
        <v>210</v>
      </c>
      <c r="I215" s="18" t="str">
        <f t="shared" si="20"/>
        <v/>
      </c>
      <c r="J215" s="17">
        <f t="shared" si="24"/>
        <v>-4</v>
      </c>
      <c r="K215" s="17">
        <f t="shared" si="21"/>
        <v>-40</v>
      </c>
      <c r="L215" s="17"/>
      <c r="M215" s="19">
        <f t="shared" si="22"/>
        <v>0</v>
      </c>
      <c r="N215" s="19" t="str">
        <f t="shared" si="25"/>
        <v/>
      </c>
    </row>
    <row r="216" spans="1:14">
      <c r="A216" s="43" t="str">
        <f t="shared" si="23"/>
        <v/>
      </c>
      <c r="G216" s="5"/>
      <c r="H216" s="17">
        <v>211</v>
      </c>
      <c r="I216" s="18" t="str">
        <f t="shared" si="20"/>
        <v/>
      </c>
      <c r="J216" s="17">
        <f t="shared" si="24"/>
        <v>-4</v>
      </c>
      <c r="K216" s="17">
        <f t="shared" si="21"/>
        <v>-40</v>
      </c>
      <c r="L216" s="17"/>
      <c r="M216" s="19">
        <f t="shared" si="22"/>
        <v>0</v>
      </c>
      <c r="N216" s="19" t="str">
        <f t="shared" si="25"/>
        <v/>
      </c>
    </row>
    <row r="217" spans="1:14">
      <c r="A217" s="43" t="str">
        <f t="shared" si="23"/>
        <v/>
      </c>
      <c r="G217" s="5"/>
      <c r="H217" s="17">
        <v>212</v>
      </c>
      <c r="I217" s="18" t="str">
        <f t="shared" si="20"/>
        <v/>
      </c>
      <c r="J217" s="17">
        <f t="shared" si="24"/>
        <v>-4</v>
      </c>
      <c r="K217" s="17">
        <f t="shared" si="21"/>
        <v>-40</v>
      </c>
      <c r="L217" s="17"/>
      <c r="M217" s="19">
        <f t="shared" si="22"/>
        <v>0</v>
      </c>
      <c r="N217" s="19" t="str">
        <f t="shared" si="25"/>
        <v/>
      </c>
    </row>
    <row r="218" spans="1:14">
      <c r="A218" s="43" t="str">
        <f t="shared" si="23"/>
        <v/>
      </c>
      <c r="G218" s="5"/>
      <c r="H218" s="17">
        <v>213</v>
      </c>
      <c r="I218" s="18" t="str">
        <f t="shared" si="20"/>
        <v/>
      </c>
      <c r="J218" s="17">
        <f t="shared" si="24"/>
        <v>-4</v>
      </c>
      <c r="K218" s="17">
        <f t="shared" si="21"/>
        <v>-40</v>
      </c>
      <c r="L218" s="17"/>
      <c r="M218" s="19">
        <f t="shared" si="22"/>
        <v>0</v>
      </c>
      <c r="N218" s="19" t="str">
        <f t="shared" si="25"/>
        <v/>
      </c>
    </row>
    <row r="219" spans="1:14">
      <c r="A219" s="43" t="str">
        <f t="shared" si="23"/>
        <v/>
      </c>
      <c r="G219" s="5"/>
      <c r="H219" s="17">
        <v>214</v>
      </c>
      <c r="I219" s="18" t="str">
        <f t="shared" si="20"/>
        <v/>
      </c>
      <c r="J219" s="17">
        <f t="shared" si="24"/>
        <v>-4</v>
      </c>
      <c r="K219" s="17">
        <f t="shared" si="21"/>
        <v>-40</v>
      </c>
      <c r="L219" s="17"/>
      <c r="M219" s="19">
        <f t="shared" si="22"/>
        <v>0</v>
      </c>
      <c r="N219" s="19" t="str">
        <f t="shared" si="25"/>
        <v/>
      </c>
    </row>
    <row r="220" spans="1:14">
      <c r="A220" s="43" t="str">
        <f t="shared" si="23"/>
        <v/>
      </c>
      <c r="G220" s="5"/>
      <c r="H220" s="17">
        <v>215</v>
      </c>
      <c r="I220" s="18" t="str">
        <f t="shared" si="20"/>
        <v/>
      </c>
      <c r="J220" s="17">
        <f t="shared" si="24"/>
        <v>-4</v>
      </c>
      <c r="K220" s="17">
        <f t="shared" si="21"/>
        <v>-40</v>
      </c>
      <c r="L220" s="17"/>
      <c r="M220" s="19">
        <f t="shared" si="22"/>
        <v>0</v>
      </c>
      <c r="N220" s="19" t="str">
        <f t="shared" si="25"/>
        <v/>
      </c>
    </row>
    <row r="221" spans="1:14">
      <c r="A221" s="43" t="str">
        <f t="shared" si="23"/>
        <v/>
      </c>
      <c r="G221" s="5"/>
      <c r="H221" s="17">
        <v>216</v>
      </c>
      <c r="I221" s="18" t="str">
        <f t="shared" si="20"/>
        <v/>
      </c>
      <c r="J221" s="17">
        <f t="shared" si="24"/>
        <v>-4</v>
      </c>
      <c r="K221" s="17">
        <f t="shared" si="21"/>
        <v>-40</v>
      </c>
      <c r="L221" s="17"/>
      <c r="M221" s="19">
        <f t="shared" si="22"/>
        <v>0</v>
      </c>
      <c r="N221" s="19" t="str">
        <f t="shared" si="25"/>
        <v/>
      </c>
    </row>
    <row r="222" spans="1:14">
      <c r="A222" s="43" t="str">
        <f t="shared" si="23"/>
        <v/>
      </c>
      <c r="G222" s="5"/>
      <c r="H222" s="17">
        <v>217</v>
      </c>
      <c r="I222" s="18" t="str">
        <f t="shared" si="20"/>
        <v/>
      </c>
      <c r="J222" s="17">
        <f t="shared" si="24"/>
        <v>-4</v>
      </c>
      <c r="K222" s="17">
        <f t="shared" si="21"/>
        <v>-40</v>
      </c>
      <c r="L222" s="17"/>
      <c r="M222" s="19">
        <f t="shared" si="22"/>
        <v>0</v>
      </c>
      <c r="N222" s="19" t="str">
        <f t="shared" si="25"/>
        <v/>
      </c>
    </row>
    <row r="223" spans="1:14">
      <c r="A223" s="43" t="str">
        <f t="shared" si="23"/>
        <v/>
      </c>
      <c r="G223" s="5"/>
      <c r="H223" s="17">
        <v>218</v>
      </c>
      <c r="I223" s="18" t="str">
        <f t="shared" si="20"/>
        <v/>
      </c>
      <c r="J223" s="17">
        <f t="shared" si="24"/>
        <v>-4</v>
      </c>
      <c r="K223" s="17">
        <f t="shared" si="21"/>
        <v>-40</v>
      </c>
      <c r="L223" s="17"/>
      <c r="M223" s="19">
        <f t="shared" si="22"/>
        <v>0</v>
      </c>
      <c r="N223" s="19" t="str">
        <f t="shared" si="25"/>
        <v/>
      </c>
    </row>
    <row r="224" spans="1:14">
      <c r="A224" s="43" t="str">
        <f t="shared" si="23"/>
        <v/>
      </c>
      <c r="G224" s="5"/>
      <c r="H224" s="17">
        <v>219</v>
      </c>
      <c r="I224" s="18" t="str">
        <f t="shared" si="20"/>
        <v/>
      </c>
      <c r="J224" s="17">
        <f t="shared" si="24"/>
        <v>-4</v>
      </c>
      <c r="K224" s="17">
        <f t="shared" si="21"/>
        <v>-40</v>
      </c>
      <c r="L224" s="17"/>
      <c r="M224" s="19">
        <f t="shared" si="22"/>
        <v>0</v>
      </c>
      <c r="N224" s="19" t="str">
        <f t="shared" si="25"/>
        <v/>
      </c>
    </row>
    <row r="225" spans="1:14">
      <c r="A225" s="43" t="str">
        <f t="shared" si="23"/>
        <v/>
      </c>
      <c r="G225" s="5"/>
      <c r="H225" s="17">
        <v>220</v>
      </c>
      <c r="I225" s="18" t="str">
        <f t="shared" si="20"/>
        <v/>
      </c>
      <c r="J225" s="17">
        <f t="shared" si="24"/>
        <v>-4</v>
      </c>
      <c r="K225" s="17">
        <f t="shared" si="21"/>
        <v>-40</v>
      </c>
      <c r="L225" s="17"/>
      <c r="M225" s="19">
        <f t="shared" si="22"/>
        <v>0</v>
      </c>
      <c r="N225" s="19" t="str">
        <f t="shared" si="25"/>
        <v/>
      </c>
    </row>
    <row r="226" spans="1:14">
      <c r="A226" s="43" t="str">
        <f t="shared" si="23"/>
        <v/>
      </c>
      <c r="G226" s="5"/>
      <c r="H226" s="17">
        <v>221</v>
      </c>
      <c r="I226" s="18" t="str">
        <f t="shared" si="20"/>
        <v/>
      </c>
      <c r="J226" s="17">
        <f t="shared" si="24"/>
        <v>-4</v>
      </c>
      <c r="K226" s="17">
        <f t="shared" si="21"/>
        <v>-40</v>
      </c>
      <c r="L226" s="17"/>
      <c r="M226" s="19">
        <f t="shared" si="22"/>
        <v>0</v>
      </c>
      <c r="N226" s="19" t="str">
        <f t="shared" si="25"/>
        <v/>
      </c>
    </row>
    <row r="227" spans="1:14">
      <c r="A227" s="43" t="str">
        <f t="shared" si="23"/>
        <v/>
      </c>
      <c r="G227" s="5"/>
      <c r="H227" s="17">
        <v>222</v>
      </c>
      <c r="I227" s="18" t="str">
        <f t="shared" si="20"/>
        <v/>
      </c>
      <c r="J227" s="17">
        <f t="shared" si="24"/>
        <v>-4</v>
      </c>
      <c r="K227" s="17">
        <f t="shared" si="21"/>
        <v>-40</v>
      </c>
      <c r="L227" s="17"/>
      <c r="M227" s="19">
        <f t="shared" si="22"/>
        <v>0</v>
      </c>
      <c r="N227" s="19" t="str">
        <f t="shared" si="25"/>
        <v/>
      </c>
    </row>
    <row r="228" spans="1:14">
      <c r="A228" s="43" t="str">
        <f t="shared" si="23"/>
        <v/>
      </c>
      <c r="G228" s="5"/>
      <c r="H228" s="17">
        <v>223</v>
      </c>
      <c r="I228" s="18" t="str">
        <f t="shared" si="20"/>
        <v/>
      </c>
      <c r="J228" s="17">
        <f t="shared" si="24"/>
        <v>-4</v>
      </c>
      <c r="K228" s="17">
        <f t="shared" si="21"/>
        <v>-40</v>
      </c>
      <c r="L228" s="17"/>
      <c r="M228" s="19">
        <f t="shared" si="22"/>
        <v>0</v>
      </c>
      <c r="N228" s="19" t="str">
        <f t="shared" si="25"/>
        <v/>
      </c>
    </row>
    <row r="229" spans="1:14">
      <c r="A229" s="43" t="str">
        <f t="shared" si="23"/>
        <v/>
      </c>
      <c r="G229" s="5"/>
      <c r="H229" s="17">
        <v>224</v>
      </c>
      <c r="I229" s="18" t="str">
        <f t="shared" si="20"/>
        <v/>
      </c>
      <c r="J229" s="17">
        <f t="shared" si="24"/>
        <v>-4</v>
      </c>
      <c r="K229" s="17">
        <f t="shared" si="21"/>
        <v>-40</v>
      </c>
      <c r="L229" s="17"/>
      <c r="M229" s="19">
        <f t="shared" si="22"/>
        <v>0</v>
      </c>
      <c r="N229" s="19" t="str">
        <f t="shared" si="25"/>
        <v/>
      </c>
    </row>
    <row r="230" spans="1:14">
      <c r="A230" s="43" t="str">
        <f t="shared" si="23"/>
        <v/>
      </c>
      <c r="G230" s="5"/>
      <c r="H230" s="17">
        <v>225</v>
      </c>
      <c r="I230" s="18" t="str">
        <f t="shared" si="20"/>
        <v/>
      </c>
      <c r="J230" s="17">
        <f t="shared" si="24"/>
        <v>-4</v>
      </c>
      <c r="K230" s="17">
        <f t="shared" si="21"/>
        <v>-40</v>
      </c>
      <c r="L230" s="17"/>
      <c r="M230" s="19">
        <f t="shared" si="22"/>
        <v>0</v>
      </c>
      <c r="N230" s="19" t="str">
        <f t="shared" si="25"/>
        <v/>
      </c>
    </row>
    <row r="231" spans="1:14">
      <c r="A231" s="43" t="str">
        <f t="shared" si="23"/>
        <v/>
      </c>
      <c r="G231" s="5"/>
      <c r="H231" s="17">
        <v>226</v>
      </c>
      <c r="I231" s="18" t="str">
        <f t="shared" si="20"/>
        <v/>
      </c>
      <c r="J231" s="17">
        <f t="shared" si="24"/>
        <v>-4</v>
      </c>
      <c r="K231" s="17">
        <f t="shared" si="21"/>
        <v>-40</v>
      </c>
      <c r="L231" s="17"/>
      <c r="M231" s="19">
        <f t="shared" si="22"/>
        <v>0</v>
      </c>
      <c r="N231" s="19" t="str">
        <f t="shared" si="25"/>
        <v/>
      </c>
    </row>
    <row r="232" spans="1:14">
      <c r="A232" s="43" t="str">
        <f t="shared" si="23"/>
        <v/>
      </c>
      <c r="G232" s="5"/>
      <c r="H232" s="17">
        <v>227</v>
      </c>
      <c r="I232" s="18" t="str">
        <f t="shared" si="20"/>
        <v/>
      </c>
      <c r="J232" s="17">
        <f t="shared" si="24"/>
        <v>-4</v>
      </c>
      <c r="K232" s="17">
        <f t="shared" si="21"/>
        <v>-40</v>
      </c>
      <c r="L232" s="17"/>
      <c r="M232" s="19">
        <f t="shared" si="22"/>
        <v>0</v>
      </c>
      <c r="N232" s="19" t="str">
        <f t="shared" si="25"/>
        <v/>
      </c>
    </row>
    <row r="233" spans="1:14">
      <c r="A233" s="43" t="str">
        <f t="shared" si="23"/>
        <v/>
      </c>
      <c r="G233" s="5"/>
      <c r="H233" s="17">
        <v>228</v>
      </c>
      <c r="I233" s="18" t="str">
        <f t="shared" si="20"/>
        <v/>
      </c>
      <c r="J233" s="17">
        <f t="shared" si="24"/>
        <v>-4</v>
      </c>
      <c r="K233" s="17">
        <f t="shared" si="21"/>
        <v>-40</v>
      </c>
      <c r="L233" s="17"/>
      <c r="M233" s="19">
        <f t="shared" si="22"/>
        <v>0</v>
      </c>
      <c r="N233" s="19" t="str">
        <f t="shared" si="25"/>
        <v/>
      </c>
    </row>
    <row r="234" spans="1:14">
      <c r="A234" s="43" t="str">
        <f t="shared" si="23"/>
        <v/>
      </c>
      <c r="G234" s="5"/>
      <c r="H234" s="17">
        <v>229</v>
      </c>
      <c r="I234" s="18" t="str">
        <f t="shared" si="20"/>
        <v/>
      </c>
      <c r="J234" s="17">
        <f t="shared" si="24"/>
        <v>-4</v>
      </c>
      <c r="K234" s="17">
        <f t="shared" si="21"/>
        <v>-40</v>
      </c>
      <c r="L234" s="17"/>
      <c r="M234" s="19">
        <f t="shared" si="22"/>
        <v>0</v>
      </c>
      <c r="N234" s="19" t="str">
        <f t="shared" si="25"/>
        <v/>
      </c>
    </row>
    <row r="235" spans="1:14">
      <c r="A235" s="43" t="str">
        <f t="shared" si="23"/>
        <v/>
      </c>
      <c r="G235" s="5"/>
      <c r="H235" s="17">
        <v>230</v>
      </c>
      <c r="I235" s="18" t="str">
        <f t="shared" si="20"/>
        <v/>
      </c>
      <c r="J235" s="17">
        <f t="shared" si="24"/>
        <v>-4</v>
      </c>
      <c r="K235" s="17">
        <f t="shared" si="21"/>
        <v>-40</v>
      </c>
      <c r="L235" s="17"/>
      <c r="M235" s="19">
        <f t="shared" si="22"/>
        <v>0</v>
      </c>
      <c r="N235" s="19" t="str">
        <f t="shared" si="25"/>
        <v/>
      </c>
    </row>
    <row r="236" spans="1:14">
      <c r="A236" s="43" t="str">
        <f t="shared" si="23"/>
        <v/>
      </c>
      <c r="G236" s="5"/>
      <c r="H236" s="17">
        <v>231</v>
      </c>
      <c r="I236" s="18" t="str">
        <f t="shared" si="20"/>
        <v/>
      </c>
      <c r="J236" s="17">
        <f t="shared" si="24"/>
        <v>-4</v>
      </c>
      <c r="K236" s="17">
        <f t="shared" si="21"/>
        <v>-40</v>
      </c>
      <c r="L236" s="17"/>
      <c r="M236" s="19">
        <f t="shared" si="22"/>
        <v>0</v>
      </c>
      <c r="N236" s="19" t="str">
        <f t="shared" si="25"/>
        <v/>
      </c>
    </row>
    <row r="237" spans="1:14">
      <c r="A237" s="43" t="str">
        <f t="shared" si="23"/>
        <v/>
      </c>
      <c r="G237" s="5"/>
      <c r="H237" s="17">
        <v>232</v>
      </c>
      <c r="I237" s="18" t="str">
        <f t="shared" si="20"/>
        <v/>
      </c>
      <c r="J237" s="17">
        <f t="shared" si="24"/>
        <v>-4</v>
      </c>
      <c r="K237" s="17">
        <f t="shared" si="21"/>
        <v>-40</v>
      </c>
      <c r="L237" s="17"/>
      <c r="M237" s="19">
        <f t="shared" si="22"/>
        <v>0</v>
      </c>
      <c r="N237" s="19" t="str">
        <f t="shared" si="25"/>
        <v/>
      </c>
    </row>
    <row r="238" spans="1:14">
      <c r="A238" s="43" t="str">
        <f t="shared" si="23"/>
        <v/>
      </c>
      <c r="G238" s="5"/>
      <c r="H238" s="17">
        <v>233</v>
      </c>
      <c r="I238" s="18" t="str">
        <f t="shared" si="20"/>
        <v/>
      </c>
      <c r="J238" s="17">
        <f t="shared" si="24"/>
        <v>-4</v>
      </c>
      <c r="K238" s="17">
        <f t="shared" si="21"/>
        <v>-40</v>
      </c>
      <c r="L238" s="17"/>
      <c r="M238" s="19">
        <f t="shared" si="22"/>
        <v>0</v>
      </c>
      <c r="N238" s="19" t="str">
        <f t="shared" si="25"/>
        <v/>
      </c>
    </row>
    <row r="239" spans="1:14">
      <c r="A239" s="43" t="str">
        <f t="shared" si="23"/>
        <v/>
      </c>
      <c r="G239" s="5"/>
      <c r="H239" s="17">
        <v>234</v>
      </c>
      <c r="I239" s="18" t="str">
        <f t="shared" si="20"/>
        <v/>
      </c>
      <c r="J239" s="17">
        <f t="shared" si="24"/>
        <v>-4</v>
      </c>
      <c r="K239" s="17">
        <f t="shared" si="21"/>
        <v>-40</v>
      </c>
      <c r="L239" s="17"/>
      <c r="M239" s="19">
        <f t="shared" si="22"/>
        <v>0</v>
      </c>
      <c r="N239" s="19" t="str">
        <f t="shared" si="25"/>
        <v/>
      </c>
    </row>
    <row r="240" spans="1:14">
      <c r="A240" s="43" t="str">
        <f t="shared" si="23"/>
        <v/>
      </c>
      <c r="G240" s="5"/>
      <c r="H240" s="17">
        <v>235</v>
      </c>
      <c r="I240" s="18" t="str">
        <f t="shared" si="20"/>
        <v/>
      </c>
      <c r="J240" s="17">
        <f t="shared" si="24"/>
        <v>-4</v>
      </c>
      <c r="K240" s="17">
        <f t="shared" si="21"/>
        <v>-40</v>
      </c>
      <c r="L240" s="17"/>
      <c r="M240" s="19">
        <f t="shared" si="22"/>
        <v>0</v>
      </c>
      <c r="N240" s="19" t="str">
        <f t="shared" si="25"/>
        <v/>
      </c>
    </row>
    <row r="241" spans="1:14">
      <c r="A241" s="43" t="str">
        <f t="shared" si="23"/>
        <v/>
      </c>
      <c r="G241" s="5"/>
      <c r="H241" s="17">
        <v>236</v>
      </c>
      <c r="I241" s="18" t="str">
        <f t="shared" si="20"/>
        <v/>
      </c>
      <c r="J241" s="17">
        <f t="shared" si="24"/>
        <v>-4</v>
      </c>
      <c r="K241" s="17">
        <f t="shared" si="21"/>
        <v>-40</v>
      </c>
      <c r="L241" s="17"/>
      <c r="M241" s="19">
        <f t="shared" si="22"/>
        <v>0</v>
      </c>
      <c r="N241" s="19" t="str">
        <f t="shared" si="25"/>
        <v/>
      </c>
    </row>
    <row r="242" spans="1:14">
      <c r="A242" s="43" t="str">
        <f t="shared" si="23"/>
        <v/>
      </c>
      <c r="G242" s="5"/>
      <c r="H242" s="17">
        <v>237</v>
      </c>
      <c r="I242" s="18" t="str">
        <f t="shared" si="20"/>
        <v/>
      </c>
      <c r="J242" s="17">
        <f t="shared" si="24"/>
        <v>-4</v>
      </c>
      <c r="K242" s="17">
        <f t="shared" si="21"/>
        <v>-40</v>
      </c>
      <c r="L242" s="17"/>
      <c r="M242" s="19">
        <f t="shared" si="22"/>
        <v>0</v>
      </c>
      <c r="N242" s="19" t="str">
        <f t="shared" si="25"/>
        <v/>
      </c>
    </row>
    <row r="243" spans="1:14">
      <c r="A243" s="43" t="str">
        <f t="shared" si="23"/>
        <v/>
      </c>
      <c r="G243" s="5"/>
      <c r="H243" s="17">
        <v>238</v>
      </c>
      <c r="I243" s="18" t="str">
        <f t="shared" si="20"/>
        <v/>
      </c>
      <c r="J243" s="17">
        <f t="shared" si="24"/>
        <v>-4</v>
      </c>
      <c r="K243" s="17">
        <f t="shared" si="21"/>
        <v>-40</v>
      </c>
      <c r="L243" s="17"/>
      <c r="M243" s="19">
        <f t="shared" si="22"/>
        <v>0</v>
      </c>
      <c r="N243" s="19" t="str">
        <f t="shared" si="25"/>
        <v/>
      </c>
    </row>
    <row r="244" spans="1:14">
      <c r="A244" s="43" t="str">
        <f t="shared" si="23"/>
        <v/>
      </c>
      <c r="G244" s="5"/>
      <c r="H244" s="17">
        <v>239</v>
      </c>
      <c r="I244" s="18" t="str">
        <f t="shared" si="20"/>
        <v/>
      </c>
      <c r="J244" s="17">
        <f t="shared" si="24"/>
        <v>-4</v>
      </c>
      <c r="K244" s="17">
        <f t="shared" si="21"/>
        <v>-40</v>
      </c>
      <c r="L244" s="17"/>
      <c r="M244" s="19">
        <f t="shared" si="22"/>
        <v>0</v>
      </c>
      <c r="N244" s="19" t="str">
        <f t="shared" si="25"/>
        <v/>
      </c>
    </row>
    <row r="245" spans="1:14">
      <c r="A245" s="43" t="str">
        <f t="shared" si="23"/>
        <v/>
      </c>
      <c r="G245" s="5"/>
      <c r="H245" s="17">
        <v>240</v>
      </c>
      <c r="I245" s="18" t="str">
        <f t="shared" si="20"/>
        <v/>
      </c>
      <c r="J245" s="17">
        <f t="shared" si="24"/>
        <v>-4</v>
      </c>
      <c r="K245" s="17">
        <f t="shared" si="21"/>
        <v>-40</v>
      </c>
      <c r="L245" s="17"/>
      <c r="M245" s="19">
        <f t="shared" si="22"/>
        <v>0</v>
      </c>
      <c r="N245" s="19" t="str">
        <f t="shared" si="25"/>
        <v/>
      </c>
    </row>
    <row r="246" spans="1:14">
      <c r="A246" s="43" t="str">
        <f t="shared" si="23"/>
        <v/>
      </c>
      <c r="G246" s="5"/>
      <c r="H246" s="17">
        <v>241</v>
      </c>
      <c r="I246" s="18" t="str">
        <f t="shared" si="20"/>
        <v/>
      </c>
      <c r="J246" s="17">
        <f t="shared" si="24"/>
        <v>-4</v>
      </c>
      <c r="K246" s="17">
        <f t="shared" si="21"/>
        <v>-40</v>
      </c>
      <c r="L246" s="17"/>
      <c r="M246" s="19">
        <f t="shared" si="22"/>
        <v>0</v>
      </c>
      <c r="N246" s="19" t="str">
        <f t="shared" si="25"/>
        <v/>
      </c>
    </row>
    <row r="247" spans="1:14">
      <c r="A247" s="43" t="str">
        <f t="shared" si="23"/>
        <v/>
      </c>
      <c r="G247" s="5"/>
      <c r="H247" s="17">
        <v>242</v>
      </c>
      <c r="I247" s="18" t="str">
        <f t="shared" si="20"/>
        <v/>
      </c>
      <c r="J247" s="17">
        <f t="shared" si="24"/>
        <v>-4</v>
      </c>
      <c r="K247" s="17">
        <f t="shared" si="21"/>
        <v>-40</v>
      </c>
      <c r="L247" s="17"/>
      <c r="M247" s="19">
        <f t="shared" si="22"/>
        <v>0</v>
      </c>
      <c r="N247" s="19" t="str">
        <f t="shared" si="25"/>
        <v/>
      </c>
    </row>
    <row r="248" spans="1:14">
      <c r="A248" s="43" t="str">
        <f t="shared" si="23"/>
        <v/>
      </c>
      <c r="G248" s="5"/>
      <c r="H248" s="17">
        <v>243</v>
      </c>
      <c r="I248" s="18" t="str">
        <f t="shared" si="20"/>
        <v/>
      </c>
      <c r="J248" s="17">
        <f t="shared" si="24"/>
        <v>-4</v>
      </c>
      <c r="K248" s="17">
        <f t="shared" si="21"/>
        <v>-40</v>
      </c>
      <c r="L248" s="17"/>
      <c r="M248" s="19">
        <f t="shared" si="22"/>
        <v>0</v>
      </c>
      <c r="N248" s="19" t="str">
        <f t="shared" si="25"/>
        <v/>
      </c>
    </row>
    <row r="249" spans="1:14">
      <c r="A249" s="43" t="str">
        <f t="shared" si="23"/>
        <v/>
      </c>
      <c r="G249" s="5"/>
      <c r="H249" s="17">
        <v>244</v>
      </c>
      <c r="I249" s="18" t="str">
        <f t="shared" si="20"/>
        <v/>
      </c>
      <c r="J249" s="17">
        <f t="shared" si="24"/>
        <v>-4</v>
      </c>
      <c r="K249" s="17">
        <f t="shared" si="21"/>
        <v>-40</v>
      </c>
      <c r="L249" s="17"/>
      <c r="M249" s="19">
        <f t="shared" si="22"/>
        <v>0</v>
      </c>
      <c r="N249" s="19" t="str">
        <f t="shared" si="25"/>
        <v/>
      </c>
    </row>
    <row r="250" spans="1:14">
      <c r="A250" s="43" t="str">
        <f t="shared" si="23"/>
        <v/>
      </c>
      <c r="G250" s="5"/>
      <c r="H250" s="17">
        <v>245</v>
      </c>
      <c r="I250" s="18" t="str">
        <f t="shared" si="20"/>
        <v/>
      </c>
      <c r="J250" s="17">
        <f t="shared" si="24"/>
        <v>-4</v>
      </c>
      <c r="K250" s="17">
        <f t="shared" si="21"/>
        <v>-40</v>
      </c>
      <c r="L250" s="17"/>
      <c r="M250" s="19">
        <f t="shared" si="22"/>
        <v>0</v>
      </c>
      <c r="N250" s="19" t="str">
        <f t="shared" si="25"/>
        <v/>
      </c>
    </row>
    <row r="251" spans="1:14">
      <c r="A251" s="43" t="str">
        <f t="shared" si="23"/>
        <v/>
      </c>
      <c r="G251" s="5"/>
      <c r="H251" s="17">
        <v>246</v>
      </c>
      <c r="I251" s="18" t="str">
        <f t="shared" si="20"/>
        <v/>
      </c>
      <c r="J251" s="17">
        <f t="shared" si="24"/>
        <v>-4</v>
      </c>
      <c r="K251" s="17">
        <f t="shared" si="21"/>
        <v>-40</v>
      </c>
      <c r="L251" s="17"/>
      <c r="M251" s="19">
        <f t="shared" si="22"/>
        <v>0</v>
      </c>
      <c r="N251" s="19" t="str">
        <f t="shared" si="25"/>
        <v/>
      </c>
    </row>
    <row r="252" spans="1:14">
      <c r="A252" s="43" t="str">
        <f t="shared" si="23"/>
        <v/>
      </c>
      <c r="G252" s="5"/>
      <c r="H252" s="17">
        <v>247</v>
      </c>
      <c r="I252" s="18" t="str">
        <f t="shared" si="20"/>
        <v/>
      </c>
      <c r="J252" s="17">
        <f t="shared" si="24"/>
        <v>-4</v>
      </c>
      <c r="K252" s="17">
        <f t="shared" si="21"/>
        <v>-40</v>
      </c>
      <c r="L252" s="17"/>
      <c r="M252" s="19">
        <f t="shared" si="22"/>
        <v>0</v>
      </c>
      <c r="N252" s="19" t="str">
        <f t="shared" si="25"/>
        <v/>
      </c>
    </row>
    <row r="253" spans="1:14">
      <c r="A253" s="43" t="str">
        <f t="shared" si="23"/>
        <v/>
      </c>
      <c r="G253" s="5"/>
      <c r="H253" s="17">
        <v>248</v>
      </c>
      <c r="I253" s="18" t="str">
        <f t="shared" si="20"/>
        <v/>
      </c>
      <c r="J253" s="17">
        <f t="shared" si="24"/>
        <v>-4</v>
      </c>
      <c r="K253" s="17">
        <f t="shared" si="21"/>
        <v>-40</v>
      </c>
      <c r="L253" s="17"/>
      <c r="M253" s="19">
        <f t="shared" si="22"/>
        <v>0</v>
      </c>
      <c r="N253" s="19" t="str">
        <f t="shared" si="25"/>
        <v/>
      </c>
    </row>
    <row r="254" spans="1:14">
      <c r="A254" s="43" t="str">
        <f t="shared" si="23"/>
        <v/>
      </c>
      <c r="G254" s="5"/>
      <c r="H254" s="17">
        <v>249</v>
      </c>
      <c r="I254" s="18" t="str">
        <f t="shared" si="20"/>
        <v/>
      </c>
      <c r="J254" s="17">
        <f t="shared" si="24"/>
        <v>-4</v>
      </c>
      <c r="K254" s="17">
        <f t="shared" si="21"/>
        <v>-40</v>
      </c>
      <c r="L254" s="17"/>
      <c r="M254" s="19">
        <f t="shared" si="22"/>
        <v>0</v>
      </c>
      <c r="N254" s="19" t="str">
        <f t="shared" si="25"/>
        <v/>
      </c>
    </row>
    <row r="255" spans="1:14">
      <c r="A255" s="43" t="str">
        <f t="shared" si="23"/>
        <v/>
      </c>
      <c r="G255" s="5"/>
      <c r="H255" s="17">
        <v>250</v>
      </c>
      <c r="I255" s="18" t="str">
        <f t="shared" si="20"/>
        <v/>
      </c>
      <c r="J255" s="17">
        <f t="shared" si="24"/>
        <v>-4</v>
      </c>
      <c r="K255" s="17">
        <f t="shared" si="21"/>
        <v>-40</v>
      </c>
      <c r="L255" s="17"/>
      <c r="M255" s="19">
        <f t="shared" si="22"/>
        <v>0</v>
      </c>
      <c r="N255" s="19" t="str">
        <f t="shared" si="25"/>
        <v/>
      </c>
    </row>
    <row r="256" spans="1:14">
      <c r="A256" s="43" t="str">
        <f t="shared" si="23"/>
        <v/>
      </c>
      <c r="G256" s="5"/>
      <c r="H256" s="17">
        <v>251</v>
      </c>
      <c r="I256" s="18" t="str">
        <f t="shared" si="20"/>
        <v/>
      </c>
      <c r="J256" s="17">
        <f t="shared" si="24"/>
        <v>-4</v>
      </c>
      <c r="K256" s="17">
        <f t="shared" si="21"/>
        <v>-40</v>
      </c>
      <c r="L256" s="17"/>
      <c r="M256" s="19">
        <f t="shared" si="22"/>
        <v>0</v>
      </c>
      <c r="N256" s="19" t="str">
        <f t="shared" si="25"/>
        <v/>
      </c>
    </row>
    <row r="257" spans="1:14">
      <c r="A257" s="43" t="str">
        <f t="shared" si="23"/>
        <v/>
      </c>
      <c r="G257" s="5"/>
      <c r="H257" s="17">
        <v>252</v>
      </c>
      <c r="I257" s="18" t="str">
        <f t="shared" si="20"/>
        <v/>
      </c>
      <c r="J257" s="17">
        <f t="shared" si="24"/>
        <v>-4</v>
      </c>
      <c r="K257" s="17">
        <f t="shared" si="21"/>
        <v>-40</v>
      </c>
      <c r="L257" s="17"/>
      <c r="M257" s="19">
        <f t="shared" si="22"/>
        <v>0</v>
      </c>
      <c r="N257" s="19" t="str">
        <f t="shared" si="25"/>
        <v/>
      </c>
    </row>
    <row r="258" spans="1:14">
      <c r="A258" s="43" t="str">
        <f t="shared" si="23"/>
        <v/>
      </c>
      <c r="G258" s="5"/>
      <c r="H258" s="17">
        <v>253</v>
      </c>
      <c r="I258" s="18" t="str">
        <f t="shared" si="20"/>
        <v/>
      </c>
      <c r="J258" s="17">
        <f t="shared" si="24"/>
        <v>-4</v>
      </c>
      <c r="K258" s="17">
        <f t="shared" si="21"/>
        <v>-40</v>
      </c>
      <c r="L258" s="17"/>
      <c r="M258" s="19">
        <f t="shared" si="22"/>
        <v>0</v>
      </c>
      <c r="N258" s="19" t="str">
        <f t="shared" si="25"/>
        <v/>
      </c>
    </row>
    <row r="259" spans="1:14">
      <c r="A259" s="43" t="str">
        <f t="shared" si="23"/>
        <v/>
      </c>
      <c r="G259" s="5"/>
      <c r="H259" s="17">
        <v>254</v>
      </c>
      <c r="I259" s="18" t="str">
        <f t="shared" si="20"/>
        <v/>
      </c>
      <c r="J259" s="17">
        <f t="shared" si="24"/>
        <v>-4</v>
      </c>
      <c r="K259" s="17">
        <f t="shared" si="21"/>
        <v>-40</v>
      </c>
      <c r="L259" s="17"/>
      <c r="M259" s="19">
        <f t="shared" si="22"/>
        <v>0</v>
      </c>
      <c r="N259" s="19" t="str">
        <f t="shared" si="25"/>
        <v/>
      </c>
    </row>
    <row r="260" spans="1:14">
      <c r="A260" s="43" t="str">
        <f t="shared" si="23"/>
        <v/>
      </c>
      <c r="G260" s="5"/>
      <c r="H260" s="17">
        <v>255</v>
      </c>
      <c r="I260" s="18" t="str">
        <f t="shared" si="20"/>
        <v/>
      </c>
      <c r="J260" s="17">
        <f t="shared" si="24"/>
        <v>-4</v>
      </c>
      <c r="K260" s="17">
        <f t="shared" si="21"/>
        <v>-40</v>
      </c>
      <c r="L260" s="17"/>
      <c r="M260" s="19">
        <f t="shared" si="22"/>
        <v>0</v>
      </c>
      <c r="N260" s="19" t="str">
        <f t="shared" si="25"/>
        <v/>
      </c>
    </row>
    <row r="261" spans="1:14">
      <c r="A261" s="43" t="str">
        <f t="shared" si="23"/>
        <v/>
      </c>
      <c r="G261" s="5"/>
      <c r="H261" s="17">
        <v>256</v>
      </c>
      <c r="I261" s="18" t="str">
        <f t="shared" si="20"/>
        <v/>
      </c>
      <c r="J261" s="17">
        <f t="shared" si="24"/>
        <v>-4</v>
      </c>
      <c r="K261" s="17">
        <f t="shared" si="21"/>
        <v>-40</v>
      </c>
      <c r="L261" s="17"/>
      <c r="M261" s="19">
        <f t="shared" si="22"/>
        <v>0</v>
      </c>
      <c r="N261" s="19" t="str">
        <f t="shared" si="25"/>
        <v/>
      </c>
    </row>
    <row r="262" spans="1:14">
      <c r="A262" s="43" t="str">
        <f t="shared" si="23"/>
        <v/>
      </c>
      <c r="G262" s="5"/>
      <c r="H262" s="17">
        <v>257</v>
      </c>
      <c r="I262" s="18" t="str">
        <f t="shared" ref="I262:I305" si="26">IF(H262&lt;$H$2+1,($I$2-($I$2-1)*(LOG(H262)/LOG($H$2))),"")</f>
        <v/>
      </c>
      <c r="J262" s="17">
        <f t="shared" si="24"/>
        <v>-5</v>
      </c>
      <c r="K262" s="17">
        <f t="shared" ref="K262:K305" si="27">J262*$J$2</f>
        <v>-50</v>
      </c>
      <c r="L262" s="17"/>
      <c r="M262" s="19">
        <f t="shared" ref="M262:M305" si="28">IF(I262&lt;&gt;"",K262+I262+L262,0)</f>
        <v>0</v>
      </c>
      <c r="N262" s="19" t="str">
        <f t="shared" si="25"/>
        <v/>
      </c>
    </row>
    <row r="263" spans="1:14">
      <c r="A263" s="43" t="str">
        <f t="shared" ref="A263:A305" si="29">N263</f>
        <v/>
      </c>
      <c r="G263" s="5"/>
      <c r="H263" s="17">
        <v>258</v>
      </c>
      <c r="I263" s="18" t="str">
        <f t="shared" si="26"/>
        <v/>
      </c>
      <c r="J263" s="17">
        <f t="shared" ref="J263:J326" si="30">INT(LOG($H$2,2))-ROUNDUP(LOG(H263,2),0)+IF(OR($H$2=1,$H$2=2,$H$2=4,$H$2=8,$H$2=16,$H$2=32,$H$2=64,$H$2=128,$H$2=256),0,1)</f>
        <v>-5</v>
      </c>
      <c r="K263" s="17">
        <f t="shared" si="27"/>
        <v>-50</v>
      </c>
      <c r="L263" s="17"/>
      <c r="M263" s="19">
        <f t="shared" si="28"/>
        <v>0</v>
      </c>
      <c r="N263" s="19" t="str">
        <f t="shared" ref="N263:N305" si="31">IF(I263&lt;&gt;"",M263*L$2,"")</f>
        <v/>
      </c>
    </row>
    <row r="264" spans="1:14">
      <c r="A264" s="43" t="str">
        <f t="shared" si="29"/>
        <v/>
      </c>
      <c r="G264" s="5"/>
      <c r="H264" s="17">
        <v>259</v>
      </c>
      <c r="I264" s="18" t="str">
        <f t="shared" si="26"/>
        <v/>
      </c>
      <c r="J264" s="17">
        <f t="shared" si="30"/>
        <v>-5</v>
      </c>
      <c r="K264" s="17">
        <f t="shared" si="27"/>
        <v>-50</v>
      </c>
      <c r="L264" s="17"/>
      <c r="M264" s="19">
        <f t="shared" si="28"/>
        <v>0</v>
      </c>
      <c r="N264" s="19" t="str">
        <f t="shared" si="31"/>
        <v/>
      </c>
    </row>
    <row r="265" spans="1:14">
      <c r="A265" s="43" t="str">
        <f t="shared" si="29"/>
        <v/>
      </c>
      <c r="G265" s="5"/>
      <c r="H265" s="17">
        <v>260</v>
      </c>
      <c r="I265" s="18" t="str">
        <f t="shared" si="26"/>
        <v/>
      </c>
      <c r="J265" s="17">
        <f t="shared" si="30"/>
        <v>-5</v>
      </c>
      <c r="K265" s="17">
        <f t="shared" si="27"/>
        <v>-50</v>
      </c>
      <c r="L265" s="17"/>
      <c r="M265" s="19">
        <f t="shared" si="28"/>
        <v>0</v>
      </c>
      <c r="N265" s="19" t="str">
        <f t="shared" si="31"/>
        <v/>
      </c>
    </row>
    <row r="266" spans="1:14">
      <c r="A266" s="43" t="str">
        <f t="shared" si="29"/>
        <v/>
      </c>
      <c r="G266" s="5"/>
      <c r="H266" s="17">
        <v>261</v>
      </c>
      <c r="I266" s="18" t="str">
        <f t="shared" si="26"/>
        <v/>
      </c>
      <c r="J266" s="17">
        <f t="shared" si="30"/>
        <v>-5</v>
      </c>
      <c r="K266" s="17">
        <f t="shared" si="27"/>
        <v>-50</v>
      </c>
      <c r="L266" s="17"/>
      <c r="M266" s="19">
        <f t="shared" si="28"/>
        <v>0</v>
      </c>
      <c r="N266" s="19" t="str">
        <f t="shared" si="31"/>
        <v/>
      </c>
    </row>
    <row r="267" spans="1:14">
      <c r="A267" s="43" t="str">
        <f t="shared" si="29"/>
        <v/>
      </c>
      <c r="G267" s="5"/>
      <c r="H267" s="17">
        <v>262</v>
      </c>
      <c r="I267" s="18" t="str">
        <f t="shared" si="26"/>
        <v/>
      </c>
      <c r="J267" s="17">
        <f t="shared" si="30"/>
        <v>-5</v>
      </c>
      <c r="K267" s="17">
        <f t="shared" si="27"/>
        <v>-50</v>
      </c>
      <c r="L267" s="17"/>
      <c r="M267" s="19">
        <f t="shared" si="28"/>
        <v>0</v>
      </c>
      <c r="N267" s="19" t="str">
        <f t="shared" si="31"/>
        <v/>
      </c>
    </row>
    <row r="268" spans="1:14">
      <c r="A268" s="43" t="str">
        <f t="shared" si="29"/>
        <v/>
      </c>
      <c r="G268" s="5"/>
      <c r="H268" s="17">
        <v>263</v>
      </c>
      <c r="I268" s="18" t="str">
        <f t="shared" si="26"/>
        <v/>
      </c>
      <c r="J268" s="17">
        <f t="shared" si="30"/>
        <v>-5</v>
      </c>
      <c r="K268" s="17">
        <f t="shared" si="27"/>
        <v>-50</v>
      </c>
      <c r="L268" s="17"/>
      <c r="M268" s="19">
        <f t="shared" si="28"/>
        <v>0</v>
      </c>
      <c r="N268" s="19" t="str">
        <f t="shared" si="31"/>
        <v/>
      </c>
    </row>
    <row r="269" spans="1:14">
      <c r="A269" s="43" t="str">
        <f t="shared" si="29"/>
        <v/>
      </c>
      <c r="G269" s="5"/>
      <c r="H269" s="17">
        <v>264</v>
      </c>
      <c r="I269" s="18" t="str">
        <f t="shared" si="26"/>
        <v/>
      </c>
      <c r="J269" s="17">
        <f t="shared" si="30"/>
        <v>-5</v>
      </c>
      <c r="K269" s="17">
        <f t="shared" si="27"/>
        <v>-50</v>
      </c>
      <c r="L269" s="17"/>
      <c r="M269" s="19">
        <f t="shared" si="28"/>
        <v>0</v>
      </c>
      <c r="N269" s="19" t="str">
        <f t="shared" si="31"/>
        <v/>
      </c>
    </row>
    <row r="270" spans="1:14">
      <c r="A270" s="43" t="str">
        <f t="shared" si="29"/>
        <v/>
      </c>
      <c r="G270" s="5"/>
      <c r="H270" s="17">
        <v>265</v>
      </c>
      <c r="I270" s="18" t="str">
        <f t="shared" si="26"/>
        <v/>
      </c>
      <c r="J270" s="17">
        <f t="shared" si="30"/>
        <v>-5</v>
      </c>
      <c r="K270" s="17">
        <f t="shared" si="27"/>
        <v>-50</v>
      </c>
      <c r="L270" s="17"/>
      <c r="M270" s="19">
        <f t="shared" si="28"/>
        <v>0</v>
      </c>
      <c r="N270" s="19" t="str">
        <f t="shared" si="31"/>
        <v/>
      </c>
    </row>
    <row r="271" spans="1:14">
      <c r="A271" s="43" t="str">
        <f t="shared" si="29"/>
        <v/>
      </c>
      <c r="G271" s="5"/>
      <c r="H271" s="17">
        <v>266</v>
      </c>
      <c r="I271" s="18" t="str">
        <f t="shared" si="26"/>
        <v/>
      </c>
      <c r="J271" s="17">
        <f t="shared" si="30"/>
        <v>-5</v>
      </c>
      <c r="K271" s="17">
        <f t="shared" si="27"/>
        <v>-50</v>
      </c>
      <c r="L271" s="17"/>
      <c r="M271" s="19">
        <f t="shared" si="28"/>
        <v>0</v>
      </c>
      <c r="N271" s="19" t="str">
        <f t="shared" si="31"/>
        <v/>
      </c>
    </row>
    <row r="272" spans="1:14">
      <c r="A272" s="43" t="str">
        <f t="shared" si="29"/>
        <v/>
      </c>
      <c r="G272" s="5"/>
      <c r="H272" s="17">
        <v>267</v>
      </c>
      <c r="I272" s="18" t="str">
        <f t="shared" si="26"/>
        <v/>
      </c>
      <c r="J272" s="17">
        <f t="shared" si="30"/>
        <v>-5</v>
      </c>
      <c r="K272" s="17">
        <f t="shared" si="27"/>
        <v>-50</v>
      </c>
      <c r="L272" s="17"/>
      <c r="M272" s="19">
        <f t="shared" si="28"/>
        <v>0</v>
      </c>
      <c r="N272" s="19" t="str">
        <f t="shared" si="31"/>
        <v/>
      </c>
    </row>
    <row r="273" spans="1:14">
      <c r="A273" s="43" t="str">
        <f t="shared" si="29"/>
        <v/>
      </c>
      <c r="G273" s="5"/>
      <c r="H273" s="17">
        <v>268</v>
      </c>
      <c r="I273" s="18" t="str">
        <f t="shared" si="26"/>
        <v/>
      </c>
      <c r="J273" s="17">
        <f t="shared" si="30"/>
        <v>-5</v>
      </c>
      <c r="K273" s="17">
        <f t="shared" si="27"/>
        <v>-50</v>
      </c>
      <c r="L273" s="17"/>
      <c r="M273" s="19">
        <f t="shared" si="28"/>
        <v>0</v>
      </c>
      <c r="N273" s="19" t="str">
        <f t="shared" si="31"/>
        <v/>
      </c>
    </row>
    <row r="274" spans="1:14">
      <c r="A274" s="43" t="str">
        <f t="shared" si="29"/>
        <v/>
      </c>
      <c r="G274" s="5"/>
      <c r="H274" s="17">
        <v>269</v>
      </c>
      <c r="I274" s="18" t="str">
        <f t="shared" si="26"/>
        <v/>
      </c>
      <c r="J274" s="17">
        <f t="shared" si="30"/>
        <v>-5</v>
      </c>
      <c r="K274" s="17">
        <f t="shared" si="27"/>
        <v>-50</v>
      </c>
      <c r="L274" s="17"/>
      <c r="M274" s="19">
        <f t="shared" si="28"/>
        <v>0</v>
      </c>
      <c r="N274" s="19" t="str">
        <f t="shared" si="31"/>
        <v/>
      </c>
    </row>
    <row r="275" spans="1:14">
      <c r="A275" s="43" t="str">
        <f t="shared" si="29"/>
        <v/>
      </c>
      <c r="G275" s="5"/>
      <c r="H275" s="17">
        <v>270</v>
      </c>
      <c r="I275" s="18" t="str">
        <f t="shared" si="26"/>
        <v/>
      </c>
      <c r="J275" s="17">
        <f t="shared" si="30"/>
        <v>-5</v>
      </c>
      <c r="K275" s="17">
        <f t="shared" si="27"/>
        <v>-50</v>
      </c>
      <c r="L275" s="17"/>
      <c r="M275" s="19">
        <f t="shared" si="28"/>
        <v>0</v>
      </c>
      <c r="N275" s="19" t="str">
        <f t="shared" si="31"/>
        <v/>
      </c>
    </row>
    <row r="276" spans="1:14">
      <c r="A276" s="43" t="str">
        <f t="shared" si="29"/>
        <v/>
      </c>
      <c r="G276" s="5"/>
      <c r="H276" s="17">
        <v>271</v>
      </c>
      <c r="I276" s="18" t="str">
        <f t="shared" si="26"/>
        <v/>
      </c>
      <c r="J276" s="17">
        <f t="shared" si="30"/>
        <v>-5</v>
      </c>
      <c r="K276" s="17">
        <f t="shared" si="27"/>
        <v>-50</v>
      </c>
      <c r="L276" s="17"/>
      <c r="M276" s="19">
        <f t="shared" si="28"/>
        <v>0</v>
      </c>
      <c r="N276" s="19" t="str">
        <f t="shared" si="31"/>
        <v/>
      </c>
    </row>
    <row r="277" spans="1:14">
      <c r="A277" s="43" t="str">
        <f t="shared" si="29"/>
        <v/>
      </c>
      <c r="G277" s="5"/>
      <c r="H277" s="17">
        <v>272</v>
      </c>
      <c r="I277" s="18" t="str">
        <f t="shared" si="26"/>
        <v/>
      </c>
      <c r="J277" s="17">
        <f t="shared" si="30"/>
        <v>-5</v>
      </c>
      <c r="K277" s="17">
        <f t="shared" si="27"/>
        <v>-50</v>
      </c>
      <c r="L277" s="17"/>
      <c r="M277" s="19">
        <f t="shared" si="28"/>
        <v>0</v>
      </c>
      <c r="N277" s="19" t="str">
        <f t="shared" si="31"/>
        <v/>
      </c>
    </row>
    <row r="278" spans="1:14">
      <c r="A278" s="43" t="str">
        <f t="shared" si="29"/>
        <v/>
      </c>
      <c r="G278" s="5"/>
      <c r="H278" s="17">
        <v>273</v>
      </c>
      <c r="I278" s="18" t="str">
        <f t="shared" si="26"/>
        <v/>
      </c>
      <c r="J278" s="17">
        <f t="shared" si="30"/>
        <v>-5</v>
      </c>
      <c r="K278" s="17">
        <f t="shared" si="27"/>
        <v>-50</v>
      </c>
      <c r="L278" s="17"/>
      <c r="M278" s="19">
        <f t="shared" si="28"/>
        <v>0</v>
      </c>
      <c r="N278" s="19" t="str">
        <f t="shared" si="31"/>
        <v/>
      </c>
    </row>
    <row r="279" spans="1:14">
      <c r="A279" s="43" t="str">
        <f t="shared" si="29"/>
        <v/>
      </c>
      <c r="G279" s="5"/>
      <c r="H279" s="17">
        <v>274</v>
      </c>
      <c r="I279" s="18" t="str">
        <f t="shared" si="26"/>
        <v/>
      </c>
      <c r="J279" s="17">
        <f t="shared" si="30"/>
        <v>-5</v>
      </c>
      <c r="K279" s="17">
        <f t="shared" si="27"/>
        <v>-50</v>
      </c>
      <c r="L279" s="17"/>
      <c r="M279" s="19">
        <f t="shared" si="28"/>
        <v>0</v>
      </c>
      <c r="N279" s="19" t="str">
        <f t="shared" si="31"/>
        <v/>
      </c>
    </row>
    <row r="280" spans="1:14">
      <c r="A280" s="43" t="str">
        <f t="shared" si="29"/>
        <v/>
      </c>
      <c r="G280" s="5"/>
      <c r="H280" s="17">
        <v>275</v>
      </c>
      <c r="I280" s="18" t="str">
        <f t="shared" si="26"/>
        <v/>
      </c>
      <c r="J280" s="17">
        <f t="shared" si="30"/>
        <v>-5</v>
      </c>
      <c r="K280" s="17">
        <f t="shared" si="27"/>
        <v>-50</v>
      </c>
      <c r="L280" s="17"/>
      <c r="M280" s="19">
        <f t="shared" si="28"/>
        <v>0</v>
      </c>
      <c r="N280" s="19" t="str">
        <f t="shared" si="31"/>
        <v/>
      </c>
    </row>
    <row r="281" spans="1:14">
      <c r="A281" s="43" t="str">
        <f t="shared" si="29"/>
        <v/>
      </c>
      <c r="G281" s="5"/>
      <c r="H281" s="17">
        <v>276</v>
      </c>
      <c r="I281" s="18" t="str">
        <f t="shared" si="26"/>
        <v/>
      </c>
      <c r="J281" s="17">
        <f t="shared" si="30"/>
        <v>-5</v>
      </c>
      <c r="K281" s="17">
        <f t="shared" si="27"/>
        <v>-50</v>
      </c>
      <c r="L281" s="17"/>
      <c r="M281" s="19">
        <f t="shared" si="28"/>
        <v>0</v>
      </c>
      <c r="N281" s="19" t="str">
        <f t="shared" si="31"/>
        <v/>
      </c>
    </row>
    <row r="282" spans="1:14">
      <c r="A282" s="43" t="str">
        <f t="shared" si="29"/>
        <v/>
      </c>
      <c r="G282" s="5"/>
      <c r="H282" s="17">
        <v>277</v>
      </c>
      <c r="I282" s="18" t="str">
        <f t="shared" si="26"/>
        <v/>
      </c>
      <c r="J282" s="17">
        <f t="shared" si="30"/>
        <v>-5</v>
      </c>
      <c r="K282" s="17">
        <f t="shared" si="27"/>
        <v>-50</v>
      </c>
      <c r="L282" s="17"/>
      <c r="M282" s="19">
        <f t="shared" si="28"/>
        <v>0</v>
      </c>
      <c r="N282" s="19" t="str">
        <f t="shared" si="31"/>
        <v/>
      </c>
    </row>
    <row r="283" spans="1:14">
      <c r="A283" s="43" t="str">
        <f t="shared" si="29"/>
        <v/>
      </c>
      <c r="G283" s="5"/>
      <c r="H283" s="17">
        <v>278</v>
      </c>
      <c r="I283" s="18" t="str">
        <f t="shared" si="26"/>
        <v/>
      </c>
      <c r="J283" s="17">
        <f t="shared" si="30"/>
        <v>-5</v>
      </c>
      <c r="K283" s="17">
        <f t="shared" si="27"/>
        <v>-50</v>
      </c>
      <c r="L283" s="17"/>
      <c r="M283" s="19">
        <f t="shared" si="28"/>
        <v>0</v>
      </c>
      <c r="N283" s="19" t="str">
        <f t="shared" si="31"/>
        <v/>
      </c>
    </row>
    <row r="284" spans="1:14">
      <c r="A284" s="43" t="str">
        <f t="shared" si="29"/>
        <v/>
      </c>
      <c r="G284" s="5"/>
      <c r="H284" s="17">
        <v>279</v>
      </c>
      <c r="I284" s="18" t="str">
        <f t="shared" si="26"/>
        <v/>
      </c>
      <c r="J284" s="17">
        <f t="shared" si="30"/>
        <v>-5</v>
      </c>
      <c r="K284" s="17">
        <f t="shared" si="27"/>
        <v>-50</v>
      </c>
      <c r="L284" s="17"/>
      <c r="M284" s="19">
        <f t="shared" si="28"/>
        <v>0</v>
      </c>
      <c r="N284" s="19" t="str">
        <f t="shared" si="31"/>
        <v/>
      </c>
    </row>
    <row r="285" spans="1:14">
      <c r="A285" s="43" t="str">
        <f t="shared" si="29"/>
        <v/>
      </c>
      <c r="G285" s="5"/>
      <c r="H285" s="17">
        <v>280</v>
      </c>
      <c r="I285" s="18" t="str">
        <f t="shared" si="26"/>
        <v/>
      </c>
      <c r="J285" s="17">
        <f t="shared" si="30"/>
        <v>-5</v>
      </c>
      <c r="K285" s="17">
        <f t="shared" si="27"/>
        <v>-50</v>
      </c>
      <c r="L285" s="17"/>
      <c r="M285" s="19">
        <f t="shared" si="28"/>
        <v>0</v>
      </c>
      <c r="N285" s="19" t="str">
        <f t="shared" si="31"/>
        <v/>
      </c>
    </row>
    <row r="286" spans="1:14">
      <c r="A286" s="43" t="str">
        <f t="shared" si="29"/>
        <v/>
      </c>
      <c r="G286" s="5"/>
      <c r="H286" s="17">
        <v>281</v>
      </c>
      <c r="I286" s="18" t="str">
        <f t="shared" si="26"/>
        <v/>
      </c>
      <c r="J286" s="17">
        <f t="shared" si="30"/>
        <v>-5</v>
      </c>
      <c r="K286" s="17">
        <f t="shared" si="27"/>
        <v>-50</v>
      </c>
      <c r="L286" s="17"/>
      <c r="M286" s="19">
        <f t="shared" si="28"/>
        <v>0</v>
      </c>
      <c r="N286" s="19" t="str">
        <f t="shared" si="31"/>
        <v/>
      </c>
    </row>
    <row r="287" spans="1:14">
      <c r="A287" s="43" t="str">
        <f t="shared" si="29"/>
        <v/>
      </c>
      <c r="G287" s="5"/>
      <c r="H287" s="17">
        <v>282</v>
      </c>
      <c r="I287" s="18" t="str">
        <f t="shared" si="26"/>
        <v/>
      </c>
      <c r="J287" s="17">
        <f t="shared" si="30"/>
        <v>-5</v>
      </c>
      <c r="K287" s="17">
        <f t="shared" si="27"/>
        <v>-50</v>
      </c>
      <c r="L287" s="17"/>
      <c r="M287" s="19">
        <f t="shared" si="28"/>
        <v>0</v>
      </c>
      <c r="N287" s="19" t="str">
        <f t="shared" si="31"/>
        <v/>
      </c>
    </row>
    <row r="288" spans="1:14">
      <c r="A288" s="43" t="str">
        <f t="shared" si="29"/>
        <v/>
      </c>
      <c r="G288" s="5"/>
      <c r="H288" s="17">
        <v>283</v>
      </c>
      <c r="I288" s="18" t="str">
        <f t="shared" si="26"/>
        <v/>
      </c>
      <c r="J288" s="17">
        <f t="shared" si="30"/>
        <v>-5</v>
      </c>
      <c r="K288" s="17">
        <f t="shared" si="27"/>
        <v>-50</v>
      </c>
      <c r="L288" s="17"/>
      <c r="M288" s="19">
        <f t="shared" si="28"/>
        <v>0</v>
      </c>
      <c r="N288" s="19" t="str">
        <f t="shared" si="31"/>
        <v/>
      </c>
    </row>
    <row r="289" spans="1:14">
      <c r="A289" s="43" t="str">
        <f t="shared" si="29"/>
        <v/>
      </c>
      <c r="G289" s="5"/>
      <c r="H289" s="17">
        <v>284</v>
      </c>
      <c r="I289" s="18" t="str">
        <f t="shared" si="26"/>
        <v/>
      </c>
      <c r="J289" s="17">
        <f t="shared" si="30"/>
        <v>-5</v>
      </c>
      <c r="K289" s="17">
        <f t="shared" si="27"/>
        <v>-50</v>
      </c>
      <c r="L289" s="17"/>
      <c r="M289" s="19">
        <f t="shared" si="28"/>
        <v>0</v>
      </c>
      <c r="N289" s="19" t="str">
        <f t="shared" si="31"/>
        <v/>
      </c>
    </row>
    <row r="290" spans="1:14">
      <c r="A290" s="43" t="str">
        <f t="shared" si="29"/>
        <v/>
      </c>
      <c r="G290" s="5"/>
      <c r="H290" s="17">
        <v>285</v>
      </c>
      <c r="I290" s="18" t="str">
        <f t="shared" si="26"/>
        <v/>
      </c>
      <c r="J290" s="17">
        <f t="shared" si="30"/>
        <v>-5</v>
      </c>
      <c r="K290" s="17">
        <f t="shared" si="27"/>
        <v>-50</v>
      </c>
      <c r="L290" s="17"/>
      <c r="M290" s="19">
        <f t="shared" si="28"/>
        <v>0</v>
      </c>
      <c r="N290" s="19" t="str">
        <f t="shared" si="31"/>
        <v/>
      </c>
    </row>
    <row r="291" spans="1:14">
      <c r="A291" s="43" t="str">
        <f t="shared" si="29"/>
        <v/>
      </c>
      <c r="G291" s="5"/>
      <c r="H291" s="17">
        <v>286</v>
      </c>
      <c r="I291" s="18" t="str">
        <f t="shared" si="26"/>
        <v/>
      </c>
      <c r="J291" s="17">
        <f t="shared" si="30"/>
        <v>-5</v>
      </c>
      <c r="K291" s="17">
        <f t="shared" si="27"/>
        <v>-50</v>
      </c>
      <c r="L291" s="17"/>
      <c r="M291" s="19">
        <f t="shared" si="28"/>
        <v>0</v>
      </c>
      <c r="N291" s="19" t="str">
        <f t="shared" si="31"/>
        <v/>
      </c>
    </row>
    <row r="292" spans="1:14">
      <c r="A292" s="43" t="str">
        <f t="shared" si="29"/>
        <v/>
      </c>
      <c r="G292" s="5"/>
      <c r="H292" s="17">
        <v>287</v>
      </c>
      <c r="I292" s="18" t="str">
        <f t="shared" si="26"/>
        <v/>
      </c>
      <c r="J292" s="17">
        <f t="shared" si="30"/>
        <v>-5</v>
      </c>
      <c r="K292" s="17">
        <f t="shared" si="27"/>
        <v>-50</v>
      </c>
      <c r="L292" s="17"/>
      <c r="M292" s="19">
        <f t="shared" si="28"/>
        <v>0</v>
      </c>
      <c r="N292" s="19" t="str">
        <f t="shared" si="31"/>
        <v/>
      </c>
    </row>
    <row r="293" spans="1:14">
      <c r="A293" s="43" t="str">
        <f t="shared" si="29"/>
        <v/>
      </c>
      <c r="G293" s="5"/>
      <c r="H293" s="17">
        <v>288</v>
      </c>
      <c r="I293" s="18" t="str">
        <f t="shared" si="26"/>
        <v/>
      </c>
      <c r="J293" s="17">
        <f t="shared" si="30"/>
        <v>-5</v>
      </c>
      <c r="K293" s="17">
        <f t="shared" si="27"/>
        <v>-50</v>
      </c>
      <c r="L293" s="17"/>
      <c r="M293" s="19">
        <f t="shared" si="28"/>
        <v>0</v>
      </c>
      <c r="N293" s="19" t="str">
        <f t="shared" si="31"/>
        <v/>
      </c>
    </row>
    <row r="294" spans="1:14">
      <c r="A294" s="43" t="str">
        <f t="shared" si="29"/>
        <v/>
      </c>
      <c r="G294" s="5"/>
      <c r="H294" s="17">
        <v>289</v>
      </c>
      <c r="I294" s="18" t="str">
        <f t="shared" si="26"/>
        <v/>
      </c>
      <c r="J294" s="17">
        <f t="shared" si="30"/>
        <v>-5</v>
      </c>
      <c r="K294" s="17">
        <f t="shared" si="27"/>
        <v>-50</v>
      </c>
      <c r="L294" s="17"/>
      <c r="M294" s="19">
        <f t="shared" si="28"/>
        <v>0</v>
      </c>
      <c r="N294" s="19" t="str">
        <f t="shared" si="31"/>
        <v/>
      </c>
    </row>
    <row r="295" spans="1:14">
      <c r="A295" s="43" t="str">
        <f t="shared" si="29"/>
        <v/>
      </c>
      <c r="G295" s="5"/>
      <c r="H295" s="17">
        <v>290</v>
      </c>
      <c r="I295" s="18" t="str">
        <f t="shared" si="26"/>
        <v/>
      </c>
      <c r="J295" s="17">
        <f t="shared" si="30"/>
        <v>-5</v>
      </c>
      <c r="K295" s="17">
        <f t="shared" si="27"/>
        <v>-50</v>
      </c>
      <c r="L295" s="17"/>
      <c r="M295" s="19">
        <f t="shared" si="28"/>
        <v>0</v>
      </c>
      <c r="N295" s="19" t="str">
        <f t="shared" si="31"/>
        <v/>
      </c>
    </row>
    <row r="296" spans="1:14">
      <c r="A296" s="43" t="str">
        <f t="shared" si="29"/>
        <v/>
      </c>
      <c r="G296" s="5"/>
      <c r="H296" s="17">
        <v>291</v>
      </c>
      <c r="I296" s="18" t="str">
        <f t="shared" si="26"/>
        <v/>
      </c>
      <c r="J296" s="17">
        <f t="shared" si="30"/>
        <v>-5</v>
      </c>
      <c r="K296" s="17">
        <f t="shared" si="27"/>
        <v>-50</v>
      </c>
      <c r="L296" s="17"/>
      <c r="M296" s="19">
        <f t="shared" si="28"/>
        <v>0</v>
      </c>
      <c r="N296" s="19" t="str">
        <f t="shared" si="31"/>
        <v/>
      </c>
    </row>
    <row r="297" spans="1:14">
      <c r="A297" s="43" t="str">
        <f t="shared" si="29"/>
        <v/>
      </c>
      <c r="G297" s="5"/>
      <c r="H297" s="17">
        <v>292</v>
      </c>
      <c r="I297" s="18" t="str">
        <f t="shared" si="26"/>
        <v/>
      </c>
      <c r="J297" s="17">
        <f t="shared" si="30"/>
        <v>-5</v>
      </c>
      <c r="K297" s="17">
        <f t="shared" si="27"/>
        <v>-50</v>
      </c>
      <c r="L297" s="17"/>
      <c r="M297" s="19">
        <f t="shared" si="28"/>
        <v>0</v>
      </c>
      <c r="N297" s="19" t="str">
        <f t="shared" si="31"/>
        <v/>
      </c>
    </row>
    <row r="298" spans="1:14">
      <c r="A298" s="43" t="str">
        <f t="shared" si="29"/>
        <v/>
      </c>
      <c r="G298" s="5"/>
      <c r="H298" s="17">
        <v>293</v>
      </c>
      <c r="I298" s="18" t="str">
        <f t="shared" si="26"/>
        <v/>
      </c>
      <c r="J298" s="17">
        <f t="shared" si="30"/>
        <v>-5</v>
      </c>
      <c r="K298" s="17">
        <f t="shared" si="27"/>
        <v>-50</v>
      </c>
      <c r="L298" s="17"/>
      <c r="M298" s="19">
        <f t="shared" si="28"/>
        <v>0</v>
      </c>
      <c r="N298" s="19" t="str">
        <f t="shared" si="31"/>
        <v/>
      </c>
    </row>
    <row r="299" spans="1:14">
      <c r="A299" s="43" t="str">
        <f t="shared" si="29"/>
        <v/>
      </c>
      <c r="G299" s="5"/>
      <c r="H299" s="17">
        <v>294</v>
      </c>
      <c r="I299" s="18" t="str">
        <f t="shared" si="26"/>
        <v/>
      </c>
      <c r="J299" s="17">
        <f t="shared" si="30"/>
        <v>-5</v>
      </c>
      <c r="K299" s="17">
        <f t="shared" si="27"/>
        <v>-50</v>
      </c>
      <c r="L299" s="17"/>
      <c r="M299" s="19">
        <f t="shared" si="28"/>
        <v>0</v>
      </c>
      <c r="N299" s="19" t="str">
        <f t="shared" si="31"/>
        <v/>
      </c>
    </row>
    <row r="300" spans="1:14">
      <c r="A300" s="43" t="str">
        <f t="shared" si="29"/>
        <v/>
      </c>
      <c r="G300" s="5"/>
      <c r="H300" s="17">
        <v>295</v>
      </c>
      <c r="I300" s="18" t="str">
        <f t="shared" si="26"/>
        <v/>
      </c>
      <c r="J300" s="17">
        <f t="shared" si="30"/>
        <v>-5</v>
      </c>
      <c r="K300" s="17">
        <f t="shared" si="27"/>
        <v>-50</v>
      </c>
      <c r="L300" s="17"/>
      <c r="M300" s="19">
        <f t="shared" si="28"/>
        <v>0</v>
      </c>
      <c r="N300" s="19" t="str">
        <f t="shared" si="31"/>
        <v/>
      </c>
    </row>
    <row r="301" spans="1:14">
      <c r="A301" s="43" t="str">
        <f t="shared" si="29"/>
        <v/>
      </c>
      <c r="G301" s="5"/>
      <c r="H301" s="17">
        <v>296</v>
      </c>
      <c r="I301" s="18" t="str">
        <f t="shared" si="26"/>
        <v/>
      </c>
      <c r="J301" s="17">
        <f t="shared" si="30"/>
        <v>-5</v>
      </c>
      <c r="K301" s="17">
        <f t="shared" si="27"/>
        <v>-50</v>
      </c>
      <c r="L301" s="17"/>
      <c r="M301" s="19">
        <f t="shared" si="28"/>
        <v>0</v>
      </c>
      <c r="N301" s="19" t="str">
        <f t="shared" si="31"/>
        <v/>
      </c>
    </row>
    <row r="302" spans="1:14">
      <c r="A302" s="43" t="str">
        <f t="shared" si="29"/>
        <v/>
      </c>
      <c r="G302" s="5"/>
      <c r="H302" s="17">
        <v>297</v>
      </c>
      <c r="I302" s="18" t="str">
        <f t="shared" si="26"/>
        <v/>
      </c>
      <c r="J302" s="17">
        <f t="shared" si="30"/>
        <v>-5</v>
      </c>
      <c r="K302" s="17">
        <f t="shared" si="27"/>
        <v>-50</v>
      </c>
      <c r="L302" s="17"/>
      <c r="M302" s="19">
        <f t="shared" si="28"/>
        <v>0</v>
      </c>
      <c r="N302" s="19" t="str">
        <f t="shared" si="31"/>
        <v/>
      </c>
    </row>
    <row r="303" spans="1:14">
      <c r="A303" s="43" t="str">
        <f t="shared" si="29"/>
        <v/>
      </c>
      <c r="G303" s="5"/>
      <c r="H303" s="17">
        <v>298</v>
      </c>
      <c r="I303" s="18" t="str">
        <f t="shared" si="26"/>
        <v/>
      </c>
      <c r="J303" s="17">
        <f t="shared" si="30"/>
        <v>-5</v>
      </c>
      <c r="K303" s="17">
        <f t="shared" si="27"/>
        <v>-50</v>
      </c>
      <c r="L303" s="17"/>
      <c r="M303" s="19">
        <f t="shared" si="28"/>
        <v>0</v>
      </c>
      <c r="N303" s="19" t="str">
        <f t="shared" si="31"/>
        <v/>
      </c>
    </row>
    <row r="304" spans="1:14">
      <c r="A304" s="43" t="str">
        <f t="shared" si="29"/>
        <v/>
      </c>
      <c r="G304" s="5"/>
      <c r="H304" s="17">
        <v>299</v>
      </c>
      <c r="I304" s="18" t="str">
        <f t="shared" si="26"/>
        <v/>
      </c>
      <c r="J304" s="17">
        <f t="shared" si="30"/>
        <v>-5</v>
      </c>
      <c r="K304" s="17">
        <f t="shared" si="27"/>
        <v>-50</v>
      </c>
      <c r="L304" s="17"/>
      <c r="M304" s="19">
        <f t="shared" si="28"/>
        <v>0</v>
      </c>
      <c r="N304" s="19" t="str">
        <f t="shared" si="31"/>
        <v/>
      </c>
    </row>
    <row r="305" spans="1:17">
      <c r="A305" s="43" t="str">
        <f t="shared" si="29"/>
        <v/>
      </c>
      <c r="G305" s="5"/>
      <c r="H305" s="17">
        <v>300</v>
      </c>
      <c r="I305" s="18" t="str">
        <f t="shared" si="26"/>
        <v/>
      </c>
      <c r="J305" s="17">
        <f t="shared" si="30"/>
        <v>-5</v>
      </c>
      <c r="K305" s="17">
        <f t="shared" si="27"/>
        <v>-50</v>
      </c>
      <c r="L305" s="17"/>
      <c r="M305" s="19">
        <f t="shared" si="28"/>
        <v>0</v>
      </c>
      <c r="N305" s="19" t="str">
        <f t="shared" si="31"/>
        <v/>
      </c>
    </row>
    <row r="306" spans="1:17">
      <c r="A306" s="4"/>
      <c r="J306" s="20" t="e">
        <f t="shared" si="30"/>
        <v>#NUM!</v>
      </c>
    </row>
    <row r="307" spans="1:17">
      <c r="J307" s="20" t="e">
        <f t="shared" si="30"/>
        <v>#NUM!</v>
      </c>
    </row>
    <row r="308" spans="1:17">
      <c r="J308" s="20" t="e">
        <f t="shared" si="30"/>
        <v>#NUM!</v>
      </c>
    </row>
    <row r="309" spans="1:17">
      <c r="J309" s="20" t="e">
        <f t="shared" si="30"/>
        <v>#NUM!</v>
      </c>
    </row>
    <row r="310" spans="1:17">
      <c r="J310" s="20" t="e">
        <f t="shared" si="30"/>
        <v>#NUM!</v>
      </c>
    </row>
    <row r="311" spans="1:17">
      <c r="J311" s="20" t="e">
        <f t="shared" si="30"/>
        <v>#NUM!</v>
      </c>
    </row>
    <row r="312" spans="1:17">
      <c r="J312" s="20" t="e">
        <f t="shared" si="30"/>
        <v>#NUM!</v>
      </c>
    </row>
    <row r="313" spans="1:17">
      <c r="J313" s="20" t="e">
        <f t="shared" si="30"/>
        <v>#NUM!</v>
      </c>
    </row>
    <row r="314" spans="1:17">
      <c r="J314" s="20" t="e">
        <f t="shared" si="30"/>
        <v>#NUM!</v>
      </c>
      <c r="L314" s="21"/>
      <c r="M314" s="21"/>
      <c r="Q314" s="49"/>
    </row>
    <row r="315" spans="1:17">
      <c r="J315" s="20" t="e">
        <f t="shared" si="30"/>
        <v>#NUM!</v>
      </c>
      <c r="L315" s="21"/>
      <c r="M315" s="21"/>
      <c r="Q315" s="49"/>
    </row>
    <row r="316" spans="1:17">
      <c r="J316" s="20" t="e">
        <f t="shared" si="30"/>
        <v>#NUM!</v>
      </c>
      <c r="L316" s="21"/>
      <c r="M316" s="21"/>
      <c r="Q316" s="49"/>
    </row>
    <row r="317" spans="1:17">
      <c r="J317" s="20" t="e">
        <f t="shared" si="30"/>
        <v>#NUM!</v>
      </c>
      <c r="L317" s="21"/>
      <c r="M317" s="21"/>
      <c r="Q317" s="49"/>
    </row>
    <row r="318" spans="1:17">
      <c r="J318" s="20" t="e">
        <f t="shared" si="30"/>
        <v>#NUM!</v>
      </c>
    </row>
    <row r="319" spans="1:17">
      <c r="J319" s="20" t="e">
        <f t="shared" si="30"/>
        <v>#NUM!</v>
      </c>
    </row>
    <row r="320" spans="1:17">
      <c r="J320" s="20" t="e">
        <f t="shared" si="30"/>
        <v>#NUM!</v>
      </c>
    </row>
    <row r="321" spans="10:10">
      <c r="J321" s="20" t="e">
        <f t="shared" si="30"/>
        <v>#NUM!</v>
      </c>
    </row>
    <row r="322" spans="10:10">
      <c r="J322" s="20" t="e">
        <f t="shared" si="30"/>
        <v>#NUM!</v>
      </c>
    </row>
    <row r="323" spans="10:10">
      <c r="J323" s="20" t="e">
        <f t="shared" si="30"/>
        <v>#NUM!</v>
      </c>
    </row>
    <row r="324" spans="10:10">
      <c r="J324" s="20" t="e">
        <f t="shared" si="30"/>
        <v>#NUM!</v>
      </c>
    </row>
    <row r="325" spans="10:10">
      <c r="J325" s="20" t="e">
        <f t="shared" si="30"/>
        <v>#NUM!</v>
      </c>
    </row>
    <row r="326" spans="10:10">
      <c r="J326" s="20" t="e">
        <f t="shared" si="30"/>
        <v>#NUM!</v>
      </c>
    </row>
    <row r="327" spans="10:10">
      <c r="J327" s="20" t="e">
        <f t="shared" ref="J327:J373" si="32">INT(LOG($H$2,2))-ROUNDUP(LOG(H327,2),0)+IF(OR($H$2=1,$H$2=2,$H$2=4,$H$2=8,$H$2=16,$H$2=32,$H$2=64,$H$2=128,$H$2=256),0,1)</f>
        <v>#NUM!</v>
      </c>
    </row>
    <row r="328" spans="10:10">
      <c r="J328" s="20" t="e">
        <f t="shared" si="32"/>
        <v>#NUM!</v>
      </c>
    </row>
    <row r="329" spans="10:10">
      <c r="J329" s="20" t="e">
        <f t="shared" si="32"/>
        <v>#NUM!</v>
      </c>
    </row>
    <row r="330" spans="10:10">
      <c r="J330" s="20" t="e">
        <f t="shared" si="32"/>
        <v>#NUM!</v>
      </c>
    </row>
    <row r="331" spans="10:10">
      <c r="J331" s="20" t="e">
        <f t="shared" si="32"/>
        <v>#NUM!</v>
      </c>
    </row>
    <row r="332" spans="10:10">
      <c r="J332" s="20" t="e">
        <f t="shared" si="32"/>
        <v>#NUM!</v>
      </c>
    </row>
    <row r="333" spans="10:10">
      <c r="J333" s="20" t="e">
        <f t="shared" si="32"/>
        <v>#NUM!</v>
      </c>
    </row>
    <row r="334" spans="10:10">
      <c r="J334" s="20" t="e">
        <f t="shared" si="32"/>
        <v>#NUM!</v>
      </c>
    </row>
    <row r="335" spans="10:10">
      <c r="J335" s="20" t="e">
        <f t="shared" si="32"/>
        <v>#NUM!</v>
      </c>
    </row>
    <row r="336" spans="10:10">
      <c r="J336" s="20" t="e">
        <f t="shared" si="32"/>
        <v>#NUM!</v>
      </c>
    </row>
    <row r="337" spans="10:10">
      <c r="J337" s="20" t="e">
        <f t="shared" si="32"/>
        <v>#NUM!</v>
      </c>
    </row>
    <row r="338" spans="10:10">
      <c r="J338" s="20" t="e">
        <f t="shared" si="32"/>
        <v>#NUM!</v>
      </c>
    </row>
    <row r="339" spans="10:10">
      <c r="J339" s="20" t="e">
        <f t="shared" si="32"/>
        <v>#NUM!</v>
      </c>
    </row>
    <row r="340" spans="10:10">
      <c r="J340" s="20" t="e">
        <f t="shared" si="32"/>
        <v>#NUM!</v>
      </c>
    </row>
    <row r="341" spans="10:10">
      <c r="J341" s="20" t="e">
        <f t="shared" si="32"/>
        <v>#NUM!</v>
      </c>
    </row>
    <row r="342" spans="10:10">
      <c r="J342" s="20" t="e">
        <f t="shared" si="32"/>
        <v>#NUM!</v>
      </c>
    </row>
    <row r="343" spans="10:10">
      <c r="J343" s="20" t="e">
        <f t="shared" si="32"/>
        <v>#NUM!</v>
      </c>
    </row>
    <row r="344" spans="10:10">
      <c r="J344" s="20" t="e">
        <f t="shared" si="32"/>
        <v>#NUM!</v>
      </c>
    </row>
    <row r="345" spans="10:10">
      <c r="J345" s="20" t="e">
        <f t="shared" si="32"/>
        <v>#NUM!</v>
      </c>
    </row>
    <row r="346" spans="10:10">
      <c r="J346" s="20" t="e">
        <f t="shared" si="32"/>
        <v>#NUM!</v>
      </c>
    </row>
    <row r="347" spans="10:10">
      <c r="J347" s="20" t="e">
        <f t="shared" si="32"/>
        <v>#NUM!</v>
      </c>
    </row>
    <row r="348" spans="10:10">
      <c r="J348" s="20" t="e">
        <f t="shared" si="32"/>
        <v>#NUM!</v>
      </c>
    </row>
    <row r="349" spans="10:10">
      <c r="J349" s="20" t="e">
        <f t="shared" si="32"/>
        <v>#NUM!</v>
      </c>
    </row>
    <row r="350" spans="10:10">
      <c r="J350" s="20" t="e">
        <f t="shared" si="32"/>
        <v>#NUM!</v>
      </c>
    </row>
    <row r="351" spans="10:10">
      <c r="J351" s="20" t="e">
        <f t="shared" si="32"/>
        <v>#NUM!</v>
      </c>
    </row>
    <row r="352" spans="10:10">
      <c r="J352" s="20" t="e">
        <f t="shared" si="32"/>
        <v>#NUM!</v>
      </c>
    </row>
    <row r="353" spans="10:10">
      <c r="J353" s="20" t="e">
        <f t="shared" si="32"/>
        <v>#NUM!</v>
      </c>
    </row>
    <row r="354" spans="10:10">
      <c r="J354" s="20" t="e">
        <f t="shared" si="32"/>
        <v>#NUM!</v>
      </c>
    </row>
    <row r="355" spans="10:10">
      <c r="J355" s="20" t="e">
        <f t="shared" si="32"/>
        <v>#NUM!</v>
      </c>
    </row>
    <row r="356" spans="10:10">
      <c r="J356" s="20" t="e">
        <f t="shared" si="32"/>
        <v>#NUM!</v>
      </c>
    </row>
    <row r="357" spans="10:10">
      <c r="J357" s="20" t="e">
        <f t="shared" si="32"/>
        <v>#NUM!</v>
      </c>
    </row>
    <row r="358" spans="10:10">
      <c r="J358" s="20" t="e">
        <f t="shared" si="32"/>
        <v>#NUM!</v>
      </c>
    </row>
    <row r="359" spans="10:10">
      <c r="J359" s="20" t="e">
        <f t="shared" si="32"/>
        <v>#NUM!</v>
      </c>
    </row>
    <row r="360" spans="10:10">
      <c r="J360" s="20" t="e">
        <f t="shared" si="32"/>
        <v>#NUM!</v>
      </c>
    </row>
    <row r="361" spans="10:10">
      <c r="J361" s="20" t="e">
        <f t="shared" si="32"/>
        <v>#NUM!</v>
      </c>
    </row>
    <row r="362" spans="10:10">
      <c r="J362" s="20" t="e">
        <f t="shared" si="32"/>
        <v>#NUM!</v>
      </c>
    </row>
    <row r="363" spans="10:10">
      <c r="J363" s="20" t="e">
        <f t="shared" si="32"/>
        <v>#NUM!</v>
      </c>
    </row>
    <row r="364" spans="10:10">
      <c r="J364" s="20" t="e">
        <f t="shared" si="32"/>
        <v>#NUM!</v>
      </c>
    </row>
    <row r="365" spans="10:10">
      <c r="J365" s="20" t="e">
        <f t="shared" si="32"/>
        <v>#NUM!</v>
      </c>
    </row>
    <row r="366" spans="10:10">
      <c r="J366" s="20" t="e">
        <f t="shared" si="32"/>
        <v>#NUM!</v>
      </c>
    </row>
    <row r="367" spans="10:10">
      <c r="J367" s="20" t="e">
        <f t="shared" si="32"/>
        <v>#NUM!</v>
      </c>
    </row>
    <row r="368" spans="10:10">
      <c r="J368" s="20" t="e">
        <f t="shared" si="32"/>
        <v>#NUM!</v>
      </c>
    </row>
    <row r="369" spans="10:10">
      <c r="J369" s="20" t="e">
        <f t="shared" si="32"/>
        <v>#NUM!</v>
      </c>
    </row>
    <row r="370" spans="10:10">
      <c r="J370" s="20" t="e">
        <f t="shared" si="32"/>
        <v>#NUM!</v>
      </c>
    </row>
    <row r="371" spans="10:10">
      <c r="J371" s="20" t="e">
        <f t="shared" si="32"/>
        <v>#NUM!</v>
      </c>
    </row>
    <row r="372" spans="10:10">
      <c r="J372" s="20" t="e">
        <f t="shared" si="32"/>
        <v>#NUM!</v>
      </c>
    </row>
    <row r="373" spans="10:10">
      <c r="J373" s="20" t="e">
        <f t="shared" si="32"/>
        <v>#NUM!</v>
      </c>
    </row>
  </sheetData>
  <mergeCells count="2">
    <mergeCell ref="C2:D2"/>
    <mergeCell ref="C3:D3"/>
  </mergeCells>
  <conditionalFormatting sqref="J7:N305 L6:N6">
    <cfRule type="cellIs" dxfId="17" priority="1" operator="lessThanOrEqual">
      <formula>0</formula>
    </cfRule>
  </conditionalFormatting>
  <dataValidations disablePrompts="1" count="1">
    <dataValidation type="list" allowBlank="1" showInputMessage="1" showErrorMessage="1" sqref="C38:C69" xr:uid="{C6C166D9-3A2A-4D04-AC4E-CA8CC3FBB9E7}">
      <formula1>#REF!</formula1>
    </dataValidation>
  </dataValidations>
  <hyperlinks>
    <hyperlink ref="C2:D2" r:id="rId1" display="KRAKÓW" xr:uid="{C023B7FE-486E-4DA6-BC04-5CED20A8D40C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65BC-0633-3147-87A9-5734D1E6BB87}">
  <sheetPr>
    <tabColor theme="7" tint="0.39997558519241921"/>
  </sheetPr>
  <dimension ref="A1:V39"/>
  <sheetViews>
    <sheetView zoomScaleNormal="100" workbookViewId="0">
      <selection activeCell="S8" sqref="S8"/>
    </sheetView>
  </sheetViews>
  <sheetFormatPr defaultColWidth="11.42578125" defaultRowHeight="12.95"/>
  <cols>
    <col min="1" max="1" width="6" customWidth="1"/>
    <col min="2" max="2" width="29.28515625" customWidth="1"/>
    <col min="3" max="3" width="13.85546875" customWidth="1"/>
    <col min="5" max="5" width="6.42578125" customWidth="1"/>
    <col min="6" max="6" width="6.7109375" bestFit="1" customWidth="1"/>
    <col min="7" max="7" width="3.7109375" customWidth="1"/>
    <col min="8" max="8" width="6" customWidth="1"/>
    <col min="9" max="9" width="4.42578125" customWidth="1"/>
    <col min="10" max="10" width="6" customWidth="1"/>
    <col min="11" max="11" width="5.140625" customWidth="1"/>
    <col min="12" max="12" width="6" customWidth="1"/>
    <col min="13" max="13" width="5.140625" customWidth="1"/>
    <col min="14" max="14" width="6" customWidth="1"/>
    <col min="15" max="15" width="3.7109375" customWidth="1"/>
    <col min="16" max="17" width="6" customWidth="1"/>
    <col min="18" max="18" width="2.42578125" customWidth="1"/>
  </cols>
  <sheetData>
    <row r="1" spans="1:22" ht="14.25" thickBot="1">
      <c r="A1" s="64"/>
      <c r="B1" s="64"/>
      <c r="C1" s="64"/>
      <c r="D1" s="67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22" ht="14.25" thickTop="1">
      <c r="A2" s="64"/>
      <c r="B2" s="2" t="s">
        <v>0</v>
      </c>
      <c r="C2" s="64"/>
      <c r="D2" s="65" t="s">
        <v>86</v>
      </c>
      <c r="E2" s="66"/>
      <c r="F2" s="66"/>
      <c r="G2" s="66"/>
      <c r="H2" s="64"/>
      <c r="I2" s="66"/>
      <c r="J2" s="66"/>
      <c r="K2" s="66"/>
      <c r="L2" s="66"/>
      <c r="M2" s="66"/>
      <c r="N2" s="66"/>
      <c r="O2" s="66"/>
      <c r="P2" s="66"/>
      <c r="Q2" s="66"/>
      <c r="S2" s="111"/>
      <c r="T2" s="112"/>
      <c r="U2" s="112"/>
      <c r="V2" s="113"/>
    </row>
    <row r="3" spans="1:22" ht="13.7">
      <c r="A3" s="64"/>
      <c r="B3" s="64"/>
      <c r="C3" s="64"/>
      <c r="D3" s="67" t="s">
        <v>3</v>
      </c>
      <c r="E3" s="64" t="s">
        <v>4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S3" s="114"/>
      <c r="T3" s="115"/>
      <c r="U3" s="115"/>
      <c r="V3" s="116"/>
    </row>
    <row r="4" spans="1:22" ht="24.75" customHeight="1" thickBot="1">
      <c r="A4" s="122" t="s">
        <v>5</v>
      </c>
      <c r="B4" s="124" t="s">
        <v>87</v>
      </c>
      <c r="C4" s="124" t="s">
        <v>7</v>
      </c>
      <c r="D4" s="124" t="s">
        <v>8</v>
      </c>
      <c r="E4" s="130" t="s">
        <v>88</v>
      </c>
      <c r="F4" s="131"/>
      <c r="G4" s="129" t="s">
        <v>89</v>
      </c>
      <c r="H4" s="129"/>
      <c r="I4" s="132" t="s">
        <v>90</v>
      </c>
      <c r="J4" s="132"/>
      <c r="K4" s="132" t="s">
        <v>91</v>
      </c>
      <c r="L4" s="132"/>
      <c r="M4" s="133" t="s">
        <v>92</v>
      </c>
      <c r="N4" s="129"/>
      <c r="O4" s="132" t="s">
        <v>93</v>
      </c>
      <c r="P4" s="134"/>
      <c r="Q4" s="95"/>
      <c r="S4" s="117"/>
      <c r="T4" s="118"/>
      <c r="U4" s="118"/>
      <c r="V4" s="119"/>
    </row>
    <row r="5" spans="1:22" ht="18" customHeight="1" thickTop="1">
      <c r="A5" s="123"/>
      <c r="B5" s="125"/>
      <c r="C5" s="125"/>
      <c r="D5" s="126"/>
      <c r="E5" s="38" t="s">
        <v>15</v>
      </c>
      <c r="F5" s="38" t="s">
        <v>16</v>
      </c>
      <c r="G5" s="38" t="s">
        <v>15</v>
      </c>
      <c r="H5" s="57" t="s">
        <v>16</v>
      </c>
      <c r="I5" s="38" t="s">
        <v>15</v>
      </c>
      <c r="J5" s="38" t="s">
        <v>16</v>
      </c>
      <c r="K5" s="38" t="s">
        <v>15</v>
      </c>
      <c r="L5" s="38" t="s">
        <v>16</v>
      </c>
      <c r="M5" s="38" t="s">
        <v>15</v>
      </c>
      <c r="N5" s="38" t="s">
        <v>16</v>
      </c>
      <c r="O5" s="38" t="s">
        <v>15</v>
      </c>
      <c r="P5" s="57" t="s">
        <v>16</v>
      </c>
      <c r="Q5" s="96" t="s">
        <v>17</v>
      </c>
    </row>
    <row r="6" spans="1:22" ht="14.85" customHeight="1">
      <c r="A6" s="58">
        <f t="shared" ref="A6:A23" si="0">ROW()-5</f>
        <v>1</v>
      </c>
      <c r="B6" s="51" t="s">
        <v>19</v>
      </c>
      <c r="C6" s="84"/>
      <c r="D6" s="53">
        <f t="shared" ref="D6:D23" si="1">SUM(F6,J6,N6,P6,)</f>
        <v>182.68252081512384</v>
      </c>
      <c r="E6" s="73" t="s">
        <v>94</v>
      </c>
      <c r="F6" s="59" t="str">
        <f>_xlfn.XLOOKUP(E6,'EVF1'!$B$6:$B$55,'EVF1'!$A$6:$A$55,0)</f>
        <v/>
      </c>
      <c r="G6" s="73" t="str">
        <f>_xlfn.XLOOKUP($B6,'EVF2'!$C$6:$C$101,'EVF2'!$B$6:$B$101,"")</f>
        <v/>
      </c>
      <c r="H6" s="61" t="str">
        <f>_xlfn.XLOOKUP(G6,'EVF2'!$B$6:$B$55,'EVF2'!$A$6:$A$55,0)</f>
        <v/>
      </c>
      <c r="I6" s="73">
        <f>_xlfn.XLOOKUP($B6,'EVF3'!$C$6:$C$101,'EVF3'!$B$6:$B$101,"")</f>
        <v>1</v>
      </c>
      <c r="J6" s="59">
        <f>_xlfn.XLOOKUP(I6,'EVF3'!$B$6:$B$55,'EVF3'!$A$6:$A$55,0)</f>
        <v>110.01582081512385</v>
      </c>
      <c r="K6" s="73" t="str">
        <f>_xlfn.XLOOKUP($B6,'EVF4'!$C$6:$C$101,'EVF4'!$B$6:$B$101,"")</f>
        <v/>
      </c>
      <c r="L6" s="59" t="str">
        <f>_xlfn.XLOOKUP(K6,'EVF4'!$B$6:$B$55,'EVF4'!$A$6:$A$55,0)</f>
        <v/>
      </c>
      <c r="M6" s="73">
        <f>_xlfn.XLOOKUP($B6,'EVF4''21'!$C$6:$C$101,'EVF4''21'!$B$6:$B$101,"")</f>
        <v>3</v>
      </c>
      <c r="N6" s="59">
        <f>_xlfn.XLOOKUP(M6,'EVF4''21'!$B$6:$B$55,'EVF4''21'!$A$6:$A$55,0)</f>
        <v>72.666700000000006</v>
      </c>
      <c r="O6" s="73" t="str">
        <f>_xlfn.XLOOKUP($B6,'EVF6'!$C$6:$C$101,'EVF6'!$B$6:$B$101,"")</f>
        <v/>
      </c>
      <c r="P6" s="83" t="str">
        <f>_xlfn.XLOOKUP(O6,'EVF6'!$B$6:$B$55,'EVF6'!$A$6:$A$55,0)</f>
        <v/>
      </c>
      <c r="Q6" s="97">
        <f>MAX(F6,H6,J6,N6,P6)</f>
        <v>110.01582081512385</v>
      </c>
    </row>
    <row r="7" spans="1:22" ht="14.85" customHeight="1">
      <c r="A7" s="58">
        <f t="shared" si="0"/>
        <v>2</v>
      </c>
      <c r="B7" s="54" t="s">
        <v>23</v>
      </c>
      <c r="C7" s="55"/>
      <c r="D7" s="56">
        <f t="shared" si="1"/>
        <v>106.51300405383938</v>
      </c>
      <c r="E7" s="74" t="s">
        <v>94</v>
      </c>
      <c r="F7" s="60" t="str">
        <f>_xlfn.XLOOKUP(E7,'EVF1'!$B$6:$B$55,'EVF1'!$A$6:$A$55,0)</f>
        <v/>
      </c>
      <c r="G7" s="74" t="str">
        <f>_xlfn.XLOOKUP($B7,'EVF2'!$C$6:$C$101,'EVF2'!$B$6:$B$101,"")</f>
        <v/>
      </c>
      <c r="H7" s="62" t="str">
        <f>_xlfn.XLOOKUP(G7,'EVF2'!$B$6:$B$55,'EVF2'!$A$6:$A$55,0)</f>
        <v/>
      </c>
      <c r="I7" s="74">
        <f>_xlfn.XLOOKUP($B7,'EVF3'!$C$6:$C$101,'EVF3'!$B$6:$B$101,"")</f>
        <v>2</v>
      </c>
      <c r="J7" s="60">
        <f>_xlfn.XLOOKUP(I7,'EVF3'!$B$6:$B$55,'EVF3'!$A$6:$A$55,0)</f>
        <v>79.179704053839387</v>
      </c>
      <c r="K7" s="74" t="str">
        <f>_xlfn.XLOOKUP($B7,'EVF4'!$C$6:$C$101,'EVF4'!$B$6:$B$101,"")</f>
        <v/>
      </c>
      <c r="L7" s="60" t="str">
        <f>_xlfn.XLOOKUP(K7,'EVF4'!$B$6:$B$55,'EVF4'!$A$6:$A$55,0)</f>
        <v/>
      </c>
      <c r="M7" s="74">
        <f>_xlfn.XLOOKUP($B7,'EVF4''21'!$C$6:$C$101,'EVF4''21'!$B$6:$B$101,"")</f>
        <v>9</v>
      </c>
      <c r="N7" s="60">
        <f>_xlfn.XLOOKUP(M7,'EVF4''21'!$B$6:$B$55,'EVF4''21'!$A$6:$A$55,0)</f>
        <v>27.333300000000001</v>
      </c>
      <c r="O7" s="74" t="str">
        <f>_xlfn.XLOOKUP($B7,'EVF6'!$C$6:$C$101,'EVF6'!$B$6:$B$101,"")</f>
        <v/>
      </c>
      <c r="P7" s="62" t="str">
        <f>_xlfn.XLOOKUP(O7,'EVF6'!$B$6:$B$55,'EVF6'!$A$6:$A$55,0)</f>
        <v/>
      </c>
      <c r="Q7" s="98">
        <f t="shared" ref="Q7:Q23" si="2">MAX(F7,H7,J7,N7,P7)</f>
        <v>79.179704053839387</v>
      </c>
    </row>
    <row r="8" spans="1:22" ht="15.75" customHeight="1">
      <c r="A8" s="58">
        <f t="shared" si="0"/>
        <v>3</v>
      </c>
      <c r="B8" s="54" t="s">
        <v>18</v>
      </c>
      <c r="C8" s="85"/>
      <c r="D8" s="56">
        <f t="shared" si="1"/>
        <v>73.183900667909256</v>
      </c>
      <c r="E8" s="74" t="s">
        <v>94</v>
      </c>
      <c r="F8" s="60" t="str">
        <f>_xlfn.XLOOKUP(E8,'EVF1'!$B$6:$B$55,'EVF1'!$A$6:$A$55,0)</f>
        <v/>
      </c>
      <c r="G8" s="74" t="str">
        <f>_xlfn.XLOOKUP($B8,'EVF2'!$C$6:$C$101,'EVF2'!$B$6:$B$101,"")</f>
        <v/>
      </c>
      <c r="H8" s="62" t="str">
        <f>_xlfn.XLOOKUP(G8,'EVF2'!$B$6:$B$55,'EVF2'!$A$6:$A$55,0)</f>
        <v/>
      </c>
      <c r="I8" s="74">
        <f>_xlfn.XLOOKUP($B8,'EVF3'!$C$6:$C$101,'EVF3'!$B$6:$B$101,"")</f>
        <v>5</v>
      </c>
      <c r="J8" s="60">
        <f>_xlfn.XLOOKUP(I8,'EVF3'!$B$6:$B$55,'EVF3'!$A$6:$A$55,0)</f>
        <v>27.111800667909257</v>
      </c>
      <c r="K8" s="74" t="str">
        <f>_xlfn.XLOOKUP($B8,'EVF4'!$C$6:$C$101,'EVF4'!$B$6:$B$101,"")</f>
        <v/>
      </c>
      <c r="L8" s="60" t="str">
        <f>_xlfn.XLOOKUP(K8,'EVF4'!$B$6:$B$55,'EVF4'!$A$6:$A$55,0)</f>
        <v/>
      </c>
      <c r="M8" s="74">
        <f>_xlfn.XLOOKUP($B8,'EVF4''21'!$C$6:$C$101,'EVF4''21'!$B$6:$B$101,"")</f>
        <v>5</v>
      </c>
      <c r="N8" s="60">
        <f>_xlfn.XLOOKUP(M8,'EVF4''21'!$B$6:$B$55,'EVF4''21'!$A$6:$A$55,0)</f>
        <v>46.072099999999999</v>
      </c>
      <c r="O8" s="74" t="str">
        <f>_xlfn.XLOOKUP($B8,'EVF6'!$C$6:$C$101,'EVF6'!$B$6:$B$101,"")</f>
        <v/>
      </c>
      <c r="P8" s="62" t="str">
        <f>_xlfn.XLOOKUP(O8,'EVF6'!$B$6:$B$55,'EVF6'!$A$6:$A$55,0)</f>
        <v/>
      </c>
      <c r="Q8" s="98">
        <f t="shared" si="2"/>
        <v>46.072099999999999</v>
      </c>
    </row>
    <row r="9" spans="1:22" ht="14.85" customHeight="1">
      <c r="A9" s="58">
        <f t="shared" si="0"/>
        <v>4</v>
      </c>
      <c r="B9" s="54" t="s">
        <v>20</v>
      </c>
      <c r="C9" s="55"/>
      <c r="D9" s="56">
        <f t="shared" si="1"/>
        <v>54.222251682132963</v>
      </c>
      <c r="E9" s="74" t="s">
        <v>94</v>
      </c>
      <c r="F9" s="60" t="str">
        <f>_xlfn.XLOOKUP(E9,'EVF1'!$B$6:$B$55,'EVF1'!$A$6:$A$55,0)</f>
        <v/>
      </c>
      <c r="G9" s="74" t="str">
        <f>_xlfn.XLOOKUP($B9,'EVF2'!$C$6:$C$101,'EVF2'!$B$6:$B$101,"")</f>
        <v/>
      </c>
      <c r="H9" s="62" t="str">
        <f>_xlfn.XLOOKUP(G9,'EVF2'!$B$6:$B$55,'EVF2'!$A$6:$A$55,0)</f>
        <v/>
      </c>
      <c r="I9" s="74" t="str">
        <f>_xlfn.XLOOKUP($B9,'EVF3'!$C$6:$C$101,'EVF3'!$B$6:$B$101,"")</f>
        <v>3T</v>
      </c>
      <c r="J9" s="60">
        <f>_xlfn.XLOOKUP(I9,'EVF3'!$B$6:$B$55,'EVF3'!$A$6:$A$55,0)</f>
        <v>54.222251682132963</v>
      </c>
      <c r="K9" s="74" t="str">
        <f>_xlfn.XLOOKUP($B9,'EVF4'!$C$6:$C$101,'EVF4'!$B$6:$B$101,"")</f>
        <v/>
      </c>
      <c r="L9" s="60" t="str">
        <f>_xlfn.XLOOKUP(K9,'EVF4'!$B$6:$B$55,'EVF4'!$A$6:$A$55,0)</f>
        <v/>
      </c>
      <c r="M9" s="74" t="str">
        <f>_xlfn.XLOOKUP($B9,'EVF4''21'!$C$6:$C$101,'EVF4''21'!$B$6:$B$101,"")</f>
        <v/>
      </c>
      <c r="N9" s="60">
        <f>_xlfn.XLOOKUP(M9,'EVF4''21'!$B$6:$B$55,'EVF4''21'!$A$6:$A$55,0)</f>
        <v>0</v>
      </c>
      <c r="O9" s="74" t="str">
        <f>_xlfn.XLOOKUP($B9,'EVF6'!$C$6:$C$101,'EVF6'!$B$6:$B$101,"")</f>
        <v/>
      </c>
      <c r="P9" s="62" t="str">
        <f>_xlfn.XLOOKUP(O9,'EVF6'!$B$6:$B$55,'EVF6'!$A$6:$A$55,0)</f>
        <v/>
      </c>
      <c r="Q9" s="98">
        <f t="shared" si="2"/>
        <v>54.222251682132963</v>
      </c>
    </row>
    <row r="10" spans="1:22" ht="14.85" customHeight="1">
      <c r="A10" s="58">
        <f t="shared" si="0"/>
        <v>5</v>
      </c>
      <c r="B10" s="54" t="s">
        <v>22</v>
      </c>
      <c r="C10" s="55"/>
      <c r="D10" s="56">
        <f t="shared" si="1"/>
        <v>31.264074920848518</v>
      </c>
      <c r="E10" s="74" t="s">
        <v>94</v>
      </c>
      <c r="F10" s="60" t="str">
        <f>_xlfn.XLOOKUP(E10,'EVF1'!$B$6:$B$55,'EVF1'!$A$6:$A$55,0)</f>
        <v/>
      </c>
      <c r="G10" s="74" t="str">
        <f>_xlfn.XLOOKUP($B10,'EVF2'!$C$6:$C$101,'EVF2'!$B$6:$B$101,"")</f>
        <v/>
      </c>
      <c r="H10" s="62" t="str">
        <f>_xlfn.XLOOKUP(G10,'EVF2'!$B$6:$B$55,'EVF2'!$A$6:$A$55,0)</f>
        <v/>
      </c>
      <c r="I10" s="74">
        <f>_xlfn.XLOOKUP($B10,'EVF3'!$C$6:$C$101,'EVF3'!$B$6:$B$101,"")</f>
        <v>6</v>
      </c>
      <c r="J10" s="60">
        <f>_xlfn.XLOOKUP(I10,'EVF3'!$B$6:$B$55,'EVF3'!$A$6:$A$55,0)</f>
        <v>23.386134920848519</v>
      </c>
      <c r="K10" s="74" t="str">
        <f>_xlfn.XLOOKUP($B10,'EVF4'!$C$6:$C$101,'EVF4'!$B$6:$B$101,"")</f>
        <v/>
      </c>
      <c r="L10" s="60" t="str">
        <f>_xlfn.XLOOKUP(K10,'EVF4'!$B$6:$B$55,'EVF4'!$A$6:$A$55,0)</f>
        <v/>
      </c>
      <c r="M10" s="74">
        <f>_xlfn.XLOOKUP($B10,'EVF4''21'!$C$6:$C$101,'EVF4''21'!$B$6:$B$101,"")</f>
        <v>17</v>
      </c>
      <c r="N10" s="60">
        <f>_xlfn.XLOOKUP(M10,'EVF4''21'!$B$6:$B$55,'EVF4''21'!$A$6:$A$55,0)</f>
        <v>7.8779399999999997</v>
      </c>
      <c r="O10" s="74" t="str">
        <f>_xlfn.XLOOKUP($B10,'EVF6'!$C$6:$C$101,'EVF6'!$B$6:$B$101,"")</f>
        <v/>
      </c>
      <c r="P10" s="62" t="str">
        <f>_xlfn.XLOOKUP(O10,'EVF6'!$B$6:$B$55,'EVF6'!$A$6:$A$55,0)</f>
        <v/>
      </c>
      <c r="Q10" s="98">
        <f t="shared" si="2"/>
        <v>23.386134920848519</v>
      </c>
    </row>
    <row r="11" spans="1:22" ht="14.85" customHeight="1">
      <c r="A11" s="58">
        <f t="shared" si="0"/>
        <v>6</v>
      </c>
      <c r="B11" s="54" t="s">
        <v>95</v>
      </c>
      <c r="C11" s="55"/>
      <c r="D11" s="56">
        <f t="shared" si="1"/>
        <v>22.243820531270494</v>
      </c>
      <c r="E11" s="74" t="s">
        <v>94</v>
      </c>
      <c r="F11" s="60" t="str">
        <f>_xlfn.XLOOKUP(E11,'EVF1'!$B$6:$B$55,'EVF1'!$A$6:$A$55,0)</f>
        <v/>
      </c>
      <c r="G11" s="74" t="str">
        <f>_xlfn.XLOOKUP($B11,'EVF2'!$C$6:$C$101,'EVF2'!$B$6:$B$101,"")</f>
        <v/>
      </c>
      <c r="H11" s="62" t="str">
        <f>_xlfn.XLOOKUP(G11,'EVF2'!$B$6:$B$55,'EVF2'!$A$6:$A$55,0)</f>
        <v/>
      </c>
      <c r="I11" s="74">
        <f>_xlfn.XLOOKUP($B11,'EVF3'!$C$6:$C$101,'EVF3'!$B$6:$B$101,"")</f>
        <v>8</v>
      </c>
      <c r="J11" s="60">
        <f>_xlfn.XLOOKUP(I11,'EVF3'!$B$6:$B$55,'EVF3'!$A$6:$A$55,0)</f>
        <v>17.507470531270492</v>
      </c>
      <c r="K11" s="74" t="str">
        <f>_xlfn.XLOOKUP($B11,'EVF4'!$C$6:$C$101,'EVF4'!$B$6:$B$101,"")</f>
        <v/>
      </c>
      <c r="L11" s="60" t="str">
        <f>_xlfn.XLOOKUP(K11,'EVF4'!$B$6:$B$55,'EVF4'!$A$6:$A$55,0)</f>
        <v/>
      </c>
      <c r="M11" s="74">
        <f>_xlfn.XLOOKUP($B11,'EVF4''21'!$C$6:$C$101,'EVF4''21'!$B$6:$B$101,"")</f>
        <v>21</v>
      </c>
      <c r="N11" s="60">
        <f>_xlfn.XLOOKUP(M11,'EVF4''21'!$B$6:$B$55,'EVF4''21'!$A$6:$A$55,0)</f>
        <v>4.7363499999999998</v>
      </c>
      <c r="O11" s="74" t="str">
        <f>_xlfn.XLOOKUP($B11,'EVF6'!$C$6:$C$101,'EVF6'!$B$6:$B$101,"")</f>
        <v/>
      </c>
      <c r="P11" s="62" t="str">
        <f>_xlfn.XLOOKUP(O11,'EVF6'!$B$6:$B$55,'EVF6'!$A$6:$A$55,0)</f>
        <v/>
      </c>
      <c r="Q11" s="98">
        <f t="shared" si="2"/>
        <v>17.507470531270492</v>
      </c>
    </row>
    <row r="12" spans="1:22" ht="14.85" customHeight="1">
      <c r="A12" s="58">
        <f t="shared" si="0"/>
        <v>7</v>
      </c>
      <c r="B12" s="109" t="s">
        <v>25</v>
      </c>
      <c r="C12" s="55"/>
      <c r="D12" s="56">
        <f t="shared" si="1"/>
        <v>5.1006228208500346</v>
      </c>
      <c r="E12" s="74" t="s">
        <v>94</v>
      </c>
      <c r="F12" s="60" t="str">
        <f>_xlfn.XLOOKUP(E12,'EVF1'!$B$6:$B$55,'EVF1'!$A$6:$A$55,0)</f>
        <v/>
      </c>
      <c r="G12" s="74" t="str">
        <f>_xlfn.XLOOKUP($B12,'EVF2'!$C$6:$C$101,'EVF2'!$B$6:$B$101,"")</f>
        <v/>
      </c>
      <c r="H12" s="62" t="str">
        <f>_xlfn.XLOOKUP(G12,'EVF2'!$B$6:$B$55,'EVF2'!$A$6:$A$55,0)</f>
        <v/>
      </c>
      <c r="I12" s="74">
        <f>_xlfn.XLOOKUP($B12,'EVF3'!$C$6:$C$101,'EVF3'!$B$6:$B$101,"")</f>
        <v>9</v>
      </c>
      <c r="J12" s="60">
        <f>_xlfn.XLOOKUP(I12,'EVF3'!$B$6:$B$55,'EVF3'!$A$6:$A$55,0)</f>
        <v>5.1006228208500346</v>
      </c>
      <c r="K12" s="74" t="str">
        <f>_xlfn.XLOOKUP($B12,'EVF4'!$C$6:$C$101,'EVF4'!$B$6:$B$101,"")</f>
        <v/>
      </c>
      <c r="L12" s="60" t="str">
        <f>_xlfn.XLOOKUP(K12,'EVF4'!$B$6:$B$55,'EVF4'!$A$6:$A$55,0)</f>
        <v/>
      </c>
      <c r="M12" s="74" t="str">
        <f>_xlfn.XLOOKUP($B12,'EVF4''21'!$C$6:$C$101,'EVF4''21'!$B$6:$B$101,"")</f>
        <v/>
      </c>
      <c r="N12" s="60">
        <f>_xlfn.XLOOKUP(M12,'EVF4''21'!$B$6:$B$55,'EVF4''21'!$A$6:$A$55,0)</f>
        <v>0</v>
      </c>
      <c r="O12" s="74" t="str">
        <f>_xlfn.XLOOKUP($B12,'EVF6'!$C$6:$C$101,'EVF6'!$B$6:$B$101,"")</f>
        <v/>
      </c>
      <c r="P12" s="62" t="str">
        <f>_xlfn.XLOOKUP(O12,'EVF6'!$B$6:$B$55,'EVF6'!$A$6:$A$55,0)</f>
        <v/>
      </c>
      <c r="Q12" s="98">
        <f t="shared" si="2"/>
        <v>5.1006228208500346</v>
      </c>
    </row>
    <row r="13" spans="1:22" ht="14.85" customHeight="1">
      <c r="A13" s="58">
        <f t="shared" si="0"/>
        <v>8</v>
      </c>
      <c r="B13" s="54" t="s">
        <v>26</v>
      </c>
      <c r="C13" s="55"/>
      <c r="D13" s="56">
        <f t="shared" si="1"/>
        <v>2.9476241783327595</v>
      </c>
      <c r="E13" s="74" t="s">
        <v>94</v>
      </c>
      <c r="F13" s="60" t="str">
        <f>_xlfn.XLOOKUP(E13,'EVF1'!$B$6:$B$55,'EVF1'!$A$6:$A$55,0)</f>
        <v/>
      </c>
      <c r="G13" s="74" t="str">
        <f>_xlfn.XLOOKUP($B13,'EVF2'!$C$6:$C$101,'EVF2'!$B$6:$B$101,"")</f>
        <v/>
      </c>
      <c r="H13" s="62" t="str">
        <f>_xlfn.XLOOKUP(G13,'EVF2'!$B$6:$B$55,'EVF2'!$A$6:$A$55,0)</f>
        <v/>
      </c>
      <c r="I13" s="74">
        <f>_xlfn.XLOOKUP($B13,'EVF3'!$C$6:$C$101,'EVF3'!$B$6:$B$101,"")</f>
        <v>10</v>
      </c>
      <c r="J13" s="60">
        <f>_xlfn.XLOOKUP(I13,'EVF3'!$B$6:$B$55,'EVF3'!$A$6:$A$55,0)</f>
        <v>2.9476241783327595</v>
      </c>
      <c r="K13" s="74" t="str">
        <f>_xlfn.XLOOKUP($B13,'EVF4'!$C$6:$C$101,'EVF4'!$B$6:$B$101,"")</f>
        <v/>
      </c>
      <c r="L13" s="60" t="str">
        <f>_xlfn.XLOOKUP(K13,'EVF4'!$B$6:$B$55,'EVF4'!$A$6:$A$55,0)</f>
        <v/>
      </c>
      <c r="M13" s="74" t="str">
        <f>_xlfn.XLOOKUP($B13,'EVF4''21'!$C$6:$C$101,'EVF4''21'!$B$6:$B$101,"")</f>
        <v/>
      </c>
      <c r="N13" s="60">
        <f>_xlfn.XLOOKUP(M13,'EVF4''21'!$B$6:$B$55,'EVF4''21'!$A$6:$A$55,0)</f>
        <v>0</v>
      </c>
      <c r="O13" s="74" t="str">
        <f>_xlfn.XLOOKUP($B13,'EVF6'!$C$6:$C$101,'EVF6'!$B$6:$B$101,"")</f>
        <v/>
      </c>
      <c r="P13" s="62" t="str">
        <f>_xlfn.XLOOKUP(O13,'EVF6'!$B$6:$B$55,'EVF6'!$A$6:$A$55,0)</f>
        <v/>
      </c>
      <c r="Q13" s="98">
        <f t="shared" si="2"/>
        <v>2.9476241783327595</v>
      </c>
    </row>
    <row r="14" spans="1:22" ht="14.85" customHeight="1">
      <c r="A14" s="58">
        <f t="shared" si="0"/>
        <v>9</v>
      </c>
      <c r="B14" s="110" t="s">
        <v>96</v>
      </c>
      <c r="C14" s="55"/>
      <c r="D14" s="56">
        <f t="shared" si="1"/>
        <v>0</v>
      </c>
      <c r="E14" s="74" t="s">
        <v>94</v>
      </c>
      <c r="F14" s="60" t="str">
        <f>_xlfn.XLOOKUP(E14,'EVF1'!$B$6:$B$55,'EVF1'!$A$6:$A$55,0)</f>
        <v/>
      </c>
      <c r="G14" s="74" t="str">
        <f>_xlfn.XLOOKUP($B14,'EVF2'!$C$6:$C$101,'EVF2'!$B$6:$B$101,"")</f>
        <v/>
      </c>
      <c r="H14" s="62" t="str">
        <f>_xlfn.XLOOKUP(G14,'EVF2'!$B$6:$B$55,'EVF2'!$A$6:$A$55,0)</f>
        <v/>
      </c>
      <c r="I14" s="74" t="str">
        <f>_xlfn.XLOOKUP($B14,'EVF3'!$C$6:$C$101,'EVF3'!$B$6:$B$101,"")</f>
        <v/>
      </c>
      <c r="J14" s="60" t="str">
        <f>_xlfn.XLOOKUP(I14,'EVF3'!$B$6:$B$55,'EVF3'!$A$6:$A$55,0)</f>
        <v/>
      </c>
      <c r="K14" s="74" t="str">
        <f>_xlfn.XLOOKUP($B14,'EVF4'!$C$6:$C$101,'EVF4'!$B$6:$B$101,"")</f>
        <v/>
      </c>
      <c r="L14" s="60" t="str">
        <f>_xlfn.XLOOKUP(K14,'EVF4'!$B$6:$B$55,'EVF4'!$A$6:$A$55,0)</f>
        <v/>
      </c>
      <c r="M14" s="74" t="str">
        <f>_xlfn.XLOOKUP($B14,'EVF4''21'!$C$6:$C$101,'EVF4''21'!$B$6:$B$101,"")</f>
        <v/>
      </c>
      <c r="N14" s="60">
        <f>_xlfn.XLOOKUP(M14,'EVF4''21'!$B$6:$B$55,'EVF4''21'!$A$6:$A$55,0)</f>
        <v>0</v>
      </c>
      <c r="O14" s="74" t="str">
        <f>_xlfn.XLOOKUP($B14,'EVF6'!$C$6:$C$101,'EVF6'!$B$6:$B$101,"")</f>
        <v/>
      </c>
      <c r="P14" s="62" t="str">
        <f>_xlfn.XLOOKUP(O14,'EVF6'!$B$6:$B$55,'EVF6'!$A$6:$A$55,0)</f>
        <v/>
      </c>
      <c r="Q14" s="98">
        <f t="shared" si="2"/>
        <v>0</v>
      </c>
    </row>
    <row r="15" spans="1:22" ht="14.85" customHeight="1">
      <c r="A15" s="58">
        <f t="shared" si="0"/>
        <v>10</v>
      </c>
      <c r="B15" s="54" t="s">
        <v>97</v>
      </c>
      <c r="C15" s="55"/>
      <c r="D15" s="56">
        <f t="shared" si="1"/>
        <v>0</v>
      </c>
      <c r="E15" s="74" t="s">
        <v>94</v>
      </c>
      <c r="F15" s="60" t="str">
        <f>_xlfn.XLOOKUP(E15,'EVF1'!$B$6:$B$55,'EVF1'!$A$6:$A$55,0)</f>
        <v/>
      </c>
      <c r="G15" s="74" t="str">
        <f>_xlfn.XLOOKUP($B15,'EVF2'!$C$6:$C$101,'EVF2'!$B$6:$B$101,"")</f>
        <v/>
      </c>
      <c r="H15" s="62" t="str">
        <f>_xlfn.XLOOKUP(G15,'EVF2'!$B$6:$B$55,'EVF2'!$A$6:$A$55,0)</f>
        <v/>
      </c>
      <c r="I15" s="74" t="str">
        <f>_xlfn.XLOOKUP($B15,'EVF3'!$C$6:$C$101,'EVF3'!$B$6:$B$101,"")</f>
        <v/>
      </c>
      <c r="J15" s="60" t="str">
        <f>_xlfn.XLOOKUP(I15,'EVF3'!$B$6:$B$55,'EVF3'!$A$6:$A$55,0)</f>
        <v/>
      </c>
      <c r="K15" s="74" t="str">
        <f>_xlfn.XLOOKUP($B15,'EVF4'!$C$6:$C$101,'EVF4'!$B$6:$B$101,"")</f>
        <v/>
      </c>
      <c r="L15" s="60" t="str">
        <f>_xlfn.XLOOKUP(K15,'EVF4'!$B$6:$B$55,'EVF4'!$A$6:$A$55,0)</f>
        <v/>
      </c>
      <c r="M15" s="74" t="str">
        <f>_xlfn.XLOOKUP($B15,'EVF4''21'!$C$6:$C$101,'EVF4''21'!$B$6:$B$101,"")</f>
        <v/>
      </c>
      <c r="N15" s="60">
        <f>_xlfn.XLOOKUP(M15,'EVF4''21'!$B$6:$B$55,'EVF4''21'!$A$6:$A$55,0)</f>
        <v>0</v>
      </c>
      <c r="O15" s="74" t="str">
        <f>_xlfn.XLOOKUP($B15,'EVF6'!$C$6:$C$101,'EVF6'!$B$6:$B$101,"")</f>
        <v/>
      </c>
      <c r="P15" s="62" t="str">
        <f>_xlfn.XLOOKUP(O15,'EVF6'!$B$6:$B$55,'EVF6'!$A$6:$A$55,0)</f>
        <v/>
      </c>
      <c r="Q15" s="98">
        <f t="shared" si="2"/>
        <v>0</v>
      </c>
    </row>
    <row r="16" spans="1:22" ht="14.85" customHeight="1">
      <c r="A16" s="58">
        <f t="shared" si="0"/>
        <v>11</v>
      </c>
      <c r="B16" s="54" t="s">
        <v>29</v>
      </c>
      <c r="C16" s="55"/>
      <c r="D16" s="56">
        <f t="shared" si="1"/>
        <v>0</v>
      </c>
      <c r="E16" s="74" t="s">
        <v>94</v>
      </c>
      <c r="F16" s="60" t="str">
        <f>_xlfn.XLOOKUP(E16,'EVF1'!$B$6:$B$55,'EVF1'!$A$6:$A$55,0)</f>
        <v/>
      </c>
      <c r="G16" s="74" t="str">
        <f>_xlfn.XLOOKUP($B16,'EVF2'!$C$6:$C$101,'EVF2'!$B$6:$B$101,"")</f>
        <v/>
      </c>
      <c r="H16" s="62" t="str">
        <f>_xlfn.XLOOKUP(G16,'EVF2'!$B$6:$B$55,'EVF2'!$A$6:$A$55,0)</f>
        <v/>
      </c>
      <c r="I16" s="74" t="str">
        <f>_xlfn.XLOOKUP($B16,'EVF3'!$C$6:$C$101,'EVF3'!$B$6:$B$101,"")</f>
        <v/>
      </c>
      <c r="J16" s="60" t="str">
        <f>_xlfn.XLOOKUP(I16,'EVF3'!$B$6:$B$55,'EVF3'!$A$6:$A$55,0)</f>
        <v/>
      </c>
      <c r="K16" s="74" t="str">
        <f>_xlfn.XLOOKUP($B16,'EVF4'!$C$6:$C$101,'EVF4'!$B$6:$B$101,"")</f>
        <v/>
      </c>
      <c r="L16" s="60" t="str">
        <f>_xlfn.XLOOKUP(K16,'EVF4'!$B$6:$B$55,'EVF4'!$A$6:$A$55,0)</f>
        <v/>
      </c>
      <c r="M16" s="74" t="str">
        <f>_xlfn.XLOOKUP($B16,'EVF4''21'!$C$6:$C$101,'EVF4''21'!$B$6:$B$101,"")</f>
        <v/>
      </c>
      <c r="N16" s="60">
        <f>_xlfn.XLOOKUP(M16,'EVF4''21'!$B$6:$B$55,'EVF4''21'!$A$6:$A$55,0)</f>
        <v>0</v>
      </c>
      <c r="O16" s="74" t="str">
        <f>_xlfn.XLOOKUP($B16,'EVF6'!$C$6:$C$101,'EVF6'!$B$6:$B$101,"")</f>
        <v/>
      </c>
      <c r="P16" s="62" t="str">
        <f>_xlfn.XLOOKUP(O16,'EVF6'!$B$6:$B$55,'EVF6'!$A$6:$A$55,0)</f>
        <v/>
      </c>
      <c r="Q16" s="98">
        <f t="shared" si="2"/>
        <v>0</v>
      </c>
    </row>
    <row r="17" spans="1:17" ht="14.85" customHeight="1">
      <c r="A17" s="58">
        <f t="shared" si="0"/>
        <v>12</v>
      </c>
      <c r="B17" s="54" t="s">
        <v>98</v>
      </c>
      <c r="C17" s="55"/>
      <c r="D17" s="56">
        <f t="shared" si="1"/>
        <v>0</v>
      </c>
      <c r="E17" s="74" t="s">
        <v>94</v>
      </c>
      <c r="F17" s="60" t="str">
        <f>_xlfn.XLOOKUP(E17,'EVF1'!$B$6:$B$55,'EVF1'!$A$6:$A$55,0)</f>
        <v/>
      </c>
      <c r="G17" s="74" t="str">
        <f>_xlfn.XLOOKUP($B17,'EVF2'!$C$6:$C$101,'EVF2'!$B$6:$B$101,"")</f>
        <v/>
      </c>
      <c r="H17" s="62" t="str">
        <f>_xlfn.XLOOKUP(G17,'EVF2'!$B$6:$B$55,'EVF2'!$A$6:$A$55,0)</f>
        <v/>
      </c>
      <c r="I17" s="74" t="str">
        <f>_xlfn.XLOOKUP($B17,'EVF3'!$C$6:$C$101,'EVF3'!$B$6:$B$101,"")</f>
        <v/>
      </c>
      <c r="J17" s="60" t="str">
        <f>_xlfn.XLOOKUP(I17,'EVF3'!$B$6:$B$55,'EVF3'!$A$6:$A$55,0)</f>
        <v/>
      </c>
      <c r="K17" s="74" t="str">
        <f>_xlfn.XLOOKUP($B17,'EVF4'!$C$6:$C$101,'EVF4'!$B$6:$B$101,"")</f>
        <v/>
      </c>
      <c r="L17" s="60" t="str">
        <f>_xlfn.XLOOKUP(K17,'EVF4'!$B$6:$B$55,'EVF4'!$A$6:$A$55,0)</f>
        <v/>
      </c>
      <c r="M17" s="74" t="str">
        <f>_xlfn.XLOOKUP($B17,'EVF4''21'!$C$6:$C$101,'EVF4''21'!$B$6:$B$101,"")</f>
        <v/>
      </c>
      <c r="N17" s="60">
        <f>_xlfn.XLOOKUP(M17,'EVF4''21'!$B$6:$B$55,'EVF4''21'!$A$6:$A$55,0)</f>
        <v>0</v>
      </c>
      <c r="O17" s="74" t="str">
        <f>_xlfn.XLOOKUP($B17,'EVF6'!$C$6:$C$101,'EVF6'!$B$6:$B$101,"")</f>
        <v/>
      </c>
      <c r="P17" s="62" t="str">
        <f>_xlfn.XLOOKUP(O17,'EVF6'!$B$6:$B$55,'EVF6'!$A$6:$A$55,0)</f>
        <v/>
      </c>
      <c r="Q17" s="98">
        <f t="shared" si="2"/>
        <v>0</v>
      </c>
    </row>
    <row r="18" spans="1:17" ht="14.85" customHeight="1">
      <c r="A18" s="58">
        <f t="shared" si="0"/>
        <v>13</v>
      </c>
      <c r="B18" s="54" t="s">
        <v>99</v>
      </c>
      <c r="C18" s="55"/>
      <c r="D18" s="56">
        <f t="shared" si="1"/>
        <v>0</v>
      </c>
      <c r="E18" s="74" t="s">
        <v>94</v>
      </c>
      <c r="F18" s="60" t="str">
        <f>_xlfn.XLOOKUP(E18,'EVF1'!$B$6:$B$55,'EVF1'!$A$6:$A$55,0)</f>
        <v/>
      </c>
      <c r="G18" s="74" t="str">
        <f>_xlfn.XLOOKUP($B18,'EVF2'!$C$6:$C$101,'EVF2'!$B$6:$B$101,"")</f>
        <v/>
      </c>
      <c r="H18" s="62" t="str">
        <f>_xlfn.XLOOKUP(G18,'EVF2'!$B$6:$B$55,'EVF2'!$A$6:$A$55,0)</f>
        <v/>
      </c>
      <c r="I18" s="74" t="str">
        <f>_xlfn.XLOOKUP($B18,'EVF3'!$C$6:$C$101,'EVF3'!$B$6:$B$101,"")</f>
        <v/>
      </c>
      <c r="J18" s="60" t="str">
        <f>_xlfn.XLOOKUP(I18,'EVF3'!$B$6:$B$55,'EVF3'!$A$6:$A$55,0)</f>
        <v/>
      </c>
      <c r="K18" s="74" t="str">
        <f>_xlfn.XLOOKUP($B18,'EVF4'!$C$6:$C$101,'EVF4'!$B$6:$B$101,"")</f>
        <v/>
      </c>
      <c r="L18" s="60" t="str">
        <f>_xlfn.XLOOKUP(K18,'EVF4'!$B$6:$B$55,'EVF4'!$A$6:$A$55,0)</f>
        <v/>
      </c>
      <c r="M18" s="74" t="str">
        <f>_xlfn.XLOOKUP($B18,'EVF4''21'!$C$6:$C$101,'EVF4''21'!$B$6:$B$101,"")</f>
        <v/>
      </c>
      <c r="N18" s="60">
        <f>_xlfn.XLOOKUP(M18,'EVF4''21'!$B$6:$B$55,'EVF4''21'!$A$6:$A$55,0)</f>
        <v>0</v>
      </c>
      <c r="O18" s="74" t="str">
        <f>_xlfn.XLOOKUP($B18,'EVF6'!$C$6:$C$101,'EVF6'!$B$6:$B$101,"")</f>
        <v/>
      </c>
      <c r="P18" s="62" t="str">
        <f>_xlfn.XLOOKUP(O18,'EVF6'!$B$6:$B$55,'EVF6'!$A$6:$A$55,0)</f>
        <v/>
      </c>
      <c r="Q18" s="98">
        <f t="shared" si="2"/>
        <v>0</v>
      </c>
    </row>
    <row r="19" spans="1:17" ht="14.85" customHeight="1">
      <c r="A19" s="58">
        <f t="shared" si="0"/>
        <v>14</v>
      </c>
      <c r="B19" s="54" t="s">
        <v>100</v>
      </c>
      <c r="C19" s="55"/>
      <c r="D19" s="56">
        <f t="shared" si="1"/>
        <v>0</v>
      </c>
      <c r="E19" s="74" t="s">
        <v>94</v>
      </c>
      <c r="F19" s="60" t="str">
        <f>_xlfn.XLOOKUP(E19,'EVF1'!$B$6:$B$55,'EVF1'!$A$6:$A$55,0)</f>
        <v/>
      </c>
      <c r="G19" s="74" t="str">
        <f>_xlfn.XLOOKUP($B19,'EVF2'!$C$6:$C$101,'EVF2'!$B$6:$B$101,"")</f>
        <v/>
      </c>
      <c r="H19" s="62" t="str">
        <f>_xlfn.XLOOKUP(G19,'EVF2'!$B$6:$B$55,'EVF2'!$A$6:$A$55,0)</f>
        <v/>
      </c>
      <c r="I19" s="74" t="str">
        <f>_xlfn.XLOOKUP($B19,'EVF3'!$C$6:$C$101,'EVF3'!$B$6:$B$101,"")</f>
        <v/>
      </c>
      <c r="J19" s="60" t="str">
        <f>_xlfn.XLOOKUP(I19,'EVF3'!$B$6:$B$55,'EVF3'!$A$6:$A$55,0)</f>
        <v/>
      </c>
      <c r="K19" s="74" t="str">
        <f>_xlfn.XLOOKUP($B19,'EVF4'!$C$6:$C$101,'EVF4'!$B$6:$B$101,"")</f>
        <v/>
      </c>
      <c r="L19" s="60" t="str">
        <f>_xlfn.XLOOKUP(K19,'EVF4'!$B$6:$B$55,'EVF4'!$A$6:$A$55,0)</f>
        <v/>
      </c>
      <c r="M19" s="74" t="str">
        <f>_xlfn.XLOOKUP($B19,'EVF4''21'!$C$6:$C$101,'EVF4''21'!$B$6:$B$101,"")</f>
        <v/>
      </c>
      <c r="N19" s="60">
        <f>_xlfn.XLOOKUP(M19,'EVF4''21'!$B$6:$B$55,'EVF4''21'!$A$6:$A$55,0)</f>
        <v>0</v>
      </c>
      <c r="O19" s="74" t="str">
        <f>_xlfn.XLOOKUP($B19,'EVF6'!$C$6:$C$101,'EVF6'!$B$6:$B$101,"")</f>
        <v/>
      </c>
      <c r="P19" s="62" t="str">
        <f>_xlfn.XLOOKUP(O19,'EVF6'!$B$6:$B$55,'EVF6'!$A$6:$A$55,0)</f>
        <v/>
      </c>
      <c r="Q19" s="98">
        <f t="shared" si="2"/>
        <v>0</v>
      </c>
    </row>
    <row r="20" spans="1:17" ht="14.85" customHeight="1">
      <c r="A20" s="58">
        <f t="shared" si="0"/>
        <v>15</v>
      </c>
      <c r="B20" s="54" t="s">
        <v>101</v>
      </c>
      <c r="C20" s="55"/>
      <c r="D20" s="56">
        <f t="shared" si="1"/>
        <v>0</v>
      </c>
      <c r="E20" s="74" t="s">
        <v>94</v>
      </c>
      <c r="F20" s="60" t="str">
        <f>_xlfn.XLOOKUP(E20,'EVF1'!$B$6:$B$55,'EVF1'!$A$6:$A$55,0)</f>
        <v/>
      </c>
      <c r="G20" s="74" t="str">
        <f>_xlfn.XLOOKUP($B20,'EVF2'!$C$6:$C$101,'EVF2'!$B$6:$B$101,"")</f>
        <v/>
      </c>
      <c r="H20" s="62" t="str">
        <f>_xlfn.XLOOKUP(G20,'EVF2'!$B$6:$B$55,'EVF2'!$A$6:$A$55,0)</f>
        <v/>
      </c>
      <c r="I20" s="74" t="str">
        <f>_xlfn.XLOOKUP($B20,'EVF3'!$C$6:$C$101,'EVF3'!$B$6:$B$101,"")</f>
        <v/>
      </c>
      <c r="J20" s="60" t="str">
        <f>_xlfn.XLOOKUP(I20,'EVF3'!$B$6:$B$55,'EVF3'!$A$6:$A$55,0)</f>
        <v/>
      </c>
      <c r="K20" s="74" t="str">
        <f>_xlfn.XLOOKUP($B20,'EVF4'!$C$6:$C$101,'EVF4'!$B$6:$B$101,"")</f>
        <v/>
      </c>
      <c r="L20" s="60" t="str">
        <f>_xlfn.XLOOKUP(K20,'EVF4'!$B$6:$B$55,'EVF4'!$A$6:$A$55,0)</f>
        <v/>
      </c>
      <c r="M20" s="74" t="str">
        <f>_xlfn.XLOOKUP($B20,'EVF4''21'!$C$6:$C$101,'EVF4''21'!$B$6:$B$101,"")</f>
        <v/>
      </c>
      <c r="N20" s="60">
        <f>_xlfn.XLOOKUP(M20,'EVF4''21'!$B$6:$B$55,'EVF4''21'!$A$6:$A$55,0)</f>
        <v>0</v>
      </c>
      <c r="O20" s="74" t="str">
        <f>_xlfn.XLOOKUP($B20,'EVF6'!$C$6:$C$101,'EVF6'!$B$6:$B$101,"")</f>
        <v/>
      </c>
      <c r="P20" s="62" t="str">
        <f>_xlfn.XLOOKUP(O20,'EVF6'!$B$6:$B$55,'EVF6'!$A$6:$A$55,0)</f>
        <v/>
      </c>
      <c r="Q20" s="98">
        <f t="shared" si="2"/>
        <v>0</v>
      </c>
    </row>
    <row r="21" spans="1:17" ht="14.85" customHeight="1">
      <c r="A21" s="58">
        <f t="shared" si="0"/>
        <v>16</v>
      </c>
      <c r="B21" s="54">
        <v>16</v>
      </c>
      <c r="C21" s="55"/>
      <c r="D21" s="56">
        <f t="shared" si="1"/>
        <v>0</v>
      </c>
      <c r="E21" s="74" t="s">
        <v>94</v>
      </c>
      <c r="F21" s="60" t="str">
        <f>_xlfn.XLOOKUP(E21,'EVF1'!$B$6:$B$55,'EVF1'!$A$6:$A$55,0)</f>
        <v/>
      </c>
      <c r="G21" s="74" t="str">
        <f>_xlfn.XLOOKUP($B21,'EVF2'!$C$6:$C$101,'EVF2'!$B$6:$B$101,"")</f>
        <v/>
      </c>
      <c r="H21" s="62" t="str">
        <f>_xlfn.XLOOKUP(G21,'EVF2'!$B$6:$B$55,'EVF2'!$A$6:$A$55,0)</f>
        <v/>
      </c>
      <c r="I21" s="74" t="str">
        <f>_xlfn.XLOOKUP($B21,'EVF3'!$C$6:$C$101,'EVF3'!$B$6:$B$101,"")</f>
        <v/>
      </c>
      <c r="J21" s="60" t="str">
        <f>_xlfn.XLOOKUP(I21,'EVF3'!$B$6:$B$55,'EVF3'!$A$6:$A$55,0)</f>
        <v/>
      </c>
      <c r="K21" s="74" t="str">
        <f>_xlfn.XLOOKUP($B21,'EVF4'!$C$6:$C$101,'EVF4'!$B$6:$B$101,"")</f>
        <v/>
      </c>
      <c r="L21" s="60" t="str">
        <f>_xlfn.XLOOKUP(K21,'EVF4'!$B$6:$B$55,'EVF4'!$A$6:$A$55,0)</f>
        <v/>
      </c>
      <c r="M21" s="74" t="str">
        <f>_xlfn.XLOOKUP($B21,'EVF4''21'!$C$6:$C$101,'EVF4''21'!$B$6:$B$101,"")</f>
        <v/>
      </c>
      <c r="N21" s="60">
        <f>_xlfn.XLOOKUP(M21,'EVF4''21'!$B$6:$B$55,'EVF4''21'!$A$6:$A$55,0)</f>
        <v>0</v>
      </c>
      <c r="O21" s="74" t="str">
        <f>_xlfn.XLOOKUP($B21,'EVF6'!$C$6:$C$101,'EVF6'!$B$6:$B$101,"")</f>
        <v/>
      </c>
      <c r="P21" s="62" t="str">
        <f>_xlfn.XLOOKUP(O21,'EVF6'!$B$6:$B$55,'EVF6'!$A$6:$A$55,0)</f>
        <v/>
      </c>
      <c r="Q21" s="98">
        <f t="shared" si="2"/>
        <v>0</v>
      </c>
    </row>
    <row r="22" spans="1:17" ht="14.85" customHeight="1">
      <c r="A22" s="58">
        <f t="shared" si="0"/>
        <v>17</v>
      </c>
      <c r="B22" s="54">
        <v>17</v>
      </c>
      <c r="C22" s="55"/>
      <c r="D22" s="56">
        <f t="shared" si="1"/>
        <v>0</v>
      </c>
      <c r="E22" s="74" t="s">
        <v>94</v>
      </c>
      <c r="F22" s="60" t="str">
        <f>_xlfn.XLOOKUP(E22,'EVF1'!$B$6:$B$55,'EVF1'!$A$6:$A$55,0)</f>
        <v/>
      </c>
      <c r="G22" s="74" t="str">
        <f>_xlfn.XLOOKUP($B22,'EVF2'!$C$6:$C$101,'EVF2'!$B$6:$B$101,"")</f>
        <v/>
      </c>
      <c r="H22" s="62" t="str">
        <f>_xlfn.XLOOKUP(G22,'EVF2'!$B$6:$B$55,'EVF2'!$A$6:$A$55,0)</f>
        <v/>
      </c>
      <c r="I22" s="74" t="str">
        <f>_xlfn.XLOOKUP($B22,'EVF3'!$C$6:$C$101,'EVF3'!$B$6:$B$101,"")</f>
        <v/>
      </c>
      <c r="J22" s="60" t="str">
        <f>_xlfn.XLOOKUP(I22,'EVF3'!$B$6:$B$55,'EVF3'!$A$6:$A$55,0)</f>
        <v/>
      </c>
      <c r="K22" s="74" t="str">
        <f>_xlfn.XLOOKUP($B22,'EVF4'!$C$6:$C$101,'EVF4'!$B$6:$B$101,"")</f>
        <v/>
      </c>
      <c r="L22" s="60" t="str">
        <f>_xlfn.XLOOKUP(K22,'EVF4'!$B$6:$B$55,'EVF4'!$A$6:$A$55,0)</f>
        <v/>
      </c>
      <c r="M22" s="74" t="str">
        <f>_xlfn.XLOOKUP($B22,'EVF4''21'!$C$6:$C$101,'EVF4''21'!$B$6:$B$101,"")</f>
        <v/>
      </c>
      <c r="N22" s="60">
        <f>_xlfn.XLOOKUP(M22,'EVF4''21'!$B$6:$B$55,'EVF4''21'!$A$6:$A$55,0)</f>
        <v>0</v>
      </c>
      <c r="O22" s="74" t="str">
        <f>_xlfn.XLOOKUP($B22,'EVF6'!$C$6:$C$101,'EVF6'!$B$6:$B$101,"")</f>
        <v/>
      </c>
      <c r="P22" s="62" t="str">
        <f>_xlfn.XLOOKUP(O22,'EVF6'!$B$6:$B$55,'EVF6'!$A$6:$A$55,0)</f>
        <v/>
      </c>
      <c r="Q22" s="98">
        <f t="shared" si="2"/>
        <v>0</v>
      </c>
    </row>
    <row r="23" spans="1:17" ht="14.85" customHeight="1">
      <c r="A23" s="58">
        <f t="shared" si="0"/>
        <v>18</v>
      </c>
      <c r="B23" s="54">
        <v>28</v>
      </c>
      <c r="C23" s="55"/>
      <c r="D23" s="56">
        <f t="shared" si="1"/>
        <v>0</v>
      </c>
      <c r="E23" s="74" t="s">
        <v>94</v>
      </c>
      <c r="F23" s="60" t="str">
        <f>_xlfn.XLOOKUP(E23,'EVF1'!$B$6:$B$55,'EVF1'!$A$6:$A$55,0)</f>
        <v/>
      </c>
      <c r="G23" s="74" t="str">
        <f>_xlfn.XLOOKUP($B23,'EVF2'!$C$6:$C$101,'EVF2'!$B$6:$B$101,"")</f>
        <v/>
      </c>
      <c r="H23" s="62" t="str">
        <f>_xlfn.XLOOKUP(G23,'EVF2'!$B$6:$B$55,'EVF2'!$A$6:$A$55,0)</f>
        <v/>
      </c>
      <c r="I23" s="74" t="str">
        <f>_xlfn.XLOOKUP($B23,'EVF3'!$C$6:$C$101,'EVF3'!$B$6:$B$101,"")</f>
        <v/>
      </c>
      <c r="J23" s="60" t="str">
        <f>_xlfn.XLOOKUP(I23,'EVF3'!$B$6:$B$55,'EVF3'!$A$6:$A$55,0)</f>
        <v/>
      </c>
      <c r="K23" s="74" t="str">
        <f>_xlfn.XLOOKUP($B23,'EVF4'!$C$6:$C$101,'EVF4'!$B$6:$B$101,"")</f>
        <v/>
      </c>
      <c r="L23" s="60" t="str">
        <f>_xlfn.XLOOKUP(K23,'EVF4'!$B$6:$B$55,'EVF4'!$A$6:$A$55,0)</f>
        <v/>
      </c>
      <c r="M23" s="74" t="str">
        <f>_xlfn.XLOOKUP($B23,'EVF4''21'!$C$6:$C$101,'EVF4''21'!$B$6:$B$101,"")</f>
        <v/>
      </c>
      <c r="N23" s="60">
        <f>_xlfn.XLOOKUP(M23,'EVF4''21'!$B$6:$B$55,'EVF4''21'!$A$6:$A$55,0)</f>
        <v>0</v>
      </c>
      <c r="O23" s="74" t="str">
        <f>_xlfn.XLOOKUP($B23,'EVF6'!$C$6:$C$101,'EVF6'!$B$6:$B$101,"")</f>
        <v/>
      </c>
      <c r="P23" s="62" t="str">
        <f>_xlfn.XLOOKUP(O23,'EVF6'!$B$6:$B$55,'EVF6'!$A$6:$A$55,0)</f>
        <v/>
      </c>
      <c r="Q23" s="98">
        <f t="shared" si="2"/>
        <v>0</v>
      </c>
    </row>
    <row r="24" spans="1:17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</row>
    <row r="25" spans="1:17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7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 ht="65.4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</row>
    <row r="29" spans="1:17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  <row r="30" spans="1:17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</row>
    <row r="31" spans="1:17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1:17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</row>
    <row r="33" spans="1:17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</row>
    <row r="34" spans="1:17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</row>
    <row r="35" spans="1:17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</row>
    <row r="36" spans="1:17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</row>
    <row r="37" spans="1:1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</row>
    <row r="38" spans="1:17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</row>
    <row r="39" spans="1:17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</row>
  </sheetData>
  <sheetProtection selectLockedCells="1" selectUnlockedCells="1"/>
  <autoFilter ref="A5:P5" xr:uid="{00000000-0001-0000-0000-000000000000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6:P23">
    <sortCondition descending="1" ref="D6:D23"/>
  </sortState>
  <mergeCells count="11">
    <mergeCell ref="G4:H4"/>
    <mergeCell ref="S2:V4"/>
    <mergeCell ref="A4:A5"/>
    <mergeCell ref="B4:B5"/>
    <mergeCell ref="C4:C5"/>
    <mergeCell ref="D4:D5"/>
    <mergeCell ref="E4:F4"/>
    <mergeCell ref="I4:J4"/>
    <mergeCell ref="M4:N4"/>
    <mergeCell ref="O4:P4"/>
    <mergeCell ref="K4:L4"/>
  </mergeCells>
  <conditionalFormatting sqref="A6:A23">
    <cfRule type="cellIs" dxfId="16" priority="5" operator="equal">
      <formula>3</formula>
    </cfRule>
    <cfRule type="cellIs" dxfId="15" priority="6" operator="equal">
      <formula>2</formula>
    </cfRule>
    <cfRule type="cellIs" dxfId="14" priority="7" operator="equal">
      <formula>1</formula>
    </cfRule>
  </conditionalFormatting>
  <conditionalFormatting sqref="D6:J23 M6:P23">
    <cfRule type="cellIs" dxfId="13" priority="4" operator="equal">
      <formula>0</formula>
    </cfRule>
  </conditionalFormatting>
  <conditionalFormatting sqref="Q6:Q23">
    <cfRule type="cellIs" dxfId="12" priority="2" operator="equal">
      <formula>0</formula>
    </cfRule>
  </conditionalFormatting>
  <conditionalFormatting sqref="K6:L23">
    <cfRule type="cellIs" dxfId="11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8C51-EEE0-9544-938F-9A1C9E0E4530}">
  <sheetPr>
    <tabColor rgb="FFFFC000"/>
  </sheetPr>
  <dimension ref="A1:AL374"/>
  <sheetViews>
    <sheetView zoomScaleNormal="100" workbookViewId="0">
      <selection activeCell="B7" sqref="B7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102</v>
      </c>
      <c r="D2" s="141"/>
      <c r="E2" s="6"/>
      <c r="F2" s="6"/>
      <c r="G2" s="6"/>
      <c r="H2" s="14">
        <v>27</v>
      </c>
      <c r="I2" s="68">
        <v>50</v>
      </c>
      <c r="J2" s="68">
        <v>10</v>
      </c>
      <c r="K2" s="76">
        <f>3*H2^(1/3)</f>
        <v>8.9999999999999982</v>
      </c>
      <c r="L2" s="13"/>
      <c r="M2" s="13"/>
    </row>
    <row r="3" spans="1:34">
      <c r="A3" s="77"/>
      <c r="B3" s="48" t="s">
        <v>37</v>
      </c>
      <c r="C3" s="128">
        <v>44456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127</v>
      </c>
      <c r="B6" s="36">
        <v>1</v>
      </c>
      <c r="C6" s="24" t="s">
        <v>108</v>
      </c>
      <c r="D6" s="24" t="s">
        <v>109</v>
      </c>
      <c r="E6" s="24" t="s">
        <v>110</v>
      </c>
      <c r="F6" s="81">
        <v>127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5</v>
      </c>
      <c r="K6" s="17">
        <f t="shared" ref="K6:K69" si="1">J6*$J$2</f>
        <v>50</v>
      </c>
      <c r="L6" s="19">
        <f>3*K2</f>
        <v>26.999999999999993</v>
      </c>
      <c r="M6" s="18">
        <f>IF(I6&lt;&gt;"",K6+I6+L6,"")</f>
        <v>127</v>
      </c>
    </row>
    <row r="7" spans="1:34" ht="14.45" customHeight="1">
      <c r="A7" s="40">
        <f t="shared" ref="A7:A65" si="2">F7</f>
        <v>97.694800000000001</v>
      </c>
      <c r="B7" s="35">
        <v>2</v>
      </c>
      <c r="C7" s="25" t="s">
        <v>111</v>
      </c>
      <c r="D7" s="25" t="s">
        <v>112</v>
      </c>
      <c r="E7" s="25" t="s">
        <v>113</v>
      </c>
      <c r="F7" s="82">
        <v>97.694800000000001</v>
      </c>
      <c r="G7" s="8"/>
      <c r="H7" s="44">
        <v>2</v>
      </c>
      <c r="I7" s="45">
        <f t="shared" si="0"/>
        <v>39.69481402499953</v>
      </c>
      <c r="J7" s="44">
        <f t="shared" ref="J7:J70" si="3">INT(LOG($H$2,2))-ROUNDUP(LOG(H7,2),0)+IF(OR($H$2=1,$H$2=2,$H$2=4,$H$2=8,$H$2=16,$H$2=32,$H$2=64,$H$2=128,$H$2=256),0,1)</f>
        <v>4</v>
      </c>
      <c r="K7" s="44">
        <f t="shared" si="1"/>
        <v>40</v>
      </c>
      <c r="L7" s="46">
        <f>2*K2</f>
        <v>17.999999999999996</v>
      </c>
      <c r="M7" s="45">
        <f t="shared" ref="M7:M70" si="4">IF(I7&lt;&gt;"",K7+I7+L7,"")</f>
        <v>97.69481402499953</v>
      </c>
    </row>
    <row r="8" spans="1:34" ht="14.45" customHeight="1">
      <c r="A8" s="39">
        <f t="shared" si="2"/>
        <v>72.666700000000006</v>
      </c>
      <c r="B8" s="36">
        <v>3</v>
      </c>
      <c r="C8" s="24" t="s">
        <v>114</v>
      </c>
      <c r="D8" s="24" t="s">
        <v>115</v>
      </c>
      <c r="E8" s="24" t="s">
        <v>116</v>
      </c>
      <c r="F8" s="81">
        <v>72.666700000000006</v>
      </c>
      <c r="G8" s="8"/>
      <c r="H8" s="17">
        <v>3</v>
      </c>
      <c r="I8" s="18">
        <f t="shared" si="0"/>
        <v>33.666666666666671</v>
      </c>
      <c r="J8" s="17">
        <f t="shared" si="3"/>
        <v>3</v>
      </c>
      <c r="K8" s="17">
        <f t="shared" si="1"/>
        <v>30</v>
      </c>
      <c r="L8" s="19">
        <f>K2</f>
        <v>8.9999999999999982</v>
      </c>
      <c r="M8" s="18">
        <f t="shared" si="4"/>
        <v>72.666666666666671</v>
      </c>
    </row>
    <row r="9" spans="1:34" ht="14.45" customHeight="1">
      <c r="A9" s="40">
        <f t="shared" si="2"/>
        <v>72.666700000000006</v>
      </c>
      <c r="B9" s="35">
        <v>3</v>
      </c>
      <c r="C9" s="25" t="s">
        <v>19</v>
      </c>
      <c r="D9" s="25" t="s">
        <v>117</v>
      </c>
      <c r="E9" s="25" t="s">
        <v>50</v>
      </c>
      <c r="F9" s="82">
        <v>72.666700000000006</v>
      </c>
      <c r="G9" s="8"/>
      <c r="H9" s="44">
        <v>4</v>
      </c>
      <c r="I9" s="45">
        <f>IF(H9&lt;$H$2+1,($I$2-($I$2-1)*(LOG(H8)/LOG($H$2))),"")</f>
        <v>33.666666666666671</v>
      </c>
      <c r="J9" s="44">
        <f t="shared" si="3"/>
        <v>3</v>
      </c>
      <c r="K9" s="44">
        <f t="shared" si="1"/>
        <v>30</v>
      </c>
      <c r="L9" s="46">
        <f>K2</f>
        <v>8.9999999999999982</v>
      </c>
      <c r="M9" s="45">
        <f t="shared" si="4"/>
        <v>72.666666666666671</v>
      </c>
      <c r="V9" s="27"/>
      <c r="Z9" s="28"/>
      <c r="AA9" s="28"/>
      <c r="AG9" s="29"/>
    </row>
    <row r="10" spans="1:34" ht="14.45" customHeight="1">
      <c r="A10" s="39">
        <f t="shared" si="2"/>
        <v>46.072099999999999</v>
      </c>
      <c r="B10" s="36">
        <v>5</v>
      </c>
      <c r="C10" s="24" t="s">
        <v>18</v>
      </c>
      <c r="D10" s="24" t="s">
        <v>118</v>
      </c>
      <c r="E10" s="24" t="s">
        <v>50</v>
      </c>
      <c r="F10" s="81">
        <v>46.072099999999999</v>
      </c>
      <c r="G10" s="8"/>
      <c r="H10" s="17">
        <v>5</v>
      </c>
      <c r="I10" s="18">
        <f t="shared" si="0"/>
        <v>26.072099161607188</v>
      </c>
      <c r="J10" s="17">
        <f t="shared" si="3"/>
        <v>2</v>
      </c>
      <c r="K10" s="17">
        <f t="shared" si="1"/>
        <v>20</v>
      </c>
      <c r="L10" s="17"/>
      <c r="M10" s="18">
        <f t="shared" si="4"/>
        <v>46.072099161607184</v>
      </c>
      <c r="V10" s="27"/>
      <c r="Z10" s="28"/>
      <c r="AA10" s="28"/>
      <c r="AG10" s="29"/>
    </row>
    <row r="11" spans="1:34" ht="14.45" customHeight="1">
      <c r="A11" s="40">
        <f t="shared" si="2"/>
        <v>43.361499999999999</v>
      </c>
      <c r="B11" s="35">
        <v>6</v>
      </c>
      <c r="C11" s="25" t="s">
        <v>119</v>
      </c>
      <c r="D11" s="25" t="s">
        <v>120</v>
      </c>
      <c r="E11" s="25" t="s">
        <v>121</v>
      </c>
      <c r="F11" s="82">
        <v>43.361499999999999</v>
      </c>
      <c r="G11" s="8"/>
      <c r="H11" s="44">
        <v>6</v>
      </c>
      <c r="I11" s="45">
        <f t="shared" si="0"/>
        <v>23.361480691666195</v>
      </c>
      <c r="J11" s="44">
        <f t="shared" si="3"/>
        <v>2</v>
      </c>
      <c r="K11" s="44">
        <f t="shared" si="1"/>
        <v>20</v>
      </c>
      <c r="L11" s="44"/>
      <c r="M11" s="45">
        <f t="shared" si="4"/>
        <v>43.361480691666195</v>
      </c>
      <c r="V11" s="30"/>
      <c r="Z11" s="28"/>
      <c r="AA11" s="28"/>
      <c r="AG11" s="29"/>
    </row>
    <row r="12" spans="1:34" ht="14.45" customHeight="1">
      <c r="A12" s="39">
        <f t="shared" si="2"/>
        <v>41.069699999999997</v>
      </c>
      <c r="B12" s="36">
        <v>7</v>
      </c>
      <c r="C12" s="24" t="s">
        <v>122</v>
      </c>
      <c r="D12" s="24" t="s">
        <v>123</v>
      </c>
      <c r="E12" s="24" t="s">
        <v>121</v>
      </c>
      <c r="F12" s="81">
        <v>41.069699999999997</v>
      </c>
      <c r="G12" s="8"/>
      <c r="H12" s="17">
        <v>7</v>
      </c>
      <c r="I12" s="18">
        <f t="shared" si="0"/>
        <v>21.069685430363439</v>
      </c>
      <c r="J12" s="17">
        <f t="shared" si="3"/>
        <v>2</v>
      </c>
      <c r="K12" s="17">
        <f t="shared" si="1"/>
        <v>20</v>
      </c>
      <c r="L12" s="17"/>
      <c r="M12" s="18">
        <f t="shared" si="4"/>
        <v>41.069685430363435</v>
      </c>
      <c r="Z12" s="28"/>
      <c r="AA12" s="28"/>
      <c r="AG12" s="29"/>
    </row>
    <row r="13" spans="1:34" ht="14.45" customHeight="1">
      <c r="A13" s="41">
        <f t="shared" si="2"/>
        <v>39.084400000000002</v>
      </c>
      <c r="B13" s="35">
        <v>8</v>
      </c>
      <c r="C13" s="25" t="s">
        <v>124</v>
      </c>
      <c r="D13" s="25" t="s">
        <v>125</v>
      </c>
      <c r="E13" s="25" t="s">
        <v>121</v>
      </c>
      <c r="F13" s="82">
        <v>39.084400000000002</v>
      </c>
      <c r="G13" s="8"/>
      <c r="H13" s="44">
        <v>8</v>
      </c>
      <c r="I13" s="45">
        <f t="shared" si="0"/>
        <v>19.084442074998588</v>
      </c>
      <c r="J13" s="44">
        <f t="shared" si="3"/>
        <v>2</v>
      </c>
      <c r="K13" s="44">
        <f t="shared" si="1"/>
        <v>20</v>
      </c>
      <c r="L13" s="44"/>
      <c r="M13" s="45">
        <f t="shared" si="4"/>
        <v>39.084442074998591</v>
      </c>
      <c r="X13" s="27"/>
      <c r="AG13" s="29"/>
    </row>
    <row r="14" spans="1:34">
      <c r="A14" s="42">
        <f t="shared" si="2"/>
        <v>27.333300000000001</v>
      </c>
      <c r="B14" s="36">
        <v>9</v>
      </c>
      <c r="C14" s="24" t="s">
        <v>23</v>
      </c>
      <c r="D14" s="24" t="s">
        <v>126</v>
      </c>
      <c r="E14" s="24" t="s">
        <v>50</v>
      </c>
      <c r="F14" s="81">
        <v>27.333300000000001</v>
      </c>
      <c r="G14" s="8"/>
      <c r="H14" s="17">
        <v>9</v>
      </c>
      <c r="I14" s="18">
        <f t="shared" si="0"/>
        <v>17.333333333333336</v>
      </c>
      <c r="J14" s="17">
        <f t="shared" si="3"/>
        <v>1</v>
      </c>
      <c r="K14" s="17">
        <f t="shared" si="1"/>
        <v>10</v>
      </c>
      <c r="L14" s="17"/>
      <c r="M14" s="18">
        <f t="shared" si="4"/>
        <v>27.333333333333336</v>
      </c>
      <c r="X14" s="31"/>
      <c r="Z14" s="28"/>
      <c r="AA14" s="28"/>
      <c r="AG14" s="29"/>
    </row>
    <row r="15" spans="1:34">
      <c r="A15" s="41">
        <f t="shared" si="2"/>
        <v>25.7669</v>
      </c>
      <c r="B15" s="35">
        <v>10</v>
      </c>
      <c r="C15" s="25" t="s">
        <v>127</v>
      </c>
      <c r="D15" s="25" t="s">
        <v>128</v>
      </c>
      <c r="E15" s="25" t="s">
        <v>121</v>
      </c>
      <c r="F15" s="82">
        <v>25.7669</v>
      </c>
      <c r="G15" s="8"/>
      <c r="H15" s="44">
        <v>10</v>
      </c>
      <c r="I15" s="45">
        <f t="shared" si="0"/>
        <v>15.766913186606715</v>
      </c>
      <c r="J15" s="44">
        <f t="shared" si="3"/>
        <v>1</v>
      </c>
      <c r="K15" s="44">
        <f t="shared" si="1"/>
        <v>10</v>
      </c>
      <c r="L15" s="44"/>
      <c r="M15" s="45">
        <f t="shared" si="4"/>
        <v>25.766913186606715</v>
      </c>
      <c r="X15" s="27"/>
      <c r="Z15" s="28"/>
      <c r="AA15" s="28"/>
    </row>
    <row r="16" spans="1:34">
      <c r="A16" s="42">
        <f t="shared" si="2"/>
        <v>24.349900000000002</v>
      </c>
      <c r="B16" s="36">
        <v>11</v>
      </c>
      <c r="C16" s="24" t="s">
        <v>129</v>
      </c>
      <c r="D16" s="24" t="s">
        <v>130</v>
      </c>
      <c r="E16" s="24" t="s">
        <v>113</v>
      </c>
      <c r="F16" s="81">
        <v>24.349900000000002</v>
      </c>
      <c r="G16" s="8"/>
      <c r="H16" s="17">
        <v>11</v>
      </c>
      <c r="I16" s="18">
        <f t="shared" si="0"/>
        <v>14.349913802145743</v>
      </c>
      <c r="J16" s="17">
        <f t="shared" si="3"/>
        <v>1</v>
      </c>
      <c r="K16" s="17">
        <f t="shared" si="1"/>
        <v>10</v>
      </c>
      <c r="L16" s="17"/>
      <c r="M16" s="18">
        <f t="shared" si="4"/>
        <v>24.349913802145743</v>
      </c>
      <c r="R16" s="49"/>
      <c r="Z16" s="28"/>
      <c r="AA16" s="28"/>
      <c r="AH16" s="33"/>
    </row>
    <row r="17" spans="1:19">
      <c r="A17" s="41">
        <f t="shared" si="2"/>
        <v>23.0563</v>
      </c>
      <c r="B17" s="35">
        <v>12</v>
      </c>
      <c r="C17" s="25" t="s">
        <v>131</v>
      </c>
      <c r="D17" s="25" t="s">
        <v>132</v>
      </c>
      <c r="E17" s="25" t="s">
        <v>133</v>
      </c>
      <c r="F17" s="82">
        <v>23.0563</v>
      </c>
      <c r="G17" s="8"/>
      <c r="H17" s="44">
        <v>12</v>
      </c>
      <c r="I17" s="45">
        <f t="shared" si="0"/>
        <v>13.056294716665725</v>
      </c>
      <c r="J17" s="44">
        <f t="shared" si="3"/>
        <v>1</v>
      </c>
      <c r="K17" s="44">
        <f t="shared" si="1"/>
        <v>10</v>
      </c>
      <c r="L17" s="44"/>
      <c r="M17" s="45">
        <f t="shared" si="4"/>
        <v>23.056294716665725</v>
      </c>
    </row>
    <row r="18" spans="1:19">
      <c r="A18" s="42">
        <f t="shared" si="2"/>
        <v>21.866299999999999</v>
      </c>
      <c r="B18" s="36">
        <v>13</v>
      </c>
      <c r="C18" s="24" t="s">
        <v>134</v>
      </c>
      <c r="D18" s="24" t="s">
        <v>135</v>
      </c>
      <c r="E18" s="24" t="s">
        <v>121</v>
      </c>
      <c r="F18" s="81">
        <v>21.866299999999999</v>
      </c>
      <c r="G18" s="8"/>
      <c r="H18" s="17">
        <v>13</v>
      </c>
      <c r="I18" s="18">
        <f t="shared" si="0"/>
        <v>11.866280515277722</v>
      </c>
      <c r="J18" s="17">
        <f t="shared" si="3"/>
        <v>1</v>
      </c>
      <c r="K18" s="17">
        <f t="shared" si="1"/>
        <v>10</v>
      </c>
      <c r="L18" s="17"/>
      <c r="M18" s="18">
        <f t="shared" si="4"/>
        <v>21.866280515277722</v>
      </c>
    </row>
    <row r="19" spans="1:19">
      <c r="A19" s="41">
        <f t="shared" si="2"/>
        <v>20.764500000000002</v>
      </c>
      <c r="B19" s="35">
        <v>14</v>
      </c>
      <c r="C19" s="25" t="s">
        <v>136</v>
      </c>
      <c r="D19" s="25" t="s">
        <v>137</v>
      </c>
      <c r="E19" s="25" t="s">
        <v>121</v>
      </c>
      <c r="F19" s="82">
        <v>20.764500000000002</v>
      </c>
      <c r="G19" s="8"/>
      <c r="H19" s="44">
        <v>14</v>
      </c>
      <c r="I19" s="45">
        <f t="shared" si="0"/>
        <v>10.764499455362966</v>
      </c>
      <c r="J19" s="44">
        <f t="shared" si="3"/>
        <v>1</v>
      </c>
      <c r="K19" s="44">
        <f t="shared" si="1"/>
        <v>10</v>
      </c>
      <c r="L19" s="44"/>
      <c r="M19" s="45">
        <f t="shared" si="4"/>
        <v>20.764499455362966</v>
      </c>
    </row>
    <row r="20" spans="1:19">
      <c r="A20" s="42">
        <f t="shared" si="2"/>
        <v>19.738800000000001</v>
      </c>
      <c r="B20" s="36">
        <v>15</v>
      </c>
      <c r="C20" s="24" t="s">
        <v>138</v>
      </c>
      <c r="D20" s="24" t="s">
        <v>125</v>
      </c>
      <c r="E20" s="24" t="s">
        <v>121</v>
      </c>
      <c r="F20" s="81">
        <v>19.738800000000001</v>
      </c>
      <c r="G20" s="8"/>
      <c r="H20" s="17">
        <v>15</v>
      </c>
      <c r="I20" s="18">
        <f t="shared" si="0"/>
        <v>9.7387658282738556</v>
      </c>
      <c r="J20" s="17">
        <f t="shared" si="3"/>
        <v>1</v>
      </c>
      <c r="K20" s="17">
        <f t="shared" si="1"/>
        <v>10</v>
      </c>
      <c r="L20" s="17"/>
      <c r="M20" s="18">
        <f t="shared" si="4"/>
        <v>19.738765828273856</v>
      </c>
      <c r="R20" s="50"/>
      <c r="S20" s="34"/>
    </row>
    <row r="21" spans="1:19">
      <c r="A21" s="41">
        <f t="shared" si="2"/>
        <v>18.779299999999999</v>
      </c>
      <c r="B21" s="35">
        <v>16</v>
      </c>
      <c r="C21" s="25" t="s">
        <v>139</v>
      </c>
      <c r="D21" s="25" t="s">
        <v>140</v>
      </c>
      <c r="E21" s="25" t="s">
        <v>121</v>
      </c>
      <c r="F21" s="82">
        <v>18.779299999999999</v>
      </c>
      <c r="G21" s="8"/>
      <c r="H21" s="44">
        <v>16</v>
      </c>
      <c r="I21" s="45">
        <f t="shared" si="0"/>
        <v>8.7792560999981148</v>
      </c>
      <c r="J21" s="44">
        <f t="shared" si="3"/>
        <v>1</v>
      </c>
      <c r="K21" s="44">
        <f t="shared" si="1"/>
        <v>10</v>
      </c>
      <c r="L21" s="44"/>
      <c r="M21" s="45">
        <f t="shared" si="4"/>
        <v>18.779256099998115</v>
      </c>
    </row>
    <row r="22" spans="1:19">
      <c r="A22" s="42">
        <f t="shared" si="2"/>
        <v>7.8779399999999997</v>
      </c>
      <c r="B22" s="36">
        <v>17</v>
      </c>
      <c r="C22" s="24" t="s">
        <v>22</v>
      </c>
      <c r="D22" s="24" t="s">
        <v>141</v>
      </c>
      <c r="E22" s="24" t="s">
        <v>50</v>
      </c>
      <c r="F22" s="81">
        <v>7.8779399999999997</v>
      </c>
      <c r="G22" s="8"/>
      <c r="H22" s="17">
        <v>17</v>
      </c>
      <c r="I22" s="18">
        <f t="shared" si="0"/>
        <v>7.8779352550114297</v>
      </c>
      <c r="J22" s="17">
        <f t="shared" si="3"/>
        <v>0</v>
      </c>
      <c r="K22" s="17">
        <f t="shared" si="1"/>
        <v>0</v>
      </c>
      <c r="L22" s="17"/>
      <c r="M22" s="18">
        <f t="shared" si="4"/>
        <v>7.8779352550114297</v>
      </c>
    </row>
    <row r="23" spans="1:19">
      <c r="A23" s="41">
        <f t="shared" si="2"/>
        <v>7.0281500000000001</v>
      </c>
      <c r="B23" s="35">
        <v>18</v>
      </c>
      <c r="C23" s="25" t="s">
        <v>142</v>
      </c>
      <c r="D23" s="25" t="s">
        <v>143</v>
      </c>
      <c r="E23" s="25" t="s">
        <v>121</v>
      </c>
      <c r="F23" s="82">
        <v>7.0281500000000001</v>
      </c>
      <c r="G23" s="8"/>
      <c r="H23" s="44">
        <v>18</v>
      </c>
      <c r="I23" s="45">
        <f t="shared" si="0"/>
        <v>7.0281473583328662</v>
      </c>
      <c r="J23" s="44">
        <f t="shared" si="3"/>
        <v>0</v>
      </c>
      <c r="K23" s="44">
        <f t="shared" si="1"/>
        <v>0</v>
      </c>
      <c r="L23" s="44"/>
      <c r="M23" s="45">
        <f t="shared" si="4"/>
        <v>7.0281473583328662</v>
      </c>
    </row>
    <row r="24" spans="1:19">
      <c r="A24" s="42">
        <f t="shared" si="2"/>
        <v>6.2243199999999996</v>
      </c>
      <c r="B24" s="36">
        <v>19</v>
      </c>
      <c r="C24" s="24" t="s">
        <v>144</v>
      </c>
      <c r="D24" s="24" t="s">
        <v>145</v>
      </c>
      <c r="E24" s="24" t="s">
        <v>133</v>
      </c>
      <c r="F24" s="81">
        <v>6.2243199999999996</v>
      </c>
      <c r="G24" s="8"/>
      <c r="H24" s="17">
        <v>19</v>
      </c>
      <c r="I24" s="18">
        <f t="shared" si="0"/>
        <v>6.2243169656425437</v>
      </c>
      <c r="J24" s="17">
        <f t="shared" si="3"/>
        <v>0</v>
      </c>
      <c r="K24" s="17">
        <f t="shared" si="1"/>
        <v>0</v>
      </c>
      <c r="L24" s="17"/>
      <c r="M24" s="18">
        <f t="shared" si="4"/>
        <v>6.2243169656425437</v>
      </c>
      <c r="R24" s="50"/>
      <c r="S24" s="34"/>
    </row>
    <row r="25" spans="1:19">
      <c r="A25" s="41">
        <f t="shared" si="2"/>
        <v>5.4617300000000002</v>
      </c>
      <c r="B25" s="35">
        <v>20</v>
      </c>
      <c r="C25" s="25" t="s">
        <v>146</v>
      </c>
      <c r="D25" s="25" t="s">
        <v>147</v>
      </c>
      <c r="E25" s="25" t="s">
        <v>148</v>
      </c>
      <c r="F25" s="82">
        <v>5.4617300000000002</v>
      </c>
      <c r="G25" s="8"/>
      <c r="H25" s="44">
        <v>20</v>
      </c>
      <c r="I25" s="45">
        <f t="shared" si="0"/>
        <v>5.4617272116062452</v>
      </c>
      <c r="J25" s="44">
        <f t="shared" si="3"/>
        <v>0</v>
      </c>
      <c r="K25" s="44">
        <f t="shared" si="1"/>
        <v>0</v>
      </c>
      <c r="L25" s="44"/>
      <c r="M25" s="45">
        <f t="shared" si="4"/>
        <v>5.4617272116062452</v>
      </c>
    </row>
    <row r="26" spans="1:19">
      <c r="A26" s="42">
        <f t="shared" si="2"/>
        <v>4.7363499999999998</v>
      </c>
      <c r="B26" s="36">
        <v>21</v>
      </c>
      <c r="C26" s="24" t="s">
        <v>95</v>
      </c>
      <c r="D26" s="24" t="s">
        <v>149</v>
      </c>
      <c r="E26" s="24" t="s">
        <v>50</v>
      </c>
      <c r="F26" s="81">
        <v>4.7363499999999998</v>
      </c>
      <c r="G26" s="8"/>
      <c r="H26" s="17">
        <v>21</v>
      </c>
      <c r="I26" s="18">
        <f t="shared" si="0"/>
        <v>4.7363520970301067</v>
      </c>
      <c r="J26" s="17">
        <f t="shared" si="3"/>
        <v>0</v>
      </c>
      <c r="K26" s="17">
        <f t="shared" si="1"/>
        <v>0</v>
      </c>
      <c r="L26" s="17"/>
      <c r="M26" s="18">
        <f t="shared" si="4"/>
        <v>4.7363520970301067</v>
      </c>
    </row>
    <row r="27" spans="1:19">
      <c r="A27" s="41">
        <f t="shared" si="2"/>
        <v>4.0447300000000004</v>
      </c>
      <c r="B27" s="35">
        <v>22</v>
      </c>
      <c r="C27" s="25" t="s">
        <v>150</v>
      </c>
      <c r="D27" s="25" t="s">
        <v>151</v>
      </c>
      <c r="E27" s="25" t="s">
        <v>152</v>
      </c>
      <c r="F27" s="82">
        <v>4.0447300000000004</v>
      </c>
      <c r="G27" s="8"/>
      <c r="H27" s="44">
        <v>22</v>
      </c>
      <c r="I27" s="45">
        <f t="shared" si="0"/>
        <v>4.0447278271452731</v>
      </c>
      <c r="J27" s="44">
        <f t="shared" si="3"/>
        <v>0</v>
      </c>
      <c r="K27" s="44">
        <f t="shared" si="1"/>
        <v>0</v>
      </c>
      <c r="L27" s="44"/>
      <c r="M27" s="45">
        <f t="shared" si="4"/>
        <v>4.0447278271452731</v>
      </c>
    </row>
    <row r="28" spans="1:19">
      <c r="A28" s="42">
        <f t="shared" si="2"/>
        <v>3.3838499999999998</v>
      </c>
      <c r="B28" s="36">
        <v>23</v>
      </c>
      <c r="C28" s="24" t="s">
        <v>153</v>
      </c>
      <c r="D28" s="24" t="s">
        <v>125</v>
      </c>
      <c r="E28" s="24" t="s">
        <v>121</v>
      </c>
      <c r="F28" s="81">
        <v>3.3838499999999998</v>
      </c>
      <c r="G28" s="8"/>
      <c r="H28" s="17">
        <v>23</v>
      </c>
      <c r="I28" s="18">
        <f t="shared" si="0"/>
        <v>3.3838527733955743</v>
      </c>
      <c r="J28" s="17">
        <f t="shared" si="3"/>
        <v>0</v>
      </c>
      <c r="K28" s="17">
        <f t="shared" si="1"/>
        <v>0</v>
      </c>
      <c r="L28" s="17"/>
      <c r="M28" s="18">
        <f t="shared" si="4"/>
        <v>3.3838527733955743</v>
      </c>
      <c r="R28" s="50"/>
      <c r="S28" s="34"/>
    </row>
    <row r="29" spans="1:19">
      <c r="A29" s="41">
        <f t="shared" si="2"/>
        <v>2.7511100000000002</v>
      </c>
      <c r="B29" s="35">
        <v>24</v>
      </c>
      <c r="C29" s="25" t="s">
        <v>154</v>
      </c>
      <c r="D29" s="25" t="s">
        <v>155</v>
      </c>
      <c r="E29" s="25" t="s">
        <v>121</v>
      </c>
      <c r="F29" s="82">
        <v>2.7511100000000002</v>
      </c>
      <c r="G29" s="5"/>
      <c r="H29" s="44">
        <v>24</v>
      </c>
      <c r="I29" s="45">
        <f t="shared" si="0"/>
        <v>2.7511087416652558</v>
      </c>
      <c r="J29" s="44">
        <f t="shared" si="3"/>
        <v>0</v>
      </c>
      <c r="K29" s="44">
        <f t="shared" si="1"/>
        <v>0</v>
      </c>
      <c r="L29" s="44"/>
      <c r="M29" s="45">
        <f t="shared" si="4"/>
        <v>2.7511087416652558</v>
      </c>
    </row>
    <row r="30" spans="1:19">
      <c r="A30" s="42">
        <f t="shared" si="2"/>
        <v>2.1442000000000001</v>
      </c>
      <c r="B30" s="36">
        <v>25</v>
      </c>
      <c r="C30" s="24" t="s">
        <v>156</v>
      </c>
      <c r="D30" s="24" t="s">
        <v>157</v>
      </c>
      <c r="E30" s="24" t="s">
        <v>113</v>
      </c>
      <c r="F30" s="81">
        <v>2.1442000000000001</v>
      </c>
      <c r="G30" s="5"/>
      <c r="H30" s="17">
        <v>25</v>
      </c>
      <c r="I30" s="18">
        <f t="shared" si="0"/>
        <v>2.1441983232143755</v>
      </c>
      <c r="J30" s="17">
        <f t="shared" si="3"/>
        <v>0</v>
      </c>
      <c r="K30" s="17">
        <f t="shared" si="1"/>
        <v>0</v>
      </c>
      <c r="L30" s="17"/>
      <c r="M30" s="18">
        <f t="shared" si="4"/>
        <v>2.1441983232143755</v>
      </c>
    </row>
    <row r="31" spans="1:19">
      <c r="A31" s="41">
        <f t="shared" si="2"/>
        <v>1.5610900000000001</v>
      </c>
      <c r="B31" s="35">
        <v>26</v>
      </c>
      <c r="C31" s="25" t="s">
        <v>158</v>
      </c>
      <c r="D31" s="25" t="s">
        <v>159</v>
      </c>
      <c r="E31" s="25" t="s">
        <v>121</v>
      </c>
      <c r="F31" s="82">
        <v>1.5610900000000001</v>
      </c>
      <c r="G31" s="5"/>
      <c r="H31" s="44">
        <v>26</v>
      </c>
      <c r="I31" s="45">
        <f t="shared" si="0"/>
        <v>1.5610945402772529</v>
      </c>
      <c r="J31" s="44">
        <f t="shared" si="3"/>
        <v>0</v>
      </c>
      <c r="K31" s="44">
        <f t="shared" si="1"/>
        <v>0</v>
      </c>
      <c r="L31" s="44"/>
      <c r="M31" s="45">
        <f t="shared" si="4"/>
        <v>1.5610945402772529</v>
      </c>
    </row>
    <row r="32" spans="1:19">
      <c r="A32" s="42">
        <f t="shared" si="2"/>
        <v>1</v>
      </c>
      <c r="B32" s="36">
        <v>27</v>
      </c>
      <c r="C32" s="24" t="s">
        <v>160</v>
      </c>
      <c r="D32" s="24" t="s">
        <v>161</v>
      </c>
      <c r="E32" s="24" t="s">
        <v>121</v>
      </c>
      <c r="F32" s="81">
        <v>1</v>
      </c>
      <c r="G32" s="5"/>
      <c r="H32" s="17">
        <v>27</v>
      </c>
      <c r="I32" s="18">
        <f t="shared" si="0"/>
        <v>1</v>
      </c>
      <c r="J32" s="17">
        <f t="shared" si="3"/>
        <v>0</v>
      </c>
      <c r="K32" s="17">
        <f t="shared" si="1"/>
        <v>0</v>
      </c>
      <c r="L32" s="17"/>
      <c r="M32" s="18">
        <f t="shared" si="4"/>
        <v>1</v>
      </c>
      <c r="R32" s="50"/>
      <c r="S32" s="34"/>
    </row>
    <row r="33" spans="1:19">
      <c r="A33" s="41">
        <f t="shared" si="2"/>
        <v>0</v>
      </c>
      <c r="B33" s="35" t="str">
        <f t="shared" ref="B33:B65" si="5">IF(H33&gt;$H$2,"",(ROW()-5))</f>
        <v/>
      </c>
      <c r="C33" s="25"/>
      <c r="D33" s="25"/>
      <c r="E33" s="25"/>
      <c r="F33" s="25"/>
      <c r="G33" s="5"/>
      <c r="H33" s="44">
        <v>28</v>
      </c>
      <c r="I33" s="45" t="str">
        <f t="shared" si="0"/>
        <v/>
      </c>
      <c r="J33" s="44">
        <f t="shared" si="3"/>
        <v>0</v>
      </c>
      <c r="K33" s="44">
        <f t="shared" si="1"/>
        <v>0</v>
      </c>
      <c r="L33" s="44"/>
      <c r="M33" s="46" t="str">
        <f t="shared" si="4"/>
        <v/>
      </c>
    </row>
    <row r="34" spans="1:19">
      <c r="A34" s="42">
        <f t="shared" si="2"/>
        <v>0</v>
      </c>
      <c r="B34" s="36" t="str">
        <f t="shared" si="5"/>
        <v/>
      </c>
      <c r="C34" s="24"/>
      <c r="D34" s="24"/>
      <c r="E34" s="24"/>
      <c r="F34" s="24"/>
      <c r="G34" s="5"/>
      <c r="H34" s="17">
        <v>29</v>
      </c>
      <c r="I34" s="18" t="str">
        <f t="shared" si="0"/>
        <v/>
      </c>
      <c r="J34" s="17">
        <f t="shared" si="3"/>
        <v>0</v>
      </c>
      <c r="K34" s="17">
        <f t="shared" si="1"/>
        <v>0</v>
      </c>
      <c r="L34" s="17"/>
      <c r="M34" s="19" t="str">
        <f t="shared" si="4"/>
        <v/>
      </c>
    </row>
    <row r="35" spans="1:19">
      <c r="A35" s="41">
        <f t="shared" si="2"/>
        <v>0</v>
      </c>
      <c r="B35" s="35" t="str">
        <f t="shared" si="5"/>
        <v/>
      </c>
      <c r="C35" s="25"/>
      <c r="D35" s="25"/>
      <c r="E35" s="25"/>
      <c r="F35" s="25"/>
      <c r="G35" s="5"/>
      <c r="H35" s="44">
        <v>30</v>
      </c>
      <c r="I35" s="45" t="str">
        <f t="shared" si="0"/>
        <v/>
      </c>
      <c r="J35" s="44">
        <f t="shared" si="3"/>
        <v>0</v>
      </c>
      <c r="K35" s="44">
        <f t="shared" si="1"/>
        <v>0</v>
      </c>
      <c r="L35" s="44"/>
      <c r="M35" s="46" t="str">
        <f t="shared" si="4"/>
        <v/>
      </c>
    </row>
    <row r="36" spans="1:19">
      <c r="A36" s="42">
        <f t="shared" si="2"/>
        <v>0</v>
      </c>
      <c r="B36" s="36" t="str">
        <f t="shared" si="5"/>
        <v/>
      </c>
      <c r="C36" s="24"/>
      <c r="D36" s="24"/>
      <c r="E36" s="24"/>
      <c r="F36" s="24"/>
      <c r="G36" s="5"/>
      <c r="H36" s="17">
        <v>31</v>
      </c>
      <c r="I36" s="18" t="str">
        <f t="shared" si="0"/>
        <v/>
      </c>
      <c r="J36" s="17">
        <f t="shared" si="3"/>
        <v>0</v>
      </c>
      <c r="K36" s="17">
        <f t="shared" si="1"/>
        <v>0</v>
      </c>
      <c r="L36" s="17"/>
      <c r="M36" s="19" t="str">
        <f t="shared" si="4"/>
        <v/>
      </c>
      <c r="R36" s="50"/>
      <c r="S36" s="34"/>
    </row>
    <row r="37" spans="1:19">
      <c r="A37" s="41">
        <f t="shared" si="2"/>
        <v>0</v>
      </c>
      <c r="B37" s="35" t="str">
        <f t="shared" si="5"/>
        <v/>
      </c>
      <c r="C37" s="25"/>
      <c r="D37" s="25"/>
      <c r="E37" s="25"/>
      <c r="F37" s="25"/>
      <c r="G37" s="5"/>
      <c r="H37" s="44">
        <v>32</v>
      </c>
      <c r="I37" s="45" t="str">
        <f t="shared" si="0"/>
        <v/>
      </c>
      <c r="J37" s="44">
        <f t="shared" si="3"/>
        <v>0</v>
      </c>
      <c r="K37" s="44">
        <f t="shared" si="1"/>
        <v>0</v>
      </c>
      <c r="L37" s="44"/>
      <c r="M37" s="46" t="str">
        <f t="shared" si="4"/>
        <v/>
      </c>
    </row>
    <row r="38" spans="1:19">
      <c r="A38" s="42">
        <f t="shared" si="2"/>
        <v>0</v>
      </c>
      <c r="B38" s="36" t="str">
        <f t="shared" si="5"/>
        <v/>
      </c>
      <c r="C38" s="24"/>
      <c r="D38" s="24"/>
      <c r="E38" s="24"/>
      <c r="F38" s="24"/>
      <c r="G38" s="5"/>
      <c r="H38" s="17">
        <v>33</v>
      </c>
      <c r="I38" s="18" t="str">
        <f t="shared" si="0"/>
        <v/>
      </c>
      <c r="J38" s="17">
        <f t="shared" si="3"/>
        <v>-1</v>
      </c>
      <c r="K38" s="17">
        <f t="shared" si="1"/>
        <v>-10</v>
      </c>
      <c r="L38" s="17"/>
      <c r="M38" s="19" t="str">
        <f t="shared" si="4"/>
        <v/>
      </c>
    </row>
    <row r="39" spans="1:19">
      <c r="A39" s="41">
        <f t="shared" si="2"/>
        <v>0</v>
      </c>
      <c r="B39" s="35" t="str">
        <f t="shared" si="5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3"/>
        <v>-1</v>
      </c>
      <c r="K39" s="44">
        <f t="shared" si="1"/>
        <v>-10</v>
      </c>
      <c r="L39" s="44"/>
      <c r="M39" s="46" t="str">
        <f t="shared" si="4"/>
        <v/>
      </c>
    </row>
    <row r="40" spans="1:19">
      <c r="A40" s="42">
        <f t="shared" si="2"/>
        <v>0</v>
      </c>
      <c r="B40" s="36" t="str">
        <f t="shared" si="5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3"/>
        <v>-1</v>
      </c>
      <c r="K40" s="17">
        <f t="shared" si="1"/>
        <v>-10</v>
      </c>
      <c r="L40" s="17"/>
      <c r="M40" s="19" t="str">
        <f t="shared" si="4"/>
        <v/>
      </c>
    </row>
    <row r="41" spans="1:19">
      <c r="A41" s="41">
        <f t="shared" si="2"/>
        <v>0</v>
      </c>
      <c r="B41" s="35" t="str">
        <f t="shared" si="5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3"/>
        <v>-1</v>
      </c>
      <c r="K41" s="44">
        <f t="shared" si="1"/>
        <v>-10</v>
      </c>
      <c r="L41" s="44"/>
      <c r="M41" s="46" t="str">
        <f t="shared" si="4"/>
        <v/>
      </c>
      <c r="S41" s="32"/>
    </row>
    <row r="42" spans="1:19">
      <c r="A42" s="42">
        <f t="shared" si="2"/>
        <v>0</v>
      </c>
      <c r="B42" s="36" t="str">
        <f t="shared" si="5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3"/>
        <v>-1</v>
      </c>
      <c r="K42" s="17">
        <f t="shared" si="1"/>
        <v>-10</v>
      </c>
      <c r="L42" s="17"/>
      <c r="M42" s="19" t="str">
        <f t="shared" si="4"/>
        <v/>
      </c>
    </row>
    <row r="43" spans="1:19">
      <c r="A43" s="41">
        <f t="shared" si="2"/>
        <v>0</v>
      </c>
      <c r="B43" s="35" t="str">
        <f t="shared" si="5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3"/>
        <v>-1</v>
      </c>
      <c r="K43" s="44">
        <f t="shared" si="1"/>
        <v>-10</v>
      </c>
      <c r="L43" s="44"/>
      <c r="M43" s="46" t="str">
        <f t="shared" si="4"/>
        <v/>
      </c>
    </row>
    <row r="44" spans="1:19">
      <c r="A44" s="42">
        <f t="shared" si="2"/>
        <v>0</v>
      </c>
      <c r="B44" s="36" t="str">
        <f t="shared" si="5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3"/>
        <v>-1</v>
      </c>
      <c r="K44" s="17">
        <f t="shared" si="1"/>
        <v>-10</v>
      </c>
      <c r="L44" s="17"/>
      <c r="M44" s="19" t="str">
        <f t="shared" si="4"/>
        <v/>
      </c>
    </row>
    <row r="45" spans="1:19">
      <c r="A45" s="41">
        <f t="shared" si="2"/>
        <v>0</v>
      </c>
      <c r="B45" s="35" t="str">
        <f t="shared" si="5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3"/>
        <v>-1</v>
      </c>
      <c r="K45" s="44">
        <f t="shared" si="1"/>
        <v>-10</v>
      </c>
      <c r="L45" s="44"/>
      <c r="M45" s="46" t="str">
        <f t="shared" si="4"/>
        <v/>
      </c>
    </row>
    <row r="46" spans="1:19">
      <c r="A46" s="42">
        <f t="shared" si="2"/>
        <v>0</v>
      </c>
      <c r="B46" s="36" t="str">
        <f t="shared" si="5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3"/>
        <v>-1</v>
      </c>
      <c r="K46" s="17">
        <f t="shared" si="1"/>
        <v>-10</v>
      </c>
      <c r="L46" s="17"/>
      <c r="M46" s="19" t="str">
        <f t="shared" si="4"/>
        <v/>
      </c>
    </row>
    <row r="47" spans="1:19">
      <c r="A47" s="41">
        <f t="shared" si="2"/>
        <v>0</v>
      </c>
      <c r="B47" s="35" t="str">
        <f t="shared" si="5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3"/>
        <v>-1</v>
      </c>
      <c r="K47" s="44">
        <f t="shared" si="1"/>
        <v>-10</v>
      </c>
      <c r="L47" s="44"/>
      <c r="M47" s="46" t="str">
        <f t="shared" si="4"/>
        <v/>
      </c>
    </row>
    <row r="48" spans="1:19">
      <c r="A48" s="42">
        <f t="shared" si="2"/>
        <v>0</v>
      </c>
      <c r="B48" s="36" t="str">
        <f t="shared" si="5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3"/>
        <v>-1</v>
      </c>
      <c r="K48" s="17">
        <f t="shared" si="1"/>
        <v>-10</v>
      </c>
      <c r="L48" s="17"/>
      <c r="M48" s="19" t="str">
        <f t="shared" si="4"/>
        <v/>
      </c>
    </row>
    <row r="49" spans="1:13">
      <c r="A49" s="41">
        <f t="shared" si="2"/>
        <v>0</v>
      </c>
      <c r="B49" s="35" t="str">
        <f t="shared" si="5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3"/>
        <v>-1</v>
      </c>
      <c r="K49" s="44">
        <f t="shared" si="1"/>
        <v>-10</v>
      </c>
      <c r="L49" s="44"/>
      <c r="M49" s="46" t="str">
        <f t="shared" si="4"/>
        <v/>
      </c>
    </row>
    <row r="50" spans="1:13">
      <c r="A50" s="42">
        <f t="shared" si="2"/>
        <v>0</v>
      </c>
      <c r="B50" s="36" t="str">
        <f t="shared" si="5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3"/>
        <v>-1</v>
      </c>
      <c r="K50" s="17">
        <f t="shared" si="1"/>
        <v>-10</v>
      </c>
      <c r="L50" s="17"/>
      <c r="M50" s="19" t="str">
        <f t="shared" si="4"/>
        <v/>
      </c>
    </row>
    <row r="51" spans="1:13">
      <c r="A51" s="41">
        <f t="shared" si="2"/>
        <v>0</v>
      </c>
      <c r="B51" s="35" t="str">
        <f t="shared" si="5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3"/>
        <v>-1</v>
      </c>
      <c r="K51" s="44">
        <f t="shared" si="1"/>
        <v>-10</v>
      </c>
      <c r="L51" s="44"/>
      <c r="M51" s="46" t="str">
        <f t="shared" si="4"/>
        <v/>
      </c>
    </row>
    <row r="52" spans="1:13">
      <c r="A52" s="42">
        <f t="shared" si="2"/>
        <v>0</v>
      </c>
      <c r="B52" s="36" t="str">
        <f t="shared" si="5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3"/>
        <v>-1</v>
      </c>
      <c r="K52" s="17">
        <f t="shared" si="1"/>
        <v>-10</v>
      </c>
      <c r="L52" s="17"/>
      <c r="M52" s="19" t="str">
        <f t="shared" si="4"/>
        <v/>
      </c>
    </row>
    <row r="53" spans="1:13">
      <c r="A53" s="41">
        <f t="shared" si="2"/>
        <v>0</v>
      </c>
      <c r="B53" s="35" t="str">
        <f t="shared" si="5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3"/>
        <v>-1</v>
      </c>
      <c r="K53" s="44">
        <f t="shared" si="1"/>
        <v>-10</v>
      </c>
      <c r="L53" s="44"/>
      <c r="M53" s="46" t="str">
        <f t="shared" si="4"/>
        <v/>
      </c>
    </row>
    <row r="54" spans="1:13">
      <c r="A54" s="42">
        <f t="shared" si="2"/>
        <v>0</v>
      </c>
      <c r="B54" s="36" t="str">
        <f t="shared" si="5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3"/>
        <v>-1</v>
      </c>
      <c r="K54" s="17">
        <f t="shared" si="1"/>
        <v>-10</v>
      </c>
      <c r="L54" s="17"/>
      <c r="M54" s="19" t="str">
        <f t="shared" si="4"/>
        <v/>
      </c>
    </row>
    <row r="55" spans="1:13">
      <c r="A55" s="41">
        <f t="shared" si="2"/>
        <v>0</v>
      </c>
      <c r="B55" s="35" t="str">
        <f t="shared" si="5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3"/>
        <v>-1</v>
      </c>
      <c r="K55" s="44">
        <f t="shared" si="1"/>
        <v>-10</v>
      </c>
      <c r="L55" s="44"/>
      <c r="M55" s="46" t="str">
        <f t="shared" si="4"/>
        <v/>
      </c>
    </row>
    <row r="56" spans="1:13">
      <c r="A56" s="42">
        <f t="shared" si="2"/>
        <v>0</v>
      </c>
      <c r="B56" s="36" t="str">
        <f t="shared" si="5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3"/>
        <v>-1</v>
      </c>
      <c r="K56" s="17">
        <f t="shared" si="1"/>
        <v>-10</v>
      </c>
      <c r="L56" s="17"/>
      <c r="M56" s="19" t="str">
        <f t="shared" si="4"/>
        <v/>
      </c>
    </row>
    <row r="57" spans="1:13">
      <c r="A57" s="41">
        <f t="shared" si="2"/>
        <v>0</v>
      </c>
      <c r="B57" s="35" t="str">
        <f t="shared" si="5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3"/>
        <v>-1</v>
      </c>
      <c r="K57" s="44">
        <f t="shared" si="1"/>
        <v>-10</v>
      </c>
      <c r="L57" s="44"/>
      <c r="M57" s="46" t="str">
        <f t="shared" si="4"/>
        <v/>
      </c>
    </row>
    <row r="58" spans="1:13">
      <c r="A58" s="42">
        <f t="shared" si="2"/>
        <v>0</v>
      </c>
      <c r="B58" s="36" t="str">
        <f t="shared" si="5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3"/>
        <v>-1</v>
      </c>
      <c r="K58" s="17">
        <f t="shared" si="1"/>
        <v>-10</v>
      </c>
      <c r="L58" s="17"/>
      <c r="M58" s="19" t="str">
        <f t="shared" si="4"/>
        <v/>
      </c>
    </row>
    <row r="59" spans="1:13">
      <c r="A59" s="41">
        <f t="shared" si="2"/>
        <v>0</v>
      </c>
      <c r="B59" s="35" t="str">
        <f t="shared" si="5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3"/>
        <v>-1</v>
      </c>
      <c r="K59" s="44">
        <f t="shared" si="1"/>
        <v>-10</v>
      </c>
      <c r="L59" s="44"/>
      <c r="M59" s="46" t="str">
        <f t="shared" si="4"/>
        <v/>
      </c>
    </row>
    <row r="60" spans="1:13">
      <c r="A60" s="42">
        <f t="shared" si="2"/>
        <v>0</v>
      </c>
      <c r="B60" s="36" t="str">
        <f t="shared" si="5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3"/>
        <v>-1</v>
      </c>
      <c r="K60" s="17">
        <f t="shared" si="1"/>
        <v>-10</v>
      </c>
      <c r="L60" s="17"/>
      <c r="M60" s="19" t="str">
        <f t="shared" si="4"/>
        <v/>
      </c>
    </row>
    <row r="61" spans="1:13">
      <c r="A61" s="41">
        <f t="shared" si="2"/>
        <v>0</v>
      </c>
      <c r="B61" s="35" t="str">
        <f t="shared" si="5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3"/>
        <v>-1</v>
      </c>
      <c r="K61" s="44">
        <f t="shared" si="1"/>
        <v>-10</v>
      </c>
      <c r="L61" s="44"/>
      <c r="M61" s="46" t="str">
        <f t="shared" si="4"/>
        <v/>
      </c>
    </row>
    <row r="62" spans="1:13">
      <c r="A62" s="42">
        <f t="shared" si="2"/>
        <v>0</v>
      </c>
      <c r="B62" s="36" t="str">
        <f t="shared" si="5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3"/>
        <v>-1</v>
      </c>
      <c r="K62" s="17">
        <f t="shared" si="1"/>
        <v>-10</v>
      </c>
      <c r="L62" s="17"/>
      <c r="M62" s="19" t="str">
        <f t="shared" si="4"/>
        <v/>
      </c>
    </row>
    <row r="63" spans="1:13">
      <c r="A63" s="41">
        <f t="shared" si="2"/>
        <v>0</v>
      </c>
      <c r="B63" s="35" t="str">
        <f t="shared" si="5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3"/>
        <v>-1</v>
      </c>
      <c r="K63" s="44">
        <f t="shared" si="1"/>
        <v>-10</v>
      </c>
      <c r="L63" s="44"/>
      <c r="M63" s="46" t="str">
        <f t="shared" si="4"/>
        <v/>
      </c>
    </row>
    <row r="64" spans="1:13">
      <c r="A64" s="42">
        <f t="shared" si="2"/>
        <v>0</v>
      </c>
      <c r="B64" s="36" t="str">
        <f t="shared" si="5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3"/>
        <v>-1</v>
      </c>
      <c r="K64" s="17">
        <f t="shared" si="1"/>
        <v>-10</v>
      </c>
      <c r="L64" s="17"/>
      <c r="M64" s="19" t="str">
        <f t="shared" si="4"/>
        <v/>
      </c>
    </row>
    <row r="65" spans="1:13">
      <c r="A65" s="41">
        <f t="shared" si="2"/>
        <v>0</v>
      </c>
      <c r="B65" s="35" t="str">
        <f t="shared" si="5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3"/>
        <v>-1</v>
      </c>
      <c r="K65" s="44">
        <f t="shared" si="1"/>
        <v>-10</v>
      </c>
      <c r="L65" s="44"/>
      <c r="M65" s="46" t="str">
        <f t="shared" si="4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3"/>
        <v>-1</v>
      </c>
      <c r="K66" s="17">
        <f t="shared" si="1"/>
        <v>-10</v>
      </c>
      <c r="L66" s="17"/>
      <c r="M66" s="19" t="str">
        <f t="shared" si="4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3"/>
        <v>-1</v>
      </c>
      <c r="K67" s="17">
        <f t="shared" si="1"/>
        <v>-10</v>
      </c>
      <c r="L67" s="17"/>
      <c r="M67" s="19" t="str">
        <f t="shared" si="4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3"/>
        <v>-1</v>
      </c>
      <c r="K68" s="17">
        <f t="shared" si="1"/>
        <v>-10</v>
      </c>
      <c r="L68" s="17"/>
      <c r="M68" s="19" t="str">
        <f t="shared" si="4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3"/>
        <v>-1</v>
      </c>
      <c r="K69" s="17">
        <f t="shared" si="1"/>
        <v>-10</v>
      </c>
      <c r="L69" s="17"/>
      <c r="M69" s="19" t="str">
        <f t="shared" si="4"/>
        <v/>
      </c>
    </row>
    <row r="70" spans="1:13">
      <c r="A70" s="43"/>
      <c r="G70" s="5"/>
      <c r="H70" s="17">
        <v>65</v>
      </c>
      <c r="I70" s="18" t="str">
        <f t="shared" ref="I70:I133" si="6">IF(H70&lt;$H$2+1,($I$2-($I$2-1)*(LOG(H70)/LOG($H$2))),"")</f>
        <v/>
      </c>
      <c r="J70" s="17">
        <f t="shared" si="3"/>
        <v>-2</v>
      </c>
      <c r="K70" s="17">
        <f t="shared" ref="K70:K133" si="7">J70*$J$2</f>
        <v>-20</v>
      </c>
      <c r="L70" s="17"/>
      <c r="M70" s="19" t="str">
        <f t="shared" si="4"/>
        <v/>
      </c>
    </row>
    <row r="71" spans="1:13">
      <c r="A71" s="43"/>
      <c r="G71" s="5"/>
      <c r="H71" s="17">
        <v>66</v>
      </c>
      <c r="I71" s="18" t="str">
        <f t="shared" si="6"/>
        <v/>
      </c>
      <c r="J71" s="17">
        <f t="shared" ref="J71:J134" si="8">INT(LOG($H$2,2))-ROUNDUP(LOG(H71,2),0)+IF(OR($H$2=1,$H$2=2,$H$2=4,$H$2=8,$H$2=16,$H$2=32,$H$2=64,$H$2=128,$H$2=256),0,1)</f>
        <v>-2</v>
      </c>
      <c r="K71" s="17">
        <f t="shared" si="7"/>
        <v>-20</v>
      </c>
      <c r="L71" s="17"/>
      <c r="M71" s="19" t="str">
        <f t="shared" ref="M71:M134" si="9">IF(I71&lt;&gt;"",K71+I71+L71,"")</f>
        <v/>
      </c>
    </row>
    <row r="72" spans="1:13">
      <c r="A72" s="43"/>
      <c r="G72" s="5"/>
      <c r="H72" s="17">
        <v>67</v>
      </c>
      <c r="I72" s="18" t="str">
        <f t="shared" si="6"/>
        <v/>
      </c>
      <c r="J72" s="17">
        <f t="shared" si="8"/>
        <v>-2</v>
      </c>
      <c r="K72" s="17">
        <f t="shared" si="7"/>
        <v>-20</v>
      </c>
      <c r="L72" s="17"/>
      <c r="M72" s="19" t="str">
        <f t="shared" si="9"/>
        <v/>
      </c>
    </row>
    <row r="73" spans="1:13">
      <c r="A73" s="43"/>
      <c r="G73" s="5"/>
      <c r="H73" s="17">
        <v>68</v>
      </c>
      <c r="I73" s="18" t="str">
        <f t="shared" si="6"/>
        <v/>
      </c>
      <c r="J73" s="17">
        <f t="shared" si="8"/>
        <v>-2</v>
      </c>
      <c r="K73" s="17">
        <f t="shared" si="7"/>
        <v>-20</v>
      </c>
      <c r="L73" s="17"/>
      <c r="M73" s="19" t="str">
        <f t="shared" si="9"/>
        <v/>
      </c>
    </row>
    <row r="74" spans="1:13">
      <c r="A74" s="43"/>
      <c r="G74" s="5"/>
      <c r="H74" s="17">
        <v>69</v>
      </c>
      <c r="I74" s="18" t="str">
        <f t="shared" si="6"/>
        <v/>
      </c>
      <c r="J74" s="17">
        <f t="shared" si="8"/>
        <v>-2</v>
      </c>
      <c r="K74" s="17">
        <f t="shared" si="7"/>
        <v>-20</v>
      </c>
      <c r="L74" s="17"/>
      <c r="M74" s="19" t="str">
        <f t="shared" si="9"/>
        <v/>
      </c>
    </row>
    <row r="75" spans="1:13">
      <c r="A75" s="43"/>
      <c r="G75" s="5"/>
      <c r="H75" s="17">
        <v>70</v>
      </c>
      <c r="I75" s="18" t="str">
        <f t="shared" si="6"/>
        <v/>
      </c>
      <c r="J75" s="17">
        <f t="shared" si="8"/>
        <v>-2</v>
      </c>
      <c r="K75" s="17">
        <f t="shared" si="7"/>
        <v>-20</v>
      </c>
      <c r="L75" s="17"/>
      <c r="M75" s="19" t="str">
        <f t="shared" si="9"/>
        <v/>
      </c>
    </row>
    <row r="76" spans="1:13">
      <c r="A76" s="43"/>
      <c r="G76" s="5"/>
      <c r="H76" s="17">
        <v>71</v>
      </c>
      <c r="I76" s="18" t="str">
        <f t="shared" si="6"/>
        <v/>
      </c>
      <c r="J76" s="17">
        <f t="shared" si="8"/>
        <v>-2</v>
      </c>
      <c r="K76" s="17">
        <f t="shared" si="7"/>
        <v>-20</v>
      </c>
      <c r="L76" s="17"/>
      <c r="M76" s="19" t="str">
        <f t="shared" si="9"/>
        <v/>
      </c>
    </row>
    <row r="77" spans="1:13">
      <c r="A77" s="43"/>
      <c r="G77" s="5"/>
      <c r="H77" s="17">
        <v>72</v>
      </c>
      <c r="I77" s="18" t="str">
        <f t="shared" si="6"/>
        <v/>
      </c>
      <c r="J77" s="17">
        <f t="shared" si="8"/>
        <v>-2</v>
      </c>
      <c r="K77" s="17">
        <f t="shared" si="7"/>
        <v>-20</v>
      </c>
      <c r="L77" s="17"/>
      <c r="M77" s="19" t="str">
        <f t="shared" si="9"/>
        <v/>
      </c>
    </row>
    <row r="78" spans="1:13">
      <c r="A78" s="43"/>
      <c r="G78" s="5"/>
      <c r="H78" s="17">
        <v>73</v>
      </c>
      <c r="I78" s="18" t="str">
        <f t="shared" si="6"/>
        <v/>
      </c>
      <c r="J78" s="17">
        <f t="shared" si="8"/>
        <v>-2</v>
      </c>
      <c r="K78" s="17">
        <f t="shared" si="7"/>
        <v>-20</v>
      </c>
      <c r="L78" s="17"/>
      <c r="M78" s="19" t="str">
        <f t="shared" si="9"/>
        <v/>
      </c>
    </row>
    <row r="79" spans="1:13">
      <c r="A79" s="43"/>
      <c r="G79" s="5"/>
      <c r="H79" s="17">
        <v>74</v>
      </c>
      <c r="I79" s="18" t="str">
        <f t="shared" si="6"/>
        <v/>
      </c>
      <c r="J79" s="17">
        <f t="shared" si="8"/>
        <v>-2</v>
      </c>
      <c r="K79" s="17">
        <f t="shared" si="7"/>
        <v>-20</v>
      </c>
      <c r="L79" s="17"/>
      <c r="M79" s="19" t="str">
        <f t="shared" si="9"/>
        <v/>
      </c>
    </row>
    <row r="80" spans="1:13">
      <c r="A80" s="43"/>
      <c r="G80" s="5"/>
      <c r="H80" s="17">
        <v>75</v>
      </c>
      <c r="I80" s="18" t="str">
        <f t="shared" si="6"/>
        <v/>
      </c>
      <c r="J80" s="17">
        <f t="shared" si="8"/>
        <v>-2</v>
      </c>
      <c r="K80" s="17">
        <f t="shared" si="7"/>
        <v>-20</v>
      </c>
      <c r="L80" s="17"/>
      <c r="M80" s="19" t="str">
        <f t="shared" si="9"/>
        <v/>
      </c>
    </row>
    <row r="81" spans="1:13">
      <c r="A81" s="43"/>
      <c r="G81" s="5"/>
      <c r="H81" s="17">
        <v>76</v>
      </c>
      <c r="I81" s="18" t="str">
        <f t="shared" si="6"/>
        <v/>
      </c>
      <c r="J81" s="17">
        <f t="shared" si="8"/>
        <v>-2</v>
      </c>
      <c r="K81" s="17">
        <f t="shared" si="7"/>
        <v>-20</v>
      </c>
      <c r="L81" s="17"/>
      <c r="M81" s="19" t="str">
        <f t="shared" si="9"/>
        <v/>
      </c>
    </row>
    <row r="82" spans="1:13">
      <c r="A82" s="43"/>
      <c r="G82" s="5"/>
      <c r="H82" s="17">
        <v>77</v>
      </c>
      <c r="I82" s="18" t="str">
        <f t="shared" si="6"/>
        <v/>
      </c>
      <c r="J82" s="17">
        <f t="shared" si="8"/>
        <v>-2</v>
      </c>
      <c r="K82" s="17">
        <f t="shared" si="7"/>
        <v>-20</v>
      </c>
      <c r="L82" s="17"/>
      <c r="M82" s="19" t="str">
        <f t="shared" si="9"/>
        <v/>
      </c>
    </row>
    <row r="83" spans="1:13">
      <c r="A83" s="43"/>
      <c r="G83" s="5"/>
      <c r="H83" s="17">
        <v>78</v>
      </c>
      <c r="I83" s="18" t="str">
        <f t="shared" si="6"/>
        <v/>
      </c>
      <c r="J83" s="17">
        <f t="shared" si="8"/>
        <v>-2</v>
      </c>
      <c r="K83" s="17">
        <f t="shared" si="7"/>
        <v>-20</v>
      </c>
      <c r="L83" s="17"/>
      <c r="M83" s="19" t="str">
        <f t="shared" si="9"/>
        <v/>
      </c>
    </row>
    <row r="84" spans="1:13">
      <c r="A84" s="43"/>
      <c r="G84" s="5"/>
      <c r="H84" s="17">
        <v>79</v>
      </c>
      <c r="I84" s="18" t="str">
        <f t="shared" si="6"/>
        <v/>
      </c>
      <c r="J84" s="17">
        <f t="shared" si="8"/>
        <v>-2</v>
      </c>
      <c r="K84" s="17">
        <f t="shared" si="7"/>
        <v>-20</v>
      </c>
      <c r="L84" s="17"/>
      <c r="M84" s="19" t="str">
        <f t="shared" si="9"/>
        <v/>
      </c>
    </row>
    <row r="85" spans="1:13">
      <c r="A85" s="43"/>
      <c r="G85" s="5"/>
      <c r="H85" s="17">
        <v>80</v>
      </c>
      <c r="I85" s="18" t="str">
        <f t="shared" si="6"/>
        <v/>
      </c>
      <c r="J85" s="17">
        <f t="shared" si="8"/>
        <v>-2</v>
      </c>
      <c r="K85" s="17">
        <f t="shared" si="7"/>
        <v>-20</v>
      </c>
      <c r="L85" s="17"/>
      <c r="M85" s="19" t="str">
        <f t="shared" si="9"/>
        <v/>
      </c>
    </row>
    <row r="86" spans="1:13">
      <c r="A86" s="43"/>
      <c r="G86" s="5"/>
      <c r="H86" s="17">
        <v>81</v>
      </c>
      <c r="I86" s="18" t="str">
        <f t="shared" si="6"/>
        <v/>
      </c>
      <c r="J86" s="17">
        <f t="shared" si="8"/>
        <v>-2</v>
      </c>
      <c r="K86" s="17">
        <f t="shared" si="7"/>
        <v>-20</v>
      </c>
      <c r="L86" s="17"/>
      <c r="M86" s="19" t="str">
        <f t="shared" si="9"/>
        <v/>
      </c>
    </row>
    <row r="87" spans="1:13">
      <c r="A87" s="43"/>
      <c r="G87" s="5"/>
      <c r="H87" s="17">
        <v>82</v>
      </c>
      <c r="I87" s="18" t="str">
        <f t="shared" si="6"/>
        <v/>
      </c>
      <c r="J87" s="17">
        <f t="shared" si="8"/>
        <v>-2</v>
      </c>
      <c r="K87" s="17">
        <f t="shared" si="7"/>
        <v>-20</v>
      </c>
      <c r="L87" s="17"/>
      <c r="M87" s="19" t="str">
        <f t="shared" si="9"/>
        <v/>
      </c>
    </row>
    <row r="88" spans="1:13">
      <c r="A88" s="43"/>
      <c r="G88" s="5"/>
      <c r="H88" s="17">
        <v>83</v>
      </c>
      <c r="I88" s="18" t="str">
        <f t="shared" si="6"/>
        <v/>
      </c>
      <c r="J88" s="17">
        <f t="shared" si="8"/>
        <v>-2</v>
      </c>
      <c r="K88" s="17">
        <f t="shared" si="7"/>
        <v>-20</v>
      </c>
      <c r="L88" s="17"/>
      <c r="M88" s="19" t="str">
        <f t="shared" si="9"/>
        <v/>
      </c>
    </row>
    <row r="89" spans="1:13">
      <c r="A89" s="43"/>
      <c r="G89" s="5"/>
      <c r="H89" s="17">
        <v>84</v>
      </c>
      <c r="I89" s="18" t="str">
        <f t="shared" si="6"/>
        <v/>
      </c>
      <c r="J89" s="17">
        <f t="shared" si="8"/>
        <v>-2</v>
      </c>
      <c r="K89" s="17">
        <f t="shared" si="7"/>
        <v>-20</v>
      </c>
      <c r="L89" s="17"/>
      <c r="M89" s="19" t="str">
        <f t="shared" si="9"/>
        <v/>
      </c>
    </row>
    <row r="90" spans="1:13">
      <c r="A90" s="43"/>
      <c r="G90" s="5"/>
      <c r="H90" s="17">
        <v>85</v>
      </c>
      <c r="I90" s="18" t="str">
        <f t="shared" si="6"/>
        <v/>
      </c>
      <c r="J90" s="17">
        <f t="shared" si="8"/>
        <v>-2</v>
      </c>
      <c r="K90" s="17">
        <f t="shared" si="7"/>
        <v>-20</v>
      </c>
      <c r="L90" s="17"/>
      <c r="M90" s="19" t="str">
        <f t="shared" si="9"/>
        <v/>
      </c>
    </row>
    <row r="91" spans="1:13">
      <c r="A91" s="43"/>
      <c r="G91" s="5"/>
      <c r="H91" s="17">
        <v>86</v>
      </c>
      <c r="I91" s="18" t="str">
        <f t="shared" si="6"/>
        <v/>
      </c>
      <c r="J91" s="17">
        <f t="shared" si="8"/>
        <v>-2</v>
      </c>
      <c r="K91" s="17">
        <f t="shared" si="7"/>
        <v>-20</v>
      </c>
      <c r="L91" s="17"/>
      <c r="M91" s="19" t="str">
        <f t="shared" si="9"/>
        <v/>
      </c>
    </row>
    <row r="92" spans="1:13">
      <c r="A92" s="43"/>
      <c r="G92" s="5"/>
      <c r="H92" s="17">
        <v>87</v>
      </c>
      <c r="I92" s="18" t="str">
        <f t="shared" si="6"/>
        <v/>
      </c>
      <c r="J92" s="17">
        <f t="shared" si="8"/>
        <v>-2</v>
      </c>
      <c r="K92" s="17">
        <f t="shared" si="7"/>
        <v>-20</v>
      </c>
      <c r="L92" s="17"/>
      <c r="M92" s="19" t="str">
        <f t="shared" si="9"/>
        <v/>
      </c>
    </row>
    <row r="93" spans="1:13">
      <c r="A93" s="43"/>
      <c r="G93" s="5"/>
      <c r="H93" s="17">
        <v>88</v>
      </c>
      <c r="I93" s="18" t="str">
        <f t="shared" si="6"/>
        <v/>
      </c>
      <c r="J93" s="17">
        <f t="shared" si="8"/>
        <v>-2</v>
      </c>
      <c r="K93" s="17">
        <f t="shared" si="7"/>
        <v>-20</v>
      </c>
      <c r="L93" s="17"/>
      <c r="M93" s="19" t="str">
        <f t="shared" si="9"/>
        <v/>
      </c>
    </row>
    <row r="94" spans="1:13">
      <c r="A94" s="43"/>
      <c r="G94" s="5"/>
      <c r="H94" s="17">
        <v>89</v>
      </c>
      <c r="I94" s="18" t="str">
        <f t="shared" si="6"/>
        <v/>
      </c>
      <c r="J94" s="17">
        <f t="shared" si="8"/>
        <v>-2</v>
      </c>
      <c r="K94" s="17">
        <f t="shared" si="7"/>
        <v>-20</v>
      </c>
      <c r="L94" s="17"/>
      <c r="M94" s="19" t="str">
        <f t="shared" si="9"/>
        <v/>
      </c>
    </row>
    <row r="95" spans="1:13">
      <c r="A95" s="43"/>
      <c r="G95" s="5"/>
      <c r="H95" s="17">
        <v>90</v>
      </c>
      <c r="I95" s="18" t="str">
        <f t="shared" si="6"/>
        <v/>
      </c>
      <c r="J95" s="17">
        <f t="shared" si="8"/>
        <v>-2</v>
      </c>
      <c r="K95" s="17">
        <f t="shared" si="7"/>
        <v>-20</v>
      </c>
      <c r="L95" s="17"/>
      <c r="M95" s="19" t="str">
        <f t="shared" si="9"/>
        <v/>
      </c>
    </row>
    <row r="96" spans="1:13">
      <c r="A96" s="43"/>
      <c r="G96" s="5"/>
      <c r="H96" s="17">
        <v>91</v>
      </c>
      <c r="I96" s="18" t="str">
        <f t="shared" si="6"/>
        <v/>
      </c>
      <c r="J96" s="17">
        <f t="shared" si="8"/>
        <v>-2</v>
      </c>
      <c r="K96" s="17">
        <f t="shared" si="7"/>
        <v>-20</v>
      </c>
      <c r="L96" s="17"/>
      <c r="M96" s="19" t="str">
        <f t="shared" si="9"/>
        <v/>
      </c>
    </row>
    <row r="97" spans="1:13">
      <c r="A97" s="43"/>
      <c r="G97" s="5"/>
      <c r="H97" s="17">
        <v>92</v>
      </c>
      <c r="I97" s="18" t="str">
        <f t="shared" si="6"/>
        <v/>
      </c>
      <c r="J97" s="17">
        <f t="shared" si="8"/>
        <v>-2</v>
      </c>
      <c r="K97" s="17">
        <f t="shared" si="7"/>
        <v>-20</v>
      </c>
      <c r="L97" s="17"/>
      <c r="M97" s="19" t="str">
        <f t="shared" si="9"/>
        <v/>
      </c>
    </row>
    <row r="98" spans="1:13">
      <c r="A98" s="43"/>
      <c r="G98" s="5"/>
      <c r="H98" s="17">
        <v>93</v>
      </c>
      <c r="I98" s="18" t="str">
        <f t="shared" si="6"/>
        <v/>
      </c>
      <c r="J98" s="17">
        <f t="shared" si="8"/>
        <v>-2</v>
      </c>
      <c r="K98" s="17">
        <f t="shared" si="7"/>
        <v>-20</v>
      </c>
      <c r="L98" s="17"/>
      <c r="M98" s="19" t="str">
        <f t="shared" si="9"/>
        <v/>
      </c>
    </row>
    <row r="99" spans="1:13">
      <c r="A99" s="43"/>
      <c r="G99" s="5"/>
      <c r="H99" s="17">
        <v>94</v>
      </c>
      <c r="I99" s="18" t="str">
        <f t="shared" si="6"/>
        <v/>
      </c>
      <c r="J99" s="17">
        <f t="shared" si="8"/>
        <v>-2</v>
      </c>
      <c r="K99" s="17">
        <f t="shared" si="7"/>
        <v>-20</v>
      </c>
      <c r="L99" s="17"/>
      <c r="M99" s="19" t="str">
        <f t="shared" si="9"/>
        <v/>
      </c>
    </row>
    <row r="100" spans="1:13">
      <c r="A100" s="43"/>
      <c r="G100" s="5"/>
      <c r="H100" s="17">
        <v>95</v>
      </c>
      <c r="I100" s="18" t="str">
        <f t="shared" si="6"/>
        <v/>
      </c>
      <c r="J100" s="17">
        <f t="shared" si="8"/>
        <v>-2</v>
      </c>
      <c r="K100" s="17">
        <f t="shared" si="7"/>
        <v>-20</v>
      </c>
      <c r="L100" s="17"/>
      <c r="M100" s="19" t="str">
        <f t="shared" si="9"/>
        <v/>
      </c>
    </row>
    <row r="101" spans="1:13">
      <c r="A101" s="43"/>
      <c r="G101" s="5"/>
      <c r="H101" s="17">
        <v>96</v>
      </c>
      <c r="I101" s="18" t="str">
        <f t="shared" si="6"/>
        <v/>
      </c>
      <c r="J101" s="17">
        <f t="shared" si="8"/>
        <v>-2</v>
      </c>
      <c r="K101" s="17">
        <f t="shared" si="7"/>
        <v>-20</v>
      </c>
      <c r="L101" s="17"/>
      <c r="M101" s="19" t="str">
        <f t="shared" si="9"/>
        <v/>
      </c>
    </row>
    <row r="102" spans="1:13">
      <c r="A102" s="43"/>
      <c r="G102" s="5"/>
      <c r="H102" s="17">
        <v>97</v>
      </c>
      <c r="I102" s="18" t="str">
        <f t="shared" si="6"/>
        <v/>
      </c>
      <c r="J102" s="17">
        <f t="shared" si="8"/>
        <v>-2</v>
      </c>
      <c r="K102" s="17">
        <f t="shared" si="7"/>
        <v>-20</v>
      </c>
      <c r="L102" s="17"/>
      <c r="M102" s="19" t="str">
        <f t="shared" si="9"/>
        <v/>
      </c>
    </row>
    <row r="103" spans="1:13">
      <c r="A103" s="43"/>
      <c r="G103" s="5"/>
      <c r="H103" s="17">
        <v>98</v>
      </c>
      <c r="I103" s="18" t="str">
        <f t="shared" si="6"/>
        <v/>
      </c>
      <c r="J103" s="17">
        <f t="shared" si="8"/>
        <v>-2</v>
      </c>
      <c r="K103" s="17">
        <f t="shared" si="7"/>
        <v>-20</v>
      </c>
      <c r="L103" s="17"/>
      <c r="M103" s="19" t="str">
        <f t="shared" si="9"/>
        <v/>
      </c>
    </row>
    <row r="104" spans="1:13">
      <c r="A104" s="43"/>
      <c r="G104" s="5"/>
      <c r="H104" s="17">
        <v>99</v>
      </c>
      <c r="I104" s="18" t="str">
        <f t="shared" si="6"/>
        <v/>
      </c>
      <c r="J104" s="17">
        <f t="shared" si="8"/>
        <v>-2</v>
      </c>
      <c r="K104" s="17">
        <f t="shared" si="7"/>
        <v>-20</v>
      </c>
      <c r="L104" s="17"/>
      <c r="M104" s="19" t="str">
        <f t="shared" si="9"/>
        <v/>
      </c>
    </row>
    <row r="105" spans="1:13">
      <c r="A105" s="43"/>
      <c r="G105" s="5"/>
      <c r="H105" s="17">
        <v>100</v>
      </c>
      <c r="I105" s="18" t="str">
        <f t="shared" si="6"/>
        <v/>
      </c>
      <c r="J105" s="17">
        <f t="shared" si="8"/>
        <v>-2</v>
      </c>
      <c r="K105" s="17">
        <f t="shared" si="7"/>
        <v>-20</v>
      </c>
      <c r="L105" s="17"/>
      <c r="M105" s="19" t="str">
        <f t="shared" si="9"/>
        <v/>
      </c>
    </row>
    <row r="106" spans="1:13">
      <c r="A106" s="43"/>
      <c r="G106" s="5"/>
      <c r="H106" s="17">
        <v>101</v>
      </c>
      <c r="I106" s="18" t="str">
        <f t="shared" si="6"/>
        <v/>
      </c>
      <c r="J106" s="17">
        <f t="shared" si="8"/>
        <v>-2</v>
      </c>
      <c r="K106" s="17">
        <f t="shared" si="7"/>
        <v>-20</v>
      </c>
      <c r="L106" s="17"/>
      <c r="M106" s="19" t="str">
        <f t="shared" si="9"/>
        <v/>
      </c>
    </row>
    <row r="107" spans="1:13">
      <c r="A107" s="43"/>
      <c r="G107" s="5"/>
      <c r="H107" s="17">
        <v>102</v>
      </c>
      <c r="I107" s="18" t="str">
        <f t="shared" si="6"/>
        <v/>
      </c>
      <c r="J107" s="17">
        <f t="shared" si="8"/>
        <v>-2</v>
      </c>
      <c r="K107" s="17">
        <f t="shared" si="7"/>
        <v>-20</v>
      </c>
      <c r="L107" s="17"/>
      <c r="M107" s="19" t="str">
        <f t="shared" si="9"/>
        <v/>
      </c>
    </row>
    <row r="108" spans="1:13">
      <c r="A108" s="43"/>
      <c r="G108" s="5"/>
      <c r="H108" s="17">
        <v>103</v>
      </c>
      <c r="I108" s="18" t="str">
        <f t="shared" si="6"/>
        <v/>
      </c>
      <c r="J108" s="17">
        <f t="shared" si="8"/>
        <v>-2</v>
      </c>
      <c r="K108" s="17">
        <f t="shared" si="7"/>
        <v>-20</v>
      </c>
      <c r="L108" s="17"/>
      <c r="M108" s="19" t="str">
        <f t="shared" si="9"/>
        <v/>
      </c>
    </row>
    <row r="109" spans="1:13">
      <c r="A109" s="43"/>
      <c r="G109" s="5"/>
      <c r="H109" s="17">
        <v>104</v>
      </c>
      <c r="I109" s="18" t="str">
        <f t="shared" si="6"/>
        <v/>
      </c>
      <c r="J109" s="17">
        <f t="shared" si="8"/>
        <v>-2</v>
      </c>
      <c r="K109" s="17">
        <f t="shared" si="7"/>
        <v>-20</v>
      </c>
      <c r="L109" s="17"/>
      <c r="M109" s="19" t="str">
        <f t="shared" si="9"/>
        <v/>
      </c>
    </row>
    <row r="110" spans="1:13">
      <c r="A110" s="43"/>
      <c r="G110" s="5"/>
      <c r="H110" s="17">
        <v>105</v>
      </c>
      <c r="I110" s="18" t="str">
        <f t="shared" si="6"/>
        <v/>
      </c>
      <c r="J110" s="17">
        <f t="shared" si="8"/>
        <v>-2</v>
      </c>
      <c r="K110" s="17">
        <f t="shared" si="7"/>
        <v>-20</v>
      </c>
      <c r="L110" s="17"/>
      <c r="M110" s="19" t="str">
        <f t="shared" si="9"/>
        <v/>
      </c>
    </row>
    <row r="111" spans="1:13">
      <c r="A111" s="43"/>
      <c r="G111" s="5"/>
      <c r="H111" s="17">
        <v>106</v>
      </c>
      <c r="I111" s="18" t="str">
        <f t="shared" si="6"/>
        <v/>
      </c>
      <c r="J111" s="17">
        <f t="shared" si="8"/>
        <v>-2</v>
      </c>
      <c r="K111" s="17">
        <f t="shared" si="7"/>
        <v>-20</v>
      </c>
      <c r="L111" s="17"/>
      <c r="M111" s="19" t="str">
        <f t="shared" si="9"/>
        <v/>
      </c>
    </row>
    <row r="112" spans="1:13">
      <c r="A112" s="43"/>
      <c r="G112" s="5"/>
      <c r="H112" s="17">
        <v>107</v>
      </c>
      <c r="I112" s="18" t="str">
        <f t="shared" si="6"/>
        <v/>
      </c>
      <c r="J112" s="17">
        <f t="shared" si="8"/>
        <v>-2</v>
      </c>
      <c r="K112" s="17">
        <f t="shared" si="7"/>
        <v>-20</v>
      </c>
      <c r="L112" s="17"/>
      <c r="M112" s="19" t="str">
        <f t="shared" si="9"/>
        <v/>
      </c>
    </row>
    <row r="113" spans="1:13">
      <c r="A113" s="43"/>
      <c r="G113" s="5"/>
      <c r="H113" s="17">
        <v>108</v>
      </c>
      <c r="I113" s="18" t="str">
        <f t="shared" si="6"/>
        <v/>
      </c>
      <c r="J113" s="17">
        <f t="shared" si="8"/>
        <v>-2</v>
      </c>
      <c r="K113" s="17">
        <f t="shared" si="7"/>
        <v>-20</v>
      </c>
      <c r="L113" s="17"/>
      <c r="M113" s="19" t="str">
        <f t="shared" si="9"/>
        <v/>
      </c>
    </row>
    <row r="114" spans="1:13">
      <c r="A114" s="43"/>
      <c r="G114" s="5"/>
      <c r="H114" s="17">
        <v>109</v>
      </c>
      <c r="I114" s="18" t="str">
        <f t="shared" si="6"/>
        <v/>
      </c>
      <c r="J114" s="17">
        <f t="shared" si="8"/>
        <v>-2</v>
      </c>
      <c r="K114" s="17">
        <f t="shared" si="7"/>
        <v>-20</v>
      </c>
      <c r="L114" s="17"/>
      <c r="M114" s="19" t="str">
        <f t="shared" si="9"/>
        <v/>
      </c>
    </row>
    <row r="115" spans="1:13">
      <c r="A115" s="43"/>
      <c r="G115" s="5"/>
      <c r="H115" s="17">
        <v>110</v>
      </c>
      <c r="I115" s="18" t="str">
        <f t="shared" si="6"/>
        <v/>
      </c>
      <c r="J115" s="17">
        <f t="shared" si="8"/>
        <v>-2</v>
      </c>
      <c r="K115" s="17">
        <f t="shared" si="7"/>
        <v>-20</v>
      </c>
      <c r="L115" s="17"/>
      <c r="M115" s="19" t="str">
        <f t="shared" si="9"/>
        <v/>
      </c>
    </row>
    <row r="116" spans="1:13">
      <c r="A116" s="43"/>
      <c r="G116" s="5"/>
      <c r="H116" s="17">
        <v>111</v>
      </c>
      <c r="I116" s="18" t="str">
        <f t="shared" si="6"/>
        <v/>
      </c>
      <c r="J116" s="17">
        <f t="shared" si="8"/>
        <v>-2</v>
      </c>
      <c r="K116" s="17">
        <f t="shared" si="7"/>
        <v>-20</v>
      </c>
      <c r="L116" s="17"/>
      <c r="M116" s="19" t="str">
        <f t="shared" si="9"/>
        <v/>
      </c>
    </row>
    <row r="117" spans="1:13">
      <c r="A117" s="43"/>
      <c r="G117" s="5"/>
      <c r="H117" s="17">
        <v>112</v>
      </c>
      <c r="I117" s="18" t="str">
        <f t="shared" si="6"/>
        <v/>
      </c>
      <c r="J117" s="17">
        <f t="shared" si="8"/>
        <v>-2</v>
      </c>
      <c r="K117" s="17">
        <f t="shared" si="7"/>
        <v>-20</v>
      </c>
      <c r="L117" s="17"/>
      <c r="M117" s="19" t="str">
        <f t="shared" si="9"/>
        <v/>
      </c>
    </row>
    <row r="118" spans="1:13">
      <c r="A118" s="43"/>
      <c r="G118" s="5"/>
      <c r="H118" s="17">
        <v>113</v>
      </c>
      <c r="I118" s="18" t="str">
        <f t="shared" si="6"/>
        <v/>
      </c>
      <c r="J118" s="17">
        <f t="shared" si="8"/>
        <v>-2</v>
      </c>
      <c r="K118" s="17">
        <f t="shared" si="7"/>
        <v>-20</v>
      </c>
      <c r="L118" s="17"/>
      <c r="M118" s="19" t="str">
        <f t="shared" si="9"/>
        <v/>
      </c>
    </row>
    <row r="119" spans="1:13">
      <c r="A119" s="43"/>
      <c r="G119" s="5"/>
      <c r="H119" s="17">
        <v>114</v>
      </c>
      <c r="I119" s="18" t="str">
        <f t="shared" si="6"/>
        <v/>
      </c>
      <c r="J119" s="17">
        <f t="shared" si="8"/>
        <v>-2</v>
      </c>
      <c r="K119" s="17">
        <f t="shared" si="7"/>
        <v>-20</v>
      </c>
      <c r="L119" s="17"/>
      <c r="M119" s="19" t="str">
        <f t="shared" si="9"/>
        <v/>
      </c>
    </row>
    <row r="120" spans="1:13">
      <c r="A120" s="43"/>
      <c r="G120" s="5"/>
      <c r="H120" s="17">
        <v>115</v>
      </c>
      <c r="I120" s="18" t="str">
        <f t="shared" si="6"/>
        <v/>
      </c>
      <c r="J120" s="17">
        <f t="shared" si="8"/>
        <v>-2</v>
      </c>
      <c r="K120" s="17">
        <f t="shared" si="7"/>
        <v>-20</v>
      </c>
      <c r="L120" s="17"/>
      <c r="M120" s="19" t="str">
        <f t="shared" si="9"/>
        <v/>
      </c>
    </row>
    <row r="121" spans="1:13">
      <c r="A121" s="43"/>
      <c r="G121" s="5"/>
      <c r="H121" s="17">
        <v>116</v>
      </c>
      <c r="I121" s="18" t="str">
        <f t="shared" si="6"/>
        <v/>
      </c>
      <c r="J121" s="17">
        <f t="shared" si="8"/>
        <v>-2</v>
      </c>
      <c r="K121" s="17">
        <f t="shared" si="7"/>
        <v>-20</v>
      </c>
      <c r="L121" s="17"/>
      <c r="M121" s="19" t="str">
        <f t="shared" si="9"/>
        <v/>
      </c>
    </row>
    <row r="122" spans="1:13">
      <c r="A122" s="43"/>
      <c r="G122" s="5"/>
      <c r="H122" s="17">
        <v>117</v>
      </c>
      <c r="I122" s="18" t="str">
        <f t="shared" si="6"/>
        <v/>
      </c>
      <c r="J122" s="17">
        <f t="shared" si="8"/>
        <v>-2</v>
      </c>
      <c r="K122" s="17">
        <f t="shared" si="7"/>
        <v>-20</v>
      </c>
      <c r="L122" s="17"/>
      <c r="M122" s="19" t="str">
        <f t="shared" si="9"/>
        <v/>
      </c>
    </row>
    <row r="123" spans="1:13">
      <c r="A123" s="43"/>
      <c r="G123" s="5"/>
      <c r="H123" s="17">
        <v>118</v>
      </c>
      <c r="I123" s="18" t="str">
        <f t="shared" si="6"/>
        <v/>
      </c>
      <c r="J123" s="17">
        <f t="shared" si="8"/>
        <v>-2</v>
      </c>
      <c r="K123" s="17">
        <f t="shared" si="7"/>
        <v>-20</v>
      </c>
      <c r="L123" s="17"/>
      <c r="M123" s="19" t="str">
        <f t="shared" si="9"/>
        <v/>
      </c>
    </row>
    <row r="124" spans="1:13">
      <c r="A124" s="43"/>
      <c r="G124" s="5"/>
      <c r="H124" s="17">
        <v>119</v>
      </c>
      <c r="I124" s="18" t="str">
        <f t="shared" si="6"/>
        <v/>
      </c>
      <c r="J124" s="17">
        <f t="shared" si="8"/>
        <v>-2</v>
      </c>
      <c r="K124" s="17">
        <f t="shared" si="7"/>
        <v>-20</v>
      </c>
      <c r="L124" s="17"/>
      <c r="M124" s="19" t="str">
        <f t="shared" si="9"/>
        <v/>
      </c>
    </row>
    <row r="125" spans="1:13">
      <c r="A125" s="43"/>
      <c r="G125" s="5"/>
      <c r="H125" s="17">
        <v>120</v>
      </c>
      <c r="I125" s="18" t="str">
        <f t="shared" si="6"/>
        <v/>
      </c>
      <c r="J125" s="17">
        <f t="shared" si="8"/>
        <v>-2</v>
      </c>
      <c r="K125" s="17">
        <f t="shared" si="7"/>
        <v>-20</v>
      </c>
      <c r="L125" s="17"/>
      <c r="M125" s="19" t="str">
        <f t="shared" si="9"/>
        <v/>
      </c>
    </row>
    <row r="126" spans="1:13">
      <c r="A126" s="43"/>
      <c r="G126" s="5"/>
      <c r="H126" s="17">
        <v>121</v>
      </c>
      <c r="I126" s="18" t="str">
        <f t="shared" si="6"/>
        <v/>
      </c>
      <c r="J126" s="17">
        <f t="shared" si="8"/>
        <v>-2</v>
      </c>
      <c r="K126" s="17">
        <f t="shared" si="7"/>
        <v>-20</v>
      </c>
      <c r="L126" s="17"/>
      <c r="M126" s="19" t="str">
        <f t="shared" si="9"/>
        <v/>
      </c>
    </row>
    <row r="127" spans="1:13">
      <c r="A127" s="43"/>
      <c r="G127" s="5"/>
      <c r="H127" s="17">
        <v>122</v>
      </c>
      <c r="I127" s="18" t="str">
        <f t="shared" si="6"/>
        <v/>
      </c>
      <c r="J127" s="17">
        <f t="shared" si="8"/>
        <v>-2</v>
      </c>
      <c r="K127" s="17">
        <f t="shared" si="7"/>
        <v>-20</v>
      </c>
      <c r="L127" s="17"/>
      <c r="M127" s="19" t="str">
        <f t="shared" si="9"/>
        <v/>
      </c>
    </row>
    <row r="128" spans="1:13">
      <c r="A128" s="43"/>
      <c r="G128" s="5"/>
      <c r="H128" s="17">
        <v>123</v>
      </c>
      <c r="I128" s="18" t="str">
        <f t="shared" si="6"/>
        <v/>
      </c>
      <c r="J128" s="17">
        <f t="shared" si="8"/>
        <v>-2</v>
      </c>
      <c r="K128" s="17">
        <f t="shared" si="7"/>
        <v>-20</v>
      </c>
      <c r="L128" s="17"/>
      <c r="M128" s="19" t="str">
        <f t="shared" si="9"/>
        <v/>
      </c>
    </row>
    <row r="129" spans="1:13">
      <c r="A129" s="43"/>
      <c r="G129" s="5"/>
      <c r="H129" s="17">
        <v>124</v>
      </c>
      <c r="I129" s="18" t="str">
        <f t="shared" si="6"/>
        <v/>
      </c>
      <c r="J129" s="17">
        <f t="shared" si="8"/>
        <v>-2</v>
      </c>
      <c r="K129" s="17">
        <f t="shared" si="7"/>
        <v>-20</v>
      </c>
      <c r="L129" s="17"/>
      <c r="M129" s="19" t="str">
        <f t="shared" si="9"/>
        <v/>
      </c>
    </row>
    <row r="130" spans="1:13">
      <c r="A130" s="43"/>
      <c r="G130" s="5"/>
      <c r="H130" s="17">
        <v>125</v>
      </c>
      <c r="I130" s="18" t="str">
        <f t="shared" si="6"/>
        <v/>
      </c>
      <c r="J130" s="17">
        <f t="shared" si="8"/>
        <v>-2</v>
      </c>
      <c r="K130" s="17">
        <f t="shared" si="7"/>
        <v>-20</v>
      </c>
      <c r="L130" s="17"/>
      <c r="M130" s="19" t="str">
        <f t="shared" si="9"/>
        <v/>
      </c>
    </row>
    <row r="131" spans="1:13">
      <c r="A131" s="43"/>
      <c r="G131" s="5"/>
      <c r="H131" s="17">
        <v>126</v>
      </c>
      <c r="I131" s="18" t="str">
        <f t="shared" si="6"/>
        <v/>
      </c>
      <c r="J131" s="17">
        <f t="shared" si="8"/>
        <v>-2</v>
      </c>
      <c r="K131" s="17">
        <f t="shared" si="7"/>
        <v>-20</v>
      </c>
      <c r="L131" s="17"/>
      <c r="M131" s="19" t="str">
        <f t="shared" si="9"/>
        <v/>
      </c>
    </row>
    <row r="132" spans="1:13">
      <c r="A132" s="43"/>
      <c r="G132" s="5"/>
      <c r="H132" s="17">
        <v>127</v>
      </c>
      <c r="I132" s="18" t="str">
        <f t="shared" si="6"/>
        <v/>
      </c>
      <c r="J132" s="17">
        <f t="shared" si="8"/>
        <v>-2</v>
      </c>
      <c r="K132" s="17">
        <f t="shared" si="7"/>
        <v>-20</v>
      </c>
      <c r="L132" s="17"/>
      <c r="M132" s="19" t="str">
        <f t="shared" si="9"/>
        <v/>
      </c>
    </row>
    <row r="133" spans="1:13">
      <c r="A133" s="43"/>
      <c r="G133" s="5"/>
      <c r="H133" s="17">
        <v>128</v>
      </c>
      <c r="I133" s="18" t="str">
        <f t="shared" si="6"/>
        <v/>
      </c>
      <c r="J133" s="17">
        <f t="shared" si="8"/>
        <v>-2</v>
      </c>
      <c r="K133" s="17">
        <f t="shared" si="7"/>
        <v>-20</v>
      </c>
      <c r="L133" s="17"/>
      <c r="M133" s="19" t="str">
        <f t="shared" si="9"/>
        <v/>
      </c>
    </row>
    <row r="134" spans="1:13">
      <c r="A134" s="43"/>
      <c r="G134" s="5"/>
      <c r="H134" s="17">
        <v>129</v>
      </c>
      <c r="I134" s="18" t="str">
        <f t="shared" ref="I134:I197" si="10">IF(H134&lt;$H$2+1,($I$2-($I$2-1)*(LOG(H134)/LOG($H$2))),"")</f>
        <v/>
      </c>
      <c r="J134" s="17">
        <f t="shared" si="8"/>
        <v>-3</v>
      </c>
      <c r="K134" s="17">
        <f t="shared" ref="K134:K197" si="11">J134*$J$2</f>
        <v>-30</v>
      </c>
      <c r="L134" s="17"/>
      <c r="M134" s="19" t="str">
        <f t="shared" si="9"/>
        <v/>
      </c>
    </row>
    <row r="135" spans="1:13">
      <c r="A135" s="43"/>
      <c r="G135" s="5"/>
      <c r="H135" s="17">
        <v>130</v>
      </c>
      <c r="I135" s="18" t="str">
        <f t="shared" si="10"/>
        <v/>
      </c>
      <c r="J135" s="17">
        <f t="shared" ref="J135:J198" si="12">INT(LOG($H$2,2))-ROUNDUP(LOG(H135,2),0)+IF(OR($H$2=1,$H$2=2,$H$2=4,$H$2=8,$H$2=16,$H$2=32,$H$2=64,$H$2=128,$H$2=256),0,1)</f>
        <v>-3</v>
      </c>
      <c r="K135" s="17">
        <f t="shared" si="11"/>
        <v>-30</v>
      </c>
      <c r="L135" s="17"/>
      <c r="M135" s="19" t="str">
        <f t="shared" ref="M135:M198" si="13">IF(I135&lt;&gt;"",K135+I135+L135,"")</f>
        <v/>
      </c>
    </row>
    <row r="136" spans="1:13">
      <c r="A136" s="43"/>
      <c r="G136" s="5"/>
      <c r="H136" s="17">
        <v>131</v>
      </c>
      <c r="I136" s="18" t="str">
        <f t="shared" si="10"/>
        <v/>
      </c>
      <c r="J136" s="17">
        <f t="shared" si="12"/>
        <v>-3</v>
      </c>
      <c r="K136" s="17">
        <f t="shared" si="11"/>
        <v>-30</v>
      </c>
      <c r="L136" s="17"/>
      <c r="M136" s="19" t="str">
        <f t="shared" si="13"/>
        <v/>
      </c>
    </row>
    <row r="137" spans="1:13">
      <c r="A137" s="43"/>
      <c r="G137" s="5"/>
      <c r="H137" s="17">
        <v>132</v>
      </c>
      <c r="I137" s="18" t="str">
        <f t="shared" si="10"/>
        <v/>
      </c>
      <c r="J137" s="17">
        <f t="shared" si="12"/>
        <v>-3</v>
      </c>
      <c r="K137" s="17">
        <f t="shared" si="11"/>
        <v>-30</v>
      </c>
      <c r="L137" s="17"/>
      <c r="M137" s="19" t="str">
        <f t="shared" si="13"/>
        <v/>
      </c>
    </row>
    <row r="138" spans="1:13">
      <c r="A138" s="43"/>
      <c r="G138" s="5"/>
      <c r="H138" s="17">
        <v>133</v>
      </c>
      <c r="I138" s="18" t="str">
        <f t="shared" si="10"/>
        <v/>
      </c>
      <c r="J138" s="17">
        <f t="shared" si="12"/>
        <v>-3</v>
      </c>
      <c r="K138" s="17">
        <f t="shared" si="11"/>
        <v>-30</v>
      </c>
      <c r="L138" s="17"/>
      <c r="M138" s="19" t="str">
        <f t="shared" si="13"/>
        <v/>
      </c>
    </row>
    <row r="139" spans="1:13">
      <c r="A139" s="43"/>
      <c r="G139" s="5"/>
      <c r="H139" s="17">
        <v>134</v>
      </c>
      <c r="I139" s="18" t="str">
        <f t="shared" si="10"/>
        <v/>
      </c>
      <c r="J139" s="17">
        <f t="shared" si="12"/>
        <v>-3</v>
      </c>
      <c r="K139" s="17">
        <f t="shared" si="11"/>
        <v>-30</v>
      </c>
      <c r="L139" s="17"/>
      <c r="M139" s="19" t="str">
        <f t="shared" si="13"/>
        <v/>
      </c>
    </row>
    <row r="140" spans="1:13">
      <c r="A140" s="43"/>
      <c r="G140" s="5"/>
      <c r="H140" s="17">
        <v>135</v>
      </c>
      <c r="I140" s="18" t="str">
        <f t="shared" si="10"/>
        <v/>
      </c>
      <c r="J140" s="17">
        <f t="shared" si="12"/>
        <v>-3</v>
      </c>
      <c r="K140" s="17">
        <f t="shared" si="11"/>
        <v>-30</v>
      </c>
      <c r="L140" s="17"/>
      <c r="M140" s="19" t="str">
        <f t="shared" si="13"/>
        <v/>
      </c>
    </row>
    <row r="141" spans="1:13">
      <c r="A141" s="43"/>
      <c r="G141" s="5"/>
      <c r="H141" s="17">
        <v>136</v>
      </c>
      <c r="I141" s="18" t="str">
        <f t="shared" si="10"/>
        <v/>
      </c>
      <c r="J141" s="17">
        <f t="shared" si="12"/>
        <v>-3</v>
      </c>
      <c r="K141" s="17">
        <f t="shared" si="11"/>
        <v>-30</v>
      </c>
      <c r="L141" s="17"/>
      <c r="M141" s="19" t="str">
        <f t="shared" si="13"/>
        <v/>
      </c>
    </row>
    <row r="142" spans="1:13">
      <c r="A142" s="43"/>
      <c r="G142" s="5"/>
      <c r="H142" s="17">
        <v>137</v>
      </c>
      <c r="I142" s="18" t="str">
        <f t="shared" si="10"/>
        <v/>
      </c>
      <c r="J142" s="17">
        <f t="shared" si="12"/>
        <v>-3</v>
      </c>
      <c r="K142" s="17">
        <f t="shared" si="11"/>
        <v>-30</v>
      </c>
      <c r="L142" s="17"/>
      <c r="M142" s="19" t="str">
        <f t="shared" si="13"/>
        <v/>
      </c>
    </row>
    <row r="143" spans="1:13">
      <c r="A143" s="43"/>
      <c r="G143" s="5"/>
      <c r="H143" s="17">
        <v>138</v>
      </c>
      <c r="I143" s="18" t="str">
        <f t="shared" si="10"/>
        <v/>
      </c>
      <c r="J143" s="17">
        <f t="shared" si="12"/>
        <v>-3</v>
      </c>
      <c r="K143" s="17">
        <f t="shared" si="11"/>
        <v>-30</v>
      </c>
      <c r="L143" s="17"/>
      <c r="M143" s="19" t="str">
        <f t="shared" si="13"/>
        <v/>
      </c>
    </row>
    <row r="144" spans="1:13">
      <c r="A144" s="43"/>
      <c r="G144" s="5"/>
      <c r="H144" s="17">
        <v>139</v>
      </c>
      <c r="I144" s="18" t="str">
        <f t="shared" si="10"/>
        <v/>
      </c>
      <c r="J144" s="17">
        <f t="shared" si="12"/>
        <v>-3</v>
      </c>
      <c r="K144" s="17">
        <f t="shared" si="11"/>
        <v>-30</v>
      </c>
      <c r="L144" s="17"/>
      <c r="M144" s="19" t="str">
        <f t="shared" si="13"/>
        <v/>
      </c>
    </row>
    <row r="145" spans="1:13">
      <c r="A145" s="43"/>
      <c r="G145" s="5"/>
      <c r="H145" s="17">
        <v>140</v>
      </c>
      <c r="I145" s="18" t="str">
        <f t="shared" si="10"/>
        <v/>
      </c>
      <c r="J145" s="17">
        <f t="shared" si="12"/>
        <v>-3</v>
      </c>
      <c r="K145" s="17">
        <f t="shared" si="11"/>
        <v>-30</v>
      </c>
      <c r="L145" s="17"/>
      <c r="M145" s="19" t="str">
        <f t="shared" si="13"/>
        <v/>
      </c>
    </row>
    <row r="146" spans="1:13">
      <c r="A146" s="43"/>
      <c r="G146" s="5"/>
      <c r="H146" s="17">
        <v>141</v>
      </c>
      <c r="I146" s="18" t="str">
        <f t="shared" si="10"/>
        <v/>
      </c>
      <c r="J146" s="17">
        <f t="shared" si="12"/>
        <v>-3</v>
      </c>
      <c r="K146" s="17">
        <f t="shared" si="11"/>
        <v>-30</v>
      </c>
      <c r="L146" s="17"/>
      <c r="M146" s="19" t="str">
        <f t="shared" si="13"/>
        <v/>
      </c>
    </row>
    <row r="147" spans="1:13">
      <c r="A147" s="43"/>
      <c r="G147" s="5"/>
      <c r="H147" s="17">
        <v>142</v>
      </c>
      <c r="I147" s="18" t="str">
        <f t="shared" si="10"/>
        <v/>
      </c>
      <c r="J147" s="17">
        <f t="shared" si="12"/>
        <v>-3</v>
      </c>
      <c r="K147" s="17">
        <f t="shared" si="11"/>
        <v>-30</v>
      </c>
      <c r="L147" s="17"/>
      <c r="M147" s="19" t="str">
        <f t="shared" si="13"/>
        <v/>
      </c>
    </row>
    <row r="148" spans="1:13">
      <c r="A148" s="43"/>
      <c r="G148" s="5"/>
      <c r="H148" s="17">
        <v>143</v>
      </c>
      <c r="I148" s="18" t="str">
        <f t="shared" si="10"/>
        <v/>
      </c>
      <c r="J148" s="17">
        <f t="shared" si="12"/>
        <v>-3</v>
      </c>
      <c r="K148" s="17">
        <f t="shared" si="11"/>
        <v>-30</v>
      </c>
      <c r="L148" s="17"/>
      <c r="M148" s="19" t="str">
        <f t="shared" si="13"/>
        <v/>
      </c>
    </row>
    <row r="149" spans="1:13">
      <c r="A149" s="43"/>
      <c r="G149" s="5"/>
      <c r="H149" s="17">
        <v>144</v>
      </c>
      <c r="I149" s="18" t="str">
        <f t="shared" si="10"/>
        <v/>
      </c>
      <c r="J149" s="17">
        <f t="shared" si="12"/>
        <v>-3</v>
      </c>
      <c r="K149" s="17">
        <f t="shared" si="11"/>
        <v>-30</v>
      </c>
      <c r="L149" s="17"/>
      <c r="M149" s="19" t="str">
        <f t="shared" si="13"/>
        <v/>
      </c>
    </row>
    <row r="150" spans="1:13">
      <c r="A150" s="43"/>
      <c r="G150" s="5"/>
      <c r="H150" s="17">
        <v>145</v>
      </c>
      <c r="I150" s="18" t="str">
        <f t="shared" si="10"/>
        <v/>
      </c>
      <c r="J150" s="17">
        <f t="shared" si="12"/>
        <v>-3</v>
      </c>
      <c r="K150" s="17">
        <f t="shared" si="11"/>
        <v>-30</v>
      </c>
      <c r="L150" s="17"/>
      <c r="M150" s="19" t="str">
        <f t="shared" si="13"/>
        <v/>
      </c>
    </row>
    <row r="151" spans="1:13">
      <c r="A151" s="43"/>
      <c r="G151" s="5"/>
      <c r="H151" s="17">
        <v>146</v>
      </c>
      <c r="I151" s="18" t="str">
        <f t="shared" si="10"/>
        <v/>
      </c>
      <c r="J151" s="17">
        <f t="shared" si="12"/>
        <v>-3</v>
      </c>
      <c r="K151" s="17">
        <f t="shared" si="11"/>
        <v>-30</v>
      </c>
      <c r="L151" s="17"/>
      <c r="M151" s="19" t="str">
        <f t="shared" si="13"/>
        <v/>
      </c>
    </row>
    <row r="152" spans="1:13">
      <c r="A152" s="43"/>
      <c r="G152" s="5"/>
      <c r="H152" s="17">
        <v>147</v>
      </c>
      <c r="I152" s="18" t="str">
        <f t="shared" si="10"/>
        <v/>
      </c>
      <c r="J152" s="17">
        <f t="shared" si="12"/>
        <v>-3</v>
      </c>
      <c r="K152" s="17">
        <f t="shared" si="11"/>
        <v>-30</v>
      </c>
      <c r="L152" s="17"/>
      <c r="M152" s="19" t="str">
        <f t="shared" si="13"/>
        <v/>
      </c>
    </row>
    <row r="153" spans="1:13">
      <c r="A153" s="43"/>
      <c r="G153" s="5"/>
      <c r="H153" s="17">
        <v>148</v>
      </c>
      <c r="I153" s="18" t="str">
        <f t="shared" si="10"/>
        <v/>
      </c>
      <c r="J153" s="17">
        <f t="shared" si="12"/>
        <v>-3</v>
      </c>
      <c r="K153" s="17">
        <f t="shared" si="11"/>
        <v>-30</v>
      </c>
      <c r="L153" s="17"/>
      <c r="M153" s="19" t="str">
        <f t="shared" si="13"/>
        <v/>
      </c>
    </row>
    <row r="154" spans="1:13">
      <c r="A154" s="43"/>
      <c r="G154" s="5"/>
      <c r="H154" s="17">
        <v>149</v>
      </c>
      <c r="I154" s="18" t="str">
        <f t="shared" si="10"/>
        <v/>
      </c>
      <c r="J154" s="17">
        <f t="shared" si="12"/>
        <v>-3</v>
      </c>
      <c r="K154" s="17">
        <f t="shared" si="11"/>
        <v>-30</v>
      </c>
      <c r="L154" s="17"/>
      <c r="M154" s="19" t="str">
        <f t="shared" si="13"/>
        <v/>
      </c>
    </row>
    <row r="155" spans="1:13">
      <c r="A155" s="43"/>
      <c r="G155" s="5"/>
      <c r="H155" s="17">
        <v>150</v>
      </c>
      <c r="I155" s="18" t="str">
        <f t="shared" si="10"/>
        <v/>
      </c>
      <c r="J155" s="17">
        <f t="shared" si="12"/>
        <v>-3</v>
      </c>
      <c r="K155" s="17">
        <f t="shared" si="11"/>
        <v>-30</v>
      </c>
      <c r="L155" s="17"/>
      <c r="M155" s="19" t="str">
        <f t="shared" si="13"/>
        <v/>
      </c>
    </row>
    <row r="156" spans="1:13">
      <c r="A156" s="43"/>
      <c r="G156" s="5"/>
      <c r="H156" s="17">
        <v>151</v>
      </c>
      <c r="I156" s="18" t="str">
        <f t="shared" si="10"/>
        <v/>
      </c>
      <c r="J156" s="17">
        <f t="shared" si="12"/>
        <v>-3</v>
      </c>
      <c r="K156" s="17">
        <f t="shared" si="11"/>
        <v>-30</v>
      </c>
      <c r="L156" s="17"/>
      <c r="M156" s="19" t="str">
        <f t="shared" si="13"/>
        <v/>
      </c>
    </row>
    <row r="157" spans="1:13">
      <c r="A157" s="43"/>
      <c r="G157" s="5"/>
      <c r="H157" s="17">
        <v>152</v>
      </c>
      <c r="I157" s="18" t="str">
        <f t="shared" si="10"/>
        <v/>
      </c>
      <c r="J157" s="17">
        <f t="shared" si="12"/>
        <v>-3</v>
      </c>
      <c r="K157" s="17">
        <f t="shared" si="11"/>
        <v>-30</v>
      </c>
      <c r="L157" s="17"/>
      <c r="M157" s="19" t="str">
        <f t="shared" si="13"/>
        <v/>
      </c>
    </row>
    <row r="158" spans="1:13">
      <c r="A158" s="43"/>
      <c r="G158" s="5"/>
      <c r="H158" s="17">
        <v>153</v>
      </c>
      <c r="I158" s="18" t="str">
        <f t="shared" si="10"/>
        <v/>
      </c>
      <c r="J158" s="17">
        <f t="shared" si="12"/>
        <v>-3</v>
      </c>
      <c r="K158" s="17">
        <f t="shared" si="11"/>
        <v>-30</v>
      </c>
      <c r="L158" s="17"/>
      <c r="M158" s="19" t="str">
        <f t="shared" si="13"/>
        <v/>
      </c>
    </row>
    <row r="159" spans="1:13">
      <c r="A159" s="43"/>
      <c r="G159" s="5"/>
      <c r="H159" s="17">
        <v>154</v>
      </c>
      <c r="I159" s="18" t="str">
        <f t="shared" si="10"/>
        <v/>
      </c>
      <c r="J159" s="17">
        <f t="shared" si="12"/>
        <v>-3</v>
      </c>
      <c r="K159" s="17">
        <f t="shared" si="11"/>
        <v>-30</v>
      </c>
      <c r="L159" s="17"/>
      <c r="M159" s="19" t="str">
        <f t="shared" si="13"/>
        <v/>
      </c>
    </row>
    <row r="160" spans="1:13">
      <c r="A160" s="43"/>
      <c r="G160" s="5"/>
      <c r="H160" s="17">
        <v>155</v>
      </c>
      <c r="I160" s="18" t="str">
        <f t="shared" si="10"/>
        <v/>
      </c>
      <c r="J160" s="17">
        <f t="shared" si="12"/>
        <v>-3</v>
      </c>
      <c r="K160" s="17">
        <f t="shared" si="11"/>
        <v>-30</v>
      </c>
      <c r="L160" s="17"/>
      <c r="M160" s="19" t="str">
        <f t="shared" si="13"/>
        <v/>
      </c>
    </row>
    <row r="161" spans="1:13">
      <c r="A161" s="43"/>
      <c r="G161" s="5"/>
      <c r="H161" s="17">
        <v>156</v>
      </c>
      <c r="I161" s="18" t="str">
        <f t="shared" si="10"/>
        <v/>
      </c>
      <c r="J161" s="17">
        <f t="shared" si="12"/>
        <v>-3</v>
      </c>
      <c r="K161" s="17">
        <f t="shared" si="11"/>
        <v>-30</v>
      </c>
      <c r="L161" s="17"/>
      <c r="M161" s="19" t="str">
        <f t="shared" si="13"/>
        <v/>
      </c>
    </row>
    <row r="162" spans="1:13">
      <c r="A162" s="43"/>
      <c r="G162" s="5"/>
      <c r="H162" s="17">
        <v>157</v>
      </c>
      <c r="I162" s="18" t="str">
        <f t="shared" si="10"/>
        <v/>
      </c>
      <c r="J162" s="17">
        <f t="shared" si="12"/>
        <v>-3</v>
      </c>
      <c r="K162" s="17">
        <f t="shared" si="11"/>
        <v>-30</v>
      </c>
      <c r="L162" s="17"/>
      <c r="M162" s="19" t="str">
        <f t="shared" si="13"/>
        <v/>
      </c>
    </row>
    <row r="163" spans="1:13">
      <c r="A163" s="43"/>
      <c r="G163" s="5"/>
      <c r="H163" s="17">
        <v>158</v>
      </c>
      <c r="I163" s="18" t="str">
        <f t="shared" si="10"/>
        <v/>
      </c>
      <c r="J163" s="17">
        <f t="shared" si="12"/>
        <v>-3</v>
      </c>
      <c r="K163" s="17">
        <f t="shared" si="11"/>
        <v>-30</v>
      </c>
      <c r="L163" s="17"/>
      <c r="M163" s="19" t="str">
        <f t="shared" si="13"/>
        <v/>
      </c>
    </row>
    <row r="164" spans="1:13">
      <c r="A164" s="43"/>
      <c r="G164" s="5"/>
      <c r="H164" s="17">
        <v>159</v>
      </c>
      <c r="I164" s="18" t="str">
        <f t="shared" si="10"/>
        <v/>
      </c>
      <c r="J164" s="17">
        <f t="shared" si="12"/>
        <v>-3</v>
      </c>
      <c r="K164" s="17">
        <f t="shared" si="11"/>
        <v>-30</v>
      </c>
      <c r="L164" s="17"/>
      <c r="M164" s="19" t="str">
        <f t="shared" si="13"/>
        <v/>
      </c>
    </row>
    <row r="165" spans="1:13">
      <c r="A165" s="43"/>
      <c r="G165" s="5"/>
      <c r="H165" s="17">
        <v>160</v>
      </c>
      <c r="I165" s="18" t="str">
        <f t="shared" si="10"/>
        <v/>
      </c>
      <c r="J165" s="17">
        <f t="shared" si="12"/>
        <v>-3</v>
      </c>
      <c r="K165" s="17">
        <f t="shared" si="11"/>
        <v>-30</v>
      </c>
      <c r="L165" s="17"/>
      <c r="M165" s="19" t="str">
        <f t="shared" si="13"/>
        <v/>
      </c>
    </row>
    <row r="166" spans="1:13">
      <c r="A166" s="43"/>
      <c r="G166" s="5"/>
      <c r="H166" s="17">
        <v>161</v>
      </c>
      <c r="I166" s="18" t="str">
        <f t="shared" si="10"/>
        <v/>
      </c>
      <c r="J166" s="17">
        <f t="shared" si="12"/>
        <v>-3</v>
      </c>
      <c r="K166" s="17">
        <f t="shared" si="11"/>
        <v>-30</v>
      </c>
      <c r="L166" s="17"/>
      <c r="M166" s="19" t="str">
        <f t="shared" si="13"/>
        <v/>
      </c>
    </row>
    <row r="167" spans="1:13">
      <c r="A167" s="43"/>
      <c r="G167" s="5"/>
      <c r="H167" s="17">
        <v>162</v>
      </c>
      <c r="I167" s="18" t="str">
        <f t="shared" si="10"/>
        <v/>
      </c>
      <c r="J167" s="17">
        <f t="shared" si="12"/>
        <v>-3</v>
      </c>
      <c r="K167" s="17">
        <f t="shared" si="11"/>
        <v>-30</v>
      </c>
      <c r="L167" s="17"/>
      <c r="M167" s="19" t="str">
        <f t="shared" si="13"/>
        <v/>
      </c>
    </row>
    <row r="168" spans="1:13">
      <c r="A168" s="43"/>
      <c r="G168" s="5"/>
      <c r="H168" s="17">
        <v>163</v>
      </c>
      <c r="I168" s="18" t="str">
        <f t="shared" si="10"/>
        <v/>
      </c>
      <c r="J168" s="17">
        <f t="shared" si="12"/>
        <v>-3</v>
      </c>
      <c r="K168" s="17">
        <f t="shared" si="11"/>
        <v>-30</v>
      </c>
      <c r="L168" s="17"/>
      <c r="M168" s="19" t="str">
        <f t="shared" si="13"/>
        <v/>
      </c>
    </row>
    <row r="169" spans="1:13">
      <c r="A169" s="43"/>
      <c r="G169" s="5"/>
      <c r="H169" s="17">
        <v>164</v>
      </c>
      <c r="I169" s="18" t="str">
        <f t="shared" si="10"/>
        <v/>
      </c>
      <c r="J169" s="17">
        <f t="shared" si="12"/>
        <v>-3</v>
      </c>
      <c r="K169" s="17">
        <f t="shared" si="11"/>
        <v>-30</v>
      </c>
      <c r="L169" s="17"/>
      <c r="M169" s="19" t="str">
        <f t="shared" si="13"/>
        <v/>
      </c>
    </row>
    <row r="170" spans="1:13">
      <c r="A170" s="43"/>
      <c r="G170" s="5"/>
      <c r="H170" s="17">
        <v>165</v>
      </c>
      <c r="I170" s="18" t="str">
        <f t="shared" si="10"/>
        <v/>
      </c>
      <c r="J170" s="17">
        <f t="shared" si="12"/>
        <v>-3</v>
      </c>
      <c r="K170" s="17">
        <f t="shared" si="11"/>
        <v>-30</v>
      </c>
      <c r="L170" s="17"/>
      <c r="M170" s="19" t="str">
        <f t="shared" si="13"/>
        <v/>
      </c>
    </row>
    <row r="171" spans="1:13">
      <c r="A171" s="43"/>
      <c r="G171" s="5"/>
      <c r="H171" s="17">
        <v>166</v>
      </c>
      <c r="I171" s="18" t="str">
        <f t="shared" si="10"/>
        <v/>
      </c>
      <c r="J171" s="17">
        <f t="shared" si="12"/>
        <v>-3</v>
      </c>
      <c r="K171" s="17">
        <f t="shared" si="11"/>
        <v>-30</v>
      </c>
      <c r="L171" s="17"/>
      <c r="M171" s="19" t="str">
        <f t="shared" si="13"/>
        <v/>
      </c>
    </row>
    <row r="172" spans="1:13">
      <c r="A172" s="43"/>
      <c r="G172" s="5"/>
      <c r="H172" s="17">
        <v>167</v>
      </c>
      <c r="I172" s="18" t="str">
        <f t="shared" si="10"/>
        <v/>
      </c>
      <c r="J172" s="17">
        <f t="shared" si="12"/>
        <v>-3</v>
      </c>
      <c r="K172" s="17">
        <f t="shared" si="11"/>
        <v>-30</v>
      </c>
      <c r="L172" s="17"/>
      <c r="M172" s="19" t="str">
        <f t="shared" si="13"/>
        <v/>
      </c>
    </row>
    <row r="173" spans="1:13">
      <c r="A173" s="43"/>
      <c r="G173" s="5"/>
      <c r="H173" s="17">
        <v>168</v>
      </c>
      <c r="I173" s="18" t="str">
        <f t="shared" si="10"/>
        <v/>
      </c>
      <c r="J173" s="17">
        <f t="shared" si="12"/>
        <v>-3</v>
      </c>
      <c r="K173" s="17">
        <f t="shared" si="11"/>
        <v>-30</v>
      </c>
      <c r="L173" s="17"/>
      <c r="M173" s="19" t="str">
        <f t="shared" si="13"/>
        <v/>
      </c>
    </row>
    <row r="174" spans="1:13">
      <c r="A174" s="43"/>
      <c r="G174" s="5"/>
      <c r="H174" s="17">
        <v>169</v>
      </c>
      <c r="I174" s="18" t="str">
        <f t="shared" si="10"/>
        <v/>
      </c>
      <c r="J174" s="17">
        <f t="shared" si="12"/>
        <v>-3</v>
      </c>
      <c r="K174" s="17">
        <f t="shared" si="11"/>
        <v>-30</v>
      </c>
      <c r="L174" s="17"/>
      <c r="M174" s="19" t="str">
        <f t="shared" si="13"/>
        <v/>
      </c>
    </row>
    <row r="175" spans="1:13">
      <c r="A175" s="43"/>
      <c r="G175" s="5"/>
      <c r="H175" s="17">
        <v>170</v>
      </c>
      <c r="I175" s="18" t="str">
        <f t="shared" si="10"/>
        <v/>
      </c>
      <c r="J175" s="17">
        <f t="shared" si="12"/>
        <v>-3</v>
      </c>
      <c r="K175" s="17">
        <f t="shared" si="11"/>
        <v>-30</v>
      </c>
      <c r="L175" s="17"/>
      <c r="M175" s="19" t="str">
        <f t="shared" si="13"/>
        <v/>
      </c>
    </row>
    <row r="176" spans="1:13">
      <c r="A176" s="43"/>
      <c r="G176" s="5"/>
      <c r="H176" s="17">
        <v>171</v>
      </c>
      <c r="I176" s="18" t="str">
        <f t="shared" si="10"/>
        <v/>
      </c>
      <c r="J176" s="17">
        <f t="shared" si="12"/>
        <v>-3</v>
      </c>
      <c r="K176" s="17">
        <f t="shared" si="11"/>
        <v>-30</v>
      </c>
      <c r="L176" s="17"/>
      <c r="M176" s="19" t="str">
        <f t="shared" si="13"/>
        <v/>
      </c>
    </row>
    <row r="177" spans="1:13">
      <c r="A177" s="43"/>
      <c r="G177" s="5"/>
      <c r="H177" s="17">
        <v>172</v>
      </c>
      <c r="I177" s="18" t="str">
        <f t="shared" si="10"/>
        <v/>
      </c>
      <c r="J177" s="17">
        <f t="shared" si="12"/>
        <v>-3</v>
      </c>
      <c r="K177" s="17">
        <f t="shared" si="11"/>
        <v>-30</v>
      </c>
      <c r="L177" s="17"/>
      <c r="M177" s="19" t="str">
        <f t="shared" si="13"/>
        <v/>
      </c>
    </row>
    <row r="178" spans="1:13">
      <c r="A178" s="43"/>
      <c r="G178" s="5"/>
      <c r="H178" s="17">
        <v>173</v>
      </c>
      <c r="I178" s="18" t="str">
        <f t="shared" si="10"/>
        <v/>
      </c>
      <c r="J178" s="17">
        <f t="shared" si="12"/>
        <v>-3</v>
      </c>
      <c r="K178" s="17">
        <f t="shared" si="11"/>
        <v>-30</v>
      </c>
      <c r="L178" s="17"/>
      <c r="M178" s="19" t="str">
        <f t="shared" si="13"/>
        <v/>
      </c>
    </row>
    <row r="179" spans="1:13">
      <c r="A179" s="43"/>
      <c r="G179" s="5"/>
      <c r="H179" s="17">
        <v>174</v>
      </c>
      <c r="I179" s="18" t="str">
        <f t="shared" si="10"/>
        <v/>
      </c>
      <c r="J179" s="17">
        <f t="shared" si="12"/>
        <v>-3</v>
      </c>
      <c r="K179" s="17">
        <f t="shared" si="11"/>
        <v>-30</v>
      </c>
      <c r="L179" s="17"/>
      <c r="M179" s="19" t="str">
        <f t="shared" si="13"/>
        <v/>
      </c>
    </row>
    <row r="180" spans="1:13">
      <c r="A180" s="43"/>
      <c r="G180" s="5"/>
      <c r="H180" s="17">
        <v>175</v>
      </c>
      <c r="I180" s="18" t="str">
        <f t="shared" si="10"/>
        <v/>
      </c>
      <c r="J180" s="17">
        <f t="shared" si="12"/>
        <v>-3</v>
      </c>
      <c r="K180" s="17">
        <f t="shared" si="11"/>
        <v>-30</v>
      </c>
      <c r="L180" s="17"/>
      <c r="M180" s="19" t="str">
        <f t="shared" si="13"/>
        <v/>
      </c>
    </row>
    <row r="181" spans="1:13">
      <c r="A181" s="43"/>
      <c r="G181" s="5"/>
      <c r="H181" s="17">
        <v>176</v>
      </c>
      <c r="I181" s="18" t="str">
        <f t="shared" si="10"/>
        <v/>
      </c>
      <c r="J181" s="17">
        <f t="shared" si="12"/>
        <v>-3</v>
      </c>
      <c r="K181" s="17">
        <f t="shared" si="11"/>
        <v>-30</v>
      </c>
      <c r="L181" s="17"/>
      <c r="M181" s="19" t="str">
        <f t="shared" si="13"/>
        <v/>
      </c>
    </row>
    <row r="182" spans="1:13">
      <c r="A182" s="43"/>
      <c r="G182" s="5"/>
      <c r="H182" s="17">
        <v>177</v>
      </c>
      <c r="I182" s="18" t="str">
        <f t="shared" si="10"/>
        <v/>
      </c>
      <c r="J182" s="17">
        <f t="shared" si="12"/>
        <v>-3</v>
      </c>
      <c r="K182" s="17">
        <f t="shared" si="11"/>
        <v>-30</v>
      </c>
      <c r="L182" s="17"/>
      <c r="M182" s="19" t="str">
        <f t="shared" si="13"/>
        <v/>
      </c>
    </row>
    <row r="183" spans="1:13">
      <c r="A183" s="43"/>
      <c r="G183" s="5"/>
      <c r="H183" s="17">
        <v>178</v>
      </c>
      <c r="I183" s="18" t="str">
        <f t="shared" si="10"/>
        <v/>
      </c>
      <c r="J183" s="17">
        <f t="shared" si="12"/>
        <v>-3</v>
      </c>
      <c r="K183" s="17">
        <f t="shared" si="11"/>
        <v>-30</v>
      </c>
      <c r="L183" s="17"/>
      <c r="M183" s="19" t="str">
        <f t="shared" si="13"/>
        <v/>
      </c>
    </row>
    <row r="184" spans="1:13">
      <c r="A184" s="43"/>
      <c r="G184" s="5"/>
      <c r="H184" s="17">
        <v>179</v>
      </c>
      <c r="I184" s="18" t="str">
        <f t="shared" si="10"/>
        <v/>
      </c>
      <c r="J184" s="17">
        <f t="shared" si="12"/>
        <v>-3</v>
      </c>
      <c r="K184" s="17">
        <f t="shared" si="11"/>
        <v>-30</v>
      </c>
      <c r="L184" s="17"/>
      <c r="M184" s="19" t="str">
        <f t="shared" si="13"/>
        <v/>
      </c>
    </row>
    <row r="185" spans="1:13">
      <c r="A185" s="43"/>
      <c r="G185" s="5"/>
      <c r="H185" s="17">
        <v>180</v>
      </c>
      <c r="I185" s="18" t="str">
        <f t="shared" si="10"/>
        <v/>
      </c>
      <c r="J185" s="17">
        <f t="shared" si="12"/>
        <v>-3</v>
      </c>
      <c r="K185" s="17">
        <f t="shared" si="11"/>
        <v>-30</v>
      </c>
      <c r="L185" s="17"/>
      <c r="M185" s="19" t="str">
        <f t="shared" si="13"/>
        <v/>
      </c>
    </row>
    <row r="186" spans="1:13">
      <c r="A186" s="43"/>
      <c r="G186" s="5"/>
      <c r="H186" s="17">
        <v>181</v>
      </c>
      <c r="I186" s="18" t="str">
        <f t="shared" si="10"/>
        <v/>
      </c>
      <c r="J186" s="17">
        <f t="shared" si="12"/>
        <v>-3</v>
      </c>
      <c r="K186" s="17">
        <f t="shared" si="11"/>
        <v>-30</v>
      </c>
      <c r="L186" s="17"/>
      <c r="M186" s="19" t="str">
        <f t="shared" si="13"/>
        <v/>
      </c>
    </row>
    <row r="187" spans="1:13">
      <c r="A187" s="43"/>
      <c r="G187" s="5"/>
      <c r="H187" s="17">
        <v>182</v>
      </c>
      <c r="I187" s="18" t="str">
        <f t="shared" si="10"/>
        <v/>
      </c>
      <c r="J187" s="17">
        <f t="shared" si="12"/>
        <v>-3</v>
      </c>
      <c r="K187" s="17">
        <f t="shared" si="11"/>
        <v>-30</v>
      </c>
      <c r="L187" s="17"/>
      <c r="M187" s="19" t="str">
        <f t="shared" si="13"/>
        <v/>
      </c>
    </row>
    <row r="188" spans="1:13">
      <c r="A188" s="43"/>
      <c r="G188" s="5"/>
      <c r="H188" s="17">
        <v>183</v>
      </c>
      <c r="I188" s="18" t="str">
        <f t="shared" si="10"/>
        <v/>
      </c>
      <c r="J188" s="17">
        <f t="shared" si="12"/>
        <v>-3</v>
      </c>
      <c r="K188" s="17">
        <f t="shared" si="11"/>
        <v>-30</v>
      </c>
      <c r="L188" s="17"/>
      <c r="M188" s="19" t="str">
        <f t="shared" si="13"/>
        <v/>
      </c>
    </row>
    <row r="189" spans="1:13">
      <c r="A189" s="43"/>
      <c r="G189" s="5"/>
      <c r="H189" s="17">
        <v>184</v>
      </c>
      <c r="I189" s="18" t="str">
        <f t="shared" si="10"/>
        <v/>
      </c>
      <c r="J189" s="17">
        <f t="shared" si="12"/>
        <v>-3</v>
      </c>
      <c r="K189" s="17">
        <f t="shared" si="11"/>
        <v>-30</v>
      </c>
      <c r="L189" s="17"/>
      <c r="M189" s="19" t="str">
        <f t="shared" si="13"/>
        <v/>
      </c>
    </row>
    <row r="190" spans="1:13">
      <c r="A190" s="43"/>
      <c r="G190" s="5"/>
      <c r="H190" s="17">
        <v>185</v>
      </c>
      <c r="I190" s="18" t="str">
        <f t="shared" si="10"/>
        <v/>
      </c>
      <c r="J190" s="17">
        <f t="shared" si="12"/>
        <v>-3</v>
      </c>
      <c r="K190" s="17">
        <f t="shared" si="11"/>
        <v>-30</v>
      </c>
      <c r="L190" s="17"/>
      <c r="M190" s="19" t="str">
        <f t="shared" si="13"/>
        <v/>
      </c>
    </row>
    <row r="191" spans="1:13">
      <c r="A191" s="43"/>
      <c r="G191" s="5"/>
      <c r="H191" s="17">
        <v>186</v>
      </c>
      <c r="I191" s="18" t="str">
        <f t="shared" si="10"/>
        <v/>
      </c>
      <c r="J191" s="17">
        <f t="shared" si="12"/>
        <v>-3</v>
      </c>
      <c r="K191" s="17">
        <f t="shared" si="11"/>
        <v>-30</v>
      </c>
      <c r="L191" s="17"/>
      <c r="M191" s="19" t="str">
        <f t="shared" si="13"/>
        <v/>
      </c>
    </row>
    <row r="192" spans="1:13">
      <c r="A192" s="43"/>
      <c r="G192" s="5"/>
      <c r="H192" s="17">
        <v>187</v>
      </c>
      <c r="I192" s="18" t="str">
        <f t="shared" si="10"/>
        <v/>
      </c>
      <c r="J192" s="17">
        <f t="shared" si="12"/>
        <v>-3</v>
      </c>
      <c r="K192" s="17">
        <f t="shared" si="11"/>
        <v>-30</v>
      </c>
      <c r="L192" s="17"/>
      <c r="M192" s="19" t="str">
        <f t="shared" si="13"/>
        <v/>
      </c>
    </row>
    <row r="193" spans="1:13">
      <c r="A193" s="43"/>
      <c r="G193" s="5"/>
      <c r="H193" s="17">
        <v>188</v>
      </c>
      <c r="I193" s="18" t="str">
        <f t="shared" si="10"/>
        <v/>
      </c>
      <c r="J193" s="17">
        <f t="shared" si="12"/>
        <v>-3</v>
      </c>
      <c r="K193" s="17">
        <f t="shared" si="11"/>
        <v>-30</v>
      </c>
      <c r="L193" s="17"/>
      <c r="M193" s="19" t="str">
        <f t="shared" si="13"/>
        <v/>
      </c>
    </row>
    <row r="194" spans="1:13">
      <c r="A194" s="43"/>
      <c r="G194" s="5"/>
      <c r="H194" s="17">
        <v>189</v>
      </c>
      <c r="I194" s="18" t="str">
        <f t="shared" si="10"/>
        <v/>
      </c>
      <c r="J194" s="17">
        <f t="shared" si="12"/>
        <v>-3</v>
      </c>
      <c r="K194" s="17">
        <f t="shared" si="11"/>
        <v>-30</v>
      </c>
      <c r="L194" s="17"/>
      <c r="M194" s="19" t="str">
        <f t="shared" si="13"/>
        <v/>
      </c>
    </row>
    <row r="195" spans="1:13">
      <c r="A195" s="43"/>
      <c r="G195" s="5"/>
      <c r="H195" s="17">
        <v>190</v>
      </c>
      <c r="I195" s="18" t="str">
        <f t="shared" si="10"/>
        <v/>
      </c>
      <c r="J195" s="17">
        <f t="shared" si="12"/>
        <v>-3</v>
      </c>
      <c r="K195" s="17">
        <f t="shared" si="11"/>
        <v>-30</v>
      </c>
      <c r="L195" s="17"/>
      <c r="M195" s="19" t="str">
        <f t="shared" si="13"/>
        <v/>
      </c>
    </row>
    <row r="196" spans="1:13">
      <c r="A196" s="43"/>
      <c r="G196" s="5"/>
      <c r="H196" s="17">
        <v>191</v>
      </c>
      <c r="I196" s="18" t="str">
        <f t="shared" si="10"/>
        <v/>
      </c>
      <c r="J196" s="17">
        <f t="shared" si="12"/>
        <v>-3</v>
      </c>
      <c r="K196" s="17">
        <f t="shared" si="11"/>
        <v>-30</v>
      </c>
      <c r="L196" s="17"/>
      <c r="M196" s="19" t="str">
        <f t="shared" si="13"/>
        <v/>
      </c>
    </row>
    <row r="197" spans="1:13">
      <c r="A197" s="43"/>
      <c r="G197" s="5"/>
      <c r="H197" s="17">
        <v>192</v>
      </c>
      <c r="I197" s="18" t="str">
        <f t="shared" si="10"/>
        <v/>
      </c>
      <c r="J197" s="17">
        <f t="shared" si="12"/>
        <v>-3</v>
      </c>
      <c r="K197" s="17">
        <f t="shared" si="11"/>
        <v>-30</v>
      </c>
      <c r="L197" s="17"/>
      <c r="M197" s="19" t="str">
        <f t="shared" si="13"/>
        <v/>
      </c>
    </row>
    <row r="198" spans="1:13">
      <c r="A198" s="43"/>
      <c r="G198" s="5"/>
      <c r="H198" s="17">
        <v>193</v>
      </c>
      <c r="I198" s="18" t="str">
        <f t="shared" ref="I198:I261" si="14">IF(H198&lt;$H$2+1,($I$2-($I$2-1)*(LOG(H198)/LOG($H$2))),"")</f>
        <v/>
      </c>
      <c r="J198" s="17">
        <f t="shared" si="12"/>
        <v>-3</v>
      </c>
      <c r="K198" s="17">
        <f t="shared" ref="K198:K261" si="15">J198*$J$2</f>
        <v>-30</v>
      </c>
      <c r="L198" s="17"/>
      <c r="M198" s="19" t="str">
        <f t="shared" si="13"/>
        <v/>
      </c>
    </row>
    <row r="199" spans="1:13">
      <c r="A199" s="43"/>
      <c r="G199" s="5"/>
      <c r="H199" s="17">
        <v>194</v>
      </c>
      <c r="I199" s="18" t="str">
        <f t="shared" si="14"/>
        <v/>
      </c>
      <c r="J199" s="17">
        <f t="shared" ref="J199:J262" si="16">INT(LOG($H$2,2))-ROUNDUP(LOG(H199,2),0)+IF(OR($H$2=1,$H$2=2,$H$2=4,$H$2=8,$H$2=16,$H$2=32,$H$2=64,$H$2=128,$H$2=256),0,1)</f>
        <v>-3</v>
      </c>
      <c r="K199" s="17">
        <f t="shared" si="15"/>
        <v>-30</v>
      </c>
      <c r="L199" s="17"/>
      <c r="M199" s="19" t="str">
        <f t="shared" ref="M199:M262" si="17">IF(I199&lt;&gt;"",K199+I199+L199,"")</f>
        <v/>
      </c>
    </row>
    <row r="200" spans="1:13">
      <c r="A200" s="43"/>
      <c r="G200" s="5"/>
      <c r="H200" s="17">
        <v>195</v>
      </c>
      <c r="I200" s="18" t="str">
        <f t="shared" si="14"/>
        <v/>
      </c>
      <c r="J200" s="17">
        <f t="shared" si="16"/>
        <v>-3</v>
      </c>
      <c r="K200" s="17">
        <f t="shared" si="15"/>
        <v>-30</v>
      </c>
      <c r="L200" s="17"/>
      <c r="M200" s="19" t="str">
        <f t="shared" si="17"/>
        <v/>
      </c>
    </row>
    <row r="201" spans="1:13">
      <c r="A201" s="43"/>
      <c r="G201" s="5"/>
      <c r="H201" s="17">
        <v>196</v>
      </c>
      <c r="I201" s="18" t="str">
        <f t="shared" si="14"/>
        <v/>
      </c>
      <c r="J201" s="17">
        <f t="shared" si="16"/>
        <v>-3</v>
      </c>
      <c r="K201" s="17">
        <f t="shared" si="15"/>
        <v>-30</v>
      </c>
      <c r="L201" s="17"/>
      <c r="M201" s="19" t="str">
        <f t="shared" si="17"/>
        <v/>
      </c>
    </row>
    <row r="202" spans="1:13">
      <c r="A202" s="43"/>
      <c r="G202" s="5"/>
      <c r="H202" s="17">
        <v>197</v>
      </c>
      <c r="I202" s="18" t="str">
        <f t="shared" si="14"/>
        <v/>
      </c>
      <c r="J202" s="17">
        <f t="shared" si="16"/>
        <v>-3</v>
      </c>
      <c r="K202" s="17">
        <f t="shared" si="15"/>
        <v>-30</v>
      </c>
      <c r="L202" s="17"/>
      <c r="M202" s="19" t="str">
        <f t="shared" si="17"/>
        <v/>
      </c>
    </row>
    <row r="203" spans="1:13">
      <c r="A203" s="43"/>
      <c r="G203" s="5"/>
      <c r="H203" s="17">
        <v>198</v>
      </c>
      <c r="I203" s="18" t="str">
        <f t="shared" si="14"/>
        <v/>
      </c>
      <c r="J203" s="17">
        <f t="shared" si="16"/>
        <v>-3</v>
      </c>
      <c r="K203" s="17">
        <f t="shared" si="15"/>
        <v>-30</v>
      </c>
      <c r="L203" s="17"/>
      <c r="M203" s="19" t="str">
        <f t="shared" si="17"/>
        <v/>
      </c>
    </row>
    <row r="204" spans="1:13">
      <c r="A204" s="43"/>
      <c r="G204" s="5"/>
      <c r="H204" s="17">
        <v>199</v>
      </c>
      <c r="I204" s="18" t="str">
        <f t="shared" si="14"/>
        <v/>
      </c>
      <c r="J204" s="17">
        <f t="shared" si="16"/>
        <v>-3</v>
      </c>
      <c r="K204" s="17">
        <f t="shared" si="15"/>
        <v>-30</v>
      </c>
      <c r="L204" s="17"/>
      <c r="M204" s="19" t="str">
        <f t="shared" si="17"/>
        <v/>
      </c>
    </row>
    <row r="205" spans="1:13">
      <c r="A205" s="43"/>
      <c r="G205" s="5"/>
      <c r="H205" s="17">
        <v>200</v>
      </c>
      <c r="I205" s="18" t="str">
        <f t="shared" si="14"/>
        <v/>
      </c>
      <c r="J205" s="17">
        <f t="shared" si="16"/>
        <v>-3</v>
      </c>
      <c r="K205" s="17">
        <f t="shared" si="15"/>
        <v>-30</v>
      </c>
      <c r="L205" s="17"/>
      <c r="M205" s="19" t="str">
        <f t="shared" si="17"/>
        <v/>
      </c>
    </row>
    <row r="206" spans="1:13">
      <c r="A206" s="43"/>
      <c r="G206" s="5"/>
      <c r="H206" s="17">
        <v>201</v>
      </c>
      <c r="I206" s="18" t="str">
        <f t="shared" si="14"/>
        <v/>
      </c>
      <c r="J206" s="17">
        <f t="shared" si="16"/>
        <v>-3</v>
      </c>
      <c r="K206" s="17">
        <f t="shared" si="15"/>
        <v>-30</v>
      </c>
      <c r="L206" s="17"/>
      <c r="M206" s="19" t="str">
        <f t="shared" si="17"/>
        <v/>
      </c>
    </row>
    <row r="207" spans="1:13">
      <c r="A207" s="43"/>
      <c r="G207" s="5"/>
      <c r="H207" s="17">
        <v>202</v>
      </c>
      <c r="I207" s="18" t="str">
        <f t="shared" si="14"/>
        <v/>
      </c>
      <c r="J207" s="17">
        <f t="shared" si="16"/>
        <v>-3</v>
      </c>
      <c r="K207" s="17">
        <f t="shared" si="15"/>
        <v>-30</v>
      </c>
      <c r="L207" s="17"/>
      <c r="M207" s="19" t="str">
        <f t="shared" si="17"/>
        <v/>
      </c>
    </row>
    <row r="208" spans="1:13">
      <c r="A208" s="43"/>
      <c r="G208" s="5"/>
      <c r="H208" s="17">
        <v>203</v>
      </c>
      <c r="I208" s="18" t="str">
        <f t="shared" si="14"/>
        <v/>
      </c>
      <c r="J208" s="17">
        <f t="shared" si="16"/>
        <v>-3</v>
      </c>
      <c r="K208" s="17">
        <f t="shared" si="15"/>
        <v>-30</v>
      </c>
      <c r="L208" s="17"/>
      <c r="M208" s="19" t="str">
        <f t="shared" si="17"/>
        <v/>
      </c>
    </row>
    <row r="209" spans="1:13">
      <c r="A209" s="43"/>
      <c r="G209" s="5"/>
      <c r="H209" s="17">
        <v>204</v>
      </c>
      <c r="I209" s="18" t="str">
        <f t="shared" si="14"/>
        <v/>
      </c>
      <c r="J209" s="17">
        <f t="shared" si="16"/>
        <v>-3</v>
      </c>
      <c r="K209" s="17">
        <f t="shared" si="15"/>
        <v>-30</v>
      </c>
      <c r="L209" s="17"/>
      <c r="M209" s="19" t="str">
        <f t="shared" si="17"/>
        <v/>
      </c>
    </row>
    <row r="210" spans="1:13">
      <c r="A210" s="43"/>
      <c r="G210" s="5"/>
      <c r="H210" s="17">
        <v>205</v>
      </c>
      <c r="I210" s="18" t="str">
        <f t="shared" si="14"/>
        <v/>
      </c>
      <c r="J210" s="17">
        <f t="shared" si="16"/>
        <v>-3</v>
      </c>
      <c r="K210" s="17">
        <f t="shared" si="15"/>
        <v>-30</v>
      </c>
      <c r="L210" s="17"/>
      <c r="M210" s="19" t="str">
        <f t="shared" si="17"/>
        <v/>
      </c>
    </row>
    <row r="211" spans="1:13">
      <c r="A211" s="43"/>
      <c r="G211" s="5"/>
      <c r="H211" s="17">
        <v>206</v>
      </c>
      <c r="I211" s="18" t="str">
        <f t="shared" si="14"/>
        <v/>
      </c>
      <c r="J211" s="17">
        <f t="shared" si="16"/>
        <v>-3</v>
      </c>
      <c r="K211" s="17">
        <f t="shared" si="15"/>
        <v>-30</v>
      </c>
      <c r="L211" s="17"/>
      <c r="M211" s="19" t="str">
        <f t="shared" si="17"/>
        <v/>
      </c>
    </row>
    <row r="212" spans="1:13">
      <c r="A212" s="43"/>
      <c r="G212" s="5"/>
      <c r="H212" s="17">
        <v>207</v>
      </c>
      <c r="I212" s="18" t="str">
        <f t="shared" si="14"/>
        <v/>
      </c>
      <c r="J212" s="17">
        <f t="shared" si="16"/>
        <v>-3</v>
      </c>
      <c r="K212" s="17">
        <f t="shared" si="15"/>
        <v>-30</v>
      </c>
      <c r="L212" s="17"/>
      <c r="M212" s="19" t="str">
        <f t="shared" si="17"/>
        <v/>
      </c>
    </row>
    <row r="213" spans="1:13">
      <c r="A213" s="43"/>
      <c r="G213" s="5"/>
      <c r="H213" s="17">
        <v>208</v>
      </c>
      <c r="I213" s="18" t="str">
        <f t="shared" si="14"/>
        <v/>
      </c>
      <c r="J213" s="17">
        <f t="shared" si="16"/>
        <v>-3</v>
      </c>
      <c r="K213" s="17">
        <f t="shared" si="15"/>
        <v>-30</v>
      </c>
      <c r="L213" s="17"/>
      <c r="M213" s="19" t="str">
        <f t="shared" si="17"/>
        <v/>
      </c>
    </row>
    <row r="214" spans="1:13">
      <c r="A214" s="43"/>
      <c r="G214" s="5"/>
      <c r="H214" s="17">
        <v>209</v>
      </c>
      <c r="I214" s="18" t="str">
        <f t="shared" si="14"/>
        <v/>
      </c>
      <c r="J214" s="17">
        <f t="shared" si="16"/>
        <v>-3</v>
      </c>
      <c r="K214" s="17">
        <f t="shared" si="15"/>
        <v>-30</v>
      </c>
      <c r="L214" s="17"/>
      <c r="M214" s="19" t="str">
        <f t="shared" si="17"/>
        <v/>
      </c>
    </row>
    <row r="215" spans="1:13">
      <c r="A215" s="43"/>
      <c r="G215" s="5"/>
      <c r="H215" s="17">
        <v>210</v>
      </c>
      <c r="I215" s="18" t="str">
        <f t="shared" si="14"/>
        <v/>
      </c>
      <c r="J215" s="17">
        <f t="shared" si="16"/>
        <v>-3</v>
      </c>
      <c r="K215" s="17">
        <f t="shared" si="15"/>
        <v>-30</v>
      </c>
      <c r="L215" s="17"/>
      <c r="M215" s="19" t="str">
        <f t="shared" si="17"/>
        <v/>
      </c>
    </row>
    <row r="216" spans="1:13">
      <c r="A216" s="43"/>
      <c r="G216" s="5"/>
      <c r="H216" s="17">
        <v>211</v>
      </c>
      <c r="I216" s="18" t="str">
        <f t="shared" si="14"/>
        <v/>
      </c>
      <c r="J216" s="17">
        <f t="shared" si="16"/>
        <v>-3</v>
      </c>
      <c r="K216" s="17">
        <f t="shared" si="15"/>
        <v>-30</v>
      </c>
      <c r="L216" s="17"/>
      <c r="M216" s="19" t="str">
        <f t="shared" si="17"/>
        <v/>
      </c>
    </row>
    <row r="217" spans="1:13">
      <c r="A217" s="43"/>
      <c r="G217" s="5"/>
      <c r="H217" s="17">
        <v>212</v>
      </c>
      <c r="I217" s="18" t="str">
        <f t="shared" si="14"/>
        <v/>
      </c>
      <c r="J217" s="17">
        <f t="shared" si="16"/>
        <v>-3</v>
      </c>
      <c r="K217" s="17">
        <f t="shared" si="15"/>
        <v>-30</v>
      </c>
      <c r="L217" s="17"/>
      <c r="M217" s="19" t="str">
        <f t="shared" si="17"/>
        <v/>
      </c>
    </row>
    <row r="218" spans="1:13">
      <c r="A218" s="43"/>
      <c r="G218" s="5"/>
      <c r="H218" s="17">
        <v>213</v>
      </c>
      <c r="I218" s="18" t="str">
        <f t="shared" si="14"/>
        <v/>
      </c>
      <c r="J218" s="17">
        <f t="shared" si="16"/>
        <v>-3</v>
      </c>
      <c r="K218" s="17">
        <f t="shared" si="15"/>
        <v>-30</v>
      </c>
      <c r="L218" s="17"/>
      <c r="M218" s="19" t="str">
        <f t="shared" si="17"/>
        <v/>
      </c>
    </row>
    <row r="219" spans="1:13">
      <c r="A219" s="43"/>
      <c r="G219" s="5"/>
      <c r="H219" s="17">
        <v>214</v>
      </c>
      <c r="I219" s="18" t="str">
        <f t="shared" si="14"/>
        <v/>
      </c>
      <c r="J219" s="17">
        <f t="shared" si="16"/>
        <v>-3</v>
      </c>
      <c r="K219" s="17">
        <f t="shared" si="15"/>
        <v>-30</v>
      </c>
      <c r="L219" s="17"/>
      <c r="M219" s="19" t="str">
        <f t="shared" si="17"/>
        <v/>
      </c>
    </row>
    <row r="220" spans="1:13">
      <c r="A220" s="43"/>
      <c r="G220" s="5"/>
      <c r="H220" s="17">
        <v>215</v>
      </c>
      <c r="I220" s="18" t="str">
        <f t="shared" si="14"/>
        <v/>
      </c>
      <c r="J220" s="17">
        <f t="shared" si="16"/>
        <v>-3</v>
      </c>
      <c r="K220" s="17">
        <f t="shared" si="15"/>
        <v>-30</v>
      </c>
      <c r="L220" s="17"/>
      <c r="M220" s="19" t="str">
        <f t="shared" si="17"/>
        <v/>
      </c>
    </row>
    <row r="221" spans="1:13">
      <c r="A221" s="43"/>
      <c r="G221" s="5"/>
      <c r="H221" s="17">
        <v>216</v>
      </c>
      <c r="I221" s="18" t="str">
        <f t="shared" si="14"/>
        <v/>
      </c>
      <c r="J221" s="17">
        <f t="shared" si="16"/>
        <v>-3</v>
      </c>
      <c r="K221" s="17">
        <f t="shared" si="15"/>
        <v>-30</v>
      </c>
      <c r="L221" s="17"/>
      <c r="M221" s="19" t="str">
        <f t="shared" si="17"/>
        <v/>
      </c>
    </row>
    <row r="222" spans="1:13">
      <c r="A222" s="43"/>
      <c r="G222" s="5"/>
      <c r="H222" s="17">
        <v>217</v>
      </c>
      <c r="I222" s="18" t="str">
        <f t="shared" si="14"/>
        <v/>
      </c>
      <c r="J222" s="17">
        <f t="shared" si="16"/>
        <v>-3</v>
      </c>
      <c r="K222" s="17">
        <f t="shared" si="15"/>
        <v>-30</v>
      </c>
      <c r="L222" s="17"/>
      <c r="M222" s="19" t="str">
        <f t="shared" si="17"/>
        <v/>
      </c>
    </row>
    <row r="223" spans="1:13">
      <c r="A223" s="43"/>
      <c r="G223" s="5"/>
      <c r="H223" s="17">
        <v>218</v>
      </c>
      <c r="I223" s="18" t="str">
        <f t="shared" si="14"/>
        <v/>
      </c>
      <c r="J223" s="17">
        <f t="shared" si="16"/>
        <v>-3</v>
      </c>
      <c r="K223" s="17">
        <f t="shared" si="15"/>
        <v>-30</v>
      </c>
      <c r="L223" s="17"/>
      <c r="M223" s="19" t="str">
        <f t="shared" si="17"/>
        <v/>
      </c>
    </row>
    <row r="224" spans="1:13">
      <c r="A224" s="43"/>
      <c r="G224" s="5"/>
      <c r="H224" s="17">
        <v>219</v>
      </c>
      <c r="I224" s="18" t="str">
        <f t="shared" si="14"/>
        <v/>
      </c>
      <c r="J224" s="17">
        <f t="shared" si="16"/>
        <v>-3</v>
      </c>
      <c r="K224" s="17">
        <f t="shared" si="15"/>
        <v>-30</v>
      </c>
      <c r="L224" s="17"/>
      <c r="M224" s="19" t="str">
        <f t="shared" si="17"/>
        <v/>
      </c>
    </row>
    <row r="225" spans="1:13">
      <c r="A225" s="43"/>
      <c r="G225" s="5"/>
      <c r="H225" s="17">
        <v>220</v>
      </c>
      <c r="I225" s="18" t="str">
        <f t="shared" si="14"/>
        <v/>
      </c>
      <c r="J225" s="17">
        <f t="shared" si="16"/>
        <v>-3</v>
      </c>
      <c r="K225" s="17">
        <f t="shared" si="15"/>
        <v>-30</v>
      </c>
      <c r="L225" s="17"/>
      <c r="M225" s="19" t="str">
        <f t="shared" si="17"/>
        <v/>
      </c>
    </row>
    <row r="226" spans="1:13">
      <c r="A226" s="43"/>
      <c r="G226" s="5"/>
      <c r="H226" s="17">
        <v>221</v>
      </c>
      <c r="I226" s="18" t="str">
        <f t="shared" si="14"/>
        <v/>
      </c>
      <c r="J226" s="17">
        <f t="shared" si="16"/>
        <v>-3</v>
      </c>
      <c r="K226" s="17">
        <f t="shared" si="15"/>
        <v>-30</v>
      </c>
      <c r="L226" s="17"/>
      <c r="M226" s="19" t="str">
        <f t="shared" si="17"/>
        <v/>
      </c>
    </row>
    <row r="227" spans="1:13">
      <c r="A227" s="43"/>
      <c r="G227" s="5"/>
      <c r="H227" s="17">
        <v>222</v>
      </c>
      <c r="I227" s="18" t="str">
        <f t="shared" si="14"/>
        <v/>
      </c>
      <c r="J227" s="17">
        <f t="shared" si="16"/>
        <v>-3</v>
      </c>
      <c r="K227" s="17">
        <f t="shared" si="15"/>
        <v>-30</v>
      </c>
      <c r="L227" s="17"/>
      <c r="M227" s="19" t="str">
        <f t="shared" si="17"/>
        <v/>
      </c>
    </row>
    <row r="228" spans="1:13">
      <c r="A228" s="43"/>
      <c r="G228" s="5"/>
      <c r="H228" s="17">
        <v>223</v>
      </c>
      <c r="I228" s="18" t="str">
        <f t="shared" si="14"/>
        <v/>
      </c>
      <c r="J228" s="17">
        <f t="shared" si="16"/>
        <v>-3</v>
      </c>
      <c r="K228" s="17">
        <f t="shared" si="15"/>
        <v>-30</v>
      </c>
      <c r="L228" s="17"/>
      <c r="M228" s="19" t="str">
        <f t="shared" si="17"/>
        <v/>
      </c>
    </row>
    <row r="229" spans="1:13">
      <c r="A229" s="43"/>
      <c r="G229" s="5"/>
      <c r="H229" s="17">
        <v>224</v>
      </c>
      <c r="I229" s="18" t="str">
        <f t="shared" si="14"/>
        <v/>
      </c>
      <c r="J229" s="17">
        <f t="shared" si="16"/>
        <v>-3</v>
      </c>
      <c r="K229" s="17">
        <f t="shared" si="15"/>
        <v>-30</v>
      </c>
      <c r="L229" s="17"/>
      <c r="M229" s="19" t="str">
        <f t="shared" si="17"/>
        <v/>
      </c>
    </row>
    <row r="230" spans="1:13">
      <c r="A230" s="43"/>
      <c r="G230" s="5"/>
      <c r="H230" s="17">
        <v>225</v>
      </c>
      <c r="I230" s="18" t="str">
        <f t="shared" si="14"/>
        <v/>
      </c>
      <c r="J230" s="17">
        <f t="shared" si="16"/>
        <v>-3</v>
      </c>
      <c r="K230" s="17">
        <f t="shared" si="15"/>
        <v>-30</v>
      </c>
      <c r="L230" s="17"/>
      <c r="M230" s="19" t="str">
        <f t="shared" si="17"/>
        <v/>
      </c>
    </row>
    <row r="231" spans="1:13">
      <c r="A231" s="43"/>
      <c r="G231" s="5"/>
      <c r="H231" s="17">
        <v>226</v>
      </c>
      <c r="I231" s="18" t="str">
        <f t="shared" si="14"/>
        <v/>
      </c>
      <c r="J231" s="17">
        <f t="shared" si="16"/>
        <v>-3</v>
      </c>
      <c r="K231" s="17">
        <f t="shared" si="15"/>
        <v>-30</v>
      </c>
      <c r="L231" s="17"/>
      <c r="M231" s="19" t="str">
        <f t="shared" si="17"/>
        <v/>
      </c>
    </row>
    <row r="232" spans="1:13">
      <c r="A232" s="43"/>
      <c r="G232" s="5"/>
      <c r="H232" s="17">
        <v>227</v>
      </c>
      <c r="I232" s="18" t="str">
        <f t="shared" si="14"/>
        <v/>
      </c>
      <c r="J232" s="17">
        <f t="shared" si="16"/>
        <v>-3</v>
      </c>
      <c r="K232" s="17">
        <f t="shared" si="15"/>
        <v>-30</v>
      </c>
      <c r="L232" s="17"/>
      <c r="M232" s="19" t="str">
        <f t="shared" si="17"/>
        <v/>
      </c>
    </row>
    <row r="233" spans="1:13">
      <c r="A233" s="43"/>
      <c r="G233" s="5"/>
      <c r="H233" s="17">
        <v>228</v>
      </c>
      <c r="I233" s="18" t="str">
        <f t="shared" si="14"/>
        <v/>
      </c>
      <c r="J233" s="17">
        <f t="shared" si="16"/>
        <v>-3</v>
      </c>
      <c r="K233" s="17">
        <f t="shared" si="15"/>
        <v>-30</v>
      </c>
      <c r="L233" s="17"/>
      <c r="M233" s="19" t="str">
        <f t="shared" si="17"/>
        <v/>
      </c>
    </row>
    <row r="234" spans="1:13">
      <c r="A234" s="43"/>
      <c r="G234" s="5"/>
      <c r="H234" s="17">
        <v>229</v>
      </c>
      <c r="I234" s="18" t="str">
        <f t="shared" si="14"/>
        <v/>
      </c>
      <c r="J234" s="17">
        <f t="shared" si="16"/>
        <v>-3</v>
      </c>
      <c r="K234" s="17">
        <f t="shared" si="15"/>
        <v>-30</v>
      </c>
      <c r="L234" s="17"/>
      <c r="M234" s="19" t="str">
        <f t="shared" si="17"/>
        <v/>
      </c>
    </row>
    <row r="235" spans="1:13">
      <c r="A235" s="43"/>
      <c r="G235" s="5"/>
      <c r="H235" s="17">
        <v>230</v>
      </c>
      <c r="I235" s="18" t="str">
        <f t="shared" si="14"/>
        <v/>
      </c>
      <c r="J235" s="17">
        <f t="shared" si="16"/>
        <v>-3</v>
      </c>
      <c r="K235" s="17">
        <f t="shared" si="15"/>
        <v>-30</v>
      </c>
      <c r="L235" s="17"/>
      <c r="M235" s="19" t="str">
        <f t="shared" si="17"/>
        <v/>
      </c>
    </row>
    <row r="236" spans="1:13">
      <c r="A236" s="43"/>
      <c r="G236" s="5"/>
      <c r="H236" s="17">
        <v>231</v>
      </c>
      <c r="I236" s="18" t="str">
        <f t="shared" si="14"/>
        <v/>
      </c>
      <c r="J236" s="17">
        <f t="shared" si="16"/>
        <v>-3</v>
      </c>
      <c r="K236" s="17">
        <f t="shared" si="15"/>
        <v>-30</v>
      </c>
      <c r="L236" s="17"/>
      <c r="M236" s="19" t="str">
        <f t="shared" si="17"/>
        <v/>
      </c>
    </row>
    <row r="237" spans="1:13">
      <c r="A237" s="43"/>
      <c r="G237" s="5"/>
      <c r="H237" s="17">
        <v>232</v>
      </c>
      <c r="I237" s="18" t="str">
        <f t="shared" si="14"/>
        <v/>
      </c>
      <c r="J237" s="17">
        <f t="shared" si="16"/>
        <v>-3</v>
      </c>
      <c r="K237" s="17">
        <f t="shared" si="15"/>
        <v>-30</v>
      </c>
      <c r="L237" s="17"/>
      <c r="M237" s="19" t="str">
        <f t="shared" si="17"/>
        <v/>
      </c>
    </row>
    <row r="238" spans="1:13">
      <c r="A238" s="43"/>
      <c r="G238" s="5"/>
      <c r="H238" s="17">
        <v>233</v>
      </c>
      <c r="I238" s="18" t="str">
        <f t="shared" si="14"/>
        <v/>
      </c>
      <c r="J238" s="17">
        <f t="shared" si="16"/>
        <v>-3</v>
      </c>
      <c r="K238" s="17">
        <f t="shared" si="15"/>
        <v>-30</v>
      </c>
      <c r="L238" s="17"/>
      <c r="M238" s="19" t="str">
        <f t="shared" si="17"/>
        <v/>
      </c>
    </row>
    <row r="239" spans="1:13">
      <c r="A239" s="43"/>
      <c r="G239" s="5"/>
      <c r="H239" s="17">
        <v>234</v>
      </c>
      <c r="I239" s="18" t="str">
        <f t="shared" si="14"/>
        <v/>
      </c>
      <c r="J239" s="17">
        <f t="shared" si="16"/>
        <v>-3</v>
      </c>
      <c r="K239" s="17">
        <f t="shared" si="15"/>
        <v>-30</v>
      </c>
      <c r="L239" s="17"/>
      <c r="M239" s="19" t="str">
        <f t="shared" si="17"/>
        <v/>
      </c>
    </row>
    <row r="240" spans="1:13">
      <c r="A240" s="43"/>
      <c r="G240" s="5"/>
      <c r="H240" s="17">
        <v>235</v>
      </c>
      <c r="I240" s="18" t="str">
        <f t="shared" si="14"/>
        <v/>
      </c>
      <c r="J240" s="17">
        <f t="shared" si="16"/>
        <v>-3</v>
      </c>
      <c r="K240" s="17">
        <f t="shared" si="15"/>
        <v>-30</v>
      </c>
      <c r="L240" s="17"/>
      <c r="M240" s="19" t="str">
        <f t="shared" si="17"/>
        <v/>
      </c>
    </row>
    <row r="241" spans="1:13">
      <c r="A241" s="43"/>
      <c r="G241" s="5"/>
      <c r="H241" s="17">
        <v>236</v>
      </c>
      <c r="I241" s="18" t="str">
        <f t="shared" si="14"/>
        <v/>
      </c>
      <c r="J241" s="17">
        <f t="shared" si="16"/>
        <v>-3</v>
      </c>
      <c r="K241" s="17">
        <f t="shared" si="15"/>
        <v>-30</v>
      </c>
      <c r="L241" s="17"/>
      <c r="M241" s="19" t="str">
        <f t="shared" si="17"/>
        <v/>
      </c>
    </row>
    <row r="242" spans="1:13">
      <c r="A242" s="43"/>
      <c r="G242" s="5"/>
      <c r="H242" s="17">
        <v>237</v>
      </c>
      <c r="I242" s="18" t="str">
        <f t="shared" si="14"/>
        <v/>
      </c>
      <c r="J242" s="17">
        <f t="shared" si="16"/>
        <v>-3</v>
      </c>
      <c r="K242" s="17">
        <f t="shared" si="15"/>
        <v>-30</v>
      </c>
      <c r="L242" s="17"/>
      <c r="M242" s="19" t="str">
        <f t="shared" si="17"/>
        <v/>
      </c>
    </row>
    <row r="243" spans="1:13">
      <c r="A243" s="43"/>
      <c r="G243" s="5"/>
      <c r="H243" s="17">
        <v>238</v>
      </c>
      <c r="I243" s="18" t="str">
        <f t="shared" si="14"/>
        <v/>
      </c>
      <c r="J243" s="17">
        <f t="shared" si="16"/>
        <v>-3</v>
      </c>
      <c r="K243" s="17">
        <f t="shared" si="15"/>
        <v>-30</v>
      </c>
      <c r="L243" s="17"/>
      <c r="M243" s="19" t="str">
        <f t="shared" si="17"/>
        <v/>
      </c>
    </row>
    <row r="244" spans="1:13">
      <c r="A244" s="43"/>
      <c r="G244" s="5"/>
      <c r="H244" s="17">
        <v>239</v>
      </c>
      <c r="I244" s="18" t="str">
        <f t="shared" si="14"/>
        <v/>
      </c>
      <c r="J244" s="17">
        <f t="shared" si="16"/>
        <v>-3</v>
      </c>
      <c r="K244" s="17">
        <f t="shared" si="15"/>
        <v>-30</v>
      </c>
      <c r="L244" s="17"/>
      <c r="M244" s="19" t="str">
        <f t="shared" si="17"/>
        <v/>
      </c>
    </row>
    <row r="245" spans="1:13">
      <c r="A245" s="43"/>
      <c r="G245" s="5"/>
      <c r="H245" s="17">
        <v>240</v>
      </c>
      <c r="I245" s="18" t="str">
        <f t="shared" si="14"/>
        <v/>
      </c>
      <c r="J245" s="17">
        <f t="shared" si="16"/>
        <v>-3</v>
      </c>
      <c r="K245" s="17">
        <f t="shared" si="15"/>
        <v>-30</v>
      </c>
      <c r="L245" s="17"/>
      <c r="M245" s="19" t="str">
        <f t="shared" si="17"/>
        <v/>
      </c>
    </row>
    <row r="246" spans="1:13">
      <c r="A246" s="43"/>
      <c r="G246" s="5"/>
      <c r="H246" s="17">
        <v>241</v>
      </c>
      <c r="I246" s="18" t="str">
        <f t="shared" si="14"/>
        <v/>
      </c>
      <c r="J246" s="17">
        <f t="shared" si="16"/>
        <v>-3</v>
      </c>
      <c r="K246" s="17">
        <f t="shared" si="15"/>
        <v>-30</v>
      </c>
      <c r="L246" s="17"/>
      <c r="M246" s="19" t="str">
        <f t="shared" si="17"/>
        <v/>
      </c>
    </row>
    <row r="247" spans="1:13">
      <c r="A247" s="43"/>
      <c r="G247" s="5"/>
      <c r="H247" s="17">
        <v>242</v>
      </c>
      <c r="I247" s="18" t="str">
        <f t="shared" si="14"/>
        <v/>
      </c>
      <c r="J247" s="17">
        <f t="shared" si="16"/>
        <v>-3</v>
      </c>
      <c r="K247" s="17">
        <f t="shared" si="15"/>
        <v>-30</v>
      </c>
      <c r="L247" s="17"/>
      <c r="M247" s="19" t="str">
        <f t="shared" si="17"/>
        <v/>
      </c>
    </row>
    <row r="248" spans="1:13">
      <c r="A248" s="43"/>
      <c r="G248" s="5"/>
      <c r="H248" s="17">
        <v>243</v>
      </c>
      <c r="I248" s="18" t="str">
        <f t="shared" si="14"/>
        <v/>
      </c>
      <c r="J248" s="17">
        <f t="shared" si="16"/>
        <v>-3</v>
      </c>
      <c r="K248" s="17">
        <f t="shared" si="15"/>
        <v>-30</v>
      </c>
      <c r="L248" s="17"/>
      <c r="M248" s="19" t="str">
        <f t="shared" si="17"/>
        <v/>
      </c>
    </row>
    <row r="249" spans="1:13">
      <c r="A249" s="43"/>
      <c r="G249" s="5"/>
      <c r="H249" s="17">
        <v>244</v>
      </c>
      <c r="I249" s="18" t="str">
        <f t="shared" si="14"/>
        <v/>
      </c>
      <c r="J249" s="17">
        <f t="shared" si="16"/>
        <v>-3</v>
      </c>
      <c r="K249" s="17">
        <f t="shared" si="15"/>
        <v>-30</v>
      </c>
      <c r="L249" s="17"/>
      <c r="M249" s="19" t="str">
        <f t="shared" si="17"/>
        <v/>
      </c>
    </row>
    <row r="250" spans="1:13">
      <c r="A250" s="43"/>
      <c r="G250" s="5"/>
      <c r="H250" s="17">
        <v>245</v>
      </c>
      <c r="I250" s="18" t="str">
        <f t="shared" si="14"/>
        <v/>
      </c>
      <c r="J250" s="17">
        <f t="shared" si="16"/>
        <v>-3</v>
      </c>
      <c r="K250" s="17">
        <f t="shared" si="15"/>
        <v>-30</v>
      </c>
      <c r="L250" s="17"/>
      <c r="M250" s="19" t="str">
        <f t="shared" si="17"/>
        <v/>
      </c>
    </row>
    <row r="251" spans="1:13">
      <c r="A251" s="43"/>
      <c r="G251" s="5"/>
      <c r="H251" s="17">
        <v>246</v>
      </c>
      <c r="I251" s="18" t="str">
        <f t="shared" si="14"/>
        <v/>
      </c>
      <c r="J251" s="17">
        <f t="shared" si="16"/>
        <v>-3</v>
      </c>
      <c r="K251" s="17">
        <f t="shared" si="15"/>
        <v>-30</v>
      </c>
      <c r="L251" s="17"/>
      <c r="M251" s="19" t="str">
        <f t="shared" si="17"/>
        <v/>
      </c>
    </row>
    <row r="252" spans="1:13">
      <c r="A252" s="43"/>
      <c r="G252" s="5"/>
      <c r="H252" s="17">
        <v>247</v>
      </c>
      <c r="I252" s="18" t="str">
        <f t="shared" si="14"/>
        <v/>
      </c>
      <c r="J252" s="17">
        <f t="shared" si="16"/>
        <v>-3</v>
      </c>
      <c r="K252" s="17">
        <f t="shared" si="15"/>
        <v>-30</v>
      </c>
      <c r="L252" s="17"/>
      <c r="M252" s="19" t="str">
        <f t="shared" si="17"/>
        <v/>
      </c>
    </row>
    <row r="253" spans="1:13">
      <c r="A253" s="43"/>
      <c r="G253" s="5"/>
      <c r="H253" s="17">
        <v>248</v>
      </c>
      <c r="I253" s="18" t="str">
        <f t="shared" si="14"/>
        <v/>
      </c>
      <c r="J253" s="17">
        <f t="shared" si="16"/>
        <v>-3</v>
      </c>
      <c r="K253" s="17">
        <f t="shared" si="15"/>
        <v>-30</v>
      </c>
      <c r="L253" s="17"/>
      <c r="M253" s="19" t="str">
        <f t="shared" si="17"/>
        <v/>
      </c>
    </row>
    <row r="254" spans="1:13">
      <c r="A254" s="43"/>
      <c r="G254" s="5"/>
      <c r="H254" s="17">
        <v>249</v>
      </c>
      <c r="I254" s="18" t="str">
        <f t="shared" si="14"/>
        <v/>
      </c>
      <c r="J254" s="17">
        <f t="shared" si="16"/>
        <v>-3</v>
      </c>
      <c r="K254" s="17">
        <f t="shared" si="15"/>
        <v>-30</v>
      </c>
      <c r="L254" s="17"/>
      <c r="M254" s="19" t="str">
        <f t="shared" si="17"/>
        <v/>
      </c>
    </row>
    <row r="255" spans="1:13">
      <c r="A255" s="43"/>
      <c r="G255" s="5"/>
      <c r="H255" s="17">
        <v>250</v>
      </c>
      <c r="I255" s="18" t="str">
        <f t="shared" si="14"/>
        <v/>
      </c>
      <c r="J255" s="17">
        <f t="shared" si="16"/>
        <v>-3</v>
      </c>
      <c r="K255" s="17">
        <f t="shared" si="15"/>
        <v>-30</v>
      </c>
      <c r="L255" s="17"/>
      <c r="M255" s="19" t="str">
        <f t="shared" si="17"/>
        <v/>
      </c>
    </row>
    <row r="256" spans="1:13">
      <c r="A256" s="43"/>
      <c r="G256" s="5"/>
      <c r="H256" s="17">
        <v>251</v>
      </c>
      <c r="I256" s="18" t="str">
        <f t="shared" si="14"/>
        <v/>
      </c>
      <c r="J256" s="17">
        <f t="shared" si="16"/>
        <v>-3</v>
      </c>
      <c r="K256" s="17">
        <f t="shared" si="15"/>
        <v>-30</v>
      </c>
      <c r="L256" s="17"/>
      <c r="M256" s="19" t="str">
        <f t="shared" si="17"/>
        <v/>
      </c>
    </row>
    <row r="257" spans="1:13">
      <c r="A257" s="43"/>
      <c r="G257" s="5"/>
      <c r="H257" s="17">
        <v>252</v>
      </c>
      <c r="I257" s="18" t="str">
        <f t="shared" si="14"/>
        <v/>
      </c>
      <c r="J257" s="17">
        <f t="shared" si="16"/>
        <v>-3</v>
      </c>
      <c r="K257" s="17">
        <f t="shared" si="15"/>
        <v>-30</v>
      </c>
      <c r="L257" s="17"/>
      <c r="M257" s="19" t="str">
        <f t="shared" si="17"/>
        <v/>
      </c>
    </row>
    <row r="258" spans="1:13">
      <c r="A258" s="43"/>
      <c r="G258" s="5"/>
      <c r="H258" s="17">
        <v>253</v>
      </c>
      <c r="I258" s="18" t="str">
        <f t="shared" si="14"/>
        <v/>
      </c>
      <c r="J258" s="17">
        <f t="shared" si="16"/>
        <v>-3</v>
      </c>
      <c r="K258" s="17">
        <f t="shared" si="15"/>
        <v>-30</v>
      </c>
      <c r="L258" s="17"/>
      <c r="M258" s="19" t="str">
        <f t="shared" si="17"/>
        <v/>
      </c>
    </row>
    <row r="259" spans="1:13">
      <c r="A259" s="43"/>
      <c r="G259" s="5"/>
      <c r="H259" s="17">
        <v>254</v>
      </c>
      <c r="I259" s="18" t="str">
        <f t="shared" si="14"/>
        <v/>
      </c>
      <c r="J259" s="17">
        <f t="shared" si="16"/>
        <v>-3</v>
      </c>
      <c r="K259" s="17">
        <f t="shared" si="15"/>
        <v>-30</v>
      </c>
      <c r="L259" s="17"/>
      <c r="M259" s="19" t="str">
        <f t="shared" si="17"/>
        <v/>
      </c>
    </row>
    <row r="260" spans="1:13">
      <c r="A260" s="43"/>
      <c r="G260" s="5"/>
      <c r="H260" s="17">
        <v>255</v>
      </c>
      <c r="I260" s="18" t="str">
        <f t="shared" si="14"/>
        <v/>
      </c>
      <c r="J260" s="17">
        <f t="shared" si="16"/>
        <v>-3</v>
      </c>
      <c r="K260" s="17">
        <f t="shared" si="15"/>
        <v>-30</v>
      </c>
      <c r="L260" s="17"/>
      <c r="M260" s="19" t="str">
        <f t="shared" si="17"/>
        <v/>
      </c>
    </row>
    <row r="261" spans="1:13">
      <c r="A261" s="43"/>
      <c r="G261" s="5"/>
      <c r="H261" s="17">
        <v>256</v>
      </c>
      <c r="I261" s="18" t="str">
        <f t="shared" si="14"/>
        <v/>
      </c>
      <c r="J261" s="17">
        <f t="shared" si="16"/>
        <v>-3</v>
      </c>
      <c r="K261" s="17">
        <f t="shared" si="15"/>
        <v>-30</v>
      </c>
      <c r="L261" s="17"/>
      <c r="M261" s="19" t="str">
        <f t="shared" si="17"/>
        <v/>
      </c>
    </row>
    <row r="262" spans="1:13">
      <c r="A262" s="43"/>
      <c r="G262" s="5"/>
      <c r="H262" s="17">
        <v>257</v>
      </c>
      <c r="I262" s="18" t="str">
        <f t="shared" ref="I262:I305" si="18">IF(H262&lt;$H$2+1,($I$2-($I$2-1)*(LOG(H262)/LOG($H$2))),"")</f>
        <v/>
      </c>
      <c r="J262" s="17">
        <f t="shared" si="16"/>
        <v>-4</v>
      </c>
      <c r="K262" s="17">
        <f t="shared" ref="K262:K305" si="19">J262*$J$2</f>
        <v>-40</v>
      </c>
      <c r="L262" s="17"/>
      <c r="M262" s="19" t="str">
        <f t="shared" si="17"/>
        <v/>
      </c>
    </row>
    <row r="263" spans="1:13">
      <c r="A263" s="43"/>
      <c r="G263" s="5"/>
      <c r="H263" s="17">
        <v>258</v>
      </c>
      <c r="I263" s="18" t="str">
        <f t="shared" si="18"/>
        <v/>
      </c>
      <c r="J263" s="17">
        <f t="shared" ref="J263:J326" si="20">INT(LOG($H$2,2))-ROUNDUP(LOG(H263,2),0)+IF(OR($H$2=1,$H$2=2,$H$2=4,$H$2=8,$H$2=16,$H$2=32,$H$2=64,$H$2=128,$H$2=256),0,1)</f>
        <v>-4</v>
      </c>
      <c r="K263" s="17">
        <f t="shared" si="19"/>
        <v>-40</v>
      </c>
      <c r="L263" s="17"/>
      <c r="M263" s="19" t="str">
        <f t="shared" ref="M263:M305" si="21">IF(I263&lt;&gt;"",K263+I263+L263,"")</f>
        <v/>
      </c>
    </row>
    <row r="264" spans="1:13">
      <c r="A264" s="43"/>
      <c r="G264" s="5"/>
      <c r="H264" s="17">
        <v>259</v>
      </c>
      <c r="I264" s="18" t="str">
        <f t="shared" si="18"/>
        <v/>
      </c>
      <c r="J264" s="17">
        <f t="shared" si="20"/>
        <v>-4</v>
      </c>
      <c r="K264" s="17">
        <f t="shared" si="19"/>
        <v>-40</v>
      </c>
      <c r="L264" s="17"/>
      <c r="M264" s="19" t="str">
        <f t="shared" si="21"/>
        <v/>
      </c>
    </row>
    <row r="265" spans="1:13">
      <c r="A265" s="43"/>
      <c r="G265" s="5"/>
      <c r="H265" s="17">
        <v>260</v>
      </c>
      <c r="I265" s="18" t="str">
        <f t="shared" si="18"/>
        <v/>
      </c>
      <c r="J265" s="17">
        <f t="shared" si="20"/>
        <v>-4</v>
      </c>
      <c r="K265" s="17">
        <f t="shared" si="19"/>
        <v>-40</v>
      </c>
      <c r="L265" s="17"/>
      <c r="M265" s="19" t="str">
        <f t="shared" si="21"/>
        <v/>
      </c>
    </row>
    <row r="266" spans="1:13">
      <c r="A266" s="43"/>
      <c r="G266" s="5"/>
      <c r="H266" s="17">
        <v>261</v>
      </c>
      <c r="I266" s="18" t="str">
        <f t="shared" si="18"/>
        <v/>
      </c>
      <c r="J266" s="17">
        <f t="shared" si="20"/>
        <v>-4</v>
      </c>
      <c r="K266" s="17">
        <f t="shared" si="19"/>
        <v>-40</v>
      </c>
      <c r="L266" s="17"/>
      <c r="M266" s="19" t="str">
        <f t="shared" si="21"/>
        <v/>
      </c>
    </row>
    <row r="267" spans="1:13">
      <c r="A267" s="43"/>
      <c r="G267" s="5"/>
      <c r="H267" s="17">
        <v>262</v>
      </c>
      <c r="I267" s="18" t="str">
        <f t="shared" si="18"/>
        <v/>
      </c>
      <c r="J267" s="17">
        <f t="shared" si="20"/>
        <v>-4</v>
      </c>
      <c r="K267" s="17">
        <f t="shared" si="19"/>
        <v>-40</v>
      </c>
      <c r="L267" s="17"/>
      <c r="M267" s="19" t="str">
        <f t="shared" si="21"/>
        <v/>
      </c>
    </row>
    <row r="268" spans="1:13">
      <c r="A268" s="43"/>
      <c r="G268" s="5"/>
      <c r="H268" s="17">
        <v>263</v>
      </c>
      <c r="I268" s="18" t="str">
        <f t="shared" si="18"/>
        <v/>
      </c>
      <c r="J268" s="17">
        <f t="shared" si="20"/>
        <v>-4</v>
      </c>
      <c r="K268" s="17">
        <f t="shared" si="19"/>
        <v>-40</v>
      </c>
      <c r="L268" s="17"/>
      <c r="M268" s="19" t="str">
        <f t="shared" si="21"/>
        <v/>
      </c>
    </row>
    <row r="269" spans="1:13">
      <c r="A269" s="43"/>
      <c r="G269" s="5"/>
      <c r="H269" s="17">
        <v>264</v>
      </c>
      <c r="I269" s="18" t="str">
        <f t="shared" si="18"/>
        <v/>
      </c>
      <c r="J269" s="17">
        <f t="shared" si="20"/>
        <v>-4</v>
      </c>
      <c r="K269" s="17">
        <f t="shared" si="19"/>
        <v>-40</v>
      </c>
      <c r="L269" s="17"/>
      <c r="M269" s="19" t="str">
        <f t="shared" si="21"/>
        <v/>
      </c>
    </row>
    <row r="270" spans="1:13">
      <c r="A270" s="43"/>
      <c r="G270" s="5"/>
      <c r="H270" s="17">
        <v>265</v>
      </c>
      <c r="I270" s="18" t="str">
        <f t="shared" si="18"/>
        <v/>
      </c>
      <c r="J270" s="17">
        <f t="shared" si="20"/>
        <v>-4</v>
      </c>
      <c r="K270" s="17">
        <f t="shared" si="19"/>
        <v>-40</v>
      </c>
      <c r="L270" s="17"/>
      <c r="M270" s="19" t="str">
        <f t="shared" si="21"/>
        <v/>
      </c>
    </row>
    <row r="271" spans="1:13">
      <c r="A271" s="43"/>
      <c r="G271" s="5"/>
      <c r="H271" s="17">
        <v>266</v>
      </c>
      <c r="I271" s="18" t="str">
        <f t="shared" si="18"/>
        <v/>
      </c>
      <c r="J271" s="17">
        <f t="shared" si="20"/>
        <v>-4</v>
      </c>
      <c r="K271" s="17">
        <f t="shared" si="19"/>
        <v>-40</v>
      </c>
      <c r="L271" s="17"/>
      <c r="M271" s="19" t="str">
        <f t="shared" si="21"/>
        <v/>
      </c>
    </row>
    <row r="272" spans="1:13">
      <c r="A272" s="43"/>
      <c r="G272" s="5"/>
      <c r="H272" s="17">
        <v>267</v>
      </c>
      <c r="I272" s="18" t="str">
        <f t="shared" si="18"/>
        <v/>
      </c>
      <c r="J272" s="17">
        <f t="shared" si="20"/>
        <v>-4</v>
      </c>
      <c r="K272" s="17">
        <f t="shared" si="19"/>
        <v>-40</v>
      </c>
      <c r="L272" s="17"/>
      <c r="M272" s="19" t="str">
        <f t="shared" si="21"/>
        <v/>
      </c>
    </row>
    <row r="273" spans="1:13">
      <c r="A273" s="43"/>
      <c r="G273" s="5"/>
      <c r="H273" s="17">
        <v>268</v>
      </c>
      <c r="I273" s="18" t="str">
        <f t="shared" si="18"/>
        <v/>
      </c>
      <c r="J273" s="17">
        <f t="shared" si="20"/>
        <v>-4</v>
      </c>
      <c r="K273" s="17">
        <f t="shared" si="19"/>
        <v>-40</v>
      </c>
      <c r="L273" s="17"/>
      <c r="M273" s="19" t="str">
        <f t="shared" si="21"/>
        <v/>
      </c>
    </row>
    <row r="274" spans="1:13">
      <c r="A274" s="43"/>
      <c r="G274" s="5"/>
      <c r="H274" s="17">
        <v>269</v>
      </c>
      <c r="I274" s="18" t="str">
        <f t="shared" si="18"/>
        <v/>
      </c>
      <c r="J274" s="17">
        <f t="shared" si="20"/>
        <v>-4</v>
      </c>
      <c r="K274" s="17">
        <f t="shared" si="19"/>
        <v>-40</v>
      </c>
      <c r="L274" s="17"/>
      <c r="M274" s="19" t="str">
        <f t="shared" si="21"/>
        <v/>
      </c>
    </row>
    <row r="275" spans="1:13">
      <c r="A275" s="43"/>
      <c r="G275" s="5"/>
      <c r="H275" s="17">
        <v>270</v>
      </c>
      <c r="I275" s="18" t="str">
        <f t="shared" si="18"/>
        <v/>
      </c>
      <c r="J275" s="17">
        <f t="shared" si="20"/>
        <v>-4</v>
      </c>
      <c r="K275" s="17">
        <f t="shared" si="19"/>
        <v>-40</v>
      </c>
      <c r="L275" s="17"/>
      <c r="M275" s="19" t="str">
        <f t="shared" si="21"/>
        <v/>
      </c>
    </row>
    <row r="276" spans="1:13">
      <c r="A276" s="43"/>
      <c r="G276" s="5"/>
      <c r="H276" s="17">
        <v>271</v>
      </c>
      <c r="I276" s="18" t="str">
        <f t="shared" si="18"/>
        <v/>
      </c>
      <c r="J276" s="17">
        <f t="shared" si="20"/>
        <v>-4</v>
      </c>
      <c r="K276" s="17">
        <f t="shared" si="19"/>
        <v>-40</v>
      </c>
      <c r="L276" s="17"/>
      <c r="M276" s="19" t="str">
        <f t="shared" si="21"/>
        <v/>
      </c>
    </row>
    <row r="277" spans="1:13">
      <c r="A277" s="43"/>
      <c r="G277" s="5"/>
      <c r="H277" s="17">
        <v>272</v>
      </c>
      <c r="I277" s="18" t="str">
        <f t="shared" si="18"/>
        <v/>
      </c>
      <c r="J277" s="17">
        <f t="shared" si="20"/>
        <v>-4</v>
      </c>
      <c r="K277" s="17">
        <f t="shared" si="19"/>
        <v>-40</v>
      </c>
      <c r="L277" s="17"/>
      <c r="M277" s="19" t="str">
        <f t="shared" si="21"/>
        <v/>
      </c>
    </row>
    <row r="278" spans="1:13">
      <c r="A278" s="43"/>
      <c r="G278" s="5"/>
      <c r="H278" s="17">
        <v>273</v>
      </c>
      <c r="I278" s="18" t="str">
        <f t="shared" si="18"/>
        <v/>
      </c>
      <c r="J278" s="17">
        <f t="shared" si="20"/>
        <v>-4</v>
      </c>
      <c r="K278" s="17">
        <f t="shared" si="19"/>
        <v>-40</v>
      </c>
      <c r="L278" s="17"/>
      <c r="M278" s="19" t="str">
        <f t="shared" si="21"/>
        <v/>
      </c>
    </row>
    <row r="279" spans="1:13">
      <c r="A279" s="43"/>
      <c r="G279" s="5"/>
      <c r="H279" s="17">
        <v>274</v>
      </c>
      <c r="I279" s="18" t="str">
        <f t="shared" si="18"/>
        <v/>
      </c>
      <c r="J279" s="17">
        <f t="shared" si="20"/>
        <v>-4</v>
      </c>
      <c r="K279" s="17">
        <f t="shared" si="19"/>
        <v>-40</v>
      </c>
      <c r="L279" s="17"/>
      <c r="M279" s="19" t="str">
        <f t="shared" si="21"/>
        <v/>
      </c>
    </row>
    <row r="280" spans="1:13">
      <c r="A280" s="43"/>
      <c r="G280" s="5"/>
      <c r="H280" s="17">
        <v>275</v>
      </c>
      <c r="I280" s="18" t="str">
        <f t="shared" si="18"/>
        <v/>
      </c>
      <c r="J280" s="17">
        <f t="shared" si="20"/>
        <v>-4</v>
      </c>
      <c r="K280" s="17">
        <f t="shared" si="19"/>
        <v>-40</v>
      </c>
      <c r="L280" s="17"/>
      <c r="M280" s="19" t="str">
        <f t="shared" si="21"/>
        <v/>
      </c>
    </row>
    <row r="281" spans="1:13">
      <c r="A281" s="43"/>
      <c r="G281" s="5"/>
      <c r="H281" s="17">
        <v>276</v>
      </c>
      <c r="I281" s="18" t="str">
        <f t="shared" si="18"/>
        <v/>
      </c>
      <c r="J281" s="17">
        <f t="shared" si="20"/>
        <v>-4</v>
      </c>
      <c r="K281" s="17">
        <f t="shared" si="19"/>
        <v>-40</v>
      </c>
      <c r="L281" s="17"/>
      <c r="M281" s="19" t="str">
        <f t="shared" si="21"/>
        <v/>
      </c>
    </row>
    <row r="282" spans="1:13">
      <c r="A282" s="43"/>
      <c r="G282" s="5"/>
      <c r="H282" s="17">
        <v>277</v>
      </c>
      <c r="I282" s="18" t="str">
        <f t="shared" si="18"/>
        <v/>
      </c>
      <c r="J282" s="17">
        <f t="shared" si="20"/>
        <v>-4</v>
      </c>
      <c r="K282" s="17">
        <f t="shared" si="19"/>
        <v>-40</v>
      </c>
      <c r="L282" s="17"/>
      <c r="M282" s="19" t="str">
        <f t="shared" si="21"/>
        <v/>
      </c>
    </row>
    <row r="283" spans="1:13">
      <c r="A283" s="43"/>
      <c r="G283" s="5"/>
      <c r="H283" s="17">
        <v>278</v>
      </c>
      <c r="I283" s="18" t="str">
        <f t="shared" si="18"/>
        <v/>
      </c>
      <c r="J283" s="17">
        <f t="shared" si="20"/>
        <v>-4</v>
      </c>
      <c r="K283" s="17">
        <f t="shared" si="19"/>
        <v>-40</v>
      </c>
      <c r="L283" s="17"/>
      <c r="M283" s="19" t="str">
        <f t="shared" si="21"/>
        <v/>
      </c>
    </row>
    <row r="284" spans="1:13">
      <c r="A284" s="43"/>
      <c r="G284" s="5"/>
      <c r="H284" s="17">
        <v>279</v>
      </c>
      <c r="I284" s="18" t="str">
        <f t="shared" si="18"/>
        <v/>
      </c>
      <c r="J284" s="17">
        <f t="shared" si="20"/>
        <v>-4</v>
      </c>
      <c r="K284" s="17">
        <f t="shared" si="19"/>
        <v>-40</v>
      </c>
      <c r="L284" s="17"/>
      <c r="M284" s="19" t="str">
        <f t="shared" si="21"/>
        <v/>
      </c>
    </row>
    <row r="285" spans="1:13">
      <c r="A285" s="43"/>
      <c r="G285" s="5"/>
      <c r="H285" s="17">
        <v>280</v>
      </c>
      <c r="I285" s="18" t="str">
        <f t="shared" si="18"/>
        <v/>
      </c>
      <c r="J285" s="17">
        <f t="shared" si="20"/>
        <v>-4</v>
      </c>
      <c r="K285" s="17">
        <f t="shared" si="19"/>
        <v>-40</v>
      </c>
      <c r="L285" s="17"/>
      <c r="M285" s="19" t="str">
        <f t="shared" si="21"/>
        <v/>
      </c>
    </row>
    <row r="286" spans="1:13">
      <c r="A286" s="43"/>
      <c r="G286" s="5"/>
      <c r="H286" s="17">
        <v>281</v>
      </c>
      <c r="I286" s="18" t="str">
        <f t="shared" si="18"/>
        <v/>
      </c>
      <c r="J286" s="17">
        <f t="shared" si="20"/>
        <v>-4</v>
      </c>
      <c r="K286" s="17">
        <f t="shared" si="19"/>
        <v>-40</v>
      </c>
      <c r="L286" s="17"/>
      <c r="M286" s="19" t="str">
        <f t="shared" si="21"/>
        <v/>
      </c>
    </row>
    <row r="287" spans="1:13">
      <c r="A287" s="43"/>
      <c r="G287" s="5"/>
      <c r="H287" s="17">
        <v>282</v>
      </c>
      <c r="I287" s="18" t="str">
        <f t="shared" si="18"/>
        <v/>
      </c>
      <c r="J287" s="17">
        <f t="shared" si="20"/>
        <v>-4</v>
      </c>
      <c r="K287" s="17">
        <f t="shared" si="19"/>
        <v>-40</v>
      </c>
      <c r="L287" s="17"/>
      <c r="M287" s="19" t="str">
        <f t="shared" si="21"/>
        <v/>
      </c>
    </row>
    <row r="288" spans="1:13">
      <c r="A288" s="43"/>
      <c r="G288" s="5"/>
      <c r="H288" s="17">
        <v>283</v>
      </c>
      <c r="I288" s="18" t="str">
        <f t="shared" si="18"/>
        <v/>
      </c>
      <c r="J288" s="17">
        <f t="shared" si="20"/>
        <v>-4</v>
      </c>
      <c r="K288" s="17">
        <f t="shared" si="19"/>
        <v>-40</v>
      </c>
      <c r="L288" s="17"/>
      <c r="M288" s="19" t="str">
        <f t="shared" si="21"/>
        <v/>
      </c>
    </row>
    <row r="289" spans="1:13">
      <c r="A289" s="43"/>
      <c r="G289" s="5"/>
      <c r="H289" s="17">
        <v>284</v>
      </c>
      <c r="I289" s="18" t="str">
        <f t="shared" si="18"/>
        <v/>
      </c>
      <c r="J289" s="17">
        <f t="shared" si="20"/>
        <v>-4</v>
      </c>
      <c r="K289" s="17">
        <f t="shared" si="19"/>
        <v>-40</v>
      </c>
      <c r="L289" s="17"/>
      <c r="M289" s="19" t="str">
        <f t="shared" si="21"/>
        <v/>
      </c>
    </row>
    <row r="290" spans="1:13">
      <c r="A290" s="43"/>
      <c r="G290" s="5"/>
      <c r="H290" s="17">
        <v>285</v>
      </c>
      <c r="I290" s="18" t="str">
        <f t="shared" si="18"/>
        <v/>
      </c>
      <c r="J290" s="17">
        <f t="shared" si="20"/>
        <v>-4</v>
      </c>
      <c r="K290" s="17">
        <f t="shared" si="19"/>
        <v>-40</v>
      </c>
      <c r="L290" s="17"/>
      <c r="M290" s="19" t="str">
        <f t="shared" si="21"/>
        <v/>
      </c>
    </row>
    <row r="291" spans="1:13">
      <c r="A291" s="43"/>
      <c r="G291" s="5"/>
      <c r="H291" s="17">
        <v>286</v>
      </c>
      <c r="I291" s="18" t="str">
        <f t="shared" si="18"/>
        <v/>
      </c>
      <c r="J291" s="17">
        <f t="shared" si="20"/>
        <v>-4</v>
      </c>
      <c r="K291" s="17">
        <f t="shared" si="19"/>
        <v>-40</v>
      </c>
      <c r="L291" s="17"/>
      <c r="M291" s="19" t="str">
        <f t="shared" si="21"/>
        <v/>
      </c>
    </row>
    <row r="292" spans="1:13">
      <c r="A292" s="43"/>
      <c r="G292" s="5"/>
      <c r="H292" s="17">
        <v>287</v>
      </c>
      <c r="I292" s="18" t="str">
        <f t="shared" si="18"/>
        <v/>
      </c>
      <c r="J292" s="17">
        <f t="shared" si="20"/>
        <v>-4</v>
      </c>
      <c r="K292" s="17">
        <f t="shared" si="19"/>
        <v>-40</v>
      </c>
      <c r="L292" s="17"/>
      <c r="M292" s="19" t="str">
        <f t="shared" si="21"/>
        <v/>
      </c>
    </row>
    <row r="293" spans="1:13">
      <c r="A293" s="43"/>
      <c r="G293" s="5"/>
      <c r="H293" s="17">
        <v>288</v>
      </c>
      <c r="I293" s="18" t="str">
        <f t="shared" si="18"/>
        <v/>
      </c>
      <c r="J293" s="17">
        <f t="shared" si="20"/>
        <v>-4</v>
      </c>
      <c r="K293" s="17">
        <f t="shared" si="19"/>
        <v>-40</v>
      </c>
      <c r="L293" s="17"/>
      <c r="M293" s="19" t="str">
        <f t="shared" si="21"/>
        <v/>
      </c>
    </row>
    <row r="294" spans="1:13">
      <c r="A294" s="43"/>
      <c r="G294" s="5"/>
      <c r="H294" s="17">
        <v>289</v>
      </c>
      <c r="I294" s="18" t="str">
        <f t="shared" si="18"/>
        <v/>
      </c>
      <c r="J294" s="17">
        <f t="shared" si="20"/>
        <v>-4</v>
      </c>
      <c r="K294" s="17">
        <f t="shared" si="19"/>
        <v>-40</v>
      </c>
      <c r="L294" s="17"/>
      <c r="M294" s="19" t="str">
        <f t="shared" si="21"/>
        <v/>
      </c>
    </row>
    <row r="295" spans="1:13">
      <c r="A295" s="43"/>
      <c r="G295" s="5"/>
      <c r="H295" s="17">
        <v>290</v>
      </c>
      <c r="I295" s="18" t="str">
        <f t="shared" si="18"/>
        <v/>
      </c>
      <c r="J295" s="17">
        <f t="shared" si="20"/>
        <v>-4</v>
      </c>
      <c r="K295" s="17">
        <f t="shared" si="19"/>
        <v>-40</v>
      </c>
      <c r="L295" s="17"/>
      <c r="M295" s="19" t="str">
        <f t="shared" si="21"/>
        <v/>
      </c>
    </row>
    <row r="296" spans="1:13">
      <c r="A296" s="43"/>
      <c r="G296" s="5"/>
      <c r="H296" s="17">
        <v>291</v>
      </c>
      <c r="I296" s="18" t="str">
        <f t="shared" si="18"/>
        <v/>
      </c>
      <c r="J296" s="17">
        <f t="shared" si="20"/>
        <v>-4</v>
      </c>
      <c r="K296" s="17">
        <f t="shared" si="19"/>
        <v>-40</v>
      </c>
      <c r="L296" s="17"/>
      <c r="M296" s="19" t="str">
        <f t="shared" si="21"/>
        <v/>
      </c>
    </row>
    <row r="297" spans="1:13">
      <c r="A297" s="43"/>
      <c r="G297" s="5"/>
      <c r="H297" s="17">
        <v>292</v>
      </c>
      <c r="I297" s="18" t="str">
        <f t="shared" si="18"/>
        <v/>
      </c>
      <c r="J297" s="17">
        <f t="shared" si="20"/>
        <v>-4</v>
      </c>
      <c r="K297" s="17">
        <f t="shared" si="19"/>
        <v>-40</v>
      </c>
      <c r="L297" s="17"/>
      <c r="M297" s="19" t="str">
        <f t="shared" si="21"/>
        <v/>
      </c>
    </row>
    <row r="298" spans="1:13">
      <c r="A298" s="43"/>
      <c r="G298" s="5"/>
      <c r="H298" s="17">
        <v>293</v>
      </c>
      <c r="I298" s="18" t="str">
        <f t="shared" si="18"/>
        <v/>
      </c>
      <c r="J298" s="17">
        <f t="shared" si="20"/>
        <v>-4</v>
      </c>
      <c r="K298" s="17">
        <f t="shared" si="19"/>
        <v>-40</v>
      </c>
      <c r="L298" s="17"/>
      <c r="M298" s="19" t="str">
        <f t="shared" si="21"/>
        <v/>
      </c>
    </row>
    <row r="299" spans="1:13">
      <c r="A299" s="43"/>
      <c r="G299" s="5"/>
      <c r="H299" s="17">
        <v>294</v>
      </c>
      <c r="I299" s="18" t="str">
        <f t="shared" si="18"/>
        <v/>
      </c>
      <c r="J299" s="17">
        <f t="shared" si="20"/>
        <v>-4</v>
      </c>
      <c r="K299" s="17">
        <f t="shared" si="19"/>
        <v>-40</v>
      </c>
      <c r="L299" s="17"/>
      <c r="M299" s="19" t="str">
        <f t="shared" si="21"/>
        <v/>
      </c>
    </row>
    <row r="300" spans="1:13">
      <c r="A300" s="43"/>
      <c r="G300" s="5"/>
      <c r="H300" s="17">
        <v>295</v>
      </c>
      <c r="I300" s="18" t="str">
        <f t="shared" si="18"/>
        <v/>
      </c>
      <c r="J300" s="17">
        <f t="shared" si="20"/>
        <v>-4</v>
      </c>
      <c r="K300" s="17">
        <f t="shared" si="19"/>
        <v>-40</v>
      </c>
      <c r="L300" s="17"/>
      <c r="M300" s="19" t="str">
        <f t="shared" si="21"/>
        <v/>
      </c>
    </row>
    <row r="301" spans="1:13">
      <c r="A301" s="43"/>
      <c r="G301" s="5"/>
      <c r="H301" s="17">
        <v>296</v>
      </c>
      <c r="I301" s="18" t="str">
        <f t="shared" si="18"/>
        <v/>
      </c>
      <c r="J301" s="17">
        <f t="shared" si="20"/>
        <v>-4</v>
      </c>
      <c r="K301" s="17">
        <f t="shared" si="19"/>
        <v>-40</v>
      </c>
      <c r="L301" s="17"/>
      <c r="M301" s="19" t="str">
        <f t="shared" si="21"/>
        <v/>
      </c>
    </row>
    <row r="302" spans="1:13">
      <c r="A302" s="43"/>
      <c r="G302" s="5"/>
      <c r="H302" s="17">
        <v>297</v>
      </c>
      <c r="I302" s="18" t="str">
        <f t="shared" si="18"/>
        <v/>
      </c>
      <c r="J302" s="17">
        <f t="shared" si="20"/>
        <v>-4</v>
      </c>
      <c r="K302" s="17">
        <f t="shared" si="19"/>
        <v>-40</v>
      </c>
      <c r="L302" s="17"/>
      <c r="M302" s="19" t="str">
        <f t="shared" si="21"/>
        <v/>
      </c>
    </row>
    <row r="303" spans="1:13">
      <c r="A303" s="43"/>
      <c r="G303" s="5"/>
      <c r="H303" s="17">
        <v>298</v>
      </c>
      <c r="I303" s="18" t="str">
        <f t="shared" si="18"/>
        <v/>
      </c>
      <c r="J303" s="17">
        <f t="shared" si="20"/>
        <v>-4</v>
      </c>
      <c r="K303" s="17">
        <f t="shared" si="19"/>
        <v>-40</v>
      </c>
      <c r="L303" s="17"/>
      <c r="M303" s="19" t="str">
        <f t="shared" si="21"/>
        <v/>
      </c>
    </row>
    <row r="304" spans="1:13">
      <c r="A304" s="43"/>
      <c r="G304" s="5"/>
      <c r="H304" s="17">
        <v>299</v>
      </c>
      <c r="I304" s="18" t="str">
        <f t="shared" si="18"/>
        <v/>
      </c>
      <c r="J304" s="17">
        <f t="shared" si="20"/>
        <v>-4</v>
      </c>
      <c r="K304" s="17">
        <f t="shared" si="19"/>
        <v>-40</v>
      </c>
      <c r="L304" s="17"/>
      <c r="M304" s="19" t="str">
        <f t="shared" si="21"/>
        <v/>
      </c>
    </row>
    <row r="305" spans="1:16">
      <c r="A305" s="43"/>
      <c r="G305" s="5"/>
      <c r="H305" s="17">
        <v>300</v>
      </c>
      <c r="I305" s="18" t="str">
        <f t="shared" si="18"/>
        <v/>
      </c>
      <c r="J305" s="17">
        <f t="shared" si="20"/>
        <v>-4</v>
      </c>
      <c r="K305" s="17">
        <f t="shared" si="19"/>
        <v>-40</v>
      </c>
      <c r="L305" s="17"/>
      <c r="M305" s="19" t="str">
        <f t="shared" si="21"/>
        <v/>
      </c>
    </row>
    <row r="306" spans="1:16">
      <c r="A306" s="43"/>
      <c r="J306" s="20" t="e">
        <f t="shared" si="20"/>
        <v>#NUM!</v>
      </c>
    </row>
    <row r="307" spans="1:16">
      <c r="J307" s="20" t="e">
        <f t="shared" si="20"/>
        <v>#NUM!</v>
      </c>
    </row>
    <row r="308" spans="1:16">
      <c r="J308" s="20" t="e">
        <f t="shared" si="20"/>
        <v>#NUM!</v>
      </c>
    </row>
    <row r="309" spans="1:16">
      <c r="J309" s="20" t="e">
        <f t="shared" si="20"/>
        <v>#NUM!</v>
      </c>
    </row>
    <row r="310" spans="1:16">
      <c r="J310" s="20" t="e">
        <f t="shared" si="20"/>
        <v>#NUM!</v>
      </c>
    </row>
    <row r="311" spans="1:16">
      <c r="J311" s="20" t="e">
        <f t="shared" si="20"/>
        <v>#NUM!</v>
      </c>
    </row>
    <row r="312" spans="1:16">
      <c r="J312" s="20" t="e">
        <f t="shared" si="20"/>
        <v>#NUM!</v>
      </c>
    </row>
    <row r="313" spans="1:16">
      <c r="J313" s="20" t="e">
        <f t="shared" si="20"/>
        <v>#NUM!</v>
      </c>
    </row>
    <row r="314" spans="1:16">
      <c r="J314" s="20" t="e">
        <f t="shared" si="20"/>
        <v>#NUM!</v>
      </c>
      <c r="L314" s="21"/>
      <c r="P314" s="49"/>
    </row>
    <row r="315" spans="1:16">
      <c r="J315" s="20" t="e">
        <f t="shared" si="20"/>
        <v>#NUM!</v>
      </c>
      <c r="L315" s="21"/>
      <c r="P315" s="49"/>
    </row>
    <row r="316" spans="1:16">
      <c r="J316" s="20" t="e">
        <f t="shared" si="20"/>
        <v>#NUM!</v>
      </c>
      <c r="L316" s="21"/>
      <c r="P316" s="49"/>
    </row>
    <row r="317" spans="1:16">
      <c r="J317" s="20" t="e">
        <f t="shared" si="20"/>
        <v>#NUM!</v>
      </c>
      <c r="L317" s="21"/>
      <c r="P317" s="49"/>
    </row>
    <row r="318" spans="1:16">
      <c r="J318" s="20" t="e">
        <f t="shared" si="20"/>
        <v>#NUM!</v>
      </c>
    </row>
    <row r="319" spans="1:16">
      <c r="J319" s="20" t="e">
        <f t="shared" si="20"/>
        <v>#NUM!</v>
      </c>
    </row>
    <row r="320" spans="1:16">
      <c r="J320" s="20" t="e">
        <f t="shared" si="20"/>
        <v>#NUM!</v>
      </c>
    </row>
    <row r="321" spans="10:10">
      <c r="J321" s="20" t="e">
        <f t="shared" si="20"/>
        <v>#NUM!</v>
      </c>
    </row>
    <row r="322" spans="10:10">
      <c r="J322" s="20" t="e">
        <f t="shared" si="20"/>
        <v>#NUM!</v>
      </c>
    </row>
    <row r="323" spans="10:10">
      <c r="J323" s="20" t="e">
        <f t="shared" si="20"/>
        <v>#NUM!</v>
      </c>
    </row>
    <row r="324" spans="10:10">
      <c r="J324" s="20" t="e">
        <f t="shared" si="20"/>
        <v>#NUM!</v>
      </c>
    </row>
    <row r="325" spans="10:10">
      <c r="J325" s="20" t="e">
        <f t="shared" si="20"/>
        <v>#NUM!</v>
      </c>
    </row>
    <row r="326" spans="10:10">
      <c r="J326" s="20" t="e">
        <f t="shared" si="20"/>
        <v>#NUM!</v>
      </c>
    </row>
    <row r="327" spans="10:10">
      <c r="J327" s="20" t="e">
        <f t="shared" ref="J327:J374" si="22">INT(LOG($H$2,2))-ROUNDUP(LOG(H327,2),0)+IF(OR($H$2=1,$H$2=2,$H$2=4,$H$2=8,$H$2=16,$H$2=32,$H$2=64,$H$2=128,$H$2=256),0,1)</f>
        <v>#NUM!</v>
      </c>
    </row>
    <row r="328" spans="10:10">
      <c r="J328" s="20" t="e">
        <f t="shared" si="22"/>
        <v>#NUM!</v>
      </c>
    </row>
    <row r="329" spans="10:10">
      <c r="J329" s="20" t="e">
        <f t="shared" si="22"/>
        <v>#NUM!</v>
      </c>
    </row>
    <row r="330" spans="10:10">
      <c r="J330" s="20" t="e">
        <f t="shared" si="22"/>
        <v>#NUM!</v>
      </c>
    </row>
    <row r="331" spans="10:10">
      <c r="J331" s="20" t="e">
        <f t="shared" si="22"/>
        <v>#NUM!</v>
      </c>
    </row>
    <row r="332" spans="10:10">
      <c r="J332" s="20" t="e">
        <f t="shared" si="22"/>
        <v>#NUM!</v>
      </c>
    </row>
    <row r="333" spans="10:10">
      <c r="J333" s="20" t="e">
        <f t="shared" si="22"/>
        <v>#NUM!</v>
      </c>
    </row>
    <row r="334" spans="10:10">
      <c r="J334" s="20" t="e">
        <f t="shared" si="22"/>
        <v>#NUM!</v>
      </c>
    </row>
    <row r="335" spans="10:10">
      <c r="J335" s="20" t="e">
        <f t="shared" si="22"/>
        <v>#NUM!</v>
      </c>
    </row>
    <row r="336" spans="10:10">
      <c r="J336" s="20" t="e">
        <f t="shared" si="22"/>
        <v>#NUM!</v>
      </c>
    </row>
    <row r="337" spans="10:10">
      <c r="J337" s="20" t="e">
        <f t="shared" si="22"/>
        <v>#NUM!</v>
      </c>
    </row>
    <row r="338" spans="10:10">
      <c r="J338" s="20" t="e">
        <f t="shared" si="22"/>
        <v>#NUM!</v>
      </c>
    </row>
    <row r="339" spans="10:10">
      <c r="J339" s="20" t="e">
        <f t="shared" si="22"/>
        <v>#NUM!</v>
      </c>
    </row>
    <row r="340" spans="10:10">
      <c r="J340" s="20" t="e">
        <f t="shared" si="22"/>
        <v>#NUM!</v>
      </c>
    </row>
    <row r="341" spans="10:10">
      <c r="J341" s="20" t="e">
        <f t="shared" si="22"/>
        <v>#NUM!</v>
      </c>
    </row>
    <row r="342" spans="10:10">
      <c r="J342" s="20" t="e">
        <f t="shared" si="22"/>
        <v>#NUM!</v>
      </c>
    </row>
    <row r="343" spans="10:10">
      <c r="J343" s="20" t="e">
        <f t="shared" si="22"/>
        <v>#NUM!</v>
      </c>
    </row>
    <row r="344" spans="10:10">
      <c r="J344" s="20" t="e">
        <f t="shared" si="22"/>
        <v>#NUM!</v>
      </c>
    </row>
    <row r="345" spans="10:10">
      <c r="J345" s="20" t="e">
        <f t="shared" si="22"/>
        <v>#NUM!</v>
      </c>
    </row>
    <row r="346" spans="10:10">
      <c r="J346" s="20" t="e">
        <f t="shared" si="22"/>
        <v>#NUM!</v>
      </c>
    </row>
    <row r="347" spans="10:10">
      <c r="J347" s="20" t="e">
        <f t="shared" si="22"/>
        <v>#NUM!</v>
      </c>
    </row>
    <row r="348" spans="10:10">
      <c r="J348" s="20" t="e">
        <f t="shared" si="22"/>
        <v>#NUM!</v>
      </c>
    </row>
    <row r="349" spans="10:10">
      <c r="J349" s="20" t="e">
        <f t="shared" si="22"/>
        <v>#NUM!</v>
      </c>
    </row>
    <row r="350" spans="10:10">
      <c r="J350" s="20" t="e">
        <f t="shared" si="22"/>
        <v>#NUM!</v>
      </c>
    </row>
    <row r="351" spans="10:10">
      <c r="J351" s="20" t="e">
        <f t="shared" si="22"/>
        <v>#NUM!</v>
      </c>
    </row>
    <row r="352" spans="10:10">
      <c r="J352" s="20" t="e">
        <f t="shared" si="22"/>
        <v>#NUM!</v>
      </c>
    </row>
    <row r="353" spans="10:10">
      <c r="J353" s="20" t="e">
        <f t="shared" si="22"/>
        <v>#NUM!</v>
      </c>
    </row>
    <row r="354" spans="10:10">
      <c r="J354" s="20" t="e">
        <f t="shared" si="22"/>
        <v>#NUM!</v>
      </c>
    </row>
    <row r="355" spans="10:10">
      <c r="J355" s="20" t="e">
        <f t="shared" si="22"/>
        <v>#NUM!</v>
      </c>
    </row>
    <row r="356" spans="10:10">
      <c r="J356" s="20" t="e">
        <f t="shared" si="22"/>
        <v>#NUM!</v>
      </c>
    </row>
    <row r="357" spans="10:10">
      <c r="J357" s="20" t="e">
        <f t="shared" si="22"/>
        <v>#NUM!</v>
      </c>
    </row>
    <row r="358" spans="10:10">
      <c r="J358" s="20" t="e">
        <f t="shared" si="22"/>
        <v>#NUM!</v>
      </c>
    </row>
    <row r="359" spans="10:10">
      <c r="J359" s="20" t="e">
        <f t="shared" si="22"/>
        <v>#NUM!</v>
      </c>
    </row>
    <row r="360" spans="10:10">
      <c r="J360" s="20" t="e">
        <f t="shared" si="22"/>
        <v>#NUM!</v>
      </c>
    </row>
    <row r="361" spans="10:10">
      <c r="J361" s="20" t="e">
        <f t="shared" si="22"/>
        <v>#NUM!</v>
      </c>
    </row>
    <row r="362" spans="10:10">
      <c r="J362" s="20" t="e">
        <f t="shared" si="22"/>
        <v>#NUM!</v>
      </c>
    </row>
    <row r="363" spans="10:10">
      <c r="J363" s="20" t="e">
        <f t="shared" si="22"/>
        <v>#NUM!</v>
      </c>
    </row>
    <row r="364" spans="10:10">
      <c r="J364" s="20" t="e">
        <f t="shared" si="22"/>
        <v>#NUM!</v>
      </c>
    </row>
    <row r="365" spans="10:10">
      <c r="J365" s="20" t="e">
        <f t="shared" si="22"/>
        <v>#NUM!</v>
      </c>
    </row>
    <row r="366" spans="10:10">
      <c r="J366" s="20" t="e">
        <f t="shared" si="22"/>
        <v>#NUM!</v>
      </c>
    </row>
    <row r="367" spans="10:10">
      <c r="J367" s="20" t="e">
        <f t="shared" si="22"/>
        <v>#NUM!</v>
      </c>
    </row>
    <row r="368" spans="10:10">
      <c r="J368" s="20" t="e">
        <f t="shared" si="22"/>
        <v>#NUM!</v>
      </c>
    </row>
    <row r="369" spans="10:10">
      <c r="J369" s="20" t="e">
        <f t="shared" si="22"/>
        <v>#NUM!</v>
      </c>
    </row>
    <row r="370" spans="10:10">
      <c r="J370" s="20" t="e">
        <f t="shared" si="22"/>
        <v>#NUM!</v>
      </c>
    </row>
    <row r="371" spans="10:10">
      <c r="J371" s="20" t="e">
        <f t="shared" si="22"/>
        <v>#NUM!</v>
      </c>
    </row>
    <row r="372" spans="10:10">
      <c r="J372" s="20" t="e">
        <f t="shared" si="22"/>
        <v>#NUM!</v>
      </c>
    </row>
    <row r="373" spans="10:10">
      <c r="J373" s="20" t="e">
        <f t="shared" si="22"/>
        <v>#NUM!</v>
      </c>
    </row>
    <row r="374" spans="10:10">
      <c r="J374" s="20" t="e">
        <f t="shared" si="22"/>
        <v>#NUM!</v>
      </c>
    </row>
  </sheetData>
  <mergeCells count="2">
    <mergeCell ref="C2:D2"/>
    <mergeCell ref="C3:D3"/>
  </mergeCells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  <ignoredErrors>
    <ignoredError sqref="I9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89B1-9778-0A48-B10A-A3F671779480}">
  <sheetPr>
    <tabColor theme="9" tint="0.39997558519241921"/>
  </sheetPr>
  <dimension ref="A1:AL374"/>
  <sheetViews>
    <sheetView zoomScaleNormal="100" workbookViewId="0">
      <selection activeCell="B7" sqref="B7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88</v>
      </c>
      <c r="D2" s="141"/>
      <c r="E2" s="6"/>
      <c r="F2" s="6"/>
      <c r="G2" s="6"/>
      <c r="H2" s="14">
        <v>24</v>
      </c>
      <c r="I2" s="68">
        <v>50</v>
      </c>
      <c r="J2" s="68">
        <v>10</v>
      </c>
      <c r="K2" s="76">
        <f>3*H2^(1/3)</f>
        <v>8.6534974218444489</v>
      </c>
      <c r="L2" s="13"/>
      <c r="M2" s="13"/>
    </row>
    <row r="3" spans="1:34">
      <c r="A3" s="77"/>
      <c r="B3" s="48" t="s">
        <v>37</v>
      </c>
      <c r="C3" s="128">
        <v>44569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125.96049226553335</v>
      </c>
      <c r="B6" s="36">
        <v>1</v>
      </c>
      <c r="C6" s="24" t="s">
        <v>162</v>
      </c>
      <c r="D6" s="24" t="s">
        <v>163</v>
      </c>
      <c r="E6" s="24" t="s">
        <v>164</v>
      </c>
      <c r="F6" s="81">
        <f>M6</f>
        <v>125.96049226553335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5</v>
      </c>
      <c r="K6" s="17">
        <f t="shared" ref="K6:K69" si="1">J6*$J$2</f>
        <v>50</v>
      </c>
      <c r="L6" s="19">
        <f>3*K2</f>
        <v>25.960492265533347</v>
      </c>
      <c r="M6" s="18">
        <f>IF(I6&lt;&gt;"",K6+I6+L6,"")</f>
        <v>125.96049226553335</v>
      </c>
    </row>
    <row r="7" spans="1:34" ht="14.45" customHeight="1">
      <c r="A7" s="40">
        <f t="shared" ref="A7:A65" si="2">F7</f>
        <v>96.619884536397848</v>
      </c>
      <c r="B7" s="35">
        <v>2</v>
      </c>
      <c r="C7" s="25" t="s">
        <v>165</v>
      </c>
      <c r="D7" s="25" t="s">
        <v>166</v>
      </c>
      <c r="E7" s="25" t="s">
        <v>164</v>
      </c>
      <c r="F7" s="82">
        <f t="shared" ref="F7:F38" si="3">M7</f>
        <v>96.619884536397848</v>
      </c>
      <c r="G7" s="8"/>
      <c r="H7" s="44">
        <v>2</v>
      </c>
      <c r="I7" s="45">
        <f t="shared" si="0"/>
        <v>39.31288969270895</v>
      </c>
      <c r="J7" s="44">
        <f t="shared" ref="J7:J70" si="4">INT(LOG($H$2,2))-ROUNDUP(LOG(H7,2),0)+IF(OR($H$2=1,$H$2=2,$H$2=4,$H$2=8,$H$2=16,$H$2=32,$H$2=64,$H$2=128,$H$2=256),0,1)</f>
        <v>4</v>
      </c>
      <c r="K7" s="44">
        <f t="shared" si="1"/>
        <v>40</v>
      </c>
      <c r="L7" s="46">
        <f>2*K2</f>
        <v>17.306994843688898</v>
      </c>
      <c r="M7" s="45">
        <f t="shared" ref="M7:M70" si="5">IF(I7&lt;&gt;"",K7+I7+L7,"")</f>
        <v>96.619884536397848</v>
      </c>
    </row>
    <row r="8" spans="1:34" ht="14.45" customHeight="1">
      <c r="A8" s="39">
        <f t="shared" si="2"/>
        <v>71.714828343717585</v>
      </c>
      <c r="B8" s="36">
        <v>3</v>
      </c>
      <c r="C8" s="24" t="s">
        <v>167</v>
      </c>
      <c r="D8" s="24" t="s">
        <v>168</v>
      </c>
      <c r="E8" s="24" t="s">
        <v>164</v>
      </c>
      <c r="F8" s="81">
        <f t="shared" si="3"/>
        <v>71.714828343717585</v>
      </c>
      <c r="G8" s="8"/>
      <c r="H8" s="17">
        <v>3</v>
      </c>
      <c r="I8" s="18">
        <f t="shared" si="0"/>
        <v>33.061330921873136</v>
      </c>
      <c r="J8" s="17">
        <f t="shared" si="4"/>
        <v>3</v>
      </c>
      <c r="K8" s="17">
        <f t="shared" si="1"/>
        <v>30</v>
      </c>
      <c r="L8" s="19">
        <f>K2</f>
        <v>8.6534974218444489</v>
      </c>
      <c r="M8" s="18">
        <f t="shared" si="5"/>
        <v>71.714828343717585</v>
      </c>
    </row>
    <row r="9" spans="1:34" ht="14.45" customHeight="1">
      <c r="A9" s="40">
        <f t="shared" si="2"/>
        <v>71.714828343717585</v>
      </c>
      <c r="B9" s="35">
        <v>3</v>
      </c>
      <c r="C9" s="25" t="s">
        <v>169</v>
      </c>
      <c r="D9" s="25" t="s">
        <v>170</v>
      </c>
      <c r="E9" s="25" t="s">
        <v>164</v>
      </c>
      <c r="F9" s="82">
        <f t="shared" si="3"/>
        <v>71.714828343717585</v>
      </c>
      <c r="G9" s="8"/>
      <c r="H9" s="44">
        <v>4</v>
      </c>
      <c r="I9" s="45">
        <f>IF(H9&lt;$H$2+1,($I$2-($I$2-1)*(LOG(H8)/LOG($H$2))),"")</f>
        <v>33.061330921873136</v>
      </c>
      <c r="J9" s="44">
        <f t="shared" si="4"/>
        <v>3</v>
      </c>
      <c r="K9" s="44">
        <f t="shared" si="1"/>
        <v>30</v>
      </c>
      <c r="L9" s="46">
        <f>K2</f>
        <v>8.6534974218444489</v>
      </c>
      <c r="M9" s="45">
        <f t="shared" si="5"/>
        <v>71.714828343717585</v>
      </c>
      <c r="V9" s="27"/>
      <c r="Z9" s="28"/>
      <c r="AA9" s="28"/>
      <c r="AG9" s="29"/>
    </row>
    <row r="10" spans="1:34" ht="14.45" customHeight="1">
      <c r="A10" s="39">
        <f t="shared" si="2"/>
        <v>45.185298324340607</v>
      </c>
      <c r="B10" s="36">
        <v>5</v>
      </c>
      <c r="C10" s="24" t="s">
        <v>171</v>
      </c>
      <c r="D10" s="24" t="s">
        <v>166</v>
      </c>
      <c r="E10" s="24" t="s">
        <v>164</v>
      </c>
      <c r="F10" s="81">
        <f t="shared" si="3"/>
        <v>45.185298324340607</v>
      </c>
      <c r="G10" s="8"/>
      <c r="H10" s="17">
        <v>5</v>
      </c>
      <c r="I10" s="18">
        <f t="shared" si="0"/>
        <v>25.185298324340607</v>
      </c>
      <c r="J10" s="17">
        <f t="shared" si="4"/>
        <v>2</v>
      </c>
      <c r="K10" s="17">
        <f t="shared" si="1"/>
        <v>20</v>
      </c>
      <c r="L10" s="17"/>
      <c r="M10" s="18">
        <f t="shared" si="5"/>
        <v>45.185298324340607</v>
      </c>
      <c r="V10" s="27"/>
      <c r="Z10" s="28"/>
      <c r="AA10" s="28"/>
      <c r="AG10" s="29"/>
    </row>
    <row r="11" spans="1:34" ht="14.45" customHeight="1">
      <c r="A11" s="40">
        <f t="shared" si="2"/>
        <v>42.374220614582093</v>
      </c>
      <c r="B11" s="35">
        <v>6</v>
      </c>
      <c r="C11" s="25" t="s">
        <v>172</v>
      </c>
      <c r="D11" s="25" t="s">
        <v>173</v>
      </c>
      <c r="E11" s="25" t="s">
        <v>164</v>
      </c>
      <c r="F11" s="82">
        <f t="shared" si="3"/>
        <v>42.374220614582093</v>
      </c>
      <c r="G11" s="8"/>
      <c r="H11" s="44">
        <v>6</v>
      </c>
      <c r="I11" s="45">
        <f t="shared" si="0"/>
        <v>22.374220614582093</v>
      </c>
      <c r="J11" s="44">
        <f t="shared" si="4"/>
        <v>2</v>
      </c>
      <c r="K11" s="44">
        <f t="shared" si="1"/>
        <v>20</v>
      </c>
      <c r="L11" s="44"/>
      <c r="M11" s="45">
        <f t="shared" si="5"/>
        <v>42.374220614582093</v>
      </c>
      <c r="V11" s="30"/>
      <c r="Z11" s="28"/>
      <c r="AA11" s="28"/>
      <c r="AG11" s="29"/>
    </row>
    <row r="12" spans="1:34" ht="14.45" customHeight="1">
      <c r="A12" s="39">
        <f t="shared" si="2"/>
        <v>39.997488276253925</v>
      </c>
      <c r="B12" s="36">
        <v>7</v>
      </c>
      <c r="C12" s="24" t="s">
        <v>174</v>
      </c>
      <c r="D12" s="24" t="s">
        <v>175</v>
      </c>
      <c r="E12" s="24" t="s">
        <v>164</v>
      </c>
      <c r="F12" s="81">
        <f t="shared" si="3"/>
        <v>39.997488276253925</v>
      </c>
      <c r="G12" s="8"/>
      <c r="H12" s="17">
        <v>7</v>
      </c>
      <c r="I12" s="18">
        <f t="shared" si="0"/>
        <v>19.997488276253925</v>
      </c>
      <c r="J12" s="17">
        <f t="shared" si="4"/>
        <v>2</v>
      </c>
      <c r="K12" s="17">
        <f t="shared" si="1"/>
        <v>20</v>
      </c>
      <c r="L12" s="17"/>
      <c r="M12" s="18">
        <f t="shared" si="5"/>
        <v>39.997488276253925</v>
      </c>
      <c r="Z12" s="28"/>
      <c r="AA12" s="28"/>
      <c r="AG12" s="29"/>
    </row>
    <row r="13" spans="1:34" ht="14.45" customHeight="1">
      <c r="A13" s="41">
        <f t="shared" si="2"/>
        <v>37.938669078126857</v>
      </c>
      <c r="B13" s="35">
        <v>8</v>
      </c>
      <c r="C13" s="25" t="s">
        <v>176</v>
      </c>
      <c r="D13" s="25" t="s">
        <v>177</v>
      </c>
      <c r="E13" s="25" t="s">
        <v>164</v>
      </c>
      <c r="F13" s="82">
        <f t="shared" si="3"/>
        <v>37.938669078126857</v>
      </c>
      <c r="G13" s="8"/>
      <c r="H13" s="44">
        <v>8</v>
      </c>
      <c r="I13" s="45">
        <f t="shared" si="0"/>
        <v>17.938669078126857</v>
      </c>
      <c r="J13" s="44">
        <f t="shared" si="4"/>
        <v>2</v>
      </c>
      <c r="K13" s="44">
        <f t="shared" si="1"/>
        <v>20</v>
      </c>
      <c r="L13" s="44"/>
      <c r="M13" s="45">
        <f t="shared" si="5"/>
        <v>37.938669078126857</v>
      </c>
      <c r="X13" s="27"/>
      <c r="AG13" s="29"/>
    </row>
    <row r="14" spans="1:34">
      <c r="A14" s="42">
        <f t="shared" si="2"/>
        <v>26.122661843746279</v>
      </c>
      <c r="B14" s="36">
        <v>9</v>
      </c>
      <c r="C14" s="24" t="s">
        <v>178</v>
      </c>
      <c r="D14" s="24" t="s">
        <v>179</v>
      </c>
      <c r="E14" s="24" t="s">
        <v>164</v>
      </c>
      <c r="F14" s="81">
        <f t="shared" si="3"/>
        <v>26.122661843746279</v>
      </c>
      <c r="G14" s="8"/>
      <c r="H14" s="17">
        <v>9</v>
      </c>
      <c r="I14" s="18">
        <f t="shared" si="0"/>
        <v>16.122661843746279</v>
      </c>
      <c r="J14" s="17">
        <f t="shared" si="4"/>
        <v>1</v>
      </c>
      <c r="K14" s="17">
        <f t="shared" si="1"/>
        <v>10</v>
      </c>
      <c r="L14" s="17"/>
      <c r="M14" s="18">
        <f t="shared" si="5"/>
        <v>26.122661843746279</v>
      </c>
      <c r="X14" s="31"/>
      <c r="Z14" s="28"/>
      <c r="AA14" s="28"/>
      <c r="AG14" s="29"/>
    </row>
    <row r="15" spans="1:34">
      <c r="A15" s="41">
        <f t="shared" si="2"/>
        <v>24.498188017049557</v>
      </c>
      <c r="B15" s="35">
        <v>10</v>
      </c>
      <c r="C15" s="25" t="s">
        <v>180</v>
      </c>
      <c r="D15" s="25" t="s">
        <v>181</v>
      </c>
      <c r="E15" s="25" t="s">
        <v>164</v>
      </c>
      <c r="F15" s="82">
        <f t="shared" si="3"/>
        <v>24.498188017049557</v>
      </c>
      <c r="G15" s="8"/>
      <c r="H15" s="44">
        <v>10</v>
      </c>
      <c r="I15" s="45">
        <f t="shared" si="0"/>
        <v>14.498188017049557</v>
      </c>
      <c r="J15" s="44">
        <f t="shared" si="4"/>
        <v>1</v>
      </c>
      <c r="K15" s="44">
        <f t="shared" si="1"/>
        <v>10</v>
      </c>
      <c r="L15" s="44"/>
      <c r="M15" s="45">
        <f t="shared" si="5"/>
        <v>24.498188017049557</v>
      </c>
      <c r="X15" s="27"/>
      <c r="Z15" s="28"/>
      <c r="AA15" s="28"/>
    </row>
    <row r="16" spans="1:34">
      <c r="A16" s="42">
        <f t="shared" si="2"/>
        <v>23.028672691092787</v>
      </c>
      <c r="B16" s="36">
        <v>11</v>
      </c>
      <c r="C16" s="24" t="s">
        <v>182</v>
      </c>
      <c r="D16" s="24" t="s">
        <v>183</v>
      </c>
      <c r="E16" s="24" t="s">
        <v>164</v>
      </c>
      <c r="F16" s="81">
        <f t="shared" si="3"/>
        <v>23.028672691092787</v>
      </c>
      <c r="G16" s="8"/>
      <c r="H16" s="17">
        <v>11</v>
      </c>
      <c r="I16" s="18">
        <f t="shared" si="0"/>
        <v>13.028672691092787</v>
      </c>
      <c r="J16" s="17">
        <f t="shared" si="4"/>
        <v>1</v>
      </c>
      <c r="K16" s="17">
        <f t="shared" si="1"/>
        <v>10</v>
      </c>
      <c r="L16" s="17"/>
      <c r="M16" s="18">
        <f t="shared" si="5"/>
        <v>23.028672691092787</v>
      </c>
      <c r="R16" s="49"/>
      <c r="Z16" s="28"/>
      <c r="AA16" s="28"/>
      <c r="AH16" s="33"/>
    </row>
    <row r="17" spans="1:19">
      <c r="A17" s="41">
        <f t="shared" si="2"/>
        <v>21.687110307291043</v>
      </c>
      <c r="B17" s="35">
        <v>12</v>
      </c>
      <c r="C17" s="25" t="s">
        <v>184</v>
      </c>
      <c r="D17" s="25" t="s">
        <v>185</v>
      </c>
      <c r="E17" s="25" t="s">
        <v>164</v>
      </c>
      <c r="F17" s="82">
        <f t="shared" si="3"/>
        <v>21.687110307291043</v>
      </c>
      <c r="G17" s="8"/>
      <c r="H17" s="44">
        <v>12</v>
      </c>
      <c r="I17" s="45">
        <f t="shared" si="0"/>
        <v>11.687110307291043</v>
      </c>
      <c r="J17" s="44">
        <f t="shared" si="4"/>
        <v>1</v>
      </c>
      <c r="K17" s="44">
        <f t="shared" si="1"/>
        <v>10</v>
      </c>
      <c r="L17" s="44"/>
      <c r="M17" s="45">
        <f t="shared" si="5"/>
        <v>21.687110307291043</v>
      </c>
    </row>
    <row r="18" spans="1:19">
      <c r="A18" s="42">
        <f t="shared" si="2"/>
        <v>20.452992546745158</v>
      </c>
      <c r="B18" s="36">
        <v>13</v>
      </c>
      <c r="C18" s="24" t="s">
        <v>186</v>
      </c>
      <c r="D18" s="24" t="s">
        <v>187</v>
      </c>
      <c r="E18" s="24" t="s">
        <v>164</v>
      </c>
      <c r="F18" s="81">
        <f t="shared" si="3"/>
        <v>20.452992546745158</v>
      </c>
      <c r="G18" s="8"/>
      <c r="H18" s="17">
        <v>13</v>
      </c>
      <c r="I18" s="18">
        <f t="shared" si="0"/>
        <v>10.452992546745158</v>
      </c>
      <c r="J18" s="17">
        <f t="shared" si="4"/>
        <v>1</v>
      </c>
      <c r="K18" s="17">
        <f t="shared" si="1"/>
        <v>10</v>
      </c>
      <c r="L18" s="17"/>
      <c r="M18" s="18">
        <f t="shared" si="5"/>
        <v>20.452992546745158</v>
      </c>
    </row>
    <row r="19" spans="1:19">
      <c r="A19" s="41">
        <f t="shared" si="2"/>
        <v>19.310377968962882</v>
      </c>
      <c r="B19" s="35">
        <v>14</v>
      </c>
      <c r="C19" s="25" t="s">
        <v>188</v>
      </c>
      <c r="D19" s="25" t="s">
        <v>185</v>
      </c>
      <c r="E19" s="25" t="s">
        <v>164</v>
      </c>
      <c r="F19" s="82">
        <f t="shared" si="3"/>
        <v>19.310377968962882</v>
      </c>
      <c r="G19" s="8"/>
      <c r="H19" s="44">
        <v>14</v>
      </c>
      <c r="I19" s="45">
        <f t="shared" si="0"/>
        <v>9.3103779689628823</v>
      </c>
      <c r="J19" s="44">
        <f t="shared" si="4"/>
        <v>1</v>
      </c>
      <c r="K19" s="44">
        <f t="shared" si="1"/>
        <v>10</v>
      </c>
      <c r="L19" s="44"/>
      <c r="M19" s="45">
        <f t="shared" si="5"/>
        <v>19.310377968962882</v>
      </c>
    </row>
    <row r="20" spans="1:19">
      <c r="A20" s="42">
        <f t="shared" si="2"/>
        <v>18.246629246213743</v>
      </c>
      <c r="B20" s="36">
        <v>15</v>
      </c>
      <c r="C20" s="24" t="s">
        <v>189</v>
      </c>
      <c r="D20" s="24" t="s">
        <v>190</v>
      </c>
      <c r="E20" s="24" t="s">
        <v>164</v>
      </c>
      <c r="F20" s="81">
        <f t="shared" si="3"/>
        <v>18.246629246213743</v>
      </c>
      <c r="G20" s="8"/>
      <c r="H20" s="17">
        <v>15</v>
      </c>
      <c r="I20" s="18">
        <f t="shared" si="0"/>
        <v>8.2466292462137432</v>
      </c>
      <c r="J20" s="17">
        <f t="shared" si="4"/>
        <v>1</v>
      </c>
      <c r="K20" s="17">
        <f t="shared" si="1"/>
        <v>10</v>
      </c>
      <c r="L20" s="17"/>
      <c r="M20" s="18">
        <f t="shared" si="5"/>
        <v>18.246629246213743</v>
      </c>
      <c r="R20" s="50"/>
      <c r="S20" s="34"/>
    </row>
    <row r="21" spans="1:19">
      <c r="A21" s="41">
        <f t="shared" si="2"/>
        <v>17.251558770835814</v>
      </c>
      <c r="B21" s="35">
        <v>16</v>
      </c>
      <c r="C21" s="25" t="s">
        <v>191</v>
      </c>
      <c r="D21" s="25" t="s">
        <v>185</v>
      </c>
      <c r="E21" s="25" t="s">
        <v>164</v>
      </c>
      <c r="F21" s="82">
        <f t="shared" si="3"/>
        <v>17.251558770835814</v>
      </c>
      <c r="G21" s="8"/>
      <c r="H21" s="44">
        <v>16</v>
      </c>
      <c r="I21" s="45">
        <f t="shared" si="0"/>
        <v>7.251558770835814</v>
      </c>
      <c r="J21" s="44">
        <f t="shared" si="4"/>
        <v>1</v>
      </c>
      <c r="K21" s="44">
        <f t="shared" si="1"/>
        <v>10</v>
      </c>
      <c r="L21" s="44"/>
      <c r="M21" s="45">
        <f t="shared" si="5"/>
        <v>17.251558770835814</v>
      </c>
    </row>
    <row r="22" spans="1:19">
      <c r="A22" s="42">
        <f t="shared" si="2"/>
        <v>6.3168337386043518</v>
      </c>
      <c r="B22" s="36">
        <v>17</v>
      </c>
      <c r="C22" s="24" t="s">
        <v>192</v>
      </c>
      <c r="D22" s="24" t="s">
        <v>193</v>
      </c>
      <c r="E22" s="24" t="s">
        <v>164</v>
      </c>
      <c r="F22" s="81">
        <f t="shared" si="3"/>
        <v>6.3168337386043518</v>
      </c>
      <c r="G22" s="8"/>
      <c r="H22" s="17">
        <v>17</v>
      </c>
      <c r="I22" s="18">
        <f t="shared" si="0"/>
        <v>6.3168337386043518</v>
      </c>
      <c r="J22" s="17">
        <f t="shared" si="4"/>
        <v>0</v>
      </c>
      <c r="K22" s="17">
        <f t="shared" si="1"/>
        <v>0</v>
      </c>
      <c r="L22" s="17"/>
      <c r="M22" s="18">
        <f t="shared" si="5"/>
        <v>6.3168337386043518</v>
      </c>
    </row>
    <row r="23" spans="1:19">
      <c r="A23" s="41">
        <f t="shared" si="2"/>
        <v>5.435551536455236</v>
      </c>
      <c r="B23" s="35">
        <v>18</v>
      </c>
      <c r="C23" s="25" t="s">
        <v>194</v>
      </c>
      <c r="D23" s="25" t="s">
        <v>195</v>
      </c>
      <c r="E23" s="25" t="s">
        <v>164</v>
      </c>
      <c r="F23" s="82">
        <f t="shared" si="3"/>
        <v>5.435551536455236</v>
      </c>
      <c r="G23" s="8"/>
      <c r="H23" s="44">
        <v>18</v>
      </c>
      <c r="I23" s="45">
        <f t="shared" si="0"/>
        <v>5.435551536455236</v>
      </c>
      <c r="J23" s="44">
        <f t="shared" si="4"/>
        <v>0</v>
      </c>
      <c r="K23" s="44">
        <f t="shared" si="1"/>
        <v>0</v>
      </c>
      <c r="L23" s="44"/>
      <c r="M23" s="45">
        <f t="shared" si="5"/>
        <v>5.435551536455236</v>
      </c>
    </row>
    <row r="24" spans="1:19">
      <c r="A24" s="42">
        <f t="shared" si="2"/>
        <v>4.60193008645183</v>
      </c>
      <c r="B24" s="36">
        <v>19</v>
      </c>
      <c r="C24" s="24" t="s">
        <v>196</v>
      </c>
      <c r="D24" s="24" t="s">
        <v>197</v>
      </c>
      <c r="E24" s="24" t="s">
        <v>164</v>
      </c>
      <c r="F24" s="81">
        <f t="shared" si="3"/>
        <v>4.60193008645183</v>
      </c>
      <c r="G24" s="8"/>
      <c r="H24" s="17">
        <v>19</v>
      </c>
      <c r="I24" s="18">
        <f t="shared" si="0"/>
        <v>4.60193008645183</v>
      </c>
      <c r="J24" s="17">
        <f t="shared" si="4"/>
        <v>0</v>
      </c>
      <c r="K24" s="17">
        <f t="shared" si="1"/>
        <v>0</v>
      </c>
      <c r="L24" s="17"/>
      <c r="M24" s="18">
        <f t="shared" si="5"/>
        <v>4.60193008645183</v>
      </c>
      <c r="R24" s="50"/>
      <c r="S24" s="34"/>
    </row>
    <row r="25" spans="1:19">
      <c r="A25" s="41">
        <f t="shared" si="2"/>
        <v>3.8110777097585071</v>
      </c>
      <c r="B25" s="35">
        <v>20</v>
      </c>
      <c r="C25" s="25" t="s">
        <v>198</v>
      </c>
      <c r="D25" s="25" t="s">
        <v>199</v>
      </c>
      <c r="E25" s="25" t="s">
        <v>164</v>
      </c>
      <c r="F25" s="82">
        <f t="shared" si="3"/>
        <v>3.8110777097585071</v>
      </c>
      <c r="G25" s="8"/>
      <c r="H25" s="44">
        <v>20</v>
      </c>
      <c r="I25" s="45">
        <f t="shared" si="0"/>
        <v>3.8110777097585071</v>
      </c>
      <c r="J25" s="44">
        <f t="shared" si="4"/>
        <v>0</v>
      </c>
      <c r="K25" s="44">
        <f t="shared" si="1"/>
        <v>0</v>
      </c>
      <c r="L25" s="44"/>
      <c r="M25" s="45">
        <f t="shared" si="5"/>
        <v>3.8110777097585071</v>
      </c>
    </row>
    <row r="26" spans="1:19">
      <c r="A26" s="42">
        <f t="shared" si="2"/>
        <v>3.0588191981270612</v>
      </c>
      <c r="B26" s="36">
        <v>21</v>
      </c>
      <c r="C26" s="24" t="s">
        <v>200</v>
      </c>
      <c r="D26" s="24" t="s">
        <v>201</v>
      </c>
      <c r="E26" s="24" t="s">
        <v>164</v>
      </c>
      <c r="F26" s="81">
        <f t="shared" si="3"/>
        <v>3.0588191981270612</v>
      </c>
      <c r="G26" s="8"/>
      <c r="H26" s="17">
        <v>21</v>
      </c>
      <c r="I26" s="18">
        <f t="shared" si="0"/>
        <v>3.0588191981270612</v>
      </c>
      <c r="J26" s="17">
        <f t="shared" si="4"/>
        <v>0</v>
      </c>
      <c r="K26" s="17">
        <f t="shared" si="1"/>
        <v>0</v>
      </c>
      <c r="L26" s="17"/>
      <c r="M26" s="18">
        <f t="shared" si="5"/>
        <v>3.0588191981270612</v>
      </c>
    </row>
    <row r="27" spans="1:19">
      <c r="A27" s="41">
        <f t="shared" si="2"/>
        <v>2.3415623838017439</v>
      </c>
      <c r="B27" s="35">
        <v>22</v>
      </c>
      <c r="C27" s="25" t="s">
        <v>202</v>
      </c>
      <c r="D27" s="25" t="s">
        <v>203</v>
      </c>
      <c r="E27" s="25" t="s">
        <v>164</v>
      </c>
      <c r="F27" s="82">
        <f t="shared" si="3"/>
        <v>2.3415623838017439</v>
      </c>
      <c r="G27" s="8"/>
      <c r="H27" s="44">
        <v>22</v>
      </c>
      <c r="I27" s="45">
        <f t="shared" si="0"/>
        <v>2.3415623838017439</v>
      </c>
      <c r="J27" s="44">
        <f t="shared" si="4"/>
        <v>0</v>
      </c>
      <c r="K27" s="44">
        <f t="shared" si="1"/>
        <v>0</v>
      </c>
      <c r="L27" s="44"/>
      <c r="M27" s="45">
        <f t="shared" si="5"/>
        <v>2.3415623838017439</v>
      </c>
    </row>
    <row r="28" spans="1:19">
      <c r="A28" s="42">
        <f t="shared" si="2"/>
        <v>1.6561943937534522</v>
      </c>
      <c r="B28" s="36">
        <v>23</v>
      </c>
      <c r="C28" s="24" t="s">
        <v>204</v>
      </c>
      <c r="D28" s="24" t="s">
        <v>205</v>
      </c>
      <c r="E28" s="24" t="s">
        <v>164</v>
      </c>
      <c r="F28" s="81">
        <f t="shared" si="3"/>
        <v>1.6561943937534522</v>
      </c>
      <c r="G28" s="8"/>
      <c r="H28" s="17">
        <v>23</v>
      </c>
      <c r="I28" s="18">
        <f t="shared" si="0"/>
        <v>1.6561943937534522</v>
      </c>
      <c r="J28" s="17">
        <f t="shared" si="4"/>
        <v>0</v>
      </c>
      <c r="K28" s="17">
        <f t="shared" si="1"/>
        <v>0</v>
      </c>
      <c r="L28" s="17"/>
      <c r="M28" s="18">
        <f t="shared" si="5"/>
        <v>1.6561943937534522</v>
      </c>
      <c r="R28" s="50"/>
      <c r="S28" s="34"/>
    </row>
    <row r="29" spans="1:19">
      <c r="A29" s="41">
        <f t="shared" si="2"/>
        <v>1</v>
      </c>
      <c r="B29" s="35">
        <v>24</v>
      </c>
      <c r="C29" s="25" t="s">
        <v>206</v>
      </c>
      <c r="D29" s="25" t="s">
        <v>207</v>
      </c>
      <c r="E29" s="25" t="s">
        <v>164</v>
      </c>
      <c r="F29" s="82">
        <f t="shared" si="3"/>
        <v>1</v>
      </c>
      <c r="G29" s="5"/>
      <c r="H29" s="44">
        <v>24</v>
      </c>
      <c r="I29" s="45">
        <f t="shared" si="0"/>
        <v>1</v>
      </c>
      <c r="J29" s="44">
        <f t="shared" si="4"/>
        <v>0</v>
      </c>
      <c r="K29" s="44">
        <f t="shared" si="1"/>
        <v>0</v>
      </c>
      <c r="L29" s="44"/>
      <c r="M29" s="45">
        <f t="shared" si="5"/>
        <v>1</v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si="3"/>
        <v/>
      </c>
      <c r="G30" s="5"/>
      <c r="H30" s="17">
        <v>25</v>
      </c>
      <c r="I30" s="18" t="str">
        <f t="shared" si="0"/>
        <v/>
      </c>
      <c r="J30" s="17">
        <f t="shared" si="4"/>
        <v>0</v>
      </c>
      <c r="K30" s="17">
        <f t="shared" si="1"/>
        <v>0</v>
      </c>
      <c r="L30" s="17"/>
      <c r="M30" s="18" t="str">
        <f t="shared" si="5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3"/>
        <v/>
      </c>
      <c r="G31" s="5"/>
      <c r="H31" s="44">
        <v>26</v>
      </c>
      <c r="I31" s="45" t="str">
        <f t="shared" si="0"/>
        <v/>
      </c>
      <c r="J31" s="44">
        <f t="shared" si="4"/>
        <v>0</v>
      </c>
      <c r="K31" s="44">
        <f t="shared" si="1"/>
        <v>0</v>
      </c>
      <c r="L31" s="44"/>
      <c r="M31" s="45" t="str">
        <f t="shared" si="5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3"/>
        <v/>
      </c>
      <c r="G32" s="5"/>
      <c r="H32" s="17">
        <v>27</v>
      </c>
      <c r="I32" s="18" t="str">
        <f t="shared" si="0"/>
        <v/>
      </c>
      <c r="J32" s="17">
        <f t="shared" si="4"/>
        <v>0</v>
      </c>
      <c r="K32" s="17">
        <f t="shared" si="1"/>
        <v>0</v>
      </c>
      <c r="L32" s="17"/>
      <c r="M32" s="18" t="str">
        <f t="shared" si="5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6">IF(H33&gt;$H$2,"",(ROW()-5))</f>
        <v/>
      </c>
      <c r="C33" s="25"/>
      <c r="D33" s="25"/>
      <c r="E33" s="25"/>
      <c r="F33" s="25" t="str">
        <f t="shared" si="3"/>
        <v/>
      </c>
      <c r="G33" s="5"/>
      <c r="H33" s="44">
        <v>28</v>
      </c>
      <c r="I33" s="45" t="str">
        <f t="shared" si="0"/>
        <v/>
      </c>
      <c r="J33" s="44">
        <f t="shared" si="4"/>
        <v>0</v>
      </c>
      <c r="K33" s="44">
        <f t="shared" si="1"/>
        <v>0</v>
      </c>
      <c r="L33" s="44"/>
      <c r="M33" s="46" t="str">
        <f t="shared" si="5"/>
        <v/>
      </c>
    </row>
    <row r="34" spans="1:19">
      <c r="A34" s="42" t="str">
        <f t="shared" si="2"/>
        <v/>
      </c>
      <c r="B34" s="36" t="str">
        <f t="shared" si="6"/>
        <v/>
      </c>
      <c r="C34" s="24"/>
      <c r="D34" s="24"/>
      <c r="E34" s="24"/>
      <c r="F34" s="24" t="str">
        <f t="shared" si="3"/>
        <v/>
      </c>
      <c r="G34" s="5"/>
      <c r="H34" s="17">
        <v>29</v>
      </c>
      <c r="I34" s="18" t="str">
        <f t="shared" si="0"/>
        <v/>
      </c>
      <c r="J34" s="17">
        <f t="shared" si="4"/>
        <v>0</v>
      </c>
      <c r="K34" s="17">
        <f t="shared" si="1"/>
        <v>0</v>
      </c>
      <c r="L34" s="17"/>
      <c r="M34" s="19" t="str">
        <f t="shared" si="5"/>
        <v/>
      </c>
    </row>
    <row r="35" spans="1:19">
      <c r="A35" s="41" t="str">
        <f t="shared" si="2"/>
        <v/>
      </c>
      <c r="B35" s="35" t="str">
        <f t="shared" si="6"/>
        <v/>
      </c>
      <c r="C35" s="25"/>
      <c r="D35" s="25"/>
      <c r="E35" s="25"/>
      <c r="F35" s="25" t="str">
        <f t="shared" si="3"/>
        <v/>
      </c>
      <c r="G35" s="5"/>
      <c r="H35" s="44">
        <v>30</v>
      </c>
      <c r="I35" s="45" t="str">
        <f t="shared" si="0"/>
        <v/>
      </c>
      <c r="J35" s="44">
        <f t="shared" si="4"/>
        <v>0</v>
      </c>
      <c r="K35" s="44">
        <f t="shared" si="1"/>
        <v>0</v>
      </c>
      <c r="L35" s="44"/>
      <c r="M35" s="46" t="str">
        <f t="shared" si="5"/>
        <v/>
      </c>
    </row>
    <row r="36" spans="1:19">
      <c r="A36" s="42" t="str">
        <f t="shared" si="2"/>
        <v/>
      </c>
      <c r="B36" s="36" t="str">
        <f t="shared" si="6"/>
        <v/>
      </c>
      <c r="C36" s="24"/>
      <c r="D36" s="24"/>
      <c r="E36" s="24"/>
      <c r="F36" s="24" t="str">
        <f t="shared" si="3"/>
        <v/>
      </c>
      <c r="G36" s="5"/>
      <c r="H36" s="17">
        <v>31</v>
      </c>
      <c r="I36" s="18" t="str">
        <f t="shared" si="0"/>
        <v/>
      </c>
      <c r="J36" s="17">
        <f t="shared" si="4"/>
        <v>0</v>
      </c>
      <c r="K36" s="17">
        <f t="shared" si="1"/>
        <v>0</v>
      </c>
      <c r="L36" s="17"/>
      <c r="M36" s="19" t="str">
        <f t="shared" si="5"/>
        <v/>
      </c>
      <c r="R36" s="50"/>
      <c r="S36" s="34"/>
    </row>
    <row r="37" spans="1:19">
      <c r="A37" s="41" t="str">
        <f t="shared" si="2"/>
        <v/>
      </c>
      <c r="B37" s="35" t="str">
        <f t="shared" si="6"/>
        <v/>
      </c>
      <c r="C37" s="25"/>
      <c r="D37" s="25"/>
      <c r="E37" s="25"/>
      <c r="F37" s="25" t="str">
        <f t="shared" si="3"/>
        <v/>
      </c>
      <c r="G37" s="5"/>
      <c r="H37" s="44">
        <v>32</v>
      </c>
      <c r="I37" s="45" t="str">
        <f t="shared" si="0"/>
        <v/>
      </c>
      <c r="J37" s="44">
        <f t="shared" si="4"/>
        <v>0</v>
      </c>
      <c r="K37" s="44">
        <f t="shared" si="1"/>
        <v>0</v>
      </c>
      <c r="L37" s="44"/>
      <c r="M37" s="46" t="str">
        <f t="shared" si="5"/>
        <v/>
      </c>
    </row>
    <row r="38" spans="1:19">
      <c r="A38" s="42" t="str">
        <f t="shared" si="2"/>
        <v/>
      </c>
      <c r="B38" s="36" t="str">
        <f t="shared" si="6"/>
        <v/>
      </c>
      <c r="C38" s="24"/>
      <c r="D38" s="24"/>
      <c r="E38" s="24"/>
      <c r="F38" s="24" t="str">
        <f t="shared" si="3"/>
        <v/>
      </c>
      <c r="G38" s="5"/>
      <c r="H38" s="17">
        <v>33</v>
      </c>
      <c r="I38" s="18" t="str">
        <f t="shared" si="0"/>
        <v/>
      </c>
      <c r="J38" s="17">
        <f t="shared" si="4"/>
        <v>-1</v>
      </c>
      <c r="K38" s="17">
        <f t="shared" si="1"/>
        <v>-10</v>
      </c>
      <c r="L38" s="17"/>
      <c r="M38" s="19" t="str">
        <f t="shared" si="5"/>
        <v/>
      </c>
    </row>
    <row r="39" spans="1:19">
      <c r="A39" s="41">
        <f t="shared" si="2"/>
        <v>0</v>
      </c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4"/>
        <v>-1</v>
      </c>
      <c r="K39" s="44">
        <f t="shared" si="1"/>
        <v>-10</v>
      </c>
      <c r="L39" s="44"/>
      <c r="M39" s="46" t="str">
        <f t="shared" si="5"/>
        <v/>
      </c>
    </row>
    <row r="40" spans="1:19">
      <c r="A40" s="42">
        <f t="shared" si="2"/>
        <v>0</v>
      </c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4"/>
        <v>-1</v>
      </c>
      <c r="K40" s="17">
        <f t="shared" si="1"/>
        <v>-10</v>
      </c>
      <c r="L40" s="17"/>
      <c r="M40" s="19" t="str">
        <f t="shared" si="5"/>
        <v/>
      </c>
    </row>
    <row r="41" spans="1:19">
      <c r="A41" s="41">
        <f t="shared" si="2"/>
        <v>0</v>
      </c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4"/>
        <v>-1</v>
      </c>
      <c r="K41" s="44">
        <f t="shared" si="1"/>
        <v>-10</v>
      </c>
      <c r="L41" s="44"/>
      <c r="M41" s="46" t="str">
        <f t="shared" si="5"/>
        <v/>
      </c>
      <c r="S41" s="32"/>
    </row>
    <row r="42" spans="1:19">
      <c r="A42" s="42">
        <f t="shared" si="2"/>
        <v>0</v>
      </c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4"/>
        <v>-1</v>
      </c>
      <c r="K42" s="17">
        <f t="shared" si="1"/>
        <v>-10</v>
      </c>
      <c r="L42" s="17"/>
      <c r="M42" s="19" t="str">
        <f t="shared" si="5"/>
        <v/>
      </c>
    </row>
    <row r="43" spans="1:19">
      <c r="A43" s="41">
        <f t="shared" si="2"/>
        <v>0</v>
      </c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4"/>
        <v>-1</v>
      </c>
      <c r="K43" s="44">
        <f t="shared" si="1"/>
        <v>-10</v>
      </c>
      <c r="L43" s="44"/>
      <c r="M43" s="46" t="str">
        <f t="shared" si="5"/>
        <v/>
      </c>
    </row>
    <row r="44" spans="1:19">
      <c r="A44" s="42">
        <f t="shared" si="2"/>
        <v>0</v>
      </c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4"/>
        <v>-1</v>
      </c>
      <c r="K44" s="17">
        <f t="shared" si="1"/>
        <v>-10</v>
      </c>
      <c r="L44" s="17"/>
      <c r="M44" s="19" t="str">
        <f t="shared" si="5"/>
        <v/>
      </c>
    </row>
    <row r="45" spans="1:19">
      <c r="A45" s="41">
        <f t="shared" si="2"/>
        <v>0</v>
      </c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4"/>
        <v>-1</v>
      </c>
      <c r="K45" s="44">
        <f t="shared" si="1"/>
        <v>-10</v>
      </c>
      <c r="L45" s="44"/>
      <c r="M45" s="46" t="str">
        <f t="shared" si="5"/>
        <v/>
      </c>
    </row>
    <row r="46" spans="1:19">
      <c r="A46" s="42">
        <f t="shared" si="2"/>
        <v>0</v>
      </c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4"/>
        <v>-1</v>
      </c>
      <c r="K46" s="17">
        <f t="shared" si="1"/>
        <v>-10</v>
      </c>
      <c r="L46" s="17"/>
      <c r="M46" s="19" t="str">
        <f t="shared" si="5"/>
        <v/>
      </c>
    </row>
    <row r="47" spans="1:19">
      <c r="A47" s="41">
        <f t="shared" si="2"/>
        <v>0</v>
      </c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4"/>
        <v>-1</v>
      </c>
      <c r="K47" s="44">
        <f t="shared" si="1"/>
        <v>-10</v>
      </c>
      <c r="L47" s="44"/>
      <c r="M47" s="46" t="str">
        <f t="shared" si="5"/>
        <v/>
      </c>
    </row>
    <row r="48" spans="1:19">
      <c r="A48" s="42">
        <f t="shared" si="2"/>
        <v>0</v>
      </c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4"/>
        <v>-1</v>
      </c>
      <c r="K48" s="17">
        <f t="shared" si="1"/>
        <v>-10</v>
      </c>
      <c r="L48" s="17"/>
      <c r="M48" s="19" t="str">
        <f t="shared" si="5"/>
        <v/>
      </c>
    </row>
    <row r="49" spans="1:13">
      <c r="A49" s="41">
        <f t="shared" si="2"/>
        <v>0</v>
      </c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4"/>
        <v>-1</v>
      </c>
      <c r="K49" s="44">
        <f t="shared" si="1"/>
        <v>-10</v>
      </c>
      <c r="L49" s="44"/>
      <c r="M49" s="46" t="str">
        <f t="shared" si="5"/>
        <v/>
      </c>
    </row>
    <row r="50" spans="1:13">
      <c r="A50" s="42">
        <f t="shared" si="2"/>
        <v>0</v>
      </c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4"/>
        <v>-1</v>
      </c>
      <c r="K50" s="17">
        <f t="shared" si="1"/>
        <v>-10</v>
      </c>
      <c r="L50" s="17"/>
      <c r="M50" s="19" t="str">
        <f t="shared" si="5"/>
        <v/>
      </c>
    </row>
    <row r="51" spans="1:13">
      <c r="A51" s="41">
        <f t="shared" si="2"/>
        <v>0</v>
      </c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4"/>
        <v>-1</v>
      </c>
      <c r="K51" s="44">
        <f t="shared" si="1"/>
        <v>-10</v>
      </c>
      <c r="L51" s="44"/>
      <c r="M51" s="46" t="str">
        <f t="shared" si="5"/>
        <v/>
      </c>
    </row>
    <row r="52" spans="1:13">
      <c r="A52" s="42">
        <f t="shared" si="2"/>
        <v>0</v>
      </c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4"/>
        <v>-1</v>
      </c>
      <c r="K52" s="17">
        <f t="shared" si="1"/>
        <v>-10</v>
      </c>
      <c r="L52" s="17"/>
      <c r="M52" s="19" t="str">
        <f t="shared" si="5"/>
        <v/>
      </c>
    </row>
    <row r="53" spans="1:13">
      <c r="A53" s="41">
        <f t="shared" si="2"/>
        <v>0</v>
      </c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4"/>
        <v>-1</v>
      </c>
      <c r="K53" s="44">
        <f t="shared" si="1"/>
        <v>-10</v>
      </c>
      <c r="L53" s="44"/>
      <c r="M53" s="46" t="str">
        <f t="shared" si="5"/>
        <v/>
      </c>
    </row>
    <row r="54" spans="1:13">
      <c r="A54" s="42">
        <f t="shared" si="2"/>
        <v>0</v>
      </c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4"/>
        <v>-1</v>
      </c>
      <c r="K54" s="17">
        <f t="shared" si="1"/>
        <v>-10</v>
      </c>
      <c r="L54" s="17"/>
      <c r="M54" s="19" t="str">
        <f t="shared" si="5"/>
        <v/>
      </c>
    </row>
    <row r="55" spans="1:13">
      <c r="A55" s="41">
        <f t="shared" si="2"/>
        <v>0</v>
      </c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4"/>
        <v>-1</v>
      </c>
      <c r="K55" s="44">
        <f t="shared" si="1"/>
        <v>-10</v>
      </c>
      <c r="L55" s="44"/>
      <c r="M55" s="46" t="str">
        <f t="shared" si="5"/>
        <v/>
      </c>
    </row>
    <row r="56" spans="1:13">
      <c r="A56" s="42">
        <f t="shared" si="2"/>
        <v>0</v>
      </c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4"/>
        <v>-1</v>
      </c>
      <c r="K56" s="17">
        <f t="shared" si="1"/>
        <v>-10</v>
      </c>
      <c r="L56" s="17"/>
      <c r="M56" s="19" t="str">
        <f t="shared" si="5"/>
        <v/>
      </c>
    </row>
    <row r="57" spans="1:13">
      <c r="A57" s="41">
        <f t="shared" si="2"/>
        <v>0</v>
      </c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4"/>
        <v>-1</v>
      </c>
      <c r="K57" s="44">
        <f t="shared" si="1"/>
        <v>-10</v>
      </c>
      <c r="L57" s="44"/>
      <c r="M57" s="46" t="str">
        <f t="shared" si="5"/>
        <v/>
      </c>
    </row>
    <row r="58" spans="1:13">
      <c r="A58" s="42">
        <f t="shared" si="2"/>
        <v>0</v>
      </c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4"/>
        <v>-1</v>
      </c>
      <c r="K58" s="17">
        <f t="shared" si="1"/>
        <v>-10</v>
      </c>
      <c r="L58" s="17"/>
      <c r="M58" s="19" t="str">
        <f t="shared" si="5"/>
        <v/>
      </c>
    </row>
    <row r="59" spans="1:13">
      <c r="A59" s="41">
        <f t="shared" si="2"/>
        <v>0</v>
      </c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4"/>
        <v>-1</v>
      </c>
      <c r="K59" s="44">
        <f t="shared" si="1"/>
        <v>-10</v>
      </c>
      <c r="L59" s="44"/>
      <c r="M59" s="46" t="str">
        <f t="shared" si="5"/>
        <v/>
      </c>
    </row>
    <row r="60" spans="1:13">
      <c r="A60" s="42">
        <f t="shared" si="2"/>
        <v>0</v>
      </c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4"/>
        <v>-1</v>
      </c>
      <c r="K60" s="17">
        <f t="shared" si="1"/>
        <v>-10</v>
      </c>
      <c r="L60" s="17"/>
      <c r="M60" s="19" t="str">
        <f t="shared" si="5"/>
        <v/>
      </c>
    </row>
    <row r="61" spans="1:13">
      <c r="A61" s="41">
        <f t="shared" si="2"/>
        <v>0</v>
      </c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4"/>
        <v>-1</v>
      </c>
      <c r="K61" s="44">
        <f t="shared" si="1"/>
        <v>-10</v>
      </c>
      <c r="L61" s="44"/>
      <c r="M61" s="46" t="str">
        <f t="shared" si="5"/>
        <v/>
      </c>
    </row>
    <row r="62" spans="1:13">
      <c r="A62" s="42">
        <f t="shared" si="2"/>
        <v>0</v>
      </c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4"/>
        <v>-1</v>
      </c>
      <c r="K62" s="17">
        <f t="shared" si="1"/>
        <v>-10</v>
      </c>
      <c r="L62" s="17"/>
      <c r="M62" s="19" t="str">
        <f t="shared" si="5"/>
        <v/>
      </c>
    </row>
    <row r="63" spans="1:13">
      <c r="A63" s="41">
        <f t="shared" si="2"/>
        <v>0</v>
      </c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4"/>
        <v>-1</v>
      </c>
      <c r="K63" s="44">
        <f t="shared" si="1"/>
        <v>-10</v>
      </c>
      <c r="L63" s="44"/>
      <c r="M63" s="46" t="str">
        <f t="shared" si="5"/>
        <v/>
      </c>
    </row>
    <row r="64" spans="1:13">
      <c r="A64" s="42">
        <f t="shared" si="2"/>
        <v>0</v>
      </c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4"/>
        <v>-1</v>
      </c>
      <c r="K64" s="17">
        <f t="shared" si="1"/>
        <v>-10</v>
      </c>
      <c r="L64" s="17"/>
      <c r="M64" s="19" t="str">
        <f t="shared" si="5"/>
        <v/>
      </c>
    </row>
    <row r="65" spans="1:13">
      <c r="A65" s="41">
        <f t="shared" si="2"/>
        <v>0</v>
      </c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4"/>
        <v>-1</v>
      </c>
      <c r="K65" s="44">
        <f t="shared" si="1"/>
        <v>-10</v>
      </c>
      <c r="L65" s="44"/>
      <c r="M65" s="46" t="str">
        <f t="shared" si="5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4"/>
        <v>-1</v>
      </c>
      <c r="K66" s="17">
        <f t="shared" si="1"/>
        <v>-10</v>
      </c>
      <c r="L66" s="17"/>
      <c r="M66" s="19" t="str">
        <f t="shared" si="5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4"/>
        <v>-1</v>
      </c>
      <c r="K67" s="17">
        <f t="shared" si="1"/>
        <v>-10</v>
      </c>
      <c r="L67" s="17"/>
      <c r="M67" s="19" t="str">
        <f t="shared" si="5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4"/>
        <v>-1</v>
      </c>
      <c r="K68" s="17">
        <f t="shared" si="1"/>
        <v>-10</v>
      </c>
      <c r="L68" s="17"/>
      <c r="M68" s="19" t="str">
        <f t="shared" si="5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4"/>
        <v>-1</v>
      </c>
      <c r="K69" s="17">
        <f t="shared" si="1"/>
        <v>-10</v>
      </c>
      <c r="L69" s="17"/>
      <c r="M69" s="19" t="str">
        <f t="shared" si="5"/>
        <v/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4"/>
        <v>-2</v>
      </c>
      <c r="K70" s="17">
        <f t="shared" ref="K70:K133" si="8">J70*$J$2</f>
        <v>-20</v>
      </c>
      <c r="L70" s="17"/>
      <c r="M70" s="19" t="str">
        <f t="shared" si="5"/>
        <v/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9">INT(LOG($H$2,2))-ROUNDUP(LOG(H71,2),0)+IF(OR($H$2=1,$H$2=2,$H$2=4,$H$2=8,$H$2=16,$H$2=32,$H$2=64,$H$2=128,$H$2=256),0,1)</f>
        <v>-2</v>
      </c>
      <c r="K71" s="17">
        <f t="shared" si="8"/>
        <v>-20</v>
      </c>
      <c r="L71" s="17"/>
      <c r="M71" s="19" t="str">
        <f t="shared" ref="M71:M134" si="10">IF(I71&lt;&gt;"",K71+I71+L71,"")</f>
        <v/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9"/>
        <v>-2</v>
      </c>
      <c r="K72" s="17">
        <f t="shared" si="8"/>
        <v>-20</v>
      </c>
      <c r="L72" s="17"/>
      <c r="M72" s="19" t="str">
        <f t="shared" si="10"/>
        <v/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9"/>
        <v>-2</v>
      </c>
      <c r="K73" s="17">
        <f t="shared" si="8"/>
        <v>-20</v>
      </c>
      <c r="L73" s="17"/>
      <c r="M73" s="19" t="str">
        <f t="shared" si="10"/>
        <v/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9"/>
        <v>-2</v>
      </c>
      <c r="K74" s="17">
        <f t="shared" si="8"/>
        <v>-20</v>
      </c>
      <c r="L74" s="17"/>
      <c r="M74" s="19" t="str">
        <f t="shared" si="10"/>
        <v/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9"/>
        <v>-2</v>
      </c>
      <c r="K75" s="17">
        <f t="shared" si="8"/>
        <v>-20</v>
      </c>
      <c r="L75" s="17"/>
      <c r="M75" s="19" t="str">
        <f t="shared" si="10"/>
        <v/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9"/>
        <v>-2</v>
      </c>
      <c r="K76" s="17">
        <f t="shared" si="8"/>
        <v>-20</v>
      </c>
      <c r="L76" s="17"/>
      <c r="M76" s="19" t="str">
        <f t="shared" si="10"/>
        <v/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9"/>
        <v>-2</v>
      </c>
      <c r="K77" s="17">
        <f t="shared" si="8"/>
        <v>-20</v>
      </c>
      <c r="L77" s="17"/>
      <c r="M77" s="19" t="str">
        <f t="shared" si="10"/>
        <v/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9"/>
        <v>-2</v>
      </c>
      <c r="K78" s="17">
        <f t="shared" si="8"/>
        <v>-20</v>
      </c>
      <c r="L78" s="17"/>
      <c r="M78" s="19" t="str">
        <f t="shared" si="10"/>
        <v/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9"/>
        <v>-2</v>
      </c>
      <c r="K79" s="17">
        <f t="shared" si="8"/>
        <v>-20</v>
      </c>
      <c r="L79" s="17"/>
      <c r="M79" s="19" t="str">
        <f t="shared" si="10"/>
        <v/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9"/>
        <v>-2</v>
      </c>
      <c r="K80" s="17">
        <f t="shared" si="8"/>
        <v>-20</v>
      </c>
      <c r="L80" s="17"/>
      <c r="M80" s="19" t="str">
        <f t="shared" si="10"/>
        <v/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9"/>
        <v>-2</v>
      </c>
      <c r="K81" s="17">
        <f t="shared" si="8"/>
        <v>-20</v>
      </c>
      <c r="L81" s="17"/>
      <c r="M81" s="19" t="str">
        <f t="shared" si="10"/>
        <v/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9"/>
        <v>-2</v>
      </c>
      <c r="K82" s="17">
        <f t="shared" si="8"/>
        <v>-20</v>
      </c>
      <c r="L82" s="17"/>
      <c r="M82" s="19" t="str">
        <f t="shared" si="10"/>
        <v/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9"/>
        <v>-2</v>
      </c>
      <c r="K83" s="17">
        <f t="shared" si="8"/>
        <v>-20</v>
      </c>
      <c r="L83" s="17"/>
      <c r="M83" s="19" t="str">
        <f t="shared" si="10"/>
        <v/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9"/>
        <v>-2</v>
      </c>
      <c r="K84" s="17">
        <f t="shared" si="8"/>
        <v>-20</v>
      </c>
      <c r="L84" s="17"/>
      <c r="M84" s="19" t="str">
        <f t="shared" si="10"/>
        <v/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9"/>
        <v>-2</v>
      </c>
      <c r="K85" s="17">
        <f t="shared" si="8"/>
        <v>-20</v>
      </c>
      <c r="L85" s="17"/>
      <c r="M85" s="19" t="str">
        <f t="shared" si="10"/>
        <v/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9"/>
        <v>-2</v>
      </c>
      <c r="K86" s="17">
        <f t="shared" si="8"/>
        <v>-20</v>
      </c>
      <c r="L86" s="17"/>
      <c r="M86" s="19" t="str">
        <f t="shared" si="10"/>
        <v/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9"/>
        <v>-2</v>
      </c>
      <c r="K87" s="17">
        <f t="shared" si="8"/>
        <v>-20</v>
      </c>
      <c r="L87" s="17"/>
      <c r="M87" s="19" t="str">
        <f t="shared" si="10"/>
        <v/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9"/>
        <v>-2</v>
      </c>
      <c r="K88" s="17">
        <f t="shared" si="8"/>
        <v>-20</v>
      </c>
      <c r="L88" s="17"/>
      <c r="M88" s="19" t="str">
        <f t="shared" si="10"/>
        <v/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9"/>
        <v>-2</v>
      </c>
      <c r="K89" s="17">
        <f t="shared" si="8"/>
        <v>-20</v>
      </c>
      <c r="L89" s="17"/>
      <c r="M89" s="19" t="str">
        <f t="shared" si="10"/>
        <v/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9"/>
        <v>-2</v>
      </c>
      <c r="K90" s="17">
        <f t="shared" si="8"/>
        <v>-20</v>
      </c>
      <c r="L90" s="17"/>
      <c r="M90" s="19" t="str">
        <f t="shared" si="10"/>
        <v/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9"/>
        <v>-2</v>
      </c>
      <c r="K91" s="17">
        <f t="shared" si="8"/>
        <v>-20</v>
      </c>
      <c r="L91" s="17"/>
      <c r="M91" s="19" t="str">
        <f t="shared" si="10"/>
        <v/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9"/>
        <v>-2</v>
      </c>
      <c r="K92" s="17">
        <f t="shared" si="8"/>
        <v>-20</v>
      </c>
      <c r="L92" s="17"/>
      <c r="M92" s="19" t="str">
        <f t="shared" si="10"/>
        <v/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9"/>
        <v>-2</v>
      </c>
      <c r="K93" s="17">
        <f t="shared" si="8"/>
        <v>-20</v>
      </c>
      <c r="L93" s="17"/>
      <c r="M93" s="19" t="str">
        <f t="shared" si="10"/>
        <v/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9"/>
        <v>-2</v>
      </c>
      <c r="K94" s="17">
        <f t="shared" si="8"/>
        <v>-20</v>
      </c>
      <c r="L94" s="17"/>
      <c r="M94" s="19" t="str">
        <f t="shared" si="10"/>
        <v/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9"/>
        <v>-2</v>
      </c>
      <c r="K95" s="17">
        <f t="shared" si="8"/>
        <v>-20</v>
      </c>
      <c r="L95" s="17"/>
      <c r="M95" s="19" t="str">
        <f t="shared" si="10"/>
        <v/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9"/>
        <v>-2</v>
      </c>
      <c r="K96" s="17">
        <f t="shared" si="8"/>
        <v>-20</v>
      </c>
      <c r="L96" s="17"/>
      <c r="M96" s="19" t="str">
        <f t="shared" si="10"/>
        <v/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9"/>
        <v>-2</v>
      </c>
      <c r="K97" s="17">
        <f t="shared" si="8"/>
        <v>-20</v>
      </c>
      <c r="L97" s="17"/>
      <c r="M97" s="19" t="str">
        <f t="shared" si="10"/>
        <v/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9"/>
        <v>-2</v>
      </c>
      <c r="K98" s="17">
        <f t="shared" si="8"/>
        <v>-20</v>
      </c>
      <c r="L98" s="17"/>
      <c r="M98" s="19" t="str">
        <f t="shared" si="10"/>
        <v/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9"/>
        <v>-2</v>
      </c>
      <c r="K99" s="17">
        <f t="shared" si="8"/>
        <v>-20</v>
      </c>
      <c r="L99" s="17"/>
      <c r="M99" s="19" t="str">
        <f t="shared" si="10"/>
        <v/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9"/>
        <v>-2</v>
      </c>
      <c r="K100" s="17">
        <f t="shared" si="8"/>
        <v>-20</v>
      </c>
      <c r="L100" s="17"/>
      <c r="M100" s="19" t="str">
        <f t="shared" si="10"/>
        <v/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9"/>
        <v>-2</v>
      </c>
      <c r="K101" s="17">
        <f t="shared" si="8"/>
        <v>-20</v>
      </c>
      <c r="L101" s="17"/>
      <c r="M101" s="19" t="str">
        <f t="shared" si="10"/>
        <v/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9"/>
        <v>-2</v>
      </c>
      <c r="K102" s="17">
        <f t="shared" si="8"/>
        <v>-20</v>
      </c>
      <c r="L102" s="17"/>
      <c r="M102" s="19" t="str">
        <f t="shared" si="10"/>
        <v/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9"/>
        <v>-2</v>
      </c>
      <c r="K103" s="17">
        <f t="shared" si="8"/>
        <v>-20</v>
      </c>
      <c r="L103" s="17"/>
      <c r="M103" s="19" t="str">
        <f t="shared" si="10"/>
        <v/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9"/>
        <v>-2</v>
      </c>
      <c r="K104" s="17">
        <f t="shared" si="8"/>
        <v>-20</v>
      </c>
      <c r="L104" s="17"/>
      <c r="M104" s="19" t="str">
        <f t="shared" si="10"/>
        <v/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9"/>
        <v>-2</v>
      </c>
      <c r="K105" s="17">
        <f t="shared" si="8"/>
        <v>-20</v>
      </c>
      <c r="L105" s="17"/>
      <c r="M105" s="19" t="str">
        <f t="shared" si="10"/>
        <v/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9"/>
        <v>-2</v>
      </c>
      <c r="K106" s="17">
        <f t="shared" si="8"/>
        <v>-20</v>
      </c>
      <c r="L106" s="17"/>
      <c r="M106" s="19" t="str">
        <f t="shared" si="10"/>
        <v/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9"/>
        <v>-2</v>
      </c>
      <c r="K107" s="17">
        <f t="shared" si="8"/>
        <v>-20</v>
      </c>
      <c r="L107" s="17"/>
      <c r="M107" s="19" t="str">
        <f t="shared" si="10"/>
        <v/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9"/>
        <v>-2</v>
      </c>
      <c r="K108" s="17">
        <f t="shared" si="8"/>
        <v>-20</v>
      </c>
      <c r="L108" s="17"/>
      <c r="M108" s="19" t="str">
        <f t="shared" si="10"/>
        <v/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9"/>
        <v>-2</v>
      </c>
      <c r="K109" s="17">
        <f t="shared" si="8"/>
        <v>-20</v>
      </c>
      <c r="L109" s="17"/>
      <c r="M109" s="19" t="str">
        <f t="shared" si="10"/>
        <v/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9"/>
        <v>-2</v>
      </c>
      <c r="K110" s="17">
        <f t="shared" si="8"/>
        <v>-20</v>
      </c>
      <c r="L110" s="17"/>
      <c r="M110" s="19" t="str">
        <f t="shared" si="10"/>
        <v/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9"/>
        <v>-2</v>
      </c>
      <c r="K111" s="17">
        <f t="shared" si="8"/>
        <v>-20</v>
      </c>
      <c r="L111" s="17"/>
      <c r="M111" s="19" t="str">
        <f t="shared" si="10"/>
        <v/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9"/>
        <v>-2</v>
      </c>
      <c r="K112" s="17">
        <f t="shared" si="8"/>
        <v>-20</v>
      </c>
      <c r="L112" s="17"/>
      <c r="M112" s="19" t="str">
        <f t="shared" si="10"/>
        <v/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9"/>
        <v>-2</v>
      </c>
      <c r="K113" s="17">
        <f t="shared" si="8"/>
        <v>-20</v>
      </c>
      <c r="L113" s="17"/>
      <c r="M113" s="19" t="str">
        <f t="shared" si="10"/>
        <v/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9"/>
        <v>-2</v>
      </c>
      <c r="K114" s="17">
        <f t="shared" si="8"/>
        <v>-20</v>
      </c>
      <c r="L114" s="17"/>
      <c r="M114" s="19" t="str">
        <f t="shared" si="10"/>
        <v/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9"/>
        <v>-2</v>
      </c>
      <c r="K115" s="17">
        <f t="shared" si="8"/>
        <v>-20</v>
      </c>
      <c r="L115" s="17"/>
      <c r="M115" s="19" t="str">
        <f t="shared" si="10"/>
        <v/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9"/>
        <v>-2</v>
      </c>
      <c r="K116" s="17">
        <f t="shared" si="8"/>
        <v>-20</v>
      </c>
      <c r="L116" s="17"/>
      <c r="M116" s="19" t="str">
        <f t="shared" si="10"/>
        <v/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9"/>
        <v>-2</v>
      </c>
      <c r="K117" s="17">
        <f t="shared" si="8"/>
        <v>-20</v>
      </c>
      <c r="L117" s="17"/>
      <c r="M117" s="19" t="str">
        <f t="shared" si="10"/>
        <v/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9"/>
        <v>-2</v>
      </c>
      <c r="K118" s="17">
        <f t="shared" si="8"/>
        <v>-20</v>
      </c>
      <c r="L118" s="17"/>
      <c r="M118" s="19" t="str">
        <f t="shared" si="10"/>
        <v/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9"/>
        <v>-2</v>
      </c>
      <c r="K119" s="17">
        <f t="shared" si="8"/>
        <v>-20</v>
      </c>
      <c r="L119" s="17"/>
      <c r="M119" s="19" t="str">
        <f t="shared" si="10"/>
        <v/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9"/>
        <v>-2</v>
      </c>
      <c r="K120" s="17">
        <f t="shared" si="8"/>
        <v>-20</v>
      </c>
      <c r="L120" s="17"/>
      <c r="M120" s="19" t="str">
        <f t="shared" si="10"/>
        <v/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9"/>
        <v>-2</v>
      </c>
      <c r="K121" s="17">
        <f t="shared" si="8"/>
        <v>-20</v>
      </c>
      <c r="L121" s="17"/>
      <c r="M121" s="19" t="str">
        <f t="shared" si="10"/>
        <v/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9"/>
        <v>-2</v>
      </c>
      <c r="K122" s="17">
        <f t="shared" si="8"/>
        <v>-20</v>
      </c>
      <c r="L122" s="17"/>
      <c r="M122" s="19" t="str">
        <f t="shared" si="10"/>
        <v/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9"/>
        <v>-2</v>
      </c>
      <c r="K123" s="17">
        <f t="shared" si="8"/>
        <v>-20</v>
      </c>
      <c r="L123" s="17"/>
      <c r="M123" s="19" t="str">
        <f t="shared" si="10"/>
        <v/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9"/>
        <v>-2</v>
      </c>
      <c r="K124" s="17">
        <f t="shared" si="8"/>
        <v>-20</v>
      </c>
      <c r="L124" s="17"/>
      <c r="M124" s="19" t="str">
        <f t="shared" si="10"/>
        <v/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9"/>
        <v>-2</v>
      </c>
      <c r="K125" s="17">
        <f t="shared" si="8"/>
        <v>-20</v>
      </c>
      <c r="L125" s="17"/>
      <c r="M125" s="19" t="str">
        <f t="shared" si="10"/>
        <v/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9"/>
        <v>-2</v>
      </c>
      <c r="K126" s="17">
        <f t="shared" si="8"/>
        <v>-20</v>
      </c>
      <c r="L126" s="17"/>
      <c r="M126" s="19" t="str">
        <f t="shared" si="10"/>
        <v/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9"/>
        <v>-2</v>
      </c>
      <c r="K127" s="17">
        <f t="shared" si="8"/>
        <v>-20</v>
      </c>
      <c r="L127" s="17"/>
      <c r="M127" s="19" t="str">
        <f t="shared" si="10"/>
        <v/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9"/>
        <v>-2</v>
      </c>
      <c r="K128" s="17">
        <f t="shared" si="8"/>
        <v>-20</v>
      </c>
      <c r="L128" s="17"/>
      <c r="M128" s="19" t="str">
        <f t="shared" si="10"/>
        <v/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9"/>
        <v>-2</v>
      </c>
      <c r="K129" s="17">
        <f t="shared" si="8"/>
        <v>-20</v>
      </c>
      <c r="L129" s="17"/>
      <c r="M129" s="19" t="str">
        <f t="shared" si="10"/>
        <v/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9"/>
        <v>-2</v>
      </c>
      <c r="K130" s="17">
        <f t="shared" si="8"/>
        <v>-20</v>
      </c>
      <c r="L130" s="17"/>
      <c r="M130" s="19" t="str">
        <f t="shared" si="10"/>
        <v/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9"/>
        <v>-2</v>
      </c>
      <c r="K131" s="17">
        <f t="shared" si="8"/>
        <v>-20</v>
      </c>
      <c r="L131" s="17"/>
      <c r="M131" s="19" t="str">
        <f t="shared" si="10"/>
        <v/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9"/>
        <v>-2</v>
      </c>
      <c r="K132" s="17">
        <f t="shared" si="8"/>
        <v>-20</v>
      </c>
      <c r="L132" s="17"/>
      <c r="M132" s="19" t="str">
        <f t="shared" si="10"/>
        <v/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9"/>
        <v>-2</v>
      </c>
      <c r="K133" s="17">
        <f t="shared" si="8"/>
        <v>-20</v>
      </c>
      <c r="L133" s="17"/>
      <c r="M133" s="19" t="str">
        <f t="shared" si="10"/>
        <v/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9"/>
        <v>-3</v>
      </c>
      <c r="K134" s="17">
        <f t="shared" ref="K134:K197" si="12">J134*$J$2</f>
        <v>-30</v>
      </c>
      <c r="L134" s="17"/>
      <c r="M134" s="19" t="str">
        <f t="shared" si="10"/>
        <v/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3">INT(LOG($H$2,2))-ROUNDUP(LOG(H135,2),0)+IF(OR($H$2=1,$H$2=2,$H$2=4,$H$2=8,$H$2=16,$H$2=32,$H$2=64,$H$2=128,$H$2=256),0,1)</f>
        <v>-3</v>
      </c>
      <c r="K135" s="17">
        <f t="shared" si="12"/>
        <v>-30</v>
      </c>
      <c r="L135" s="17"/>
      <c r="M135" s="19" t="str">
        <f t="shared" ref="M135:M198" si="14">IF(I135&lt;&gt;"",K135+I135+L135,"")</f>
        <v/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3"/>
        <v>-3</v>
      </c>
      <c r="K136" s="17">
        <f t="shared" si="12"/>
        <v>-30</v>
      </c>
      <c r="L136" s="17"/>
      <c r="M136" s="19" t="str">
        <f t="shared" si="14"/>
        <v/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3"/>
        <v>-3</v>
      </c>
      <c r="K137" s="17">
        <f t="shared" si="12"/>
        <v>-30</v>
      </c>
      <c r="L137" s="17"/>
      <c r="M137" s="19" t="str">
        <f t="shared" si="14"/>
        <v/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3"/>
        <v>-3</v>
      </c>
      <c r="K138" s="17">
        <f t="shared" si="12"/>
        <v>-30</v>
      </c>
      <c r="L138" s="17"/>
      <c r="M138" s="19" t="str">
        <f t="shared" si="14"/>
        <v/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3"/>
        <v>-3</v>
      </c>
      <c r="K139" s="17">
        <f t="shared" si="12"/>
        <v>-30</v>
      </c>
      <c r="L139" s="17"/>
      <c r="M139" s="19" t="str">
        <f t="shared" si="14"/>
        <v/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3"/>
        <v>-3</v>
      </c>
      <c r="K140" s="17">
        <f t="shared" si="12"/>
        <v>-30</v>
      </c>
      <c r="L140" s="17"/>
      <c r="M140" s="19" t="str">
        <f t="shared" si="14"/>
        <v/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3"/>
        <v>-3</v>
      </c>
      <c r="K141" s="17">
        <f t="shared" si="12"/>
        <v>-30</v>
      </c>
      <c r="L141" s="17"/>
      <c r="M141" s="19" t="str">
        <f t="shared" si="14"/>
        <v/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3"/>
        <v>-3</v>
      </c>
      <c r="K142" s="17">
        <f t="shared" si="12"/>
        <v>-30</v>
      </c>
      <c r="L142" s="17"/>
      <c r="M142" s="19" t="str">
        <f t="shared" si="14"/>
        <v/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3"/>
        <v>-3</v>
      </c>
      <c r="K143" s="17">
        <f t="shared" si="12"/>
        <v>-30</v>
      </c>
      <c r="L143" s="17"/>
      <c r="M143" s="19" t="str">
        <f t="shared" si="14"/>
        <v/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3"/>
        <v>-3</v>
      </c>
      <c r="K144" s="17">
        <f t="shared" si="12"/>
        <v>-30</v>
      </c>
      <c r="L144" s="17"/>
      <c r="M144" s="19" t="str">
        <f t="shared" si="14"/>
        <v/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3"/>
        <v>-3</v>
      </c>
      <c r="K145" s="17">
        <f t="shared" si="12"/>
        <v>-30</v>
      </c>
      <c r="L145" s="17"/>
      <c r="M145" s="19" t="str">
        <f t="shared" si="14"/>
        <v/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3"/>
        <v>-3</v>
      </c>
      <c r="K146" s="17">
        <f t="shared" si="12"/>
        <v>-30</v>
      </c>
      <c r="L146" s="17"/>
      <c r="M146" s="19" t="str">
        <f t="shared" si="14"/>
        <v/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3"/>
        <v>-3</v>
      </c>
      <c r="K147" s="17">
        <f t="shared" si="12"/>
        <v>-30</v>
      </c>
      <c r="L147" s="17"/>
      <c r="M147" s="19" t="str">
        <f t="shared" si="14"/>
        <v/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3"/>
        <v>-3</v>
      </c>
      <c r="K148" s="17">
        <f t="shared" si="12"/>
        <v>-30</v>
      </c>
      <c r="L148" s="17"/>
      <c r="M148" s="19" t="str">
        <f t="shared" si="14"/>
        <v/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3"/>
        <v>-3</v>
      </c>
      <c r="K149" s="17">
        <f t="shared" si="12"/>
        <v>-30</v>
      </c>
      <c r="L149" s="17"/>
      <c r="M149" s="19" t="str">
        <f t="shared" si="14"/>
        <v/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3"/>
        <v>-3</v>
      </c>
      <c r="K150" s="17">
        <f t="shared" si="12"/>
        <v>-30</v>
      </c>
      <c r="L150" s="17"/>
      <c r="M150" s="19" t="str">
        <f t="shared" si="14"/>
        <v/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3"/>
        <v>-3</v>
      </c>
      <c r="K151" s="17">
        <f t="shared" si="12"/>
        <v>-30</v>
      </c>
      <c r="L151" s="17"/>
      <c r="M151" s="19" t="str">
        <f t="shared" si="14"/>
        <v/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3"/>
        <v>-3</v>
      </c>
      <c r="K152" s="17">
        <f t="shared" si="12"/>
        <v>-30</v>
      </c>
      <c r="L152" s="17"/>
      <c r="M152" s="19" t="str">
        <f t="shared" si="14"/>
        <v/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3"/>
        <v>-3</v>
      </c>
      <c r="K153" s="17">
        <f t="shared" si="12"/>
        <v>-30</v>
      </c>
      <c r="L153" s="17"/>
      <c r="M153" s="19" t="str">
        <f t="shared" si="14"/>
        <v/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3"/>
        <v>-3</v>
      </c>
      <c r="K154" s="17">
        <f t="shared" si="12"/>
        <v>-30</v>
      </c>
      <c r="L154" s="17"/>
      <c r="M154" s="19" t="str">
        <f t="shared" si="14"/>
        <v/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3"/>
        <v>-3</v>
      </c>
      <c r="K155" s="17">
        <f t="shared" si="12"/>
        <v>-30</v>
      </c>
      <c r="L155" s="17"/>
      <c r="M155" s="19" t="str">
        <f t="shared" si="14"/>
        <v/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3"/>
        <v>-3</v>
      </c>
      <c r="K156" s="17">
        <f t="shared" si="12"/>
        <v>-30</v>
      </c>
      <c r="L156" s="17"/>
      <c r="M156" s="19" t="str">
        <f t="shared" si="14"/>
        <v/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3"/>
        <v>-3</v>
      </c>
      <c r="K157" s="17">
        <f t="shared" si="12"/>
        <v>-30</v>
      </c>
      <c r="L157" s="17"/>
      <c r="M157" s="19" t="str">
        <f t="shared" si="14"/>
        <v/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3"/>
        <v>-3</v>
      </c>
      <c r="K158" s="17">
        <f t="shared" si="12"/>
        <v>-30</v>
      </c>
      <c r="L158" s="17"/>
      <c r="M158" s="19" t="str">
        <f t="shared" si="14"/>
        <v/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3"/>
        <v>-3</v>
      </c>
      <c r="K159" s="17">
        <f t="shared" si="12"/>
        <v>-30</v>
      </c>
      <c r="L159" s="17"/>
      <c r="M159" s="19" t="str">
        <f t="shared" si="14"/>
        <v/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3"/>
        <v>-3</v>
      </c>
      <c r="K160" s="17">
        <f t="shared" si="12"/>
        <v>-30</v>
      </c>
      <c r="L160" s="17"/>
      <c r="M160" s="19" t="str">
        <f t="shared" si="14"/>
        <v/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3"/>
        <v>-3</v>
      </c>
      <c r="K161" s="17">
        <f t="shared" si="12"/>
        <v>-30</v>
      </c>
      <c r="L161" s="17"/>
      <c r="M161" s="19" t="str">
        <f t="shared" si="14"/>
        <v/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3"/>
        <v>-3</v>
      </c>
      <c r="K162" s="17">
        <f t="shared" si="12"/>
        <v>-30</v>
      </c>
      <c r="L162" s="17"/>
      <c r="M162" s="19" t="str">
        <f t="shared" si="14"/>
        <v/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3"/>
        <v>-3</v>
      </c>
      <c r="K163" s="17">
        <f t="shared" si="12"/>
        <v>-30</v>
      </c>
      <c r="L163" s="17"/>
      <c r="M163" s="19" t="str">
        <f t="shared" si="14"/>
        <v/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3"/>
        <v>-3</v>
      </c>
      <c r="K164" s="17">
        <f t="shared" si="12"/>
        <v>-30</v>
      </c>
      <c r="L164" s="17"/>
      <c r="M164" s="19" t="str">
        <f t="shared" si="14"/>
        <v/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3"/>
        <v>-3</v>
      </c>
      <c r="K165" s="17">
        <f t="shared" si="12"/>
        <v>-30</v>
      </c>
      <c r="L165" s="17"/>
      <c r="M165" s="19" t="str">
        <f t="shared" si="14"/>
        <v/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3"/>
        <v>-3</v>
      </c>
      <c r="K166" s="17">
        <f t="shared" si="12"/>
        <v>-30</v>
      </c>
      <c r="L166" s="17"/>
      <c r="M166" s="19" t="str">
        <f t="shared" si="14"/>
        <v/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3"/>
        <v>-3</v>
      </c>
      <c r="K167" s="17">
        <f t="shared" si="12"/>
        <v>-30</v>
      </c>
      <c r="L167" s="17"/>
      <c r="M167" s="19" t="str">
        <f t="shared" si="14"/>
        <v/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3"/>
        <v>-3</v>
      </c>
      <c r="K168" s="17">
        <f t="shared" si="12"/>
        <v>-30</v>
      </c>
      <c r="L168" s="17"/>
      <c r="M168" s="19" t="str">
        <f t="shared" si="14"/>
        <v/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3"/>
        <v>-3</v>
      </c>
      <c r="K169" s="17">
        <f t="shared" si="12"/>
        <v>-30</v>
      </c>
      <c r="L169" s="17"/>
      <c r="M169" s="19" t="str">
        <f t="shared" si="14"/>
        <v/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3"/>
        <v>-3</v>
      </c>
      <c r="K170" s="17">
        <f t="shared" si="12"/>
        <v>-30</v>
      </c>
      <c r="L170" s="17"/>
      <c r="M170" s="19" t="str">
        <f t="shared" si="14"/>
        <v/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3"/>
        <v>-3</v>
      </c>
      <c r="K171" s="17">
        <f t="shared" si="12"/>
        <v>-30</v>
      </c>
      <c r="L171" s="17"/>
      <c r="M171" s="19" t="str">
        <f t="shared" si="14"/>
        <v/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3"/>
        <v>-3</v>
      </c>
      <c r="K172" s="17">
        <f t="shared" si="12"/>
        <v>-30</v>
      </c>
      <c r="L172" s="17"/>
      <c r="M172" s="19" t="str">
        <f t="shared" si="14"/>
        <v/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3"/>
        <v>-3</v>
      </c>
      <c r="K173" s="17">
        <f t="shared" si="12"/>
        <v>-30</v>
      </c>
      <c r="L173" s="17"/>
      <c r="M173" s="19" t="str">
        <f t="shared" si="14"/>
        <v/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3"/>
        <v>-3</v>
      </c>
      <c r="K174" s="17">
        <f t="shared" si="12"/>
        <v>-30</v>
      </c>
      <c r="L174" s="17"/>
      <c r="M174" s="19" t="str">
        <f t="shared" si="14"/>
        <v/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3"/>
        <v>-3</v>
      </c>
      <c r="K175" s="17">
        <f t="shared" si="12"/>
        <v>-30</v>
      </c>
      <c r="L175" s="17"/>
      <c r="M175" s="19" t="str">
        <f t="shared" si="14"/>
        <v/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3"/>
        <v>-3</v>
      </c>
      <c r="K176" s="17">
        <f t="shared" si="12"/>
        <v>-30</v>
      </c>
      <c r="L176" s="17"/>
      <c r="M176" s="19" t="str">
        <f t="shared" si="14"/>
        <v/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3"/>
        <v>-3</v>
      </c>
      <c r="K177" s="17">
        <f t="shared" si="12"/>
        <v>-30</v>
      </c>
      <c r="L177" s="17"/>
      <c r="M177" s="19" t="str">
        <f t="shared" si="14"/>
        <v/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3"/>
        <v>-3</v>
      </c>
      <c r="K178" s="17">
        <f t="shared" si="12"/>
        <v>-30</v>
      </c>
      <c r="L178" s="17"/>
      <c r="M178" s="19" t="str">
        <f t="shared" si="14"/>
        <v/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3"/>
        <v>-3</v>
      </c>
      <c r="K179" s="17">
        <f t="shared" si="12"/>
        <v>-30</v>
      </c>
      <c r="L179" s="17"/>
      <c r="M179" s="19" t="str">
        <f t="shared" si="14"/>
        <v/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3"/>
        <v>-3</v>
      </c>
      <c r="K180" s="17">
        <f t="shared" si="12"/>
        <v>-30</v>
      </c>
      <c r="L180" s="17"/>
      <c r="M180" s="19" t="str">
        <f t="shared" si="14"/>
        <v/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3"/>
        <v>-3</v>
      </c>
      <c r="K181" s="17">
        <f t="shared" si="12"/>
        <v>-30</v>
      </c>
      <c r="L181" s="17"/>
      <c r="M181" s="19" t="str">
        <f t="shared" si="14"/>
        <v/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3"/>
        <v>-3</v>
      </c>
      <c r="K182" s="17">
        <f t="shared" si="12"/>
        <v>-30</v>
      </c>
      <c r="L182" s="17"/>
      <c r="M182" s="19" t="str">
        <f t="shared" si="14"/>
        <v/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3"/>
        <v>-3</v>
      </c>
      <c r="K183" s="17">
        <f t="shared" si="12"/>
        <v>-30</v>
      </c>
      <c r="L183" s="17"/>
      <c r="M183" s="19" t="str">
        <f t="shared" si="14"/>
        <v/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3"/>
        <v>-3</v>
      </c>
      <c r="K184" s="17">
        <f t="shared" si="12"/>
        <v>-30</v>
      </c>
      <c r="L184" s="17"/>
      <c r="M184" s="19" t="str">
        <f t="shared" si="14"/>
        <v/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3"/>
        <v>-3</v>
      </c>
      <c r="K185" s="17">
        <f t="shared" si="12"/>
        <v>-30</v>
      </c>
      <c r="L185" s="17"/>
      <c r="M185" s="19" t="str">
        <f t="shared" si="14"/>
        <v/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3"/>
        <v>-3</v>
      </c>
      <c r="K186" s="17">
        <f t="shared" si="12"/>
        <v>-30</v>
      </c>
      <c r="L186" s="17"/>
      <c r="M186" s="19" t="str">
        <f t="shared" si="14"/>
        <v/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3"/>
        <v>-3</v>
      </c>
      <c r="K187" s="17">
        <f t="shared" si="12"/>
        <v>-30</v>
      </c>
      <c r="L187" s="17"/>
      <c r="M187" s="19" t="str">
        <f t="shared" si="14"/>
        <v/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3"/>
        <v>-3</v>
      </c>
      <c r="K188" s="17">
        <f t="shared" si="12"/>
        <v>-30</v>
      </c>
      <c r="L188" s="17"/>
      <c r="M188" s="19" t="str">
        <f t="shared" si="14"/>
        <v/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3"/>
        <v>-3</v>
      </c>
      <c r="K189" s="17">
        <f t="shared" si="12"/>
        <v>-30</v>
      </c>
      <c r="L189" s="17"/>
      <c r="M189" s="19" t="str">
        <f t="shared" si="14"/>
        <v/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3"/>
        <v>-3</v>
      </c>
      <c r="K190" s="17">
        <f t="shared" si="12"/>
        <v>-30</v>
      </c>
      <c r="L190" s="17"/>
      <c r="M190" s="19" t="str">
        <f t="shared" si="14"/>
        <v/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3"/>
        <v>-3</v>
      </c>
      <c r="K191" s="17">
        <f t="shared" si="12"/>
        <v>-30</v>
      </c>
      <c r="L191" s="17"/>
      <c r="M191" s="19" t="str">
        <f t="shared" si="14"/>
        <v/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3"/>
        <v>-3</v>
      </c>
      <c r="K192" s="17">
        <f t="shared" si="12"/>
        <v>-30</v>
      </c>
      <c r="L192" s="17"/>
      <c r="M192" s="19" t="str">
        <f t="shared" si="14"/>
        <v/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3"/>
        <v>-3</v>
      </c>
      <c r="K193" s="17">
        <f t="shared" si="12"/>
        <v>-30</v>
      </c>
      <c r="L193" s="17"/>
      <c r="M193" s="19" t="str">
        <f t="shared" si="14"/>
        <v/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3"/>
        <v>-3</v>
      </c>
      <c r="K194" s="17">
        <f t="shared" si="12"/>
        <v>-30</v>
      </c>
      <c r="L194" s="17"/>
      <c r="M194" s="19" t="str">
        <f t="shared" si="14"/>
        <v/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3"/>
        <v>-3</v>
      </c>
      <c r="K195" s="17">
        <f t="shared" si="12"/>
        <v>-30</v>
      </c>
      <c r="L195" s="17"/>
      <c r="M195" s="19" t="str">
        <f t="shared" si="14"/>
        <v/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3"/>
        <v>-3</v>
      </c>
      <c r="K196" s="17">
        <f t="shared" si="12"/>
        <v>-30</v>
      </c>
      <c r="L196" s="17"/>
      <c r="M196" s="19" t="str">
        <f t="shared" si="14"/>
        <v/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3"/>
        <v>-3</v>
      </c>
      <c r="K197" s="17">
        <f t="shared" si="12"/>
        <v>-30</v>
      </c>
      <c r="L197" s="17"/>
      <c r="M197" s="19" t="str">
        <f t="shared" si="14"/>
        <v/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3"/>
        <v>-3</v>
      </c>
      <c r="K198" s="17">
        <f t="shared" ref="K198:K261" si="16">J198*$J$2</f>
        <v>-30</v>
      </c>
      <c r="L198" s="17"/>
      <c r="M198" s="19" t="str">
        <f t="shared" si="14"/>
        <v/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7">INT(LOG($H$2,2))-ROUNDUP(LOG(H199,2),0)+IF(OR($H$2=1,$H$2=2,$H$2=4,$H$2=8,$H$2=16,$H$2=32,$H$2=64,$H$2=128,$H$2=256),0,1)</f>
        <v>-3</v>
      </c>
      <c r="K199" s="17">
        <f t="shared" si="16"/>
        <v>-30</v>
      </c>
      <c r="L199" s="17"/>
      <c r="M199" s="19" t="str">
        <f t="shared" ref="M199:M262" si="18">IF(I199&lt;&gt;"",K199+I199+L199,"")</f>
        <v/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7"/>
        <v>-3</v>
      </c>
      <c r="K200" s="17">
        <f t="shared" si="16"/>
        <v>-30</v>
      </c>
      <c r="L200" s="17"/>
      <c r="M200" s="19" t="str">
        <f t="shared" si="18"/>
        <v/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7"/>
        <v>-3</v>
      </c>
      <c r="K201" s="17">
        <f t="shared" si="16"/>
        <v>-30</v>
      </c>
      <c r="L201" s="17"/>
      <c r="M201" s="19" t="str">
        <f t="shared" si="18"/>
        <v/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7"/>
        <v>-3</v>
      </c>
      <c r="K202" s="17">
        <f t="shared" si="16"/>
        <v>-30</v>
      </c>
      <c r="L202" s="17"/>
      <c r="M202" s="19" t="str">
        <f t="shared" si="18"/>
        <v/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7"/>
        <v>-3</v>
      </c>
      <c r="K203" s="17">
        <f t="shared" si="16"/>
        <v>-30</v>
      </c>
      <c r="L203" s="17"/>
      <c r="M203" s="19" t="str">
        <f t="shared" si="18"/>
        <v/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7"/>
        <v>-3</v>
      </c>
      <c r="K204" s="17">
        <f t="shared" si="16"/>
        <v>-30</v>
      </c>
      <c r="L204" s="17"/>
      <c r="M204" s="19" t="str">
        <f t="shared" si="18"/>
        <v/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7"/>
        <v>-3</v>
      </c>
      <c r="K205" s="17">
        <f t="shared" si="16"/>
        <v>-30</v>
      </c>
      <c r="L205" s="17"/>
      <c r="M205" s="19" t="str">
        <f t="shared" si="18"/>
        <v/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7"/>
        <v>-3</v>
      </c>
      <c r="K206" s="17">
        <f t="shared" si="16"/>
        <v>-30</v>
      </c>
      <c r="L206" s="17"/>
      <c r="M206" s="19" t="str">
        <f t="shared" si="18"/>
        <v/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7"/>
        <v>-3</v>
      </c>
      <c r="K207" s="17">
        <f t="shared" si="16"/>
        <v>-30</v>
      </c>
      <c r="L207" s="17"/>
      <c r="M207" s="19" t="str">
        <f t="shared" si="18"/>
        <v/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7"/>
        <v>-3</v>
      </c>
      <c r="K208" s="17">
        <f t="shared" si="16"/>
        <v>-30</v>
      </c>
      <c r="L208" s="17"/>
      <c r="M208" s="19" t="str">
        <f t="shared" si="18"/>
        <v/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7"/>
        <v>-3</v>
      </c>
      <c r="K209" s="17">
        <f t="shared" si="16"/>
        <v>-30</v>
      </c>
      <c r="L209" s="17"/>
      <c r="M209" s="19" t="str">
        <f t="shared" si="18"/>
        <v/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7"/>
        <v>-3</v>
      </c>
      <c r="K210" s="17">
        <f t="shared" si="16"/>
        <v>-30</v>
      </c>
      <c r="L210" s="17"/>
      <c r="M210" s="19" t="str">
        <f t="shared" si="18"/>
        <v/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7"/>
        <v>-3</v>
      </c>
      <c r="K211" s="17">
        <f t="shared" si="16"/>
        <v>-30</v>
      </c>
      <c r="L211" s="17"/>
      <c r="M211" s="19" t="str">
        <f t="shared" si="18"/>
        <v/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7"/>
        <v>-3</v>
      </c>
      <c r="K212" s="17">
        <f t="shared" si="16"/>
        <v>-30</v>
      </c>
      <c r="L212" s="17"/>
      <c r="M212" s="19" t="str">
        <f t="shared" si="18"/>
        <v/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7"/>
        <v>-3</v>
      </c>
      <c r="K213" s="17">
        <f t="shared" si="16"/>
        <v>-30</v>
      </c>
      <c r="L213" s="17"/>
      <c r="M213" s="19" t="str">
        <f t="shared" si="18"/>
        <v/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7"/>
        <v>-3</v>
      </c>
      <c r="K214" s="17">
        <f t="shared" si="16"/>
        <v>-30</v>
      </c>
      <c r="L214" s="17"/>
      <c r="M214" s="19" t="str">
        <f t="shared" si="18"/>
        <v/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7"/>
        <v>-3</v>
      </c>
      <c r="K215" s="17">
        <f t="shared" si="16"/>
        <v>-30</v>
      </c>
      <c r="L215" s="17"/>
      <c r="M215" s="19" t="str">
        <f t="shared" si="18"/>
        <v/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7"/>
        <v>-3</v>
      </c>
      <c r="K216" s="17">
        <f t="shared" si="16"/>
        <v>-30</v>
      </c>
      <c r="L216" s="17"/>
      <c r="M216" s="19" t="str">
        <f t="shared" si="18"/>
        <v/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7"/>
        <v>-3</v>
      </c>
      <c r="K217" s="17">
        <f t="shared" si="16"/>
        <v>-30</v>
      </c>
      <c r="L217" s="17"/>
      <c r="M217" s="19" t="str">
        <f t="shared" si="18"/>
        <v/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7"/>
        <v>-3</v>
      </c>
      <c r="K218" s="17">
        <f t="shared" si="16"/>
        <v>-30</v>
      </c>
      <c r="L218" s="17"/>
      <c r="M218" s="19" t="str">
        <f t="shared" si="18"/>
        <v/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7"/>
        <v>-3</v>
      </c>
      <c r="K219" s="17">
        <f t="shared" si="16"/>
        <v>-30</v>
      </c>
      <c r="L219" s="17"/>
      <c r="M219" s="19" t="str">
        <f t="shared" si="18"/>
        <v/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7"/>
        <v>-3</v>
      </c>
      <c r="K220" s="17">
        <f t="shared" si="16"/>
        <v>-30</v>
      </c>
      <c r="L220" s="17"/>
      <c r="M220" s="19" t="str">
        <f t="shared" si="18"/>
        <v/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7"/>
        <v>-3</v>
      </c>
      <c r="K221" s="17">
        <f t="shared" si="16"/>
        <v>-30</v>
      </c>
      <c r="L221" s="17"/>
      <c r="M221" s="19" t="str">
        <f t="shared" si="18"/>
        <v/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7"/>
        <v>-3</v>
      </c>
      <c r="K222" s="17">
        <f t="shared" si="16"/>
        <v>-30</v>
      </c>
      <c r="L222" s="17"/>
      <c r="M222" s="19" t="str">
        <f t="shared" si="18"/>
        <v/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7"/>
        <v>-3</v>
      </c>
      <c r="K223" s="17">
        <f t="shared" si="16"/>
        <v>-30</v>
      </c>
      <c r="L223" s="17"/>
      <c r="M223" s="19" t="str">
        <f t="shared" si="18"/>
        <v/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7"/>
        <v>-3</v>
      </c>
      <c r="K224" s="17">
        <f t="shared" si="16"/>
        <v>-30</v>
      </c>
      <c r="L224" s="17"/>
      <c r="M224" s="19" t="str">
        <f t="shared" si="18"/>
        <v/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7"/>
        <v>-3</v>
      </c>
      <c r="K225" s="17">
        <f t="shared" si="16"/>
        <v>-30</v>
      </c>
      <c r="L225" s="17"/>
      <c r="M225" s="19" t="str">
        <f t="shared" si="18"/>
        <v/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7"/>
        <v>-3</v>
      </c>
      <c r="K226" s="17">
        <f t="shared" si="16"/>
        <v>-30</v>
      </c>
      <c r="L226" s="17"/>
      <c r="M226" s="19" t="str">
        <f t="shared" si="18"/>
        <v/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7"/>
        <v>-3</v>
      </c>
      <c r="K227" s="17">
        <f t="shared" si="16"/>
        <v>-30</v>
      </c>
      <c r="L227" s="17"/>
      <c r="M227" s="19" t="str">
        <f t="shared" si="18"/>
        <v/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7"/>
        <v>-3</v>
      </c>
      <c r="K228" s="17">
        <f t="shared" si="16"/>
        <v>-30</v>
      </c>
      <c r="L228" s="17"/>
      <c r="M228" s="19" t="str">
        <f t="shared" si="18"/>
        <v/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7"/>
        <v>-3</v>
      </c>
      <c r="K229" s="17">
        <f t="shared" si="16"/>
        <v>-30</v>
      </c>
      <c r="L229" s="17"/>
      <c r="M229" s="19" t="str">
        <f t="shared" si="18"/>
        <v/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7"/>
        <v>-3</v>
      </c>
      <c r="K230" s="17">
        <f t="shared" si="16"/>
        <v>-30</v>
      </c>
      <c r="L230" s="17"/>
      <c r="M230" s="19" t="str">
        <f t="shared" si="18"/>
        <v/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7"/>
        <v>-3</v>
      </c>
      <c r="K231" s="17">
        <f t="shared" si="16"/>
        <v>-30</v>
      </c>
      <c r="L231" s="17"/>
      <c r="M231" s="19" t="str">
        <f t="shared" si="18"/>
        <v/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7"/>
        <v>-3</v>
      </c>
      <c r="K232" s="17">
        <f t="shared" si="16"/>
        <v>-30</v>
      </c>
      <c r="L232" s="17"/>
      <c r="M232" s="19" t="str">
        <f t="shared" si="18"/>
        <v/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7"/>
        <v>-3</v>
      </c>
      <c r="K233" s="17">
        <f t="shared" si="16"/>
        <v>-30</v>
      </c>
      <c r="L233" s="17"/>
      <c r="M233" s="19" t="str">
        <f t="shared" si="18"/>
        <v/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7"/>
        <v>-3</v>
      </c>
      <c r="K234" s="17">
        <f t="shared" si="16"/>
        <v>-30</v>
      </c>
      <c r="L234" s="17"/>
      <c r="M234" s="19" t="str">
        <f t="shared" si="18"/>
        <v/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7"/>
        <v>-3</v>
      </c>
      <c r="K235" s="17">
        <f t="shared" si="16"/>
        <v>-30</v>
      </c>
      <c r="L235" s="17"/>
      <c r="M235" s="19" t="str">
        <f t="shared" si="18"/>
        <v/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7"/>
        <v>-3</v>
      </c>
      <c r="K236" s="17">
        <f t="shared" si="16"/>
        <v>-30</v>
      </c>
      <c r="L236" s="17"/>
      <c r="M236" s="19" t="str">
        <f t="shared" si="18"/>
        <v/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7"/>
        <v>-3</v>
      </c>
      <c r="K237" s="17">
        <f t="shared" si="16"/>
        <v>-30</v>
      </c>
      <c r="L237" s="17"/>
      <c r="M237" s="19" t="str">
        <f t="shared" si="18"/>
        <v/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7"/>
        <v>-3</v>
      </c>
      <c r="K238" s="17">
        <f t="shared" si="16"/>
        <v>-30</v>
      </c>
      <c r="L238" s="17"/>
      <c r="M238" s="19" t="str">
        <f t="shared" si="18"/>
        <v/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7"/>
        <v>-3</v>
      </c>
      <c r="K239" s="17">
        <f t="shared" si="16"/>
        <v>-30</v>
      </c>
      <c r="L239" s="17"/>
      <c r="M239" s="19" t="str">
        <f t="shared" si="18"/>
        <v/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7"/>
        <v>-3</v>
      </c>
      <c r="K240" s="17">
        <f t="shared" si="16"/>
        <v>-30</v>
      </c>
      <c r="L240" s="17"/>
      <c r="M240" s="19" t="str">
        <f t="shared" si="18"/>
        <v/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7"/>
        <v>-3</v>
      </c>
      <c r="K241" s="17">
        <f t="shared" si="16"/>
        <v>-30</v>
      </c>
      <c r="L241" s="17"/>
      <c r="M241" s="19" t="str">
        <f t="shared" si="18"/>
        <v/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7"/>
        <v>-3</v>
      </c>
      <c r="K242" s="17">
        <f t="shared" si="16"/>
        <v>-30</v>
      </c>
      <c r="L242" s="17"/>
      <c r="M242" s="19" t="str">
        <f t="shared" si="18"/>
        <v/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7"/>
        <v>-3</v>
      </c>
      <c r="K243" s="17">
        <f t="shared" si="16"/>
        <v>-30</v>
      </c>
      <c r="L243" s="17"/>
      <c r="M243" s="19" t="str">
        <f t="shared" si="18"/>
        <v/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7"/>
        <v>-3</v>
      </c>
      <c r="K244" s="17">
        <f t="shared" si="16"/>
        <v>-30</v>
      </c>
      <c r="L244" s="17"/>
      <c r="M244" s="19" t="str">
        <f t="shared" si="18"/>
        <v/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7"/>
        <v>-3</v>
      </c>
      <c r="K245" s="17">
        <f t="shared" si="16"/>
        <v>-30</v>
      </c>
      <c r="L245" s="17"/>
      <c r="M245" s="19" t="str">
        <f t="shared" si="18"/>
        <v/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7"/>
        <v>-3</v>
      </c>
      <c r="K246" s="17">
        <f t="shared" si="16"/>
        <v>-30</v>
      </c>
      <c r="L246" s="17"/>
      <c r="M246" s="19" t="str">
        <f t="shared" si="18"/>
        <v/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7"/>
        <v>-3</v>
      </c>
      <c r="K247" s="17">
        <f t="shared" si="16"/>
        <v>-30</v>
      </c>
      <c r="L247" s="17"/>
      <c r="M247" s="19" t="str">
        <f t="shared" si="18"/>
        <v/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7"/>
        <v>-3</v>
      </c>
      <c r="K248" s="17">
        <f t="shared" si="16"/>
        <v>-30</v>
      </c>
      <c r="L248" s="17"/>
      <c r="M248" s="19" t="str">
        <f t="shared" si="18"/>
        <v/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7"/>
        <v>-3</v>
      </c>
      <c r="K249" s="17">
        <f t="shared" si="16"/>
        <v>-30</v>
      </c>
      <c r="L249" s="17"/>
      <c r="M249" s="19" t="str">
        <f t="shared" si="18"/>
        <v/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7"/>
        <v>-3</v>
      </c>
      <c r="K250" s="17">
        <f t="shared" si="16"/>
        <v>-30</v>
      </c>
      <c r="L250" s="17"/>
      <c r="M250" s="19" t="str">
        <f t="shared" si="18"/>
        <v/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7"/>
        <v>-3</v>
      </c>
      <c r="K251" s="17">
        <f t="shared" si="16"/>
        <v>-30</v>
      </c>
      <c r="L251" s="17"/>
      <c r="M251" s="19" t="str">
        <f t="shared" si="18"/>
        <v/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7"/>
        <v>-3</v>
      </c>
      <c r="K252" s="17">
        <f t="shared" si="16"/>
        <v>-30</v>
      </c>
      <c r="L252" s="17"/>
      <c r="M252" s="19" t="str">
        <f t="shared" si="18"/>
        <v/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7"/>
        <v>-3</v>
      </c>
      <c r="K253" s="17">
        <f t="shared" si="16"/>
        <v>-30</v>
      </c>
      <c r="L253" s="17"/>
      <c r="M253" s="19" t="str">
        <f t="shared" si="18"/>
        <v/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7"/>
        <v>-3</v>
      </c>
      <c r="K254" s="17">
        <f t="shared" si="16"/>
        <v>-30</v>
      </c>
      <c r="L254" s="17"/>
      <c r="M254" s="19" t="str">
        <f t="shared" si="18"/>
        <v/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7"/>
        <v>-3</v>
      </c>
      <c r="K255" s="17">
        <f t="shared" si="16"/>
        <v>-30</v>
      </c>
      <c r="L255" s="17"/>
      <c r="M255" s="19" t="str">
        <f t="shared" si="18"/>
        <v/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7"/>
        <v>-3</v>
      </c>
      <c r="K256" s="17">
        <f t="shared" si="16"/>
        <v>-30</v>
      </c>
      <c r="L256" s="17"/>
      <c r="M256" s="19" t="str">
        <f t="shared" si="18"/>
        <v/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7"/>
        <v>-3</v>
      </c>
      <c r="K257" s="17">
        <f t="shared" si="16"/>
        <v>-30</v>
      </c>
      <c r="L257" s="17"/>
      <c r="M257" s="19" t="str">
        <f t="shared" si="18"/>
        <v/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7"/>
        <v>-3</v>
      </c>
      <c r="K258" s="17">
        <f t="shared" si="16"/>
        <v>-30</v>
      </c>
      <c r="L258" s="17"/>
      <c r="M258" s="19" t="str">
        <f t="shared" si="18"/>
        <v/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7"/>
        <v>-3</v>
      </c>
      <c r="K259" s="17">
        <f t="shared" si="16"/>
        <v>-30</v>
      </c>
      <c r="L259" s="17"/>
      <c r="M259" s="19" t="str">
        <f t="shared" si="18"/>
        <v/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7"/>
        <v>-3</v>
      </c>
      <c r="K260" s="17">
        <f t="shared" si="16"/>
        <v>-30</v>
      </c>
      <c r="L260" s="17"/>
      <c r="M260" s="19" t="str">
        <f t="shared" si="18"/>
        <v/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7"/>
        <v>-3</v>
      </c>
      <c r="K261" s="17">
        <f t="shared" si="16"/>
        <v>-30</v>
      </c>
      <c r="L261" s="17"/>
      <c r="M261" s="19" t="str">
        <f t="shared" si="18"/>
        <v/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7"/>
        <v>-4</v>
      </c>
      <c r="K262" s="17">
        <f t="shared" ref="K262:K305" si="20">J262*$J$2</f>
        <v>-40</v>
      </c>
      <c r="L262" s="17"/>
      <c r="M262" s="19" t="str">
        <f t="shared" si="18"/>
        <v/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1">INT(LOG($H$2,2))-ROUNDUP(LOG(H263,2),0)+IF(OR($H$2=1,$H$2=2,$H$2=4,$H$2=8,$H$2=16,$H$2=32,$H$2=64,$H$2=128,$H$2=256),0,1)</f>
        <v>-4</v>
      </c>
      <c r="K263" s="17">
        <f t="shared" si="20"/>
        <v>-40</v>
      </c>
      <c r="L263" s="17"/>
      <c r="M263" s="19" t="str">
        <f t="shared" ref="M263:M305" si="22">IF(I263&lt;&gt;"",K263+I263+L263,"")</f>
        <v/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1"/>
        <v>-4</v>
      </c>
      <c r="K264" s="17">
        <f t="shared" si="20"/>
        <v>-40</v>
      </c>
      <c r="L264" s="17"/>
      <c r="M264" s="19" t="str">
        <f t="shared" si="22"/>
        <v/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1"/>
        <v>-4</v>
      </c>
      <c r="K265" s="17">
        <f t="shared" si="20"/>
        <v>-40</v>
      </c>
      <c r="L265" s="17"/>
      <c r="M265" s="19" t="str">
        <f t="shared" si="22"/>
        <v/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1"/>
        <v>-4</v>
      </c>
      <c r="K266" s="17">
        <f t="shared" si="20"/>
        <v>-40</v>
      </c>
      <c r="L266" s="17"/>
      <c r="M266" s="19" t="str">
        <f t="shared" si="22"/>
        <v/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1"/>
        <v>-4</v>
      </c>
      <c r="K267" s="17">
        <f t="shared" si="20"/>
        <v>-40</v>
      </c>
      <c r="L267" s="17"/>
      <c r="M267" s="19" t="str">
        <f t="shared" si="22"/>
        <v/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1"/>
        <v>-4</v>
      </c>
      <c r="K268" s="17">
        <f t="shared" si="20"/>
        <v>-40</v>
      </c>
      <c r="L268" s="17"/>
      <c r="M268" s="19" t="str">
        <f t="shared" si="22"/>
        <v/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1"/>
        <v>-4</v>
      </c>
      <c r="K269" s="17">
        <f t="shared" si="20"/>
        <v>-40</v>
      </c>
      <c r="L269" s="17"/>
      <c r="M269" s="19" t="str">
        <f t="shared" si="22"/>
        <v/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1"/>
        <v>-4</v>
      </c>
      <c r="K270" s="17">
        <f t="shared" si="20"/>
        <v>-40</v>
      </c>
      <c r="L270" s="17"/>
      <c r="M270" s="19" t="str">
        <f t="shared" si="22"/>
        <v/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1"/>
        <v>-4</v>
      </c>
      <c r="K271" s="17">
        <f t="shared" si="20"/>
        <v>-40</v>
      </c>
      <c r="L271" s="17"/>
      <c r="M271" s="19" t="str">
        <f t="shared" si="22"/>
        <v/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1"/>
        <v>-4</v>
      </c>
      <c r="K272" s="17">
        <f t="shared" si="20"/>
        <v>-40</v>
      </c>
      <c r="L272" s="17"/>
      <c r="M272" s="19" t="str">
        <f t="shared" si="22"/>
        <v/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1"/>
        <v>-4</v>
      </c>
      <c r="K273" s="17">
        <f t="shared" si="20"/>
        <v>-40</v>
      </c>
      <c r="L273" s="17"/>
      <c r="M273" s="19" t="str">
        <f t="shared" si="22"/>
        <v/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1"/>
        <v>-4</v>
      </c>
      <c r="K274" s="17">
        <f t="shared" si="20"/>
        <v>-40</v>
      </c>
      <c r="L274" s="17"/>
      <c r="M274" s="19" t="str">
        <f t="shared" si="22"/>
        <v/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1"/>
        <v>-4</v>
      </c>
      <c r="K275" s="17">
        <f t="shared" si="20"/>
        <v>-40</v>
      </c>
      <c r="L275" s="17"/>
      <c r="M275" s="19" t="str">
        <f t="shared" si="22"/>
        <v/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1"/>
        <v>-4</v>
      </c>
      <c r="K276" s="17">
        <f t="shared" si="20"/>
        <v>-40</v>
      </c>
      <c r="L276" s="17"/>
      <c r="M276" s="19" t="str">
        <f t="shared" si="22"/>
        <v/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1"/>
        <v>-4</v>
      </c>
      <c r="K277" s="17">
        <f t="shared" si="20"/>
        <v>-40</v>
      </c>
      <c r="L277" s="17"/>
      <c r="M277" s="19" t="str">
        <f t="shared" si="22"/>
        <v/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1"/>
        <v>-4</v>
      </c>
      <c r="K278" s="17">
        <f t="shared" si="20"/>
        <v>-40</v>
      </c>
      <c r="L278" s="17"/>
      <c r="M278" s="19" t="str">
        <f t="shared" si="22"/>
        <v/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1"/>
        <v>-4</v>
      </c>
      <c r="K279" s="17">
        <f t="shared" si="20"/>
        <v>-40</v>
      </c>
      <c r="L279" s="17"/>
      <c r="M279" s="19" t="str">
        <f t="shared" si="22"/>
        <v/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1"/>
        <v>-4</v>
      </c>
      <c r="K280" s="17">
        <f t="shared" si="20"/>
        <v>-40</v>
      </c>
      <c r="L280" s="17"/>
      <c r="M280" s="19" t="str">
        <f t="shared" si="22"/>
        <v/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1"/>
        <v>-4</v>
      </c>
      <c r="K281" s="17">
        <f t="shared" si="20"/>
        <v>-40</v>
      </c>
      <c r="L281" s="17"/>
      <c r="M281" s="19" t="str">
        <f t="shared" si="22"/>
        <v/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1"/>
        <v>-4</v>
      </c>
      <c r="K282" s="17">
        <f t="shared" si="20"/>
        <v>-40</v>
      </c>
      <c r="L282" s="17"/>
      <c r="M282" s="19" t="str">
        <f t="shared" si="22"/>
        <v/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1"/>
        <v>-4</v>
      </c>
      <c r="K283" s="17">
        <f t="shared" si="20"/>
        <v>-40</v>
      </c>
      <c r="L283" s="17"/>
      <c r="M283" s="19" t="str">
        <f t="shared" si="22"/>
        <v/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1"/>
        <v>-4</v>
      </c>
      <c r="K284" s="17">
        <f t="shared" si="20"/>
        <v>-40</v>
      </c>
      <c r="L284" s="17"/>
      <c r="M284" s="19" t="str">
        <f t="shared" si="22"/>
        <v/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1"/>
        <v>-4</v>
      </c>
      <c r="K285" s="17">
        <f t="shared" si="20"/>
        <v>-40</v>
      </c>
      <c r="L285" s="17"/>
      <c r="M285" s="19" t="str">
        <f t="shared" si="22"/>
        <v/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1"/>
        <v>-4</v>
      </c>
      <c r="K286" s="17">
        <f t="shared" si="20"/>
        <v>-40</v>
      </c>
      <c r="L286" s="17"/>
      <c r="M286" s="19" t="str">
        <f t="shared" si="22"/>
        <v/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1"/>
        <v>-4</v>
      </c>
      <c r="K287" s="17">
        <f t="shared" si="20"/>
        <v>-40</v>
      </c>
      <c r="L287" s="17"/>
      <c r="M287" s="19" t="str">
        <f t="shared" si="22"/>
        <v/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1"/>
        <v>-4</v>
      </c>
      <c r="K288" s="17">
        <f t="shared" si="20"/>
        <v>-40</v>
      </c>
      <c r="L288" s="17"/>
      <c r="M288" s="19" t="str">
        <f t="shared" si="22"/>
        <v/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1"/>
        <v>-4</v>
      </c>
      <c r="K289" s="17">
        <f t="shared" si="20"/>
        <v>-40</v>
      </c>
      <c r="L289" s="17"/>
      <c r="M289" s="19" t="str">
        <f t="shared" si="22"/>
        <v/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1"/>
        <v>-4</v>
      </c>
      <c r="K290" s="17">
        <f t="shared" si="20"/>
        <v>-40</v>
      </c>
      <c r="L290" s="17"/>
      <c r="M290" s="19" t="str">
        <f t="shared" si="22"/>
        <v/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1"/>
        <v>-4</v>
      </c>
      <c r="K291" s="17">
        <f t="shared" si="20"/>
        <v>-40</v>
      </c>
      <c r="L291" s="17"/>
      <c r="M291" s="19" t="str">
        <f t="shared" si="22"/>
        <v/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1"/>
        <v>-4</v>
      </c>
      <c r="K292" s="17">
        <f t="shared" si="20"/>
        <v>-40</v>
      </c>
      <c r="L292" s="17"/>
      <c r="M292" s="19" t="str">
        <f t="shared" si="22"/>
        <v/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1"/>
        <v>-4</v>
      </c>
      <c r="K293" s="17">
        <f t="shared" si="20"/>
        <v>-40</v>
      </c>
      <c r="L293" s="17"/>
      <c r="M293" s="19" t="str">
        <f t="shared" si="22"/>
        <v/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1"/>
        <v>-4</v>
      </c>
      <c r="K294" s="17">
        <f t="shared" si="20"/>
        <v>-40</v>
      </c>
      <c r="L294" s="17"/>
      <c r="M294" s="19" t="str">
        <f t="shared" si="22"/>
        <v/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1"/>
        <v>-4</v>
      </c>
      <c r="K295" s="17">
        <f t="shared" si="20"/>
        <v>-40</v>
      </c>
      <c r="L295" s="17"/>
      <c r="M295" s="19" t="str">
        <f t="shared" si="22"/>
        <v/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1"/>
        <v>-4</v>
      </c>
      <c r="K296" s="17">
        <f t="shared" si="20"/>
        <v>-40</v>
      </c>
      <c r="L296" s="17"/>
      <c r="M296" s="19" t="str">
        <f t="shared" si="22"/>
        <v/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1"/>
        <v>-4</v>
      </c>
      <c r="K297" s="17">
        <f t="shared" si="20"/>
        <v>-40</v>
      </c>
      <c r="L297" s="17"/>
      <c r="M297" s="19" t="str">
        <f t="shared" si="22"/>
        <v/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1"/>
        <v>-4</v>
      </c>
      <c r="K298" s="17">
        <f t="shared" si="20"/>
        <v>-40</v>
      </c>
      <c r="L298" s="17"/>
      <c r="M298" s="19" t="str">
        <f t="shared" si="22"/>
        <v/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1"/>
        <v>-4</v>
      </c>
      <c r="K299" s="17">
        <f t="shared" si="20"/>
        <v>-40</v>
      </c>
      <c r="L299" s="17"/>
      <c r="M299" s="19" t="str">
        <f t="shared" si="22"/>
        <v/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1"/>
        <v>-4</v>
      </c>
      <c r="K300" s="17">
        <f t="shared" si="20"/>
        <v>-40</v>
      </c>
      <c r="L300" s="17"/>
      <c r="M300" s="19" t="str">
        <f t="shared" si="22"/>
        <v/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1"/>
        <v>-4</v>
      </c>
      <c r="K301" s="17">
        <f t="shared" si="20"/>
        <v>-40</v>
      </c>
      <c r="L301" s="17"/>
      <c r="M301" s="19" t="str">
        <f t="shared" si="22"/>
        <v/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1"/>
        <v>-4</v>
      </c>
      <c r="K302" s="17">
        <f t="shared" si="20"/>
        <v>-40</v>
      </c>
      <c r="L302" s="17"/>
      <c r="M302" s="19" t="str">
        <f t="shared" si="22"/>
        <v/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1"/>
        <v>-4</v>
      </c>
      <c r="K303" s="17">
        <f t="shared" si="20"/>
        <v>-40</v>
      </c>
      <c r="L303" s="17"/>
      <c r="M303" s="19" t="str">
        <f t="shared" si="22"/>
        <v/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1"/>
        <v>-4</v>
      </c>
      <c r="K304" s="17">
        <f t="shared" si="20"/>
        <v>-40</v>
      </c>
      <c r="L304" s="17"/>
      <c r="M304" s="19" t="str">
        <f t="shared" si="22"/>
        <v/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1"/>
        <v>-4</v>
      </c>
      <c r="K305" s="17">
        <f t="shared" si="20"/>
        <v>-40</v>
      </c>
      <c r="L305" s="17"/>
      <c r="M305" s="19" t="str">
        <f t="shared" si="22"/>
        <v/>
      </c>
    </row>
    <row r="306" spans="1:16">
      <c r="A306" s="43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9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6447-0A3E-1F4A-8154-2844CAA709C1}">
  <sheetPr>
    <tabColor theme="2" tint="-0.499984740745262"/>
  </sheetPr>
  <dimension ref="A1:AL374"/>
  <sheetViews>
    <sheetView zoomScaleNormal="100" workbookViewId="0">
      <selection activeCell="N20" sqref="N20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208</v>
      </c>
      <c r="D2" s="141"/>
      <c r="E2" s="6"/>
      <c r="F2" s="6"/>
      <c r="G2" s="6"/>
      <c r="H2" s="14">
        <v>4</v>
      </c>
      <c r="I2" s="68">
        <v>50</v>
      </c>
      <c r="J2" s="68">
        <v>10</v>
      </c>
      <c r="K2" s="76">
        <f>3*H2^(1/3)</f>
        <v>4.7622031559045981</v>
      </c>
      <c r="L2" s="13"/>
      <c r="M2" s="13"/>
    </row>
    <row r="3" spans="1:34">
      <c r="A3" s="77"/>
      <c r="B3" s="48" t="s">
        <v>37</v>
      </c>
      <c r="C3" s="128">
        <v>44618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0</v>
      </c>
      <c r="B6" s="36"/>
      <c r="C6" s="24"/>
      <c r="D6" s="24"/>
      <c r="E6" s="24"/>
      <c r="F6" s="81"/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2</v>
      </c>
      <c r="K6" s="17">
        <f t="shared" ref="K6:K69" si="1">J6*$J$2</f>
        <v>20</v>
      </c>
      <c r="L6" s="19">
        <f>3*K2</f>
        <v>14.286609467713795</v>
      </c>
      <c r="M6" s="18">
        <f>IF(I6&lt;&gt;"",K6+I6+L6,"")</f>
        <v>84.286609467713788</v>
      </c>
    </row>
    <row r="7" spans="1:34" ht="14.45" customHeight="1">
      <c r="A7" s="40">
        <f t="shared" ref="A7:A65" si="2">F7</f>
        <v>0</v>
      </c>
      <c r="B7" s="35"/>
      <c r="C7" s="25"/>
      <c r="D7" s="25"/>
      <c r="E7" s="25"/>
      <c r="F7" s="82"/>
      <c r="G7" s="8"/>
      <c r="H7" s="44">
        <v>2</v>
      </c>
      <c r="I7" s="45">
        <f t="shared" si="0"/>
        <v>25.5</v>
      </c>
      <c r="J7" s="44">
        <f t="shared" ref="J7:J70" si="3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9.5244063118091962</v>
      </c>
      <c r="M7" s="45">
        <f t="shared" ref="M7:M70" si="4">IF(I7&lt;&gt;"",K7+I7+L7,"")</f>
        <v>45.024406311809194</v>
      </c>
    </row>
    <row r="8" spans="1:34" ht="14.45" customHeight="1">
      <c r="A8" s="39">
        <f t="shared" si="2"/>
        <v>0</v>
      </c>
      <c r="B8" s="36"/>
      <c r="C8" s="24"/>
      <c r="D8" s="24"/>
      <c r="E8" s="24"/>
      <c r="F8" s="81"/>
      <c r="G8" s="8"/>
      <c r="H8" s="17">
        <v>3</v>
      </c>
      <c r="I8" s="18">
        <f t="shared" si="0"/>
        <v>11.168418732331673</v>
      </c>
      <c r="J8" s="17">
        <f t="shared" si="3"/>
        <v>0</v>
      </c>
      <c r="K8" s="17">
        <f t="shared" si="1"/>
        <v>0</v>
      </c>
      <c r="L8" s="19">
        <f>K2</f>
        <v>4.7622031559045981</v>
      </c>
      <c r="M8" s="18">
        <f t="shared" si="4"/>
        <v>15.930621888236271</v>
      </c>
    </row>
    <row r="9" spans="1:34" ht="14.45" customHeight="1">
      <c r="A9" s="40">
        <f t="shared" si="2"/>
        <v>0</v>
      </c>
      <c r="B9" s="35"/>
      <c r="C9" s="25"/>
      <c r="D9" s="25"/>
      <c r="E9" s="25"/>
      <c r="F9" s="82"/>
      <c r="G9" s="8"/>
      <c r="H9" s="44">
        <v>4</v>
      </c>
      <c r="I9" s="45">
        <f>IF(H9&lt;$H$2+1,($I$2-($I$2-1)*(LOG(H8)/LOG($H$2))),"")</f>
        <v>11.168418732331673</v>
      </c>
      <c r="J9" s="44">
        <f t="shared" si="3"/>
        <v>0</v>
      </c>
      <c r="K9" s="44">
        <f t="shared" si="1"/>
        <v>0</v>
      </c>
      <c r="L9" s="46">
        <f>K2</f>
        <v>4.7622031559045981</v>
      </c>
      <c r="M9" s="45">
        <f t="shared" si="4"/>
        <v>15.930621888236271</v>
      </c>
      <c r="V9" s="27"/>
      <c r="Z9" s="28"/>
      <c r="AA9" s="28"/>
      <c r="AG9" s="29"/>
    </row>
    <row r="10" spans="1:34" ht="14.45" customHeight="1">
      <c r="A10" s="39">
        <f t="shared" si="2"/>
        <v>0</v>
      </c>
      <c r="B10" s="36"/>
      <c r="C10" s="24"/>
      <c r="D10" s="24"/>
      <c r="E10" s="24"/>
      <c r="F10" s="81"/>
      <c r="G10" s="8"/>
      <c r="H10" s="17">
        <v>5</v>
      </c>
      <c r="I10" s="18" t="str">
        <f t="shared" si="0"/>
        <v/>
      </c>
      <c r="J10" s="17">
        <f t="shared" si="3"/>
        <v>-1</v>
      </c>
      <c r="K10" s="17">
        <f t="shared" si="1"/>
        <v>-10</v>
      </c>
      <c r="L10" s="17"/>
      <c r="M10" s="18" t="str">
        <f t="shared" si="4"/>
        <v/>
      </c>
      <c r="V10" s="27"/>
      <c r="Z10" s="28"/>
      <c r="AA10" s="28"/>
      <c r="AG10" s="29"/>
    </row>
    <row r="11" spans="1:34" ht="14.45" customHeight="1">
      <c r="A11" s="40">
        <f t="shared" si="2"/>
        <v>0</v>
      </c>
      <c r="B11" s="35"/>
      <c r="C11" s="25"/>
      <c r="D11" s="25"/>
      <c r="E11" s="25"/>
      <c r="F11" s="82"/>
      <c r="G11" s="8"/>
      <c r="H11" s="44">
        <v>6</v>
      </c>
      <c r="I11" s="45" t="str">
        <f t="shared" si="0"/>
        <v/>
      </c>
      <c r="J11" s="44">
        <f t="shared" si="3"/>
        <v>-1</v>
      </c>
      <c r="K11" s="44">
        <f t="shared" si="1"/>
        <v>-10</v>
      </c>
      <c r="L11" s="44"/>
      <c r="M11" s="45" t="str">
        <f t="shared" si="4"/>
        <v/>
      </c>
      <c r="V11" s="30"/>
      <c r="Z11" s="28"/>
      <c r="AA11" s="28"/>
      <c r="AG11" s="29"/>
    </row>
    <row r="12" spans="1:34" ht="14.45" customHeight="1">
      <c r="A12" s="39">
        <f t="shared" si="2"/>
        <v>0</v>
      </c>
      <c r="B12" s="36"/>
      <c r="C12" s="24"/>
      <c r="D12" s="24"/>
      <c r="E12" s="24"/>
      <c r="F12" s="81"/>
      <c r="G12" s="8"/>
      <c r="H12" s="17">
        <v>7</v>
      </c>
      <c r="I12" s="18" t="str">
        <f t="shared" si="0"/>
        <v/>
      </c>
      <c r="J12" s="17">
        <f t="shared" si="3"/>
        <v>-1</v>
      </c>
      <c r="K12" s="17">
        <f t="shared" si="1"/>
        <v>-10</v>
      </c>
      <c r="L12" s="17"/>
      <c r="M12" s="18" t="str">
        <f t="shared" si="4"/>
        <v/>
      </c>
      <c r="Z12" s="28"/>
      <c r="AA12" s="28"/>
      <c r="AG12" s="29"/>
    </row>
    <row r="13" spans="1:34" ht="14.45" customHeight="1">
      <c r="A13" s="41">
        <f t="shared" si="2"/>
        <v>0</v>
      </c>
      <c r="B13" s="35"/>
      <c r="C13" s="25"/>
      <c r="D13" s="25"/>
      <c r="E13" s="25"/>
      <c r="F13" s="82"/>
      <c r="G13" s="8"/>
      <c r="H13" s="44">
        <v>8</v>
      </c>
      <c r="I13" s="45" t="str">
        <f t="shared" si="0"/>
        <v/>
      </c>
      <c r="J13" s="44">
        <f t="shared" si="3"/>
        <v>-1</v>
      </c>
      <c r="K13" s="44">
        <f t="shared" si="1"/>
        <v>-10</v>
      </c>
      <c r="L13" s="44"/>
      <c r="M13" s="45" t="str">
        <f t="shared" si="4"/>
        <v/>
      </c>
      <c r="X13" s="27"/>
      <c r="AG13" s="29"/>
    </row>
    <row r="14" spans="1:34">
      <c r="A14" s="42">
        <f t="shared" si="2"/>
        <v>0</v>
      </c>
      <c r="B14" s="36"/>
      <c r="C14" s="24"/>
      <c r="D14" s="24"/>
      <c r="E14" s="24"/>
      <c r="F14" s="81"/>
      <c r="G14" s="8"/>
      <c r="H14" s="17">
        <v>9</v>
      </c>
      <c r="I14" s="18" t="str">
        <f t="shared" si="0"/>
        <v/>
      </c>
      <c r="J14" s="17">
        <f t="shared" si="3"/>
        <v>-2</v>
      </c>
      <c r="K14" s="17">
        <f t="shared" si="1"/>
        <v>-20</v>
      </c>
      <c r="L14" s="17"/>
      <c r="M14" s="18" t="str">
        <f t="shared" si="4"/>
        <v/>
      </c>
      <c r="X14" s="31"/>
      <c r="Z14" s="28"/>
      <c r="AA14" s="28"/>
      <c r="AG14" s="29"/>
    </row>
    <row r="15" spans="1:34">
      <c r="A15" s="41">
        <f t="shared" si="2"/>
        <v>0</v>
      </c>
      <c r="B15" s="35"/>
      <c r="C15" s="25"/>
      <c r="D15" s="25"/>
      <c r="E15" s="25"/>
      <c r="F15" s="82"/>
      <c r="G15" s="8"/>
      <c r="H15" s="44">
        <v>10</v>
      </c>
      <c r="I15" s="45" t="str">
        <f t="shared" si="0"/>
        <v/>
      </c>
      <c r="J15" s="44">
        <f t="shared" si="3"/>
        <v>-2</v>
      </c>
      <c r="K15" s="44">
        <f t="shared" si="1"/>
        <v>-20</v>
      </c>
      <c r="L15" s="44"/>
      <c r="M15" s="45" t="str">
        <f t="shared" si="4"/>
        <v/>
      </c>
      <c r="X15" s="27"/>
      <c r="Z15" s="28"/>
      <c r="AA15" s="28"/>
    </row>
    <row r="16" spans="1:34">
      <c r="A16" s="42">
        <f t="shared" si="2"/>
        <v>0</v>
      </c>
      <c r="B16" s="36"/>
      <c r="C16" s="24"/>
      <c r="D16" s="24"/>
      <c r="E16" s="24"/>
      <c r="F16" s="81"/>
      <c r="G16" s="8"/>
      <c r="H16" s="17">
        <v>11</v>
      </c>
      <c r="I16" s="18" t="str">
        <f t="shared" si="0"/>
        <v/>
      </c>
      <c r="J16" s="17">
        <f t="shared" si="3"/>
        <v>-2</v>
      </c>
      <c r="K16" s="17">
        <f t="shared" si="1"/>
        <v>-20</v>
      </c>
      <c r="L16" s="17"/>
      <c r="M16" s="18" t="str">
        <f t="shared" si="4"/>
        <v/>
      </c>
      <c r="R16" s="49"/>
      <c r="Z16" s="28"/>
      <c r="AA16" s="28"/>
      <c r="AH16" s="33"/>
    </row>
    <row r="17" spans="1:19">
      <c r="A17" s="41">
        <f t="shared" si="2"/>
        <v>0</v>
      </c>
      <c r="B17" s="35"/>
      <c r="C17" s="25"/>
      <c r="D17" s="25"/>
      <c r="E17" s="25"/>
      <c r="F17" s="82"/>
      <c r="G17" s="8"/>
      <c r="H17" s="44">
        <v>12</v>
      </c>
      <c r="I17" s="45" t="str">
        <f t="shared" si="0"/>
        <v/>
      </c>
      <c r="J17" s="44">
        <f t="shared" si="3"/>
        <v>-2</v>
      </c>
      <c r="K17" s="44">
        <f t="shared" si="1"/>
        <v>-20</v>
      </c>
      <c r="L17" s="44"/>
      <c r="M17" s="45" t="str">
        <f t="shared" si="4"/>
        <v/>
      </c>
    </row>
    <row r="18" spans="1:19">
      <c r="A18" s="42">
        <f t="shared" si="2"/>
        <v>0</v>
      </c>
      <c r="B18" s="36"/>
      <c r="C18" s="24"/>
      <c r="D18" s="24"/>
      <c r="E18" s="24"/>
      <c r="F18" s="81"/>
      <c r="G18" s="8"/>
      <c r="H18" s="17">
        <v>13</v>
      </c>
      <c r="I18" s="18" t="str">
        <f t="shared" si="0"/>
        <v/>
      </c>
      <c r="J18" s="17">
        <f t="shared" si="3"/>
        <v>-2</v>
      </c>
      <c r="K18" s="17">
        <f t="shared" si="1"/>
        <v>-20</v>
      </c>
      <c r="L18" s="17"/>
      <c r="M18" s="18" t="str">
        <f t="shared" si="4"/>
        <v/>
      </c>
    </row>
    <row r="19" spans="1:19">
      <c r="A19" s="41">
        <f t="shared" si="2"/>
        <v>0</v>
      </c>
      <c r="B19" s="35"/>
      <c r="C19" s="25"/>
      <c r="D19" s="25"/>
      <c r="E19" s="25"/>
      <c r="F19" s="82"/>
      <c r="G19" s="8"/>
      <c r="H19" s="44">
        <v>14</v>
      </c>
      <c r="I19" s="45" t="str">
        <f t="shared" si="0"/>
        <v/>
      </c>
      <c r="J19" s="44">
        <f t="shared" si="3"/>
        <v>-2</v>
      </c>
      <c r="K19" s="44">
        <f t="shared" si="1"/>
        <v>-20</v>
      </c>
      <c r="L19" s="44"/>
      <c r="M19" s="45" t="str">
        <f t="shared" si="4"/>
        <v/>
      </c>
    </row>
    <row r="20" spans="1:19">
      <c r="A20" s="42">
        <f t="shared" si="2"/>
        <v>0</v>
      </c>
      <c r="B20" s="36"/>
      <c r="C20" s="24"/>
      <c r="D20" s="24"/>
      <c r="E20" s="24"/>
      <c r="F20" s="81"/>
      <c r="G20" s="8"/>
      <c r="H20" s="17">
        <v>15</v>
      </c>
      <c r="I20" s="18" t="str">
        <f t="shared" si="0"/>
        <v/>
      </c>
      <c r="J20" s="17">
        <f t="shared" si="3"/>
        <v>-2</v>
      </c>
      <c r="K20" s="17">
        <f t="shared" si="1"/>
        <v>-20</v>
      </c>
      <c r="L20" s="17"/>
      <c r="M20" s="18" t="str">
        <f t="shared" si="4"/>
        <v/>
      </c>
      <c r="R20" s="50"/>
      <c r="S20" s="34"/>
    </row>
    <row r="21" spans="1:19">
      <c r="A21" s="41">
        <f t="shared" si="2"/>
        <v>0</v>
      </c>
      <c r="B21" s="35"/>
      <c r="C21" s="25"/>
      <c r="D21" s="25"/>
      <c r="E21" s="25"/>
      <c r="F21" s="82"/>
      <c r="G21" s="8"/>
      <c r="H21" s="44">
        <v>16</v>
      </c>
      <c r="I21" s="45" t="str">
        <f t="shared" si="0"/>
        <v/>
      </c>
      <c r="J21" s="44">
        <f t="shared" si="3"/>
        <v>-2</v>
      </c>
      <c r="K21" s="44">
        <f t="shared" si="1"/>
        <v>-20</v>
      </c>
      <c r="L21" s="44"/>
      <c r="M21" s="45" t="str">
        <f t="shared" si="4"/>
        <v/>
      </c>
    </row>
    <row r="22" spans="1:19">
      <c r="A22" s="42">
        <f t="shared" si="2"/>
        <v>0</v>
      </c>
      <c r="B22" s="36"/>
      <c r="C22" s="24"/>
      <c r="D22" s="24"/>
      <c r="E22" s="24"/>
      <c r="F22" s="81"/>
      <c r="G22" s="8"/>
      <c r="H22" s="17">
        <v>17</v>
      </c>
      <c r="I22" s="18" t="str">
        <f t="shared" si="0"/>
        <v/>
      </c>
      <c r="J22" s="17">
        <f t="shared" si="3"/>
        <v>-3</v>
      </c>
      <c r="K22" s="17">
        <f t="shared" si="1"/>
        <v>-30</v>
      </c>
      <c r="L22" s="17"/>
      <c r="M22" s="18" t="str">
        <f t="shared" si="4"/>
        <v/>
      </c>
    </row>
    <row r="23" spans="1:19">
      <c r="A23" s="41">
        <f t="shared" si="2"/>
        <v>0</v>
      </c>
      <c r="B23" s="35"/>
      <c r="C23" s="25"/>
      <c r="D23" s="25"/>
      <c r="E23" s="25"/>
      <c r="F23" s="82"/>
      <c r="G23" s="8"/>
      <c r="H23" s="44">
        <v>18</v>
      </c>
      <c r="I23" s="45" t="str">
        <f t="shared" si="0"/>
        <v/>
      </c>
      <c r="J23" s="44">
        <f t="shared" si="3"/>
        <v>-3</v>
      </c>
      <c r="K23" s="44">
        <f t="shared" si="1"/>
        <v>-30</v>
      </c>
      <c r="L23" s="44"/>
      <c r="M23" s="45" t="str">
        <f t="shared" si="4"/>
        <v/>
      </c>
    </row>
    <row r="24" spans="1:19">
      <c r="A24" s="42">
        <f t="shared" si="2"/>
        <v>0</v>
      </c>
      <c r="B24" s="36"/>
      <c r="C24" s="24"/>
      <c r="D24" s="24"/>
      <c r="E24" s="24"/>
      <c r="F24" s="81"/>
      <c r="G24" s="8"/>
      <c r="H24" s="17">
        <v>19</v>
      </c>
      <c r="I24" s="18" t="str">
        <f t="shared" si="0"/>
        <v/>
      </c>
      <c r="J24" s="17">
        <f t="shared" si="3"/>
        <v>-3</v>
      </c>
      <c r="K24" s="17">
        <f t="shared" si="1"/>
        <v>-30</v>
      </c>
      <c r="L24" s="17"/>
      <c r="M24" s="18" t="str">
        <f t="shared" si="4"/>
        <v/>
      </c>
      <c r="R24" s="50"/>
      <c r="S24" s="34"/>
    </row>
    <row r="25" spans="1:19">
      <c r="A25" s="41">
        <f t="shared" si="2"/>
        <v>0</v>
      </c>
      <c r="B25" s="35"/>
      <c r="C25" s="25"/>
      <c r="D25" s="25"/>
      <c r="E25" s="25"/>
      <c r="F25" s="82"/>
      <c r="G25" s="8"/>
      <c r="H25" s="44">
        <v>20</v>
      </c>
      <c r="I25" s="45" t="str">
        <f t="shared" si="0"/>
        <v/>
      </c>
      <c r="J25" s="44">
        <f t="shared" si="3"/>
        <v>-3</v>
      </c>
      <c r="K25" s="44">
        <f t="shared" si="1"/>
        <v>-30</v>
      </c>
      <c r="L25" s="44"/>
      <c r="M25" s="45" t="str">
        <f t="shared" si="4"/>
        <v/>
      </c>
    </row>
    <row r="26" spans="1:19">
      <c r="A26" s="42">
        <f t="shared" si="2"/>
        <v>0</v>
      </c>
      <c r="B26" s="36"/>
      <c r="C26" s="24"/>
      <c r="D26" s="24"/>
      <c r="E26" s="24"/>
      <c r="F26" s="81"/>
      <c r="G26" s="8"/>
      <c r="H26" s="17">
        <v>21</v>
      </c>
      <c r="I26" s="18" t="str">
        <f t="shared" si="0"/>
        <v/>
      </c>
      <c r="J26" s="17">
        <f t="shared" si="3"/>
        <v>-3</v>
      </c>
      <c r="K26" s="17">
        <f t="shared" si="1"/>
        <v>-30</v>
      </c>
      <c r="L26" s="17"/>
      <c r="M26" s="18" t="str">
        <f t="shared" si="4"/>
        <v/>
      </c>
    </row>
    <row r="27" spans="1:19">
      <c r="A27" s="41">
        <f t="shared" si="2"/>
        <v>0</v>
      </c>
      <c r="B27" s="35"/>
      <c r="C27" s="25"/>
      <c r="D27" s="25"/>
      <c r="E27" s="25"/>
      <c r="F27" s="82"/>
      <c r="G27" s="8"/>
      <c r="H27" s="44">
        <v>22</v>
      </c>
      <c r="I27" s="45" t="str">
        <f t="shared" si="0"/>
        <v/>
      </c>
      <c r="J27" s="44">
        <f t="shared" si="3"/>
        <v>-3</v>
      </c>
      <c r="K27" s="44">
        <f t="shared" si="1"/>
        <v>-30</v>
      </c>
      <c r="L27" s="44"/>
      <c r="M27" s="45" t="str">
        <f t="shared" si="4"/>
        <v/>
      </c>
    </row>
    <row r="28" spans="1:19">
      <c r="A28" s="42">
        <f t="shared" si="2"/>
        <v>0</v>
      </c>
      <c r="B28" s="36"/>
      <c r="C28" s="24"/>
      <c r="D28" s="24"/>
      <c r="E28" s="24"/>
      <c r="F28" s="81"/>
      <c r="G28" s="8"/>
      <c r="H28" s="17">
        <v>23</v>
      </c>
      <c r="I28" s="18" t="str">
        <f t="shared" si="0"/>
        <v/>
      </c>
      <c r="J28" s="17">
        <f t="shared" si="3"/>
        <v>-3</v>
      </c>
      <c r="K28" s="17">
        <f t="shared" si="1"/>
        <v>-30</v>
      </c>
      <c r="L28" s="17"/>
      <c r="M28" s="18" t="str">
        <f t="shared" si="4"/>
        <v/>
      </c>
      <c r="R28" s="50"/>
      <c r="S28" s="34"/>
    </row>
    <row r="29" spans="1:19">
      <c r="A29" s="41">
        <f t="shared" si="2"/>
        <v>0</v>
      </c>
      <c r="B29" s="35"/>
      <c r="C29" s="25"/>
      <c r="D29" s="25"/>
      <c r="E29" s="25"/>
      <c r="F29" s="82"/>
      <c r="G29" s="5"/>
      <c r="H29" s="44">
        <v>24</v>
      </c>
      <c r="I29" s="45" t="str">
        <f t="shared" si="0"/>
        <v/>
      </c>
      <c r="J29" s="44">
        <f t="shared" si="3"/>
        <v>-3</v>
      </c>
      <c r="K29" s="44">
        <f t="shared" si="1"/>
        <v>-30</v>
      </c>
      <c r="L29" s="44"/>
      <c r="M29" s="45" t="str">
        <f t="shared" si="4"/>
        <v/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ref="F30:F38" si="5">M30</f>
        <v/>
      </c>
      <c r="G30" s="5"/>
      <c r="H30" s="17">
        <v>25</v>
      </c>
      <c r="I30" s="18" t="str">
        <f t="shared" si="0"/>
        <v/>
      </c>
      <c r="J30" s="17">
        <f t="shared" si="3"/>
        <v>-3</v>
      </c>
      <c r="K30" s="17">
        <f t="shared" si="1"/>
        <v>-30</v>
      </c>
      <c r="L30" s="17"/>
      <c r="M30" s="18" t="str">
        <f t="shared" si="4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5"/>
        <v/>
      </c>
      <c r="G31" s="5"/>
      <c r="H31" s="44">
        <v>26</v>
      </c>
      <c r="I31" s="45" t="str">
        <f t="shared" si="0"/>
        <v/>
      </c>
      <c r="J31" s="44">
        <f t="shared" si="3"/>
        <v>-3</v>
      </c>
      <c r="K31" s="44">
        <f t="shared" si="1"/>
        <v>-30</v>
      </c>
      <c r="L31" s="44"/>
      <c r="M31" s="45" t="str">
        <f t="shared" si="4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5"/>
        <v/>
      </c>
      <c r="G32" s="5"/>
      <c r="H32" s="17">
        <v>27</v>
      </c>
      <c r="I32" s="18" t="str">
        <f t="shared" si="0"/>
        <v/>
      </c>
      <c r="J32" s="17">
        <f t="shared" si="3"/>
        <v>-3</v>
      </c>
      <c r="K32" s="17">
        <f t="shared" si="1"/>
        <v>-30</v>
      </c>
      <c r="L32" s="17"/>
      <c r="M32" s="18" t="str">
        <f t="shared" si="4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6">IF(H33&gt;$H$2,"",(ROW()-5))</f>
        <v/>
      </c>
      <c r="C33" s="25"/>
      <c r="D33" s="25"/>
      <c r="E33" s="25"/>
      <c r="F33" s="25" t="str">
        <f t="shared" si="5"/>
        <v/>
      </c>
      <c r="G33" s="5"/>
      <c r="H33" s="44">
        <v>28</v>
      </c>
      <c r="I33" s="45" t="str">
        <f t="shared" si="0"/>
        <v/>
      </c>
      <c r="J33" s="44">
        <f t="shared" si="3"/>
        <v>-3</v>
      </c>
      <c r="K33" s="44">
        <f t="shared" si="1"/>
        <v>-30</v>
      </c>
      <c r="L33" s="44"/>
      <c r="M33" s="46" t="str">
        <f t="shared" si="4"/>
        <v/>
      </c>
    </row>
    <row r="34" spans="1:19">
      <c r="A34" s="42" t="str">
        <f t="shared" si="2"/>
        <v/>
      </c>
      <c r="B34" s="36" t="str">
        <f t="shared" si="6"/>
        <v/>
      </c>
      <c r="C34" s="24"/>
      <c r="D34" s="24"/>
      <c r="E34" s="24"/>
      <c r="F34" s="24" t="str">
        <f t="shared" si="5"/>
        <v/>
      </c>
      <c r="G34" s="5"/>
      <c r="H34" s="17">
        <v>29</v>
      </c>
      <c r="I34" s="18" t="str">
        <f t="shared" si="0"/>
        <v/>
      </c>
      <c r="J34" s="17">
        <f t="shared" si="3"/>
        <v>-3</v>
      </c>
      <c r="K34" s="17">
        <f t="shared" si="1"/>
        <v>-30</v>
      </c>
      <c r="L34" s="17"/>
      <c r="M34" s="19" t="str">
        <f t="shared" si="4"/>
        <v/>
      </c>
    </row>
    <row r="35" spans="1:19">
      <c r="A35" s="41" t="str">
        <f t="shared" si="2"/>
        <v/>
      </c>
      <c r="B35" s="35" t="str">
        <f t="shared" si="6"/>
        <v/>
      </c>
      <c r="C35" s="25"/>
      <c r="D35" s="25"/>
      <c r="E35" s="25"/>
      <c r="F35" s="25" t="str">
        <f t="shared" si="5"/>
        <v/>
      </c>
      <c r="G35" s="5"/>
      <c r="H35" s="44">
        <v>30</v>
      </c>
      <c r="I35" s="45" t="str">
        <f t="shared" si="0"/>
        <v/>
      </c>
      <c r="J35" s="44">
        <f t="shared" si="3"/>
        <v>-3</v>
      </c>
      <c r="K35" s="44">
        <f t="shared" si="1"/>
        <v>-30</v>
      </c>
      <c r="L35" s="44"/>
      <c r="M35" s="46" t="str">
        <f t="shared" si="4"/>
        <v/>
      </c>
    </row>
    <row r="36" spans="1:19">
      <c r="A36" s="42" t="str">
        <f t="shared" si="2"/>
        <v/>
      </c>
      <c r="B36" s="36" t="str">
        <f t="shared" si="6"/>
        <v/>
      </c>
      <c r="C36" s="24"/>
      <c r="D36" s="24"/>
      <c r="E36" s="24"/>
      <c r="F36" s="24" t="str">
        <f t="shared" si="5"/>
        <v/>
      </c>
      <c r="G36" s="5"/>
      <c r="H36" s="17">
        <v>31</v>
      </c>
      <c r="I36" s="18" t="str">
        <f t="shared" si="0"/>
        <v/>
      </c>
      <c r="J36" s="17">
        <f t="shared" si="3"/>
        <v>-3</v>
      </c>
      <c r="K36" s="17">
        <f t="shared" si="1"/>
        <v>-30</v>
      </c>
      <c r="L36" s="17"/>
      <c r="M36" s="19" t="str">
        <f t="shared" si="4"/>
        <v/>
      </c>
      <c r="R36" s="50"/>
      <c r="S36" s="34"/>
    </row>
    <row r="37" spans="1:19">
      <c r="A37" s="41" t="str">
        <f t="shared" si="2"/>
        <v/>
      </c>
      <c r="B37" s="35" t="str">
        <f t="shared" si="6"/>
        <v/>
      </c>
      <c r="C37" s="25"/>
      <c r="D37" s="25"/>
      <c r="E37" s="25"/>
      <c r="F37" s="25" t="str">
        <f t="shared" si="5"/>
        <v/>
      </c>
      <c r="G37" s="5"/>
      <c r="H37" s="44">
        <v>32</v>
      </c>
      <c r="I37" s="45" t="str">
        <f t="shared" si="0"/>
        <v/>
      </c>
      <c r="J37" s="44">
        <f t="shared" si="3"/>
        <v>-3</v>
      </c>
      <c r="K37" s="44">
        <f t="shared" si="1"/>
        <v>-30</v>
      </c>
      <c r="L37" s="44"/>
      <c r="M37" s="46" t="str">
        <f t="shared" si="4"/>
        <v/>
      </c>
    </row>
    <row r="38" spans="1:19">
      <c r="A38" s="42" t="str">
        <f t="shared" si="2"/>
        <v/>
      </c>
      <c r="B38" s="36" t="str">
        <f t="shared" si="6"/>
        <v/>
      </c>
      <c r="C38" s="24"/>
      <c r="D38" s="24"/>
      <c r="E38" s="24"/>
      <c r="F38" s="24" t="str">
        <f t="shared" si="5"/>
        <v/>
      </c>
      <c r="G38" s="5"/>
      <c r="H38" s="17">
        <v>33</v>
      </c>
      <c r="I38" s="18" t="str">
        <f t="shared" si="0"/>
        <v/>
      </c>
      <c r="J38" s="17">
        <f t="shared" si="3"/>
        <v>-4</v>
      </c>
      <c r="K38" s="17">
        <f t="shared" si="1"/>
        <v>-40</v>
      </c>
      <c r="L38" s="17"/>
      <c r="M38" s="19" t="str">
        <f t="shared" si="4"/>
        <v/>
      </c>
    </row>
    <row r="39" spans="1:19">
      <c r="A39" s="41">
        <f t="shared" si="2"/>
        <v>0</v>
      </c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3"/>
        <v>-4</v>
      </c>
      <c r="K39" s="44">
        <f t="shared" si="1"/>
        <v>-40</v>
      </c>
      <c r="L39" s="44"/>
      <c r="M39" s="46" t="str">
        <f t="shared" si="4"/>
        <v/>
      </c>
    </row>
    <row r="40" spans="1:19">
      <c r="A40" s="42">
        <f t="shared" si="2"/>
        <v>0</v>
      </c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3"/>
        <v>-4</v>
      </c>
      <c r="K40" s="17">
        <f t="shared" si="1"/>
        <v>-40</v>
      </c>
      <c r="L40" s="17"/>
      <c r="M40" s="19" t="str">
        <f t="shared" si="4"/>
        <v/>
      </c>
    </row>
    <row r="41" spans="1:19">
      <c r="A41" s="41">
        <f t="shared" si="2"/>
        <v>0</v>
      </c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3"/>
        <v>-4</v>
      </c>
      <c r="K41" s="44">
        <f t="shared" si="1"/>
        <v>-40</v>
      </c>
      <c r="L41" s="44"/>
      <c r="M41" s="46" t="str">
        <f t="shared" si="4"/>
        <v/>
      </c>
      <c r="S41" s="32"/>
    </row>
    <row r="42" spans="1:19">
      <c r="A42" s="42">
        <f t="shared" si="2"/>
        <v>0</v>
      </c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3"/>
        <v>-4</v>
      </c>
      <c r="K42" s="17">
        <f t="shared" si="1"/>
        <v>-40</v>
      </c>
      <c r="L42" s="17"/>
      <c r="M42" s="19" t="str">
        <f t="shared" si="4"/>
        <v/>
      </c>
    </row>
    <row r="43" spans="1:19">
      <c r="A43" s="41">
        <f t="shared" si="2"/>
        <v>0</v>
      </c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3"/>
        <v>-4</v>
      </c>
      <c r="K43" s="44">
        <f t="shared" si="1"/>
        <v>-40</v>
      </c>
      <c r="L43" s="44"/>
      <c r="M43" s="46" t="str">
        <f t="shared" si="4"/>
        <v/>
      </c>
    </row>
    <row r="44" spans="1:19">
      <c r="A44" s="42">
        <f t="shared" si="2"/>
        <v>0</v>
      </c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3"/>
        <v>-4</v>
      </c>
      <c r="K44" s="17">
        <f t="shared" si="1"/>
        <v>-40</v>
      </c>
      <c r="L44" s="17"/>
      <c r="M44" s="19" t="str">
        <f t="shared" si="4"/>
        <v/>
      </c>
    </row>
    <row r="45" spans="1:19">
      <c r="A45" s="41">
        <f t="shared" si="2"/>
        <v>0</v>
      </c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3"/>
        <v>-4</v>
      </c>
      <c r="K45" s="44">
        <f t="shared" si="1"/>
        <v>-40</v>
      </c>
      <c r="L45" s="44"/>
      <c r="M45" s="46" t="str">
        <f t="shared" si="4"/>
        <v/>
      </c>
    </row>
    <row r="46" spans="1:19">
      <c r="A46" s="42">
        <f t="shared" si="2"/>
        <v>0</v>
      </c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3"/>
        <v>-4</v>
      </c>
      <c r="K46" s="17">
        <f t="shared" si="1"/>
        <v>-40</v>
      </c>
      <c r="L46" s="17"/>
      <c r="M46" s="19" t="str">
        <f t="shared" si="4"/>
        <v/>
      </c>
    </row>
    <row r="47" spans="1:19">
      <c r="A47" s="41">
        <f t="shared" si="2"/>
        <v>0</v>
      </c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3"/>
        <v>-4</v>
      </c>
      <c r="K47" s="44">
        <f t="shared" si="1"/>
        <v>-40</v>
      </c>
      <c r="L47" s="44"/>
      <c r="M47" s="46" t="str">
        <f t="shared" si="4"/>
        <v/>
      </c>
    </row>
    <row r="48" spans="1:19">
      <c r="A48" s="42">
        <f t="shared" si="2"/>
        <v>0</v>
      </c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3"/>
        <v>-4</v>
      </c>
      <c r="K48" s="17">
        <f t="shared" si="1"/>
        <v>-40</v>
      </c>
      <c r="L48" s="17"/>
      <c r="M48" s="19" t="str">
        <f t="shared" si="4"/>
        <v/>
      </c>
    </row>
    <row r="49" spans="1:13">
      <c r="A49" s="41">
        <f t="shared" si="2"/>
        <v>0</v>
      </c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3"/>
        <v>-4</v>
      </c>
      <c r="K49" s="44">
        <f t="shared" si="1"/>
        <v>-40</v>
      </c>
      <c r="L49" s="44"/>
      <c r="M49" s="46" t="str">
        <f t="shared" si="4"/>
        <v/>
      </c>
    </row>
    <row r="50" spans="1:13">
      <c r="A50" s="42">
        <f t="shared" si="2"/>
        <v>0</v>
      </c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3"/>
        <v>-4</v>
      </c>
      <c r="K50" s="17">
        <f t="shared" si="1"/>
        <v>-40</v>
      </c>
      <c r="L50" s="17"/>
      <c r="M50" s="19" t="str">
        <f t="shared" si="4"/>
        <v/>
      </c>
    </row>
    <row r="51" spans="1:13">
      <c r="A51" s="41">
        <f t="shared" si="2"/>
        <v>0</v>
      </c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3"/>
        <v>-4</v>
      </c>
      <c r="K51" s="44">
        <f t="shared" si="1"/>
        <v>-40</v>
      </c>
      <c r="L51" s="44"/>
      <c r="M51" s="46" t="str">
        <f t="shared" si="4"/>
        <v/>
      </c>
    </row>
    <row r="52" spans="1:13">
      <c r="A52" s="42">
        <f t="shared" si="2"/>
        <v>0</v>
      </c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3"/>
        <v>-4</v>
      </c>
      <c r="K52" s="17">
        <f t="shared" si="1"/>
        <v>-40</v>
      </c>
      <c r="L52" s="17"/>
      <c r="M52" s="19" t="str">
        <f t="shared" si="4"/>
        <v/>
      </c>
    </row>
    <row r="53" spans="1:13">
      <c r="A53" s="41">
        <f t="shared" si="2"/>
        <v>0</v>
      </c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3"/>
        <v>-4</v>
      </c>
      <c r="K53" s="44">
        <f t="shared" si="1"/>
        <v>-40</v>
      </c>
      <c r="L53" s="44"/>
      <c r="M53" s="46" t="str">
        <f t="shared" si="4"/>
        <v/>
      </c>
    </row>
    <row r="54" spans="1:13">
      <c r="A54" s="42">
        <f t="shared" si="2"/>
        <v>0</v>
      </c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3"/>
        <v>-4</v>
      </c>
      <c r="K54" s="17">
        <f t="shared" si="1"/>
        <v>-40</v>
      </c>
      <c r="L54" s="17"/>
      <c r="M54" s="19" t="str">
        <f t="shared" si="4"/>
        <v/>
      </c>
    </row>
    <row r="55" spans="1:13">
      <c r="A55" s="41">
        <f t="shared" si="2"/>
        <v>0</v>
      </c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3"/>
        <v>-4</v>
      </c>
      <c r="K55" s="44">
        <f t="shared" si="1"/>
        <v>-40</v>
      </c>
      <c r="L55" s="44"/>
      <c r="M55" s="46" t="str">
        <f t="shared" si="4"/>
        <v/>
      </c>
    </row>
    <row r="56" spans="1:13">
      <c r="A56" s="42">
        <f t="shared" si="2"/>
        <v>0</v>
      </c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3"/>
        <v>-4</v>
      </c>
      <c r="K56" s="17">
        <f t="shared" si="1"/>
        <v>-40</v>
      </c>
      <c r="L56" s="17"/>
      <c r="M56" s="19" t="str">
        <f t="shared" si="4"/>
        <v/>
      </c>
    </row>
    <row r="57" spans="1:13">
      <c r="A57" s="41">
        <f t="shared" si="2"/>
        <v>0</v>
      </c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3"/>
        <v>-4</v>
      </c>
      <c r="K57" s="44">
        <f t="shared" si="1"/>
        <v>-40</v>
      </c>
      <c r="L57" s="44"/>
      <c r="M57" s="46" t="str">
        <f t="shared" si="4"/>
        <v/>
      </c>
    </row>
    <row r="58" spans="1:13">
      <c r="A58" s="42">
        <f t="shared" si="2"/>
        <v>0</v>
      </c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3"/>
        <v>-4</v>
      </c>
      <c r="K58" s="17">
        <f t="shared" si="1"/>
        <v>-40</v>
      </c>
      <c r="L58" s="17"/>
      <c r="M58" s="19" t="str">
        <f t="shared" si="4"/>
        <v/>
      </c>
    </row>
    <row r="59" spans="1:13">
      <c r="A59" s="41">
        <f t="shared" si="2"/>
        <v>0</v>
      </c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3"/>
        <v>-4</v>
      </c>
      <c r="K59" s="44">
        <f t="shared" si="1"/>
        <v>-40</v>
      </c>
      <c r="L59" s="44"/>
      <c r="M59" s="46" t="str">
        <f t="shared" si="4"/>
        <v/>
      </c>
    </row>
    <row r="60" spans="1:13">
      <c r="A60" s="42">
        <f t="shared" si="2"/>
        <v>0</v>
      </c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3"/>
        <v>-4</v>
      </c>
      <c r="K60" s="17">
        <f t="shared" si="1"/>
        <v>-40</v>
      </c>
      <c r="L60" s="17"/>
      <c r="M60" s="19" t="str">
        <f t="shared" si="4"/>
        <v/>
      </c>
    </row>
    <row r="61" spans="1:13">
      <c r="A61" s="41">
        <f t="shared" si="2"/>
        <v>0</v>
      </c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3"/>
        <v>-4</v>
      </c>
      <c r="K61" s="44">
        <f t="shared" si="1"/>
        <v>-40</v>
      </c>
      <c r="L61" s="44"/>
      <c r="M61" s="46" t="str">
        <f t="shared" si="4"/>
        <v/>
      </c>
    </row>
    <row r="62" spans="1:13">
      <c r="A62" s="42">
        <f t="shared" si="2"/>
        <v>0</v>
      </c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3"/>
        <v>-4</v>
      </c>
      <c r="K62" s="17">
        <f t="shared" si="1"/>
        <v>-40</v>
      </c>
      <c r="L62" s="17"/>
      <c r="M62" s="19" t="str">
        <f t="shared" si="4"/>
        <v/>
      </c>
    </row>
    <row r="63" spans="1:13">
      <c r="A63" s="41">
        <f t="shared" si="2"/>
        <v>0</v>
      </c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3"/>
        <v>-4</v>
      </c>
      <c r="K63" s="44">
        <f t="shared" si="1"/>
        <v>-40</v>
      </c>
      <c r="L63" s="44"/>
      <c r="M63" s="46" t="str">
        <f t="shared" si="4"/>
        <v/>
      </c>
    </row>
    <row r="64" spans="1:13">
      <c r="A64" s="42">
        <f t="shared" si="2"/>
        <v>0</v>
      </c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3"/>
        <v>-4</v>
      </c>
      <c r="K64" s="17">
        <f t="shared" si="1"/>
        <v>-40</v>
      </c>
      <c r="L64" s="17"/>
      <c r="M64" s="19" t="str">
        <f t="shared" si="4"/>
        <v/>
      </c>
    </row>
    <row r="65" spans="1:13">
      <c r="A65" s="41">
        <f t="shared" si="2"/>
        <v>0</v>
      </c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3"/>
        <v>-4</v>
      </c>
      <c r="K65" s="44">
        <f t="shared" si="1"/>
        <v>-40</v>
      </c>
      <c r="L65" s="44"/>
      <c r="M65" s="46" t="str">
        <f t="shared" si="4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3"/>
        <v>-4</v>
      </c>
      <c r="K66" s="17">
        <f t="shared" si="1"/>
        <v>-40</v>
      </c>
      <c r="L66" s="17"/>
      <c r="M66" s="19" t="str">
        <f t="shared" si="4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3"/>
        <v>-4</v>
      </c>
      <c r="K67" s="17">
        <f t="shared" si="1"/>
        <v>-40</v>
      </c>
      <c r="L67" s="17"/>
      <c r="M67" s="19" t="str">
        <f t="shared" si="4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3"/>
        <v>-4</v>
      </c>
      <c r="K68" s="17">
        <f t="shared" si="1"/>
        <v>-40</v>
      </c>
      <c r="L68" s="17"/>
      <c r="M68" s="19" t="str">
        <f t="shared" si="4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3"/>
        <v>-4</v>
      </c>
      <c r="K69" s="17">
        <f t="shared" si="1"/>
        <v>-40</v>
      </c>
      <c r="L69" s="17"/>
      <c r="M69" s="19" t="str">
        <f t="shared" si="4"/>
        <v/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3"/>
        <v>-5</v>
      </c>
      <c r="K70" s="17">
        <f t="shared" ref="K70:K133" si="8">J70*$J$2</f>
        <v>-50</v>
      </c>
      <c r="L70" s="17"/>
      <c r="M70" s="19" t="str">
        <f t="shared" si="4"/>
        <v/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9">INT(LOG($H$2,2))-ROUNDUP(LOG(H71,2),0)+IF(OR($H$2=1,$H$2=2,$H$2=4,$H$2=8,$H$2=16,$H$2=32,$H$2=64,$H$2=128,$H$2=256),0,1)</f>
        <v>-5</v>
      </c>
      <c r="K71" s="17">
        <f t="shared" si="8"/>
        <v>-50</v>
      </c>
      <c r="L71" s="17"/>
      <c r="M71" s="19" t="str">
        <f t="shared" ref="M71:M134" si="10">IF(I71&lt;&gt;"",K71+I71+L71,"")</f>
        <v/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9"/>
        <v>-5</v>
      </c>
      <c r="K72" s="17">
        <f t="shared" si="8"/>
        <v>-50</v>
      </c>
      <c r="L72" s="17"/>
      <c r="M72" s="19" t="str">
        <f t="shared" si="10"/>
        <v/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9"/>
        <v>-5</v>
      </c>
      <c r="K73" s="17">
        <f t="shared" si="8"/>
        <v>-50</v>
      </c>
      <c r="L73" s="17"/>
      <c r="M73" s="19" t="str">
        <f t="shared" si="10"/>
        <v/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9"/>
        <v>-5</v>
      </c>
      <c r="K74" s="17">
        <f t="shared" si="8"/>
        <v>-50</v>
      </c>
      <c r="L74" s="17"/>
      <c r="M74" s="19" t="str">
        <f t="shared" si="10"/>
        <v/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9"/>
        <v>-5</v>
      </c>
      <c r="K75" s="17">
        <f t="shared" si="8"/>
        <v>-50</v>
      </c>
      <c r="L75" s="17"/>
      <c r="M75" s="19" t="str">
        <f t="shared" si="10"/>
        <v/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9"/>
        <v>-5</v>
      </c>
      <c r="K76" s="17">
        <f t="shared" si="8"/>
        <v>-50</v>
      </c>
      <c r="L76" s="17"/>
      <c r="M76" s="19" t="str">
        <f t="shared" si="10"/>
        <v/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9"/>
        <v>-5</v>
      </c>
      <c r="K77" s="17">
        <f t="shared" si="8"/>
        <v>-50</v>
      </c>
      <c r="L77" s="17"/>
      <c r="M77" s="19" t="str">
        <f t="shared" si="10"/>
        <v/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9"/>
        <v>-5</v>
      </c>
      <c r="K78" s="17">
        <f t="shared" si="8"/>
        <v>-50</v>
      </c>
      <c r="L78" s="17"/>
      <c r="M78" s="19" t="str">
        <f t="shared" si="10"/>
        <v/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9"/>
        <v>-5</v>
      </c>
      <c r="K79" s="17">
        <f t="shared" si="8"/>
        <v>-50</v>
      </c>
      <c r="L79" s="17"/>
      <c r="M79" s="19" t="str">
        <f t="shared" si="10"/>
        <v/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9"/>
        <v>-5</v>
      </c>
      <c r="K80" s="17">
        <f t="shared" si="8"/>
        <v>-50</v>
      </c>
      <c r="L80" s="17"/>
      <c r="M80" s="19" t="str">
        <f t="shared" si="10"/>
        <v/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9"/>
        <v>-5</v>
      </c>
      <c r="K81" s="17">
        <f t="shared" si="8"/>
        <v>-50</v>
      </c>
      <c r="L81" s="17"/>
      <c r="M81" s="19" t="str">
        <f t="shared" si="10"/>
        <v/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9"/>
        <v>-5</v>
      </c>
      <c r="K82" s="17">
        <f t="shared" si="8"/>
        <v>-50</v>
      </c>
      <c r="L82" s="17"/>
      <c r="M82" s="19" t="str">
        <f t="shared" si="10"/>
        <v/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9"/>
        <v>-5</v>
      </c>
      <c r="K83" s="17">
        <f t="shared" si="8"/>
        <v>-50</v>
      </c>
      <c r="L83" s="17"/>
      <c r="M83" s="19" t="str">
        <f t="shared" si="10"/>
        <v/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9"/>
        <v>-5</v>
      </c>
      <c r="K84" s="17">
        <f t="shared" si="8"/>
        <v>-50</v>
      </c>
      <c r="L84" s="17"/>
      <c r="M84" s="19" t="str">
        <f t="shared" si="10"/>
        <v/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9"/>
        <v>-5</v>
      </c>
      <c r="K85" s="17">
        <f t="shared" si="8"/>
        <v>-50</v>
      </c>
      <c r="L85" s="17"/>
      <c r="M85" s="19" t="str">
        <f t="shared" si="10"/>
        <v/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9"/>
        <v>-5</v>
      </c>
      <c r="K86" s="17">
        <f t="shared" si="8"/>
        <v>-50</v>
      </c>
      <c r="L86" s="17"/>
      <c r="M86" s="19" t="str">
        <f t="shared" si="10"/>
        <v/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9"/>
        <v>-5</v>
      </c>
      <c r="K87" s="17">
        <f t="shared" si="8"/>
        <v>-50</v>
      </c>
      <c r="L87" s="17"/>
      <c r="M87" s="19" t="str">
        <f t="shared" si="10"/>
        <v/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9"/>
        <v>-5</v>
      </c>
      <c r="K88" s="17">
        <f t="shared" si="8"/>
        <v>-50</v>
      </c>
      <c r="L88" s="17"/>
      <c r="M88" s="19" t="str">
        <f t="shared" si="10"/>
        <v/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9"/>
        <v>-5</v>
      </c>
      <c r="K89" s="17">
        <f t="shared" si="8"/>
        <v>-50</v>
      </c>
      <c r="L89" s="17"/>
      <c r="M89" s="19" t="str">
        <f t="shared" si="10"/>
        <v/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9"/>
        <v>-5</v>
      </c>
      <c r="K90" s="17">
        <f t="shared" si="8"/>
        <v>-50</v>
      </c>
      <c r="L90" s="17"/>
      <c r="M90" s="19" t="str">
        <f t="shared" si="10"/>
        <v/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9"/>
        <v>-5</v>
      </c>
      <c r="K91" s="17">
        <f t="shared" si="8"/>
        <v>-50</v>
      </c>
      <c r="L91" s="17"/>
      <c r="M91" s="19" t="str">
        <f t="shared" si="10"/>
        <v/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9"/>
        <v>-5</v>
      </c>
      <c r="K92" s="17">
        <f t="shared" si="8"/>
        <v>-50</v>
      </c>
      <c r="L92" s="17"/>
      <c r="M92" s="19" t="str">
        <f t="shared" si="10"/>
        <v/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9"/>
        <v>-5</v>
      </c>
      <c r="K93" s="17">
        <f t="shared" si="8"/>
        <v>-50</v>
      </c>
      <c r="L93" s="17"/>
      <c r="M93" s="19" t="str">
        <f t="shared" si="10"/>
        <v/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9"/>
        <v>-5</v>
      </c>
      <c r="K94" s="17">
        <f t="shared" si="8"/>
        <v>-50</v>
      </c>
      <c r="L94" s="17"/>
      <c r="M94" s="19" t="str">
        <f t="shared" si="10"/>
        <v/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9"/>
        <v>-5</v>
      </c>
      <c r="K95" s="17">
        <f t="shared" si="8"/>
        <v>-50</v>
      </c>
      <c r="L95" s="17"/>
      <c r="M95" s="19" t="str">
        <f t="shared" si="10"/>
        <v/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9"/>
        <v>-5</v>
      </c>
      <c r="K96" s="17">
        <f t="shared" si="8"/>
        <v>-50</v>
      </c>
      <c r="L96" s="17"/>
      <c r="M96" s="19" t="str">
        <f t="shared" si="10"/>
        <v/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9"/>
        <v>-5</v>
      </c>
      <c r="K97" s="17">
        <f t="shared" si="8"/>
        <v>-50</v>
      </c>
      <c r="L97" s="17"/>
      <c r="M97" s="19" t="str">
        <f t="shared" si="10"/>
        <v/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9"/>
        <v>-5</v>
      </c>
      <c r="K98" s="17">
        <f t="shared" si="8"/>
        <v>-50</v>
      </c>
      <c r="L98" s="17"/>
      <c r="M98" s="19" t="str">
        <f t="shared" si="10"/>
        <v/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9"/>
        <v>-5</v>
      </c>
      <c r="K99" s="17">
        <f t="shared" si="8"/>
        <v>-50</v>
      </c>
      <c r="L99" s="17"/>
      <c r="M99" s="19" t="str">
        <f t="shared" si="10"/>
        <v/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9"/>
        <v>-5</v>
      </c>
      <c r="K100" s="17">
        <f t="shared" si="8"/>
        <v>-50</v>
      </c>
      <c r="L100" s="17"/>
      <c r="M100" s="19" t="str">
        <f t="shared" si="10"/>
        <v/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9"/>
        <v>-5</v>
      </c>
      <c r="K101" s="17">
        <f t="shared" si="8"/>
        <v>-50</v>
      </c>
      <c r="L101" s="17"/>
      <c r="M101" s="19" t="str">
        <f t="shared" si="10"/>
        <v/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9"/>
        <v>-5</v>
      </c>
      <c r="K102" s="17">
        <f t="shared" si="8"/>
        <v>-50</v>
      </c>
      <c r="L102" s="17"/>
      <c r="M102" s="19" t="str">
        <f t="shared" si="10"/>
        <v/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9"/>
        <v>-5</v>
      </c>
      <c r="K103" s="17">
        <f t="shared" si="8"/>
        <v>-50</v>
      </c>
      <c r="L103" s="17"/>
      <c r="M103" s="19" t="str">
        <f t="shared" si="10"/>
        <v/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9"/>
        <v>-5</v>
      </c>
      <c r="K104" s="17">
        <f t="shared" si="8"/>
        <v>-50</v>
      </c>
      <c r="L104" s="17"/>
      <c r="M104" s="19" t="str">
        <f t="shared" si="10"/>
        <v/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9"/>
        <v>-5</v>
      </c>
      <c r="K105" s="17">
        <f t="shared" si="8"/>
        <v>-50</v>
      </c>
      <c r="L105" s="17"/>
      <c r="M105" s="19" t="str">
        <f t="shared" si="10"/>
        <v/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9"/>
        <v>-5</v>
      </c>
      <c r="K106" s="17">
        <f t="shared" si="8"/>
        <v>-50</v>
      </c>
      <c r="L106" s="17"/>
      <c r="M106" s="19" t="str">
        <f t="shared" si="10"/>
        <v/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9"/>
        <v>-5</v>
      </c>
      <c r="K107" s="17">
        <f t="shared" si="8"/>
        <v>-50</v>
      </c>
      <c r="L107" s="17"/>
      <c r="M107" s="19" t="str">
        <f t="shared" si="10"/>
        <v/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9"/>
        <v>-5</v>
      </c>
      <c r="K108" s="17">
        <f t="shared" si="8"/>
        <v>-50</v>
      </c>
      <c r="L108" s="17"/>
      <c r="M108" s="19" t="str">
        <f t="shared" si="10"/>
        <v/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9"/>
        <v>-5</v>
      </c>
      <c r="K109" s="17">
        <f t="shared" si="8"/>
        <v>-50</v>
      </c>
      <c r="L109" s="17"/>
      <c r="M109" s="19" t="str">
        <f t="shared" si="10"/>
        <v/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9"/>
        <v>-5</v>
      </c>
      <c r="K110" s="17">
        <f t="shared" si="8"/>
        <v>-50</v>
      </c>
      <c r="L110" s="17"/>
      <c r="M110" s="19" t="str">
        <f t="shared" si="10"/>
        <v/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9"/>
        <v>-5</v>
      </c>
      <c r="K111" s="17">
        <f t="shared" si="8"/>
        <v>-50</v>
      </c>
      <c r="L111" s="17"/>
      <c r="M111" s="19" t="str">
        <f t="shared" si="10"/>
        <v/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9"/>
        <v>-5</v>
      </c>
      <c r="K112" s="17">
        <f t="shared" si="8"/>
        <v>-50</v>
      </c>
      <c r="L112" s="17"/>
      <c r="M112" s="19" t="str">
        <f t="shared" si="10"/>
        <v/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9"/>
        <v>-5</v>
      </c>
      <c r="K113" s="17">
        <f t="shared" si="8"/>
        <v>-50</v>
      </c>
      <c r="L113" s="17"/>
      <c r="M113" s="19" t="str">
        <f t="shared" si="10"/>
        <v/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9"/>
        <v>-5</v>
      </c>
      <c r="K114" s="17">
        <f t="shared" si="8"/>
        <v>-50</v>
      </c>
      <c r="L114" s="17"/>
      <c r="M114" s="19" t="str">
        <f t="shared" si="10"/>
        <v/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9"/>
        <v>-5</v>
      </c>
      <c r="K115" s="17">
        <f t="shared" si="8"/>
        <v>-50</v>
      </c>
      <c r="L115" s="17"/>
      <c r="M115" s="19" t="str">
        <f t="shared" si="10"/>
        <v/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9"/>
        <v>-5</v>
      </c>
      <c r="K116" s="17">
        <f t="shared" si="8"/>
        <v>-50</v>
      </c>
      <c r="L116" s="17"/>
      <c r="M116" s="19" t="str">
        <f t="shared" si="10"/>
        <v/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9"/>
        <v>-5</v>
      </c>
      <c r="K117" s="17">
        <f t="shared" si="8"/>
        <v>-50</v>
      </c>
      <c r="L117" s="17"/>
      <c r="M117" s="19" t="str">
        <f t="shared" si="10"/>
        <v/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9"/>
        <v>-5</v>
      </c>
      <c r="K118" s="17">
        <f t="shared" si="8"/>
        <v>-50</v>
      </c>
      <c r="L118" s="17"/>
      <c r="M118" s="19" t="str">
        <f t="shared" si="10"/>
        <v/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9"/>
        <v>-5</v>
      </c>
      <c r="K119" s="17">
        <f t="shared" si="8"/>
        <v>-50</v>
      </c>
      <c r="L119" s="17"/>
      <c r="M119" s="19" t="str">
        <f t="shared" si="10"/>
        <v/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9"/>
        <v>-5</v>
      </c>
      <c r="K120" s="17">
        <f t="shared" si="8"/>
        <v>-50</v>
      </c>
      <c r="L120" s="17"/>
      <c r="M120" s="19" t="str">
        <f t="shared" si="10"/>
        <v/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9"/>
        <v>-5</v>
      </c>
      <c r="K121" s="17">
        <f t="shared" si="8"/>
        <v>-50</v>
      </c>
      <c r="L121" s="17"/>
      <c r="M121" s="19" t="str">
        <f t="shared" si="10"/>
        <v/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9"/>
        <v>-5</v>
      </c>
      <c r="K122" s="17">
        <f t="shared" si="8"/>
        <v>-50</v>
      </c>
      <c r="L122" s="17"/>
      <c r="M122" s="19" t="str">
        <f t="shared" si="10"/>
        <v/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9"/>
        <v>-5</v>
      </c>
      <c r="K123" s="17">
        <f t="shared" si="8"/>
        <v>-50</v>
      </c>
      <c r="L123" s="17"/>
      <c r="M123" s="19" t="str">
        <f t="shared" si="10"/>
        <v/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9"/>
        <v>-5</v>
      </c>
      <c r="K124" s="17">
        <f t="shared" si="8"/>
        <v>-50</v>
      </c>
      <c r="L124" s="17"/>
      <c r="M124" s="19" t="str">
        <f t="shared" si="10"/>
        <v/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9"/>
        <v>-5</v>
      </c>
      <c r="K125" s="17">
        <f t="shared" si="8"/>
        <v>-50</v>
      </c>
      <c r="L125" s="17"/>
      <c r="M125" s="19" t="str">
        <f t="shared" si="10"/>
        <v/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9"/>
        <v>-5</v>
      </c>
      <c r="K126" s="17">
        <f t="shared" si="8"/>
        <v>-50</v>
      </c>
      <c r="L126" s="17"/>
      <c r="M126" s="19" t="str">
        <f t="shared" si="10"/>
        <v/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9"/>
        <v>-5</v>
      </c>
      <c r="K127" s="17">
        <f t="shared" si="8"/>
        <v>-50</v>
      </c>
      <c r="L127" s="17"/>
      <c r="M127" s="19" t="str">
        <f t="shared" si="10"/>
        <v/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9"/>
        <v>-5</v>
      </c>
      <c r="K128" s="17">
        <f t="shared" si="8"/>
        <v>-50</v>
      </c>
      <c r="L128" s="17"/>
      <c r="M128" s="19" t="str">
        <f t="shared" si="10"/>
        <v/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9"/>
        <v>-5</v>
      </c>
      <c r="K129" s="17">
        <f t="shared" si="8"/>
        <v>-50</v>
      </c>
      <c r="L129" s="17"/>
      <c r="M129" s="19" t="str">
        <f t="shared" si="10"/>
        <v/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9"/>
        <v>-5</v>
      </c>
      <c r="K130" s="17">
        <f t="shared" si="8"/>
        <v>-50</v>
      </c>
      <c r="L130" s="17"/>
      <c r="M130" s="19" t="str">
        <f t="shared" si="10"/>
        <v/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9"/>
        <v>-5</v>
      </c>
      <c r="K131" s="17">
        <f t="shared" si="8"/>
        <v>-50</v>
      </c>
      <c r="L131" s="17"/>
      <c r="M131" s="19" t="str">
        <f t="shared" si="10"/>
        <v/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9"/>
        <v>-5</v>
      </c>
      <c r="K132" s="17">
        <f t="shared" si="8"/>
        <v>-50</v>
      </c>
      <c r="L132" s="17"/>
      <c r="M132" s="19" t="str">
        <f t="shared" si="10"/>
        <v/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9"/>
        <v>-5</v>
      </c>
      <c r="K133" s="17">
        <f t="shared" si="8"/>
        <v>-50</v>
      </c>
      <c r="L133" s="17"/>
      <c r="M133" s="19" t="str">
        <f t="shared" si="10"/>
        <v/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9"/>
        <v>-6</v>
      </c>
      <c r="K134" s="17">
        <f t="shared" ref="K134:K197" si="12">J134*$J$2</f>
        <v>-60</v>
      </c>
      <c r="L134" s="17"/>
      <c r="M134" s="19" t="str">
        <f t="shared" si="10"/>
        <v/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3">INT(LOG($H$2,2))-ROUNDUP(LOG(H135,2),0)+IF(OR($H$2=1,$H$2=2,$H$2=4,$H$2=8,$H$2=16,$H$2=32,$H$2=64,$H$2=128,$H$2=256),0,1)</f>
        <v>-6</v>
      </c>
      <c r="K135" s="17">
        <f t="shared" si="12"/>
        <v>-60</v>
      </c>
      <c r="L135" s="17"/>
      <c r="M135" s="19" t="str">
        <f t="shared" ref="M135:M198" si="14">IF(I135&lt;&gt;"",K135+I135+L135,"")</f>
        <v/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3"/>
        <v>-6</v>
      </c>
      <c r="K136" s="17">
        <f t="shared" si="12"/>
        <v>-60</v>
      </c>
      <c r="L136" s="17"/>
      <c r="M136" s="19" t="str">
        <f t="shared" si="14"/>
        <v/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3"/>
        <v>-6</v>
      </c>
      <c r="K137" s="17">
        <f t="shared" si="12"/>
        <v>-60</v>
      </c>
      <c r="L137" s="17"/>
      <c r="M137" s="19" t="str">
        <f t="shared" si="14"/>
        <v/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3"/>
        <v>-6</v>
      </c>
      <c r="K138" s="17">
        <f t="shared" si="12"/>
        <v>-60</v>
      </c>
      <c r="L138" s="17"/>
      <c r="M138" s="19" t="str">
        <f t="shared" si="14"/>
        <v/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3"/>
        <v>-6</v>
      </c>
      <c r="K139" s="17">
        <f t="shared" si="12"/>
        <v>-60</v>
      </c>
      <c r="L139" s="17"/>
      <c r="M139" s="19" t="str">
        <f t="shared" si="14"/>
        <v/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3"/>
        <v>-6</v>
      </c>
      <c r="K140" s="17">
        <f t="shared" si="12"/>
        <v>-60</v>
      </c>
      <c r="L140" s="17"/>
      <c r="M140" s="19" t="str">
        <f t="shared" si="14"/>
        <v/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3"/>
        <v>-6</v>
      </c>
      <c r="K141" s="17">
        <f t="shared" si="12"/>
        <v>-60</v>
      </c>
      <c r="L141" s="17"/>
      <c r="M141" s="19" t="str">
        <f t="shared" si="14"/>
        <v/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3"/>
        <v>-6</v>
      </c>
      <c r="K142" s="17">
        <f t="shared" si="12"/>
        <v>-60</v>
      </c>
      <c r="L142" s="17"/>
      <c r="M142" s="19" t="str">
        <f t="shared" si="14"/>
        <v/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3"/>
        <v>-6</v>
      </c>
      <c r="K143" s="17">
        <f t="shared" si="12"/>
        <v>-60</v>
      </c>
      <c r="L143" s="17"/>
      <c r="M143" s="19" t="str">
        <f t="shared" si="14"/>
        <v/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3"/>
        <v>-6</v>
      </c>
      <c r="K144" s="17">
        <f t="shared" si="12"/>
        <v>-60</v>
      </c>
      <c r="L144" s="17"/>
      <c r="M144" s="19" t="str">
        <f t="shared" si="14"/>
        <v/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3"/>
        <v>-6</v>
      </c>
      <c r="K145" s="17">
        <f t="shared" si="12"/>
        <v>-60</v>
      </c>
      <c r="L145" s="17"/>
      <c r="M145" s="19" t="str">
        <f t="shared" si="14"/>
        <v/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3"/>
        <v>-6</v>
      </c>
      <c r="K146" s="17">
        <f t="shared" si="12"/>
        <v>-60</v>
      </c>
      <c r="L146" s="17"/>
      <c r="M146" s="19" t="str">
        <f t="shared" si="14"/>
        <v/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3"/>
        <v>-6</v>
      </c>
      <c r="K147" s="17">
        <f t="shared" si="12"/>
        <v>-60</v>
      </c>
      <c r="L147" s="17"/>
      <c r="M147" s="19" t="str">
        <f t="shared" si="14"/>
        <v/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3"/>
        <v>-6</v>
      </c>
      <c r="K148" s="17">
        <f t="shared" si="12"/>
        <v>-60</v>
      </c>
      <c r="L148" s="17"/>
      <c r="M148" s="19" t="str">
        <f t="shared" si="14"/>
        <v/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3"/>
        <v>-6</v>
      </c>
      <c r="K149" s="17">
        <f t="shared" si="12"/>
        <v>-60</v>
      </c>
      <c r="L149" s="17"/>
      <c r="M149" s="19" t="str">
        <f t="shared" si="14"/>
        <v/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3"/>
        <v>-6</v>
      </c>
      <c r="K150" s="17">
        <f t="shared" si="12"/>
        <v>-60</v>
      </c>
      <c r="L150" s="17"/>
      <c r="M150" s="19" t="str">
        <f t="shared" si="14"/>
        <v/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3"/>
        <v>-6</v>
      </c>
      <c r="K151" s="17">
        <f t="shared" si="12"/>
        <v>-60</v>
      </c>
      <c r="L151" s="17"/>
      <c r="M151" s="19" t="str">
        <f t="shared" si="14"/>
        <v/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3"/>
        <v>-6</v>
      </c>
      <c r="K152" s="17">
        <f t="shared" si="12"/>
        <v>-60</v>
      </c>
      <c r="L152" s="17"/>
      <c r="M152" s="19" t="str">
        <f t="shared" si="14"/>
        <v/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3"/>
        <v>-6</v>
      </c>
      <c r="K153" s="17">
        <f t="shared" si="12"/>
        <v>-60</v>
      </c>
      <c r="L153" s="17"/>
      <c r="M153" s="19" t="str">
        <f t="shared" si="14"/>
        <v/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3"/>
        <v>-6</v>
      </c>
      <c r="K154" s="17">
        <f t="shared" si="12"/>
        <v>-60</v>
      </c>
      <c r="L154" s="17"/>
      <c r="M154" s="19" t="str">
        <f t="shared" si="14"/>
        <v/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3"/>
        <v>-6</v>
      </c>
      <c r="K155" s="17">
        <f t="shared" si="12"/>
        <v>-60</v>
      </c>
      <c r="L155" s="17"/>
      <c r="M155" s="19" t="str">
        <f t="shared" si="14"/>
        <v/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3"/>
        <v>-6</v>
      </c>
      <c r="K156" s="17">
        <f t="shared" si="12"/>
        <v>-60</v>
      </c>
      <c r="L156" s="17"/>
      <c r="M156" s="19" t="str">
        <f t="shared" si="14"/>
        <v/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3"/>
        <v>-6</v>
      </c>
      <c r="K157" s="17">
        <f t="shared" si="12"/>
        <v>-60</v>
      </c>
      <c r="L157" s="17"/>
      <c r="M157" s="19" t="str">
        <f t="shared" si="14"/>
        <v/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3"/>
        <v>-6</v>
      </c>
      <c r="K158" s="17">
        <f t="shared" si="12"/>
        <v>-60</v>
      </c>
      <c r="L158" s="17"/>
      <c r="M158" s="19" t="str">
        <f t="shared" si="14"/>
        <v/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3"/>
        <v>-6</v>
      </c>
      <c r="K159" s="17">
        <f t="shared" si="12"/>
        <v>-60</v>
      </c>
      <c r="L159" s="17"/>
      <c r="M159" s="19" t="str">
        <f t="shared" si="14"/>
        <v/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3"/>
        <v>-6</v>
      </c>
      <c r="K160" s="17">
        <f t="shared" si="12"/>
        <v>-60</v>
      </c>
      <c r="L160" s="17"/>
      <c r="M160" s="19" t="str">
        <f t="shared" si="14"/>
        <v/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3"/>
        <v>-6</v>
      </c>
      <c r="K161" s="17">
        <f t="shared" si="12"/>
        <v>-60</v>
      </c>
      <c r="L161" s="17"/>
      <c r="M161" s="19" t="str">
        <f t="shared" si="14"/>
        <v/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3"/>
        <v>-6</v>
      </c>
      <c r="K162" s="17">
        <f t="shared" si="12"/>
        <v>-60</v>
      </c>
      <c r="L162" s="17"/>
      <c r="M162" s="19" t="str">
        <f t="shared" si="14"/>
        <v/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3"/>
        <v>-6</v>
      </c>
      <c r="K163" s="17">
        <f t="shared" si="12"/>
        <v>-60</v>
      </c>
      <c r="L163" s="17"/>
      <c r="M163" s="19" t="str">
        <f t="shared" si="14"/>
        <v/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3"/>
        <v>-6</v>
      </c>
      <c r="K164" s="17">
        <f t="shared" si="12"/>
        <v>-60</v>
      </c>
      <c r="L164" s="17"/>
      <c r="M164" s="19" t="str">
        <f t="shared" si="14"/>
        <v/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3"/>
        <v>-6</v>
      </c>
      <c r="K165" s="17">
        <f t="shared" si="12"/>
        <v>-60</v>
      </c>
      <c r="L165" s="17"/>
      <c r="M165" s="19" t="str">
        <f t="shared" si="14"/>
        <v/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3"/>
        <v>-6</v>
      </c>
      <c r="K166" s="17">
        <f t="shared" si="12"/>
        <v>-60</v>
      </c>
      <c r="L166" s="17"/>
      <c r="M166" s="19" t="str">
        <f t="shared" si="14"/>
        <v/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3"/>
        <v>-6</v>
      </c>
      <c r="K167" s="17">
        <f t="shared" si="12"/>
        <v>-60</v>
      </c>
      <c r="L167" s="17"/>
      <c r="M167" s="19" t="str">
        <f t="shared" si="14"/>
        <v/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3"/>
        <v>-6</v>
      </c>
      <c r="K168" s="17">
        <f t="shared" si="12"/>
        <v>-60</v>
      </c>
      <c r="L168" s="17"/>
      <c r="M168" s="19" t="str">
        <f t="shared" si="14"/>
        <v/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3"/>
        <v>-6</v>
      </c>
      <c r="K169" s="17">
        <f t="shared" si="12"/>
        <v>-60</v>
      </c>
      <c r="L169" s="17"/>
      <c r="M169" s="19" t="str">
        <f t="shared" si="14"/>
        <v/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3"/>
        <v>-6</v>
      </c>
      <c r="K170" s="17">
        <f t="shared" si="12"/>
        <v>-60</v>
      </c>
      <c r="L170" s="17"/>
      <c r="M170" s="19" t="str">
        <f t="shared" si="14"/>
        <v/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3"/>
        <v>-6</v>
      </c>
      <c r="K171" s="17">
        <f t="shared" si="12"/>
        <v>-60</v>
      </c>
      <c r="L171" s="17"/>
      <c r="M171" s="19" t="str">
        <f t="shared" si="14"/>
        <v/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3"/>
        <v>-6</v>
      </c>
      <c r="K172" s="17">
        <f t="shared" si="12"/>
        <v>-60</v>
      </c>
      <c r="L172" s="17"/>
      <c r="M172" s="19" t="str">
        <f t="shared" si="14"/>
        <v/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3"/>
        <v>-6</v>
      </c>
      <c r="K173" s="17">
        <f t="shared" si="12"/>
        <v>-60</v>
      </c>
      <c r="L173" s="17"/>
      <c r="M173" s="19" t="str">
        <f t="shared" si="14"/>
        <v/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3"/>
        <v>-6</v>
      </c>
      <c r="K174" s="17">
        <f t="shared" si="12"/>
        <v>-60</v>
      </c>
      <c r="L174" s="17"/>
      <c r="M174" s="19" t="str">
        <f t="shared" si="14"/>
        <v/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3"/>
        <v>-6</v>
      </c>
      <c r="K175" s="17">
        <f t="shared" si="12"/>
        <v>-60</v>
      </c>
      <c r="L175" s="17"/>
      <c r="M175" s="19" t="str">
        <f t="shared" si="14"/>
        <v/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3"/>
        <v>-6</v>
      </c>
      <c r="K176" s="17">
        <f t="shared" si="12"/>
        <v>-60</v>
      </c>
      <c r="L176" s="17"/>
      <c r="M176" s="19" t="str">
        <f t="shared" si="14"/>
        <v/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3"/>
        <v>-6</v>
      </c>
      <c r="K177" s="17">
        <f t="shared" si="12"/>
        <v>-60</v>
      </c>
      <c r="L177" s="17"/>
      <c r="M177" s="19" t="str">
        <f t="shared" si="14"/>
        <v/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3"/>
        <v>-6</v>
      </c>
      <c r="K178" s="17">
        <f t="shared" si="12"/>
        <v>-60</v>
      </c>
      <c r="L178" s="17"/>
      <c r="M178" s="19" t="str">
        <f t="shared" si="14"/>
        <v/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3"/>
        <v>-6</v>
      </c>
      <c r="K179" s="17">
        <f t="shared" si="12"/>
        <v>-60</v>
      </c>
      <c r="L179" s="17"/>
      <c r="M179" s="19" t="str">
        <f t="shared" si="14"/>
        <v/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3"/>
        <v>-6</v>
      </c>
      <c r="K180" s="17">
        <f t="shared" si="12"/>
        <v>-60</v>
      </c>
      <c r="L180" s="17"/>
      <c r="M180" s="19" t="str">
        <f t="shared" si="14"/>
        <v/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3"/>
        <v>-6</v>
      </c>
      <c r="K181" s="17">
        <f t="shared" si="12"/>
        <v>-60</v>
      </c>
      <c r="L181" s="17"/>
      <c r="M181" s="19" t="str">
        <f t="shared" si="14"/>
        <v/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3"/>
        <v>-6</v>
      </c>
      <c r="K182" s="17">
        <f t="shared" si="12"/>
        <v>-60</v>
      </c>
      <c r="L182" s="17"/>
      <c r="M182" s="19" t="str">
        <f t="shared" si="14"/>
        <v/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3"/>
        <v>-6</v>
      </c>
      <c r="K183" s="17">
        <f t="shared" si="12"/>
        <v>-60</v>
      </c>
      <c r="L183" s="17"/>
      <c r="M183" s="19" t="str">
        <f t="shared" si="14"/>
        <v/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3"/>
        <v>-6</v>
      </c>
      <c r="K184" s="17">
        <f t="shared" si="12"/>
        <v>-60</v>
      </c>
      <c r="L184" s="17"/>
      <c r="M184" s="19" t="str">
        <f t="shared" si="14"/>
        <v/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3"/>
        <v>-6</v>
      </c>
      <c r="K185" s="17">
        <f t="shared" si="12"/>
        <v>-60</v>
      </c>
      <c r="L185" s="17"/>
      <c r="M185" s="19" t="str">
        <f t="shared" si="14"/>
        <v/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3"/>
        <v>-6</v>
      </c>
      <c r="K186" s="17">
        <f t="shared" si="12"/>
        <v>-60</v>
      </c>
      <c r="L186" s="17"/>
      <c r="M186" s="19" t="str">
        <f t="shared" si="14"/>
        <v/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3"/>
        <v>-6</v>
      </c>
      <c r="K187" s="17">
        <f t="shared" si="12"/>
        <v>-60</v>
      </c>
      <c r="L187" s="17"/>
      <c r="M187" s="19" t="str">
        <f t="shared" si="14"/>
        <v/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3"/>
        <v>-6</v>
      </c>
      <c r="K188" s="17">
        <f t="shared" si="12"/>
        <v>-60</v>
      </c>
      <c r="L188" s="17"/>
      <c r="M188" s="19" t="str">
        <f t="shared" si="14"/>
        <v/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3"/>
        <v>-6</v>
      </c>
      <c r="K189" s="17">
        <f t="shared" si="12"/>
        <v>-60</v>
      </c>
      <c r="L189" s="17"/>
      <c r="M189" s="19" t="str">
        <f t="shared" si="14"/>
        <v/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3"/>
        <v>-6</v>
      </c>
      <c r="K190" s="17">
        <f t="shared" si="12"/>
        <v>-60</v>
      </c>
      <c r="L190" s="17"/>
      <c r="M190" s="19" t="str">
        <f t="shared" si="14"/>
        <v/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3"/>
        <v>-6</v>
      </c>
      <c r="K191" s="17">
        <f t="shared" si="12"/>
        <v>-60</v>
      </c>
      <c r="L191" s="17"/>
      <c r="M191" s="19" t="str">
        <f t="shared" si="14"/>
        <v/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3"/>
        <v>-6</v>
      </c>
      <c r="K192" s="17">
        <f t="shared" si="12"/>
        <v>-60</v>
      </c>
      <c r="L192" s="17"/>
      <c r="M192" s="19" t="str">
        <f t="shared" si="14"/>
        <v/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3"/>
        <v>-6</v>
      </c>
      <c r="K193" s="17">
        <f t="shared" si="12"/>
        <v>-60</v>
      </c>
      <c r="L193" s="17"/>
      <c r="M193" s="19" t="str">
        <f t="shared" si="14"/>
        <v/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3"/>
        <v>-6</v>
      </c>
      <c r="K194" s="17">
        <f t="shared" si="12"/>
        <v>-60</v>
      </c>
      <c r="L194" s="17"/>
      <c r="M194" s="19" t="str">
        <f t="shared" si="14"/>
        <v/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3"/>
        <v>-6</v>
      </c>
      <c r="K195" s="17">
        <f t="shared" si="12"/>
        <v>-60</v>
      </c>
      <c r="L195" s="17"/>
      <c r="M195" s="19" t="str">
        <f t="shared" si="14"/>
        <v/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3"/>
        <v>-6</v>
      </c>
      <c r="K196" s="17">
        <f t="shared" si="12"/>
        <v>-60</v>
      </c>
      <c r="L196" s="17"/>
      <c r="M196" s="19" t="str">
        <f t="shared" si="14"/>
        <v/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3"/>
        <v>-6</v>
      </c>
      <c r="K197" s="17">
        <f t="shared" si="12"/>
        <v>-60</v>
      </c>
      <c r="L197" s="17"/>
      <c r="M197" s="19" t="str">
        <f t="shared" si="14"/>
        <v/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3"/>
        <v>-6</v>
      </c>
      <c r="K198" s="17">
        <f t="shared" ref="K198:K261" si="16">J198*$J$2</f>
        <v>-60</v>
      </c>
      <c r="L198" s="17"/>
      <c r="M198" s="19" t="str">
        <f t="shared" si="14"/>
        <v/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7">INT(LOG($H$2,2))-ROUNDUP(LOG(H199,2),0)+IF(OR($H$2=1,$H$2=2,$H$2=4,$H$2=8,$H$2=16,$H$2=32,$H$2=64,$H$2=128,$H$2=256),0,1)</f>
        <v>-6</v>
      </c>
      <c r="K199" s="17">
        <f t="shared" si="16"/>
        <v>-60</v>
      </c>
      <c r="L199" s="17"/>
      <c r="M199" s="19" t="str">
        <f t="shared" ref="M199:M262" si="18">IF(I199&lt;&gt;"",K199+I199+L199,"")</f>
        <v/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7"/>
        <v>-6</v>
      </c>
      <c r="K200" s="17">
        <f t="shared" si="16"/>
        <v>-60</v>
      </c>
      <c r="L200" s="17"/>
      <c r="M200" s="19" t="str">
        <f t="shared" si="18"/>
        <v/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7"/>
        <v>-6</v>
      </c>
      <c r="K201" s="17">
        <f t="shared" si="16"/>
        <v>-60</v>
      </c>
      <c r="L201" s="17"/>
      <c r="M201" s="19" t="str">
        <f t="shared" si="18"/>
        <v/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7"/>
        <v>-6</v>
      </c>
      <c r="K202" s="17">
        <f t="shared" si="16"/>
        <v>-60</v>
      </c>
      <c r="L202" s="17"/>
      <c r="M202" s="19" t="str">
        <f t="shared" si="18"/>
        <v/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7"/>
        <v>-6</v>
      </c>
      <c r="K203" s="17">
        <f t="shared" si="16"/>
        <v>-60</v>
      </c>
      <c r="L203" s="17"/>
      <c r="M203" s="19" t="str">
        <f t="shared" si="18"/>
        <v/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7"/>
        <v>-6</v>
      </c>
      <c r="K204" s="17">
        <f t="shared" si="16"/>
        <v>-60</v>
      </c>
      <c r="L204" s="17"/>
      <c r="M204" s="19" t="str">
        <f t="shared" si="18"/>
        <v/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7"/>
        <v>-6</v>
      </c>
      <c r="K205" s="17">
        <f t="shared" si="16"/>
        <v>-60</v>
      </c>
      <c r="L205" s="17"/>
      <c r="M205" s="19" t="str">
        <f t="shared" si="18"/>
        <v/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7"/>
        <v>-6</v>
      </c>
      <c r="K206" s="17">
        <f t="shared" si="16"/>
        <v>-60</v>
      </c>
      <c r="L206" s="17"/>
      <c r="M206" s="19" t="str">
        <f t="shared" si="18"/>
        <v/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7"/>
        <v>-6</v>
      </c>
      <c r="K207" s="17">
        <f t="shared" si="16"/>
        <v>-60</v>
      </c>
      <c r="L207" s="17"/>
      <c r="M207" s="19" t="str">
        <f t="shared" si="18"/>
        <v/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7"/>
        <v>-6</v>
      </c>
      <c r="K208" s="17">
        <f t="shared" si="16"/>
        <v>-60</v>
      </c>
      <c r="L208" s="17"/>
      <c r="M208" s="19" t="str">
        <f t="shared" si="18"/>
        <v/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7"/>
        <v>-6</v>
      </c>
      <c r="K209" s="17">
        <f t="shared" si="16"/>
        <v>-60</v>
      </c>
      <c r="L209" s="17"/>
      <c r="M209" s="19" t="str">
        <f t="shared" si="18"/>
        <v/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7"/>
        <v>-6</v>
      </c>
      <c r="K210" s="17">
        <f t="shared" si="16"/>
        <v>-60</v>
      </c>
      <c r="L210" s="17"/>
      <c r="M210" s="19" t="str">
        <f t="shared" si="18"/>
        <v/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7"/>
        <v>-6</v>
      </c>
      <c r="K211" s="17">
        <f t="shared" si="16"/>
        <v>-60</v>
      </c>
      <c r="L211" s="17"/>
      <c r="M211" s="19" t="str">
        <f t="shared" si="18"/>
        <v/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7"/>
        <v>-6</v>
      </c>
      <c r="K212" s="17">
        <f t="shared" si="16"/>
        <v>-60</v>
      </c>
      <c r="L212" s="17"/>
      <c r="M212" s="19" t="str">
        <f t="shared" si="18"/>
        <v/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7"/>
        <v>-6</v>
      </c>
      <c r="K213" s="17">
        <f t="shared" si="16"/>
        <v>-60</v>
      </c>
      <c r="L213" s="17"/>
      <c r="M213" s="19" t="str">
        <f t="shared" si="18"/>
        <v/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7"/>
        <v>-6</v>
      </c>
      <c r="K214" s="17">
        <f t="shared" si="16"/>
        <v>-60</v>
      </c>
      <c r="L214" s="17"/>
      <c r="M214" s="19" t="str">
        <f t="shared" si="18"/>
        <v/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7"/>
        <v>-6</v>
      </c>
      <c r="K215" s="17">
        <f t="shared" si="16"/>
        <v>-60</v>
      </c>
      <c r="L215" s="17"/>
      <c r="M215" s="19" t="str">
        <f t="shared" si="18"/>
        <v/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7"/>
        <v>-6</v>
      </c>
      <c r="K216" s="17">
        <f t="shared" si="16"/>
        <v>-60</v>
      </c>
      <c r="L216" s="17"/>
      <c r="M216" s="19" t="str">
        <f t="shared" si="18"/>
        <v/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7"/>
        <v>-6</v>
      </c>
      <c r="K217" s="17">
        <f t="shared" si="16"/>
        <v>-60</v>
      </c>
      <c r="L217" s="17"/>
      <c r="M217" s="19" t="str">
        <f t="shared" si="18"/>
        <v/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7"/>
        <v>-6</v>
      </c>
      <c r="K218" s="17">
        <f t="shared" si="16"/>
        <v>-60</v>
      </c>
      <c r="L218" s="17"/>
      <c r="M218" s="19" t="str">
        <f t="shared" si="18"/>
        <v/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7"/>
        <v>-6</v>
      </c>
      <c r="K219" s="17">
        <f t="shared" si="16"/>
        <v>-60</v>
      </c>
      <c r="L219" s="17"/>
      <c r="M219" s="19" t="str">
        <f t="shared" si="18"/>
        <v/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7"/>
        <v>-6</v>
      </c>
      <c r="K220" s="17">
        <f t="shared" si="16"/>
        <v>-60</v>
      </c>
      <c r="L220" s="17"/>
      <c r="M220" s="19" t="str">
        <f t="shared" si="18"/>
        <v/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7"/>
        <v>-6</v>
      </c>
      <c r="K221" s="17">
        <f t="shared" si="16"/>
        <v>-60</v>
      </c>
      <c r="L221" s="17"/>
      <c r="M221" s="19" t="str">
        <f t="shared" si="18"/>
        <v/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7"/>
        <v>-6</v>
      </c>
      <c r="K222" s="17">
        <f t="shared" si="16"/>
        <v>-60</v>
      </c>
      <c r="L222" s="17"/>
      <c r="M222" s="19" t="str">
        <f t="shared" si="18"/>
        <v/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7"/>
        <v>-6</v>
      </c>
      <c r="K223" s="17">
        <f t="shared" si="16"/>
        <v>-60</v>
      </c>
      <c r="L223" s="17"/>
      <c r="M223" s="19" t="str">
        <f t="shared" si="18"/>
        <v/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7"/>
        <v>-6</v>
      </c>
      <c r="K224" s="17">
        <f t="shared" si="16"/>
        <v>-60</v>
      </c>
      <c r="L224" s="17"/>
      <c r="M224" s="19" t="str">
        <f t="shared" si="18"/>
        <v/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7"/>
        <v>-6</v>
      </c>
      <c r="K225" s="17">
        <f t="shared" si="16"/>
        <v>-60</v>
      </c>
      <c r="L225" s="17"/>
      <c r="M225" s="19" t="str">
        <f t="shared" si="18"/>
        <v/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7"/>
        <v>-6</v>
      </c>
      <c r="K226" s="17">
        <f t="shared" si="16"/>
        <v>-60</v>
      </c>
      <c r="L226" s="17"/>
      <c r="M226" s="19" t="str">
        <f t="shared" si="18"/>
        <v/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7"/>
        <v>-6</v>
      </c>
      <c r="K227" s="17">
        <f t="shared" si="16"/>
        <v>-60</v>
      </c>
      <c r="L227" s="17"/>
      <c r="M227" s="19" t="str">
        <f t="shared" si="18"/>
        <v/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7"/>
        <v>-6</v>
      </c>
      <c r="K228" s="17">
        <f t="shared" si="16"/>
        <v>-60</v>
      </c>
      <c r="L228" s="17"/>
      <c r="M228" s="19" t="str">
        <f t="shared" si="18"/>
        <v/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7"/>
        <v>-6</v>
      </c>
      <c r="K229" s="17">
        <f t="shared" si="16"/>
        <v>-60</v>
      </c>
      <c r="L229" s="17"/>
      <c r="M229" s="19" t="str">
        <f t="shared" si="18"/>
        <v/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7"/>
        <v>-6</v>
      </c>
      <c r="K230" s="17">
        <f t="shared" si="16"/>
        <v>-60</v>
      </c>
      <c r="L230" s="17"/>
      <c r="M230" s="19" t="str">
        <f t="shared" si="18"/>
        <v/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7"/>
        <v>-6</v>
      </c>
      <c r="K231" s="17">
        <f t="shared" si="16"/>
        <v>-60</v>
      </c>
      <c r="L231" s="17"/>
      <c r="M231" s="19" t="str">
        <f t="shared" si="18"/>
        <v/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7"/>
        <v>-6</v>
      </c>
      <c r="K232" s="17">
        <f t="shared" si="16"/>
        <v>-60</v>
      </c>
      <c r="L232" s="17"/>
      <c r="M232" s="19" t="str">
        <f t="shared" si="18"/>
        <v/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7"/>
        <v>-6</v>
      </c>
      <c r="K233" s="17">
        <f t="shared" si="16"/>
        <v>-60</v>
      </c>
      <c r="L233" s="17"/>
      <c r="M233" s="19" t="str">
        <f t="shared" si="18"/>
        <v/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7"/>
        <v>-6</v>
      </c>
      <c r="K234" s="17">
        <f t="shared" si="16"/>
        <v>-60</v>
      </c>
      <c r="L234" s="17"/>
      <c r="M234" s="19" t="str">
        <f t="shared" si="18"/>
        <v/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7"/>
        <v>-6</v>
      </c>
      <c r="K235" s="17">
        <f t="shared" si="16"/>
        <v>-60</v>
      </c>
      <c r="L235" s="17"/>
      <c r="M235" s="19" t="str">
        <f t="shared" si="18"/>
        <v/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7"/>
        <v>-6</v>
      </c>
      <c r="K236" s="17">
        <f t="shared" si="16"/>
        <v>-60</v>
      </c>
      <c r="L236" s="17"/>
      <c r="M236" s="19" t="str">
        <f t="shared" si="18"/>
        <v/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7"/>
        <v>-6</v>
      </c>
      <c r="K237" s="17">
        <f t="shared" si="16"/>
        <v>-60</v>
      </c>
      <c r="L237" s="17"/>
      <c r="M237" s="19" t="str">
        <f t="shared" si="18"/>
        <v/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7"/>
        <v>-6</v>
      </c>
      <c r="K238" s="17">
        <f t="shared" si="16"/>
        <v>-60</v>
      </c>
      <c r="L238" s="17"/>
      <c r="M238" s="19" t="str">
        <f t="shared" si="18"/>
        <v/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7"/>
        <v>-6</v>
      </c>
      <c r="K239" s="17">
        <f t="shared" si="16"/>
        <v>-60</v>
      </c>
      <c r="L239" s="17"/>
      <c r="M239" s="19" t="str">
        <f t="shared" si="18"/>
        <v/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7"/>
        <v>-6</v>
      </c>
      <c r="K240" s="17">
        <f t="shared" si="16"/>
        <v>-60</v>
      </c>
      <c r="L240" s="17"/>
      <c r="M240" s="19" t="str">
        <f t="shared" si="18"/>
        <v/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7"/>
        <v>-6</v>
      </c>
      <c r="K241" s="17">
        <f t="shared" si="16"/>
        <v>-60</v>
      </c>
      <c r="L241" s="17"/>
      <c r="M241" s="19" t="str">
        <f t="shared" si="18"/>
        <v/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7"/>
        <v>-6</v>
      </c>
      <c r="K242" s="17">
        <f t="shared" si="16"/>
        <v>-60</v>
      </c>
      <c r="L242" s="17"/>
      <c r="M242" s="19" t="str">
        <f t="shared" si="18"/>
        <v/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7"/>
        <v>-6</v>
      </c>
      <c r="K243" s="17">
        <f t="shared" si="16"/>
        <v>-60</v>
      </c>
      <c r="L243" s="17"/>
      <c r="M243" s="19" t="str">
        <f t="shared" si="18"/>
        <v/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7"/>
        <v>-6</v>
      </c>
      <c r="K244" s="17">
        <f t="shared" si="16"/>
        <v>-60</v>
      </c>
      <c r="L244" s="17"/>
      <c r="M244" s="19" t="str">
        <f t="shared" si="18"/>
        <v/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7"/>
        <v>-6</v>
      </c>
      <c r="K245" s="17">
        <f t="shared" si="16"/>
        <v>-60</v>
      </c>
      <c r="L245" s="17"/>
      <c r="M245" s="19" t="str">
        <f t="shared" si="18"/>
        <v/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7"/>
        <v>-6</v>
      </c>
      <c r="K246" s="17">
        <f t="shared" si="16"/>
        <v>-60</v>
      </c>
      <c r="L246" s="17"/>
      <c r="M246" s="19" t="str">
        <f t="shared" si="18"/>
        <v/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7"/>
        <v>-6</v>
      </c>
      <c r="K247" s="17">
        <f t="shared" si="16"/>
        <v>-60</v>
      </c>
      <c r="L247" s="17"/>
      <c r="M247" s="19" t="str">
        <f t="shared" si="18"/>
        <v/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7"/>
        <v>-6</v>
      </c>
      <c r="K248" s="17">
        <f t="shared" si="16"/>
        <v>-60</v>
      </c>
      <c r="L248" s="17"/>
      <c r="M248" s="19" t="str">
        <f t="shared" si="18"/>
        <v/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7"/>
        <v>-6</v>
      </c>
      <c r="K249" s="17">
        <f t="shared" si="16"/>
        <v>-60</v>
      </c>
      <c r="L249" s="17"/>
      <c r="M249" s="19" t="str">
        <f t="shared" si="18"/>
        <v/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7"/>
        <v>-6</v>
      </c>
      <c r="K250" s="17">
        <f t="shared" si="16"/>
        <v>-60</v>
      </c>
      <c r="L250" s="17"/>
      <c r="M250" s="19" t="str">
        <f t="shared" si="18"/>
        <v/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7"/>
        <v>-6</v>
      </c>
      <c r="K251" s="17">
        <f t="shared" si="16"/>
        <v>-60</v>
      </c>
      <c r="L251" s="17"/>
      <c r="M251" s="19" t="str">
        <f t="shared" si="18"/>
        <v/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7"/>
        <v>-6</v>
      </c>
      <c r="K252" s="17">
        <f t="shared" si="16"/>
        <v>-60</v>
      </c>
      <c r="L252" s="17"/>
      <c r="M252" s="19" t="str">
        <f t="shared" si="18"/>
        <v/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7"/>
        <v>-6</v>
      </c>
      <c r="K253" s="17">
        <f t="shared" si="16"/>
        <v>-60</v>
      </c>
      <c r="L253" s="17"/>
      <c r="M253" s="19" t="str">
        <f t="shared" si="18"/>
        <v/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7"/>
        <v>-6</v>
      </c>
      <c r="K254" s="17">
        <f t="shared" si="16"/>
        <v>-60</v>
      </c>
      <c r="L254" s="17"/>
      <c r="M254" s="19" t="str">
        <f t="shared" si="18"/>
        <v/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7"/>
        <v>-6</v>
      </c>
      <c r="K255" s="17">
        <f t="shared" si="16"/>
        <v>-60</v>
      </c>
      <c r="L255" s="17"/>
      <c r="M255" s="19" t="str">
        <f t="shared" si="18"/>
        <v/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7"/>
        <v>-6</v>
      </c>
      <c r="K256" s="17">
        <f t="shared" si="16"/>
        <v>-60</v>
      </c>
      <c r="L256" s="17"/>
      <c r="M256" s="19" t="str">
        <f t="shared" si="18"/>
        <v/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7"/>
        <v>-6</v>
      </c>
      <c r="K257" s="17">
        <f t="shared" si="16"/>
        <v>-60</v>
      </c>
      <c r="L257" s="17"/>
      <c r="M257" s="19" t="str">
        <f t="shared" si="18"/>
        <v/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7"/>
        <v>-6</v>
      </c>
      <c r="K258" s="17">
        <f t="shared" si="16"/>
        <v>-60</v>
      </c>
      <c r="L258" s="17"/>
      <c r="M258" s="19" t="str">
        <f t="shared" si="18"/>
        <v/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7"/>
        <v>-6</v>
      </c>
      <c r="K259" s="17">
        <f t="shared" si="16"/>
        <v>-60</v>
      </c>
      <c r="L259" s="17"/>
      <c r="M259" s="19" t="str">
        <f t="shared" si="18"/>
        <v/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7"/>
        <v>-6</v>
      </c>
      <c r="K260" s="17">
        <f t="shared" si="16"/>
        <v>-60</v>
      </c>
      <c r="L260" s="17"/>
      <c r="M260" s="19" t="str">
        <f t="shared" si="18"/>
        <v/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7"/>
        <v>-6</v>
      </c>
      <c r="K261" s="17">
        <f t="shared" si="16"/>
        <v>-60</v>
      </c>
      <c r="L261" s="17"/>
      <c r="M261" s="19" t="str">
        <f t="shared" si="18"/>
        <v/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7"/>
        <v>-7</v>
      </c>
      <c r="K262" s="17">
        <f t="shared" ref="K262:K305" si="20">J262*$J$2</f>
        <v>-70</v>
      </c>
      <c r="L262" s="17"/>
      <c r="M262" s="19" t="str">
        <f t="shared" si="18"/>
        <v/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1">INT(LOG($H$2,2))-ROUNDUP(LOG(H263,2),0)+IF(OR($H$2=1,$H$2=2,$H$2=4,$H$2=8,$H$2=16,$H$2=32,$H$2=64,$H$2=128,$H$2=256),0,1)</f>
        <v>-7</v>
      </c>
      <c r="K263" s="17">
        <f t="shared" si="20"/>
        <v>-70</v>
      </c>
      <c r="L263" s="17"/>
      <c r="M263" s="19" t="str">
        <f t="shared" ref="M263:M305" si="22">IF(I263&lt;&gt;"",K263+I263+L263,"")</f>
        <v/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1"/>
        <v>-7</v>
      </c>
      <c r="K264" s="17">
        <f t="shared" si="20"/>
        <v>-70</v>
      </c>
      <c r="L264" s="17"/>
      <c r="M264" s="19" t="str">
        <f t="shared" si="22"/>
        <v/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1"/>
        <v>-7</v>
      </c>
      <c r="K265" s="17">
        <f t="shared" si="20"/>
        <v>-70</v>
      </c>
      <c r="L265" s="17"/>
      <c r="M265" s="19" t="str">
        <f t="shared" si="22"/>
        <v/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1"/>
        <v>-7</v>
      </c>
      <c r="K266" s="17">
        <f t="shared" si="20"/>
        <v>-70</v>
      </c>
      <c r="L266" s="17"/>
      <c r="M266" s="19" t="str">
        <f t="shared" si="22"/>
        <v/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1"/>
        <v>-7</v>
      </c>
      <c r="K267" s="17">
        <f t="shared" si="20"/>
        <v>-70</v>
      </c>
      <c r="L267" s="17"/>
      <c r="M267" s="19" t="str">
        <f t="shared" si="22"/>
        <v/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1"/>
        <v>-7</v>
      </c>
      <c r="K268" s="17">
        <f t="shared" si="20"/>
        <v>-70</v>
      </c>
      <c r="L268" s="17"/>
      <c r="M268" s="19" t="str">
        <f t="shared" si="22"/>
        <v/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1"/>
        <v>-7</v>
      </c>
      <c r="K269" s="17">
        <f t="shared" si="20"/>
        <v>-70</v>
      </c>
      <c r="L269" s="17"/>
      <c r="M269" s="19" t="str">
        <f t="shared" si="22"/>
        <v/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1"/>
        <v>-7</v>
      </c>
      <c r="K270" s="17">
        <f t="shared" si="20"/>
        <v>-70</v>
      </c>
      <c r="L270" s="17"/>
      <c r="M270" s="19" t="str">
        <f t="shared" si="22"/>
        <v/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1"/>
        <v>-7</v>
      </c>
      <c r="K271" s="17">
        <f t="shared" si="20"/>
        <v>-70</v>
      </c>
      <c r="L271" s="17"/>
      <c r="M271" s="19" t="str">
        <f t="shared" si="22"/>
        <v/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1"/>
        <v>-7</v>
      </c>
      <c r="K272" s="17">
        <f t="shared" si="20"/>
        <v>-70</v>
      </c>
      <c r="L272" s="17"/>
      <c r="M272" s="19" t="str">
        <f t="shared" si="22"/>
        <v/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1"/>
        <v>-7</v>
      </c>
      <c r="K273" s="17">
        <f t="shared" si="20"/>
        <v>-70</v>
      </c>
      <c r="L273" s="17"/>
      <c r="M273" s="19" t="str">
        <f t="shared" si="22"/>
        <v/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1"/>
        <v>-7</v>
      </c>
      <c r="K274" s="17">
        <f t="shared" si="20"/>
        <v>-70</v>
      </c>
      <c r="L274" s="17"/>
      <c r="M274" s="19" t="str">
        <f t="shared" si="22"/>
        <v/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1"/>
        <v>-7</v>
      </c>
      <c r="K275" s="17">
        <f t="shared" si="20"/>
        <v>-70</v>
      </c>
      <c r="L275" s="17"/>
      <c r="M275" s="19" t="str">
        <f t="shared" si="22"/>
        <v/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1"/>
        <v>-7</v>
      </c>
      <c r="K276" s="17">
        <f t="shared" si="20"/>
        <v>-70</v>
      </c>
      <c r="L276" s="17"/>
      <c r="M276" s="19" t="str">
        <f t="shared" si="22"/>
        <v/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1"/>
        <v>-7</v>
      </c>
      <c r="K277" s="17">
        <f t="shared" si="20"/>
        <v>-70</v>
      </c>
      <c r="L277" s="17"/>
      <c r="M277" s="19" t="str">
        <f t="shared" si="22"/>
        <v/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1"/>
        <v>-7</v>
      </c>
      <c r="K278" s="17">
        <f t="shared" si="20"/>
        <v>-70</v>
      </c>
      <c r="L278" s="17"/>
      <c r="M278" s="19" t="str">
        <f t="shared" si="22"/>
        <v/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1"/>
        <v>-7</v>
      </c>
      <c r="K279" s="17">
        <f t="shared" si="20"/>
        <v>-70</v>
      </c>
      <c r="L279" s="17"/>
      <c r="M279" s="19" t="str">
        <f t="shared" si="22"/>
        <v/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1"/>
        <v>-7</v>
      </c>
      <c r="K280" s="17">
        <f t="shared" si="20"/>
        <v>-70</v>
      </c>
      <c r="L280" s="17"/>
      <c r="M280" s="19" t="str">
        <f t="shared" si="22"/>
        <v/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1"/>
        <v>-7</v>
      </c>
      <c r="K281" s="17">
        <f t="shared" si="20"/>
        <v>-70</v>
      </c>
      <c r="L281" s="17"/>
      <c r="M281" s="19" t="str">
        <f t="shared" si="22"/>
        <v/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1"/>
        <v>-7</v>
      </c>
      <c r="K282" s="17">
        <f t="shared" si="20"/>
        <v>-70</v>
      </c>
      <c r="L282" s="17"/>
      <c r="M282" s="19" t="str">
        <f t="shared" si="22"/>
        <v/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1"/>
        <v>-7</v>
      </c>
      <c r="K283" s="17">
        <f t="shared" si="20"/>
        <v>-70</v>
      </c>
      <c r="L283" s="17"/>
      <c r="M283" s="19" t="str">
        <f t="shared" si="22"/>
        <v/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1"/>
        <v>-7</v>
      </c>
      <c r="K284" s="17">
        <f t="shared" si="20"/>
        <v>-70</v>
      </c>
      <c r="L284" s="17"/>
      <c r="M284" s="19" t="str">
        <f t="shared" si="22"/>
        <v/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1"/>
        <v>-7</v>
      </c>
      <c r="K285" s="17">
        <f t="shared" si="20"/>
        <v>-70</v>
      </c>
      <c r="L285" s="17"/>
      <c r="M285" s="19" t="str">
        <f t="shared" si="22"/>
        <v/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1"/>
        <v>-7</v>
      </c>
      <c r="K286" s="17">
        <f t="shared" si="20"/>
        <v>-70</v>
      </c>
      <c r="L286" s="17"/>
      <c r="M286" s="19" t="str">
        <f t="shared" si="22"/>
        <v/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1"/>
        <v>-7</v>
      </c>
      <c r="K287" s="17">
        <f t="shared" si="20"/>
        <v>-70</v>
      </c>
      <c r="L287" s="17"/>
      <c r="M287" s="19" t="str">
        <f t="shared" si="22"/>
        <v/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1"/>
        <v>-7</v>
      </c>
      <c r="K288" s="17">
        <f t="shared" si="20"/>
        <v>-70</v>
      </c>
      <c r="L288" s="17"/>
      <c r="M288" s="19" t="str">
        <f t="shared" si="22"/>
        <v/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1"/>
        <v>-7</v>
      </c>
      <c r="K289" s="17">
        <f t="shared" si="20"/>
        <v>-70</v>
      </c>
      <c r="L289" s="17"/>
      <c r="M289" s="19" t="str">
        <f t="shared" si="22"/>
        <v/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1"/>
        <v>-7</v>
      </c>
      <c r="K290" s="17">
        <f t="shared" si="20"/>
        <v>-70</v>
      </c>
      <c r="L290" s="17"/>
      <c r="M290" s="19" t="str">
        <f t="shared" si="22"/>
        <v/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1"/>
        <v>-7</v>
      </c>
      <c r="K291" s="17">
        <f t="shared" si="20"/>
        <v>-70</v>
      </c>
      <c r="L291" s="17"/>
      <c r="M291" s="19" t="str">
        <f t="shared" si="22"/>
        <v/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1"/>
        <v>-7</v>
      </c>
      <c r="K292" s="17">
        <f t="shared" si="20"/>
        <v>-70</v>
      </c>
      <c r="L292" s="17"/>
      <c r="M292" s="19" t="str">
        <f t="shared" si="22"/>
        <v/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1"/>
        <v>-7</v>
      </c>
      <c r="K293" s="17">
        <f t="shared" si="20"/>
        <v>-70</v>
      </c>
      <c r="L293" s="17"/>
      <c r="M293" s="19" t="str">
        <f t="shared" si="22"/>
        <v/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1"/>
        <v>-7</v>
      </c>
      <c r="K294" s="17">
        <f t="shared" si="20"/>
        <v>-70</v>
      </c>
      <c r="L294" s="17"/>
      <c r="M294" s="19" t="str">
        <f t="shared" si="22"/>
        <v/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1"/>
        <v>-7</v>
      </c>
      <c r="K295" s="17">
        <f t="shared" si="20"/>
        <v>-70</v>
      </c>
      <c r="L295" s="17"/>
      <c r="M295" s="19" t="str">
        <f t="shared" si="22"/>
        <v/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1"/>
        <v>-7</v>
      </c>
      <c r="K296" s="17">
        <f t="shared" si="20"/>
        <v>-70</v>
      </c>
      <c r="L296" s="17"/>
      <c r="M296" s="19" t="str">
        <f t="shared" si="22"/>
        <v/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1"/>
        <v>-7</v>
      </c>
      <c r="K297" s="17">
        <f t="shared" si="20"/>
        <v>-70</v>
      </c>
      <c r="L297" s="17"/>
      <c r="M297" s="19" t="str">
        <f t="shared" si="22"/>
        <v/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1"/>
        <v>-7</v>
      </c>
      <c r="K298" s="17">
        <f t="shared" si="20"/>
        <v>-70</v>
      </c>
      <c r="L298" s="17"/>
      <c r="M298" s="19" t="str">
        <f t="shared" si="22"/>
        <v/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1"/>
        <v>-7</v>
      </c>
      <c r="K299" s="17">
        <f t="shared" si="20"/>
        <v>-70</v>
      </c>
      <c r="L299" s="17"/>
      <c r="M299" s="19" t="str">
        <f t="shared" si="22"/>
        <v/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1"/>
        <v>-7</v>
      </c>
      <c r="K300" s="17">
        <f t="shared" si="20"/>
        <v>-70</v>
      </c>
      <c r="L300" s="17"/>
      <c r="M300" s="19" t="str">
        <f t="shared" si="22"/>
        <v/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1"/>
        <v>-7</v>
      </c>
      <c r="K301" s="17">
        <f t="shared" si="20"/>
        <v>-70</v>
      </c>
      <c r="L301" s="17"/>
      <c r="M301" s="19" t="str">
        <f t="shared" si="22"/>
        <v/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1"/>
        <v>-7</v>
      </c>
      <c r="K302" s="17">
        <f t="shared" si="20"/>
        <v>-70</v>
      </c>
      <c r="L302" s="17"/>
      <c r="M302" s="19" t="str">
        <f t="shared" si="22"/>
        <v/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1"/>
        <v>-7</v>
      </c>
      <c r="K303" s="17">
        <f t="shared" si="20"/>
        <v>-70</v>
      </c>
      <c r="L303" s="17"/>
      <c r="M303" s="19" t="str">
        <f t="shared" si="22"/>
        <v/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1"/>
        <v>-7</v>
      </c>
      <c r="K304" s="17">
        <f t="shared" si="20"/>
        <v>-70</v>
      </c>
      <c r="L304" s="17"/>
      <c r="M304" s="19" t="str">
        <f t="shared" si="22"/>
        <v/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1"/>
        <v>-7</v>
      </c>
      <c r="K305" s="17">
        <f t="shared" si="20"/>
        <v>-70</v>
      </c>
      <c r="L305" s="17"/>
      <c r="M305" s="19" t="str">
        <f t="shared" si="22"/>
        <v/>
      </c>
    </row>
    <row r="306" spans="1:16">
      <c r="A306" s="43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103D-65B5-0844-95E7-CB3574621B51}">
  <sheetPr>
    <tabColor theme="9" tint="0.39997558519241921"/>
  </sheetPr>
  <dimension ref="A1:AL374"/>
  <sheetViews>
    <sheetView zoomScaleNormal="100" workbookViewId="0">
      <selection activeCell="C14" sqref="C14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39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35" t="s">
        <v>90</v>
      </c>
      <c r="D2" s="135"/>
      <c r="E2" s="6"/>
      <c r="F2" s="6"/>
      <c r="G2" s="6"/>
      <c r="H2" s="14">
        <v>11</v>
      </c>
      <c r="I2" s="68">
        <v>50</v>
      </c>
      <c r="J2" s="68">
        <v>10</v>
      </c>
      <c r="K2" s="76">
        <f>3*H2^(1/3)</f>
        <v>6.671940271707947</v>
      </c>
      <c r="L2" s="13"/>
      <c r="M2" s="13"/>
    </row>
    <row r="3" spans="1:34">
      <c r="A3" s="77"/>
      <c r="B3" s="48" t="s">
        <v>37</v>
      </c>
      <c r="C3" s="128">
        <v>44660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105">
        <f>F6</f>
        <v>110.01582081512385</v>
      </c>
      <c r="B6" s="36">
        <v>1</v>
      </c>
      <c r="C6" s="24" t="s">
        <v>19</v>
      </c>
      <c r="D6" s="24" t="s">
        <v>209</v>
      </c>
      <c r="E6" s="24" t="s">
        <v>68</v>
      </c>
      <c r="F6" s="81">
        <f>M6</f>
        <v>110.01582081512385</v>
      </c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4</v>
      </c>
      <c r="K6" s="17">
        <f t="shared" ref="K6:K69" si="1">J6*$J$2</f>
        <v>40</v>
      </c>
      <c r="L6" s="19">
        <f>3*K2</f>
        <v>20.015820815123842</v>
      </c>
      <c r="M6" s="18">
        <f>IF(I6&lt;&gt;"",K6+I6+L6,"")</f>
        <v>110.01582081512385</v>
      </c>
    </row>
    <row r="7" spans="1:34" ht="14.45" customHeight="1">
      <c r="A7" s="106">
        <f t="shared" ref="A7:A65" si="2">F7</f>
        <v>79.179704053839387</v>
      </c>
      <c r="B7" s="35">
        <v>2</v>
      </c>
      <c r="C7" s="25" t="s">
        <v>23</v>
      </c>
      <c r="D7" s="25" t="s">
        <v>210</v>
      </c>
      <c r="E7" s="25" t="s">
        <v>68</v>
      </c>
      <c r="F7" s="82">
        <f t="shared" ref="F7:F16" si="3">M7</f>
        <v>79.179704053839387</v>
      </c>
      <c r="G7" s="8"/>
      <c r="H7" s="44">
        <v>2</v>
      </c>
      <c r="I7" s="45">
        <f t="shared" si="0"/>
        <v>35.835823510423495</v>
      </c>
      <c r="J7" s="44">
        <f t="shared" ref="J7:J70" si="4">INT(LOG($H$2,2))-ROUNDUP(LOG(H7,2),0)+IF(OR($H$2=1,$H$2=2,$H$2=4,$H$2=8,$H$2=16,$H$2=32,$H$2=64,$H$2=128,$H$2=256),0,1)</f>
        <v>3</v>
      </c>
      <c r="K7" s="44">
        <f t="shared" si="1"/>
        <v>30</v>
      </c>
      <c r="L7" s="46">
        <f>2*K2</f>
        <v>13.343880543415894</v>
      </c>
      <c r="M7" s="45">
        <f t="shared" ref="M7:M70" si="5">IF(I7&lt;&gt;"",K7+I7+L7,"")</f>
        <v>79.179704053839387</v>
      </c>
    </row>
    <row r="8" spans="1:34" ht="14.45" customHeight="1">
      <c r="A8" s="105">
        <f t="shared" si="2"/>
        <v>54.222251682132963</v>
      </c>
      <c r="B8" s="36" t="s">
        <v>211</v>
      </c>
      <c r="C8" s="24" t="s">
        <v>212</v>
      </c>
      <c r="D8" s="24" t="s">
        <v>213</v>
      </c>
      <c r="E8" s="24" t="s">
        <v>214</v>
      </c>
      <c r="F8" s="81">
        <f t="shared" si="3"/>
        <v>54.222251682132963</v>
      </c>
      <c r="G8" s="8"/>
      <c r="H8" s="17">
        <v>3</v>
      </c>
      <c r="I8" s="18">
        <f t="shared" si="0"/>
        <v>27.550311410425017</v>
      </c>
      <c r="J8" s="17">
        <f t="shared" si="4"/>
        <v>2</v>
      </c>
      <c r="K8" s="17">
        <f t="shared" si="1"/>
        <v>20</v>
      </c>
      <c r="L8" s="19">
        <f>K2</f>
        <v>6.671940271707947</v>
      </c>
      <c r="M8" s="18">
        <f t="shared" si="5"/>
        <v>54.222251682132963</v>
      </c>
    </row>
    <row r="9" spans="1:34" ht="14.45" customHeight="1">
      <c r="A9" s="106">
        <f t="shared" si="2"/>
        <v>54.222251682132963</v>
      </c>
      <c r="B9" s="35" t="s">
        <v>211</v>
      </c>
      <c r="C9" s="25" t="s">
        <v>20</v>
      </c>
      <c r="D9" s="25" t="s">
        <v>81</v>
      </c>
      <c r="E9" s="25" t="s">
        <v>68</v>
      </c>
      <c r="F9" s="82">
        <f t="shared" si="3"/>
        <v>54.222251682132963</v>
      </c>
      <c r="G9" s="8"/>
      <c r="H9" s="44">
        <v>4</v>
      </c>
      <c r="I9" s="45">
        <f>IF(H9&lt;$H$2+1,($I$2-($I$2-1)*(LOG(H8)/LOG($H$2))),"")</f>
        <v>27.550311410425017</v>
      </c>
      <c r="J9" s="44">
        <f t="shared" si="4"/>
        <v>2</v>
      </c>
      <c r="K9" s="44">
        <f t="shared" si="1"/>
        <v>20</v>
      </c>
      <c r="L9" s="46">
        <f>K2</f>
        <v>6.671940271707947</v>
      </c>
      <c r="M9" s="45">
        <f t="shared" si="5"/>
        <v>54.222251682132963</v>
      </c>
      <c r="V9" s="27"/>
      <c r="Z9" s="28"/>
      <c r="AA9" s="28"/>
      <c r="AG9" s="29"/>
    </row>
    <row r="10" spans="1:34" ht="14.45" customHeight="1">
      <c r="A10" s="105">
        <f t="shared" si="2"/>
        <v>27.111800667909257</v>
      </c>
      <c r="B10" s="36">
        <v>5</v>
      </c>
      <c r="C10" s="24" t="s">
        <v>18</v>
      </c>
      <c r="D10" s="24" t="s">
        <v>215</v>
      </c>
      <c r="E10" s="24" t="s">
        <v>68</v>
      </c>
      <c r="F10" s="81">
        <f t="shared" si="3"/>
        <v>27.111800667909257</v>
      </c>
      <c r="G10" s="8"/>
      <c r="H10" s="17">
        <v>5</v>
      </c>
      <c r="I10" s="18">
        <f t="shared" si="0"/>
        <v>17.111800667909257</v>
      </c>
      <c r="J10" s="17">
        <f t="shared" si="4"/>
        <v>1</v>
      </c>
      <c r="K10" s="17">
        <f t="shared" si="1"/>
        <v>10</v>
      </c>
      <c r="L10" s="17"/>
      <c r="M10" s="18">
        <f t="shared" si="5"/>
        <v>27.111800667909257</v>
      </c>
      <c r="V10" s="27"/>
      <c r="Z10" s="28"/>
      <c r="AA10" s="28"/>
      <c r="AG10" s="29"/>
    </row>
    <row r="11" spans="1:34" ht="14.45" customHeight="1">
      <c r="A11" s="106">
        <f t="shared" si="2"/>
        <v>23.386134920848519</v>
      </c>
      <c r="B11" s="35">
        <v>6</v>
      </c>
      <c r="C11" s="25" t="s">
        <v>22</v>
      </c>
      <c r="D11" s="25" t="s">
        <v>53</v>
      </c>
      <c r="E11" s="25" t="s">
        <v>68</v>
      </c>
      <c r="F11" s="82">
        <f t="shared" si="3"/>
        <v>23.386134920848519</v>
      </c>
      <c r="G11" s="8"/>
      <c r="H11" s="44">
        <v>6</v>
      </c>
      <c r="I11" s="45">
        <f t="shared" si="0"/>
        <v>13.386134920848519</v>
      </c>
      <c r="J11" s="44">
        <f t="shared" si="4"/>
        <v>1</v>
      </c>
      <c r="K11" s="44">
        <f t="shared" si="1"/>
        <v>10</v>
      </c>
      <c r="L11" s="44"/>
      <c r="M11" s="45">
        <f t="shared" si="5"/>
        <v>23.386134920848519</v>
      </c>
      <c r="V11" s="30"/>
      <c r="Z11" s="28"/>
      <c r="AA11" s="28"/>
      <c r="AG11" s="29"/>
    </row>
    <row r="12" spans="1:34" ht="14.45" customHeight="1">
      <c r="A12" s="105">
        <f t="shared" si="2"/>
        <v>20.236129415094808</v>
      </c>
      <c r="B12" s="36">
        <v>7</v>
      </c>
      <c r="C12" s="24" t="s">
        <v>216</v>
      </c>
      <c r="D12" s="24" t="s">
        <v>217</v>
      </c>
      <c r="E12" s="24" t="s">
        <v>218</v>
      </c>
      <c r="F12" s="81">
        <f t="shared" si="3"/>
        <v>20.236129415094808</v>
      </c>
      <c r="G12" s="8"/>
      <c r="H12" s="17">
        <v>7</v>
      </c>
      <c r="I12" s="18">
        <f t="shared" si="0"/>
        <v>10.236129415094808</v>
      </c>
      <c r="J12" s="17">
        <f t="shared" si="4"/>
        <v>1</v>
      </c>
      <c r="K12" s="17">
        <f t="shared" si="1"/>
        <v>10</v>
      </c>
      <c r="L12" s="17"/>
      <c r="M12" s="18">
        <f t="shared" si="5"/>
        <v>20.236129415094808</v>
      </c>
      <c r="Z12" s="28"/>
      <c r="AA12" s="28"/>
      <c r="AG12" s="29"/>
    </row>
    <row r="13" spans="1:34" ht="14.45" customHeight="1">
      <c r="A13" s="107">
        <f t="shared" si="2"/>
        <v>17.507470531270492</v>
      </c>
      <c r="B13" s="35">
        <v>8</v>
      </c>
      <c r="C13" s="25" t="s">
        <v>95</v>
      </c>
      <c r="D13" s="25" t="s">
        <v>210</v>
      </c>
      <c r="E13" s="25" t="s">
        <v>68</v>
      </c>
      <c r="F13" s="82">
        <f t="shared" si="3"/>
        <v>17.507470531270492</v>
      </c>
      <c r="G13" s="8"/>
      <c r="H13" s="44">
        <v>8</v>
      </c>
      <c r="I13" s="45">
        <f t="shared" si="0"/>
        <v>7.5074705312704921</v>
      </c>
      <c r="J13" s="44">
        <f t="shared" si="4"/>
        <v>1</v>
      </c>
      <c r="K13" s="44">
        <f t="shared" si="1"/>
        <v>10</v>
      </c>
      <c r="L13" s="44"/>
      <c r="M13" s="45">
        <f t="shared" si="5"/>
        <v>17.507470531270492</v>
      </c>
      <c r="X13" s="27"/>
      <c r="AG13" s="29"/>
    </row>
    <row r="14" spans="1:34" ht="14.45" customHeight="1">
      <c r="A14" s="108">
        <f t="shared" si="2"/>
        <v>5.1006228208500346</v>
      </c>
      <c r="B14" s="36">
        <v>9</v>
      </c>
      <c r="C14" s="24" t="s">
        <v>25</v>
      </c>
      <c r="D14" s="24" t="s">
        <v>219</v>
      </c>
      <c r="E14" s="24" t="s">
        <v>68</v>
      </c>
      <c r="F14" s="81">
        <f t="shared" si="3"/>
        <v>5.1006228208500346</v>
      </c>
      <c r="G14" s="8"/>
      <c r="H14" s="17">
        <v>9</v>
      </c>
      <c r="I14" s="18">
        <f t="shared" si="0"/>
        <v>5.1006228208500346</v>
      </c>
      <c r="J14" s="17">
        <f t="shared" si="4"/>
        <v>0</v>
      </c>
      <c r="K14" s="17">
        <f t="shared" si="1"/>
        <v>0</v>
      </c>
      <c r="L14" s="17"/>
      <c r="M14" s="18">
        <f t="shared" si="5"/>
        <v>5.1006228208500346</v>
      </c>
      <c r="X14" s="31"/>
      <c r="Z14" s="28"/>
      <c r="AA14" s="28"/>
      <c r="AG14" s="29"/>
    </row>
    <row r="15" spans="1:34" ht="14.45" customHeight="1">
      <c r="A15" s="107">
        <f t="shared" si="2"/>
        <v>2.9476241783327595</v>
      </c>
      <c r="B15" s="35">
        <v>10</v>
      </c>
      <c r="C15" s="25" t="s">
        <v>26</v>
      </c>
      <c r="D15" s="25" t="s">
        <v>220</v>
      </c>
      <c r="E15" s="25" t="s">
        <v>68</v>
      </c>
      <c r="F15" s="82">
        <f t="shared" si="3"/>
        <v>2.9476241783327595</v>
      </c>
      <c r="G15" s="8"/>
      <c r="H15" s="44">
        <v>10</v>
      </c>
      <c r="I15" s="45">
        <f t="shared" si="0"/>
        <v>2.9476241783327595</v>
      </c>
      <c r="J15" s="44">
        <f t="shared" si="4"/>
        <v>0</v>
      </c>
      <c r="K15" s="44">
        <f t="shared" si="1"/>
        <v>0</v>
      </c>
      <c r="L15" s="44"/>
      <c r="M15" s="45">
        <f t="shared" si="5"/>
        <v>2.9476241783327595</v>
      </c>
      <c r="X15" s="27"/>
      <c r="Z15" s="28"/>
      <c r="AA15" s="28"/>
    </row>
    <row r="16" spans="1:34" ht="14.45" customHeight="1">
      <c r="A16" s="108">
        <f t="shared" si="2"/>
        <v>1</v>
      </c>
      <c r="B16" s="36">
        <v>11</v>
      </c>
      <c r="C16" s="24" t="s">
        <v>221</v>
      </c>
      <c r="D16" s="24" t="s">
        <v>222</v>
      </c>
      <c r="E16" s="24" t="s">
        <v>223</v>
      </c>
      <c r="F16" s="81">
        <f t="shared" si="3"/>
        <v>1</v>
      </c>
      <c r="G16" s="8"/>
      <c r="H16" s="17">
        <v>11</v>
      </c>
      <c r="I16" s="18">
        <f t="shared" si="0"/>
        <v>1</v>
      </c>
      <c r="J16" s="17">
        <f t="shared" si="4"/>
        <v>0</v>
      </c>
      <c r="K16" s="17">
        <f t="shared" si="1"/>
        <v>0</v>
      </c>
      <c r="L16" s="17"/>
      <c r="M16" s="18">
        <f t="shared" si="5"/>
        <v>1</v>
      </c>
      <c r="R16" s="49"/>
      <c r="Z16" s="28"/>
      <c r="AA16" s="28"/>
      <c r="AH16" s="33"/>
    </row>
    <row r="17" spans="1:19" ht="14.45" customHeight="1">
      <c r="A17" s="41">
        <f t="shared" si="2"/>
        <v>0</v>
      </c>
      <c r="B17" s="35"/>
      <c r="C17" s="25"/>
      <c r="D17" s="25"/>
      <c r="E17" s="25"/>
      <c r="F17" s="82"/>
      <c r="G17" s="8"/>
      <c r="H17" s="44">
        <v>12</v>
      </c>
      <c r="I17" s="45" t="str">
        <f t="shared" si="0"/>
        <v/>
      </c>
      <c r="J17" s="44">
        <f t="shared" si="4"/>
        <v>0</v>
      </c>
      <c r="K17" s="44">
        <f t="shared" si="1"/>
        <v>0</v>
      </c>
      <c r="L17" s="44"/>
      <c r="M17" s="45" t="str">
        <f t="shared" si="5"/>
        <v/>
      </c>
    </row>
    <row r="18" spans="1:19">
      <c r="A18" s="42">
        <f t="shared" si="2"/>
        <v>0</v>
      </c>
      <c r="B18" s="36"/>
      <c r="C18" s="24"/>
      <c r="D18" s="24"/>
      <c r="E18" s="24"/>
      <c r="F18" s="81"/>
      <c r="G18" s="8"/>
      <c r="H18" s="17">
        <v>13</v>
      </c>
      <c r="I18" s="18" t="str">
        <f t="shared" si="0"/>
        <v/>
      </c>
      <c r="J18" s="17">
        <f t="shared" si="4"/>
        <v>0</v>
      </c>
      <c r="K18" s="17">
        <f t="shared" si="1"/>
        <v>0</v>
      </c>
      <c r="L18" s="17"/>
      <c r="M18" s="18" t="str">
        <f t="shared" si="5"/>
        <v/>
      </c>
    </row>
    <row r="19" spans="1:19">
      <c r="A19" s="41">
        <f t="shared" si="2"/>
        <v>0</v>
      </c>
      <c r="B19" s="35"/>
      <c r="C19" s="25"/>
      <c r="D19" s="25"/>
      <c r="E19" s="25"/>
      <c r="F19" s="82"/>
      <c r="G19" s="8"/>
      <c r="H19" s="44">
        <v>14</v>
      </c>
      <c r="I19" s="45" t="str">
        <f t="shared" si="0"/>
        <v/>
      </c>
      <c r="J19" s="44">
        <f t="shared" si="4"/>
        <v>0</v>
      </c>
      <c r="K19" s="44">
        <f t="shared" si="1"/>
        <v>0</v>
      </c>
      <c r="L19" s="44"/>
      <c r="M19" s="45" t="str">
        <f t="shared" si="5"/>
        <v/>
      </c>
    </row>
    <row r="20" spans="1:19">
      <c r="A20" s="42">
        <f t="shared" si="2"/>
        <v>0</v>
      </c>
      <c r="B20" s="36"/>
      <c r="C20" s="24"/>
      <c r="D20" s="24"/>
      <c r="E20" s="24"/>
      <c r="F20" s="81"/>
      <c r="G20" s="8"/>
      <c r="H20" s="17">
        <v>15</v>
      </c>
      <c r="I20" s="18" t="str">
        <f t="shared" si="0"/>
        <v/>
      </c>
      <c r="J20" s="17">
        <f t="shared" si="4"/>
        <v>0</v>
      </c>
      <c r="K20" s="17">
        <f t="shared" si="1"/>
        <v>0</v>
      </c>
      <c r="L20" s="17"/>
      <c r="M20" s="18" t="str">
        <f t="shared" si="5"/>
        <v/>
      </c>
      <c r="R20" s="50"/>
      <c r="S20" s="34"/>
    </row>
    <row r="21" spans="1:19">
      <c r="A21" s="41">
        <f t="shared" si="2"/>
        <v>0</v>
      </c>
      <c r="B21" s="35"/>
      <c r="C21" s="25"/>
      <c r="D21" s="25"/>
      <c r="E21" s="25"/>
      <c r="F21" s="82"/>
      <c r="G21" s="8"/>
      <c r="H21" s="44">
        <v>16</v>
      </c>
      <c r="I21" s="45" t="str">
        <f t="shared" si="0"/>
        <v/>
      </c>
      <c r="J21" s="44">
        <f t="shared" si="4"/>
        <v>0</v>
      </c>
      <c r="K21" s="44">
        <f t="shared" si="1"/>
        <v>0</v>
      </c>
      <c r="L21" s="44"/>
      <c r="M21" s="45" t="str">
        <f t="shared" si="5"/>
        <v/>
      </c>
    </row>
    <row r="22" spans="1:19">
      <c r="A22" s="42">
        <f t="shared" si="2"/>
        <v>0</v>
      </c>
      <c r="B22" s="36"/>
      <c r="C22" s="24"/>
      <c r="D22" s="24"/>
      <c r="E22" s="24"/>
      <c r="F22" s="81"/>
      <c r="G22" s="8"/>
      <c r="H22" s="17">
        <v>17</v>
      </c>
      <c r="I22" s="18" t="str">
        <f t="shared" si="0"/>
        <v/>
      </c>
      <c r="J22" s="17">
        <f t="shared" si="4"/>
        <v>-1</v>
      </c>
      <c r="K22" s="17">
        <f t="shared" si="1"/>
        <v>-10</v>
      </c>
      <c r="L22" s="17"/>
      <c r="M22" s="18" t="str">
        <f t="shared" si="5"/>
        <v/>
      </c>
    </row>
    <row r="23" spans="1:19">
      <c r="A23" s="41">
        <f t="shared" si="2"/>
        <v>0</v>
      </c>
      <c r="B23" s="35"/>
      <c r="C23" s="25"/>
      <c r="D23" s="25"/>
      <c r="E23" s="25"/>
      <c r="F23" s="82"/>
      <c r="G23" s="8"/>
      <c r="H23" s="44">
        <v>18</v>
      </c>
      <c r="I23" s="45" t="str">
        <f t="shared" si="0"/>
        <v/>
      </c>
      <c r="J23" s="44">
        <f t="shared" si="4"/>
        <v>-1</v>
      </c>
      <c r="K23" s="44">
        <f t="shared" si="1"/>
        <v>-10</v>
      </c>
      <c r="L23" s="44"/>
      <c r="M23" s="45" t="str">
        <f t="shared" si="5"/>
        <v/>
      </c>
    </row>
    <row r="24" spans="1:19">
      <c r="A24" s="42">
        <f t="shared" si="2"/>
        <v>0</v>
      </c>
      <c r="B24" s="36"/>
      <c r="C24" s="24"/>
      <c r="D24" s="24"/>
      <c r="E24" s="24"/>
      <c r="F24" s="81"/>
      <c r="G24" s="8"/>
      <c r="H24" s="17">
        <v>19</v>
      </c>
      <c r="I24" s="18" t="str">
        <f t="shared" si="0"/>
        <v/>
      </c>
      <c r="J24" s="17">
        <f t="shared" si="4"/>
        <v>-1</v>
      </c>
      <c r="K24" s="17">
        <f t="shared" si="1"/>
        <v>-10</v>
      </c>
      <c r="L24" s="17"/>
      <c r="M24" s="18" t="str">
        <f t="shared" si="5"/>
        <v/>
      </c>
      <c r="R24" s="50"/>
      <c r="S24" s="34"/>
    </row>
    <row r="25" spans="1:19">
      <c r="A25" s="41">
        <f t="shared" si="2"/>
        <v>0</v>
      </c>
      <c r="B25" s="35"/>
      <c r="C25" s="25"/>
      <c r="D25" s="25"/>
      <c r="E25" s="25"/>
      <c r="F25" s="82"/>
      <c r="G25" s="8"/>
      <c r="H25" s="44">
        <v>20</v>
      </c>
      <c r="I25" s="45" t="str">
        <f t="shared" si="0"/>
        <v/>
      </c>
      <c r="J25" s="44">
        <f t="shared" si="4"/>
        <v>-1</v>
      </c>
      <c r="K25" s="44">
        <f t="shared" si="1"/>
        <v>-10</v>
      </c>
      <c r="L25" s="44"/>
      <c r="M25" s="45" t="str">
        <f t="shared" si="5"/>
        <v/>
      </c>
    </row>
    <row r="26" spans="1:19">
      <c r="A26" s="42">
        <f t="shared" si="2"/>
        <v>0</v>
      </c>
      <c r="B26" s="36"/>
      <c r="C26" s="24"/>
      <c r="D26" s="24"/>
      <c r="E26" s="24"/>
      <c r="F26" s="81"/>
      <c r="G26" s="8"/>
      <c r="H26" s="17">
        <v>21</v>
      </c>
      <c r="I26" s="18" t="str">
        <f t="shared" si="0"/>
        <v/>
      </c>
      <c r="J26" s="17">
        <f t="shared" si="4"/>
        <v>-1</v>
      </c>
      <c r="K26" s="17">
        <f t="shared" si="1"/>
        <v>-10</v>
      </c>
      <c r="L26" s="17"/>
      <c r="M26" s="18" t="str">
        <f t="shared" si="5"/>
        <v/>
      </c>
    </row>
    <row r="27" spans="1:19">
      <c r="A27" s="41">
        <f t="shared" si="2"/>
        <v>0</v>
      </c>
      <c r="B27" s="35"/>
      <c r="C27" s="25"/>
      <c r="D27" s="25"/>
      <c r="E27" s="25"/>
      <c r="F27" s="82"/>
      <c r="G27" s="8"/>
      <c r="H27" s="44">
        <v>22</v>
      </c>
      <c r="I27" s="45" t="str">
        <f t="shared" si="0"/>
        <v/>
      </c>
      <c r="J27" s="44">
        <f t="shared" si="4"/>
        <v>-1</v>
      </c>
      <c r="K27" s="44">
        <f t="shared" si="1"/>
        <v>-10</v>
      </c>
      <c r="L27" s="44"/>
      <c r="M27" s="45" t="str">
        <f t="shared" si="5"/>
        <v/>
      </c>
    </row>
    <row r="28" spans="1:19">
      <c r="A28" s="42">
        <f t="shared" si="2"/>
        <v>0</v>
      </c>
      <c r="B28" s="36"/>
      <c r="C28" s="24"/>
      <c r="D28" s="24"/>
      <c r="E28" s="24"/>
      <c r="F28" s="81"/>
      <c r="G28" s="8"/>
      <c r="H28" s="17">
        <v>23</v>
      </c>
      <c r="I28" s="18" t="str">
        <f t="shared" si="0"/>
        <v/>
      </c>
      <c r="J28" s="17">
        <f t="shared" si="4"/>
        <v>-1</v>
      </c>
      <c r="K28" s="17">
        <f t="shared" si="1"/>
        <v>-10</v>
      </c>
      <c r="L28" s="17"/>
      <c r="M28" s="18" t="str">
        <f t="shared" si="5"/>
        <v/>
      </c>
      <c r="R28" s="50"/>
      <c r="S28" s="34"/>
    </row>
    <row r="29" spans="1:19">
      <c r="A29" s="41">
        <f t="shared" si="2"/>
        <v>0</v>
      </c>
      <c r="B29" s="35"/>
      <c r="C29" s="25"/>
      <c r="D29" s="25"/>
      <c r="E29" s="25"/>
      <c r="F29" s="82"/>
      <c r="G29" s="5"/>
      <c r="H29" s="44">
        <v>24</v>
      </c>
      <c r="I29" s="45" t="str">
        <f t="shared" si="0"/>
        <v/>
      </c>
      <c r="J29" s="44">
        <f t="shared" si="4"/>
        <v>-1</v>
      </c>
      <c r="K29" s="44">
        <f t="shared" si="1"/>
        <v>-10</v>
      </c>
      <c r="L29" s="44"/>
      <c r="M29" s="45" t="str">
        <f t="shared" si="5"/>
        <v/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ref="F30:F38" si="6">M30</f>
        <v/>
      </c>
      <c r="G30" s="5"/>
      <c r="H30" s="17">
        <v>25</v>
      </c>
      <c r="I30" s="18" t="str">
        <f t="shared" si="0"/>
        <v/>
      </c>
      <c r="J30" s="17">
        <f t="shared" si="4"/>
        <v>-1</v>
      </c>
      <c r="K30" s="17">
        <f t="shared" si="1"/>
        <v>-10</v>
      </c>
      <c r="L30" s="17"/>
      <c r="M30" s="18" t="str">
        <f t="shared" si="5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6"/>
        <v/>
      </c>
      <c r="G31" s="5"/>
      <c r="H31" s="44">
        <v>26</v>
      </c>
      <c r="I31" s="45" t="str">
        <f t="shared" si="0"/>
        <v/>
      </c>
      <c r="J31" s="44">
        <f t="shared" si="4"/>
        <v>-1</v>
      </c>
      <c r="K31" s="44">
        <f t="shared" si="1"/>
        <v>-10</v>
      </c>
      <c r="L31" s="44"/>
      <c r="M31" s="45" t="str">
        <f t="shared" si="5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6"/>
        <v/>
      </c>
      <c r="G32" s="5"/>
      <c r="H32" s="17">
        <v>27</v>
      </c>
      <c r="I32" s="18" t="str">
        <f t="shared" si="0"/>
        <v/>
      </c>
      <c r="J32" s="17">
        <f t="shared" si="4"/>
        <v>-1</v>
      </c>
      <c r="K32" s="17">
        <f t="shared" si="1"/>
        <v>-10</v>
      </c>
      <c r="L32" s="17"/>
      <c r="M32" s="18" t="str">
        <f t="shared" si="5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7">IF(H33&gt;$H$2,"",(ROW()-5))</f>
        <v/>
      </c>
      <c r="C33" s="25"/>
      <c r="D33" s="25"/>
      <c r="E33" s="25"/>
      <c r="F33" s="25" t="str">
        <f t="shared" si="6"/>
        <v/>
      </c>
      <c r="G33" s="5"/>
      <c r="H33" s="44">
        <v>28</v>
      </c>
      <c r="I33" s="45" t="str">
        <f t="shared" si="0"/>
        <v/>
      </c>
      <c r="J33" s="44">
        <f t="shared" si="4"/>
        <v>-1</v>
      </c>
      <c r="K33" s="44">
        <f t="shared" si="1"/>
        <v>-10</v>
      </c>
      <c r="L33" s="44"/>
      <c r="M33" s="46" t="str">
        <f t="shared" si="5"/>
        <v/>
      </c>
    </row>
    <row r="34" spans="1:19">
      <c r="A34" s="42" t="str">
        <f t="shared" si="2"/>
        <v/>
      </c>
      <c r="B34" s="36" t="str">
        <f t="shared" si="7"/>
        <v/>
      </c>
      <c r="C34" s="24"/>
      <c r="D34" s="24"/>
      <c r="E34" s="24"/>
      <c r="F34" s="24" t="str">
        <f t="shared" si="6"/>
        <v/>
      </c>
      <c r="G34" s="5"/>
      <c r="H34" s="17">
        <v>29</v>
      </c>
      <c r="I34" s="18" t="str">
        <f t="shared" si="0"/>
        <v/>
      </c>
      <c r="J34" s="17">
        <f t="shared" si="4"/>
        <v>-1</v>
      </c>
      <c r="K34" s="17">
        <f t="shared" si="1"/>
        <v>-10</v>
      </c>
      <c r="L34" s="17"/>
      <c r="M34" s="19" t="str">
        <f t="shared" si="5"/>
        <v/>
      </c>
    </row>
    <row r="35" spans="1:19">
      <c r="A35" s="41" t="str">
        <f t="shared" si="2"/>
        <v/>
      </c>
      <c r="B35" s="35" t="str">
        <f t="shared" si="7"/>
        <v/>
      </c>
      <c r="C35" s="25"/>
      <c r="D35" s="25"/>
      <c r="E35" s="25"/>
      <c r="F35" s="25" t="str">
        <f t="shared" si="6"/>
        <v/>
      </c>
      <c r="G35" s="5"/>
      <c r="H35" s="44">
        <v>30</v>
      </c>
      <c r="I35" s="45" t="str">
        <f t="shared" si="0"/>
        <v/>
      </c>
      <c r="J35" s="44">
        <f t="shared" si="4"/>
        <v>-1</v>
      </c>
      <c r="K35" s="44">
        <f t="shared" si="1"/>
        <v>-10</v>
      </c>
      <c r="L35" s="44"/>
      <c r="M35" s="46" t="str">
        <f t="shared" si="5"/>
        <v/>
      </c>
    </row>
    <row r="36" spans="1:19">
      <c r="A36" s="42" t="str">
        <f t="shared" si="2"/>
        <v/>
      </c>
      <c r="B36" s="36" t="str">
        <f t="shared" si="7"/>
        <v/>
      </c>
      <c r="C36" s="24"/>
      <c r="D36" s="24"/>
      <c r="E36" s="24"/>
      <c r="F36" s="24" t="str">
        <f t="shared" si="6"/>
        <v/>
      </c>
      <c r="G36" s="5"/>
      <c r="H36" s="17">
        <v>31</v>
      </c>
      <c r="I36" s="18" t="str">
        <f t="shared" si="0"/>
        <v/>
      </c>
      <c r="J36" s="17">
        <f t="shared" si="4"/>
        <v>-1</v>
      </c>
      <c r="K36" s="17">
        <f t="shared" si="1"/>
        <v>-10</v>
      </c>
      <c r="L36" s="17"/>
      <c r="M36" s="19" t="str">
        <f t="shared" si="5"/>
        <v/>
      </c>
      <c r="R36" s="50"/>
      <c r="S36" s="34"/>
    </row>
    <row r="37" spans="1:19">
      <c r="A37" s="41" t="str">
        <f t="shared" si="2"/>
        <v/>
      </c>
      <c r="B37" s="35" t="str">
        <f t="shared" si="7"/>
        <v/>
      </c>
      <c r="C37" s="25"/>
      <c r="D37" s="25"/>
      <c r="E37" s="25"/>
      <c r="F37" s="25" t="str">
        <f t="shared" si="6"/>
        <v/>
      </c>
      <c r="G37" s="5"/>
      <c r="H37" s="44">
        <v>32</v>
      </c>
      <c r="I37" s="45" t="str">
        <f t="shared" si="0"/>
        <v/>
      </c>
      <c r="J37" s="44">
        <f t="shared" si="4"/>
        <v>-1</v>
      </c>
      <c r="K37" s="44">
        <f t="shared" si="1"/>
        <v>-10</v>
      </c>
      <c r="L37" s="44"/>
      <c r="M37" s="46" t="str">
        <f t="shared" si="5"/>
        <v/>
      </c>
    </row>
    <row r="38" spans="1:19">
      <c r="A38" s="42" t="str">
        <f t="shared" si="2"/>
        <v/>
      </c>
      <c r="B38" s="36" t="str">
        <f t="shared" si="7"/>
        <v/>
      </c>
      <c r="C38" s="24"/>
      <c r="D38" s="24"/>
      <c r="E38" s="24"/>
      <c r="F38" s="24" t="str">
        <f t="shared" si="6"/>
        <v/>
      </c>
      <c r="G38" s="5"/>
      <c r="H38" s="17">
        <v>33</v>
      </c>
      <c r="I38" s="18" t="str">
        <f t="shared" si="0"/>
        <v/>
      </c>
      <c r="J38" s="17">
        <f t="shared" si="4"/>
        <v>-2</v>
      </c>
      <c r="K38" s="17">
        <f t="shared" si="1"/>
        <v>-20</v>
      </c>
      <c r="L38" s="17"/>
      <c r="M38" s="19" t="str">
        <f t="shared" si="5"/>
        <v/>
      </c>
    </row>
    <row r="39" spans="1:19">
      <c r="A39" s="41">
        <f t="shared" si="2"/>
        <v>0</v>
      </c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4"/>
        <v>-2</v>
      </c>
      <c r="K39" s="44">
        <f t="shared" si="1"/>
        <v>-20</v>
      </c>
      <c r="L39" s="44"/>
      <c r="M39" s="46" t="str">
        <f t="shared" si="5"/>
        <v/>
      </c>
    </row>
    <row r="40" spans="1:19">
      <c r="A40" s="42">
        <f t="shared" si="2"/>
        <v>0</v>
      </c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4"/>
        <v>-2</v>
      </c>
      <c r="K40" s="17">
        <f t="shared" si="1"/>
        <v>-20</v>
      </c>
      <c r="L40" s="17"/>
      <c r="M40" s="19" t="str">
        <f t="shared" si="5"/>
        <v/>
      </c>
    </row>
    <row r="41" spans="1:19">
      <c r="A41" s="41">
        <f t="shared" si="2"/>
        <v>0</v>
      </c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4"/>
        <v>-2</v>
      </c>
      <c r="K41" s="44">
        <f t="shared" si="1"/>
        <v>-20</v>
      </c>
      <c r="L41" s="44"/>
      <c r="M41" s="46" t="str">
        <f t="shared" si="5"/>
        <v/>
      </c>
      <c r="S41" s="32"/>
    </row>
    <row r="42" spans="1:19">
      <c r="A42" s="42">
        <f t="shared" si="2"/>
        <v>0</v>
      </c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4"/>
        <v>-2</v>
      </c>
      <c r="K42" s="17">
        <f t="shared" si="1"/>
        <v>-20</v>
      </c>
      <c r="L42" s="17"/>
      <c r="M42" s="19" t="str">
        <f t="shared" si="5"/>
        <v/>
      </c>
    </row>
    <row r="43" spans="1:19">
      <c r="A43" s="41">
        <f t="shared" si="2"/>
        <v>0</v>
      </c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4"/>
        <v>-2</v>
      </c>
      <c r="K43" s="44">
        <f t="shared" si="1"/>
        <v>-20</v>
      </c>
      <c r="L43" s="44"/>
      <c r="M43" s="46" t="str">
        <f t="shared" si="5"/>
        <v/>
      </c>
    </row>
    <row r="44" spans="1:19">
      <c r="A44" s="42">
        <f t="shared" si="2"/>
        <v>0</v>
      </c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4"/>
        <v>-2</v>
      </c>
      <c r="K44" s="17">
        <f t="shared" si="1"/>
        <v>-20</v>
      </c>
      <c r="L44" s="17"/>
      <c r="M44" s="19" t="str">
        <f t="shared" si="5"/>
        <v/>
      </c>
    </row>
    <row r="45" spans="1:19">
      <c r="A45" s="41">
        <f t="shared" si="2"/>
        <v>0</v>
      </c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4"/>
        <v>-2</v>
      </c>
      <c r="K45" s="44">
        <f t="shared" si="1"/>
        <v>-20</v>
      </c>
      <c r="L45" s="44"/>
      <c r="M45" s="46" t="str">
        <f t="shared" si="5"/>
        <v/>
      </c>
    </row>
    <row r="46" spans="1:19">
      <c r="A46" s="42">
        <f t="shared" si="2"/>
        <v>0</v>
      </c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4"/>
        <v>-2</v>
      </c>
      <c r="K46" s="17">
        <f t="shared" si="1"/>
        <v>-20</v>
      </c>
      <c r="L46" s="17"/>
      <c r="M46" s="19" t="str">
        <f t="shared" si="5"/>
        <v/>
      </c>
    </row>
    <row r="47" spans="1:19">
      <c r="A47" s="41">
        <f t="shared" si="2"/>
        <v>0</v>
      </c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4"/>
        <v>-2</v>
      </c>
      <c r="K47" s="44">
        <f t="shared" si="1"/>
        <v>-20</v>
      </c>
      <c r="L47" s="44"/>
      <c r="M47" s="46" t="str">
        <f t="shared" si="5"/>
        <v/>
      </c>
    </row>
    <row r="48" spans="1:19">
      <c r="A48" s="42">
        <f t="shared" si="2"/>
        <v>0</v>
      </c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4"/>
        <v>-2</v>
      </c>
      <c r="K48" s="17">
        <f t="shared" si="1"/>
        <v>-20</v>
      </c>
      <c r="L48" s="17"/>
      <c r="M48" s="19" t="str">
        <f t="shared" si="5"/>
        <v/>
      </c>
    </row>
    <row r="49" spans="1:13">
      <c r="A49" s="41">
        <f t="shared" si="2"/>
        <v>0</v>
      </c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4"/>
        <v>-2</v>
      </c>
      <c r="K49" s="44">
        <f t="shared" si="1"/>
        <v>-20</v>
      </c>
      <c r="L49" s="44"/>
      <c r="M49" s="46" t="str">
        <f t="shared" si="5"/>
        <v/>
      </c>
    </row>
    <row r="50" spans="1:13">
      <c r="A50" s="42">
        <f t="shared" si="2"/>
        <v>0</v>
      </c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4"/>
        <v>-2</v>
      </c>
      <c r="K50" s="17">
        <f t="shared" si="1"/>
        <v>-20</v>
      </c>
      <c r="L50" s="17"/>
      <c r="M50" s="19" t="str">
        <f t="shared" si="5"/>
        <v/>
      </c>
    </row>
    <row r="51" spans="1:13">
      <c r="A51" s="41">
        <f t="shared" si="2"/>
        <v>0</v>
      </c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4"/>
        <v>-2</v>
      </c>
      <c r="K51" s="44">
        <f t="shared" si="1"/>
        <v>-20</v>
      </c>
      <c r="L51" s="44"/>
      <c r="M51" s="46" t="str">
        <f t="shared" si="5"/>
        <v/>
      </c>
    </row>
    <row r="52" spans="1:13">
      <c r="A52" s="42">
        <f t="shared" si="2"/>
        <v>0</v>
      </c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4"/>
        <v>-2</v>
      </c>
      <c r="K52" s="17">
        <f t="shared" si="1"/>
        <v>-20</v>
      </c>
      <c r="L52" s="17"/>
      <c r="M52" s="19" t="str">
        <f t="shared" si="5"/>
        <v/>
      </c>
    </row>
    <row r="53" spans="1:13">
      <c r="A53" s="41">
        <f t="shared" si="2"/>
        <v>0</v>
      </c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4"/>
        <v>-2</v>
      </c>
      <c r="K53" s="44">
        <f t="shared" si="1"/>
        <v>-20</v>
      </c>
      <c r="L53" s="44"/>
      <c r="M53" s="46" t="str">
        <f t="shared" si="5"/>
        <v/>
      </c>
    </row>
    <row r="54" spans="1:13">
      <c r="A54" s="42">
        <f t="shared" si="2"/>
        <v>0</v>
      </c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4"/>
        <v>-2</v>
      </c>
      <c r="K54" s="17">
        <f t="shared" si="1"/>
        <v>-20</v>
      </c>
      <c r="L54" s="17"/>
      <c r="M54" s="19" t="str">
        <f t="shared" si="5"/>
        <v/>
      </c>
    </row>
    <row r="55" spans="1:13">
      <c r="A55" s="41">
        <f t="shared" si="2"/>
        <v>0</v>
      </c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4"/>
        <v>-2</v>
      </c>
      <c r="K55" s="44">
        <f t="shared" si="1"/>
        <v>-20</v>
      </c>
      <c r="L55" s="44"/>
      <c r="M55" s="46" t="str">
        <f t="shared" si="5"/>
        <v/>
      </c>
    </row>
    <row r="56" spans="1:13">
      <c r="A56" s="42">
        <f t="shared" si="2"/>
        <v>0</v>
      </c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4"/>
        <v>-2</v>
      </c>
      <c r="K56" s="17">
        <f t="shared" si="1"/>
        <v>-20</v>
      </c>
      <c r="L56" s="17"/>
      <c r="M56" s="19" t="str">
        <f t="shared" si="5"/>
        <v/>
      </c>
    </row>
    <row r="57" spans="1:13">
      <c r="A57" s="41">
        <f t="shared" si="2"/>
        <v>0</v>
      </c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4"/>
        <v>-2</v>
      </c>
      <c r="K57" s="44">
        <f t="shared" si="1"/>
        <v>-20</v>
      </c>
      <c r="L57" s="44"/>
      <c r="M57" s="46" t="str">
        <f t="shared" si="5"/>
        <v/>
      </c>
    </row>
    <row r="58" spans="1:13">
      <c r="A58" s="42">
        <f t="shared" si="2"/>
        <v>0</v>
      </c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4"/>
        <v>-2</v>
      </c>
      <c r="K58" s="17">
        <f t="shared" si="1"/>
        <v>-20</v>
      </c>
      <c r="L58" s="17"/>
      <c r="M58" s="19" t="str">
        <f t="shared" si="5"/>
        <v/>
      </c>
    </row>
    <row r="59" spans="1:13">
      <c r="A59" s="41">
        <f t="shared" si="2"/>
        <v>0</v>
      </c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4"/>
        <v>-2</v>
      </c>
      <c r="K59" s="44">
        <f t="shared" si="1"/>
        <v>-20</v>
      </c>
      <c r="L59" s="44"/>
      <c r="M59" s="46" t="str">
        <f t="shared" si="5"/>
        <v/>
      </c>
    </row>
    <row r="60" spans="1:13">
      <c r="A60" s="42">
        <f t="shared" si="2"/>
        <v>0</v>
      </c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4"/>
        <v>-2</v>
      </c>
      <c r="K60" s="17">
        <f t="shared" si="1"/>
        <v>-20</v>
      </c>
      <c r="L60" s="17"/>
      <c r="M60" s="19" t="str">
        <f t="shared" si="5"/>
        <v/>
      </c>
    </row>
    <row r="61" spans="1:13">
      <c r="A61" s="41">
        <f t="shared" si="2"/>
        <v>0</v>
      </c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4"/>
        <v>-2</v>
      </c>
      <c r="K61" s="44">
        <f t="shared" si="1"/>
        <v>-20</v>
      </c>
      <c r="L61" s="44"/>
      <c r="M61" s="46" t="str">
        <f t="shared" si="5"/>
        <v/>
      </c>
    </row>
    <row r="62" spans="1:13">
      <c r="A62" s="42">
        <f t="shared" si="2"/>
        <v>0</v>
      </c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4"/>
        <v>-2</v>
      </c>
      <c r="K62" s="17">
        <f t="shared" si="1"/>
        <v>-20</v>
      </c>
      <c r="L62" s="17"/>
      <c r="M62" s="19" t="str">
        <f t="shared" si="5"/>
        <v/>
      </c>
    </row>
    <row r="63" spans="1:13">
      <c r="A63" s="41">
        <f t="shared" si="2"/>
        <v>0</v>
      </c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4"/>
        <v>-2</v>
      </c>
      <c r="K63" s="44">
        <f t="shared" si="1"/>
        <v>-20</v>
      </c>
      <c r="L63" s="44"/>
      <c r="M63" s="46" t="str">
        <f t="shared" si="5"/>
        <v/>
      </c>
    </row>
    <row r="64" spans="1:13">
      <c r="A64" s="42">
        <f t="shared" si="2"/>
        <v>0</v>
      </c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4"/>
        <v>-2</v>
      </c>
      <c r="K64" s="17">
        <f t="shared" si="1"/>
        <v>-20</v>
      </c>
      <c r="L64" s="17"/>
      <c r="M64" s="19" t="str">
        <f t="shared" si="5"/>
        <v/>
      </c>
    </row>
    <row r="65" spans="1:13">
      <c r="A65" s="41">
        <f t="shared" si="2"/>
        <v>0</v>
      </c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4"/>
        <v>-2</v>
      </c>
      <c r="K65" s="44">
        <f t="shared" si="1"/>
        <v>-20</v>
      </c>
      <c r="L65" s="44"/>
      <c r="M65" s="46" t="str">
        <f t="shared" si="5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4"/>
        <v>-2</v>
      </c>
      <c r="K66" s="17">
        <f t="shared" si="1"/>
        <v>-20</v>
      </c>
      <c r="L66" s="17"/>
      <c r="M66" s="19" t="str">
        <f t="shared" si="5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4"/>
        <v>-2</v>
      </c>
      <c r="K67" s="17">
        <f t="shared" si="1"/>
        <v>-20</v>
      </c>
      <c r="L67" s="17"/>
      <c r="M67" s="19" t="str">
        <f t="shared" si="5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4"/>
        <v>-2</v>
      </c>
      <c r="K68" s="17">
        <f t="shared" si="1"/>
        <v>-20</v>
      </c>
      <c r="L68" s="17"/>
      <c r="M68" s="19" t="str">
        <f t="shared" si="5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4"/>
        <v>-2</v>
      </c>
      <c r="K69" s="17">
        <f t="shared" si="1"/>
        <v>-20</v>
      </c>
      <c r="L69" s="17"/>
      <c r="M69" s="19" t="str">
        <f t="shared" si="5"/>
        <v/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4"/>
        <v>-3</v>
      </c>
      <c r="K70" s="17">
        <f t="shared" ref="K70:K133" si="9">J70*$J$2</f>
        <v>-30</v>
      </c>
      <c r="L70" s="17"/>
      <c r="M70" s="19" t="str">
        <f t="shared" si="5"/>
        <v/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0">INT(LOG($H$2,2))-ROUNDUP(LOG(H71,2),0)+IF(OR($H$2=1,$H$2=2,$H$2=4,$H$2=8,$H$2=16,$H$2=32,$H$2=64,$H$2=128,$H$2=256),0,1)</f>
        <v>-3</v>
      </c>
      <c r="K71" s="17">
        <f t="shared" si="9"/>
        <v>-30</v>
      </c>
      <c r="L71" s="17"/>
      <c r="M71" s="19" t="str">
        <f t="shared" ref="M71:M134" si="11">IF(I71&lt;&gt;"",K71+I71+L71,"")</f>
        <v/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0"/>
        <v>-3</v>
      </c>
      <c r="K72" s="17">
        <f t="shared" si="9"/>
        <v>-30</v>
      </c>
      <c r="L72" s="17"/>
      <c r="M72" s="19" t="str">
        <f t="shared" si="11"/>
        <v/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0"/>
        <v>-3</v>
      </c>
      <c r="K73" s="17">
        <f t="shared" si="9"/>
        <v>-30</v>
      </c>
      <c r="L73" s="17"/>
      <c r="M73" s="19" t="str">
        <f t="shared" si="11"/>
        <v/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0"/>
        <v>-3</v>
      </c>
      <c r="K74" s="17">
        <f t="shared" si="9"/>
        <v>-30</v>
      </c>
      <c r="L74" s="17"/>
      <c r="M74" s="19" t="str">
        <f t="shared" si="11"/>
        <v/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0"/>
        <v>-3</v>
      </c>
      <c r="K75" s="17">
        <f t="shared" si="9"/>
        <v>-30</v>
      </c>
      <c r="L75" s="17"/>
      <c r="M75" s="19" t="str">
        <f t="shared" si="11"/>
        <v/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0"/>
        <v>-3</v>
      </c>
      <c r="K76" s="17">
        <f t="shared" si="9"/>
        <v>-30</v>
      </c>
      <c r="L76" s="17"/>
      <c r="M76" s="19" t="str">
        <f t="shared" si="11"/>
        <v/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0"/>
        <v>-3</v>
      </c>
      <c r="K77" s="17">
        <f t="shared" si="9"/>
        <v>-30</v>
      </c>
      <c r="L77" s="17"/>
      <c r="M77" s="19" t="str">
        <f t="shared" si="11"/>
        <v/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0"/>
        <v>-3</v>
      </c>
      <c r="K78" s="17">
        <f t="shared" si="9"/>
        <v>-30</v>
      </c>
      <c r="L78" s="17"/>
      <c r="M78" s="19" t="str">
        <f t="shared" si="11"/>
        <v/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0"/>
        <v>-3</v>
      </c>
      <c r="K79" s="17">
        <f t="shared" si="9"/>
        <v>-30</v>
      </c>
      <c r="L79" s="17"/>
      <c r="M79" s="19" t="str">
        <f t="shared" si="11"/>
        <v/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0"/>
        <v>-3</v>
      </c>
      <c r="K80" s="17">
        <f t="shared" si="9"/>
        <v>-30</v>
      </c>
      <c r="L80" s="17"/>
      <c r="M80" s="19" t="str">
        <f t="shared" si="11"/>
        <v/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0"/>
        <v>-3</v>
      </c>
      <c r="K81" s="17">
        <f t="shared" si="9"/>
        <v>-30</v>
      </c>
      <c r="L81" s="17"/>
      <c r="M81" s="19" t="str">
        <f t="shared" si="11"/>
        <v/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0"/>
        <v>-3</v>
      </c>
      <c r="K82" s="17">
        <f t="shared" si="9"/>
        <v>-30</v>
      </c>
      <c r="L82" s="17"/>
      <c r="M82" s="19" t="str">
        <f t="shared" si="11"/>
        <v/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0"/>
        <v>-3</v>
      </c>
      <c r="K83" s="17">
        <f t="shared" si="9"/>
        <v>-30</v>
      </c>
      <c r="L83" s="17"/>
      <c r="M83" s="19" t="str">
        <f t="shared" si="11"/>
        <v/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0"/>
        <v>-3</v>
      </c>
      <c r="K84" s="17">
        <f t="shared" si="9"/>
        <v>-30</v>
      </c>
      <c r="L84" s="17"/>
      <c r="M84" s="19" t="str">
        <f t="shared" si="11"/>
        <v/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0"/>
        <v>-3</v>
      </c>
      <c r="K85" s="17">
        <f t="shared" si="9"/>
        <v>-30</v>
      </c>
      <c r="L85" s="17"/>
      <c r="M85" s="19" t="str">
        <f t="shared" si="11"/>
        <v/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0"/>
        <v>-3</v>
      </c>
      <c r="K86" s="17">
        <f t="shared" si="9"/>
        <v>-30</v>
      </c>
      <c r="L86" s="17"/>
      <c r="M86" s="19" t="str">
        <f t="shared" si="11"/>
        <v/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0"/>
        <v>-3</v>
      </c>
      <c r="K87" s="17">
        <f t="shared" si="9"/>
        <v>-30</v>
      </c>
      <c r="L87" s="17"/>
      <c r="M87" s="19" t="str">
        <f t="shared" si="11"/>
        <v/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0"/>
        <v>-3</v>
      </c>
      <c r="K88" s="17">
        <f t="shared" si="9"/>
        <v>-30</v>
      </c>
      <c r="L88" s="17"/>
      <c r="M88" s="19" t="str">
        <f t="shared" si="11"/>
        <v/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0"/>
        <v>-3</v>
      </c>
      <c r="K89" s="17">
        <f t="shared" si="9"/>
        <v>-30</v>
      </c>
      <c r="L89" s="17"/>
      <c r="M89" s="19" t="str">
        <f t="shared" si="11"/>
        <v/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0"/>
        <v>-3</v>
      </c>
      <c r="K90" s="17">
        <f t="shared" si="9"/>
        <v>-30</v>
      </c>
      <c r="L90" s="17"/>
      <c r="M90" s="19" t="str">
        <f t="shared" si="11"/>
        <v/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0"/>
        <v>-3</v>
      </c>
      <c r="K91" s="17">
        <f t="shared" si="9"/>
        <v>-30</v>
      </c>
      <c r="L91" s="17"/>
      <c r="M91" s="19" t="str">
        <f t="shared" si="11"/>
        <v/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0"/>
        <v>-3</v>
      </c>
      <c r="K92" s="17">
        <f t="shared" si="9"/>
        <v>-30</v>
      </c>
      <c r="L92" s="17"/>
      <c r="M92" s="19" t="str">
        <f t="shared" si="11"/>
        <v/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0"/>
        <v>-3</v>
      </c>
      <c r="K93" s="17">
        <f t="shared" si="9"/>
        <v>-30</v>
      </c>
      <c r="L93" s="17"/>
      <c r="M93" s="19" t="str">
        <f t="shared" si="11"/>
        <v/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0"/>
        <v>-3</v>
      </c>
      <c r="K94" s="17">
        <f t="shared" si="9"/>
        <v>-30</v>
      </c>
      <c r="L94" s="17"/>
      <c r="M94" s="19" t="str">
        <f t="shared" si="11"/>
        <v/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0"/>
        <v>-3</v>
      </c>
      <c r="K95" s="17">
        <f t="shared" si="9"/>
        <v>-30</v>
      </c>
      <c r="L95" s="17"/>
      <c r="M95" s="19" t="str">
        <f t="shared" si="11"/>
        <v/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0"/>
        <v>-3</v>
      </c>
      <c r="K96" s="17">
        <f t="shared" si="9"/>
        <v>-30</v>
      </c>
      <c r="L96" s="17"/>
      <c r="M96" s="19" t="str">
        <f t="shared" si="11"/>
        <v/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0"/>
        <v>-3</v>
      </c>
      <c r="K97" s="17">
        <f t="shared" si="9"/>
        <v>-30</v>
      </c>
      <c r="L97" s="17"/>
      <c r="M97" s="19" t="str">
        <f t="shared" si="11"/>
        <v/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0"/>
        <v>-3</v>
      </c>
      <c r="K98" s="17">
        <f t="shared" si="9"/>
        <v>-30</v>
      </c>
      <c r="L98" s="17"/>
      <c r="M98" s="19" t="str">
        <f t="shared" si="11"/>
        <v/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0"/>
        <v>-3</v>
      </c>
      <c r="K99" s="17">
        <f t="shared" si="9"/>
        <v>-30</v>
      </c>
      <c r="L99" s="17"/>
      <c r="M99" s="19" t="str">
        <f t="shared" si="11"/>
        <v/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0"/>
        <v>-3</v>
      </c>
      <c r="K100" s="17">
        <f t="shared" si="9"/>
        <v>-30</v>
      </c>
      <c r="L100" s="17"/>
      <c r="M100" s="19" t="str">
        <f t="shared" si="11"/>
        <v/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0"/>
        <v>-3</v>
      </c>
      <c r="K101" s="17">
        <f t="shared" si="9"/>
        <v>-30</v>
      </c>
      <c r="L101" s="17"/>
      <c r="M101" s="19" t="str">
        <f t="shared" si="11"/>
        <v/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0"/>
        <v>-3</v>
      </c>
      <c r="K102" s="17">
        <f t="shared" si="9"/>
        <v>-30</v>
      </c>
      <c r="L102" s="17"/>
      <c r="M102" s="19" t="str">
        <f t="shared" si="11"/>
        <v/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0"/>
        <v>-3</v>
      </c>
      <c r="K103" s="17">
        <f t="shared" si="9"/>
        <v>-30</v>
      </c>
      <c r="L103" s="17"/>
      <c r="M103" s="19" t="str">
        <f t="shared" si="11"/>
        <v/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0"/>
        <v>-3</v>
      </c>
      <c r="K104" s="17">
        <f t="shared" si="9"/>
        <v>-30</v>
      </c>
      <c r="L104" s="17"/>
      <c r="M104" s="19" t="str">
        <f t="shared" si="11"/>
        <v/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0"/>
        <v>-3</v>
      </c>
      <c r="K105" s="17">
        <f t="shared" si="9"/>
        <v>-30</v>
      </c>
      <c r="L105" s="17"/>
      <c r="M105" s="19" t="str">
        <f t="shared" si="11"/>
        <v/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0"/>
        <v>-3</v>
      </c>
      <c r="K106" s="17">
        <f t="shared" si="9"/>
        <v>-30</v>
      </c>
      <c r="L106" s="17"/>
      <c r="M106" s="19" t="str">
        <f t="shared" si="11"/>
        <v/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0"/>
        <v>-3</v>
      </c>
      <c r="K107" s="17">
        <f t="shared" si="9"/>
        <v>-30</v>
      </c>
      <c r="L107" s="17"/>
      <c r="M107" s="19" t="str">
        <f t="shared" si="11"/>
        <v/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0"/>
        <v>-3</v>
      </c>
      <c r="K108" s="17">
        <f t="shared" si="9"/>
        <v>-30</v>
      </c>
      <c r="L108" s="17"/>
      <c r="M108" s="19" t="str">
        <f t="shared" si="11"/>
        <v/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0"/>
        <v>-3</v>
      </c>
      <c r="K109" s="17">
        <f t="shared" si="9"/>
        <v>-30</v>
      </c>
      <c r="L109" s="17"/>
      <c r="M109" s="19" t="str">
        <f t="shared" si="11"/>
        <v/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0"/>
        <v>-3</v>
      </c>
      <c r="K110" s="17">
        <f t="shared" si="9"/>
        <v>-30</v>
      </c>
      <c r="L110" s="17"/>
      <c r="M110" s="19" t="str">
        <f t="shared" si="11"/>
        <v/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0"/>
        <v>-3</v>
      </c>
      <c r="K111" s="17">
        <f t="shared" si="9"/>
        <v>-30</v>
      </c>
      <c r="L111" s="17"/>
      <c r="M111" s="19" t="str">
        <f t="shared" si="11"/>
        <v/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0"/>
        <v>-3</v>
      </c>
      <c r="K112" s="17">
        <f t="shared" si="9"/>
        <v>-30</v>
      </c>
      <c r="L112" s="17"/>
      <c r="M112" s="19" t="str">
        <f t="shared" si="11"/>
        <v/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0"/>
        <v>-3</v>
      </c>
      <c r="K113" s="17">
        <f t="shared" si="9"/>
        <v>-30</v>
      </c>
      <c r="L113" s="17"/>
      <c r="M113" s="19" t="str">
        <f t="shared" si="11"/>
        <v/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0"/>
        <v>-3</v>
      </c>
      <c r="K114" s="17">
        <f t="shared" si="9"/>
        <v>-30</v>
      </c>
      <c r="L114" s="17"/>
      <c r="M114" s="19" t="str">
        <f t="shared" si="11"/>
        <v/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0"/>
        <v>-3</v>
      </c>
      <c r="K115" s="17">
        <f t="shared" si="9"/>
        <v>-30</v>
      </c>
      <c r="L115" s="17"/>
      <c r="M115" s="19" t="str">
        <f t="shared" si="11"/>
        <v/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0"/>
        <v>-3</v>
      </c>
      <c r="K116" s="17">
        <f t="shared" si="9"/>
        <v>-30</v>
      </c>
      <c r="L116" s="17"/>
      <c r="M116" s="19" t="str">
        <f t="shared" si="11"/>
        <v/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0"/>
        <v>-3</v>
      </c>
      <c r="K117" s="17">
        <f t="shared" si="9"/>
        <v>-30</v>
      </c>
      <c r="L117" s="17"/>
      <c r="M117" s="19" t="str">
        <f t="shared" si="11"/>
        <v/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0"/>
        <v>-3</v>
      </c>
      <c r="K118" s="17">
        <f t="shared" si="9"/>
        <v>-30</v>
      </c>
      <c r="L118" s="17"/>
      <c r="M118" s="19" t="str">
        <f t="shared" si="11"/>
        <v/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0"/>
        <v>-3</v>
      </c>
      <c r="K119" s="17">
        <f t="shared" si="9"/>
        <v>-30</v>
      </c>
      <c r="L119" s="17"/>
      <c r="M119" s="19" t="str">
        <f t="shared" si="11"/>
        <v/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0"/>
        <v>-3</v>
      </c>
      <c r="K120" s="17">
        <f t="shared" si="9"/>
        <v>-30</v>
      </c>
      <c r="L120" s="17"/>
      <c r="M120" s="19" t="str">
        <f t="shared" si="11"/>
        <v/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0"/>
        <v>-3</v>
      </c>
      <c r="K121" s="17">
        <f t="shared" si="9"/>
        <v>-30</v>
      </c>
      <c r="L121" s="17"/>
      <c r="M121" s="19" t="str">
        <f t="shared" si="11"/>
        <v/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0"/>
        <v>-3</v>
      </c>
      <c r="K122" s="17">
        <f t="shared" si="9"/>
        <v>-30</v>
      </c>
      <c r="L122" s="17"/>
      <c r="M122" s="19" t="str">
        <f t="shared" si="11"/>
        <v/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0"/>
        <v>-3</v>
      </c>
      <c r="K123" s="17">
        <f t="shared" si="9"/>
        <v>-30</v>
      </c>
      <c r="L123" s="17"/>
      <c r="M123" s="19" t="str">
        <f t="shared" si="11"/>
        <v/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0"/>
        <v>-3</v>
      </c>
      <c r="K124" s="17">
        <f t="shared" si="9"/>
        <v>-30</v>
      </c>
      <c r="L124" s="17"/>
      <c r="M124" s="19" t="str">
        <f t="shared" si="11"/>
        <v/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0"/>
        <v>-3</v>
      </c>
      <c r="K125" s="17">
        <f t="shared" si="9"/>
        <v>-30</v>
      </c>
      <c r="L125" s="17"/>
      <c r="M125" s="19" t="str">
        <f t="shared" si="11"/>
        <v/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0"/>
        <v>-3</v>
      </c>
      <c r="K126" s="17">
        <f t="shared" si="9"/>
        <v>-30</v>
      </c>
      <c r="L126" s="17"/>
      <c r="M126" s="19" t="str">
        <f t="shared" si="11"/>
        <v/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0"/>
        <v>-3</v>
      </c>
      <c r="K127" s="17">
        <f t="shared" si="9"/>
        <v>-30</v>
      </c>
      <c r="L127" s="17"/>
      <c r="M127" s="19" t="str">
        <f t="shared" si="11"/>
        <v/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0"/>
        <v>-3</v>
      </c>
      <c r="K128" s="17">
        <f t="shared" si="9"/>
        <v>-30</v>
      </c>
      <c r="L128" s="17"/>
      <c r="M128" s="19" t="str">
        <f t="shared" si="11"/>
        <v/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0"/>
        <v>-3</v>
      </c>
      <c r="K129" s="17">
        <f t="shared" si="9"/>
        <v>-30</v>
      </c>
      <c r="L129" s="17"/>
      <c r="M129" s="19" t="str">
        <f t="shared" si="11"/>
        <v/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0"/>
        <v>-3</v>
      </c>
      <c r="K130" s="17">
        <f t="shared" si="9"/>
        <v>-30</v>
      </c>
      <c r="L130" s="17"/>
      <c r="M130" s="19" t="str">
        <f t="shared" si="11"/>
        <v/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0"/>
        <v>-3</v>
      </c>
      <c r="K131" s="17">
        <f t="shared" si="9"/>
        <v>-30</v>
      </c>
      <c r="L131" s="17"/>
      <c r="M131" s="19" t="str">
        <f t="shared" si="11"/>
        <v/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0"/>
        <v>-3</v>
      </c>
      <c r="K132" s="17">
        <f t="shared" si="9"/>
        <v>-30</v>
      </c>
      <c r="L132" s="17"/>
      <c r="M132" s="19" t="str">
        <f t="shared" si="11"/>
        <v/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0"/>
        <v>-3</v>
      </c>
      <c r="K133" s="17">
        <f t="shared" si="9"/>
        <v>-30</v>
      </c>
      <c r="L133" s="17"/>
      <c r="M133" s="19" t="str">
        <f t="shared" si="11"/>
        <v/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0"/>
        <v>-4</v>
      </c>
      <c r="K134" s="17">
        <f t="shared" ref="K134:K197" si="13">J134*$J$2</f>
        <v>-40</v>
      </c>
      <c r="L134" s="17"/>
      <c r="M134" s="19" t="str">
        <f t="shared" si="11"/>
        <v/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4">INT(LOG($H$2,2))-ROUNDUP(LOG(H135,2),0)+IF(OR($H$2=1,$H$2=2,$H$2=4,$H$2=8,$H$2=16,$H$2=32,$H$2=64,$H$2=128,$H$2=256),0,1)</f>
        <v>-4</v>
      </c>
      <c r="K135" s="17">
        <f t="shared" si="13"/>
        <v>-40</v>
      </c>
      <c r="L135" s="17"/>
      <c r="M135" s="19" t="str">
        <f t="shared" ref="M135:M198" si="15">IF(I135&lt;&gt;"",K135+I135+L135,"")</f>
        <v/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4"/>
        <v>-4</v>
      </c>
      <c r="K136" s="17">
        <f t="shared" si="13"/>
        <v>-40</v>
      </c>
      <c r="L136" s="17"/>
      <c r="M136" s="19" t="str">
        <f t="shared" si="15"/>
        <v/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4"/>
        <v>-4</v>
      </c>
      <c r="K137" s="17">
        <f t="shared" si="13"/>
        <v>-40</v>
      </c>
      <c r="L137" s="17"/>
      <c r="M137" s="19" t="str">
        <f t="shared" si="15"/>
        <v/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4"/>
        <v>-4</v>
      </c>
      <c r="K138" s="17">
        <f t="shared" si="13"/>
        <v>-40</v>
      </c>
      <c r="L138" s="17"/>
      <c r="M138" s="19" t="str">
        <f t="shared" si="15"/>
        <v/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4"/>
        <v>-4</v>
      </c>
      <c r="K139" s="17">
        <f t="shared" si="13"/>
        <v>-40</v>
      </c>
      <c r="L139" s="17"/>
      <c r="M139" s="19" t="str">
        <f t="shared" si="15"/>
        <v/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4"/>
        <v>-4</v>
      </c>
      <c r="K140" s="17">
        <f t="shared" si="13"/>
        <v>-40</v>
      </c>
      <c r="L140" s="17"/>
      <c r="M140" s="19" t="str">
        <f t="shared" si="15"/>
        <v/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4"/>
        <v>-4</v>
      </c>
      <c r="K141" s="17">
        <f t="shared" si="13"/>
        <v>-40</v>
      </c>
      <c r="L141" s="17"/>
      <c r="M141" s="19" t="str">
        <f t="shared" si="15"/>
        <v/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4"/>
        <v>-4</v>
      </c>
      <c r="K142" s="17">
        <f t="shared" si="13"/>
        <v>-40</v>
      </c>
      <c r="L142" s="17"/>
      <c r="M142" s="19" t="str">
        <f t="shared" si="15"/>
        <v/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4"/>
        <v>-4</v>
      </c>
      <c r="K143" s="17">
        <f t="shared" si="13"/>
        <v>-40</v>
      </c>
      <c r="L143" s="17"/>
      <c r="M143" s="19" t="str">
        <f t="shared" si="15"/>
        <v/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4"/>
        <v>-4</v>
      </c>
      <c r="K144" s="17">
        <f t="shared" si="13"/>
        <v>-40</v>
      </c>
      <c r="L144" s="17"/>
      <c r="M144" s="19" t="str">
        <f t="shared" si="15"/>
        <v/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4"/>
        <v>-4</v>
      </c>
      <c r="K145" s="17">
        <f t="shared" si="13"/>
        <v>-40</v>
      </c>
      <c r="L145" s="17"/>
      <c r="M145" s="19" t="str">
        <f t="shared" si="15"/>
        <v/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4"/>
        <v>-4</v>
      </c>
      <c r="K146" s="17">
        <f t="shared" si="13"/>
        <v>-40</v>
      </c>
      <c r="L146" s="17"/>
      <c r="M146" s="19" t="str">
        <f t="shared" si="15"/>
        <v/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4"/>
        <v>-4</v>
      </c>
      <c r="K147" s="17">
        <f t="shared" si="13"/>
        <v>-40</v>
      </c>
      <c r="L147" s="17"/>
      <c r="M147" s="19" t="str">
        <f t="shared" si="15"/>
        <v/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4"/>
        <v>-4</v>
      </c>
      <c r="K148" s="17">
        <f t="shared" si="13"/>
        <v>-40</v>
      </c>
      <c r="L148" s="17"/>
      <c r="M148" s="19" t="str">
        <f t="shared" si="15"/>
        <v/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4"/>
        <v>-4</v>
      </c>
      <c r="K149" s="17">
        <f t="shared" si="13"/>
        <v>-40</v>
      </c>
      <c r="L149" s="17"/>
      <c r="M149" s="19" t="str">
        <f t="shared" si="15"/>
        <v/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4"/>
        <v>-4</v>
      </c>
      <c r="K150" s="17">
        <f t="shared" si="13"/>
        <v>-40</v>
      </c>
      <c r="L150" s="17"/>
      <c r="M150" s="19" t="str">
        <f t="shared" si="15"/>
        <v/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4"/>
        <v>-4</v>
      </c>
      <c r="K151" s="17">
        <f t="shared" si="13"/>
        <v>-40</v>
      </c>
      <c r="L151" s="17"/>
      <c r="M151" s="19" t="str">
        <f t="shared" si="15"/>
        <v/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4"/>
        <v>-4</v>
      </c>
      <c r="K152" s="17">
        <f t="shared" si="13"/>
        <v>-40</v>
      </c>
      <c r="L152" s="17"/>
      <c r="M152" s="19" t="str">
        <f t="shared" si="15"/>
        <v/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4"/>
        <v>-4</v>
      </c>
      <c r="K153" s="17">
        <f t="shared" si="13"/>
        <v>-40</v>
      </c>
      <c r="L153" s="17"/>
      <c r="M153" s="19" t="str">
        <f t="shared" si="15"/>
        <v/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4"/>
        <v>-4</v>
      </c>
      <c r="K154" s="17">
        <f t="shared" si="13"/>
        <v>-40</v>
      </c>
      <c r="L154" s="17"/>
      <c r="M154" s="19" t="str">
        <f t="shared" si="15"/>
        <v/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4"/>
        <v>-4</v>
      </c>
      <c r="K155" s="17">
        <f t="shared" si="13"/>
        <v>-40</v>
      </c>
      <c r="L155" s="17"/>
      <c r="M155" s="19" t="str">
        <f t="shared" si="15"/>
        <v/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4"/>
        <v>-4</v>
      </c>
      <c r="K156" s="17">
        <f t="shared" si="13"/>
        <v>-40</v>
      </c>
      <c r="L156" s="17"/>
      <c r="M156" s="19" t="str">
        <f t="shared" si="15"/>
        <v/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4"/>
        <v>-4</v>
      </c>
      <c r="K157" s="17">
        <f t="shared" si="13"/>
        <v>-40</v>
      </c>
      <c r="L157" s="17"/>
      <c r="M157" s="19" t="str">
        <f t="shared" si="15"/>
        <v/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4"/>
        <v>-4</v>
      </c>
      <c r="K158" s="17">
        <f t="shared" si="13"/>
        <v>-40</v>
      </c>
      <c r="L158" s="17"/>
      <c r="M158" s="19" t="str">
        <f t="shared" si="15"/>
        <v/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4"/>
        <v>-4</v>
      </c>
      <c r="K159" s="17">
        <f t="shared" si="13"/>
        <v>-40</v>
      </c>
      <c r="L159" s="17"/>
      <c r="M159" s="19" t="str">
        <f t="shared" si="15"/>
        <v/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4"/>
        <v>-4</v>
      </c>
      <c r="K160" s="17">
        <f t="shared" si="13"/>
        <v>-40</v>
      </c>
      <c r="L160" s="17"/>
      <c r="M160" s="19" t="str">
        <f t="shared" si="15"/>
        <v/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4"/>
        <v>-4</v>
      </c>
      <c r="K161" s="17">
        <f t="shared" si="13"/>
        <v>-40</v>
      </c>
      <c r="L161" s="17"/>
      <c r="M161" s="19" t="str">
        <f t="shared" si="15"/>
        <v/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4"/>
        <v>-4</v>
      </c>
      <c r="K162" s="17">
        <f t="shared" si="13"/>
        <v>-40</v>
      </c>
      <c r="L162" s="17"/>
      <c r="M162" s="19" t="str">
        <f t="shared" si="15"/>
        <v/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4"/>
        <v>-4</v>
      </c>
      <c r="K163" s="17">
        <f t="shared" si="13"/>
        <v>-40</v>
      </c>
      <c r="L163" s="17"/>
      <c r="M163" s="19" t="str">
        <f t="shared" si="15"/>
        <v/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4"/>
        <v>-4</v>
      </c>
      <c r="K164" s="17">
        <f t="shared" si="13"/>
        <v>-40</v>
      </c>
      <c r="L164" s="17"/>
      <c r="M164" s="19" t="str">
        <f t="shared" si="15"/>
        <v/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4"/>
        <v>-4</v>
      </c>
      <c r="K165" s="17">
        <f t="shared" si="13"/>
        <v>-40</v>
      </c>
      <c r="L165" s="17"/>
      <c r="M165" s="19" t="str">
        <f t="shared" si="15"/>
        <v/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4"/>
        <v>-4</v>
      </c>
      <c r="K166" s="17">
        <f t="shared" si="13"/>
        <v>-40</v>
      </c>
      <c r="L166" s="17"/>
      <c r="M166" s="19" t="str">
        <f t="shared" si="15"/>
        <v/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4"/>
        <v>-4</v>
      </c>
      <c r="K167" s="17">
        <f t="shared" si="13"/>
        <v>-40</v>
      </c>
      <c r="L167" s="17"/>
      <c r="M167" s="19" t="str">
        <f t="shared" si="15"/>
        <v/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4"/>
        <v>-4</v>
      </c>
      <c r="K168" s="17">
        <f t="shared" si="13"/>
        <v>-40</v>
      </c>
      <c r="L168" s="17"/>
      <c r="M168" s="19" t="str">
        <f t="shared" si="15"/>
        <v/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4"/>
        <v>-4</v>
      </c>
      <c r="K169" s="17">
        <f t="shared" si="13"/>
        <v>-40</v>
      </c>
      <c r="L169" s="17"/>
      <c r="M169" s="19" t="str">
        <f t="shared" si="15"/>
        <v/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4"/>
        <v>-4</v>
      </c>
      <c r="K170" s="17">
        <f t="shared" si="13"/>
        <v>-40</v>
      </c>
      <c r="L170" s="17"/>
      <c r="M170" s="19" t="str">
        <f t="shared" si="15"/>
        <v/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4"/>
        <v>-4</v>
      </c>
      <c r="K171" s="17">
        <f t="shared" si="13"/>
        <v>-40</v>
      </c>
      <c r="L171" s="17"/>
      <c r="M171" s="19" t="str">
        <f t="shared" si="15"/>
        <v/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4"/>
        <v>-4</v>
      </c>
      <c r="K172" s="17">
        <f t="shared" si="13"/>
        <v>-40</v>
      </c>
      <c r="L172" s="17"/>
      <c r="M172" s="19" t="str">
        <f t="shared" si="15"/>
        <v/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4"/>
        <v>-4</v>
      </c>
      <c r="K173" s="17">
        <f t="shared" si="13"/>
        <v>-40</v>
      </c>
      <c r="L173" s="17"/>
      <c r="M173" s="19" t="str">
        <f t="shared" si="15"/>
        <v/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4"/>
        <v>-4</v>
      </c>
      <c r="K174" s="17">
        <f t="shared" si="13"/>
        <v>-40</v>
      </c>
      <c r="L174" s="17"/>
      <c r="M174" s="19" t="str">
        <f t="shared" si="15"/>
        <v/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4"/>
        <v>-4</v>
      </c>
      <c r="K175" s="17">
        <f t="shared" si="13"/>
        <v>-40</v>
      </c>
      <c r="L175" s="17"/>
      <c r="M175" s="19" t="str">
        <f t="shared" si="15"/>
        <v/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4"/>
        <v>-4</v>
      </c>
      <c r="K176" s="17">
        <f t="shared" si="13"/>
        <v>-40</v>
      </c>
      <c r="L176" s="17"/>
      <c r="M176" s="19" t="str">
        <f t="shared" si="15"/>
        <v/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4"/>
        <v>-4</v>
      </c>
      <c r="K177" s="17">
        <f t="shared" si="13"/>
        <v>-40</v>
      </c>
      <c r="L177" s="17"/>
      <c r="M177" s="19" t="str">
        <f t="shared" si="15"/>
        <v/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4"/>
        <v>-4</v>
      </c>
      <c r="K178" s="17">
        <f t="shared" si="13"/>
        <v>-40</v>
      </c>
      <c r="L178" s="17"/>
      <c r="M178" s="19" t="str">
        <f t="shared" si="15"/>
        <v/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4"/>
        <v>-4</v>
      </c>
      <c r="K179" s="17">
        <f t="shared" si="13"/>
        <v>-40</v>
      </c>
      <c r="L179" s="17"/>
      <c r="M179" s="19" t="str">
        <f t="shared" si="15"/>
        <v/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4"/>
        <v>-4</v>
      </c>
      <c r="K180" s="17">
        <f t="shared" si="13"/>
        <v>-40</v>
      </c>
      <c r="L180" s="17"/>
      <c r="M180" s="19" t="str">
        <f t="shared" si="15"/>
        <v/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4"/>
        <v>-4</v>
      </c>
      <c r="K181" s="17">
        <f t="shared" si="13"/>
        <v>-40</v>
      </c>
      <c r="L181" s="17"/>
      <c r="M181" s="19" t="str">
        <f t="shared" si="15"/>
        <v/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4"/>
        <v>-4</v>
      </c>
      <c r="K182" s="17">
        <f t="shared" si="13"/>
        <v>-40</v>
      </c>
      <c r="L182" s="17"/>
      <c r="M182" s="19" t="str">
        <f t="shared" si="15"/>
        <v/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4"/>
        <v>-4</v>
      </c>
      <c r="K183" s="17">
        <f t="shared" si="13"/>
        <v>-40</v>
      </c>
      <c r="L183" s="17"/>
      <c r="M183" s="19" t="str">
        <f t="shared" si="15"/>
        <v/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4"/>
        <v>-4</v>
      </c>
      <c r="K184" s="17">
        <f t="shared" si="13"/>
        <v>-40</v>
      </c>
      <c r="L184" s="17"/>
      <c r="M184" s="19" t="str">
        <f t="shared" si="15"/>
        <v/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4"/>
        <v>-4</v>
      </c>
      <c r="K185" s="17">
        <f t="shared" si="13"/>
        <v>-40</v>
      </c>
      <c r="L185" s="17"/>
      <c r="M185" s="19" t="str">
        <f t="shared" si="15"/>
        <v/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4"/>
        <v>-4</v>
      </c>
      <c r="K186" s="17">
        <f t="shared" si="13"/>
        <v>-40</v>
      </c>
      <c r="L186" s="17"/>
      <c r="M186" s="19" t="str">
        <f t="shared" si="15"/>
        <v/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4"/>
        <v>-4</v>
      </c>
      <c r="K187" s="17">
        <f t="shared" si="13"/>
        <v>-40</v>
      </c>
      <c r="L187" s="17"/>
      <c r="M187" s="19" t="str">
        <f t="shared" si="15"/>
        <v/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4"/>
        <v>-4</v>
      </c>
      <c r="K188" s="17">
        <f t="shared" si="13"/>
        <v>-40</v>
      </c>
      <c r="L188" s="17"/>
      <c r="M188" s="19" t="str">
        <f t="shared" si="15"/>
        <v/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4"/>
        <v>-4</v>
      </c>
      <c r="K189" s="17">
        <f t="shared" si="13"/>
        <v>-40</v>
      </c>
      <c r="L189" s="17"/>
      <c r="M189" s="19" t="str">
        <f t="shared" si="15"/>
        <v/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4"/>
        <v>-4</v>
      </c>
      <c r="K190" s="17">
        <f t="shared" si="13"/>
        <v>-40</v>
      </c>
      <c r="L190" s="17"/>
      <c r="M190" s="19" t="str">
        <f t="shared" si="15"/>
        <v/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4"/>
        <v>-4</v>
      </c>
      <c r="K191" s="17">
        <f t="shared" si="13"/>
        <v>-40</v>
      </c>
      <c r="L191" s="17"/>
      <c r="M191" s="19" t="str">
        <f t="shared" si="15"/>
        <v/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4"/>
        <v>-4</v>
      </c>
      <c r="K192" s="17">
        <f t="shared" si="13"/>
        <v>-40</v>
      </c>
      <c r="L192" s="17"/>
      <c r="M192" s="19" t="str">
        <f t="shared" si="15"/>
        <v/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4"/>
        <v>-4</v>
      </c>
      <c r="K193" s="17">
        <f t="shared" si="13"/>
        <v>-40</v>
      </c>
      <c r="L193" s="17"/>
      <c r="M193" s="19" t="str">
        <f t="shared" si="15"/>
        <v/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4"/>
        <v>-4</v>
      </c>
      <c r="K194" s="17">
        <f t="shared" si="13"/>
        <v>-40</v>
      </c>
      <c r="L194" s="17"/>
      <c r="M194" s="19" t="str">
        <f t="shared" si="15"/>
        <v/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4"/>
        <v>-4</v>
      </c>
      <c r="K195" s="17">
        <f t="shared" si="13"/>
        <v>-40</v>
      </c>
      <c r="L195" s="17"/>
      <c r="M195" s="19" t="str">
        <f t="shared" si="15"/>
        <v/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4"/>
        <v>-4</v>
      </c>
      <c r="K196" s="17">
        <f t="shared" si="13"/>
        <v>-40</v>
      </c>
      <c r="L196" s="17"/>
      <c r="M196" s="19" t="str">
        <f t="shared" si="15"/>
        <v/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4"/>
        <v>-4</v>
      </c>
      <c r="K197" s="17">
        <f t="shared" si="13"/>
        <v>-40</v>
      </c>
      <c r="L197" s="17"/>
      <c r="M197" s="19" t="str">
        <f t="shared" si="15"/>
        <v/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4"/>
        <v>-4</v>
      </c>
      <c r="K198" s="17">
        <f t="shared" ref="K198:K261" si="17">J198*$J$2</f>
        <v>-40</v>
      </c>
      <c r="L198" s="17"/>
      <c r="M198" s="19" t="str">
        <f t="shared" si="15"/>
        <v/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8">INT(LOG($H$2,2))-ROUNDUP(LOG(H199,2),0)+IF(OR($H$2=1,$H$2=2,$H$2=4,$H$2=8,$H$2=16,$H$2=32,$H$2=64,$H$2=128,$H$2=256),0,1)</f>
        <v>-4</v>
      </c>
      <c r="K199" s="17">
        <f t="shared" si="17"/>
        <v>-40</v>
      </c>
      <c r="L199" s="17"/>
      <c r="M199" s="19" t="str">
        <f t="shared" ref="M199:M262" si="19">IF(I199&lt;&gt;"",K199+I199+L199,"")</f>
        <v/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8"/>
        <v>-4</v>
      </c>
      <c r="K200" s="17">
        <f t="shared" si="17"/>
        <v>-40</v>
      </c>
      <c r="L200" s="17"/>
      <c r="M200" s="19" t="str">
        <f t="shared" si="19"/>
        <v/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8"/>
        <v>-4</v>
      </c>
      <c r="K201" s="17">
        <f t="shared" si="17"/>
        <v>-40</v>
      </c>
      <c r="L201" s="17"/>
      <c r="M201" s="19" t="str">
        <f t="shared" si="19"/>
        <v/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8"/>
        <v>-4</v>
      </c>
      <c r="K202" s="17">
        <f t="shared" si="17"/>
        <v>-40</v>
      </c>
      <c r="L202" s="17"/>
      <c r="M202" s="19" t="str">
        <f t="shared" si="19"/>
        <v/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8"/>
        <v>-4</v>
      </c>
      <c r="K203" s="17">
        <f t="shared" si="17"/>
        <v>-40</v>
      </c>
      <c r="L203" s="17"/>
      <c r="M203" s="19" t="str">
        <f t="shared" si="19"/>
        <v/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8"/>
        <v>-4</v>
      </c>
      <c r="K204" s="17">
        <f t="shared" si="17"/>
        <v>-40</v>
      </c>
      <c r="L204" s="17"/>
      <c r="M204" s="19" t="str">
        <f t="shared" si="19"/>
        <v/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8"/>
        <v>-4</v>
      </c>
      <c r="K205" s="17">
        <f t="shared" si="17"/>
        <v>-40</v>
      </c>
      <c r="L205" s="17"/>
      <c r="M205" s="19" t="str">
        <f t="shared" si="19"/>
        <v/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8"/>
        <v>-4</v>
      </c>
      <c r="K206" s="17">
        <f t="shared" si="17"/>
        <v>-40</v>
      </c>
      <c r="L206" s="17"/>
      <c r="M206" s="19" t="str">
        <f t="shared" si="19"/>
        <v/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8"/>
        <v>-4</v>
      </c>
      <c r="K207" s="17">
        <f t="shared" si="17"/>
        <v>-40</v>
      </c>
      <c r="L207" s="17"/>
      <c r="M207" s="19" t="str">
        <f t="shared" si="19"/>
        <v/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8"/>
        <v>-4</v>
      </c>
      <c r="K208" s="17">
        <f t="shared" si="17"/>
        <v>-40</v>
      </c>
      <c r="L208" s="17"/>
      <c r="M208" s="19" t="str">
        <f t="shared" si="19"/>
        <v/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8"/>
        <v>-4</v>
      </c>
      <c r="K209" s="17">
        <f t="shared" si="17"/>
        <v>-40</v>
      </c>
      <c r="L209" s="17"/>
      <c r="M209" s="19" t="str">
        <f t="shared" si="19"/>
        <v/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8"/>
        <v>-4</v>
      </c>
      <c r="K210" s="17">
        <f t="shared" si="17"/>
        <v>-40</v>
      </c>
      <c r="L210" s="17"/>
      <c r="M210" s="19" t="str">
        <f t="shared" si="19"/>
        <v/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8"/>
        <v>-4</v>
      </c>
      <c r="K211" s="17">
        <f t="shared" si="17"/>
        <v>-40</v>
      </c>
      <c r="L211" s="17"/>
      <c r="M211" s="19" t="str">
        <f t="shared" si="19"/>
        <v/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8"/>
        <v>-4</v>
      </c>
      <c r="K212" s="17">
        <f t="shared" si="17"/>
        <v>-40</v>
      </c>
      <c r="L212" s="17"/>
      <c r="M212" s="19" t="str">
        <f t="shared" si="19"/>
        <v/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8"/>
        <v>-4</v>
      </c>
      <c r="K213" s="17">
        <f t="shared" si="17"/>
        <v>-40</v>
      </c>
      <c r="L213" s="17"/>
      <c r="M213" s="19" t="str">
        <f t="shared" si="19"/>
        <v/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8"/>
        <v>-4</v>
      </c>
      <c r="K214" s="17">
        <f t="shared" si="17"/>
        <v>-40</v>
      </c>
      <c r="L214" s="17"/>
      <c r="M214" s="19" t="str">
        <f t="shared" si="19"/>
        <v/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8"/>
        <v>-4</v>
      </c>
      <c r="K215" s="17">
        <f t="shared" si="17"/>
        <v>-40</v>
      </c>
      <c r="L215" s="17"/>
      <c r="M215" s="19" t="str">
        <f t="shared" si="19"/>
        <v/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8"/>
        <v>-4</v>
      </c>
      <c r="K216" s="17">
        <f t="shared" si="17"/>
        <v>-40</v>
      </c>
      <c r="L216" s="17"/>
      <c r="M216" s="19" t="str">
        <f t="shared" si="19"/>
        <v/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8"/>
        <v>-4</v>
      </c>
      <c r="K217" s="17">
        <f t="shared" si="17"/>
        <v>-40</v>
      </c>
      <c r="L217" s="17"/>
      <c r="M217" s="19" t="str">
        <f t="shared" si="19"/>
        <v/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8"/>
        <v>-4</v>
      </c>
      <c r="K218" s="17">
        <f t="shared" si="17"/>
        <v>-40</v>
      </c>
      <c r="L218" s="17"/>
      <c r="M218" s="19" t="str">
        <f t="shared" si="19"/>
        <v/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8"/>
        <v>-4</v>
      </c>
      <c r="K219" s="17">
        <f t="shared" si="17"/>
        <v>-40</v>
      </c>
      <c r="L219" s="17"/>
      <c r="M219" s="19" t="str">
        <f t="shared" si="19"/>
        <v/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8"/>
        <v>-4</v>
      </c>
      <c r="K220" s="17">
        <f t="shared" si="17"/>
        <v>-40</v>
      </c>
      <c r="L220" s="17"/>
      <c r="M220" s="19" t="str">
        <f t="shared" si="19"/>
        <v/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8"/>
        <v>-4</v>
      </c>
      <c r="K221" s="17">
        <f t="shared" si="17"/>
        <v>-40</v>
      </c>
      <c r="L221" s="17"/>
      <c r="M221" s="19" t="str">
        <f t="shared" si="19"/>
        <v/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8"/>
        <v>-4</v>
      </c>
      <c r="K222" s="17">
        <f t="shared" si="17"/>
        <v>-40</v>
      </c>
      <c r="L222" s="17"/>
      <c r="M222" s="19" t="str">
        <f t="shared" si="19"/>
        <v/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8"/>
        <v>-4</v>
      </c>
      <c r="K223" s="17">
        <f t="shared" si="17"/>
        <v>-40</v>
      </c>
      <c r="L223" s="17"/>
      <c r="M223" s="19" t="str">
        <f t="shared" si="19"/>
        <v/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8"/>
        <v>-4</v>
      </c>
      <c r="K224" s="17">
        <f t="shared" si="17"/>
        <v>-40</v>
      </c>
      <c r="L224" s="17"/>
      <c r="M224" s="19" t="str">
        <f t="shared" si="19"/>
        <v/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8"/>
        <v>-4</v>
      </c>
      <c r="K225" s="17">
        <f t="shared" si="17"/>
        <v>-40</v>
      </c>
      <c r="L225" s="17"/>
      <c r="M225" s="19" t="str">
        <f t="shared" si="19"/>
        <v/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8"/>
        <v>-4</v>
      </c>
      <c r="K226" s="17">
        <f t="shared" si="17"/>
        <v>-40</v>
      </c>
      <c r="L226" s="17"/>
      <c r="M226" s="19" t="str">
        <f t="shared" si="19"/>
        <v/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8"/>
        <v>-4</v>
      </c>
      <c r="K227" s="17">
        <f t="shared" si="17"/>
        <v>-40</v>
      </c>
      <c r="L227" s="17"/>
      <c r="M227" s="19" t="str">
        <f t="shared" si="19"/>
        <v/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8"/>
        <v>-4</v>
      </c>
      <c r="K228" s="17">
        <f t="shared" si="17"/>
        <v>-40</v>
      </c>
      <c r="L228" s="17"/>
      <c r="M228" s="19" t="str">
        <f t="shared" si="19"/>
        <v/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8"/>
        <v>-4</v>
      </c>
      <c r="K229" s="17">
        <f t="shared" si="17"/>
        <v>-40</v>
      </c>
      <c r="L229" s="17"/>
      <c r="M229" s="19" t="str">
        <f t="shared" si="19"/>
        <v/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8"/>
        <v>-4</v>
      </c>
      <c r="K230" s="17">
        <f t="shared" si="17"/>
        <v>-40</v>
      </c>
      <c r="L230" s="17"/>
      <c r="M230" s="19" t="str">
        <f t="shared" si="19"/>
        <v/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8"/>
        <v>-4</v>
      </c>
      <c r="K231" s="17">
        <f t="shared" si="17"/>
        <v>-40</v>
      </c>
      <c r="L231" s="17"/>
      <c r="M231" s="19" t="str">
        <f t="shared" si="19"/>
        <v/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8"/>
        <v>-4</v>
      </c>
      <c r="K232" s="17">
        <f t="shared" si="17"/>
        <v>-40</v>
      </c>
      <c r="L232" s="17"/>
      <c r="M232" s="19" t="str">
        <f t="shared" si="19"/>
        <v/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8"/>
        <v>-4</v>
      </c>
      <c r="K233" s="17">
        <f t="shared" si="17"/>
        <v>-40</v>
      </c>
      <c r="L233" s="17"/>
      <c r="M233" s="19" t="str">
        <f t="shared" si="19"/>
        <v/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8"/>
        <v>-4</v>
      </c>
      <c r="K234" s="17">
        <f t="shared" si="17"/>
        <v>-40</v>
      </c>
      <c r="L234" s="17"/>
      <c r="M234" s="19" t="str">
        <f t="shared" si="19"/>
        <v/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8"/>
        <v>-4</v>
      </c>
      <c r="K235" s="17">
        <f t="shared" si="17"/>
        <v>-40</v>
      </c>
      <c r="L235" s="17"/>
      <c r="M235" s="19" t="str">
        <f t="shared" si="19"/>
        <v/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8"/>
        <v>-4</v>
      </c>
      <c r="K236" s="17">
        <f t="shared" si="17"/>
        <v>-40</v>
      </c>
      <c r="L236" s="17"/>
      <c r="M236" s="19" t="str">
        <f t="shared" si="19"/>
        <v/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8"/>
        <v>-4</v>
      </c>
      <c r="K237" s="17">
        <f t="shared" si="17"/>
        <v>-40</v>
      </c>
      <c r="L237" s="17"/>
      <c r="M237" s="19" t="str">
        <f t="shared" si="19"/>
        <v/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8"/>
        <v>-4</v>
      </c>
      <c r="K238" s="17">
        <f t="shared" si="17"/>
        <v>-40</v>
      </c>
      <c r="L238" s="17"/>
      <c r="M238" s="19" t="str">
        <f t="shared" si="19"/>
        <v/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8"/>
        <v>-4</v>
      </c>
      <c r="K239" s="17">
        <f t="shared" si="17"/>
        <v>-40</v>
      </c>
      <c r="L239" s="17"/>
      <c r="M239" s="19" t="str">
        <f t="shared" si="19"/>
        <v/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8"/>
        <v>-4</v>
      </c>
      <c r="K240" s="17">
        <f t="shared" si="17"/>
        <v>-40</v>
      </c>
      <c r="L240" s="17"/>
      <c r="M240" s="19" t="str">
        <f t="shared" si="19"/>
        <v/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8"/>
        <v>-4</v>
      </c>
      <c r="K241" s="17">
        <f t="shared" si="17"/>
        <v>-40</v>
      </c>
      <c r="L241" s="17"/>
      <c r="M241" s="19" t="str">
        <f t="shared" si="19"/>
        <v/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8"/>
        <v>-4</v>
      </c>
      <c r="K242" s="17">
        <f t="shared" si="17"/>
        <v>-40</v>
      </c>
      <c r="L242" s="17"/>
      <c r="M242" s="19" t="str">
        <f t="shared" si="19"/>
        <v/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8"/>
        <v>-4</v>
      </c>
      <c r="K243" s="17">
        <f t="shared" si="17"/>
        <v>-40</v>
      </c>
      <c r="L243" s="17"/>
      <c r="M243" s="19" t="str">
        <f t="shared" si="19"/>
        <v/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8"/>
        <v>-4</v>
      </c>
      <c r="K244" s="17">
        <f t="shared" si="17"/>
        <v>-40</v>
      </c>
      <c r="L244" s="17"/>
      <c r="M244" s="19" t="str">
        <f t="shared" si="19"/>
        <v/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8"/>
        <v>-4</v>
      </c>
      <c r="K245" s="17">
        <f t="shared" si="17"/>
        <v>-40</v>
      </c>
      <c r="L245" s="17"/>
      <c r="M245" s="19" t="str">
        <f t="shared" si="19"/>
        <v/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8"/>
        <v>-4</v>
      </c>
      <c r="K246" s="17">
        <f t="shared" si="17"/>
        <v>-40</v>
      </c>
      <c r="L246" s="17"/>
      <c r="M246" s="19" t="str">
        <f t="shared" si="19"/>
        <v/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8"/>
        <v>-4</v>
      </c>
      <c r="K247" s="17">
        <f t="shared" si="17"/>
        <v>-40</v>
      </c>
      <c r="L247" s="17"/>
      <c r="M247" s="19" t="str">
        <f t="shared" si="19"/>
        <v/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8"/>
        <v>-4</v>
      </c>
      <c r="K248" s="17">
        <f t="shared" si="17"/>
        <v>-40</v>
      </c>
      <c r="L248" s="17"/>
      <c r="M248" s="19" t="str">
        <f t="shared" si="19"/>
        <v/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8"/>
        <v>-4</v>
      </c>
      <c r="K249" s="17">
        <f t="shared" si="17"/>
        <v>-40</v>
      </c>
      <c r="L249" s="17"/>
      <c r="M249" s="19" t="str">
        <f t="shared" si="19"/>
        <v/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8"/>
        <v>-4</v>
      </c>
      <c r="K250" s="17">
        <f t="shared" si="17"/>
        <v>-40</v>
      </c>
      <c r="L250" s="17"/>
      <c r="M250" s="19" t="str">
        <f t="shared" si="19"/>
        <v/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8"/>
        <v>-4</v>
      </c>
      <c r="K251" s="17">
        <f t="shared" si="17"/>
        <v>-40</v>
      </c>
      <c r="L251" s="17"/>
      <c r="M251" s="19" t="str">
        <f t="shared" si="19"/>
        <v/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8"/>
        <v>-4</v>
      </c>
      <c r="K252" s="17">
        <f t="shared" si="17"/>
        <v>-40</v>
      </c>
      <c r="L252" s="17"/>
      <c r="M252" s="19" t="str">
        <f t="shared" si="19"/>
        <v/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8"/>
        <v>-4</v>
      </c>
      <c r="K253" s="17">
        <f t="shared" si="17"/>
        <v>-40</v>
      </c>
      <c r="L253" s="17"/>
      <c r="M253" s="19" t="str">
        <f t="shared" si="19"/>
        <v/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8"/>
        <v>-4</v>
      </c>
      <c r="K254" s="17">
        <f t="shared" si="17"/>
        <v>-40</v>
      </c>
      <c r="L254" s="17"/>
      <c r="M254" s="19" t="str">
        <f t="shared" si="19"/>
        <v/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8"/>
        <v>-4</v>
      </c>
      <c r="K255" s="17">
        <f t="shared" si="17"/>
        <v>-40</v>
      </c>
      <c r="L255" s="17"/>
      <c r="M255" s="19" t="str">
        <f t="shared" si="19"/>
        <v/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8"/>
        <v>-4</v>
      </c>
      <c r="K256" s="17">
        <f t="shared" si="17"/>
        <v>-40</v>
      </c>
      <c r="L256" s="17"/>
      <c r="M256" s="19" t="str">
        <f t="shared" si="19"/>
        <v/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8"/>
        <v>-4</v>
      </c>
      <c r="K257" s="17">
        <f t="shared" si="17"/>
        <v>-40</v>
      </c>
      <c r="L257" s="17"/>
      <c r="M257" s="19" t="str">
        <f t="shared" si="19"/>
        <v/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8"/>
        <v>-4</v>
      </c>
      <c r="K258" s="17">
        <f t="shared" si="17"/>
        <v>-40</v>
      </c>
      <c r="L258" s="17"/>
      <c r="M258" s="19" t="str">
        <f t="shared" si="19"/>
        <v/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8"/>
        <v>-4</v>
      </c>
      <c r="K259" s="17">
        <f t="shared" si="17"/>
        <v>-40</v>
      </c>
      <c r="L259" s="17"/>
      <c r="M259" s="19" t="str">
        <f t="shared" si="19"/>
        <v/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8"/>
        <v>-4</v>
      </c>
      <c r="K260" s="17">
        <f t="shared" si="17"/>
        <v>-40</v>
      </c>
      <c r="L260" s="17"/>
      <c r="M260" s="19" t="str">
        <f t="shared" si="19"/>
        <v/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8"/>
        <v>-4</v>
      </c>
      <c r="K261" s="17">
        <f t="shared" si="17"/>
        <v>-40</v>
      </c>
      <c r="L261" s="17"/>
      <c r="M261" s="19" t="str">
        <f t="shared" si="19"/>
        <v/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8"/>
        <v>-5</v>
      </c>
      <c r="K262" s="17">
        <f t="shared" ref="K262:K305" si="21">J262*$J$2</f>
        <v>-50</v>
      </c>
      <c r="L262" s="17"/>
      <c r="M262" s="19" t="str">
        <f t="shared" si="19"/>
        <v/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2">INT(LOG($H$2,2))-ROUNDUP(LOG(H263,2),0)+IF(OR($H$2=1,$H$2=2,$H$2=4,$H$2=8,$H$2=16,$H$2=32,$H$2=64,$H$2=128,$H$2=256),0,1)</f>
        <v>-5</v>
      </c>
      <c r="K263" s="17">
        <f t="shared" si="21"/>
        <v>-50</v>
      </c>
      <c r="L263" s="17"/>
      <c r="M263" s="19" t="str">
        <f t="shared" ref="M263:M305" si="23">IF(I263&lt;&gt;"",K263+I263+L263,"")</f>
        <v/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2"/>
        <v>-5</v>
      </c>
      <c r="K264" s="17">
        <f t="shared" si="21"/>
        <v>-50</v>
      </c>
      <c r="L264" s="17"/>
      <c r="M264" s="19" t="str">
        <f t="shared" si="23"/>
        <v/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2"/>
        <v>-5</v>
      </c>
      <c r="K265" s="17">
        <f t="shared" si="21"/>
        <v>-50</v>
      </c>
      <c r="L265" s="17"/>
      <c r="M265" s="19" t="str">
        <f t="shared" si="23"/>
        <v/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2"/>
        <v>-5</v>
      </c>
      <c r="K266" s="17">
        <f t="shared" si="21"/>
        <v>-50</v>
      </c>
      <c r="L266" s="17"/>
      <c r="M266" s="19" t="str">
        <f t="shared" si="23"/>
        <v/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2"/>
        <v>-5</v>
      </c>
      <c r="K267" s="17">
        <f t="shared" si="21"/>
        <v>-50</v>
      </c>
      <c r="L267" s="17"/>
      <c r="M267" s="19" t="str">
        <f t="shared" si="23"/>
        <v/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2"/>
        <v>-5</v>
      </c>
      <c r="K268" s="17">
        <f t="shared" si="21"/>
        <v>-50</v>
      </c>
      <c r="L268" s="17"/>
      <c r="M268" s="19" t="str">
        <f t="shared" si="23"/>
        <v/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2"/>
        <v>-5</v>
      </c>
      <c r="K269" s="17">
        <f t="shared" si="21"/>
        <v>-50</v>
      </c>
      <c r="L269" s="17"/>
      <c r="M269" s="19" t="str">
        <f t="shared" si="23"/>
        <v/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2"/>
        <v>-5</v>
      </c>
      <c r="K270" s="17">
        <f t="shared" si="21"/>
        <v>-50</v>
      </c>
      <c r="L270" s="17"/>
      <c r="M270" s="19" t="str">
        <f t="shared" si="23"/>
        <v/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2"/>
        <v>-5</v>
      </c>
      <c r="K271" s="17">
        <f t="shared" si="21"/>
        <v>-50</v>
      </c>
      <c r="L271" s="17"/>
      <c r="M271" s="19" t="str">
        <f t="shared" si="23"/>
        <v/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2"/>
        <v>-5</v>
      </c>
      <c r="K272" s="17">
        <f t="shared" si="21"/>
        <v>-50</v>
      </c>
      <c r="L272" s="17"/>
      <c r="M272" s="19" t="str">
        <f t="shared" si="23"/>
        <v/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2"/>
        <v>-5</v>
      </c>
      <c r="K273" s="17">
        <f t="shared" si="21"/>
        <v>-50</v>
      </c>
      <c r="L273" s="17"/>
      <c r="M273" s="19" t="str">
        <f t="shared" si="23"/>
        <v/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2"/>
        <v>-5</v>
      </c>
      <c r="K274" s="17">
        <f t="shared" si="21"/>
        <v>-50</v>
      </c>
      <c r="L274" s="17"/>
      <c r="M274" s="19" t="str">
        <f t="shared" si="23"/>
        <v/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2"/>
        <v>-5</v>
      </c>
      <c r="K275" s="17">
        <f t="shared" si="21"/>
        <v>-50</v>
      </c>
      <c r="L275" s="17"/>
      <c r="M275" s="19" t="str">
        <f t="shared" si="23"/>
        <v/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2"/>
        <v>-5</v>
      </c>
      <c r="K276" s="17">
        <f t="shared" si="21"/>
        <v>-50</v>
      </c>
      <c r="L276" s="17"/>
      <c r="M276" s="19" t="str">
        <f t="shared" si="23"/>
        <v/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2"/>
        <v>-5</v>
      </c>
      <c r="K277" s="17">
        <f t="shared" si="21"/>
        <v>-50</v>
      </c>
      <c r="L277" s="17"/>
      <c r="M277" s="19" t="str">
        <f t="shared" si="23"/>
        <v/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2"/>
        <v>-5</v>
      </c>
      <c r="K278" s="17">
        <f t="shared" si="21"/>
        <v>-50</v>
      </c>
      <c r="L278" s="17"/>
      <c r="M278" s="19" t="str">
        <f t="shared" si="23"/>
        <v/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2"/>
        <v>-5</v>
      </c>
      <c r="K279" s="17">
        <f t="shared" si="21"/>
        <v>-50</v>
      </c>
      <c r="L279" s="17"/>
      <c r="M279" s="19" t="str">
        <f t="shared" si="23"/>
        <v/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2"/>
        <v>-5</v>
      </c>
      <c r="K280" s="17">
        <f t="shared" si="21"/>
        <v>-50</v>
      </c>
      <c r="L280" s="17"/>
      <c r="M280" s="19" t="str">
        <f t="shared" si="23"/>
        <v/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2"/>
        <v>-5</v>
      </c>
      <c r="K281" s="17">
        <f t="shared" si="21"/>
        <v>-50</v>
      </c>
      <c r="L281" s="17"/>
      <c r="M281" s="19" t="str">
        <f t="shared" si="23"/>
        <v/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2"/>
        <v>-5</v>
      </c>
      <c r="K282" s="17">
        <f t="shared" si="21"/>
        <v>-50</v>
      </c>
      <c r="L282" s="17"/>
      <c r="M282" s="19" t="str">
        <f t="shared" si="23"/>
        <v/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2"/>
        <v>-5</v>
      </c>
      <c r="K283" s="17">
        <f t="shared" si="21"/>
        <v>-50</v>
      </c>
      <c r="L283" s="17"/>
      <c r="M283" s="19" t="str">
        <f t="shared" si="23"/>
        <v/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2"/>
        <v>-5</v>
      </c>
      <c r="K284" s="17">
        <f t="shared" si="21"/>
        <v>-50</v>
      </c>
      <c r="L284" s="17"/>
      <c r="M284" s="19" t="str">
        <f t="shared" si="23"/>
        <v/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2"/>
        <v>-5</v>
      </c>
      <c r="K285" s="17">
        <f t="shared" si="21"/>
        <v>-50</v>
      </c>
      <c r="L285" s="17"/>
      <c r="M285" s="19" t="str">
        <f t="shared" si="23"/>
        <v/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2"/>
        <v>-5</v>
      </c>
      <c r="K286" s="17">
        <f t="shared" si="21"/>
        <v>-50</v>
      </c>
      <c r="L286" s="17"/>
      <c r="M286" s="19" t="str">
        <f t="shared" si="23"/>
        <v/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2"/>
        <v>-5</v>
      </c>
      <c r="K287" s="17">
        <f t="shared" si="21"/>
        <v>-50</v>
      </c>
      <c r="L287" s="17"/>
      <c r="M287" s="19" t="str">
        <f t="shared" si="23"/>
        <v/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2"/>
        <v>-5</v>
      </c>
      <c r="K288" s="17">
        <f t="shared" si="21"/>
        <v>-50</v>
      </c>
      <c r="L288" s="17"/>
      <c r="M288" s="19" t="str">
        <f t="shared" si="23"/>
        <v/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2"/>
        <v>-5</v>
      </c>
      <c r="K289" s="17">
        <f t="shared" si="21"/>
        <v>-50</v>
      </c>
      <c r="L289" s="17"/>
      <c r="M289" s="19" t="str">
        <f t="shared" si="23"/>
        <v/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2"/>
        <v>-5</v>
      </c>
      <c r="K290" s="17">
        <f t="shared" si="21"/>
        <v>-50</v>
      </c>
      <c r="L290" s="17"/>
      <c r="M290" s="19" t="str">
        <f t="shared" si="23"/>
        <v/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2"/>
        <v>-5</v>
      </c>
      <c r="K291" s="17">
        <f t="shared" si="21"/>
        <v>-50</v>
      </c>
      <c r="L291" s="17"/>
      <c r="M291" s="19" t="str">
        <f t="shared" si="23"/>
        <v/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2"/>
        <v>-5</v>
      </c>
      <c r="K292" s="17">
        <f t="shared" si="21"/>
        <v>-50</v>
      </c>
      <c r="L292" s="17"/>
      <c r="M292" s="19" t="str">
        <f t="shared" si="23"/>
        <v/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2"/>
        <v>-5</v>
      </c>
      <c r="K293" s="17">
        <f t="shared" si="21"/>
        <v>-50</v>
      </c>
      <c r="L293" s="17"/>
      <c r="M293" s="19" t="str">
        <f t="shared" si="23"/>
        <v/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2"/>
        <v>-5</v>
      </c>
      <c r="K294" s="17">
        <f t="shared" si="21"/>
        <v>-50</v>
      </c>
      <c r="L294" s="17"/>
      <c r="M294" s="19" t="str">
        <f t="shared" si="23"/>
        <v/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2"/>
        <v>-5</v>
      </c>
      <c r="K295" s="17">
        <f t="shared" si="21"/>
        <v>-50</v>
      </c>
      <c r="L295" s="17"/>
      <c r="M295" s="19" t="str">
        <f t="shared" si="23"/>
        <v/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2"/>
        <v>-5</v>
      </c>
      <c r="K296" s="17">
        <f t="shared" si="21"/>
        <v>-50</v>
      </c>
      <c r="L296" s="17"/>
      <c r="M296" s="19" t="str">
        <f t="shared" si="23"/>
        <v/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2"/>
        <v>-5</v>
      </c>
      <c r="K297" s="17">
        <f t="shared" si="21"/>
        <v>-50</v>
      </c>
      <c r="L297" s="17"/>
      <c r="M297" s="19" t="str">
        <f t="shared" si="23"/>
        <v/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2"/>
        <v>-5</v>
      </c>
      <c r="K298" s="17">
        <f t="shared" si="21"/>
        <v>-50</v>
      </c>
      <c r="L298" s="17"/>
      <c r="M298" s="19" t="str">
        <f t="shared" si="23"/>
        <v/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2"/>
        <v>-5</v>
      </c>
      <c r="K299" s="17">
        <f t="shared" si="21"/>
        <v>-50</v>
      </c>
      <c r="L299" s="17"/>
      <c r="M299" s="19" t="str">
        <f t="shared" si="23"/>
        <v/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2"/>
        <v>-5</v>
      </c>
      <c r="K300" s="17">
        <f t="shared" si="21"/>
        <v>-50</v>
      </c>
      <c r="L300" s="17"/>
      <c r="M300" s="19" t="str">
        <f t="shared" si="23"/>
        <v/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2"/>
        <v>-5</v>
      </c>
      <c r="K301" s="17">
        <f t="shared" si="21"/>
        <v>-50</v>
      </c>
      <c r="L301" s="17"/>
      <c r="M301" s="19" t="str">
        <f t="shared" si="23"/>
        <v/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2"/>
        <v>-5</v>
      </c>
      <c r="K302" s="17">
        <f t="shared" si="21"/>
        <v>-50</v>
      </c>
      <c r="L302" s="17"/>
      <c r="M302" s="19" t="str">
        <f t="shared" si="23"/>
        <v/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2"/>
        <v>-5</v>
      </c>
      <c r="K303" s="17">
        <f t="shared" si="21"/>
        <v>-50</v>
      </c>
      <c r="L303" s="17"/>
      <c r="M303" s="19" t="str">
        <f t="shared" si="23"/>
        <v/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2"/>
        <v>-5</v>
      </c>
      <c r="K304" s="17">
        <f t="shared" si="21"/>
        <v>-50</v>
      </c>
      <c r="L304" s="17"/>
      <c r="M304" s="19" t="str">
        <f t="shared" si="23"/>
        <v/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2"/>
        <v>-5</v>
      </c>
      <c r="K305" s="17">
        <f t="shared" si="21"/>
        <v>-50</v>
      </c>
      <c r="L305" s="17"/>
      <c r="M305" s="19" t="str">
        <f t="shared" si="23"/>
        <v/>
      </c>
    </row>
    <row r="306" spans="1:16">
      <c r="A306" s="43"/>
      <c r="J306" s="20" t="e">
        <f t="shared" si="22"/>
        <v>#NUM!</v>
      </c>
    </row>
    <row r="307" spans="1:16">
      <c r="J307" s="20" t="e">
        <f t="shared" si="22"/>
        <v>#NUM!</v>
      </c>
    </row>
    <row r="308" spans="1:16">
      <c r="J308" s="20" t="e">
        <f t="shared" si="22"/>
        <v>#NUM!</v>
      </c>
    </row>
    <row r="309" spans="1:16">
      <c r="J309" s="20" t="e">
        <f t="shared" si="22"/>
        <v>#NUM!</v>
      </c>
    </row>
    <row r="310" spans="1:16">
      <c r="J310" s="20" t="e">
        <f t="shared" si="22"/>
        <v>#NUM!</v>
      </c>
    </row>
    <row r="311" spans="1:16">
      <c r="J311" s="20" t="e">
        <f t="shared" si="22"/>
        <v>#NUM!</v>
      </c>
    </row>
    <row r="312" spans="1:16">
      <c r="J312" s="20" t="e">
        <f t="shared" si="22"/>
        <v>#NUM!</v>
      </c>
    </row>
    <row r="313" spans="1:16">
      <c r="J313" s="20" t="e">
        <f t="shared" si="22"/>
        <v>#NUM!</v>
      </c>
    </row>
    <row r="314" spans="1:16">
      <c r="J314" s="20" t="e">
        <f t="shared" si="22"/>
        <v>#NUM!</v>
      </c>
      <c r="L314" s="21"/>
      <c r="P314" s="49"/>
    </row>
    <row r="315" spans="1:16">
      <c r="J315" s="20" t="e">
        <f t="shared" si="22"/>
        <v>#NUM!</v>
      </c>
      <c r="L315" s="21"/>
      <c r="P315" s="49"/>
    </row>
    <row r="316" spans="1:16">
      <c r="J316" s="20" t="e">
        <f t="shared" si="22"/>
        <v>#NUM!</v>
      </c>
      <c r="L316" s="21"/>
      <c r="P316" s="49"/>
    </row>
    <row r="317" spans="1:16">
      <c r="J317" s="20" t="e">
        <f t="shared" si="22"/>
        <v>#NUM!</v>
      </c>
      <c r="L317" s="21"/>
      <c r="P317" s="49"/>
    </row>
    <row r="318" spans="1:16">
      <c r="J318" s="20" t="e">
        <f t="shared" si="22"/>
        <v>#NUM!</v>
      </c>
    </row>
    <row r="319" spans="1:16">
      <c r="J319" s="20" t="e">
        <f t="shared" si="22"/>
        <v>#NUM!</v>
      </c>
    </row>
    <row r="320" spans="1:16">
      <c r="J320" s="20" t="e">
        <f t="shared" si="22"/>
        <v>#NUM!</v>
      </c>
    </row>
    <row r="321" spans="10:10">
      <c r="J321" s="20" t="e">
        <f t="shared" si="22"/>
        <v>#NUM!</v>
      </c>
    </row>
    <row r="322" spans="10:10">
      <c r="J322" s="20" t="e">
        <f t="shared" si="22"/>
        <v>#NUM!</v>
      </c>
    </row>
    <row r="323" spans="10:10">
      <c r="J323" s="20" t="e">
        <f t="shared" si="22"/>
        <v>#NUM!</v>
      </c>
    </row>
    <row r="324" spans="10:10">
      <c r="J324" s="20" t="e">
        <f t="shared" si="22"/>
        <v>#NUM!</v>
      </c>
    </row>
    <row r="325" spans="10:10">
      <c r="J325" s="20" t="e">
        <f t="shared" si="22"/>
        <v>#NUM!</v>
      </c>
    </row>
    <row r="326" spans="10:10">
      <c r="J326" s="20" t="e">
        <f t="shared" si="22"/>
        <v>#NUM!</v>
      </c>
    </row>
    <row r="327" spans="10:10">
      <c r="J327" s="20" t="e">
        <f t="shared" ref="J327:J374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  <row r="374" spans="10:10">
      <c r="J374" s="20" t="e">
        <f t="shared" si="24"/>
        <v>#NUM!</v>
      </c>
    </row>
  </sheetData>
  <mergeCells count="2">
    <mergeCell ref="C2:D2"/>
    <mergeCell ref="C3:D3"/>
  </mergeCells>
  <conditionalFormatting sqref="J9:K305">
    <cfRule type="cellIs" dxfId="7" priority="1" operator="lessThanOrEqual">
      <formula>0</formula>
    </cfRule>
  </conditionalFormatting>
  <hyperlinks>
    <hyperlink ref="C2:D2" r:id="rId1" display="Gdańsk" xr:uid="{DAD3F54F-F7D2-40A9-98EF-D6073EA5F658}"/>
  </hyperlinks>
  <pageMargins left="0.7" right="0.7" top="0.75" bottom="0.75" header="0.3" footer="0.3"/>
  <pageSetup paperSize="9" orientation="portrait" r:id="rId2"/>
  <ignoredErrors>
    <ignoredError sqref="I9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C7FA-0A75-41F8-90B9-2AED7412CFF3}">
  <sheetPr>
    <tabColor theme="9" tint="0.39997558519241921"/>
  </sheetPr>
  <dimension ref="A1:AL374"/>
  <sheetViews>
    <sheetView zoomScaleNormal="100" workbookViewId="0">
      <selection activeCell="C4" sqref="C4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91</v>
      </c>
      <c r="D2" s="141"/>
      <c r="E2" s="6"/>
      <c r="F2" s="6"/>
      <c r="G2" s="6"/>
      <c r="H2" s="14">
        <v>4</v>
      </c>
      <c r="I2" s="68">
        <v>50</v>
      </c>
      <c r="J2" s="68">
        <v>10</v>
      </c>
      <c r="K2" s="76">
        <f>3*H2^(1/3)</f>
        <v>4.7622031559045981</v>
      </c>
      <c r="L2" s="13"/>
      <c r="M2" s="13"/>
    </row>
    <row r="3" spans="1:34">
      <c r="A3" s="77"/>
      <c r="B3" s="48" t="s">
        <v>37</v>
      </c>
      <c r="C3" s="128" t="s">
        <v>224</v>
      </c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0</v>
      </c>
      <c r="B6" s="36"/>
      <c r="C6" s="24"/>
      <c r="D6" s="24"/>
      <c r="E6" s="24"/>
      <c r="F6" s="81"/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2</v>
      </c>
      <c r="K6" s="17">
        <f t="shared" ref="K6:K69" si="1">J6*$J$2</f>
        <v>20</v>
      </c>
      <c r="L6" s="19">
        <f>3*K2</f>
        <v>14.286609467713795</v>
      </c>
      <c r="M6" s="18">
        <f>IF(I6&lt;&gt;"",K6+I6+L6,"")</f>
        <v>84.286609467713788</v>
      </c>
    </row>
    <row r="7" spans="1:34" ht="14.45" customHeight="1">
      <c r="A7" s="40">
        <f t="shared" ref="A7:A65" si="2">F7</f>
        <v>0</v>
      </c>
      <c r="B7" s="35"/>
      <c r="C7" s="25"/>
      <c r="D7" s="25"/>
      <c r="E7" s="25"/>
      <c r="F7" s="82"/>
      <c r="G7" s="8"/>
      <c r="H7" s="44">
        <v>2</v>
      </c>
      <c r="I7" s="45">
        <f t="shared" si="0"/>
        <v>25.5</v>
      </c>
      <c r="J7" s="44">
        <f t="shared" ref="J7:J70" si="3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9.5244063118091962</v>
      </c>
      <c r="M7" s="45">
        <f t="shared" ref="M7:M70" si="4">IF(I7&lt;&gt;"",K7+I7+L7,"")</f>
        <v>45.024406311809194</v>
      </c>
    </row>
    <row r="8" spans="1:34" ht="14.45" customHeight="1">
      <c r="A8" s="39">
        <f t="shared" si="2"/>
        <v>0</v>
      </c>
      <c r="B8" s="36"/>
      <c r="C8" s="24"/>
      <c r="D8" s="24"/>
      <c r="E8" s="24"/>
      <c r="F8" s="81"/>
      <c r="G8" s="8"/>
      <c r="H8" s="17">
        <v>3</v>
      </c>
      <c r="I8" s="18">
        <f t="shared" si="0"/>
        <v>11.168418732331673</v>
      </c>
      <c r="J8" s="17">
        <f t="shared" si="3"/>
        <v>0</v>
      </c>
      <c r="K8" s="17">
        <f t="shared" si="1"/>
        <v>0</v>
      </c>
      <c r="L8" s="19">
        <f>K2</f>
        <v>4.7622031559045981</v>
      </c>
      <c r="M8" s="18">
        <f t="shared" si="4"/>
        <v>15.930621888236271</v>
      </c>
    </row>
    <row r="9" spans="1:34" ht="14.45" customHeight="1">
      <c r="A9" s="40">
        <f t="shared" si="2"/>
        <v>0</v>
      </c>
      <c r="B9" s="35"/>
      <c r="C9" s="25"/>
      <c r="D9" s="25"/>
      <c r="E9" s="25"/>
      <c r="F9" s="82"/>
      <c r="G9" s="8"/>
      <c r="H9" s="44">
        <v>4</v>
      </c>
      <c r="I9" s="45">
        <f>IF(H9&lt;$H$2+1,($I$2-($I$2-1)*(LOG(H8)/LOG($H$2))),"")</f>
        <v>11.168418732331673</v>
      </c>
      <c r="J9" s="44">
        <f t="shared" si="3"/>
        <v>0</v>
      </c>
      <c r="K9" s="44">
        <f t="shared" si="1"/>
        <v>0</v>
      </c>
      <c r="L9" s="46">
        <f>K2</f>
        <v>4.7622031559045981</v>
      </c>
      <c r="M9" s="45">
        <f t="shared" si="4"/>
        <v>15.930621888236271</v>
      </c>
      <c r="V9" s="27"/>
      <c r="Z9" s="28"/>
      <c r="AA9" s="28"/>
      <c r="AG9" s="29"/>
    </row>
    <row r="10" spans="1:34" ht="14.45" customHeight="1">
      <c r="A10" s="39">
        <f t="shared" si="2"/>
        <v>0</v>
      </c>
      <c r="B10" s="36"/>
      <c r="C10" s="24"/>
      <c r="D10" s="24"/>
      <c r="E10" s="24"/>
      <c r="F10" s="81"/>
      <c r="G10" s="8"/>
      <c r="H10" s="17">
        <v>5</v>
      </c>
      <c r="I10" s="18" t="str">
        <f t="shared" si="0"/>
        <v/>
      </c>
      <c r="J10" s="17">
        <f t="shared" si="3"/>
        <v>-1</v>
      </c>
      <c r="K10" s="17">
        <f t="shared" si="1"/>
        <v>-10</v>
      </c>
      <c r="L10" s="17"/>
      <c r="M10" s="18" t="str">
        <f t="shared" si="4"/>
        <v/>
      </c>
      <c r="V10" s="27"/>
      <c r="Z10" s="28"/>
      <c r="AA10" s="28"/>
      <c r="AG10" s="29"/>
    </row>
    <row r="11" spans="1:34" ht="14.45" customHeight="1">
      <c r="A11" s="40">
        <f t="shared" si="2"/>
        <v>0</v>
      </c>
      <c r="B11" s="35"/>
      <c r="C11" s="25"/>
      <c r="D11" s="25"/>
      <c r="E11" s="25"/>
      <c r="F11" s="82"/>
      <c r="G11" s="8"/>
      <c r="H11" s="44">
        <v>6</v>
      </c>
      <c r="I11" s="45" t="str">
        <f t="shared" si="0"/>
        <v/>
      </c>
      <c r="J11" s="44">
        <f t="shared" si="3"/>
        <v>-1</v>
      </c>
      <c r="K11" s="44">
        <f t="shared" si="1"/>
        <v>-10</v>
      </c>
      <c r="L11" s="44"/>
      <c r="M11" s="45" t="str">
        <f t="shared" si="4"/>
        <v/>
      </c>
      <c r="V11" s="30"/>
      <c r="Z11" s="28"/>
      <c r="AA11" s="28"/>
      <c r="AG11" s="29"/>
    </row>
    <row r="12" spans="1:34" ht="14.45" customHeight="1">
      <c r="A12" s="39">
        <f t="shared" si="2"/>
        <v>0</v>
      </c>
      <c r="B12" s="36"/>
      <c r="C12" s="24"/>
      <c r="D12" s="24"/>
      <c r="E12" s="24"/>
      <c r="F12" s="81"/>
      <c r="G12" s="8"/>
      <c r="H12" s="17">
        <v>7</v>
      </c>
      <c r="I12" s="18" t="str">
        <f t="shared" si="0"/>
        <v/>
      </c>
      <c r="J12" s="17">
        <f t="shared" si="3"/>
        <v>-1</v>
      </c>
      <c r="K12" s="17">
        <f t="shared" si="1"/>
        <v>-10</v>
      </c>
      <c r="L12" s="17"/>
      <c r="M12" s="18" t="str">
        <f t="shared" si="4"/>
        <v/>
      </c>
      <c r="Z12" s="28"/>
      <c r="AA12" s="28"/>
      <c r="AG12" s="29"/>
    </row>
    <row r="13" spans="1:34" ht="14.45" customHeight="1">
      <c r="A13" s="41">
        <f t="shared" si="2"/>
        <v>0</v>
      </c>
      <c r="B13" s="35"/>
      <c r="C13" s="25"/>
      <c r="D13" s="25"/>
      <c r="E13" s="25"/>
      <c r="F13" s="82"/>
      <c r="G13" s="8"/>
      <c r="H13" s="44">
        <v>8</v>
      </c>
      <c r="I13" s="45" t="str">
        <f t="shared" si="0"/>
        <v/>
      </c>
      <c r="J13" s="44">
        <f t="shared" si="3"/>
        <v>-1</v>
      </c>
      <c r="K13" s="44">
        <f t="shared" si="1"/>
        <v>-10</v>
      </c>
      <c r="L13" s="44"/>
      <c r="M13" s="45" t="str">
        <f t="shared" si="4"/>
        <v/>
      </c>
      <c r="X13" s="27"/>
      <c r="AG13" s="29"/>
    </row>
    <row r="14" spans="1:34">
      <c r="A14" s="42">
        <f t="shared" si="2"/>
        <v>0</v>
      </c>
      <c r="B14" s="36"/>
      <c r="C14" s="24"/>
      <c r="D14" s="24"/>
      <c r="E14" s="24"/>
      <c r="F14" s="81"/>
      <c r="G14" s="8"/>
      <c r="H14" s="17">
        <v>9</v>
      </c>
      <c r="I14" s="18" t="str">
        <f t="shared" si="0"/>
        <v/>
      </c>
      <c r="J14" s="17">
        <f t="shared" si="3"/>
        <v>-2</v>
      </c>
      <c r="K14" s="17">
        <f t="shared" si="1"/>
        <v>-20</v>
      </c>
      <c r="L14" s="17"/>
      <c r="M14" s="18" t="str">
        <f t="shared" si="4"/>
        <v/>
      </c>
      <c r="X14" s="31"/>
      <c r="Z14" s="28"/>
      <c r="AA14" s="28"/>
      <c r="AG14" s="29"/>
    </row>
    <row r="15" spans="1:34">
      <c r="A15" s="41">
        <f t="shared" si="2"/>
        <v>0</v>
      </c>
      <c r="B15" s="35"/>
      <c r="C15" s="25"/>
      <c r="D15" s="25"/>
      <c r="E15" s="25"/>
      <c r="F15" s="82"/>
      <c r="G15" s="8"/>
      <c r="H15" s="44">
        <v>10</v>
      </c>
      <c r="I15" s="45" t="str">
        <f t="shared" si="0"/>
        <v/>
      </c>
      <c r="J15" s="44">
        <f t="shared" si="3"/>
        <v>-2</v>
      </c>
      <c r="K15" s="44">
        <f t="shared" si="1"/>
        <v>-20</v>
      </c>
      <c r="L15" s="44"/>
      <c r="M15" s="45" t="str">
        <f t="shared" si="4"/>
        <v/>
      </c>
      <c r="X15" s="27"/>
      <c r="Z15" s="28"/>
      <c r="AA15" s="28"/>
    </row>
    <row r="16" spans="1:34">
      <c r="A16" s="42">
        <f t="shared" si="2"/>
        <v>0</v>
      </c>
      <c r="B16" s="36"/>
      <c r="C16" s="24"/>
      <c r="D16" s="24"/>
      <c r="E16" s="24"/>
      <c r="F16" s="81"/>
      <c r="G16" s="8"/>
      <c r="H16" s="17">
        <v>11</v>
      </c>
      <c r="I16" s="18" t="str">
        <f t="shared" si="0"/>
        <v/>
      </c>
      <c r="J16" s="17">
        <f t="shared" si="3"/>
        <v>-2</v>
      </c>
      <c r="K16" s="17">
        <f t="shared" si="1"/>
        <v>-20</v>
      </c>
      <c r="L16" s="17"/>
      <c r="M16" s="18" t="str">
        <f t="shared" si="4"/>
        <v/>
      </c>
      <c r="R16" s="49"/>
      <c r="Z16" s="28"/>
      <c r="AA16" s="28"/>
      <c r="AH16" s="33"/>
    </row>
    <row r="17" spans="1:19">
      <c r="A17" s="41">
        <f t="shared" si="2"/>
        <v>0</v>
      </c>
      <c r="B17" s="35"/>
      <c r="C17" s="25"/>
      <c r="D17" s="25"/>
      <c r="E17" s="25"/>
      <c r="F17" s="82"/>
      <c r="G17" s="8"/>
      <c r="H17" s="44">
        <v>12</v>
      </c>
      <c r="I17" s="45" t="str">
        <f t="shared" si="0"/>
        <v/>
      </c>
      <c r="J17" s="44">
        <f t="shared" si="3"/>
        <v>-2</v>
      </c>
      <c r="K17" s="44">
        <f t="shared" si="1"/>
        <v>-20</v>
      </c>
      <c r="L17" s="44"/>
      <c r="M17" s="45" t="str">
        <f t="shared" si="4"/>
        <v/>
      </c>
    </row>
    <row r="18" spans="1:19">
      <c r="A18" s="42">
        <f t="shared" si="2"/>
        <v>0</v>
      </c>
      <c r="B18" s="36"/>
      <c r="C18" s="24"/>
      <c r="D18" s="24"/>
      <c r="E18" s="24"/>
      <c r="F18" s="81"/>
      <c r="G18" s="8"/>
      <c r="H18" s="17">
        <v>13</v>
      </c>
      <c r="I18" s="18" t="str">
        <f t="shared" si="0"/>
        <v/>
      </c>
      <c r="J18" s="17">
        <f t="shared" si="3"/>
        <v>-2</v>
      </c>
      <c r="K18" s="17">
        <f t="shared" si="1"/>
        <v>-20</v>
      </c>
      <c r="L18" s="17"/>
      <c r="M18" s="18" t="str">
        <f t="shared" si="4"/>
        <v/>
      </c>
    </row>
    <row r="19" spans="1:19">
      <c r="A19" s="41">
        <f t="shared" si="2"/>
        <v>0</v>
      </c>
      <c r="B19" s="35"/>
      <c r="C19" s="25"/>
      <c r="D19" s="25"/>
      <c r="E19" s="25"/>
      <c r="F19" s="82"/>
      <c r="G19" s="8"/>
      <c r="H19" s="44">
        <v>14</v>
      </c>
      <c r="I19" s="45" t="str">
        <f t="shared" si="0"/>
        <v/>
      </c>
      <c r="J19" s="44">
        <f t="shared" si="3"/>
        <v>-2</v>
      </c>
      <c r="K19" s="44">
        <f t="shared" si="1"/>
        <v>-20</v>
      </c>
      <c r="L19" s="44"/>
      <c r="M19" s="45" t="str">
        <f t="shared" si="4"/>
        <v/>
      </c>
    </row>
    <row r="20" spans="1:19">
      <c r="A20" s="42">
        <f t="shared" si="2"/>
        <v>0</v>
      </c>
      <c r="B20" s="36"/>
      <c r="C20" s="24"/>
      <c r="D20" s="24"/>
      <c r="E20" s="24"/>
      <c r="F20" s="81"/>
      <c r="G20" s="8"/>
      <c r="H20" s="17">
        <v>15</v>
      </c>
      <c r="I20" s="18" t="str">
        <f t="shared" si="0"/>
        <v/>
      </c>
      <c r="J20" s="17">
        <f t="shared" si="3"/>
        <v>-2</v>
      </c>
      <c r="K20" s="17">
        <f t="shared" si="1"/>
        <v>-20</v>
      </c>
      <c r="L20" s="17"/>
      <c r="M20" s="18" t="str">
        <f t="shared" si="4"/>
        <v/>
      </c>
      <c r="R20" s="50"/>
      <c r="S20" s="34"/>
    </row>
    <row r="21" spans="1:19">
      <c r="A21" s="41">
        <f t="shared" si="2"/>
        <v>0</v>
      </c>
      <c r="B21" s="35"/>
      <c r="C21" s="25"/>
      <c r="D21" s="25"/>
      <c r="E21" s="25"/>
      <c r="F21" s="82"/>
      <c r="G21" s="8"/>
      <c r="H21" s="44">
        <v>16</v>
      </c>
      <c r="I21" s="45" t="str">
        <f t="shared" si="0"/>
        <v/>
      </c>
      <c r="J21" s="44">
        <f t="shared" si="3"/>
        <v>-2</v>
      </c>
      <c r="K21" s="44">
        <f t="shared" si="1"/>
        <v>-20</v>
      </c>
      <c r="L21" s="44"/>
      <c r="M21" s="45" t="str">
        <f t="shared" si="4"/>
        <v/>
      </c>
    </row>
    <row r="22" spans="1:19">
      <c r="A22" s="42">
        <f t="shared" si="2"/>
        <v>0</v>
      </c>
      <c r="B22" s="36"/>
      <c r="C22" s="24"/>
      <c r="D22" s="24"/>
      <c r="E22" s="24"/>
      <c r="F22" s="81"/>
      <c r="G22" s="8"/>
      <c r="H22" s="17">
        <v>17</v>
      </c>
      <c r="I22" s="18" t="str">
        <f t="shared" si="0"/>
        <v/>
      </c>
      <c r="J22" s="17">
        <f t="shared" si="3"/>
        <v>-3</v>
      </c>
      <c r="K22" s="17">
        <f t="shared" si="1"/>
        <v>-30</v>
      </c>
      <c r="L22" s="17"/>
      <c r="M22" s="18" t="str">
        <f t="shared" si="4"/>
        <v/>
      </c>
    </row>
    <row r="23" spans="1:19">
      <c r="A23" s="41">
        <f t="shared" si="2"/>
        <v>0</v>
      </c>
      <c r="B23" s="35"/>
      <c r="C23" s="25"/>
      <c r="D23" s="25"/>
      <c r="E23" s="25"/>
      <c r="F23" s="82"/>
      <c r="G23" s="8"/>
      <c r="H23" s="44">
        <v>18</v>
      </c>
      <c r="I23" s="45" t="str">
        <f t="shared" si="0"/>
        <v/>
      </c>
      <c r="J23" s="44">
        <f t="shared" si="3"/>
        <v>-3</v>
      </c>
      <c r="K23" s="44">
        <f t="shared" si="1"/>
        <v>-30</v>
      </c>
      <c r="L23" s="44"/>
      <c r="M23" s="45" t="str">
        <f t="shared" si="4"/>
        <v/>
      </c>
    </row>
    <row r="24" spans="1:19">
      <c r="A24" s="42">
        <f t="shared" si="2"/>
        <v>0</v>
      </c>
      <c r="B24" s="36"/>
      <c r="C24" s="24"/>
      <c r="D24" s="24"/>
      <c r="E24" s="24"/>
      <c r="F24" s="81"/>
      <c r="G24" s="8"/>
      <c r="H24" s="17">
        <v>19</v>
      </c>
      <c r="I24" s="18" t="str">
        <f t="shared" si="0"/>
        <v/>
      </c>
      <c r="J24" s="17">
        <f t="shared" si="3"/>
        <v>-3</v>
      </c>
      <c r="K24" s="17">
        <f t="shared" si="1"/>
        <v>-30</v>
      </c>
      <c r="L24" s="17"/>
      <c r="M24" s="18" t="str">
        <f t="shared" si="4"/>
        <v/>
      </c>
      <c r="R24" s="50"/>
      <c r="S24" s="34"/>
    </row>
    <row r="25" spans="1:19">
      <c r="A25" s="41">
        <f t="shared" si="2"/>
        <v>0</v>
      </c>
      <c r="B25" s="35"/>
      <c r="C25" s="25"/>
      <c r="D25" s="25"/>
      <c r="E25" s="25"/>
      <c r="F25" s="82"/>
      <c r="G25" s="8"/>
      <c r="H25" s="44">
        <v>20</v>
      </c>
      <c r="I25" s="45" t="str">
        <f t="shared" si="0"/>
        <v/>
      </c>
      <c r="J25" s="44">
        <f t="shared" si="3"/>
        <v>-3</v>
      </c>
      <c r="K25" s="44">
        <f t="shared" si="1"/>
        <v>-30</v>
      </c>
      <c r="L25" s="44"/>
      <c r="M25" s="45" t="str">
        <f t="shared" si="4"/>
        <v/>
      </c>
    </row>
    <row r="26" spans="1:19">
      <c r="A26" s="42">
        <f t="shared" si="2"/>
        <v>0</v>
      </c>
      <c r="B26" s="36"/>
      <c r="C26" s="24"/>
      <c r="D26" s="24"/>
      <c r="E26" s="24"/>
      <c r="F26" s="81"/>
      <c r="G26" s="8"/>
      <c r="H26" s="17">
        <v>21</v>
      </c>
      <c r="I26" s="18" t="str">
        <f t="shared" si="0"/>
        <v/>
      </c>
      <c r="J26" s="17">
        <f t="shared" si="3"/>
        <v>-3</v>
      </c>
      <c r="K26" s="17">
        <f t="shared" si="1"/>
        <v>-30</v>
      </c>
      <c r="L26" s="17"/>
      <c r="M26" s="18" t="str">
        <f t="shared" si="4"/>
        <v/>
      </c>
    </row>
    <row r="27" spans="1:19">
      <c r="A27" s="41">
        <f t="shared" si="2"/>
        <v>0</v>
      </c>
      <c r="B27" s="35"/>
      <c r="C27" s="25"/>
      <c r="D27" s="25"/>
      <c r="E27" s="25"/>
      <c r="F27" s="82"/>
      <c r="G27" s="8"/>
      <c r="H27" s="44">
        <v>22</v>
      </c>
      <c r="I27" s="45" t="str">
        <f t="shared" si="0"/>
        <v/>
      </c>
      <c r="J27" s="44">
        <f t="shared" si="3"/>
        <v>-3</v>
      </c>
      <c r="K27" s="44">
        <f t="shared" si="1"/>
        <v>-30</v>
      </c>
      <c r="L27" s="44"/>
      <c r="M27" s="45" t="str">
        <f t="shared" si="4"/>
        <v/>
      </c>
    </row>
    <row r="28" spans="1:19">
      <c r="A28" s="42">
        <f t="shared" si="2"/>
        <v>0</v>
      </c>
      <c r="B28" s="36"/>
      <c r="C28" s="24"/>
      <c r="D28" s="24"/>
      <c r="E28" s="24"/>
      <c r="F28" s="81"/>
      <c r="G28" s="8"/>
      <c r="H28" s="17">
        <v>23</v>
      </c>
      <c r="I28" s="18" t="str">
        <f t="shared" si="0"/>
        <v/>
      </c>
      <c r="J28" s="17">
        <f t="shared" si="3"/>
        <v>-3</v>
      </c>
      <c r="K28" s="17">
        <f t="shared" si="1"/>
        <v>-30</v>
      </c>
      <c r="L28" s="17"/>
      <c r="M28" s="18" t="str">
        <f t="shared" si="4"/>
        <v/>
      </c>
      <c r="R28" s="50"/>
      <c r="S28" s="34"/>
    </row>
    <row r="29" spans="1:19">
      <c r="A29" s="41">
        <f t="shared" si="2"/>
        <v>0</v>
      </c>
      <c r="B29" s="35"/>
      <c r="C29" s="25"/>
      <c r="D29" s="25"/>
      <c r="E29" s="25"/>
      <c r="F29" s="82"/>
      <c r="G29" s="5"/>
      <c r="H29" s="44">
        <v>24</v>
      </c>
      <c r="I29" s="45" t="str">
        <f t="shared" si="0"/>
        <v/>
      </c>
      <c r="J29" s="44">
        <f t="shared" si="3"/>
        <v>-3</v>
      </c>
      <c r="K29" s="44">
        <f t="shared" si="1"/>
        <v>-30</v>
      </c>
      <c r="L29" s="44"/>
      <c r="M29" s="45" t="str">
        <f t="shared" si="4"/>
        <v/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ref="F30:F38" si="5">M30</f>
        <v/>
      </c>
      <c r="G30" s="5"/>
      <c r="H30" s="17">
        <v>25</v>
      </c>
      <c r="I30" s="18" t="str">
        <f t="shared" si="0"/>
        <v/>
      </c>
      <c r="J30" s="17">
        <f t="shared" si="3"/>
        <v>-3</v>
      </c>
      <c r="K30" s="17">
        <f t="shared" si="1"/>
        <v>-30</v>
      </c>
      <c r="L30" s="17"/>
      <c r="M30" s="18" t="str">
        <f t="shared" si="4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5"/>
        <v/>
      </c>
      <c r="G31" s="5"/>
      <c r="H31" s="44">
        <v>26</v>
      </c>
      <c r="I31" s="45" t="str">
        <f t="shared" si="0"/>
        <v/>
      </c>
      <c r="J31" s="44">
        <f t="shared" si="3"/>
        <v>-3</v>
      </c>
      <c r="K31" s="44">
        <f t="shared" si="1"/>
        <v>-30</v>
      </c>
      <c r="L31" s="44"/>
      <c r="M31" s="45" t="str">
        <f t="shared" si="4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5"/>
        <v/>
      </c>
      <c r="G32" s="5"/>
      <c r="H32" s="17">
        <v>27</v>
      </c>
      <c r="I32" s="18" t="str">
        <f t="shared" si="0"/>
        <v/>
      </c>
      <c r="J32" s="17">
        <f t="shared" si="3"/>
        <v>-3</v>
      </c>
      <c r="K32" s="17">
        <f t="shared" si="1"/>
        <v>-30</v>
      </c>
      <c r="L32" s="17"/>
      <c r="M32" s="18" t="str">
        <f t="shared" si="4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6">IF(H33&gt;$H$2,"",(ROW()-5))</f>
        <v/>
      </c>
      <c r="C33" s="25"/>
      <c r="D33" s="25"/>
      <c r="E33" s="25"/>
      <c r="F33" s="25" t="str">
        <f t="shared" si="5"/>
        <v/>
      </c>
      <c r="G33" s="5"/>
      <c r="H33" s="44">
        <v>28</v>
      </c>
      <c r="I33" s="45" t="str">
        <f t="shared" si="0"/>
        <v/>
      </c>
      <c r="J33" s="44">
        <f t="shared" si="3"/>
        <v>-3</v>
      </c>
      <c r="K33" s="44">
        <f t="shared" si="1"/>
        <v>-30</v>
      </c>
      <c r="L33" s="44"/>
      <c r="M33" s="46" t="str">
        <f t="shared" si="4"/>
        <v/>
      </c>
    </row>
    <row r="34" spans="1:19">
      <c r="A34" s="42" t="str">
        <f t="shared" si="2"/>
        <v/>
      </c>
      <c r="B34" s="36" t="str">
        <f t="shared" si="6"/>
        <v/>
      </c>
      <c r="C34" s="24"/>
      <c r="D34" s="24"/>
      <c r="E34" s="24"/>
      <c r="F34" s="24" t="str">
        <f t="shared" si="5"/>
        <v/>
      </c>
      <c r="G34" s="5"/>
      <c r="H34" s="17">
        <v>29</v>
      </c>
      <c r="I34" s="18" t="str">
        <f t="shared" si="0"/>
        <v/>
      </c>
      <c r="J34" s="17">
        <f t="shared" si="3"/>
        <v>-3</v>
      </c>
      <c r="K34" s="17">
        <f t="shared" si="1"/>
        <v>-30</v>
      </c>
      <c r="L34" s="17"/>
      <c r="M34" s="19" t="str">
        <f t="shared" si="4"/>
        <v/>
      </c>
    </row>
    <row r="35" spans="1:19">
      <c r="A35" s="41" t="str">
        <f t="shared" si="2"/>
        <v/>
      </c>
      <c r="B35" s="35" t="str">
        <f t="shared" si="6"/>
        <v/>
      </c>
      <c r="C35" s="25"/>
      <c r="D35" s="25"/>
      <c r="E35" s="25"/>
      <c r="F35" s="25" t="str">
        <f t="shared" si="5"/>
        <v/>
      </c>
      <c r="G35" s="5"/>
      <c r="H35" s="44">
        <v>30</v>
      </c>
      <c r="I35" s="45" t="str">
        <f t="shared" si="0"/>
        <v/>
      </c>
      <c r="J35" s="44">
        <f t="shared" si="3"/>
        <v>-3</v>
      </c>
      <c r="K35" s="44">
        <f t="shared" si="1"/>
        <v>-30</v>
      </c>
      <c r="L35" s="44"/>
      <c r="M35" s="46" t="str">
        <f t="shared" si="4"/>
        <v/>
      </c>
    </row>
    <row r="36" spans="1:19">
      <c r="A36" s="42" t="str">
        <f t="shared" si="2"/>
        <v/>
      </c>
      <c r="B36" s="36" t="str">
        <f t="shared" si="6"/>
        <v/>
      </c>
      <c r="C36" s="24"/>
      <c r="D36" s="24"/>
      <c r="E36" s="24"/>
      <c r="F36" s="24" t="str">
        <f t="shared" si="5"/>
        <v/>
      </c>
      <c r="G36" s="5"/>
      <c r="H36" s="17">
        <v>31</v>
      </c>
      <c r="I36" s="18" t="str">
        <f t="shared" si="0"/>
        <v/>
      </c>
      <c r="J36" s="17">
        <f t="shared" si="3"/>
        <v>-3</v>
      </c>
      <c r="K36" s="17">
        <f t="shared" si="1"/>
        <v>-30</v>
      </c>
      <c r="L36" s="17"/>
      <c r="M36" s="19" t="str">
        <f t="shared" si="4"/>
        <v/>
      </c>
      <c r="R36" s="50"/>
      <c r="S36" s="34"/>
    </row>
    <row r="37" spans="1:19">
      <c r="A37" s="41" t="str">
        <f t="shared" si="2"/>
        <v/>
      </c>
      <c r="B37" s="35" t="str">
        <f t="shared" si="6"/>
        <v/>
      </c>
      <c r="C37" s="25"/>
      <c r="D37" s="25"/>
      <c r="E37" s="25"/>
      <c r="F37" s="25" t="str">
        <f t="shared" si="5"/>
        <v/>
      </c>
      <c r="G37" s="5"/>
      <c r="H37" s="44">
        <v>32</v>
      </c>
      <c r="I37" s="45" t="str">
        <f t="shared" si="0"/>
        <v/>
      </c>
      <c r="J37" s="44">
        <f t="shared" si="3"/>
        <v>-3</v>
      </c>
      <c r="K37" s="44">
        <f t="shared" si="1"/>
        <v>-30</v>
      </c>
      <c r="L37" s="44"/>
      <c r="M37" s="46" t="str">
        <f t="shared" si="4"/>
        <v/>
      </c>
    </row>
    <row r="38" spans="1:19">
      <c r="A38" s="42" t="str">
        <f t="shared" si="2"/>
        <v/>
      </c>
      <c r="B38" s="36" t="str">
        <f t="shared" si="6"/>
        <v/>
      </c>
      <c r="C38" s="24"/>
      <c r="D38" s="24"/>
      <c r="E38" s="24"/>
      <c r="F38" s="24" t="str">
        <f t="shared" si="5"/>
        <v/>
      </c>
      <c r="G38" s="5"/>
      <c r="H38" s="17">
        <v>33</v>
      </c>
      <c r="I38" s="18" t="str">
        <f t="shared" si="0"/>
        <v/>
      </c>
      <c r="J38" s="17">
        <f t="shared" si="3"/>
        <v>-4</v>
      </c>
      <c r="K38" s="17">
        <f t="shared" si="1"/>
        <v>-40</v>
      </c>
      <c r="L38" s="17"/>
      <c r="M38" s="19" t="str">
        <f t="shared" si="4"/>
        <v/>
      </c>
    </row>
    <row r="39" spans="1:19">
      <c r="A39" s="41">
        <f t="shared" si="2"/>
        <v>0</v>
      </c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3"/>
        <v>-4</v>
      </c>
      <c r="K39" s="44">
        <f t="shared" si="1"/>
        <v>-40</v>
      </c>
      <c r="L39" s="44"/>
      <c r="M39" s="46" t="str">
        <f t="shared" si="4"/>
        <v/>
      </c>
    </row>
    <row r="40" spans="1:19">
      <c r="A40" s="42">
        <f t="shared" si="2"/>
        <v>0</v>
      </c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3"/>
        <v>-4</v>
      </c>
      <c r="K40" s="17">
        <f t="shared" si="1"/>
        <v>-40</v>
      </c>
      <c r="L40" s="17"/>
      <c r="M40" s="19" t="str">
        <f t="shared" si="4"/>
        <v/>
      </c>
    </row>
    <row r="41" spans="1:19">
      <c r="A41" s="41">
        <f t="shared" si="2"/>
        <v>0</v>
      </c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3"/>
        <v>-4</v>
      </c>
      <c r="K41" s="44">
        <f t="shared" si="1"/>
        <v>-40</v>
      </c>
      <c r="L41" s="44"/>
      <c r="M41" s="46" t="str">
        <f t="shared" si="4"/>
        <v/>
      </c>
      <c r="S41" s="32"/>
    </row>
    <row r="42" spans="1:19">
      <c r="A42" s="42">
        <f t="shared" si="2"/>
        <v>0</v>
      </c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3"/>
        <v>-4</v>
      </c>
      <c r="K42" s="17">
        <f t="shared" si="1"/>
        <v>-40</v>
      </c>
      <c r="L42" s="17"/>
      <c r="M42" s="19" t="str">
        <f t="shared" si="4"/>
        <v/>
      </c>
    </row>
    <row r="43" spans="1:19">
      <c r="A43" s="41">
        <f t="shared" si="2"/>
        <v>0</v>
      </c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3"/>
        <v>-4</v>
      </c>
      <c r="K43" s="44">
        <f t="shared" si="1"/>
        <v>-40</v>
      </c>
      <c r="L43" s="44"/>
      <c r="M43" s="46" t="str">
        <f t="shared" si="4"/>
        <v/>
      </c>
    </row>
    <row r="44" spans="1:19">
      <c r="A44" s="42">
        <f t="shared" si="2"/>
        <v>0</v>
      </c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3"/>
        <v>-4</v>
      </c>
      <c r="K44" s="17">
        <f t="shared" si="1"/>
        <v>-40</v>
      </c>
      <c r="L44" s="17"/>
      <c r="M44" s="19" t="str">
        <f t="shared" si="4"/>
        <v/>
      </c>
    </row>
    <row r="45" spans="1:19">
      <c r="A45" s="41">
        <f t="shared" si="2"/>
        <v>0</v>
      </c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3"/>
        <v>-4</v>
      </c>
      <c r="K45" s="44">
        <f t="shared" si="1"/>
        <v>-40</v>
      </c>
      <c r="L45" s="44"/>
      <c r="M45" s="46" t="str">
        <f t="shared" si="4"/>
        <v/>
      </c>
    </row>
    <row r="46" spans="1:19">
      <c r="A46" s="42">
        <f t="shared" si="2"/>
        <v>0</v>
      </c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3"/>
        <v>-4</v>
      </c>
      <c r="K46" s="17">
        <f t="shared" si="1"/>
        <v>-40</v>
      </c>
      <c r="L46" s="17"/>
      <c r="M46" s="19" t="str">
        <f t="shared" si="4"/>
        <v/>
      </c>
    </row>
    <row r="47" spans="1:19">
      <c r="A47" s="41">
        <f t="shared" si="2"/>
        <v>0</v>
      </c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3"/>
        <v>-4</v>
      </c>
      <c r="K47" s="44">
        <f t="shared" si="1"/>
        <v>-40</v>
      </c>
      <c r="L47" s="44"/>
      <c r="M47" s="46" t="str">
        <f t="shared" si="4"/>
        <v/>
      </c>
    </row>
    <row r="48" spans="1:19">
      <c r="A48" s="42">
        <f t="shared" si="2"/>
        <v>0</v>
      </c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3"/>
        <v>-4</v>
      </c>
      <c r="K48" s="17">
        <f t="shared" si="1"/>
        <v>-40</v>
      </c>
      <c r="L48" s="17"/>
      <c r="M48" s="19" t="str">
        <f t="shared" si="4"/>
        <v/>
      </c>
    </row>
    <row r="49" spans="1:13">
      <c r="A49" s="41">
        <f t="shared" si="2"/>
        <v>0</v>
      </c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3"/>
        <v>-4</v>
      </c>
      <c r="K49" s="44">
        <f t="shared" si="1"/>
        <v>-40</v>
      </c>
      <c r="L49" s="44"/>
      <c r="M49" s="46" t="str">
        <f t="shared" si="4"/>
        <v/>
      </c>
    </row>
    <row r="50" spans="1:13">
      <c r="A50" s="42">
        <f t="shared" si="2"/>
        <v>0</v>
      </c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3"/>
        <v>-4</v>
      </c>
      <c r="K50" s="17">
        <f t="shared" si="1"/>
        <v>-40</v>
      </c>
      <c r="L50" s="17"/>
      <c r="M50" s="19" t="str">
        <f t="shared" si="4"/>
        <v/>
      </c>
    </row>
    <row r="51" spans="1:13">
      <c r="A51" s="41">
        <f t="shared" si="2"/>
        <v>0</v>
      </c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3"/>
        <v>-4</v>
      </c>
      <c r="K51" s="44">
        <f t="shared" si="1"/>
        <v>-40</v>
      </c>
      <c r="L51" s="44"/>
      <c r="M51" s="46" t="str">
        <f t="shared" si="4"/>
        <v/>
      </c>
    </row>
    <row r="52" spans="1:13">
      <c r="A52" s="42">
        <f t="shared" si="2"/>
        <v>0</v>
      </c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3"/>
        <v>-4</v>
      </c>
      <c r="K52" s="17">
        <f t="shared" si="1"/>
        <v>-40</v>
      </c>
      <c r="L52" s="17"/>
      <c r="M52" s="19" t="str">
        <f t="shared" si="4"/>
        <v/>
      </c>
    </row>
    <row r="53" spans="1:13">
      <c r="A53" s="41">
        <f t="shared" si="2"/>
        <v>0</v>
      </c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3"/>
        <v>-4</v>
      </c>
      <c r="K53" s="44">
        <f t="shared" si="1"/>
        <v>-40</v>
      </c>
      <c r="L53" s="44"/>
      <c r="M53" s="46" t="str">
        <f t="shared" si="4"/>
        <v/>
      </c>
    </row>
    <row r="54" spans="1:13">
      <c r="A54" s="42">
        <f t="shared" si="2"/>
        <v>0</v>
      </c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3"/>
        <v>-4</v>
      </c>
      <c r="K54" s="17">
        <f t="shared" si="1"/>
        <v>-40</v>
      </c>
      <c r="L54" s="17"/>
      <c r="M54" s="19" t="str">
        <f t="shared" si="4"/>
        <v/>
      </c>
    </row>
    <row r="55" spans="1:13">
      <c r="A55" s="41">
        <f t="shared" si="2"/>
        <v>0</v>
      </c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3"/>
        <v>-4</v>
      </c>
      <c r="K55" s="44">
        <f t="shared" si="1"/>
        <v>-40</v>
      </c>
      <c r="L55" s="44"/>
      <c r="M55" s="46" t="str">
        <f t="shared" si="4"/>
        <v/>
      </c>
    </row>
    <row r="56" spans="1:13">
      <c r="A56" s="42">
        <f t="shared" si="2"/>
        <v>0</v>
      </c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3"/>
        <v>-4</v>
      </c>
      <c r="K56" s="17">
        <f t="shared" si="1"/>
        <v>-40</v>
      </c>
      <c r="L56" s="17"/>
      <c r="M56" s="19" t="str">
        <f t="shared" si="4"/>
        <v/>
      </c>
    </row>
    <row r="57" spans="1:13">
      <c r="A57" s="41">
        <f t="shared" si="2"/>
        <v>0</v>
      </c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3"/>
        <v>-4</v>
      </c>
      <c r="K57" s="44">
        <f t="shared" si="1"/>
        <v>-40</v>
      </c>
      <c r="L57" s="44"/>
      <c r="M57" s="46" t="str">
        <f t="shared" si="4"/>
        <v/>
      </c>
    </row>
    <row r="58" spans="1:13">
      <c r="A58" s="42">
        <f t="shared" si="2"/>
        <v>0</v>
      </c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3"/>
        <v>-4</v>
      </c>
      <c r="K58" s="17">
        <f t="shared" si="1"/>
        <v>-40</v>
      </c>
      <c r="L58" s="17"/>
      <c r="M58" s="19" t="str">
        <f t="shared" si="4"/>
        <v/>
      </c>
    </row>
    <row r="59" spans="1:13">
      <c r="A59" s="41">
        <f t="shared" si="2"/>
        <v>0</v>
      </c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3"/>
        <v>-4</v>
      </c>
      <c r="K59" s="44">
        <f t="shared" si="1"/>
        <v>-40</v>
      </c>
      <c r="L59" s="44"/>
      <c r="M59" s="46" t="str">
        <f t="shared" si="4"/>
        <v/>
      </c>
    </row>
    <row r="60" spans="1:13">
      <c r="A60" s="42">
        <f t="shared" si="2"/>
        <v>0</v>
      </c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3"/>
        <v>-4</v>
      </c>
      <c r="K60" s="17">
        <f t="shared" si="1"/>
        <v>-40</v>
      </c>
      <c r="L60" s="17"/>
      <c r="M60" s="19" t="str">
        <f t="shared" si="4"/>
        <v/>
      </c>
    </row>
    <row r="61" spans="1:13">
      <c r="A61" s="41">
        <f t="shared" si="2"/>
        <v>0</v>
      </c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3"/>
        <v>-4</v>
      </c>
      <c r="K61" s="44">
        <f t="shared" si="1"/>
        <v>-40</v>
      </c>
      <c r="L61" s="44"/>
      <c r="M61" s="46" t="str">
        <f t="shared" si="4"/>
        <v/>
      </c>
    </row>
    <row r="62" spans="1:13">
      <c r="A62" s="42">
        <f t="shared" si="2"/>
        <v>0</v>
      </c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3"/>
        <v>-4</v>
      </c>
      <c r="K62" s="17">
        <f t="shared" si="1"/>
        <v>-40</v>
      </c>
      <c r="L62" s="17"/>
      <c r="M62" s="19" t="str">
        <f t="shared" si="4"/>
        <v/>
      </c>
    </row>
    <row r="63" spans="1:13">
      <c r="A63" s="41">
        <f t="shared" si="2"/>
        <v>0</v>
      </c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3"/>
        <v>-4</v>
      </c>
      <c r="K63" s="44">
        <f t="shared" si="1"/>
        <v>-40</v>
      </c>
      <c r="L63" s="44"/>
      <c r="M63" s="46" t="str">
        <f t="shared" si="4"/>
        <v/>
      </c>
    </row>
    <row r="64" spans="1:13">
      <c r="A64" s="42">
        <f t="shared" si="2"/>
        <v>0</v>
      </c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3"/>
        <v>-4</v>
      </c>
      <c r="K64" s="17">
        <f t="shared" si="1"/>
        <v>-40</v>
      </c>
      <c r="L64" s="17"/>
      <c r="M64" s="19" t="str">
        <f t="shared" si="4"/>
        <v/>
      </c>
    </row>
    <row r="65" spans="1:13">
      <c r="A65" s="41">
        <f t="shared" si="2"/>
        <v>0</v>
      </c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3"/>
        <v>-4</v>
      </c>
      <c r="K65" s="44">
        <f t="shared" si="1"/>
        <v>-40</v>
      </c>
      <c r="L65" s="44"/>
      <c r="M65" s="46" t="str">
        <f t="shared" si="4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3"/>
        <v>-4</v>
      </c>
      <c r="K66" s="17">
        <f t="shared" si="1"/>
        <v>-40</v>
      </c>
      <c r="L66" s="17"/>
      <c r="M66" s="19" t="str">
        <f t="shared" si="4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3"/>
        <v>-4</v>
      </c>
      <c r="K67" s="17">
        <f t="shared" si="1"/>
        <v>-40</v>
      </c>
      <c r="L67" s="17"/>
      <c r="M67" s="19" t="str">
        <f t="shared" si="4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3"/>
        <v>-4</v>
      </c>
      <c r="K68" s="17">
        <f t="shared" si="1"/>
        <v>-40</v>
      </c>
      <c r="L68" s="17"/>
      <c r="M68" s="19" t="str">
        <f t="shared" si="4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3"/>
        <v>-4</v>
      </c>
      <c r="K69" s="17">
        <f t="shared" si="1"/>
        <v>-40</v>
      </c>
      <c r="L69" s="17"/>
      <c r="M69" s="19" t="str">
        <f t="shared" si="4"/>
        <v/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3"/>
        <v>-5</v>
      </c>
      <c r="K70" s="17">
        <f t="shared" ref="K70:K133" si="8">J70*$J$2</f>
        <v>-50</v>
      </c>
      <c r="L70" s="17"/>
      <c r="M70" s="19" t="str">
        <f t="shared" si="4"/>
        <v/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9">INT(LOG($H$2,2))-ROUNDUP(LOG(H71,2),0)+IF(OR($H$2=1,$H$2=2,$H$2=4,$H$2=8,$H$2=16,$H$2=32,$H$2=64,$H$2=128,$H$2=256),0,1)</f>
        <v>-5</v>
      </c>
      <c r="K71" s="17">
        <f t="shared" si="8"/>
        <v>-50</v>
      </c>
      <c r="L71" s="17"/>
      <c r="M71" s="19" t="str">
        <f t="shared" ref="M71:M134" si="10">IF(I71&lt;&gt;"",K71+I71+L71,"")</f>
        <v/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9"/>
        <v>-5</v>
      </c>
      <c r="K72" s="17">
        <f t="shared" si="8"/>
        <v>-50</v>
      </c>
      <c r="L72" s="17"/>
      <c r="M72" s="19" t="str">
        <f t="shared" si="10"/>
        <v/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9"/>
        <v>-5</v>
      </c>
      <c r="K73" s="17">
        <f t="shared" si="8"/>
        <v>-50</v>
      </c>
      <c r="L73" s="17"/>
      <c r="M73" s="19" t="str">
        <f t="shared" si="10"/>
        <v/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9"/>
        <v>-5</v>
      </c>
      <c r="K74" s="17">
        <f t="shared" si="8"/>
        <v>-50</v>
      </c>
      <c r="L74" s="17"/>
      <c r="M74" s="19" t="str">
        <f t="shared" si="10"/>
        <v/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9"/>
        <v>-5</v>
      </c>
      <c r="K75" s="17">
        <f t="shared" si="8"/>
        <v>-50</v>
      </c>
      <c r="L75" s="17"/>
      <c r="M75" s="19" t="str">
        <f t="shared" si="10"/>
        <v/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9"/>
        <v>-5</v>
      </c>
      <c r="K76" s="17">
        <f t="shared" si="8"/>
        <v>-50</v>
      </c>
      <c r="L76" s="17"/>
      <c r="M76" s="19" t="str">
        <f t="shared" si="10"/>
        <v/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9"/>
        <v>-5</v>
      </c>
      <c r="K77" s="17">
        <f t="shared" si="8"/>
        <v>-50</v>
      </c>
      <c r="L77" s="17"/>
      <c r="M77" s="19" t="str">
        <f t="shared" si="10"/>
        <v/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9"/>
        <v>-5</v>
      </c>
      <c r="K78" s="17">
        <f t="shared" si="8"/>
        <v>-50</v>
      </c>
      <c r="L78" s="17"/>
      <c r="M78" s="19" t="str">
        <f t="shared" si="10"/>
        <v/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9"/>
        <v>-5</v>
      </c>
      <c r="K79" s="17">
        <f t="shared" si="8"/>
        <v>-50</v>
      </c>
      <c r="L79" s="17"/>
      <c r="M79" s="19" t="str">
        <f t="shared" si="10"/>
        <v/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9"/>
        <v>-5</v>
      </c>
      <c r="K80" s="17">
        <f t="shared" si="8"/>
        <v>-50</v>
      </c>
      <c r="L80" s="17"/>
      <c r="M80" s="19" t="str">
        <f t="shared" si="10"/>
        <v/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9"/>
        <v>-5</v>
      </c>
      <c r="K81" s="17">
        <f t="shared" si="8"/>
        <v>-50</v>
      </c>
      <c r="L81" s="17"/>
      <c r="M81" s="19" t="str">
        <f t="shared" si="10"/>
        <v/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9"/>
        <v>-5</v>
      </c>
      <c r="K82" s="17">
        <f t="shared" si="8"/>
        <v>-50</v>
      </c>
      <c r="L82" s="17"/>
      <c r="M82" s="19" t="str">
        <f t="shared" si="10"/>
        <v/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9"/>
        <v>-5</v>
      </c>
      <c r="K83" s="17">
        <f t="shared" si="8"/>
        <v>-50</v>
      </c>
      <c r="L83" s="17"/>
      <c r="M83" s="19" t="str">
        <f t="shared" si="10"/>
        <v/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9"/>
        <v>-5</v>
      </c>
      <c r="K84" s="17">
        <f t="shared" si="8"/>
        <v>-50</v>
      </c>
      <c r="L84" s="17"/>
      <c r="M84" s="19" t="str">
        <f t="shared" si="10"/>
        <v/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9"/>
        <v>-5</v>
      </c>
      <c r="K85" s="17">
        <f t="shared" si="8"/>
        <v>-50</v>
      </c>
      <c r="L85" s="17"/>
      <c r="M85" s="19" t="str">
        <f t="shared" si="10"/>
        <v/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9"/>
        <v>-5</v>
      </c>
      <c r="K86" s="17">
        <f t="shared" si="8"/>
        <v>-50</v>
      </c>
      <c r="L86" s="17"/>
      <c r="M86" s="19" t="str">
        <f t="shared" si="10"/>
        <v/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9"/>
        <v>-5</v>
      </c>
      <c r="K87" s="17">
        <f t="shared" si="8"/>
        <v>-50</v>
      </c>
      <c r="L87" s="17"/>
      <c r="M87" s="19" t="str">
        <f t="shared" si="10"/>
        <v/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9"/>
        <v>-5</v>
      </c>
      <c r="K88" s="17">
        <f t="shared" si="8"/>
        <v>-50</v>
      </c>
      <c r="L88" s="17"/>
      <c r="M88" s="19" t="str">
        <f t="shared" si="10"/>
        <v/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9"/>
        <v>-5</v>
      </c>
      <c r="K89" s="17">
        <f t="shared" si="8"/>
        <v>-50</v>
      </c>
      <c r="L89" s="17"/>
      <c r="M89" s="19" t="str">
        <f t="shared" si="10"/>
        <v/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9"/>
        <v>-5</v>
      </c>
      <c r="K90" s="17">
        <f t="shared" si="8"/>
        <v>-50</v>
      </c>
      <c r="L90" s="17"/>
      <c r="M90" s="19" t="str">
        <f t="shared" si="10"/>
        <v/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9"/>
        <v>-5</v>
      </c>
      <c r="K91" s="17">
        <f t="shared" si="8"/>
        <v>-50</v>
      </c>
      <c r="L91" s="17"/>
      <c r="M91" s="19" t="str">
        <f t="shared" si="10"/>
        <v/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9"/>
        <v>-5</v>
      </c>
      <c r="K92" s="17">
        <f t="shared" si="8"/>
        <v>-50</v>
      </c>
      <c r="L92" s="17"/>
      <c r="M92" s="19" t="str">
        <f t="shared" si="10"/>
        <v/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9"/>
        <v>-5</v>
      </c>
      <c r="K93" s="17">
        <f t="shared" si="8"/>
        <v>-50</v>
      </c>
      <c r="L93" s="17"/>
      <c r="M93" s="19" t="str">
        <f t="shared" si="10"/>
        <v/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9"/>
        <v>-5</v>
      </c>
      <c r="K94" s="17">
        <f t="shared" si="8"/>
        <v>-50</v>
      </c>
      <c r="L94" s="17"/>
      <c r="M94" s="19" t="str">
        <f t="shared" si="10"/>
        <v/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9"/>
        <v>-5</v>
      </c>
      <c r="K95" s="17">
        <f t="shared" si="8"/>
        <v>-50</v>
      </c>
      <c r="L95" s="17"/>
      <c r="M95" s="19" t="str">
        <f t="shared" si="10"/>
        <v/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9"/>
        <v>-5</v>
      </c>
      <c r="K96" s="17">
        <f t="shared" si="8"/>
        <v>-50</v>
      </c>
      <c r="L96" s="17"/>
      <c r="M96" s="19" t="str">
        <f t="shared" si="10"/>
        <v/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9"/>
        <v>-5</v>
      </c>
      <c r="K97" s="17">
        <f t="shared" si="8"/>
        <v>-50</v>
      </c>
      <c r="L97" s="17"/>
      <c r="M97" s="19" t="str">
        <f t="shared" si="10"/>
        <v/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9"/>
        <v>-5</v>
      </c>
      <c r="K98" s="17">
        <f t="shared" si="8"/>
        <v>-50</v>
      </c>
      <c r="L98" s="17"/>
      <c r="M98" s="19" t="str">
        <f t="shared" si="10"/>
        <v/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9"/>
        <v>-5</v>
      </c>
      <c r="K99" s="17">
        <f t="shared" si="8"/>
        <v>-50</v>
      </c>
      <c r="L99" s="17"/>
      <c r="M99" s="19" t="str">
        <f t="shared" si="10"/>
        <v/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9"/>
        <v>-5</v>
      </c>
      <c r="K100" s="17">
        <f t="shared" si="8"/>
        <v>-50</v>
      </c>
      <c r="L100" s="17"/>
      <c r="M100" s="19" t="str">
        <f t="shared" si="10"/>
        <v/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9"/>
        <v>-5</v>
      </c>
      <c r="K101" s="17">
        <f t="shared" si="8"/>
        <v>-50</v>
      </c>
      <c r="L101" s="17"/>
      <c r="M101" s="19" t="str">
        <f t="shared" si="10"/>
        <v/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9"/>
        <v>-5</v>
      </c>
      <c r="K102" s="17">
        <f t="shared" si="8"/>
        <v>-50</v>
      </c>
      <c r="L102" s="17"/>
      <c r="M102" s="19" t="str">
        <f t="shared" si="10"/>
        <v/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9"/>
        <v>-5</v>
      </c>
      <c r="K103" s="17">
        <f t="shared" si="8"/>
        <v>-50</v>
      </c>
      <c r="L103" s="17"/>
      <c r="M103" s="19" t="str">
        <f t="shared" si="10"/>
        <v/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9"/>
        <v>-5</v>
      </c>
      <c r="K104" s="17">
        <f t="shared" si="8"/>
        <v>-50</v>
      </c>
      <c r="L104" s="17"/>
      <c r="M104" s="19" t="str">
        <f t="shared" si="10"/>
        <v/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9"/>
        <v>-5</v>
      </c>
      <c r="K105" s="17">
        <f t="shared" si="8"/>
        <v>-50</v>
      </c>
      <c r="L105" s="17"/>
      <c r="M105" s="19" t="str">
        <f t="shared" si="10"/>
        <v/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9"/>
        <v>-5</v>
      </c>
      <c r="K106" s="17">
        <f t="shared" si="8"/>
        <v>-50</v>
      </c>
      <c r="L106" s="17"/>
      <c r="M106" s="19" t="str">
        <f t="shared" si="10"/>
        <v/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9"/>
        <v>-5</v>
      </c>
      <c r="K107" s="17">
        <f t="shared" si="8"/>
        <v>-50</v>
      </c>
      <c r="L107" s="17"/>
      <c r="M107" s="19" t="str">
        <f t="shared" si="10"/>
        <v/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9"/>
        <v>-5</v>
      </c>
      <c r="K108" s="17">
        <f t="shared" si="8"/>
        <v>-50</v>
      </c>
      <c r="L108" s="17"/>
      <c r="M108" s="19" t="str">
        <f t="shared" si="10"/>
        <v/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9"/>
        <v>-5</v>
      </c>
      <c r="K109" s="17">
        <f t="shared" si="8"/>
        <v>-50</v>
      </c>
      <c r="L109" s="17"/>
      <c r="M109" s="19" t="str">
        <f t="shared" si="10"/>
        <v/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9"/>
        <v>-5</v>
      </c>
      <c r="K110" s="17">
        <f t="shared" si="8"/>
        <v>-50</v>
      </c>
      <c r="L110" s="17"/>
      <c r="M110" s="19" t="str">
        <f t="shared" si="10"/>
        <v/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9"/>
        <v>-5</v>
      </c>
      <c r="K111" s="17">
        <f t="shared" si="8"/>
        <v>-50</v>
      </c>
      <c r="L111" s="17"/>
      <c r="M111" s="19" t="str">
        <f t="shared" si="10"/>
        <v/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9"/>
        <v>-5</v>
      </c>
      <c r="K112" s="17">
        <f t="shared" si="8"/>
        <v>-50</v>
      </c>
      <c r="L112" s="17"/>
      <c r="M112" s="19" t="str">
        <f t="shared" si="10"/>
        <v/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9"/>
        <v>-5</v>
      </c>
      <c r="K113" s="17">
        <f t="shared" si="8"/>
        <v>-50</v>
      </c>
      <c r="L113" s="17"/>
      <c r="M113" s="19" t="str">
        <f t="shared" si="10"/>
        <v/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9"/>
        <v>-5</v>
      </c>
      <c r="K114" s="17">
        <f t="shared" si="8"/>
        <v>-50</v>
      </c>
      <c r="L114" s="17"/>
      <c r="M114" s="19" t="str">
        <f t="shared" si="10"/>
        <v/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9"/>
        <v>-5</v>
      </c>
      <c r="K115" s="17">
        <f t="shared" si="8"/>
        <v>-50</v>
      </c>
      <c r="L115" s="17"/>
      <c r="M115" s="19" t="str">
        <f t="shared" si="10"/>
        <v/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9"/>
        <v>-5</v>
      </c>
      <c r="K116" s="17">
        <f t="shared" si="8"/>
        <v>-50</v>
      </c>
      <c r="L116" s="17"/>
      <c r="M116" s="19" t="str">
        <f t="shared" si="10"/>
        <v/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9"/>
        <v>-5</v>
      </c>
      <c r="K117" s="17">
        <f t="shared" si="8"/>
        <v>-50</v>
      </c>
      <c r="L117" s="17"/>
      <c r="M117" s="19" t="str">
        <f t="shared" si="10"/>
        <v/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9"/>
        <v>-5</v>
      </c>
      <c r="K118" s="17">
        <f t="shared" si="8"/>
        <v>-50</v>
      </c>
      <c r="L118" s="17"/>
      <c r="M118" s="19" t="str">
        <f t="shared" si="10"/>
        <v/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9"/>
        <v>-5</v>
      </c>
      <c r="K119" s="17">
        <f t="shared" si="8"/>
        <v>-50</v>
      </c>
      <c r="L119" s="17"/>
      <c r="M119" s="19" t="str">
        <f t="shared" si="10"/>
        <v/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9"/>
        <v>-5</v>
      </c>
      <c r="K120" s="17">
        <f t="shared" si="8"/>
        <v>-50</v>
      </c>
      <c r="L120" s="17"/>
      <c r="M120" s="19" t="str">
        <f t="shared" si="10"/>
        <v/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9"/>
        <v>-5</v>
      </c>
      <c r="K121" s="17">
        <f t="shared" si="8"/>
        <v>-50</v>
      </c>
      <c r="L121" s="17"/>
      <c r="M121" s="19" t="str">
        <f t="shared" si="10"/>
        <v/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9"/>
        <v>-5</v>
      </c>
      <c r="K122" s="17">
        <f t="shared" si="8"/>
        <v>-50</v>
      </c>
      <c r="L122" s="17"/>
      <c r="M122" s="19" t="str">
        <f t="shared" si="10"/>
        <v/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9"/>
        <v>-5</v>
      </c>
      <c r="K123" s="17">
        <f t="shared" si="8"/>
        <v>-50</v>
      </c>
      <c r="L123" s="17"/>
      <c r="M123" s="19" t="str">
        <f t="shared" si="10"/>
        <v/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9"/>
        <v>-5</v>
      </c>
      <c r="K124" s="17">
        <f t="shared" si="8"/>
        <v>-50</v>
      </c>
      <c r="L124" s="17"/>
      <c r="M124" s="19" t="str">
        <f t="shared" si="10"/>
        <v/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9"/>
        <v>-5</v>
      </c>
      <c r="K125" s="17">
        <f t="shared" si="8"/>
        <v>-50</v>
      </c>
      <c r="L125" s="17"/>
      <c r="M125" s="19" t="str">
        <f t="shared" si="10"/>
        <v/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9"/>
        <v>-5</v>
      </c>
      <c r="K126" s="17">
        <f t="shared" si="8"/>
        <v>-50</v>
      </c>
      <c r="L126" s="17"/>
      <c r="M126" s="19" t="str">
        <f t="shared" si="10"/>
        <v/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9"/>
        <v>-5</v>
      </c>
      <c r="K127" s="17">
        <f t="shared" si="8"/>
        <v>-50</v>
      </c>
      <c r="L127" s="17"/>
      <c r="M127" s="19" t="str">
        <f t="shared" si="10"/>
        <v/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9"/>
        <v>-5</v>
      </c>
      <c r="K128" s="17">
        <f t="shared" si="8"/>
        <v>-50</v>
      </c>
      <c r="L128" s="17"/>
      <c r="M128" s="19" t="str">
        <f t="shared" si="10"/>
        <v/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9"/>
        <v>-5</v>
      </c>
      <c r="K129" s="17">
        <f t="shared" si="8"/>
        <v>-50</v>
      </c>
      <c r="L129" s="17"/>
      <c r="M129" s="19" t="str">
        <f t="shared" si="10"/>
        <v/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9"/>
        <v>-5</v>
      </c>
      <c r="K130" s="17">
        <f t="shared" si="8"/>
        <v>-50</v>
      </c>
      <c r="L130" s="17"/>
      <c r="M130" s="19" t="str">
        <f t="shared" si="10"/>
        <v/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9"/>
        <v>-5</v>
      </c>
      <c r="K131" s="17">
        <f t="shared" si="8"/>
        <v>-50</v>
      </c>
      <c r="L131" s="17"/>
      <c r="M131" s="19" t="str">
        <f t="shared" si="10"/>
        <v/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9"/>
        <v>-5</v>
      </c>
      <c r="K132" s="17">
        <f t="shared" si="8"/>
        <v>-50</v>
      </c>
      <c r="L132" s="17"/>
      <c r="M132" s="19" t="str">
        <f t="shared" si="10"/>
        <v/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9"/>
        <v>-5</v>
      </c>
      <c r="K133" s="17">
        <f t="shared" si="8"/>
        <v>-50</v>
      </c>
      <c r="L133" s="17"/>
      <c r="M133" s="19" t="str">
        <f t="shared" si="10"/>
        <v/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9"/>
        <v>-6</v>
      </c>
      <c r="K134" s="17">
        <f t="shared" ref="K134:K197" si="12">J134*$J$2</f>
        <v>-60</v>
      </c>
      <c r="L134" s="17"/>
      <c r="M134" s="19" t="str">
        <f t="shared" si="10"/>
        <v/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3">INT(LOG($H$2,2))-ROUNDUP(LOG(H135,2),0)+IF(OR($H$2=1,$H$2=2,$H$2=4,$H$2=8,$H$2=16,$H$2=32,$H$2=64,$H$2=128,$H$2=256),0,1)</f>
        <v>-6</v>
      </c>
      <c r="K135" s="17">
        <f t="shared" si="12"/>
        <v>-60</v>
      </c>
      <c r="L135" s="17"/>
      <c r="M135" s="19" t="str">
        <f t="shared" ref="M135:M198" si="14">IF(I135&lt;&gt;"",K135+I135+L135,"")</f>
        <v/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3"/>
        <v>-6</v>
      </c>
      <c r="K136" s="17">
        <f t="shared" si="12"/>
        <v>-60</v>
      </c>
      <c r="L136" s="17"/>
      <c r="M136" s="19" t="str">
        <f t="shared" si="14"/>
        <v/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3"/>
        <v>-6</v>
      </c>
      <c r="K137" s="17">
        <f t="shared" si="12"/>
        <v>-60</v>
      </c>
      <c r="L137" s="17"/>
      <c r="M137" s="19" t="str">
        <f t="shared" si="14"/>
        <v/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3"/>
        <v>-6</v>
      </c>
      <c r="K138" s="17">
        <f t="shared" si="12"/>
        <v>-60</v>
      </c>
      <c r="L138" s="17"/>
      <c r="M138" s="19" t="str">
        <f t="shared" si="14"/>
        <v/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3"/>
        <v>-6</v>
      </c>
      <c r="K139" s="17">
        <f t="shared" si="12"/>
        <v>-60</v>
      </c>
      <c r="L139" s="17"/>
      <c r="M139" s="19" t="str">
        <f t="shared" si="14"/>
        <v/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3"/>
        <v>-6</v>
      </c>
      <c r="K140" s="17">
        <f t="shared" si="12"/>
        <v>-60</v>
      </c>
      <c r="L140" s="17"/>
      <c r="M140" s="19" t="str">
        <f t="shared" si="14"/>
        <v/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3"/>
        <v>-6</v>
      </c>
      <c r="K141" s="17">
        <f t="shared" si="12"/>
        <v>-60</v>
      </c>
      <c r="L141" s="17"/>
      <c r="M141" s="19" t="str">
        <f t="shared" si="14"/>
        <v/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3"/>
        <v>-6</v>
      </c>
      <c r="K142" s="17">
        <f t="shared" si="12"/>
        <v>-60</v>
      </c>
      <c r="L142" s="17"/>
      <c r="M142" s="19" t="str">
        <f t="shared" si="14"/>
        <v/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3"/>
        <v>-6</v>
      </c>
      <c r="K143" s="17">
        <f t="shared" si="12"/>
        <v>-60</v>
      </c>
      <c r="L143" s="17"/>
      <c r="M143" s="19" t="str">
        <f t="shared" si="14"/>
        <v/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3"/>
        <v>-6</v>
      </c>
      <c r="K144" s="17">
        <f t="shared" si="12"/>
        <v>-60</v>
      </c>
      <c r="L144" s="17"/>
      <c r="M144" s="19" t="str">
        <f t="shared" si="14"/>
        <v/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3"/>
        <v>-6</v>
      </c>
      <c r="K145" s="17">
        <f t="shared" si="12"/>
        <v>-60</v>
      </c>
      <c r="L145" s="17"/>
      <c r="M145" s="19" t="str">
        <f t="shared" si="14"/>
        <v/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3"/>
        <v>-6</v>
      </c>
      <c r="K146" s="17">
        <f t="shared" si="12"/>
        <v>-60</v>
      </c>
      <c r="L146" s="17"/>
      <c r="M146" s="19" t="str">
        <f t="shared" si="14"/>
        <v/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3"/>
        <v>-6</v>
      </c>
      <c r="K147" s="17">
        <f t="shared" si="12"/>
        <v>-60</v>
      </c>
      <c r="L147" s="17"/>
      <c r="M147" s="19" t="str">
        <f t="shared" si="14"/>
        <v/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3"/>
        <v>-6</v>
      </c>
      <c r="K148" s="17">
        <f t="shared" si="12"/>
        <v>-60</v>
      </c>
      <c r="L148" s="17"/>
      <c r="M148" s="19" t="str">
        <f t="shared" si="14"/>
        <v/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3"/>
        <v>-6</v>
      </c>
      <c r="K149" s="17">
        <f t="shared" si="12"/>
        <v>-60</v>
      </c>
      <c r="L149" s="17"/>
      <c r="M149" s="19" t="str">
        <f t="shared" si="14"/>
        <v/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3"/>
        <v>-6</v>
      </c>
      <c r="K150" s="17">
        <f t="shared" si="12"/>
        <v>-60</v>
      </c>
      <c r="L150" s="17"/>
      <c r="M150" s="19" t="str">
        <f t="shared" si="14"/>
        <v/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3"/>
        <v>-6</v>
      </c>
      <c r="K151" s="17">
        <f t="shared" si="12"/>
        <v>-60</v>
      </c>
      <c r="L151" s="17"/>
      <c r="M151" s="19" t="str">
        <f t="shared" si="14"/>
        <v/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3"/>
        <v>-6</v>
      </c>
      <c r="K152" s="17">
        <f t="shared" si="12"/>
        <v>-60</v>
      </c>
      <c r="L152" s="17"/>
      <c r="M152" s="19" t="str">
        <f t="shared" si="14"/>
        <v/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3"/>
        <v>-6</v>
      </c>
      <c r="K153" s="17">
        <f t="shared" si="12"/>
        <v>-60</v>
      </c>
      <c r="L153" s="17"/>
      <c r="M153" s="19" t="str">
        <f t="shared" si="14"/>
        <v/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3"/>
        <v>-6</v>
      </c>
      <c r="K154" s="17">
        <f t="shared" si="12"/>
        <v>-60</v>
      </c>
      <c r="L154" s="17"/>
      <c r="M154" s="19" t="str">
        <f t="shared" si="14"/>
        <v/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3"/>
        <v>-6</v>
      </c>
      <c r="K155" s="17">
        <f t="shared" si="12"/>
        <v>-60</v>
      </c>
      <c r="L155" s="17"/>
      <c r="M155" s="19" t="str">
        <f t="shared" si="14"/>
        <v/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3"/>
        <v>-6</v>
      </c>
      <c r="K156" s="17">
        <f t="shared" si="12"/>
        <v>-60</v>
      </c>
      <c r="L156" s="17"/>
      <c r="M156" s="19" t="str">
        <f t="shared" si="14"/>
        <v/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3"/>
        <v>-6</v>
      </c>
      <c r="K157" s="17">
        <f t="shared" si="12"/>
        <v>-60</v>
      </c>
      <c r="L157" s="17"/>
      <c r="M157" s="19" t="str">
        <f t="shared" si="14"/>
        <v/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3"/>
        <v>-6</v>
      </c>
      <c r="K158" s="17">
        <f t="shared" si="12"/>
        <v>-60</v>
      </c>
      <c r="L158" s="17"/>
      <c r="M158" s="19" t="str">
        <f t="shared" si="14"/>
        <v/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3"/>
        <v>-6</v>
      </c>
      <c r="K159" s="17">
        <f t="shared" si="12"/>
        <v>-60</v>
      </c>
      <c r="L159" s="17"/>
      <c r="M159" s="19" t="str">
        <f t="shared" si="14"/>
        <v/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3"/>
        <v>-6</v>
      </c>
      <c r="K160" s="17">
        <f t="shared" si="12"/>
        <v>-60</v>
      </c>
      <c r="L160" s="17"/>
      <c r="M160" s="19" t="str">
        <f t="shared" si="14"/>
        <v/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3"/>
        <v>-6</v>
      </c>
      <c r="K161" s="17">
        <f t="shared" si="12"/>
        <v>-60</v>
      </c>
      <c r="L161" s="17"/>
      <c r="M161" s="19" t="str">
        <f t="shared" si="14"/>
        <v/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3"/>
        <v>-6</v>
      </c>
      <c r="K162" s="17">
        <f t="shared" si="12"/>
        <v>-60</v>
      </c>
      <c r="L162" s="17"/>
      <c r="M162" s="19" t="str">
        <f t="shared" si="14"/>
        <v/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3"/>
        <v>-6</v>
      </c>
      <c r="K163" s="17">
        <f t="shared" si="12"/>
        <v>-60</v>
      </c>
      <c r="L163" s="17"/>
      <c r="M163" s="19" t="str">
        <f t="shared" si="14"/>
        <v/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3"/>
        <v>-6</v>
      </c>
      <c r="K164" s="17">
        <f t="shared" si="12"/>
        <v>-60</v>
      </c>
      <c r="L164" s="17"/>
      <c r="M164" s="19" t="str">
        <f t="shared" si="14"/>
        <v/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3"/>
        <v>-6</v>
      </c>
      <c r="K165" s="17">
        <f t="shared" si="12"/>
        <v>-60</v>
      </c>
      <c r="L165" s="17"/>
      <c r="M165" s="19" t="str">
        <f t="shared" si="14"/>
        <v/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3"/>
        <v>-6</v>
      </c>
      <c r="K166" s="17">
        <f t="shared" si="12"/>
        <v>-60</v>
      </c>
      <c r="L166" s="17"/>
      <c r="M166" s="19" t="str">
        <f t="shared" si="14"/>
        <v/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3"/>
        <v>-6</v>
      </c>
      <c r="K167" s="17">
        <f t="shared" si="12"/>
        <v>-60</v>
      </c>
      <c r="L167" s="17"/>
      <c r="M167" s="19" t="str">
        <f t="shared" si="14"/>
        <v/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3"/>
        <v>-6</v>
      </c>
      <c r="K168" s="17">
        <f t="shared" si="12"/>
        <v>-60</v>
      </c>
      <c r="L168" s="17"/>
      <c r="M168" s="19" t="str">
        <f t="shared" si="14"/>
        <v/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3"/>
        <v>-6</v>
      </c>
      <c r="K169" s="17">
        <f t="shared" si="12"/>
        <v>-60</v>
      </c>
      <c r="L169" s="17"/>
      <c r="M169" s="19" t="str">
        <f t="shared" si="14"/>
        <v/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3"/>
        <v>-6</v>
      </c>
      <c r="K170" s="17">
        <f t="shared" si="12"/>
        <v>-60</v>
      </c>
      <c r="L170" s="17"/>
      <c r="M170" s="19" t="str">
        <f t="shared" si="14"/>
        <v/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3"/>
        <v>-6</v>
      </c>
      <c r="K171" s="17">
        <f t="shared" si="12"/>
        <v>-60</v>
      </c>
      <c r="L171" s="17"/>
      <c r="M171" s="19" t="str">
        <f t="shared" si="14"/>
        <v/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3"/>
        <v>-6</v>
      </c>
      <c r="K172" s="17">
        <f t="shared" si="12"/>
        <v>-60</v>
      </c>
      <c r="L172" s="17"/>
      <c r="M172" s="19" t="str">
        <f t="shared" si="14"/>
        <v/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3"/>
        <v>-6</v>
      </c>
      <c r="K173" s="17">
        <f t="shared" si="12"/>
        <v>-60</v>
      </c>
      <c r="L173" s="17"/>
      <c r="M173" s="19" t="str">
        <f t="shared" si="14"/>
        <v/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3"/>
        <v>-6</v>
      </c>
      <c r="K174" s="17">
        <f t="shared" si="12"/>
        <v>-60</v>
      </c>
      <c r="L174" s="17"/>
      <c r="M174" s="19" t="str">
        <f t="shared" si="14"/>
        <v/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3"/>
        <v>-6</v>
      </c>
      <c r="K175" s="17">
        <f t="shared" si="12"/>
        <v>-60</v>
      </c>
      <c r="L175" s="17"/>
      <c r="M175" s="19" t="str">
        <f t="shared" si="14"/>
        <v/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3"/>
        <v>-6</v>
      </c>
      <c r="K176" s="17">
        <f t="shared" si="12"/>
        <v>-60</v>
      </c>
      <c r="L176" s="17"/>
      <c r="M176" s="19" t="str">
        <f t="shared" si="14"/>
        <v/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3"/>
        <v>-6</v>
      </c>
      <c r="K177" s="17">
        <f t="shared" si="12"/>
        <v>-60</v>
      </c>
      <c r="L177" s="17"/>
      <c r="M177" s="19" t="str">
        <f t="shared" si="14"/>
        <v/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3"/>
        <v>-6</v>
      </c>
      <c r="K178" s="17">
        <f t="shared" si="12"/>
        <v>-60</v>
      </c>
      <c r="L178" s="17"/>
      <c r="M178" s="19" t="str">
        <f t="shared" si="14"/>
        <v/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3"/>
        <v>-6</v>
      </c>
      <c r="K179" s="17">
        <f t="shared" si="12"/>
        <v>-60</v>
      </c>
      <c r="L179" s="17"/>
      <c r="M179" s="19" t="str">
        <f t="shared" si="14"/>
        <v/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3"/>
        <v>-6</v>
      </c>
      <c r="K180" s="17">
        <f t="shared" si="12"/>
        <v>-60</v>
      </c>
      <c r="L180" s="17"/>
      <c r="M180" s="19" t="str">
        <f t="shared" si="14"/>
        <v/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3"/>
        <v>-6</v>
      </c>
      <c r="K181" s="17">
        <f t="shared" si="12"/>
        <v>-60</v>
      </c>
      <c r="L181" s="17"/>
      <c r="M181" s="19" t="str">
        <f t="shared" si="14"/>
        <v/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3"/>
        <v>-6</v>
      </c>
      <c r="K182" s="17">
        <f t="shared" si="12"/>
        <v>-60</v>
      </c>
      <c r="L182" s="17"/>
      <c r="M182" s="19" t="str">
        <f t="shared" si="14"/>
        <v/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3"/>
        <v>-6</v>
      </c>
      <c r="K183" s="17">
        <f t="shared" si="12"/>
        <v>-60</v>
      </c>
      <c r="L183" s="17"/>
      <c r="M183" s="19" t="str">
        <f t="shared" si="14"/>
        <v/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3"/>
        <v>-6</v>
      </c>
      <c r="K184" s="17">
        <f t="shared" si="12"/>
        <v>-60</v>
      </c>
      <c r="L184" s="17"/>
      <c r="M184" s="19" t="str">
        <f t="shared" si="14"/>
        <v/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3"/>
        <v>-6</v>
      </c>
      <c r="K185" s="17">
        <f t="shared" si="12"/>
        <v>-60</v>
      </c>
      <c r="L185" s="17"/>
      <c r="M185" s="19" t="str">
        <f t="shared" si="14"/>
        <v/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3"/>
        <v>-6</v>
      </c>
      <c r="K186" s="17">
        <f t="shared" si="12"/>
        <v>-60</v>
      </c>
      <c r="L186" s="17"/>
      <c r="M186" s="19" t="str">
        <f t="shared" si="14"/>
        <v/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3"/>
        <v>-6</v>
      </c>
      <c r="K187" s="17">
        <f t="shared" si="12"/>
        <v>-60</v>
      </c>
      <c r="L187" s="17"/>
      <c r="M187" s="19" t="str">
        <f t="shared" si="14"/>
        <v/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3"/>
        <v>-6</v>
      </c>
      <c r="K188" s="17">
        <f t="shared" si="12"/>
        <v>-60</v>
      </c>
      <c r="L188" s="17"/>
      <c r="M188" s="19" t="str">
        <f t="shared" si="14"/>
        <v/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3"/>
        <v>-6</v>
      </c>
      <c r="K189" s="17">
        <f t="shared" si="12"/>
        <v>-60</v>
      </c>
      <c r="L189" s="17"/>
      <c r="M189" s="19" t="str">
        <f t="shared" si="14"/>
        <v/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3"/>
        <v>-6</v>
      </c>
      <c r="K190" s="17">
        <f t="shared" si="12"/>
        <v>-60</v>
      </c>
      <c r="L190" s="17"/>
      <c r="M190" s="19" t="str">
        <f t="shared" si="14"/>
        <v/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3"/>
        <v>-6</v>
      </c>
      <c r="K191" s="17">
        <f t="shared" si="12"/>
        <v>-60</v>
      </c>
      <c r="L191" s="17"/>
      <c r="M191" s="19" t="str">
        <f t="shared" si="14"/>
        <v/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3"/>
        <v>-6</v>
      </c>
      <c r="K192" s="17">
        <f t="shared" si="12"/>
        <v>-60</v>
      </c>
      <c r="L192" s="17"/>
      <c r="M192" s="19" t="str">
        <f t="shared" si="14"/>
        <v/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3"/>
        <v>-6</v>
      </c>
      <c r="K193" s="17">
        <f t="shared" si="12"/>
        <v>-60</v>
      </c>
      <c r="L193" s="17"/>
      <c r="M193" s="19" t="str">
        <f t="shared" si="14"/>
        <v/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3"/>
        <v>-6</v>
      </c>
      <c r="K194" s="17">
        <f t="shared" si="12"/>
        <v>-60</v>
      </c>
      <c r="L194" s="17"/>
      <c r="M194" s="19" t="str">
        <f t="shared" si="14"/>
        <v/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3"/>
        <v>-6</v>
      </c>
      <c r="K195" s="17">
        <f t="shared" si="12"/>
        <v>-60</v>
      </c>
      <c r="L195" s="17"/>
      <c r="M195" s="19" t="str">
        <f t="shared" si="14"/>
        <v/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3"/>
        <v>-6</v>
      </c>
      <c r="K196" s="17">
        <f t="shared" si="12"/>
        <v>-60</v>
      </c>
      <c r="L196" s="17"/>
      <c r="M196" s="19" t="str">
        <f t="shared" si="14"/>
        <v/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3"/>
        <v>-6</v>
      </c>
      <c r="K197" s="17">
        <f t="shared" si="12"/>
        <v>-60</v>
      </c>
      <c r="L197" s="17"/>
      <c r="M197" s="19" t="str">
        <f t="shared" si="14"/>
        <v/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3"/>
        <v>-6</v>
      </c>
      <c r="K198" s="17">
        <f t="shared" ref="K198:K261" si="16">J198*$J$2</f>
        <v>-60</v>
      </c>
      <c r="L198" s="17"/>
      <c r="M198" s="19" t="str">
        <f t="shared" si="14"/>
        <v/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7">INT(LOG($H$2,2))-ROUNDUP(LOG(H199,2),0)+IF(OR($H$2=1,$H$2=2,$H$2=4,$H$2=8,$H$2=16,$H$2=32,$H$2=64,$H$2=128,$H$2=256),0,1)</f>
        <v>-6</v>
      </c>
      <c r="K199" s="17">
        <f t="shared" si="16"/>
        <v>-60</v>
      </c>
      <c r="L199" s="17"/>
      <c r="M199" s="19" t="str">
        <f t="shared" ref="M199:M262" si="18">IF(I199&lt;&gt;"",K199+I199+L199,"")</f>
        <v/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7"/>
        <v>-6</v>
      </c>
      <c r="K200" s="17">
        <f t="shared" si="16"/>
        <v>-60</v>
      </c>
      <c r="L200" s="17"/>
      <c r="M200" s="19" t="str">
        <f t="shared" si="18"/>
        <v/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7"/>
        <v>-6</v>
      </c>
      <c r="K201" s="17">
        <f t="shared" si="16"/>
        <v>-60</v>
      </c>
      <c r="L201" s="17"/>
      <c r="M201" s="19" t="str">
        <f t="shared" si="18"/>
        <v/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7"/>
        <v>-6</v>
      </c>
      <c r="K202" s="17">
        <f t="shared" si="16"/>
        <v>-60</v>
      </c>
      <c r="L202" s="17"/>
      <c r="M202" s="19" t="str">
        <f t="shared" si="18"/>
        <v/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7"/>
        <v>-6</v>
      </c>
      <c r="K203" s="17">
        <f t="shared" si="16"/>
        <v>-60</v>
      </c>
      <c r="L203" s="17"/>
      <c r="M203" s="19" t="str">
        <f t="shared" si="18"/>
        <v/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7"/>
        <v>-6</v>
      </c>
      <c r="K204" s="17">
        <f t="shared" si="16"/>
        <v>-60</v>
      </c>
      <c r="L204" s="17"/>
      <c r="M204" s="19" t="str">
        <f t="shared" si="18"/>
        <v/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7"/>
        <v>-6</v>
      </c>
      <c r="K205" s="17">
        <f t="shared" si="16"/>
        <v>-60</v>
      </c>
      <c r="L205" s="17"/>
      <c r="M205" s="19" t="str">
        <f t="shared" si="18"/>
        <v/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7"/>
        <v>-6</v>
      </c>
      <c r="K206" s="17">
        <f t="shared" si="16"/>
        <v>-60</v>
      </c>
      <c r="L206" s="17"/>
      <c r="M206" s="19" t="str">
        <f t="shared" si="18"/>
        <v/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7"/>
        <v>-6</v>
      </c>
      <c r="K207" s="17">
        <f t="shared" si="16"/>
        <v>-60</v>
      </c>
      <c r="L207" s="17"/>
      <c r="M207" s="19" t="str">
        <f t="shared" si="18"/>
        <v/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7"/>
        <v>-6</v>
      </c>
      <c r="K208" s="17">
        <f t="shared" si="16"/>
        <v>-60</v>
      </c>
      <c r="L208" s="17"/>
      <c r="M208" s="19" t="str">
        <f t="shared" si="18"/>
        <v/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7"/>
        <v>-6</v>
      </c>
      <c r="K209" s="17">
        <f t="shared" si="16"/>
        <v>-60</v>
      </c>
      <c r="L209" s="17"/>
      <c r="M209" s="19" t="str">
        <f t="shared" si="18"/>
        <v/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7"/>
        <v>-6</v>
      </c>
      <c r="K210" s="17">
        <f t="shared" si="16"/>
        <v>-60</v>
      </c>
      <c r="L210" s="17"/>
      <c r="M210" s="19" t="str">
        <f t="shared" si="18"/>
        <v/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7"/>
        <v>-6</v>
      </c>
      <c r="K211" s="17">
        <f t="shared" si="16"/>
        <v>-60</v>
      </c>
      <c r="L211" s="17"/>
      <c r="M211" s="19" t="str">
        <f t="shared" si="18"/>
        <v/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7"/>
        <v>-6</v>
      </c>
      <c r="K212" s="17">
        <f t="shared" si="16"/>
        <v>-60</v>
      </c>
      <c r="L212" s="17"/>
      <c r="M212" s="19" t="str">
        <f t="shared" si="18"/>
        <v/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7"/>
        <v>-6</v>
      </c>
      <c r="K213" s="17">
        <f t="shared" si="16"/>
        <v>-60</v>
      </c>
      <c r="L213" s="17"/>
      <c r="M213" s="19" t="str">
        <f t="shared" si="18"/>
        <v/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7"/>
        <v>-6</v>
      </c>
      <c r="K214" s="17">
        <f t="shared" si="16"/>
        <v>-60</v>
      </c>
      <c r="L214" s="17"/>
      <c r="M214" s="19" t="str">
        <f t="shared" si="18"/>
        <v/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7"/>
        <v>-6</v>
      </c>
      <c r="K215" s="17">
        <f t="shared" si="16"/>
        <v>-60</v>
      </c>
      <c r="L215" s="17"/>
      <c r="M215" s="19" t="str">
        <f t="shared" si="18"/>
        <v/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7"/>
        <v>-6</v>
      </c>
      <c r="K216" s="17">
        <f t="shared" si="16"/>
        <v>-60</v>
      </c>
      <c r="L216" s="17"/>
      <c r="M216" s="19" t="str">
        <f t="shared" si="18"/>
        <v/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7"/>
        <v>-6</v>
      </c>
      <c r="K217" s="17">
        <f t="shared" si="16"/>
        <v>-60</v>
      </c>
      <c r="L217" s="17"/>
      <c r="M217" s="19" t="str">
        <f t="shared" si="18"/>
        <v/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7"/>
        <v>-6</v>
      </c>
      <c r="K218" s="17">
        <f t="shared" si="16"/>
        <v>-60</v>
      </c>
      <c r="L218" s="17"/>
      <c r="M218" s="19" t="str">
        <f t="shared" si="18"/>
        <v/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7"/>
        <v>-6</v>
      </c>
      <c r="K219" s="17">
        <f t="shared" si="16"/>
        <v>-60</v>
      </c>
      <c r="L219" s="17"/>
      <c r="M219" s="19" t="str">
        <f t="shared" si="18"/>
        <v/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7"/>
        <v>-6</v>
      </c>
      <c r="K220" s="17">
        <f t="shared" si="16"/>
        <v>-60</v>
      </c>
      <c r="L220" s="17"/>
      <c r="M220" s="19" t="str">
        <f t="shared" si="18"/>
        <v/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7"/>
        <v>-6</v>
      </c>
      <c r="K221" s="17">
        <f t="shared" si="16"/>
        <v>-60</v>
      </c>
      <c r="L221" s="17"/>
      <c r="M221" s="19" t="str">
        <f t="shared" si="18"/>
        <v/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7"/>
        <v>-6</v>
      </c>
      <c r="K222" s="17">
        <f t="shared" si="16"/>
        <v>-60</v>
      </c>
      <c r="L222" s="17"/>
      <c r="M222" s="19" t="str">
        <f t="shared" si="18"/>
        <v/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7"/>
        <v>-6</v>
      </c>
      <c r="K223" s="17">
        <f t="shared" si="16"/>
        <v>-60</v>
      </c>
      <c r="L223" s="17"/>
      <c r="M223" s="19" t="str">
        <f t="shared" si="18"/>
        <v/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7"/>
        <v>-6</v>
      </c>
      <c r="K224" s="17">
        <f t="shared" si="16"/>
        <v>-60</v>
      </c>
      <c r="L224" s="17"/>
      <c r="M224" s="19" t="str">
        <f t="shared" si="18"/>
        <v/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7"/>
        <v>-6</v>
      </c>
      <c r="K225" s="17">
        <f t="shared" si="16"/>
        <v>-60</v>
      </c>
      <c r="L225" s="17"/>
      <c r="M225" s="19" t="str">
        <f t="shared" si="18"/>
        <v/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7"/>
        <v>-6</v>
      </c>
      <c r="K226" s="17">
        <f t="shared" si="16"/>
        <v>-60</v>
      </c>
      <c r="L226" s="17"/>
      <c r="M226" s="19" t="str">
        <f t="shared" si="18"/>
        <v/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7"/>
        <v>-6</v>
      </c>
      <c r="K227" s="17">
        <f t="shared" si="16"/>
        <v>-60</v>
      </c>
      <c r="L227" s="17"/>
      <c r="M227" s="19" t="str">
        <f t="shared" si="18"/>
        <v/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7"/>
        <v>-6</v>
      </c>
      <c r="K228" s="17">
        <f t="shared" si="16"/>
        <v>-60</v>
      </c>
      <c r="L228" s="17"/>
      <c r="M228" s="19" t="str">
        <f t="shared" si="18"/>
        <v/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7"/>
        <v>-6</v>
      </c>
      <c r="K229" s="17">
        <f t="shared" si="16"/>
        <v>-60</v>
      </c>
      <c r="L229" s="17"/>
      <c r="M229" s="19" t="str">
        <f t="shared" si="18"/>
        <v/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7"/>
        <v>-6</v>
      </c>
      <c r="K230" s="17">
        <f t="shared" si="16"/>
        <v>-60</v>
      </c>
      <c r="L230" s="17"/>
      <c r="M230" s="19" t="str">
        <f t="shared" si="18"/>
        <v/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7"/>
        <v>-6</v>
      </c>
      <c r="K231" s="17">
        <f t="shared" si="16"/>
        <v>-60</v>
      </c>
      <c r="L231" s="17"/>
      <c r="M231" s="19" t="str">
        <f t="shared" si="18"/>
        <v/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7"/>
        <v>-6</v>
      </c>
      <c r="K232" s="17">
        <f t="shared" si="16"/>
        <v>-60</v>
      </c>
      <c r="L232" s="17"/>
      <c r="M232" s="19" t="str">
        <f t="shared" si="18"/>
        <v/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7"/>
        <v>-6</v>
      </c>
      <c r="K233" s="17">
        <f t="shared" si="16"/>
        <v>-60</v>
      </c>
      <c r="L233" s="17"/>
      <c r="M233" s="19" t="str">
        <f t="shared" si="18"/>
        <v/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7"/>
        <v>-6</v>
      </c>
      <c r="K234" s="17">
        <f t="shared" si="16"/>
        <v>-60</v>
      </c>
      <c r="L234" s="17"/>
      <c r="M234" s="19" t="str">
        <f t="shared" si="18"/>
        <v/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7"/>
        <v>-6</v>
      </c>
      <c r="K235" s="17">
        <f t="shared" si="16"/>
        <v>-60</v>
      </c>
      <c r="L235" s="17"/>
      <c r="M235" s="19" t="str">
        <f t="shared" si="18"/>
        <v/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7"/>
        <v>-6</v>
      </c>
      <c r="K236" s="17">
        <f t="shared" si="16"/>
        <v>-60</v>
      </c>
      <c r="L236" s="17"/>
      <c r="M236" s="19" t="str">
        <f t="shared" si="18"/>
        <v/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7"/>
        <v>-6</v>
      </c>
      <c r="K237" s="17">
        <f t="shared" si="16"/>
        <v>-60</v>
      </c>
      <c r="L237" s="17"/>
      <c r="M237" s="19" t="str">
        <f t="shared" si="18"/>
        <v/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7"/>
        <v>-6</v>
      </c>
      <c r="K238" s="17">
        <f t="shared" si="16"/>
        <v>-60</v>
      </c>
      <c r="L238" s="17"/>
      <c r="M238" s="19" t="str">
        <f t="shared" si="18"/>
        <v/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7"/>
        <v>-6</v>
      </c>
      <c r="K239" s="17">
        <f t="shared" si="16"/>
        <v>-60</v>
      </c>
      <c r="L239" s="17"/>
      <c r="M239" s="19" t="str">
        <f t="shared" si="18"/>
        <v/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7"/>
        <v>-6</v>
      </c>
      <c r="K240" s="17">
        <f t="shared" si="16"/>
        <v>-60</v>
      </c>
      <c r="L240" s="17"/>
      <c r="M240" s="19" t="str">
        <f t="shared" si="18"/>
        <v/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7"/>
        <v>-6</v>
      </c>
      <c r="K241" s="17">
        <f t="shared" si="16"/>
        <v>-60</v>
      </c>
      <c r="L241" s="17"/>
      <c r="M241" s="19" t="str">
        <f t="shared" si="18"/>
        <v/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7"/>
        <v>-6</v>
      </c>
      <c r="K242" s="17">
        <f t="shared" si="16"/>
        <v>-60</v>
      </c>
      <c r="L242" s="17"/>
      <c r="M242" s="19" t="str">
        <f t="shared" si="18"/>
        <v/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7"/>
        <v>-6</v>
      </c>
      <c r="K243" s="17">
        <f t="shared" si="16"/>
        <v>-60</v>
      </c>
      <c r="L243" s="17"/>
      <c r="M243" s="19" t="str">
        <f t="shared" si="18"/>
        <v/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7"/>
        <v>-6</v>
      </c>
      <c r="K244" s="17">
        <f t="shared" si="16"/>
        <v>-60</v>
      </c>
      <c r="L244" s="17"/>
      <c r="M244" s="19" t="str">
        <f t="shared" si="18"/>
        <v/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7"/>
        <v>-6</v>
      </c>
      <c r="K245" s="17">
        <f t="shared" si="16"/>
        <v>-60</v>
      </c>
      <c r="L245" s="17"/>
      <c r="M245" s="19" t="str">
        <f t="shared" si="18"/>
        <v/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7"/>
        <v>-6</v>
      </c>
      <c r="K246" s="17">
        <f t="shared" si="16"/>
        <v>-60</v>
      </c>
      <c r="L246" s="17"/>
      <c r="M246" s="19" t="str">
        <f t="shared" si="18"/>
        <v/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7"/>
        <v>-6</v>
      </c>
      <c r="K247" s="17">
        <f t="shared" si="16"/>
        <v>-60</v>
      </c>
      <c r="L247" s="17"/>
      <c r="M247" s="19" t="str">
        <f t="shared" si="18"/>
        <v/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7"/>
        <v>-6</v>
      </c>
      <c r="K248" s="17">
        <f t="shared" si="16"/>
        <v>-60</v>
      </c>
      <c r="L248" s="17"/>
      <c r="M248" s="19" t="str">
        <f t="shared" si="18"/>
        <v/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7"/>
        <v>-6</v>
      </c>
      <c r="K249" s="17">
        <f t="shared" si="16"/>
        <v>-60</v>
      </c>
      <c r="L249" s="17"/>
      <c r="M249" s="19" t="str">
        <f t="shared" si="18"/>
        <v/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7"/>
        <v>-6</v>
      </c>
      <c r="K250" s="17">
        <f t="shared" si="16"/>
        <v>-60</v>
      </c>
      <c r="L250" s="17"/>
      <c r="M250" s="19" t="str">
        <f t="shared" si="18"/>
        <v/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7"/>
        <v>-6</v>
      </c>
      <c r="K251" s="17">
        <f t="shared" si="16"/>
        <v>-60</v>
      </c>
      <c r="L251" s="17"/>
      <c r="M251" s="19" t="str">
        <f t="shared" si="18"/>
        <v/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7"/>
        <v>-6</v>
      </c>
      <c r="K252" s="17">
        <f t="shared" si="16"/>
        <v>-60</v>
      </c>
      <c r="L252" s="17"/>
      <c r="M252" s="19" t="str">
        <f t="shared" si="18"/>
        <v/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7"/>
        <v>-6</v>
      </c>
      <c r="K253" s="17">
        <f t="shared" si="16"/>
        <v>-60</v>
      </c>
      <c r="L253" s="17"/>
      <c r="M253" s="19" t="str">
        <f t="shared" si="18"/>
        <v/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7"/>
        <v>-6</v>
      </c>
      <c r="K254" s="17">
        <f t="shared" si="16"/>
        <v>-60</v>
      </c>
      <c r="L254" s="17"/>
      <c r="M254" s="19" t="str">
        <f t="shared" si="18"/>
        <v/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7"/>
        <v>-6</v>
      </c>
      <c r="K255" s="17">
        <f t="shared" si="16"/>
        <v>-60</v>
      </c>
      <c r="L255" s="17"/>
      <c r="M255" s="19" t="str">
        <f t="shared" si="18"/>
        <v/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7"/>
        <v>-6</v>
      </c>
      <c r="K256" s="17">
        <f t="shared" si="16"/>
        <v>-60</v>
      </c>
      <c r="L256" s="17"/>
      <c r="M256" s="19" t="str">
        <f t="shared" si="18"/>
        <v/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7"/>
        <v>-6</v>
      </c>
      <c r="K257" s="17">
        <f t="shared" si="16"/>
        <v>-60</v>
      </c>
      <c r="L257" s="17"/>
      <c r="M257" s="19" t="str">
        <f t="shared" si="18"/>
        <v/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7"/>
        <v>-6</v>
      </c>
      <c r="K258" s="17">
        <f t="shared" si="16"/>
        <v>-60</v>
      </c>
      <c r="L258" s="17"/>
      <c r="M258" s="19" t="str">
        <f t="shared" si="18"/>
        <v/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7"/>
        <v>-6</v>
      </c>
      <c r="K259" s="17">
        <f t="shared" si="16"/>
        <v>-60</v>
      </c>
      <c r="L259" s="17"/>
      <c r="M259" s="19" t="str">
        <f t="shared" si="18"/>
        <v/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7"/>
        <v>-6</v>
      </c>
      <c r="K260" s="17">
        <f t="shared" si="16"/>
        <v>-60</v>
      </c>
      <c r="L260" s="17"/>
      <c r="M260" s="19" t="str">
        <f t="shared" si="18"/>
        <v/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7"/>
        <v>-6</v>
      </c>
      <c r="K261" s="17">
        <f t="shared" si="16"/>
        <v>-60</v>
      </c>
      <c r="L261" s="17"/>
      <c r="M261" s="19" t="str">
        <f t="shared" si="18"/>
        <v/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7"/>
        <v>-7</v>
      </c>
      <c r="K262" s="17">
        <f t="shared" ref="K262:K305" si="20">J262*$J$2</f>
        <v>-70</v>
      </c>
      <c r="L262" s="17"/>
      <c r="M262" s="19" t="str">
        <f t="shared" si="18"/>
        <v/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1">INT(LOG($H$2,2))-ROUNDUP(LOG(H263,2),0)+IF(OR($H$2=1,$H$2=2,$H$2=4,$H$2=8,$H$2=16,$H$2=32,$H$2=64,$H$2=128,$H$2=256),0,1)</f>
        <v>-7</v>
      </c>
      <c r="K263" s="17">
        <f t="shared" si="20"/>
        <v>-70</v>
      </c>
      <c r="L263" s="17"/>
      <c r="M263" s="19" t="str">
        <f t="shared" ref="M263:M305" si="22">IF(I263&lt;&gt;"",K263+I263+L263,"")</f>
        <v/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1"/>
        <v>-7</v>
      </c>
      <c r="K264" s="17">
        <f t="shared" si="20"/>
        <v>-70</v>
      </c>
      <c r="L264" s="17"/>
      <c r="M264" s="19" t="str">
        <f t="shared" si="22"/>
        <v/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1"/>
        <v>-7</v>
      </c>
      <c r="K265" s="17">
        <f t="shared" si="20"/>
        <v>-70</v>
      </c>
      <c r="L265" s="17"/>
      <c r="M265" s="19" t="str">
        <f t="shared" si="22"/>
        <v/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1"/>
        <v>-7</v>
      </c>
      <c r="K266" s="17">
        <f t="shared" si="20"/>
        <v>-70</v>
      </c>
      <c r="L266" s="17"/>
      <c r="M266" s="19" t="str">
        <f t="shared" si="22"/>
        <v/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1"/>
        <v>-7</v>
      </c>
      <c r="K267" s="17">
        <f t="shared" si="20"/>
        <v>-70</v>
      </c>
      <c r="L267" s="17"/>
      <c r="M267" s="19" t="str">
        <f t="shared" si="22"/>
        <v/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1"/>
        <v>-7</v>
      </c>
      <c r="K268" s="17">
        <f t="shared" si="20"/>
        <v>-70</v>
      </c>
      <c r="L268" s="17"/>
      <c r="M268" s="19" t="str">
        <f t="shared" si="22"/>
        <v/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1"/>
        <v>-7</v>
      </c>
      <c r="K269" s="17">
        <f t="shared" si="20"/>
        <v>-70</v>
      </c>
      <c r="L269" s="17"/>
      <c r="M269" s="19" t="str">
        <f t="shared" si="22"/>
        <v/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1"/>
        <v>-7</v>
      </c>
      <c r="K270" s="17">
        <f t="shared" si="20"/>
        <v>-70</v>
      </c>
      <c r="L270" s="17"/>
      <c r="M270" s="19" t="str">
        <f t="shared" si="22"/>
        <v/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1"/>
        <v>-7</v>
      </c>
      <c r="K271" s="17">
        <f t="shared" si="20"/>
        <v>-70</v>
      </c>
      <c r="L271" s="17"/>
      <c r="M271" s="19" t="str">
        <f t="shared" si="22"/>
        <v/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1"/>
        <v>-7</v>
      </c>
      <c r="K272" s="17">
        <f t="shared" si="20"/>
        <v>-70</v>
      </c>
      <c r="L272" s="17"/>
      <c r="M272" s="19" t="str">
        <f t="shared" si="22"/>
        <v/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1"/>
        <v>-7</v>
      </c>
      <c r="K273" s="17">
        <f t="shared" si="20"/>
        <v>-70</v>
      </c>
      <c r="L273" s="17"/>
      <c r="M273" s="19" t="str">
        <f t="shared" si="22"/>
        <v/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1"/>
        <v>-7</v>
      </c>
      <c r="K274" s="17">
        <f t="shared" si="20"/>
        <v>-70</v>
      </c>
      <c r="L274" s="17"/>
      <c r="M274" s="19" t="str">
        <f t="shared" si="22"/>
        <v/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1"/>
        <v>-7</v>
      </c>
      <c r="K275" s="17">
        <f t="shared" si="20"/>
        <v>-70</v>
      </c>
      <c r="L275" s="17"/>
      <c r="M275" s="19" t="str">
        <f t="shared" si="22"/>
        <v/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1"/>
        <v>-7</v>
      </c>
      <c r="K276" s="17">
        <f t="shared" si="20"/>
        <v>-70</v>
      </c>
      <c r="L276" s="17"/>
      <c r="M276" s="19" t="str">
        <f t="shared" si="22"/>
        <v/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1"/>
        <v>-7</v>
      </c>
      <c r="K277" s="17">
        <f t="shared" si="20"/>
        <v>-70</v>
      </c>
      <c r="L277" s="17"/>
      <c r="M277" s="19" t="str">
        <f t="shared" si="22"/>
        <v/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1"/>
        <v>-7</v>
      </c>
      <c r="K278" s="17">
        <f t="shared" si="20"/>
        <v>-70</v>
      </c>
      <c r="L278" s="17"/>
      <c r="M278" s="19" t="str">
        <f t="shared" si="22"/>
        <v/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1"/>
        <v>-7</v>
      </c>
      <c r="K279" s="17">
        <f t="shared" si="20"/>
        <v>-70</v>
      </c>
      <c r="L279" s="17"/>
      <c r="M279" s="19" t="str">
        <f t="shared" si="22"/>
        <v/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1"/>
        <v>-7</v>
      </c>
      <c r="K280" s="17">
        <f t="shared" si="20"/>
        <v>-70</v>
      </c>
      <c r="L280" s="17"/>
      <c r="M280" s="19" t="str">
        <f t="shared" si="22"/>
        <v/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1"/>
        <v>-7</v>
      </c>
      <c r="K281" s="17">
        <f t="shared" si="20"/>
        <v>-70</v>
      </c>
      <c r="L281" s="17"/>
      <c r="M281" s="19" t="str">
        <f t="shared" si="22"/>
        <v/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1"/>
        <v>-7</v>
      </c>
      <c r="K282" s="17">
        <f t="shared" si="20"/>
        <v>-70</v>
      </c>
      <c r="L282" s="17"/>
      <c r="M282" s="19" t="str">
        <f t="shared" si="22"/>
        <v/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1"/>
        <v>-7</v>
      </c>
      <c r="K283" s="17">
        <f t="shared" si="20"/>
        <v>-70</v>
      </c>
      <c r="L283" s="17"/>
      <c r="M283" s="19" t="str">
        <f t="shared" si="22"/>
        <v/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1"/>
        <v>-7</v>
      </c>
      <c r="K284" s="17">
        <f t="shared" si="20"/>
        <v>-70</v>
      </c>
      <c r="L284" s="17"/>
      <c r="M284" s="19" t="str">
        <f t="shared" si="22"/>
        <v/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1"/>
        <v>-7</v>
      </c>
      <c r="K285" s="17">
        <f t="shared" si="20"/>
        <v>-70</v>
      </c>
      <c r="L285" s="17"/>
      <c r="M285" s="19" t="str">
        <f t="shared" si="22"/>
        <v/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1"/>
        <v>-7</v>
      </c>
      <c r="K286" s="17">
        <f t="shared" si="20"/>
        <v>-70</v>
      </c>
      <c r="L286" s="17"/>
      <c r="M286" s="19" t="str">
        <f t="shared" si="22"/>
        <v/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1"/>
        <v>-7</v>
      </c>
      <c r="K287" s="17">
        <f t="shared" si="20"/>
        <v>-70</v>
      </c>
      <c r="L287" s="17"/>
      <c r="M287" s="19" t="str">
        <f t="shared" si="22"/>
        <v/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1"/>
        <v>-7</v>
      </c>
      <c r="K288" s="17">
        <f t="shared" si="20"/>
        <v>-70</v>
      </c>
      <c r="L288" s="17"/>
      <c r="M288" s="19" t="str">
        <f t="shared" si="22"/>
        <v/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1"/>
        <v>-7</v>
      </c>
      <c r="K289" s="17">
        <f t="shared" si="20"/>
        <v>-70</v>
      </c>
      <c r="L289" s="17"/>
      <c r="M289" s="19" t="str">
        <f t="shared" si="22"/>
        <v/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1"/>
        <v>-7</v>
      </c>
      <c r="K290" s="17">
        <f t="shared" si="20"/>
        <v>-70</v>
      </c>
      <c r="L290" s="17"/>
      <c r="M290" s="19" t="str">
        <f t="shared" si="22"/>
        <v/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1"/>
        <v>-7</v>
      </c>
      <c r="K291" s="17">
        <f t="shared" si="20"/>
        <v>-70</v>
      </c>
      <c r="L291" s="17"/>
      <c r="M291" s="19" t="str">
        <f t="shared" si="22"/>
        <v/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1"/>
        <v>-7</v>
      </c>
      <c r="K292" s="17">
        <f t="shared" si="20"/>
        <v>-70</v>
      </c>
      <c r="L292" s="17"/>
      <c r="M292" s="19" t="str">
        <f t="shared" si="22"/>
        <v/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1"/>
        <v>-7</v>
      </c>
      <c r="K293" s="17">
        <f t="shared" si="20"/>
        <v>-70</v>
      </c>
      <c r="L293" s="17"/>
      <c r="M293" s="19" t="str">
        <f t="shared" si="22"/>
        <v/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1"/>
        <v>-7</v>
      </c>
      <c r="K294" s="17">
        <f t="shared" si="20"/>
        <v>-70</v>
      </c>
      <c r="L294" s="17"/>
      <c r="M294" s="19" t="str">
        <f t="shared" si="22"/>
        <v/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1"/>
        <v>-7</v>
      </c>
      <c r="K295" s="17">
        <f t="shared" si="20"/>
        <v>-70</v>
      </c>
      <c r="L295" s="17"/>
      <c r="M295" s="19" t="str">
        <f t="shared" si="22"/>
        <v/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1"/>
        <v>-7</v>
      </c>
      <c r="K296" s="17">
        <f t="shared" si="20"/>
        <v>-70</v>
      </c>
      <c r="L296" s="17"/>
      <c r="M296" s="19" t="str">
        <f t="shared" si="22"/>
        <v/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1"/>
        <v>-7</v>
      </c>
      <c r="K297" s="17">
        <f t="shared" si="20"/>
        <v>-70</v>
      </c>
      <c r="L297" s="17"/>
      <c r="M297" s="19" t="str">
        <f t="shared" si="22"/>
        <v/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1"/>
        <v>-7</v>
      </c>
      <c r="K298" s="17">
        <f t="shared" si="20"/>
        <v>-70</v>
      </c>
      <c r="L298" s="17"/>
      <c r="M298" s="19" t="str">
        <f t="shared" si="22"/>
        <v/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1"/>
        <v>-7</v>
      </c>
      <c r="K299" s="17">
        <f t="shared" si="20"/>
        <v>-70</v>
      </c>
      <c r="L299" s="17"/>
      <c r="M299" s="19" t="str">
        <f t="shared" si="22"/>
        <v/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1"/>
        <v>-7</v>
      </c>
      <c r="K300" s="17">
        <f t="shared" si="20"/>
        <v>-70</v>
      </c>
      <c r="L300" s="17"/>
      <c r="M300" s="19" t="str">
        <f t="shared" si="22"/>
        <v/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1"/>
        <v>-7</v>
      </c>
      <c r="K301" s="17">
        <f t="shared" si="20"/>
        <v>-70</v>
      </c>
      <c r="L301" s="17"/>
      <c r="M301" s="19" t="str">
        <f t="shared" si="22"/>
        <v/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1"/>
        <v>-7</v>
      </c>
      <c r="K302" s="17">
        <f t="shared" si="20"/>
        <v>-70</v>
      </c>
      <c r="L302" s="17"/>
      <c r="M302" s="19" t="str">
        <f t="shared" si="22"/>
        <v/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1"/>
        <v>-7</v>
      </c>
      <c r="K303" s="17">
        <f t="shared" si="20"/>
        <v>-70</v>
      </c>
      <c r="L303" s="17"/>
      <c r="M303" s="19" t="str">
        <f t="shared" si="22"/>
        <v/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1"/>
        <v>-7</v>
      </c>
      <c r="K304" s="17">
        <f t="shared" si="20"/>
        <v>-70</v>
      </c>
      <c r="L304" s="17"/>
      <c r="M304" s="19" t="str">
        <f t="shared" si="22"/>
        <v/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1"/>
        <v>-7</v>
      </c>
      <c r="K305" s="17">
        <f t="shared" si="20"/>
        <v>-70</v>
      </c>
      <c r="L305" s="17"/>
      <c r="M305" s="19" t="str">
        <f t="shared" si="22"/>
        <v/>
      </c>
    </row>
    <row r="306" spans="1:16">
      <c r="A306" s="43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6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137-4D1E-D94D-8081-5A72B941C8CB}">
  <sheetPr>
    <tabColor theme="9" tint="0.39997558519241921"/>
  </sheetPr>
  <dimension ref="A1:AL374"/>
  <sheetViews>
    <sheetView zoomScaleNormal="100" workbookViewId="0">
      <selection activeCell="N24" sqref="N24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102</v>
      </c>
      <c r="D2" s="141"/>
      <c r="E2" s="6"/>
      <c r="F2" s="6"/>
      <c r="G2" s="6"/>
      <c r="H2" s="14">
        <v>4</v>
      </c>
      <c r="I2" s="68">
        <v>50</v>
      </c>
      <c r="J2" s="68">
        <v>10</v>
      </c>
      <c r="K2" s="76">
        <f>3*H2^(1/3)</f>
        <v>4.7622031559045981</v>
      </c>
      <c r="L2" s="13"/>
      <c r="M2" s="13"/>
    </row>
    <row r="3" spans="1:34">
      <c r="A3" s="77"/>
      <c r="B3" s="48" t="s">
        <v>37</v>
      </c>
      <c r="C3" s="128"/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0</v>
      </c>
      <c r="B6" s="36"/>
      <c r="C6" s="24"/>
      <c r="D6" s="24"/>
      <c r="E6" s="24"/>
      <c r="F6" s="81"/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2</v>
      </c>
      <c r="K6" s="17">
        <f t="shared" ref="K6:K69" si="1">J6*$J$2</f>
        <v>20</v>
      </c>
      <c r="L6" s="19">
        <f>3*K2</f>
        <v>14.286609467713795</v>
      </c>
      <c r="M6" s="18">
        <f>IF(I6&lt;&gt;"",K6+I6+L6,"")</f>
        <v>84.286609467713788</v>
      </c>
    </row>
    <row r="7" spans="1:34" ht="14.45" customHeight="1">
      <c r="A7" s="40">
        <f t="shared" ref="A7:A65" si="2">F7</f>
        <v>0</v>
      </c>
      <c r="B7" s="35"/>
      <c r="C7" s="25"/>
      <c r="D7" s="25"/>
      <c r="E7" s="25"/>
      <c r="F7" s="82"/>
      <c r="G7" s="8"/>
      <c r="H7" s="44">
        <v>2</v>
      </c>
      <c r="I7" s="45">
        <f t="shared" si="0"/>
        <v>25.5</v>
      </c>
      <c r="J7" s="44">
        <f t="shared" ref="J7:J70" si="3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9.5244063118091962</v>
      </c>
      <c r="M7" s="45">
        <f t="shared" ref="M7:M70" si="4">IF(I7&lt;&gt;"",K7+I7+L7,"")</f>
        <v>45.024406311809194</v>
      </c>
    </row>
    <row r="8" spans="1:34" ht="14.45" customHeight="1">
      <c r="A8" s="39">
        <f t="shared" si="2"/>
        <v>0</v>
      </c>
      <c r="B8" s="36"/>
      <c r="C8" s="24"/>
      <c r="D8" s="24"/>
      <c r="E8" s="24"/>
      <c r="F8" s="81"/>
      <c r="G8" s="8"/>
      <c r="H8" s="17">
        <v>3</v>
      </c>
      <c r="I8" s="18">
        <f t="shared" si="0"/>
        <v>11.168418732331673</v>
      </c>
      <c r="J8" s="17">
        <f t="shared" si="3"/>
        <v>0</v>
      </c>
      <c r="K8" s="17">
        <f t="shared" si="1"/>
        <v>0</v>
      </c>
      <c r="L8" s="19">
        <f>K2</f>
        <v>4.7622031559045981</v>
      </c>
      <c r="M8" s="18">
        <f t="shared" si="4"/>
        <v>15.930621888236271</v>
      </c>
    </row>
    <row r="9" spans="1:34" ht="14.45" customHeight="1">
      <c r="A9" s="40">
        <f t="shared" si="2"/>
        <v>0</v>
      </c>
      <c r="B9" s="35"/>
      <c r="C9" s="25"/>
      <c r="D9" s="25"/>
      <c r="E9" s="25"/>
      <c r="F9" s="82"/>
      <c r="G9" s="8"/>
      <c r="H9" s="44">
        <v>4</v>
      </c>
      <c r="I9" s="45">
        <f>IF(H9&lt;$H$2+1,($I$2-($I$2-1)*(LOG(H8)/LOG($H$2))),"")</f>
        <v>11.168418732331673</v>
      </c>
      <c r="J9" s="44">
        <f t="shared" si="3"/>
        <v>0</v>
      </c>
      <c r="K9" s="44">
        <f t="shared" si="1"/>
        <v>0</v>
      </c>
      <c r="L9" s="46">
        <f>K2</f>
        <v>4.7622031559045981</v>
      </c>
      <c r="M9" s="45">
        <f t="shared" si="4"/>
        <v>15.930621888236271</v>
      </c>
      <c r="V9" s="27"/>
      <c r="Z9" s="28"/>
      <c r="AA9" s="28"/>
      <c r="AG9" s="29"/>
    </row>
    <row r="10" spans="1:34" ht="14.45" customHeight="1">
      <c r="A10" s="39">
        <f t="shared" si="2"/>
        <v>0</v>
      </c>
      <c r="B10" s="36"/>
      <c r="C10" s="24"/>
      <c r="D10" s="24"/>
      <c r="E10" s="24"/>
      <c r="F10" s="81"/>
      <c r="G10" s="8"/>
      <c r="H10" s="17">
        <v>5</v>
      </c>
      <c r="I10" s="18" t="str">
        <f t="shared" si="0"/>
        <v/>
      </c>
      <c r="J10" s="17">
        <f t="shared" si="3"/>
        <v>-1</v>
      </c>
      <c r="K10" s="17">
        <f t="shared" si="1"/>
        <v>-10</v>
      </c>
      <c r="L10" s="17"/>
      <c r="M10" s="18" t="str">
        <f t="shared" si="4"/>
        <v/>
      </c>
      <c r="V10" s="27"/>
      <c r="Z10" s="28"/>
      <c r="AA10" s="28"/>
      <c r="AG10" s="29"/>
    </row>
    <row r="11" spans="1:34" ht="14.45" customHeight="1">
      <c r="A11" s="40">
        <f t="shared" si="2"/>
        <v>0</v>
      </c>
      <c r="B11" s="35"/>
      <c r="C11" s="25"/>
      <c r="D11" s="25"/>
      <c r="E11" s="25"/>
      <c r="F11" s="82"/>
      <c r="G11" s="8"/>
      <c r="H11" s="44">
        <v>6</v>
      </c>
      <c r="I11" s="45" t="str">
        <f t="shared" si="0"/>
        <v/>
      </c>
      <c r="J11" s="44">
        <f t="shared" si="3"/>
        <v>-1</v>
      </c>
      <c r="K11" s="44">
        <f t="shared" si="1"/>
        <v>-10</v>
      </c>
      <c r="L11" s="44"/>
      <c r="M11" s="45" t="str">
        <f t="shared" si="4"/>
        <v/>
      </c>
      <c r="V11" s="30"/>
      <c r="Z11" s="28"/>
      <c r="AA11" s="28"/>
      <c r="AG11" s="29"/>
    </row>
    <row r="12" spans="1:34" ht="14.45" customHeight="1">
      <c r="A12" s="39">
        <f t="shared" si="2"/>
        <v>0</v>
      </c>
      <c r="B12" s="36"/>
      <c r="C12" s="24"/>
      <c r="D12" s="24"/>
      <c r="E12" s="24"/>
      <c r="F12" s="81"/>
      <c r="G12" s="8"/>
      <c r="H12" s="17">
        <v>7</v>
      </c>
      <c r="I12" s="18" t="str">
        <f t="shared" si="0"/>
        <v/>
      </c>
      <c r="J12" s="17">
        <f t="shared" si="3"/>
        <v>-1</v>
      </c>
      <c r="K12" s="17">
        <f t="shared" si="1"/>
        <v>-10</v>
      </c>
      <c r="L12" s="17"/>
      <c r="M12" s="18" t="str">
        <f t="shared" si="4"/>
        <v/>
      </c>
      <c r="Z12" s="28"/>
      <c r="AA12" s="28"/>
      <c r="AG12" s="29"/>
    </row>
    <row r="13" spans="1:34" ht="14.45" customHeight="1">
      <c r="A13" s="41">
        <f t="shared" si="2"/>
        <v>0</v>
      </c>
      <c r="B13" s="35"/>
      <c r="C13" s="25"/>
      <c r="D13" s="25"/>
      <c r="E13" s="25"/>
      <c r="F13" s="82"/>
      <c r="G13" s="8"/>
      <c r="H13" s="44">
        <v>8</v>
      </c>
      <c r="I13" s="45" t="str">
        <f t="shared" si="0"/>
        <v/>
      </c>
      <c r="J13" s="44">
        <f t="shared" si="3"/>
        <v>-1</v>
      </c>
      <c r="K13" s="44">
        <f t="shared" si="1"/>
        <v>-10</v>
      </c>
      <c r="L13" s="44"/>
      <c r="M13" s="45" t="str">
        <f t="shared" si="4"/>
        <v/>
      </c>
      <c r="X13" s="27"/>
      <c r="AG13" s="29"/>
    </row>
    <row r="14" spans="1:34">
      <c r="A14" s="42">
        <f t="shared" si="2"/>
        <v>0</v>
      </c>
      <c r="B14" s="36"/>
      <c r="C14" s="24"/>
      <c r="D14" s="24"/>
      <c r="E14" s="24"/>
      <c r="F14" s="81"/>
      <c r="G14" s="8"/>
      <c r="H14" s="17">
        <v>9</v>
      </c>
      <c r="I14" s="18" t="str">
        <f t="shared" si="0"/>
        <v/>
      </c>
      <c r="J14" s="17">
        <f t="shared" si="3"/>
        <v>-2</v>
      </c>
      <c r="K14" s="17">
        <f t="shared" si="1"/>
        <v>-20</v>
      </c>
      <c r="L14" s="17"/>
      <c r="M14" s="18" t="str">
        <f t="shared" si="4"/>
        <v/>
      </c>
      <c r="X14" s="31"/>
      <c r="Z14" s="28"/>
      <c r="AA14" s="28"/>
      <c r="AG14" s="29"/>
    </row>
    <row r="15" spans="1:34">
      <c r="A15" s="41">
        <f t="shared" si="2"/>
        <v>0</v>
      </c>
      <c r="B15" s="35"/>
      <c r="C15" s="25"/>
      <c r="D15" s="25"/>
      <c r="E15" s="25"/>
      <c r="F15" s="82"/>
      <c r="G15" s="8"/>
      <c r="H15" s="44">
        <v>10</v>
      </c>
      <c r="I15" s="45" t="str">
        <f t="shared" si="0"/>
        <v/>
      </c>
      <c r="J15" s="44">
        <f t="shared" si="3"/>
        <v>-2</v>
      </c>
      <c r="K15" s="44">
        <f t="shared" si="1"/>
        <v>-20</v>
      </c>
      <c r="L15" s="44"/>
      <c r="M15" s="45" t="str">
        <f t="shared" si="4"/>
        <v/>
      </c>
      <c r="X15" s="27"/>
      <c r="Z15" s="28"/>
      <c r="AA15" s="28"/>
    </row>
    <row r="16" spans="1:34">
      <c r="A16" s="42">
        <f t="shared" si="2"/>
        <v>0</v>
      </c>
      <c r="B16" s="36"/>
      <c r="C16" s="24"/>
      <c r="D16" s="24"/>
      <c r="E16" s="24"/>
      <c r="F16" s="81"/>
      <c r="G16" s="8"/>
      <c r="H16" s="17">
        <v>11</v>
      </c>
      <c r="I16" s="18" t="str">
        <f t="shared" si="0"/>
        <v/>
      </c>
      <c r="J16" s="17">
        <f t="shared" si="3"/>
        <v>-2</v>
      </c>
      <c r="K16" s="17">
        <f t="shared" si="1"/>
        <v>-20</v>
      </c>
      <c r="L16" s="17"/>
      <c r="M16" s="18" t="str">
        <f t="shared" si="4"/>
        <v/>
      </c>
      <c r="R16" s="49"/>
      <c r="Z16" s="28"/>
      <c r="AA16" s="28"/>
      <c r="AH16" s="33"/>
    </row>
    <row r="17" spans="1:19">
      <c r="A17" s="41">
        <f t="shared" si="2"/>
        <v>0</v>
      </c>
      <c r="B17" s="35"/>
      <c r="C17" s="25"/>
      <c r="D17" s="25"/>
      <c r="E17" s="25"/>
      <c r="F17" s="82"/>
      <c r="G17" s="8"/>
      <c r="H17" s="44">
        <v>12</v>
      </c>
      <c r="I17" s="45" t="str">
        <f t="shared" si="0"/>
        <v/>
      </c>
      <c r="J17" s="44">
        <f t="shared" si="3"/>
        <v>-2</v>
      </c>
      <c r="K17" s="44">
        <f t="shared" si="1"/>
        <v>-20</v>
      </c>
      <c r="L17" s="44"/>
      <c r="M17" s="45" t="str">
        <f t="shared" si="4"/>
        <v/>
      </c>
    </row>
    <row r="18" spans="1:19">
      <c r="A18" s="42">
        <f t="shared" si="2"/>
        <v>0</v>
      </c>
      <c r="B18" s="36"/>
      <c r="C18" s="24"/>
      <c r="D18" s="24"/>
      <c r="E18" s="24"/>
      <c r="F18" s="81"/>
      <c r="G18" s="8"/>
      <c r="H18" s="17">
        <v>13</v>
      </c>
      <c r="I18" s="18" t="str">
        <f t="shared" si="0"/>
        <v/>
      </c>
      <c r="J18" s="17">
        <f t="shared" si="3"/>
        <v>-2</v>
      </c>
      <c r="K18" s="17">
        <f t="shared" si="1"/>
        <v>-20</v>
      </c>
      <c r="L18" s="17"/>
      <c r="M18" s="18" t="str">
        <f t="shared" si="4"/>
        <v/>
      </c>
    </row>
    <row r="19" spans="1:19">
      <c r="A19" s="41">
        <f t="shared" si="2"/>
        <v>0</v>
      </c>
      <c r="B19" s="35"/>
      <c r="C19" s="25"/>
      <c r="D19" s="25"/>
      <c r="E19" s="25"/>
      <c r="F19" s="82"/>
      <c r="G19" s="8"/>
      <c r="H19" s="44">
        <v>14</v>
      </c>
      <c r="I19" s="45" t="str">
        <f t="shared" si="0"/>
        <v/>
      </c>
      <c r="J19" s="44">
        <f t="shared" si="3"/>
        <v>-2</v>
      </c>
      <c r="K19" s="44">
        <f t="shared" si="1"/>
        <v>-20</v>
      </c>
      <c r="L19" s="44"/>
      <c r="M19" s="45" t="str">
        <f t="shared" si="4"/>
        <v/>
      </c>
    </row>
    <row r="20" spans="1:19">
      <c r="A20" s="42">
        <f t="shared" si="2"/>
        <v>0</v>
      </c>
      <c r="B20" s="36"/>
      <c r="C20" s="24"/>
      <c r="D20" s="24"/>
      <c r="E20" s="24"/>
      <c r="F20" s="81"/>
      <c r="G20" s="8"/>
      <c r="H20" s="17">
        <v>15</v>
      </c>
      <c r="I20" s="18" t="str">
        <f t="shared" si="0"/>
        <v/>
      </c>
      <c r="J20" s="17">
        <f t="shared" si="3"/>
        <v>-2</v>
      </c>
      <c r="K20" s="17">
        <f t="shared" si="1"/>
        <v>-20</v>
      </c>
      <c r="L20" s="17"/>
      <c r="M20" s="18" t="str">
        <f t="shared" si="4"/>
        <v/>
      </c>
      <c r="R20" s="50"/>
      <c r="S20" s="34"/>
    </row>
    <row r="21" spans="1:19">
      <c r="A21" s="41">
        <f t="shared" si="2"/>
        <v>0</v>
      </c>
      <c r="B21" s="35"/>
      <c r="C21" s="25"/>
      <c r="D21" s="25"/>
      <c r="E21" s="25"/>
      <c r="F21" s="82"/>
      <c r="G21" s="8"/>
      <c r="H21" s="44">
        <v>16</v>
      </c>
      <c r="I21" s="45" t="str">
        <f t="shared" si="0"/>
        <v/>
      </c>
      <c r="J21" s="44">
        <f t="shared" si="3"/>
        <v>-2</v>
      </c>
      <c r="K21" s="44">
        <f t="shared" si="1"/>
        <v>-20</v>
      </c>
      <c r="L21" s="44"/>
      <c r="M21" s="45" t="str">
        <f t="shared" si="4"/>
        <v/>
      </c>
    </row>
    <row r="22" spans="1:19">
      <c r="A22" s="42">
        <f t="shared" si="2"/>
        <v>0</v>
      </c>
      <c r="B22" s="36"/>
      <c r="C22" s="24"/>
      <c r="D22" s="24"/>
      <c r="E22" s="24"/>
      <c r="F22" s="81"/>
      <c r="G22" s="8"/>
      <c r="H22" s="17">
        <v>17</v>
      </c>
      <c r="I22" s="18" t="str">
        <f t="shared" si="0"/>
        <v/>
      </c>
      <c r="J22" s="17">
        <f t="shared" si="3"/>
        <v>-3</v>
      </c>
      <c r="K22" s="17">
        <f t="shared" si="1"/>
        <v>-30</v>
      </c>
      <c r="L22" s="17"/>
      <c r="M22" s="18" t="str">
        <f t="shared" si="4"/>
        <v/>
      </c>
    </row>
    <row r="23" spans="1:19">
      <c r="A23" s="41">
        <f t="shared" si="2"/>
        <v>0</v>
      </c>
      <c r="B23" s="35"/>
      <c r="C23" s="25"/>
      <c r="D23" s="25"/>
      <c r="E23" s="25"/>
      <c r="F23" s="82"/>
      <c r="G23" s="8"/>
      <c r="H23" s="44">
        <v>18</v>
      </c>
      <c r="I23" s="45" t="str">
        <f t="shared" si="0"/>
        <v/>
      </c>
      <c r="J23" s="44">
        <f t="shared" si="3"/>
        <v>-3</v>
      </c>
      <c r="K23" s="44">
        <f t="shared" si="1"/>
        <v>-30</v>
      </c>
      <c r="L23" s="44"/>
      <c r="M23" s="45" t="str">
        <f t="shared" si="4"/>
        <v/>
      </c>
    </row>
    <row r="24" spans="1:19">
      <c r="A24" s="42">
        <f t="shared" si="2"/>
        <v>0</v>
      </c>
      <c r="B24" s="36"/>
      <c r="C24" s="24"/>
      <c r="D24" s="24"/>
      <c r="E24" s="24"/>
      <c r="F24" s="81"/>
      <c r="G24" s="8"/>
      <c r="H24" s="17">
        <v>19</v>
      </c>
      <c r="I24" s="18" t="str">
        <f t="shared" si="0"/>
        <v/>
      </c>
      <c r="J24" s="17">
        <f t="shared" si="3"/>
        <v>-3</v>
      </c>
      <c r="K24" s="17">
        <f t="shared" si="1"/>
        <v>-30</v>
      </c>
      <c r="L24" s="17"/>
      <c r="M24" s="18" t="str">
        <f t="shared" si="4"/>
        <v/>
      </c>
      <c r="R24" s="50"/>
      <c r="S24" s="34"/>
    </row>
    <row r="25" spans="1:19">
      <c r="A25" s="41">
        <f t="shared" si="2"/>
        <v>0</v>
      </c>
      <c r="B25" s="35"/>
      <c r="C25" s="25"/>
      <c r="D25" s="25"/>
      <c r="E25" s="25"/>
      <c r="F25" s="82"/>
      <c r="G25" s="8"/>
      <c r="H25" s="44">
        <v>20</v>
      </c>
      <c r="I25" s="45" t="str">
        <f t="shared" si="0"/>
        <v/>
      </c>
      <c r="J25" s="44">
        <f t="shared" si="3"/>
        <v>-3</v>
      </c>
      <c r="K25" s="44">
        <f t="shared" si="1"/>
        <v>-30</v>
      </c>
      <c r="L25" s="44"/>
      <c r="M25" s="45" t="str">
        <f t="shared" si="4"/>
        <v/>
      </c>
    </row>
    <row r="26" spans="1:19">
      <c r="A26" s="42">
        <f t="shared" si="2"/>
        <v>0</v>
      </c>
      <c r="B26" s="36"/>
      <c r="C26" s="24"/>
      <c r="D26" s="24"/>
      <c r="E26" s="24"/>
      <c r="F26" s="81"/>
      <c r="G26" s="8"/>
      <c r="H26" s="17">
        <v>21</v>
      </c>
      <c r="I26" s="18" t="str">
        <f t="shared" si="0"/>
        <v/>
      </c>
      <c r="J26" s="17">
        <f t="shared" si="3"/>
        <v>-3</v>
      </c>
      <c r="K26" s="17">
        <f t="shared" si="1"/>
        <v>-30</v>
      </c>
      <c r="L26" s="17"/>
      <c r="M26" s="18" t="str">
        <f t="shared" si="4"/>
        <v/>
      </c>
    </row>
    <row r="27" spans="1:19">
      <c r="A27" s="41">
        <f t="shared" si="2"/>
        <v>0</v>
      </c>
      <c r="B27" s="35"/>
      <c r="C27" s="25"/>
      <c r="D27" s="25"/>
      <c r="E27" s="25"/>
      <c r="F27" s="82"/>
      <c r="G27" s="8"/>
      <c r="H27" s="44">
        <v>22</v>
      </c>
      <c r="I27" s="45" t="str">
        <f t="shared" si="0"/>
        <v/>
      </c>
      <c r="J27" s="44">
        <f t="shared" si="3"/>
        <v>-3</v>
      </c>
      <c r="K27" s="44">
        <f t="shared" si="1"/>
        <v>-30</v>
      </c>
      <c r="L27" s="44"/>
      <c r="M27" s="45" t="str">
        <f t="shared" si="4"/>
        <v/>
      </c>
    </row>
    <row r="28" spans="1:19">
      <c r="A28" s="42">
        <f t="shared" si="2"/>
        <v>0</v>
      </c>
      <c r="B28" s="36"/>
      <c r="C28" s="24"/>
      <c r="D28" s="24"/>
      <c r="E28" s="24"/>
      <c r="F28" s="81"/>
      <c r="G28" s="8"/>
      <c r="H28" s="17">
        <v>23</v>
      </c>
      <c r="I28" s="18" t="str">
        <f t="shared" si="0"/>
        <v/>
      </c>
      <c r="J28" s="17">
        <f t="shared" si="3"/>
        <v>-3</v>
      </c>
      <c r="K28" s="17">
        <f t="shared" si="1"/>
        <v>-30</v>
      </c>
      <c r="L28" s="17"/>
      <c r="M28" s="18" t="str">
        <f t="shared" si="4"/>
        <v/>
      </c>
      <c r="R28" s="50"/>
      <c r="S28" s="34"/>
    </row>
    <row r="29" spans="1:19">
      <c r="A29" s="41">
        <f t="shared" si="2"/>
        <v>0</v>
      </c>
      <c r="B29" s="35"/>
      <c r="C29" s="25"/>
      <c r="D29" s="25"/>
      <c r="E29" s="25"/>
      <c r="F29" s="82"/>
      <c r="G29" s="5"/>
      <c r="H29" s="44">
        <v>24</v>
      </c>
      <c r="I29" s="45" t="str">
        <f t="shared" si="0"/>
        <v/>
      </c>
      <c r="J29" s="44">
        <f t="shared" si="3"/>
        <v>-3</v>
      </c>
      <c r="K29" s="44">
        <f t="shared" si="1"/>
        <v>-30</v>
      </c>
      <c r="L29" s="44"/>
      <c r="M29" s="45" t="str">
        <f t="shared" si="4"/>
        <v/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ref="F30:F38" si="5">M30</f>
        <v/>
      </c>
      <c r="G30" s="5"/>
      <c r="H30" s="17">
        <v>25</v>
      </c>
      <c r="I30" s="18" t="str">
        <f t="shared" si="0"/>
        <v/>
      </c>
      <c r="J30" s="17">
        <f t="shared" si="3"/>
        <v>-3</v>
      </c>
      <c r="K30" s="17">
        <f t="shared" si="1"/>
        <v>-30</v>
      </c>
      <c r="L30" s="17"/>
      <c r="M30" s="18" t="str">
        <f t="shared" si="4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5"/>
        <v/>
      </c>
      <c r="G31" s="5"/>
      <c r="H31" s="44">
        <v>26</v>
      </c>
      <c r="I31" s="45" t="str">
        <f t="shared" si="0"/>
        <v/>
      </c>
      <c r="J31" s="44">
        <f t="shared" si="3"/>
        <v>-3</v>
      </c>
      <c r="K31" s="44">
        <f t="shared" si="1"/>
        <v>-30</v>
      </c>
      <c r="L31" s="44"/>
      <c r="M31" s="45" t="str">
        <f t="shared" si="4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5"/>
        <v/>
      </c>
      <c r="G32" s="5"/>
      <c r="H32" s="17">
        <v>27</v>
      </c>
      <c r="I32" s="18" t="str">
        <f t="shared" si="0"/>
        <v/>
      </c>
      <c r="J32" s="17">
        <f t="shared" si="3"/>
        <v>-3</v>
      </c>
      <c r="K32" s="17">
        <f t="shared" si="1"/>
        <v>-30</v>
      </c>
      <c r="L32" s="17"/>
      <c r="M32" s="18" t="str">
        <f t="shared" si="4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6">IF(H33&gt;$H$2,"",(ROW()-5))</f>
        <v/>
      </c>
      <c r="C33" s="25"/>
      <c r="D33" s="25"/>
      <c r="E33" s="25"/>
      <c r="F33" s="25" t="str">
        <f t="shared" si="5"/>
        <v/>
      </c>
      <c r="G33" s="5"/>
      <c r="H33" s="44">
        <v>28</v>
      </c>
      <c r="I33" s="45" t="str">
        <f t="shared" si="0"/>
        <v/>
      </c>
      <c r="J33" s="44">
        <f t="shared" si="3"/>
        <v>-3</v>
      </c>
      <c r="K33" s="44">
        <f t="shared" si="1"/>
        <v>-30</v>
      </c>
      <c r="L33" s="44"/>
      <c r="M33" s="46" t="str">
        <f t="shared" si="4"/>
        <v/>
      </c>
    </row>
    <row r="34" spans="1:19">
      <c r="A34" s="42" t="str">
        <f t="shared" si="2"/>
        <v/>
      </c>
      <c r="B34" s="36" t="str">
        <f t="shared" si="6"/>
        <v/>
      </c>
      <c r="C34" s="24"/>
      <c r="D34" s="24"/>
      <c r="E34" s="24"/>
      <c r="F34" s="24" t="str">
        <f t="shared" si="5"/>
        <v/>
      </c>
      <c r="G34" s="5"/>
      <c r="H34" s="17">
        <v>29</v>
      </c>
      <c r="I34" s="18" t="str">
        <f t="shared" si="0"/>
        <v/>
      </c>
      <c r="J34" s="17">
        <f t="shared" si="3"/>
        <v>-3</v>
      </c>
      <c r="K34" s="17">
        <f t="shared" si="1"/>
        <v>-30</v>
      </c>
      <c r="L34" s="17"/>
      <c r="M34" s="19" t="str">
        <f t="shared" si="4"/>
        <v/>
      </c>
    </row>
    <row r="35" spans="1:19">
      <c r="A35" s="41" t="str">
        <f t="shared" si="2"/>
        <v/>
      </c>
      <c r="B35" s="35" t="str">
        <f t="shared" si="6"/>
        <v/>
      </c>
      <c r="C35" s="25"/>
      <c r="D35" s="25"/>
      <c r="E35" s="25"/>
      <c r="F35" s="25" t="str">
        <f t="shared" si="5"/>
        <v/>
      </c>
      <c r="G35" s="5"/>
      <c r="H35" s="44">
        <v>30</v>
      </c>
      <c r="I35" s="45" t="str">
        <f t="shared" si="0"/>
        <v/>
      </c>
      <c r="J35" s="44">
        <f t="shared" si="3"/>
        <v>-3</v>
      </c>
      <c r="K35" s="44">
        <f t="shared" si="1"/>
        <v>-30</v>
      </c>
      <c r="L35" s="44"/>
      <c r="M35" s="46" t="str">
        <f t="shared" si="4"/>
        <v/>
      </c>
    </row>
    <row r="36" spans="1:19">
      <c r="A36" s="42" t="str">
        <f t="shared" si="2"/>
        <v/>
      </c>
      <c r="B36" s="36" t="str">
        <f t="shared" si="6"/>
        <v/>
      </c>
      <c r="C36" s="24"/>
      <c r="D36" s="24"/>
      <c r="E36" s="24"/>
      <c r="F36" s="24" t="str">
        <f t="shared" si="5"/>
        <v/>
      </c>
      <c r="G36" s="5"/>
      <c r="H36" s="17">
        <v>31</v>
      </c>
      <c r="I36" s="18" t="str">
        <f t="shared" si="0"/>
        <v/>
      </c>
      <c r="J36" s="17">
        <f t="shared" si="3"/>
        <v>-3</v>
      </c>
      <c r="K36" s="17">
        <f t="shared" si="1"/>
        <v>-30</v>
      </c>
      <c r="L36" s="17"/>
      <c r="M36" s="19" t="str">
        <f t="shared" si="4"/>
        <v/>
      </c>
      <c r="R36" s="50"/>
      <c r="S36" s="34"/>
    </row>
    <row r="37" spans="1:19">
      <c r="A37" s="41" t="str">
        <f t="shared" si="2"/>
        <v/>
      </c>
      <c r="B37" s="35" t="str">
        <f t="shared" si="6"/>
        <v/>
      </c>
      <c r="C37" s="25"/>
      <c r="D37" s="25"/>
      <c r="E37" s="25"/>
      <c r="F37" s="25" t="str">
        <f t="shared" si="5"/>
        <v/>
      </c>
      <c r="G37" s="5"/>
      <c r="H37" s="44">
        <v>32</v>
      </c>
      <c r="I37" s="45" t="str">
        <f t="shared" si="0"/>
        <v/>
      </c>
      <c r="J37" s="44">
        <f t="shared" si="3"/>
        <v>-3</v>
      </c>
      <c r="K37" s="44">
        <f t="shared" si="1"/>
        <v>-30</v>
      </c>
      <c r="L37" s="44"/>
      <c r="M37" s="46" t="str">
        <f t="shared" si="4"/>
        <v/>
      </c>
    </row>
    <row r="38" spans="1:19">
      <c r="A38" s="42" t="str">
        <f t="shared" si="2"/>
        <v/>
      </c>
      <c r="B38" s="36" t="str">
        <f t="shared" si="6"/>
        <v/>
      </c>
      <c r="C38" s="24"/>
      <c r="D38" s="24"/>
      <c r="E38" s="24"/>
      <c r="F38" s="24" t="str">
        <f t="shared" si="5"/>
        <v/>
      </c>
      <c r="G38" s="5"/>
      <c r="H38" s="17">
        <v>33</v>
      </c>
      <c r="I38" s="18" t="str">
        <f t="shared" si="0"/>
        <v/>
      </c>
      <c r="J38" s="17">
        <f t="shared" si="3"/>
        <v>-4</v>
      </c>
      <c r="K38" s="17">
        <f t="shared" si="1"/>
        <v>-40</v>
      </c>
      <c r="L38" s="17"/>
      <c r="M38" s="19" t="str">
        <f t="shared" si="4"/>
        <v/>
      </c>
    </row>
    <row r="39" spans="1:19">
      <c r="A39" s="41">
        <f t="shared" si="2"/>
        <v>0</v>
      </c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3"/>
        <v>-4</v>
      </c>
      <c r="K39" s="44">
        <f t="shared" si="1"/>
        <v>-40</v>
      </c>
      <c r="L39" s="44"/>
      <c r="M39" s="46" t="str">
        <f t="shared" si="4"/>
        <v/>
      </c>
    </row>
    <row r="40" spans="1:19">
      <c r="A40" s="42">
        <f t="shared" si="2"/>
        <v>0</v>
      </c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3"/>
        <v>-4</v>
      </c>
      <c r="K40" s="17">
        <f t="shared" si="1"/>
        <v>-40</v>
      </c>
      <c r="L40" s="17"/>
      <c r="M40" s="19" t="str">
        <f t="shared" si="4"/>
        <v/>
      </c>
    </row>
    <row r="41" spans="1:19">
      <c r="A41" s="41">
        <f t="shared" si="2"/>
        <v>0</v>
      </c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3"/>
        <v>-4</v>
      </c>
      <c r="K41" s="44">
        <f t="shared" si="1"/>
        <v>-40</v>
      </c>
      <c r="L41" s="44"/>
      <c r="M41" s="46" t="str">
        <f t="shared" si="4"/>
        <v/>
      </c>
      <c r="S41" s="32"/>
    </row>
    <row r="42" spans="1:19">
      <c r="A42" s="42">
        <f t="shared" si="2"/>
        <v>0</v>
      </c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3"/>
        <v>-4</v>
      </c>
      <c r="K42" s="17">
        <f t="shared" si="1"/>
        <v>-40</v>
      </c>
      <c r="L42" s="17"/>
      <c r="M42" s="19" t="str">
        <f t="shared" si="4"/>
        <v/>
      </c>
    </row>
    <row r="43" spans="1:19">
      <c r="A43" s="41">
        <f t="shared" si="2"/>
        <v>0</v>
      </c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3"/>
        <v>-4</v>
      </c>
      <c r="K43" s="44">
        <f t="shared" si="1"/>
        <v>-40</v>
      </c>
      <c r="L43" s="44"/>
      <c r="M43" s="46" t="str">
        <f t="shared" si="4"/>
        <v/>
      </c>
    </row>
    <row r="44" spans="1:19">
      <c r="A44" s="42">
        <f t="shared" si="2"/>
        <v>0</v>
      </c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3"/>
        <v>-4</v>
      </c>
      <c r="K44" s="17">
        <f t="shared" si="1"/>
        <v>-40</v>
      </c>
      <c r="L44" s="17"/>
      <c r="M44" s="19" t="str">
        <f t="shared" si="4"/>
        <v/>
      </c>
    </row>
    <row r="45" spans="1:19">
      <c r="A45" s="41">
        <f t="shared" si="2"/>
        <v>0</v>
      </c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3"/>
        <v>-4</v>
      </c>
      <c r="K45" s="44">
        <f t="shared" si="1"/>
        <v>-40</v>
      </c>
      <c r="L45" s="44"/>
      <c r="M45" s="46" t="str">
        <f t="shared" si="4"/>
        <v/>
      </c>
    </row>
    <row r="46" spans="1:19">
      <c r="A46" s="42">
        <f t="shared" si="2"/>
        <v>0</v>
      </c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3"/>
        <v>-4</v>
      </c>
      <c r="K46" s="17">
        <f t="shared" si="1"/>
        <v>-40</v>
      </c>
      <c r="L46" s="17"/>
      <c r="M46" s="19" t="str">
        <f t="shared" si="4"/>
        <v/>
      </c>
    </row>
    <row r="47" spans="1:19">
      <c r="A47" s="41">
        <f t="shared" si="2"/>
        <v>0</v>
      </c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3"/>
        <v>-4</v>
      </c>
      <c r="K47" s="44">
        <f t="shared" si="1"/>
        <v>-40</v>
      </c>
      <c r="L47" s="44"/>
      <c r="M47" s="46" t="str">
        <f t="shared" si="4"/>
        <v/>
      </c>
    </row>
    <row r="48" spans="1:19">
      <c r="A48" s="42">
        <f t="shared" si="2"/>
        <v>0</v>
      </c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3"/>
        <v>-4</v>
      </c>
      <c r="K48" s="17">
        <f t="shared" si="1"/>
        <v>-40</v>
      </c>
      <c r="L48" s="17"/>
      <c r="M48" s="19" t="str">
        <f t="shared" si="4"/>
        <v/>
      </c>
    </row>
    <row r="49" spans="1:13">
      <c r="A49" s="41">
        <f t="shared" si="2"/>
        <v>0</v>
      </c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3"/>
        <v>-4</v>
      </c>
      <c r="K49" s="44">
        <f t="shared" si="1"/>
        <v>-40</v>
      </c>
      <c r="L49" s="44"/>
      <c r="M49" s="46" t="str">
        <f t="shared" si="4"/>
        <v/>
      </c>
    </row>
    <row r="50" spans="1:13">
      <c r="A50" s="42">
        <f t="shared" si="2"/>
        <v>0</v>
      </c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3"/>
        <v>-4</v>
      </c>
      <c r="K50" s="17">
        <f t="shared" si="1"/>
        <v>-40</v>
      </c>
      <c r="L50" s="17"/>
      <c r="M50" s="19" t="str">
        <f t="shared" si="4"/>
        <v/>
      </c>
    </row>
    <row r="51" spans="1:13">
      <c r="A51" s="41">
        <f t="shared" si="2"/>
        <v>0</v>
      </c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3"/>
        <v>-4</v>
      </c>
      <c r="K51" s="44">
        <f t="shared" si="1"/>
        <v>-40</v>
      </c>
      <c r="L51" s="44"/>
      <c r="M51" s="46" t="str">
        <f t="shared" si="4"/>
        <v/>
      </c>
    </row>
    <row r="52" spans="1:13">
      <c r="A52" s="42">
        <f t="shared" si="2"/>
        <v>0</v>
      </c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3"/>
        <v>-4</v>
      </c>
      <c r="K52" s="17">
        <f t="shared" si="1"/>
        <v>-40</v>
      </c>
      <c r="L52" s="17"/>
      <c r="M52" s="19" t="str">
        <f t="shared" si="4"/>
        <v/>
      </c>
    </row>
    <row r="53" spans="1:13">
      <c r="A53" s="41">
        <f t="shared" si="2"/>
        <v>0</v>
      </c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3"/>
        <v>-4</v>
      </c>
      <c r="K53" s="44">
        <f t="shared" si="1"/>
        <v>-40</v>
      </c>
      <c r="L53" s="44"/>
      <c r="M53" s="46" t="str">
        <f t="shared" si="4"/>
        <v/>
      </c>
    </row>
    <row r="54" spans="1:13">
      <c r="A54" s="42">
        <f t="shared" si="2"/>
        <v>0</v>
      </c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3"/>
        <v>-4</v>
      </c>
      <c r="K54" s="17">
        <f t="shared" si="1"/>
        <v>-40</v>
      </c>
      <c r="L54" s="17"/>
      <c r="M54" s="19" t="str">
        <f t="shared" si="4"/>
        <v/>
      </c>
    </row>
    <row r="55" spans="1:13">
      <c r="A55" s="41">
        <f t="shared" si="2"/>
        <v>0</v>
      </c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3"/>
        <v>-4</v>
      </c>
      <c r="K55" s="44">
        <f t="shared" si="1"/>
        <v>-40</v>
      </c>
      <c r="L55" s="44"/>
      <c r="M55" s="46" t="str">
        <f t="shared" si="4"/>
        <v/>
      </c>
    </row>
    <row r="56" spans="1:13">
      <c r="A56" s="42">
        <f t="shared" si="2"/>
        <v>0</v>
      </c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3"/>
        <v>-4</v>
      </c>
      <c r="K56" s="17">
        <f t="shared" si="1"/>
        <v>-40</v>
      </c>
      <c r="L56" s="17"/>
      <c r="M56" s="19" t="str">
        <f t="shared" si="4"/>
        <v/>
      </c>
    </row>
    <row r="57" spans="1:13">
      <c r="A57" s="41">
        <f t="shared" si="2"/>
        <v>0</v>
      </c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3"/>
        <v>-4</v>
      </c>
      <c r="K57" s="44">
        <f t="shared" si="1"/>
        <v>-40</v>
      </c>
      <c r="L57" s="44"/>
      <c r="M57" s="46" t="str">
        <f t="shared" si="4"/>
        <v/>
      </c>
    </row>
    <row r="58" spans="1:13">
      <c r="A58" s="42">
        <f t="shared" si="2"/>
        <v>0</v>
      </c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3"/>
        <v>-4</v>
      </c>
      <c r="K58" s="17">
        <f t="shared" si="1"/>
        <v>-40</v>
      </c>
      <c r="L58" s="17"/>
      <c r="M58" s="19" t="str">
        <f t="shared" si="4"/>
        <v/>
      </c>
    </row>
    <row r="59" spans="1:13">
      <c r="A59" s="41">
        <f t="shared" si="2"/>
        <v>0</v>
      </c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3"/>
        <v>-4</v>
      </c>
      <c r="K59" s="44">
        <f t="shared" si="1"/>
        <v>-40</v>
      </c>
      <c r="L59" s="44"/>
      <c r="M59" s="46" t="str">
        <f t="shared" si="4"/>
        <v/>
      </c>
    </row>
    <row r="60" spans="1:13">
      <c r="A60" s="42">
        <f t="shared" si="2"/>
        <v>0</v>
      </c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3"/>
        <v>-4</v>
      </c>
      <c r="K60" s="17">
        <f t="shared" si="1"/>
        <v>-40</v>
      </c>
      <c r="L60" s="17"/>
      <c r="M60" s="19" t="str">
        <f t="shared" si="4"/>
        <v/>
      </c>
    </row>
    <row r="61" spans="1:13">
      <c r="A61" s="41">
        <f t="shared" si="2"/>
        <v>0</v>
      </c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3"/>
        <v>-4</v>
      </c>
      <c r="K61" s="44">
        <f t="shared" si="1"/>
        <v>-40</v>
      </c>
      <c r="L61" s="44"/>
      <c r="M61" s="46" t="str">
        <f t="shared" si="4"/>
        <v/>
      </c>
    </row>
    <row r="62" spans="1:13">
      <c r="A62" s="42">
        <f t="shared" si="2"/>
        <v>0</v>
      </c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3"/>
        <v>-4</v>
      </c>
      <c r="K62" s="17">
        <f t="shared" si="1"/>
        <v>-40</v>
      </c>
      <c r="L62" s="17"/>
      <c r="M62" s="19" t="str">
        <f t="shared" si="4"/>
        <v/>
      </c>
    </row>
    <row r="63" spans="1:13">
      <c r="A63" s="41">
        <f t="shared" si="2"/>
        <v>0</v>
      </c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3"/>
        <v>-4</v>
      </c>
      <c r="K63" s="44">
        <f t="shared" si="1"/>
        <v>-40</v>
      </c>
      <c r="L63" s="44"/>
      <c r="M63" s="46" t="str">
        <f t="shared" si="4"/>
        <v/>
      </c>
    </row>
    <row r="64" spans="1:13">
      <c r="A64" s="42">
        <f t="shared" si="2"/>
        <v>0</v>
      </c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3"/>
        <v>-4</v>
      </c>
      <c r="K64" s="17">
        <f t="shared" si="1"/>
        <v>-40</v>
      </c>
      <c r="L64" s="17"/>
      <c r="M64" s="19" t="str">
        <f t="shared" si="4"/>
        <v/>
      </c>
    </row>
    <row r="65" spans="1:13">
      <c r="A65" s="41">
        <f t="shared" si="2"/>
        <v>0</v>
      </c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3"/>
        <v>-4</v>
      </c>
      <c r="K65" s="44">
        <f t="shared" si="1"/>
        <v>-40</v>
      </c>
      <c r="L65" s="44"/>
      <c r="M65" s="46" t="str">
        <f t="shared" si="4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3"/>
        <v>-4</v>
      </c>
      <c r="K66" s="17">
        <f t="shared" si="1"/>
        <v>-40</v>
      </c>
      <c r="L66" s="17"/>
      <c r="M66" s="19" t="str">
        <f t="shared" si="4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3"/>
        <v>-4</v>
      </c>
      <c r="K67" s="17">
        <f t="shared" si="1"/>
        <v>-40</v>
      </c>
      <c r="L67" s="17"/>
      <c r="M67" s="19" t="str">
        <f t="shared" si="4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3"/>
        <v>-4</v>
      </c>
      <c r="K68" s="17">
        <f t="shared" si="1"/>
        <v>-40</v>
      </c>
      <c r="L68" s="17"/>
      <c r="M68" s="19" t="str">
        <f t="shared" si="4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3"/>
        <v>-4</v>
      </c>
      <c r="K69" s="17">
        <f t="shared" si="1"/>
        <v>-40</v>
      </c>
      <c r="L69" s="17"/>
      <c r="M69" s="19" t="str">
        <f t="shared" si="4"/>
        <v/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3"/>
        <v>-5</v>
      </c>
      <c r="K70" s="17">
        <f t="shared" ref="K70:K133" si="8">J70*$J$2</f>
        <v>-50</v>
      </c>
      <c r="L70" s="17"/>
      <c r="M70" s="19" t="str">
        <f t="shared" si="4"/>
        <v/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9">INT(LOG($H$2,2))-ROUNDUP(LOG(H71,2),0)+IF(OR($H$2=1,$H$2=2,$H$2=4,$H$2=8,$H$2=16,$H$2=32,$H$2=64,$H$2=128,$H$2=256),0,1)</f>
        <v>-5</v>
      </c>
      <c r="K71" s="17">
        <f t="shared" si="8"/>
        <v>-50</v>
      </c>
      <c r="L71" s="17"/>
      <c r="M71" s="19" t="str">
        <f t="shared" ref="M71:M134" si="10">IF(I71&lt;&gt;"",K71+I71+L71,"")</f>
        <v/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9"/>
        <v>-5</v>
      </c>
      <c r="K72" s="17">
        <f t="shared" si="8"/>
        <v>-50</v>
      </c>
      <c r="L72" s="17"/>
      <c r="M72" s="19" t="str">
        <f t="shared" si="10"/>
        <v/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9"/>
        <v>-5</v>
      </c>
      <c r="K73" s="17">
        <f t="shared" si="8"/>
        <v>-50</v>
      </c>
      <c r="L73" s="17"/>
      <c r="M73" s="19" t="str">
        <f t="shared" si="10"/>
        <v/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9"/>
        <v>-5</v>
      </c>
      <c r="K74" s="17">
        <f t="shared" si="8"/>
        <v>-50</v>
      </c>
      <c r="L74" s="17"/>
      <c r="M74" s="19" t="str">
        <f t="shared" si="10"/>
        <v/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9"/>
        <v>-5</v>
      </c>
      <c r="K75" s="17">
        <f t="shared" si="8"/>
        <v>-50</v>
      </c>
      <c r="L75" s="17"/>
      <c r="M75" s="19" t="str">
        <f t="shared" si="10"/>
        <v/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9"/>
        <v>-5</v>
      </c>
      <c r="K76" s="17">
        <f t="shared" si="8"/>
        <v>-50</v>
      </c>
      <c r="L76" s="17"/>
      <c r="M76" s="19" t="str">
        <f t="shared" si="10"/>
        <v/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9"/>
        <v>-5</v>
      </c>
      <c r="K77" s="17">
        <f t="shared" si="8"/>
        <v>-50</v>
      </c>
      <c r="L77" s="17"/>
      <c r="M77" s="19" t="str">
        <f t="shared" si="10"/>
        <v/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9"/>
        <v>-5</v>
      </c>
      <c r="K78" s="17">
        <f t="shared" si="8"/>
        <v>-50</v>
      </c>
      <c r="L78" s="17"/>
      <c r="M78" s="19" t="str">
        <f t="shared" si="10"/>
        <v/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9"/>
        <v>-5</v>
      </c>
      <c r="K79" s="17">
        <f t="shared" si="8"/>
        <v>-50</v>
      </c>
      <c r="L79" s="17"/>
      <c r="M79" s="19" t="str">
        <f t="shared" si="10"/>
        <v/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9"/>
        <v>-5</v>
      </c>
      <c r="K80" s="17">
        <f t="shared" si="8"/>
        <v>-50</v>
      </c>
      <c r="L80" s="17"/>
      <c r="M80" s="19" t="str">
        <f t="shared" si="10"/>
        <v/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9"/>
        <v>-5</v>
      </c>
      <c r="K81" s="17">
        <f t="shared" si="8"/>
        <v>-50</v>
      </c>
      <c r="L81" s="17"/>
      <c r="M81" s="19" t="str">
        <f t="shared" si="10"/>
        <v/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9"/>
        <v>-5</v>
      </c>
      <c r="K82" s="17">
        <f t="shared" si="8"/>
        <v>-50</v>
      </c>
      <c r="L82" s="17"/>
      <c r="M82" s="19" t="str">
        <f t="shared" si="10"/>
        <v/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9"/>
        <v>-5</v>
      </c>
      <c r="K83" s="17">
        <f t="shared" si="8"/>
        <v>-50</v>
      </c>
      <c r="L83" s="17"/>
      <c r="M83" s="19" t="str">
        <f t="shared" si="10"/>
        <v/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9"/>
        <v>-5</v>
      </c>
      <c r="K84" s="17">
        <f t="shared" si="8"/>
        <v>-50</v>
      </c>
      <c r="L84" s="17"/>
      <c r="M84" s="19" t="str">
        <f t="shared" si="10"/>
        <v/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9"/>
        <v>-5</v>
      </c>
      <c r="K85" s="17">
        <f t="shared" si="8"/>
        <v>-50</v>
      </c>
      <c r="L85" s="17"/>
      <c r="M85" s="19" t="str">
        <f t="shared" si="10"/>
        <v/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9"/>
        <v>-5</v>
      </c>
      <c r="K86" s="17">
        <f t="shared" si="8"/>
        <v>-50</v>
      </c>
      <c r="L86" s="17"/>
      <c r="M86" s="19" t="str">
        <f t="shared" si="10"/>
        <v/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9"/>
        <v>-5</v>
      </c>
      <c r="K87" s="17">
        <f t="shared" si="8"/>
        <v>-50</v>
      </c>
      <c r="L87" s="17"/>
      <c r="M87" s="19" t="str">
        <f t="shared" si="10"/>
        <v/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9"/>
        <v>-5</v>
      </c>
      <c r="K88" s="17">
        <f t="shared" si="8"/>
        <v>-50</v>
      </c>
      <c r="L88" s="17"/>
      <c r="M88" s="19" t="str">
        <f t="shared" si="10"/>
        <v/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9"/>
        <v>-5</v>
      </c>
      <c r="K89" s="17">
        <f t="shared" si="8"/>
        <v>-50</v>
      </c>
      <c r="L89" s="17"/>
      <c r="M89" s="19" t="str">
        <f t="shared" si="10"/>
        <v/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9"/>
        <v>-5</v>
      </c>
      <c r="K90" s="17">
        <f t="shared" si="8"/>
        <v>-50</v>
      </c>
      <c r="L90" s="17"/>
      <c r="M90" s="19" t="str">
        <f t="shared" si="10"/>
        <v/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9"/>
        <v>-5</v>
      </c>
      <c r="K91" s="17">
        <f t="shared" si="8"/>
        <v>-50</v>
      </c>
      <c r="L91" s="17"/>
      <c r="M91" s="19" t="str">
        <f t="shared" si="10"/>
        <v/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9"/>
        <v>-5</v>
      </c>
      <c r="K92" s="17">
        <f t="shared" si="8"/>
        <v>-50</v>
      </c>
      <c r="L92" s="17"/>
      <c r="M92" s="19" t="str">
        <f t="shared" si="10"/>
        <v/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9"/>
        <v>-5</v>
      </c>
      <c r="K93" s="17">
        <f t="shared" si="8"/>
        <v>-50</v>
      </c>
      <c r="L93" s="17"/>
      <c r="M93" s="19" t="str">
        <f t="shared" si="10"/>
        <v/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9"/>
        <v>-5</v>
      </c>
      <c r="K94" s="17">
        <f t="shared" si="8"/>
        <v>-50</v>
      </c>
      <c r="L94" s="17"/>
      <c r="M94" s="19" t="str">
        <f t="shared" si="10"/>
        <v/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9"/>
        <v>-5</v>
      </c>
      <c r="K95" s="17">
        <f t="shared" si="8"/>
        <v>-50</v>
      </c>
      <c r="L95" s="17"/>
      <c r="M95" s="19" t="str">
        <f t="shared" si="10"/>
        <v/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9"/>
        <v>-5</v>
      </c>
      <c r="K96" s="17">
        <f t="shared" si="8"/>
        <v>-50</v>
      </c>
      <c r="L96" s="17"/>
      <c r="M96" s="19" t="str">
        <f t="shared" si="10"/>
        <v/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9"/>
        <v>-5</v>
      </c>
      <c r="K97" s="17">
        <f t="shared" si="8"/>
        <v>-50</v>
      </c>
      <c r="L97" s="17"/>
      <c r="M97" s="19" t="str">
        <f t="shared" si="10"/>
        <v/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9"/>
        <v>-5</v>
      </c>
      <c r="K98" s="17">
        <f t="shared" si="8"/>
        <v>-50</v>
      </c>
      <c r="L98" s="17"/>
      <c r="M98" s="19" t="str">
        <f t="shared" si="10"/>
        <v/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9"/>
        <v>-5</v>
      </c>
      <c r="K99" s="17">
        <f t="shared" si="8"/>
        <v>-50</v>
      </c>
      <c r="L99" s="17"/>
      <c r="M99" s="19" t="str">
        <f t="shared" si="10"/>
        <v/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9"/>
        <v>-5</v>
      </c>
      <c r="K100" s="17">
        <f t="shared" si="8"/>
        <v>-50</v>
      </c>
      <c r="L100" s="17"/>
      <c r="M100" s="19" t="str">
        <f t="shared" si="10"/>
        <v/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9"/>
        <v>-5</v>
      </c>
      <c r="K101" s="17">
        <f t="shared" si="8"/>
        <v>-50</v>
      </c>
      <c r="L101" s="17"/>
      <c r="M101" s="19" t="str">
        <f t="shared" si="10"/>
        <v/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9"/>
        <v>-5</v>
      </c>
      <c r="K102" s="17">
        <f t="shared" si="8"/>
        <v>-50</v>
      </c>
      <c r="L102" s="17"/>
      <c r="M102" s="19" t="str">
        <f t="shared" si="10"/>
        <v/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9"/>
        <v>-5</v>
      </c>
      <c r="K103" s="17">
        <f t="shared" si="8"/>
        <v>-50</v>
      </c>
      <c r="L103" s="17"/>
      <c r="M103" s="19" t="str">
        <f t="shared" si="10"/>
        <v/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9"/>
        <v>-5</v>
      </c>
      <c r="K104" s="17">
        <f t="shared" si="8"/>
        <v>-50</v>
      </c>
      <c r="L104" s="17"/>
      <c r="M104" s="19" t="str">
        <f t="shared" si="10"/>
        <v/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9"/>
        <v>-5</v>
      </c>
      <c r="K105" s="17">
        <f t="shared" si="8"/>
        <v>-50</v>
      </c>
      <c r="L105" s="17"/>
      <c r="M105" s="19" t="str">
        <f t="shared" si="10"/>
        <v/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9"/>
        <v>-5</v>
      </c>
      <c r="K106" s="17">
        <f t="shared" si="8"/>
        <v>-50</v>
      </c>
      <c r="L106" s="17"/>
      <c r="M106" s="19" t="str">
        <f t="shared" si="10"/>
        <v/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9"/>
        <v>-5</v>
      </c>
      <c r="K107" s="17">
        <f t="shared" si="8"/>
        <v>-50</v>
      </c>
      <c r="L107" s="17"/>
      <c r="M107" s="19" t="str">
        <f t="shared" si="10"/>
        <v/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9"/>
        <v>-5</v>
      </c>
      <c r="K108" s="17">
        <f t="shared" si="8"/>
        <v>-50</v>
      </c>
      <c r="L108" s="17"/>
      <c r="M108" s="19" t="str">
        <f t="shared" si="10"/>
        <v/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9"/>
        <v>-5</v>
      </c>
      <c r="K109" s="17">
        <f t="shared" si="8"/>
        <v>-50</v>
      </c>
      <c r="L109" s="17"/>
      <c r="M109" s="19" t="str">
        <f t="shared" si="10"/>
        <v/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9"/>
        <v>-5</v>
      </c>
      <c r="K110" s="17">
        <f t="shared" si="8"/>
        <v>-50</v>
      </c>
      <c r="L110" s="17"/>
      <c r="M110" s="19" t="str">
        <f t="shared" si="10"/>
        <v/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9"/>
        <v>-5</v>
      </c>
      <c r="K111" s="17">
        <f t="shared" si="8"/>
        <v>-50</v>
      </c>
      <c r="L111" s="17"/>
      <c r="M111" s="19" t="str">
        <f t="shared" si="10"/>
        <v/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9"/>
        <v>-5</v>
      </c>
      <c r="K112" s="17">
        <f t="shared" si="8"/>
        <v>-50</v>
      </c>
      <c r="L112" s="17"/>
      <c r="M112" s="19" t="str">
        <f t="shared" si="10"/>
        <v/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9"/>
        <v>-5</v>
      </c>
      <c r="K113" s="17">
        <f t="shared" si="8"/>
        <v>-50</v>
      </c>
      <c r="L113" s="17"/>
      <c r="M113" s="19" t="str">
        <f t="shared" si="10"/>
        <v/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9"/>
        <v>-5</v>
      </c>
      <c r="K114" s="17">
        <f t="shared" si="8"/>
        <v>-50</v>
      </c>
      <c r="L114" s="17"/>
      <c r="M114" s="19" t="str">
        <f t="shared" si="10"/>
        <v/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9"/>
        <v>-5</v>
      </c>
      <c r="K115" s="17">
        <f t="shared" si="8"/>
        <v>-50</v>
      </c>
      <c r="L115" s="17"/>
      <c r="M115" s="19" t="str">
        <f t="shared" si="10"/>
        <v/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9"/>
        <v>-5</v>
      </c>
      <c r="K116" s="17">
        <f t="shared" si="8"/>
        <v>-50</v>
      </c>
      <c r="L116" s="17"/>
      <c r="M116" s="19" t="str">
        <f t="shared" si="10"/>
        <v/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9"/>
        <v>-5</v>
      </c>
      <c r="K117" s="17">
        <f t="shared" si="8"/>
        <v>-50</v>
      </c>
      <c r="L117" s="17"/>
      <c r="M117" s="19" t="str">
        <f t="shared" si="10"/>
        <v/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9"/>
        <v>-5</v>
      </c>
      <c r="K118" s="17">
        <f t="shared" si="8"/>
        <v>-50</v>
      </c>
      <c r="L118" s="17"/>
      <c r="M118" s="19" t="str">
        <f t="shared" si="10"/>
        <v/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9"/>
        <v>-5</v>
      </c>
      <c r="K119" s="17">
        <f t="shared" si="8"/>
        <v>-50</v>
      </c>
      <c r="L119" s="17"/>
      <c r="M119" s="19" t="str">
        <f t="shared" si="10"/>
        <v/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9"/>
        <v>-5</v>
      </c>
      <c r="K120" s="17">
        <f t="shared" si="8"/>
        <v>-50</v>
      </c>
      <c r="L120" s="17"/>
      <c r="M120" s="19" t="str">
        <f t="shared" si="10"/>
        <v/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9"/>
        <v>-5</v>
      </c>
      <c r="K121" s="17">
        <f t="shared" si="8"/>
        <v>-50</v>
      </c>
      <c r="L121" s="17"/>
      <c r="M121" s="19" t="str">
        <f t="shared" si="10"/>
        <v/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9"/>
        <v>-5</v>
      </c>
      <c r="K122" s="17">
        <f t="shared" si="8"/>
        <v>-50</v>
      </c>
      <c r="L122" s="17"/>
      <c r="M122" s="19" t="str">
        <f t="shared" si="10"/>
        <v/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9"/>
        <v>-5</v>
      </c>
      <c r="K123" s="17">
        <f t="shared" si="8"/>
        <v>-50</v>
      </c>
      <c r="L123" s="17"/>
      <c r="M123" s="19" t="str">
        <f t="shared" si="10"/>
        <v/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9"/>
        <v>-5</v>
      </c>
      <c r="K124" s="17">
        <f t="shared" si="8"/>
        <v>-50</v>
      </c>
      <c r="L124" s="17"/>
      <c r="M124" s="19" t="str">
        <f t="shared" si="10"/>
        <v/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9"/>
        <v>-5</v>
      </c>
      <c r="K125" s="17">
        <f t="shared" si="8"/>
        <v>-50</v>
      </c>
      <c r="L125" s="17"/>
      <c r="M125" s="19" t="str">
        <f t="shared" si="10"/>
        <v/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9"/>
        <v>-5</v>
      </c>
      <c r="K126" s="17">
        <f t="shared" si="8"/>
        <v>-50</v>
      </c>
      <c r="L126" s="17"/>
      <c r="M126" s="19" t="str">
        <f t="shared" si="10"/>
        <v/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9"/>
        <v>-5</v>
      </c>
      <c r="K127" s="17">
        <f t="shared" si="8"/>
        <v>-50</v>
      </c>
      <c r="L127" s="17"/>
      <c r="M127" s="19" t="str">
        <f t="shared" si="10"/>
        <v/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9"/>
        <v>-5</v>
      </c>
      <c r="K128" s="17">
        <f t="shared" si="8"/>
        <v>-50</v>
      </c>
      <c r="L128" s="17"/>
      <c r="M128" s="19" t="str">
        <f t="shared" si="10"/>
        <v/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9"/>
        <v>-5</v>
      </c>
      <c r="K129" s="17">
        <f t="shared" si="8"/>
        <v>-50</v>
      </c>
      <c r="L129" s="17"/>
      <c r="M129" s="19" t="str">
        <f t="shared" si="10"/>
        <v/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9"/>
        <v>-5</v>
      </c>
      <c r="K130" s="17">
        <f t="shared" si="8"/>
        <v>-50</v>
      </c>
      <c r="L130" s="17"/>
      <c r="M130" s="19" t="str">
        <f t="shared" si="10"/>
        <v/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9"/>
        <v>-5</v>
      </c>
      <c r="K131" s="17">
        <f t="shared" si="8"/>
        <v>-50</v>
      </c>
      <c r="L131" s="17"/>
      <c r="M131" s="19" t="str">
        <f t="shared" si="10"/>
        <v/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9"/>
        <v>-5</v>
      </c>
      <c r="K132" s="17">
        <f t="shared" si="8"/>
        <v>-50</v>
      </c>
      <c r="L132" s="17"/>
      <c r="M132" s="19" t="str">
        <f t="shared" si="10"/>
        <v/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9"/>
        <v>-5</v>
      </c>
      <c r="K133" s="17">
        <f t="shared" si="8"/>
        <v>-50</v>
      </c>
      <c r="L133" s="17"/>
      <c r="M133" s="19" t="str">
        <f t="shared" si="10"/>
        <v/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9"/>
        <v>-6</v>
      </c>
      <c r="K134" s="17">
        <f t="shared" ref="K134:K197" si="12">J134*$J$2</f>
        <v>-60</v>
      </c>
      <c r="L134" s="17"/>
      <c r="M134" s="19" t="str">
        <f t="shared" si="10"/>
        <v/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3">INT(LOG($H$2,2))-ROUNDUP(LOG(H135,2),0)+IF(OR($H$2=1,$H$2=2,$H$2=4,$H$2=8,$H$2=16,$H$2=32,$H$2=64,$H$2=128,$H$2=256),0,1)</f>
        <v>-6</v>
      </c>
      <c r="K135" s="17">
        <f t="shared" si="12"/>
        <v>-60</v>
      </c>
      <c r="L135" s="17"/>
      <c r="M135" s="19" t="str">
        <f t="shared" ref="M135:M198" si="14">IF(I135&lt;&gt;"",K135+I135+L135,"")</f>
        <v/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3"/>
        <v>-6</v>
      </c>
      <c r="K136" s="17">
        <f t="shared" si="12"/>
        <v>-60</v>
      </c>
      <c r="L136" s="17"/>
      <c r="M136" s="19" t="str">
        <f t="shared" si="14"/>
        <v/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3"/>
        <v>-6</v>
      </c>
      <c r="K137" s="17">
        <f t="shared" si="12"/>
        <v>-60</v>
      </c>
      <c r="L137" s="17"/>
      <c r="M137" s="19" t="str">
        <f t="shared" si="14"/>
        <v/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3"/>
        <v>-6</v>
      </c>
      <c r="K138" s="17">
        <f t="shared" si="12"/>
        <v>-60</v>
      </c>
      <c r="L138" s="17"/>
      <c r="M138" s="19" t="str">
        <f t="shared" si="14"/>
        <v/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3"/>
        <v>-6</v>
      </c>
      <c r="K139" s="17">
        <f t="shared" si="12"/>
        <v>-60</v>
      </c>
      <c r="L139" s="17"/>
      <c r="M139" s="19" t="str">
        <f t="shared" si="14"/>
        <v/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3"/>
        <v>-6</v>
      </c>
      <c r="K140" s="17">
        <f t="shared" si="12"/>
        <v>-60</v>
      </c>
      <c r="L140" s="17"/>
      <c r="M140" s="19" t="str">
        <f t="shared" si="14"/>
        <v/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3"/>
        <v>-6</v>
      </c>
      <c r="K141" s="17">
        <f t="shared" si="12"/>
        <v>-60</v>
      </c>
      <c r="L141" s="17"/>
      <c r="M141" s="19" t="str">
        <f t="shared" si="14"/>
        <v/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3"/>
        <v>-6</v>
      </c>
      <c r="K142" s="17">
        <f t="shared" si="12"/>
        <v>-60</v>
      </c>
      <c r="L142" s="17"/>
      <c r="M142" s="19" t="str">
        <f t="shared" si="14"/>
        <v/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3"/>
        <v>-6</v>
      </c>
      <c r="K143" s="17">
        <f t="shared" si="12"/>
        <v>-60</v>
      </c>
      <c r="L143" s="17"/>
      <c r="M143" s="19" t="str">
        <f t="shared" si="14"/>
        <v/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3"/>
        <v>-6</v>
      </c>
      <c r="K144" s="17">
        <f t="shared" si="12"/>
        <v>-60</v>
      </c>
      <c r="L144" s="17"/>
      <c r="M144" s="19" t="str">
        <f t="shared" si="14"/>
        <v/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3"/>
        <v>-6</v>
      </c>
      <c r="K145" s="17">
        <f t="shared" si="12"/>
        <v>-60</v>
      </c>
      <c r="L145" s="17"/>
      <c r="M145" s="19" t="str">
        <f t="shared" si="14"/>
        <v/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3"/>
        <v>-6</v>
      </c>
      <c r="K146" s="17">
        <f t="shared" si="12"/>
        <v>-60</v>
      </c>
      <c r="L146" s="17"/>
      <c r="M146" s="19" t="str">
        <f t="shared" si="14"/>
        <v/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3"/>
        <v>-6</v>
      </c>
      <c r="K147" s="17">
        <f t="shared" si="12"/>
        <v>-60</v>
      </c>
      <c r="L147" s="17"/>
      <c r="M147" s="19" t="str">
        <f t="shared" si="14"/>
        <v/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3"/>
        <v>-6</v>
      </c>
      <c r="K148" s="17">
        <f t="shared" si="12"/>
        <v>-60</v>
      </c>
      <c r="L148" s="17"/>
      <c r="M148" s="19" t="str">
        <f t="shared" si="14"/>
        <v/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3"/>
        <v>-6</v>
      </c>
      <c r="K149" s="17">
        <f t="shared" si="12"/>
        <v>-60</v>
      </c>
      <c r="L149" s="17"/>
      <c r="M149" s="19" t="str">
        <f t="shared" si="14"/>
        <v/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3"/>
        <v>-6</v>
      </c>
      <c r="K150" s="17">
        <f t="shared" si="12"/>
        <v>-60</v>
      </c>
      <c r="L150" s="17"/>
      <c r="M150" s="19" t="str">
        <f t="shared" si="14"/>
        <v/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3"/>
        <v>-6</v>
      </c>
      <c r="K151" s="17">
        <f t="shared" si="12"/>
        <v>-60</v>
      </c>
      <c r="L151" s="17"/>
      <c r="M151" s="19" t="str">
        <f t="shared" si="14"/>
        <v/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3"/>
        <v>-6</v>
      </c>
      <c r="K152" s="17">
        <f t="shared" si="12"/>
        <v>-60</v>
      </c>
      <c r="L152" s="17"/>
      <c r="M152" s="19" t="str">
        <f t="shared" si="14"/>
        <v/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3"/>
        <v>-6</v>
      </c>
      <c r="K153" s="17">
        <f t="shared" si="12"/>
        <v>-60</v>
      </c>
      <c r="L153" s="17"/>
      <c r="M153" s="19" t="str">
        <f t="shared" si="14"/>
        <v/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3"/>
        <v>-6</v>
      </c>
      <c r="K154" s="17">
        <f t="shared" si="12"/>
        <v>-60</v>
      </c>
      <c r="L154" s="17"/>
      <c r="M154" s="19" t="str">
        <f t="shared" si="14"/>
        <v/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3"/>
        <v>-6</v>
      </c>
      <c r="K155" s="17">
        <f t="shared" si="12"/>
        <v>-60</v>
      </c>
      <c r="L155" s="17"/>
      <c r="M155" s="19" t="str">
        <f t="shared" si="14"/>
        <v/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3"/>
        <v>-6</v>
      </c>
      <c r="K156" s="17">
        <f t="shared" si="12"/>
        <v>-60</v>
      </c>
      <c r="L156" s="17"/>
      <c r="M156" s="19" t="str">
        <f t="shared" si="14"/>
        <v/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3"/>
        <v>-6</v>
      </c>
      <c r="K157" s="17">
        <f t="shared" si="12"/>
        <v>-60</v>
      </c>
      <c r="L157" s="17"/>
      <c r="M157" s="19" t="str">
        <f t="shared" si="14"/>
        <v/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3"/>
        <v>-6</v>
      </c>
      <c r="K158" s="17">
        <f t="shared" si="12"/>
        <v>-60</v>
      </c>
      <c r="L158" s="17"/>
      <c r="M158" s="19" t="str">
        <f t="shared" si="14"/>
        <v/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3"/>
        <v>-6</v>
      </c>
      <c r="K159" s="17">
        <f t="shared" si="12"/>
        <v>-60</v>
      </c>
      <c r="L159" s="17"/>
      <c r="M159" s="19" t="str">
        <f t="shared" si="14"/>
        <v/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3"/>
        <v>-6</v>
      </c>
      <c r="K160" s="17">
        <f t="shared" si="12"/>
        <v>-60</v>
      </c>
      <c r="L160" s="17"/>
      <c r="M160" s="19" t="str">
        <f t="shared" si="14"/>
        <v/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3"/>
        <v>-6</v>
      </c>
      <c r="K161" s="17">
        <f t="shared" si="12"/>
        <v>-60</v>
      </c>
      <c r="L161" s="17"/>
      <c r="M161" s="19" t="str">
        <f t="shared" si="14"/>
        <v/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3"/>
        <v>-6</v>
      </c>
      <c r="K162" s="17">
        <f t="shared" si="12"/>
        <v>-60</v>
      </c>
      <c r="L162" s="17"/>
      <c r="M162" s="19" t="str">
        <f t="shared" si="14"/>
        <v/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3"/>
        <v>-6</v>
      </c>
      <c r="K163" s="17">
        <f t="shared" si="12"/>
        <v>-60</v>
      </c>
      <c r="L163" s="17"/>
      <c r="M163" s="19" t="str">
        <f t="shared" si="14"/>
        <v/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3"/>
        <v>-6</v>
      </c>
      <c r="K164" s="17">
        <f t="shared" si="12"/>
        <v>-60</v>
      </c>
      <c r="L164" s="17"/>
      <c r="M164" s="19" t="str">
        <f t="shared" si="14"/>
        <v/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3"/>
        <v>-6</v>
      </c>
      <c r="K165" s="17">
        <f t="shared" si="12"/>
        <v>-60</v>
      </c>
      <c r="L165" s="17"/>
      <c r="M165" s="19" t="str">
        <f t="shared" si="14"/>
        <v/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3"/>
        <v>-6</v>
      </c>
      <c r="K166" s="17">
        <f t="shared" si="12"/>
        <v>-60</v>
      </c>
      <c r="L166" s="17"/>
      <c r="M166" s="19" t="str">
        <f t="shared" si="14"/>
        <v/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3"/>
        <v>-6</v>
      </c>
      <c r="K167" s="17">
        <f t="shared" si="12"/>
        <v>-60</v>
      </c>
      <c r="L167" s="17"/>
      <c r="M167" s="19" t="str">
        <f t="shared" si="14"/>
        <v/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3"/>
        <v>-6</v>
      </c>
      <c r="K168" s="17">
        <f t="shared" si="12"/>
        <v>-60</v>
      </c>
      <c r="L168" s="17"/>
      <c r="M168" s="19" t="str">
        <f t="shared" si="14"/>
        <v/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3"/>
        <v>-6</v>
      </c>
      <c r="K169" s="17">
        <f t="shared" si="12"/>
        <v>-60</v>
      </c>
      <c r="L169" s="17"/>
      <c r="M169" s="19" t="str">
        <f t="shared" si="14"/>
        <v/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3"/>
        <v>-6</v>
      </c>
      <c r="K170" s="17">
        <f t="shared" si="12"/>
        <v>-60</v>
      </c>
      <c r="L170" s="17"/>
      <c r="M170" s="19" t="str">
        <f t="shared" si="14"/>
        <v/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3"/>
        <v>-6</v>
      </c>
      <c r="K171" s="17">
        <f t="shared" si="12"/>
        <v>-60</v>
      </c>
      <c r="L171" s="17"/>
      <c r="M171" s="19" t="str">
        <f t="shared" si="14"/>
        <v/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3"/>
        <v>-6</v>
      </c>
      <c r="K172" s="17">
        <f t="shared" si="12"/>
        <v>-60</v>
      </c>
      <c r="L172" s="17"/>
      <c r="M172" s="19" t="str">
        <f t="shared" si="14"/>
        <v/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3"/>
        <v>-6</v>
      </c>
      <c r="K173" s="17">
        <f t="shared" si="12"/>
        <v>-60</v>
      </c>
      <c r="L173" s="17"/>
      <c r="M173" s="19" t="str">
        <f t="shared" si="14"/>
        <v/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3"/>
        <v>-6</v>
      </c>
      <c r="K174" s="17">
        <f t="shared" si="12"/>
        <v>-60</v>
      </c>
      <c r="L174" s="17"/>
      <c r="M174" s="19" t="str">
        <f t="shared" si="14"/>
        <v/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3"/>
        <v>-6</v>
      </c>
      <c r="K175" s="17">
        <f t="shared" si="12"/>
        <v>-60</v>
      </c>
      <c r="L175" s="17"/>
      <c r="M175" s="19" t="str">
        <f t="shared" si="14"/>
        <v/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3"/>
        <v>-6</v>
      </c>
      <c r="K176" s="17">
        <f t="shared" si="12"/>
        <v>-60</v>
      </c>
      <c r="L176" s="17"/>
      <c r="M176" s="19" t="str">
        <f t="shared" si="14"/>
        <v/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3"/>
        <v>-6</v>
      </c>
      <c r="K177" s="17">
        <f t="shared" si="12"/>
        <v>-60</v>
      </c>
      <c r="L177" s="17"/>
      <c r="M177" s="19" t="str">
        <f t="shared" si="14"/>
        <v/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3"/>
        <v>-6</v>
      </c>
      <c r="K178" s="17">
        <f t="shared" si="12"/>
        <v>-60</v>
      </c>
      <c r="L178" s="17"/>
      <c r="M178" s="19" t="str">
        <f t="shared" si="14"/>
        <v/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3"/>
        <v>-6</v>
      </c>
      <c r="K179" s="17">
        <f t="shared" si="12"/>
        <v>-60</v>
      </c>
      <c r="L179" s="17"/>
      <c r="M179" s="19" t="str">
        <f t="shared" si="14"/>
        <v/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3"/>
        <v>-6</v>
      </c>
      <c r="K180" s="17">
        <f t="shared" si="12"/>
        <v>-60</v>
      </c>
      <c r="L180" s="17"/>
      <c r="M180" s="19" t="str">
        <f t="shared" si="14"/>
        <v/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3"/>
        <v>-6</v>
      </c>
      <c r="K181" s="17">
        <f t="shared" si="12"/>
        <v>-60</v>
      </c>
      <c r="L181" s="17"/>
      <c r="M181" s="19" t="str">
        <f t="shared" si="14"/>
        <v/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3"/>
        <v>-6</v>
      </c>
      <c r="K182" s="17">
        <f t="shared" si="12"/>
        <v>-60</v>
      </c>
      <c r="L182" s="17"/>
      <c r="M182" s="19" t="str">
        <f t="shared" si="14"/>
        <v/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3"/>
        <v>-6</v>
      </c>
      <c r="K183" s="17">
        <f t="shared" si="12"/>
        <v>-60</v>
      </c>
      <c r="L183" s="17"/>
      <c r="M183" s="19" t="str">
        <f t="shared" si="14"/>
        <v/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3"/>
        <v>-6</v>
      </c>
      <c r="K184" s="17">
        <f t="shared" si="12"/>
        <v>-60</v>
      </c>
      <c r="L184" s="17"/>
      <c r="M184" s="19" t="str">
        <f t="shared" si="14"/>
        <v/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3"/>
        <v>-6</v>
      </c>
      <c r="K185" s="17">
        <f t="shared" si="12"/>
        <v>-60</v>
      </c>
      <c r="L185" s="17"/>
      <c r="M185" s="19" t="str">
        <f t="shared" si="14"/>
        <v/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3"/>
        <v>-6</v>
      </c>
      <c r="K186" s="17">
        <f t="shared" si="12"/>
        <v>-60</v>
      </c>
      <c r="L186" s="17"/>
      <c r="M186" s="19" t="str">
        <f t="shared" si="14"/>
        <v/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3"/>
        <v>-6</v>
      </c>
      <c r="K187" s="17">
        <f t="shared" si="12"/>
        <v>-60</v>
      </c>
      <c r="L187" s="17"/>
      <c r="M187" s="19" t="str">
        <f t="shared" si="14"/>
        <v/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3"/>
        <v>-6</v>
      </c>
      <c r="K188" s="17">
        <f t="shared" si="12"/>
        <v>-60</v>
      </c>
      <c r="L188" s="17"/>
      <c r="M188" s="19" t="str">
        <f t="shared" si="14"/>
        <v/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3"/>
        <v>-6</v>
      </c>
      <c r="K189" s="17">
        <f t="shared" si="12"/>
        <v>-60</v>
      </c>
      <c r="L189" s="17"/>
      <c r="M189" s="19" t="str">
        <f t="shared" si="14"/>
        <v/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3"/>
        <v>-6</v>
      </c>
      <c r="K190" s="17">
        <f t="shared" si="12"/>
        <v>-60</v>
      </c>
      <c r="L190" s="17"/>
      <c r="M190" s="19" t="str">
        <f t="shared" si="14"/>
        <v/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3"/>
        <v>-6</v>
      </c>
      <c r="K191" s="17">
        <f t="shared" si="12"/>
        <v>-60</v>
      </c>
      <c r="L191" s="17"/>
      <c r="M191" s="19" t="str">
        <f t="shared" si="14"/>
        <v/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3"/>
        <v>-6</v>
      </c>
      <c r="K192" s="17">
        <f t="shared" si="12"/>
        <v>-60</v>
      </c>
      <c r="L192" s="17"/>
      <c r="M192" s="19" t="str">
        <f t="shared" si="14"/>
        <v/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3"/>
        <v>-6</v>
      </c>
      <c r="K193" s="17">
        <f t="shared" si="12"/>
        <v>-60</v>
      </c>
      <c r="L193" s="17"/>
      <c r="M193" s="19" t="str">
        <f t="shared" si="14"/>
        <v/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3"/>
        <v>-6</v>
      </c>
      <c r="K194" s="17">
        <f t="shared" si="12"/>
        <v>-60</v>
      </c>
      <c r="L194" s="17"/>
      <c r="M194" s="19" t="str">
        <f t="shared" si="14"/>
        <v/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3"/>
        <v>-6</v>
      </c>
      <c r="K195" s="17">
        <f t="shared" si="12"/>
        <v>-60</v>
      </c>
      <c r="L195" s="17"/>
      <c r="M195" s="19" t="str">
        <f t="shared" si="14"/>
        <v/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3"/>
        <v>-6</v>
      </c>
      <c r="K196" s="17">
        <f t="shared" si="12"/>
        <v>-60</v>
      </c>
      <c r="L196" s="17"/>
      <c r="M196" s="19" t="str">
        <f t="shared" si="14"/>
        <v/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3"/>
        <v>-6</v>
      </c>
      <c r="K197" s="17">
        <f t="shared" si="12"/>
        <v>-60</v>
      </c>
      <c r="L197" s="17"/>
      <c r="M197" s="19" t="str">
        <f t="shared" si="14"/>
        <v/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3"/>
        <v>-6</v>
      </c>
      <c r="K198" s="17">
        <f t="shared" ref="K198:K261" si="16">J198*$J$2</f>
        <v>-60</v>
      </c>
      <c r="L198" s="17"/>
      <c r="M198" s="19" t="str">
        <f t="shared" si="14"/>
        <v/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7">INT(LOG($H$2,2))-ROUNDUP(LOG(H199,2),0)+IF(OR($H$2=1,$H$2=2,$H$2=4,$H$2=8,$H$2=16,$H$2=32,$H$2=64,$H$2=128,$H$2=256),0,1)</f>
        <v>-6</v>
      </c>
      <c r="K199" s="17">
        <f t="shared" si="16"/>
        <v>-60</v>
      </c>
      <c r="L199" s="17"/>
      <c r="M199" s="19" t="str">
        <f t="shared" ref="M199:M262" si="18">IF(I199&lt;&gt;"",K199+I199+L199,"")</f>
        <v/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7"/>
        <v>-6</v>
      </c>
      <c r="K200" s="17">
        <f t="shared" si="16"/>
        <v>-60</v>
      </c>
      <c r="L200" s="17"/>
      <c r="M200" s="19" t="str">
        <f t="shared" si="18"/>
        <v/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7"/>
        <v>-6</v>
      </c>
      <c r="K201" s="17">
        <f t="shared" si="16"/>
        <v>-60</v>
      </c>
      <c r="L201" s="17"/>
      <c r="M201" s="19" t="str">
        <f t="shared" si="18"/>
        <v/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7"/>
        <v>-6</v>
      </c>
      <c r="K202" s="17">
        <f t="shared" si="16"/>
        <v>-60</v>
      </c>
      <c r="L202" s="17"/>
      <c r="M202" s="19" t="str">
        <f t="shared" si="18"/>
        <v/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7"/>
        <v>-6</v>
      </c>
      <c r="K203" s="17">
        <f t="shared" si="16"/>
        <v>-60</v>
      </c>
      <c r="L203" s="17"/>
      <c r="M203" s="19" t="str">
        <f t="shared" si="18"/>
        <v/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7"/>
        <v>-6</v>
      </c>
      <c r="K204" s="17">
        <f t="shared" si="16"/>
        <v>-60</v>
      </c>
      <c r="L204" s="17"/>
      <c r="M204" s="19" t="str">
        <f t="shared" si="18"/>
        <v/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7"/>
        <v>-6</v>
      </c>
      <c r="K205" s="17">
        <f t="shared" si="16"/>
        <v>-60</v>
      </c>
      <c r="L205" s="17"/>
      <c r="M205" s="19" t="str">
        <f t="shared" si="18"/>
        <v/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7"/>
        <v>-6</v>
      </c>
      <c r="K206" s="17">
        <f t="shared" si="16"/>
        <v>-60</v>
      </c>
      <c r="L206" s="17"/>
      <c r="M206" s="19" t="str">
        <f t="shared" si="18"/>
        <v/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7"/>
        <v>-6</v>
      </c>
      <c r="K207" s="17">
        <f t="shared" si="16"/>
        <v>-60</v>
      </c>
      <c r="L207" s="17"/>
      <c r="M207" s="19" t="str">
        <f t="shared" si="18"/>
        <v/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7"/>
        <v>-6</v>
      </c>
      <c r="K208" s="17">
        <f t="shared" si="16"/>
        <v>-60</v>
      </c>
      <c r="L208" s="17"/>
      <c r="M208" s="19" t="str">
        <f t="shared" si="18"/>
        <v/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7"/>
        <v>-6</v>
      </c>
      <c r="K209" s="17">
        <f t="shared" si="16"/>
        <v>-60</v>
      </c>
      <c r="L209" s="17"/>
      <c r="M209" s="19" t="str">
        <f t="shared" si="18"/>
        <v/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7"/>
        <v>-6</v>
      </c>
      <c r="K210" s="17">
        <f t="shared" si="16"/>
        <v>-60</v>
      </c>
      <c r="L210" s="17"/>
      <c r="M210" s="19" t="str">
        <f t="shared" si="18"/>
        <v/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7"/>
        <v>-6</v>
      </c>
      <c r="K211" s="17">
        <f t="shared" si="16"/>
        <v>-60</v>
      </c>
      <c r="L211" s="17"/>
      <c r="M211" s="19" t="str">
        <f t="shared" si="18"/>
        <v/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7"/>
        <v>-6</v>
      </c>
      <c r="K212" s="17">
        <f t="shared" si="16"/>
        <v>-60</v>
      </c>
      <c r="L212" s="17"/>
      <c r="M212" s="19" t="str">
        <f t="shared" si="18"/>
        <v/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7"/>
        <v>-6</v>
      </c>
      <c r="K213" s="17">
        <f t="shared" si="16"/>
        <v>-60</v>
      </c>
      <c r="L213" s="17"/>
      <c r="M213" s="19" t="str">
        <f t="shared" si="18"/>
        <v/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7"/>
        <v>-6</v>
      </c>
      <c r="K214" s="17">
        <f t="shared" si="16"/>
        <v>-60</v>
      </c>
      <c r="L214" s="17"/>
      <c r="M214" s="19" t="str">
        <f t="shared" si="18"/>
        <v/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7"/>
        <v>-6</v>
      </c>
      <c r="K215" s="17">
        <f t="shared" si="16"/>
        <v>-60</v>
      </c>
      <c r="L215" s="17"/>
      <c r="M215" s="19" t="str">
        <f t="shared" si="18"/>
        <v/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7"/>
        <v>-6</v>
      </c>
      <c r="K216" s="17">
        <f t="shared" si="16"/>
        <v>-60</v>
      </c>
      <c r="L216" s="17"/>
      <c r="M216" s="19" t="str">
        <f t="shared" si="18"/>
        <v/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7"/>
        <v>-6</v>
      </c>
      <c r="K217" s="17">
        <f t="shared" si="16"/>
        <v>-60</v>
      </c>
      <c r="L217" s="17"/>
      <c r="M217" s="19" t="str">
        <f t="shared" si="18"/>
        <v/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7"/>
        <v>-6</v>
      </c>
      <c r="K218" s="17">
        <f t="shared" si="16"/>
        <v>-60</v>
      </c>
      <c r="L218" s="17"/>
      <c r="M218" s="19" t="str">
        <f t="shared" si="18"/>
        <v/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7"/>
        <v>-6</v>
      </c>
      <c r="K219" s="17">
        <f t="shared" si="16"/>
        <v>-60</v>
      </c>
      <c r="L219" s="17"/>
      <c r="M219" s="19" t="str">
        <f t="shared" si="18"/>
        <v/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7"/>
        <v>-6</v>
      </c>
      <c r="K220" s="17">
        <f t="shared" si="16"/>
        <v>-60</v>
      </c>
      <c r="L220" s="17"/>
      <c r="M220" s="19" t="str">
        <f t="shared" si="18"/>
        <v/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7"/>
        <v>-6</v>
      </c>
      <c r="K221" s="17">
        <f t="shared" si="16"/>
        <v>-60</v>
      </c>
      <c r="L221" s="17"/>
      <c r="M221" s="19" t="str">
        <f t="shared" si="18"/>
        <v/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7"/>
        <v>-6</v>
      </c>
      <c r="K222" s="17">
        <f t="shared" si="16"/>
        <v>-60</v>
      </c>
      <c r="L222" s="17"/>
      <c r="M222" s="19" t="str">
        <f t="shared" si="18"/>
        <v/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7"/>
        <v>-6</v>
      </c>
      <c r="K223" s="17">
        <f t="shared" si="16"/>
        <v>-60</v>
      </c>
      <c r="L223" s="17"/>
      <c r="M223" s="19" t="str">
        <f t="shared" si="18"/>
        <v/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7"/>
        <v>-6</v>
      </c>
      <c r="K224" s="17">
        <f t="shared" si="16"/>
        <v>-60</v>
      </c>
      <c r="L224" s="17"/>
      <c r="M224" s="19" t="str">
        <f t="shared" si="18"/>
        <v/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7"/>
        <v>-6</v>
      </c>
      <c r="K225" s="17">
        <f t="shared" si="16"/>
        <v>-60</v>
      </c>
      <c r="L225" s="17"/>
      <c r="M225" s="19" t="str">
        <f t="shared" si="18"/>
        <v/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7"/>
        <v>-6</v>
      </c>
      <c r="K226" s="17">
        <f t="shared" si="16"/>
        <v>-60</v>
      </c>
      <c r="L226" s="17"/>
      <c r="M226" s="19" t="str">
        <f t="shared" si="18"/>
        <v/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7"/>
        <v>-6</v>
      </c>
      <c r="K227" s="17">
        <f t="shared" si="16"/>
        <v>-60</v>
      </c>
      <c r="L227" s="17"/>
      <c r="M227" s="19" t="str">
        <f t="shared" si="18"/>
        <v/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7"/>
        <v>-6</v>
      </c>
      <c r="K228" s="17">
        <f t="shared" si="16"/>
        <v>-60</v>
      </c>
      <c r="L228" s="17"/>
      <c r="M228" s="19" t="str">
        <f t="shared" si="18"/>
        <v/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7"/>
        <v>-6</v>
      </c>
      <c r="K229" s="17">
        <f t="shared" si="16"/>
        <v>-60</v>
      </c>
      <c r="L229" s="17"/>
      <c r="M229" s="19" t="str">
        <f t="shared" si="18"/>
        <v/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7"/>
        <v>-6</v>
      </c>
      <c r="K230" s="17">
        <f t="shared" si="16"/>
        <v>-60</v>
      </c>
      <c r="L230" s="17"/>
      <c r="M230" s="19" t="str">
        <f t="shared" si="18"/>
        <v/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7"/>
        <v>-6</v>
      </c>
      <c r="K231" s="17">
        <f t="shared" si="16"/>
        <v>-60</v>
      </c>
      <c r="L231" s="17"/>
      <c r="M231" s="19" t="str">
        <f t="shared" si="18"/>
        <v/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7"/>
        <v>-6</v>
      </c>
      <c r="K232" s="17">
        <f t="shared" si="16"/>
        <v>-60</v>
      </c>
      <c r="L232" s="17"/>
      <c r="M232" s="19" t="str">
        <f t="shared" si="18"/>
        <v/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7"/>
        <v>-6</v>
      </c>
      <c r="K233" s="17">
        <f t="shared" si="16"/>
        <v>-60</v>
      </c>
      <c r="L233" s="17"/>
      <c r="M233" s="19" t="str">
        <f t="shared" si="18"/>
        <v/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7"/>
        <v>-6</v>
      </c>
      <c r="K234" s="17">
        <f t="shared" si="16"/>
        <v>-60</v>
      </c>
      <c r="L234" s="17"/>
      <c r="M234" s="19" t="str">
        <f t="shared" si="18"/>
        <v/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7"/>
        <v>-6</v>
      </c>
      <c r="K235" s="17">
        <f t="shared" si="16"/>
        <v>-60</v>
      </c>
      <c r="L235" s="17"/>
      <c r="M235" s="19" t="str">
        <f t="shared" si="18"/>
        <v/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7"/>
        <v>-6</v>
      </c>
      <c r="K236" s="17">
        <f t="shared" si="16"/>
        <v>-60</v>
      </c>
      <c r="L236" s="17"/>
      <c r="M236" s="19" t="str">
        <f t="shared" si="18"/>
        <v/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7"/>
        <v>-6</v>
      </c>
      <c r="K237" s="17">
        <f t="shared" si="16"/>
        <v>-60</v>
      </c>
      <c r="L237" s="17"/>
      <c r="M237" s="19" t="str">
        <f t="shared" si="18"/>
        <v/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7"/>
        <v>-6</v>
      </c>
      <c r="K238" s="17">
        <f t="shared" si="16"/>
        <v>-60</v>
      </c>
      <c r="L238" s="17"/>
      <c r="M238" s="19" t="str">
        <f t="shared" si="18"/>
        <v/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7"/>
        <v>-6</v>
      </c>
      <c r="K239" s="17">
        <f t="shared" si="16"/>
        <v>-60</v>
      </c>
      <c r="L239" s="17"/>
      <c r="M239" s="19" t="str">
        <f t="shared" si="18"/>
        <v/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7"/>
        <v>-6</v>
      </c>
      <c r="K240" s="17">
        <f t="shared" si="16"/>
        <v>-60</v>
      </c>
      <c r="L240" s="17"/>
      <c r="M240" s="19" t="str">
        <f t="shared" si="18"/>
        <v/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7"/>
        <v>-6</v>
      </c>
      <c r="K241" s="17">
        <f t="shared" si="16"/>
        <v>-60</v>
      </c>
      <c r="L241" s="17"/>
      <c r="M241" s="19" t="str">
        <f t="shared" si="18"/>
        <v/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7"/>
        <v>-6</v>
      </c>
      <c r="K242" s="17">
        <f t="shared" si="16"/>
        <v>-60</v>
      </c>
      <c r="L242" s="17"/>
      <c r="M242" s="19" t="str">
        <f t="shared" si="18"/>
        <v/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7"/>
        <v>-6</v>
      </c>
      <c r="K243" s="17">
        <f t="shared" si="16"/>
        <v>-60</v>
      </c>
      <c r="L243" s="17"/>
      <c r="M243" s="19" t="str">
        <f t="shared" si="18"/>
        <v/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7"/>
        <v>-6</v>
      </c>
      <c r="K244" s="17">
        <f t="shared" si="16"/>
        <v>-60</v>
      </c>
      <c r="L244" s="17"/>
      <c r="M244" s="19" t="str">
        <f t="shared" si="18"/>
        <v/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7"/>
        <v>-6</v>
      </c>
      <c r="K245" s="17">
        <f t="shared" si="16"/>
        <v>-60</v>
      </c>
      <c r="L245" s="17"/>
      <c r="M245" s="19" t="str">
        <f t="shared" si="18"/>
        <v/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7"/>
        <v>-6</v>
      </c>
      <c r="K246" s="17">
        <f t="shared" si="16"/>
        <v>-60</v>
      </c>
      <c r="L246" s="17"/>
      <c r="M246" s="19" t="str">
        <f t="shared" si="18"/>
        <v/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7"/>
        <v>-6</v>
      </c>
      <c r="K247" s="17">
        <f t="shared" si="16"/>
        <v>-60</v>
      </c>
      <c r="L247" s="17"/>
      <c r="M247" s="19" t="str">
        <f t="shared" si="18"/>
        <v/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7"/>
        <v>-6</v>
      </c>
      <c r="K248" s="17">
        <f t="shared" si="16"/>
        <v>-60</v>
      </c>
      <c r="L248" s="17"/>
      <c r="M248" s="19" t="str">
        <f t="shared" si="18"/>
        <v/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7"/>
        <v>-6</v>
      </c>
      <c r="K249" s="17">
        <f t="shared" si="16"/>
        <v>-60</v>
      </c>
      <c r="L249" s="17"/>
      <c r="M249" s="19" t="str">
        <f t="shared" si="18"/>
        <v/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7"/>
        <v>-6</v>
      </c>
      <c r="K250" s="17">
        <f t="shared" si="16"/>
        <v>-60</v>
      </c>
      <c r="L250" s="17"/>
      <c r="M250" s="19" t="str">
        <f t="shared" si="18"/>
        <v/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7"/>
        <v>-6</v>
      </c>
      <c r="K251" s="17">
        <f t="shared" si="16"/>
        <v>-60</v>
      </c>
      <c r="L251" s="17"/>
      <c r="M251" s="19" t="str">
        <f t="shared" si="18"/>
        <v/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7"/>
        <v>-6</v>
      </c>
      <c r="K252" s="17">
        <f t="shared" si="16"/>
        <v>-60</v>
      </c>
      <c r="L252" s="17"/>
      <c r="M252" s="19" t="str">
        <f t="shared" si="18"/>
        <v/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7"/>
        <v>-6</v>
      </c>
      <c r="K253" s="17">
        <f t="shared" si="16"/>
        <v>-60</v>
      </c>
      <c r="L253" s="17"/>
      <c r="M253" s="19" t="str">
        <f t="shared" si="18"/>
        <v/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7"/>
        <v>-6</v>
      </c>
      <c r="K254" s="17">
        <f t="shared" si="16"/>
        <v>-60</v>
      </c>
      <c r="L254" s="17"/>
      <c r="M254" s="19" t="str">
        <f t="shared" si="18"/>
        <v/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7"/>
        <v>-6</v>
      </c>
      <c r="K255" s="17">
        <f t="shared" si="16"/>
        <v>-60</v>
      </c>
      <c r="L255" s="17"/>
      <c r="M255" s="19" t="str">
        <f t="shared" si="18"/>
        <v/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7"/>
        <v>-6</v>
      </c>
      <c r="K256" s="17">
        <f t="shared" si="16"/>
        <v>-60</v>
      </c>
      <c r="L256" s="17"/>
      <c r="M256" s="19" t="str">
        <f t="shared" si="18"/>
        <v/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7"/>
        <v>-6</v>
      </c>
      <c r="K257" s="17">
        <f t="shared" si="16"/>
        <v>-60</v>
      </c>
      <c r="L257" s="17"/>
      <c r="M257" s="19" t="str">
        <f t="shared" si="18"/>
        <v/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7"/>
        <v>-6</v>
      </c>
      <c r="K258" s="17">
        <f t="shared" si="16"/>
        <v>-60</v>
      </c>
      <c r="L258" s="17"/>
      <c r="M258" s="19" t="str">
        <f t="shared" si="18"/>
        <v/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7"/>
        <v>-6</v>
      </c>
      <c r="K259" s="17">
        <f t="shared" si="16"/>
        <v>-60</v>
      </c>
      <c r="L259" s="17"/>
      <c r="M259" s="19" t="str">
        <f t="shared" si="18"/>
        <v/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7"/>
        <v>-6</v>
      </c>
      <c r="K260" s="17">
        <f t="shared" si="16"/>
        <v>-60</v>
      </c>
      <c r="L260" s="17"/>
      <c r="M260" s="19" t="str">
        <f t="shared" si="18"/>
        <v/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7"/>
        <v>-6</v>
      </c>
      <c r="K261" s="17">
        <f t="shared" si="16"/>
        <v>-60</v>
      </c>
      <c r="L261" s="17"/>
      <c r="M261" s="19" t="str">
        <f t="shared" si="18"/>
        <v/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7"/>
        <v>-7</v>
      </c>
      <c r="K262" s="17">
        <f t="shared" ref="K262:K305" si="20">J262*$J$2</f>
        <v>-70</v>
      </c>
      <c r="L262" s="17"/>
      <c r="M262" s="19" t="str">
        <f t="shared" si="18"/>
        <v/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1">INT(LOG($H$2,2))-ROUNDUP(LOG(H263,2),0)+IF(OR($H$2=1,$H$2=2,$H$2=4,$H$2=8,$H$2=16,$H$2=32,$H$2=64,$H$2=128,$H$2=256),0,1)</f>
        <v>-7</v>
      </c>
      <c r="K263" s="17">
        <f t="shared" si="20"/>
        <v>-70</v>
      </c>
      <c r="L263" s="17"/>
      <c r="M263" s="19" t="str">
        <f t="shared" ref="M263:M305" si="22">IF(I263&lt;&gt;"",K263+I263+L263,"")</f>
        <v/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1"/>
        <v>-7</v>
      </c>
      <c r="K264" s="17">
        <f t="shared" si="20"/>
        <v>-70</v>
      </c>
      <c r="L264" s="17"/>
      <c r="M264" s="19" t="str">
        <f t="shared" si="22"/>
        <v/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1"/>
        <v>-7</v>
      </c>
      <c r="K265" s="17">
        <f t="shared" si="20"/>
        <v>-70</v>
      </c>
      <c r="L265" s="17"/>
      <c r="M265" s="19" t="str">
        <f t="shared" si="22"/>
        <v/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1"/>
        <v>-7</v>
      </c>
      <c r="K266" s="17">
        <f t="shared" si="20"/>
        <v>-70</v>
      </c>
      <c r="L266" s="17"/>
      <c r="M266" s="19" t="str">
        <f t="shared" si="22"/>
        <v/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1"/>
        <v>-7</v>
      </c>
      <c r="K267" s="17">
        <f t="shared" si="20"/>
        <v>-70</v>
      </c>
      <c r="L267" s="17"/>
      <c r="M267" s="19" t="str">
        <f t="shared" si="22"/>
        <v/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1"/>
        <v>-7</v>
      </c>
      <c r="K268" s="17">
        <f t="shared" si="20"/>
        <v>-70</v>
      </c>
      <c r="L268" s="17"/>
      <c r="M268" s="19" t="str">
        <f t="shared" si="22"/>
        <v/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1"/>
        <v>-7</v>
      </c>
      <c r="K269" s="17">
        <f t="shared" si="20"/>
        <v>-70</v>
      </c>
      <c r="L269" s="17"/>
      <c r="M269" s="19" t="str">
        <f t="shared" si="22"/>
        <v/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1"/>
        <v>-7</v>
      </c>
      <c r="K270" s="17">
        <f t="shared" si="20"/>
        <v>-70</v>
      </c>
      <c r="L270" s="17"/>
      <c r="M270" s="19" t="str">
        <f t="shared" si="22"/>
        <v/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1"/>
        <v>-7</v>
      </c>
      <c r="K271" s="17">
        <f t="shared" si="20"/>
        <v>-70</v>
      </c>
      <c r="L271" s="17"/>
      <c r="M271" s="19" t="str">
        <f t="shared" si="22"/>
        <v/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1"/>
        <v>-7</v>
      </c>
      <c r="K272" s="17">
        <f t="shared" si="20"/>
        <v>-70</v>
      </c>
      <c r="L272" s="17"/>
      <c r="M272" s="19" t="str">
        <f t="shared" si="22"/>
        <v/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1"/>
        <v>-7</v>
      </c>
      <c r="K273" s="17">
        <f t="shared" si="20"/>
        <v>-70</v>
      </c>
      <c r="L273" s="17"/>
      <c r="M273" s="19" t="str">
        <f t="shared" si="22"/>
        <v/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1"/>
        <v>-7</v>
      </c>
      <c r="K274" s="17">
        <f t="shared" si="20"/>
        <v>-70</v>
      </c>
      <c r="L274" s="17"/>
      <c r="M274" s="19" t="str">
        <f t="shared" si="22"/>
        <v/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1"/>
        <v>-7</v>
      </c>
      <c r="K275" s="17">
        <f t="shared" si="20"/>
        <v>-70</v>
      </c>
      <c r="L275" s="17"/>
      <c r="M275" s="19" t="str">
        <f t="shared" si="22"/>
        <v/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1"/>
        <v>-7</v>
      </c>
      <c r="K276" s="17">
        <f t="shared" si="20"/>
        <v>-70</v>
      </c>
      <c r="L276" s="17"/>
      <c r="M276" s="19" t="str">
        <f t="shared" si="22"/>
        <v/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1"/>
        <v>-7</v>
      </c>
      <c r="K277" s="17">
        <f t="shared" si="20"/>
        <v>-70</v>
      </c>
      <c r="L277" s="17"/>
      <c r="M277" s="19" t="str">
        <f t="shared" si="22"/>
        <v/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1"/>
        <v>-7</v>
      </c>
      <c r="K278" s="17">
        <f t="shared" si="20"/>
        <v>-70</v>
      </c>
      <c r="L278" s="17"/>
      <c r="M278" s="19" t="str">
        <f t="shared" si="22"/>
        <v/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1"/>
        <v>-7</v>
      </c>
      <c r="K279" s="17">
        <f t="shared" si="20"/>
        <v>-70</v>
      </c>
      <c r="L279" s="17"/>
      <c r="M279" s="19" t="str">
        <f t="shared" si="22"/>
        <v/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1"/>
        <v>-7</v>
      </c>
      <c r="K280" s="17">
        <f t="shared" si="20"/>
        <v>-70</v>
      </c>
      <c r="L280" s="17"/>
      <c r="M280" s="19" t="str">
        <f t="shared" si="22"/>
        <v/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1"/>
        <v>-7</v>
      </c>
      <c r="K281" s="17">
        <f t="shared" si="20"/>
        <v>-70</v>
      </c>
      <c r="L281" s="17"/>
      <c r="M281" s="19" t="str">
        <f t="shared" si="22"/>
        <v/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1"/>
        <v>-7</v>
      </c>
      <c r="K282" s="17">
        <f t="shared" si="20"/>
        <v>-70</v>
      </c>
      <c r="L282" s="17"/>
      <c r="M282" s="19" t="str">
        <f t="shared" si="22"/>
        <v/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1"/>
        <v>-7</v>
      </c>
      <c r="K283" s="17">
        <f t="shared" si="20"/>
        <v>-70</v>
      </c>
      <c r="L283" s="17"/>
      <c r="M283" s="19" t="str">
        <f t="shared" si="22"/>
        <v/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1"/>
        <v>-7</v>
      </c>
      <c r="K284" s="17">
        <f t="shared" si="20"/>
        <v>-70</v>
      </c>
      <c r="L284" s="17"/>
      <c r="M284" s="19" t="str">
        <f t="shared" si="22"/>
        <v/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1"/>
        <v>-7</v>
      </c>
      <c r="K285" s="17">
        <f t="shared" si="20"/>
        <v>-70</v>
      </c>
      <c r="L285" s="17"/>
      <c r="M285" s="19" t="str">
        <f t="shared" si="22"/>
        <v/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1"/>
        <v>-7</v>
      </c>
      <c r="K286" s="17">
        <f t="shared" si="20"/>
        <v>-70</v>
      </c>
      <c r="L286" s="17"/>
      <c r="M286" s="19" t="str">
        <f t="shared" si="22"/>
        <v/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1"/>
        <v>-7</v>
      </c>
      <c r="K287" s="17">
        <f t="shared" si="20"/>
        <v>-70</v>
      </c>
      <c r="L287" s="17"/>
      <c r="M287" s="19" t="str">
        <f t="shared" si="22"/>
        <v/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1"/>
        <v>-7</v>
      </c>
      <c r="K288" s="17">
        <f t="shared" si="20"/>
        <v>-70</v>
      </c>
      <c r="L288" s="17"/>
      <c r="M288" s="19" t="str">
        <f t="shared" si="22"/>
        <v/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1"/>
        <v>-7</v>
      </c>
      <c r="K289" s="17">
        <f t="shared" si="20"/>
        <v>-70</v>
      </c>
      <c r="L289" s="17"/>
      <c r="M289" s="19" t="str">
        <f t="shared" si="22"/>
        <v/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1"/>
        <v>-7</v>
      </c>
      <c r="K290" s="17">
        <f t="shared" si="20"/>
        <v>-70</v>
      </c>
      <c r="L290" s="17"/>
      <c r="M290" s="19" t="str">
        <f t="shared" si="22"/>
        <v/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1"/>
        <v>-7</v>
      </c>
      <c r="K291" s="17">
        <f t="shared" si="20"/>
        <v>-70</v>
      </c>
      <c r="L291" s="17"/>
      <c r="M291" s="19" t="str">
        <f t="shared" si="22"/>
        <v/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1"/>
        <v>-7</v>
      </c>
      <c r="K292" s="17">
        <f t="shared" si="20"/>
        <v>-70</v>
      </c>
      <c r="L292" s="17"/>
      <c r="M292" s="19" t="str">
        <f t="shared" si="22"/>
        <v/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1"/>
        <v>-7</v>
      </c>
      <c r="K293" s="17">
        <f t="shared" si="20"/>
        <v>-70</v>
      </c>
      <c r="L293" s="17"/>
      <c r="M293" s="19" t="str">
        <f t="shared" si="22"/>
        <v/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1"/>
        <v>-7</v>
      </c>
      <c r="K294" s="17">
        <f t="shared" si="20"/>
        <v>-70</v>
      </c>
      <c r="L294" s="17"/>
      <c r="M294" s="19" t="str">
        <f t="shared" si="22"/>
        <v/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1"/>
        <v>-7</v>
      </c>
      <c r="K295" s="17">
        <f t="shared" si="20"/>
        <v>-70</v>
      </c>
      <c r="L295" s="17"/>
      <c r="M295" s="19" t="str">
        <f t="shared" si="22"/>
        <v/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1"/>
        <v>-7</v>
      </c>
      <c r="K296" s="17">
        <f t="shared" si="20"/>
        <v>-70</v>
      </c>
      <c r="L296" s="17"/>
      <c r="M296" s="19" t="str">
        <f t="shared" si="22"/>
        <v/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1"/>
        <v>-7</v>
      </c>
      <c r="K297" s="17">
        <f t="shared" si="20"/>
        <v>-70</v>
      </c>
      <c r="L297" s="17"/>
      <c r="M297" s="19" t="str">
        <f t="shared" si="22"/>
        <v/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1"/>
        <v>-7</v>
      </c>
      <c r="K298" s="17">
        <f t="shared" si="20"/>
        <v>-70</v>
      </c>
      <c r="L298" s="17"/>
      <c r="M298" s="19" t="str">
        <f t="shared" si="22"/>
        <v/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1"/>
        <v>-7</v>
      </c>
      <c r="K299" s="17">
        <f t="shared" si="20"/>
        <v>-70</v>
      </c>
      <c r="L299" s="17"/>
      <c r="M299" s="19" t="str">
        <f t="shared" si="22"/>
        <v/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1"/>
        <v>-7</v>
      </c>
      <c r="K300" s="17">
        <f t="shared" si="20"/>
        <v>-70</v>
      </c>
      <c r="L300" s="17"/>
      <c r="M300" s="19" t="str">
        <f t="shared" si="22"/>
        <v/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1"/>
        <v>-7</v>
      </c>
      <c r="K301" s="17">
        <f t="shared" si="20"/>
        <v>-70</v>
      </c>
      <c r="L301" s="17"/>
      <c r="M301" s="19" t="str">
        <f t="shared" si="22"/>
        <v/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1"/>
        <v>-7</v>
      </c>
      <c r="K302" s="17">
        <f t="shared" si="20"/>
        <v>-70</v>
      </c>
      <c r="L302" s="17"/>
      <c r="M302" s="19" t="str">
        <f t="shared" si="22"/>
        <v/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1"/>
        <v>-7</v>
      </c>
      <c r="K303" s="17">
        <f t="shared" si="20"/>
        <v>-70</v>
      </c>
      <c r="L303" s="17"/>
      <c r="M303" s="19" t="str">
        <f t="shared" si="22"/>
        <v/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1"/>
        <v>-7</v>
      </c>
      <c r="K304" s="17">
        <f t="shared" si="20"/>
        <v>-70</v>
      </c>
      <c r="L304" s="17"/>
      <c r="M304" s="19" t="str">
        <f t="shared" si="22"/>
        <v/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1"/>
        <v>-7</v>
      </c>
      <c r="K305" s="17">
        <f t="shared" si="20"/>
        <v>-70</v>
      </c>
      <c r="L305" s="17"/>
      <c r="M305" s="19" t="str">
        <f t="shared" si="22"/>
        <v/>
      </c>
    </row>
    <row r="306" spans="1:16">
      <c r="A306" s="43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pageMargins left="0.7" right="0.7" top="0.75" bottom="0.75" header="0.3" footer="0.3"/>
  <pageSetup paperSize="9" orientation="portrait" r:id="rId1"/>
  <ignoredErrors>
    <ignoredError sqref="I9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3A62-20D7-2D4D-9516-3D3DE716D6DD}">
  <sheetPr>
    <tabColor theme="9" tint="0.39997558519241921"/>
  </sheetPr>
  <dimension ref="A1:AL374"/>
  <sheetViews>
    <sheetView zoomScale="120" zoomScaleNormal="120" workbookViewId="0">
      <selection activeCell="B7" sqref="B7"/>
    </sheetView>
  </sheetViews>
  <sheetFormatPr defaultColWidth="8.85546875" defaultRowHeight="14.25"/>
  <cols>
    <col min="1" max="1" width="8" style="80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10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77"/>
      <c r="B1" s="5"/>
      <c r="C1" s="5"/>
      <c r="D1" s="5"/>
      <c r="E1" s="5"/>
      <c r="F1" s="5"/>
      <c r="G1" s="5"/>
      <c r="H1" s="22" t="s">
        <v>31</v>
      </c>
      <c r="I1" s="12" t="s">
        <v>32</v>
      </c>
      <c r="J1" s="12" t="s">
        <v>33</v>
      </c>
      <c r="K1" s="23" t="s">
        <v>34</v>
      </c>
      <c r="L1" s="13"/>
      <c r="M1" s="13"/>
    </row>
    <row r="2" spans="1:34">
      <c r="A2" s="77"/>
      <c r="B2" s="47" t="s">
        <v>35</v>
      </c>
      <c r="C2" s="141" t="s">
        <v>93</v>
      </c>
      <c r="D2" s="141"/>
      <c r="E2" s="6"/>
      <c r="F2" s="6"/>
      <c r="G2" s="6"/>
      <c r="H2" s="14">
        <v>4</v>
      </c>
      <c r="I2" s="68">
        <v>50</v>
      </c>
      <c r="J2" s="68">
        <v>10</v>
      </c>
      <c r="K2" s="76">
        <f>3*H2^(1/3)</f>
        <v>4.7622031559045981</v>
      </c>
      <c r="L2" s="13"/>
      <c r="M2" s="13"/>
    </row>
    <row r="3" spans="1:34">
      <c r="A3" s="77"/>
      <c r="B3" s="48" t="s">
        <v>37</v>
      </c>
      <c r="C3" s="128"/>
      <c r="D3" s="128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7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34.700000000000003">
      <c r="A5" s="79" t="s">
        <v>38</v>
      </c>
      <c r="B5" s="37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8"/>
      <c r="H5" s="9" t="s">
        <v>44</v>
      </c>
      <c r="I5" s="10" t="s">
        <v>45</v>
      </c>
      <c r="J5" s="11" t="s">
        <v>46</v>
      </c>
      <c r="K5" s="10" t="s">
        <v>47</v>
      </c>
      <c r="L5" s="10" t="s">
        <v>48</v>
      </c>
      <c r="M5" s="9" t="s">
        <v>49</v>
      </c>
    </row>
    <row r="6" spans="1:34" ht="14.45" customHeight="1">
      <c r="A6" s="39">
        <f>F6</f>
        <v>0</v>
      </c>
      <c r="B6" s="36"/>
      <c r="C6" s="24"/>
      <c r="D6" s="24"/>
      <c r="E6" s="24"/>
      <c r="F6" s="81"/>
      <c r="G6" s="8"/>
      <c r="H6" s="17">
        <v>1</v>
      </c>
      <c r="I6" s="18">
        <f t="shared" ref="I6:I69" si="0">IF(H6&lt;$H$2+1,($I$2-($I$2-1)*(LOG(H6)/LOG($H$2))),"")</f>
        <v>50</v>
      </c>
      <c r="J6" s="17">
        <f>INT(LOG($H$2,2))-ROUNDUP(LOG(H6,2),0)+IF(OR($H$2=1,$H$2=2,$H$2=4,$H$2=8,$H$2=16,$H$2=32,$H$2=64,$H$2=128,$H$2=256),0,1)</f>
        <v>2</v>
      </c>
      <c r="K6" s="17">
        <f t="shared" ref="K6:K69" si="1">J6*$J$2</f>
        <v>20</v>
      </c>
      <c r="L6" s="19">
        <f>3*K2</f>
        <v>14.286609467713795</v>
      </c>
      <c r="M6" s="18">
        <f>IF(I6&lt;&gt;"",K6+I6+L6,"")</f>
        <v>84.286609467713788</v>
      </c>
    </row>
    <row r="7" spans="1:34" ht="14.45" customHeight="1">
      <c r="A7" s="40">
        <f t="shared" ref="A7:A65" si="2">F7</f>
        <v>0</v>
      </c>
      <c r="B7" s="35"/>
      <c r="C7" s="25"/>
      <c r="D7" s="25"/>
      <c r="E7" s="25"/>
      <c r="F7" s="82"/>
      <c r="G7" s="8"/>
      <c r="H7" s="44">
        <v>2</v>
      </c>
      <c r="I7" s="45">
        <f t="shared" si="0"/>
        <v>25.5</v>
      </c>
      <c r="J7" s="44">
        <f t="shared" ref="J7:J70" si="3">INT(LOG($H$2,2))-ROUNDUP(LOG(H7,2),0)+IF(OR($H$2=1,$H$2=2,$H$2=4,$H$2=8,$H$2=16,$H$2=32,$H$2=64,$H$2=128,$H$2=256),0,1)</f>
        <v>1</v>
      </c>
      <c r="K7" s="44">
        <f t="shared" si="1"/>
        <v>10</v>
      </c>
      <c r="L7" s="46">
        <f>2*K2</f>
        <v>9.5244063118091962</v>
      </c>
      <c r="M7" s="45">
        <f t="shared" ref="M7:M70" si="4">IF(I7&lt;&gt;"",K7+I7+L7,"")</f>
        <v>45.024406311809194</v>
      </c>
    </row>
    <row r="8" spans="1:34" ht="14.45" customHeight="1">
      <c r="A8" s="39">
        <f t="shared" si="2"/>
        <v>0</v>
      </c>
      <c r="B8" s="36"/>
      <c r="C8" s="24"/>
      <c r="D8" s="24"/>
      <c r="E8" s="24"/>
      <c r="F8" s="81"/>
      <c r="G8" s="8"/>
      <c r="H8" s="17">
        <v>3</v>
      </c>
      <c r="I8" s="18">
        <f t="shared" si="0"/>
        <v>11.168418732331673</v>
      </c>
      <c r="J8" s="17">
        <f t="shared" si="3"/>
        <v>0</v>
      </c>
      <c r="K8" s="17">
        <f t="shared" si="1"/>
        <v>0</v>
      </c>
      <c r="L8" s="19">
        <f>K2</f>
        <v>4.7622031559045981</v>
      </c>
      <c r="M8" s="18">
        <f t="shared" si="4"/>
        <v>15.930621888236271</v>
      </c>
    </row>
    <row r="9" spans="1:34" ht="14.45" customHeight="1">
      <c r="A9" s="40">
        <f t="shared" si="2"/>
        <v>0</v>
      </c>
      <c r="B9" s="35"/>
      <c r="C9" s="25"/>
      <c r="D9" s="25"/>
      <c r="E9" s="25"/>
      <c r="F9" s="82"/>
      <c r="G9" s="8"/>
      <c r="H9" s="44">
        <v>4</v>
      </c>
      <c r="I9" s="45">
        <f>IF(H9&lt;$H$2+1,($I$2-($I$2-1)*(LOG(H8)/LOG($H$2))),"")</f>
        <v>11.168418732331673</v>
      </c>
      <c r="J9" s="44">
        <f t="shared" si="3"/>
        <v>0</v>
      </c>
      <c r="K9" s="44">
        <f t="shared" si="1"/>
        <v>0</v>
      </c>
      <c r="L9" s="46">
        <f>K2</f>
        <v>4.7622031559045981</v>
      </c>
      <c r="M9" s="45">
        <f t="shared" si="4"/>
        <v>15.930621888236271</v>
      </c>
      <c r="V9" s="27"/>
      <c r="Z9" s="28"/>
      <c r="AA9" s="28"/>
      <c r="AG9" s="29"/>
    </row>
    <row r="10" spans="1:34" ht="14.45" customHeight="1">
      <c r="A10" s="39">
        <f t="shared" si="2"/>
        <v>0</v>
      </c>
      <c r="B10" s="36"/>
      <c r="C10" s="24"/>
      <c r="D10" s="24"/>
      <c r="E10" s="24"/>
      <c r="F10" s="81"/>
      <c r="G10" s="8"/>
      <c r="H10" s="17">
        <v>5</v>
      </c>
      <c r="I10" s="18" t="str">
        <f t="shared" si="0"/>
        <v/>
      </c>
      <c r="J10" s="17">
        <f t="shared" si="3"/>
        <v>-1</v>
      </c>
      <c r="K10" s="17">
        <f t="shared" si="1"/>
        <v>-10</v>
      </c>
      <c r="L10" s="17"/>
      <c r="M10" s="18" t="str">
        <f t="shared" si="4"/>
        <v/>
      </c>
      <c r="V10" s="27"/>
      <c r="Z10" s="28"/>
      <c r="AA10" s="28"/>
      <c r="AG10" s="29"/>
    </row>
    <row r="11" spans="1:34" ht="14.45" customHeight="1">
      <c r="A11" s="40">
        <f t="shared" si="2"/>
        <v>0</v>
      </c>
      <c r="B11" s="35"/>
      <c r="C11" s="25"/>
      <c r="D11" s="25"/>
      <c r="E11" s="25"/>
      <c r="F11" s="82"/>
      <c r="G11" s="8"/>
      <c r="H11" s="44">
        <v>6</v>
      </c>
      <c r="I11" s="45" t="str">
        <f t="shared" si="0"/>
        <v/>
      </c>
      <c r="J11" s="44">
        <f t="shared" si="3"/>
        <v>-1</v>
      </c>
      <c r="K11" s="44">
        <f t="shared" si="1"/>
        <v>-10</v>
      </c>
      <c r="L11" s="44"/>
      <c r="M11" s="45" t="str">
        <f t="shared" si="4"/>
        <v/>
      </c>
      <c r="V11" s="30"/>
      <c r="Z11" s="28"/>
      <c r="AA11" s="28"/>
      <c r="AG11" s="29"/>
    </row>
    <row r="12" spans="1:34" ht="14.45" customHeight="1">
      <c r="A12" s="39">
        <f t="shared" si="2"/>
        <v>0</v>
      </c>
      <c r="B12" s="36"/>
      <c r="C12" s="24"/>
      <c r="D12" s="24"/>
      <c r="E12" s="24"/>
      <c r="F12" s="81"/>
      <c r="G12" s="8"/>
      <c r="H12" s="17">
        <v>7</v>
      </c>
      <c r="I12" s="18" t="str">
        <f t="shared" si="0"/>
        <v/>
      </c>
      <c r="J12" s="17">
        <f t="shared" si="3"/>
        <v>-1</v>
      </c>
      <c r="K12" s="17">
        <f t="shared" si="1"/>
        <v>-10</v>
      </c>
      <c r="L12" s="17"/>
      <c r="M12" s="18" t="str">
        <f t="shared" si="4"/>
        <v/>
      </c>
      <c r="Z12" s="28"/>
      <c r="AA12" s="28"/>
      <c r="AG12" s="29"/>
    </row>
    <row r="13" spans="1:34" ht="14.45" customHeight="1">
      <c r="A13" s="41">
        <f t="shared" si="2"/>
        <v>0</v>
      </c>
      <c r="B13" s="35"/>
      <c r="C13" s="25"/>
      <c r="D13" s="25"/>
      <c r="E13" s="25"/>
      <c r="F13" s="82"/>
      <c r="G13" s="8"/>
      <c r="H13" s="44">
        <v>8</v>
      </c>
      <c r="I13" s="45" t="str">
        <f t="shared" si="0"/>
        <v/>
      </c>
      <c r="J13" s="44">
        <f t="shared" si="3"/>
        <v>-1</v>
      </c>
      <c r="K13" s="44">
        <f t="shared" si="1"/>
        <v>-10</v>
      </c>
      <c r="L13" s="44"/>
      <c r="M13" s="45" t="str">
        <f t="shared" si="4"/>
        <v/>
      </c>
      <c r="X13" s="27"/>
      <c r="AG13" s="29"/>
    </row>
    <row r="14" spans="1:34">
      <c r="A14" s="42">
        <f t="shared" si="2"/>
        <v>0</v>
      </c>
      <c r="B14" s="36"/>
      <c r="C14" s="24"/>
      <c r="D14" s="24"/>
      <c r="E14" s="24"/>
      <c r="F14" s="81"/>
      <c r="G14" s="8"/>
      <c r="H14" s="17">
        <v>9</v>
      </c>
      <c r="I14" s="18" t="str">
        <f t="shared" si="0"/>
        <v/>
      </c>
      <c r="J14" s="17">
        <f t="shared" si="3"/>
        <v>-2</v>
      </c>
      <c r="K14" s="17">
        <f t="shared" si="1"/>
        <v>-20</v>
      </c>
      <c r="L14" s="17"/>
      <c r="M14" s="18" t="str">
        <f t="shared" si="4"/>
        <v/>
      </c>
      <c r="X14" s="31"/>
      <c r="Z14" s="28"/>
      <c r="AA14" s="28"/>
      <c r="AG14" s="29"/>
    </row>
    <row r="15" spans="1:34">
      <c r="A15" s="41">
        <f t="shared" si="2"/>
        <v>0</v>
      </c>
      <c r="B15" s="35"/>
      <c r="C15" s="25"/>
      <c r="D15" s="25"/>
      <c r="E15" s="25"/>
      <c r="F15" s="82"/>
      <c r="G15" s="8"/>
      <c r="H15" s="44">
        <v>10</v>
      </c>
      <c r="I15" s="45" t="str">
        <f t="shared" si="0"/>
        <v/>
      </c>
      <c r="J15" s="44">
        <f t="shared" si="3"/>
        <v>-2</v>
      </c>
      <c r="K15" s="44">
        <f t="shared" si="1"/>
        <v>-20</v>
      </c>
      <c r="L15" s="44"/>
      <c r="M15" s="45" t="str">
        <f t="shared" si="4"/>
        <v/>
      </c>
      <c r="X15" s="27"/>
      <c r="Z15" s="28"/>
      <c r="AA15" s="28"/>
    </row>
    <row r="16" spans="1:34">
      <c r="A16" s="42">
        <f t="shared" si="2"/>
        <v>0</v>
      </c>
      <c r="B16" s="36"/>
      <c r="C16" s="24"/>
      <c r="D16" s="24"/>
      <c r="E16" s="24"/>
      <c r="F16" s="81"/>
      <c r="G16" s="8"/>
      <c r="H16" s="17">
        <v>11</v>
      </c>
      <c r="I16" s="18" t="str">
        <f t="shared" si="0"/>
        <v/>
      </c>
      <c r="J16" s="17">
        <f t="shared" si="3"/>
        <v>-2</v>
      </c>
      <c r="K16" s="17">
        <f t="shared" si="1"/>
        <v>-20</v>
      </c>
      <c r="L16" s="17"/>
      <c r="M16" s="18" t="str">
        <f t="shared" si="4"/>
        <v/>
      </c>
      <c r="R16" s="49"/>
      <c r="Z16" s="28"/>
      <c r="AA16" s="28"/>
      <c r="AH16" s="33"/>
    </row>
    <row r="17" spans="1:19">
      <c r="A17" s="41">
        <f t="shared" si="2"/>
        <v>0</v>
      </c>
      <c r="B17" s="35"/>
      <c r="C17" s="25"/>
      <c r="D17" s="25"/>
      <c r="E17" s="25"/>
      <c r="F17" s="82"/>
      <c r="G17" s="8"/>
      <c r="H17" s="44">
        <v>12</v>
      </c>
      <c r="I17" s="45" t="str">
        <f t="shared" si="0"/>
        <v/>
      </c>
      <c r="J17" s="44">
        <f t="shared" si="3"/>
        <v>-2</v>
      </c>
      <c r="K17" s="44">
        <f t="shared" si="1"/>
        <v>-20</v>
      </c>
      <c r="L17" s="44"/>
      <c r="M17" s="45" t="str">
        <f t="shared" si="4"/>
        <v/>
      </c>
    </row>
    <row r="18" spans="1:19">
      <c r="A18" s="42">
        <f t="shared" si="2"/>
        <v>0</v>
      </c>
      <c r="B18" s="36"/>
      <c r="C18" s="24"/>
      <c r="D18" s="24"/>
      <c r="E18" s="24"/>
      <c r="F18" s="81"/>
      <c r="G18" s="8"/>
      <c r="H18" s="17">
        <v>13</v>
      </c>
      <c r="I18" s="18" t="str">
        <f t="shared" si="0"/>
        <v/>
      </c>
      <c r="J18" s="17">
        <f t="shared" si="3"/>
        <v>-2</v>
      </c>
      <c r="K18" s="17">
        <f t="shared" si="1"/>
        <v>-20</v>
      </c>
      <c r="L18" s="17"/>
      <c r="M18" s="18" t="str">
        <f t="shared" si="4"/>
        <v/>
      </c>
    </row>
    <row r="19" spans="1:19">
      <c r="A19" s="41">
        <f t="shared" si="2"/>
        <v>0</v>
      </c>
      <c r="B19" s="35"/>
      <c r="C19" s="25"/>
      <c r="D19" s="25"/>
      <c r="E19" s="25"/>
      <c r="F19" s="82"/>
      <c r="G19" s="8"/>
      <c r="H19" s="44">
        <v>14</v>
      </c>
      <c r="I19" s="45" t="str">
        <f t="shared" si="0"/>
        <v/>
      </c>
      <c r="J19" s="44">
        <f t="shared" si="3"/>
        <v>-2</v>
      </c>
      <c r="K19" s="44">
        <f t="shared" si="1"/>
        <v>-20</v>
      </c>
      <c r="L19" s="44"/>
      <c r="M19" s="45" t="str">
        <f t="shared" si="4"/>
        <v/>
      </c>
    </row>
    <row r="20" spans="1:19">
      <c r="A20" s="42">
        <f t="shared" si="2"/>
        <v>0</v>
      </c>
      <c r="B20" s="36"/>
      <c r="C20" s="24"/>
      <c r="D20" s="24"/>
      <c r="E20" s="24"/>
      <c r="F20" s="81"/>
      <c r="G20" s="8"/>
      <c r="H20" s="17">
        <v>15</v>
      </c>
      <c r="I20" s="18" t="str">
        <f t="shared" si="0"/>
        <v/>
      </c>
      <c r="J20" s="17">
        <f t="shared" si="3"/>
        <v>-2</v>
      </c>
      <c r="K20" s="17">
        <f t="shared" si="1"/>
        <v>-20</v>
      </c>
      <c r="L20" s="17"/>
      <c r="M20" s="18" t="str">
        <f t="shared" si="4"/>
        <v/>
      </c>
      <c r="R20" s="50"/>
      <c r="S20" s="34"/>
    </row>
    <row r="21" spans="1:19">
      <c r="A21" s="41">
        <f t="shared" si="2"/>
        <v>0</v>
      </c>
      <c r="B21" s="35"/>
      <c r="C21" s="25"/>
      <c r="D21" s="25"/>
      <c r="E21" s="25"/>
      <c r="F21" s="82"/>
      <c r="G21" s="8"/>
      <c r="H21" s="44">
        <v>16</v>
      </c>
      <c r="I21" s="45" t="str">
        <f t="shared" si="0"/>
        <v/>
      </c>
      <c r="J21" s="44">
        <f t="shared" si="3"/>
        <v>-2</v>
      </c>
      <c r="K21" s="44">
        <f t="shared" si="1"/>
        <v>-20</v>
      </c>
      <c r="L21" s="44"/>
      <c r="M21" s="45" t="str">
        <f t="shared" si="4"/>
        <v/>
      </c>
    </row>
    <row r="22" spans="1:19">
      <c r="A22" s="42">
        <f t="shared" si="2"/>
        <v>0</v>
      </c>
      <c r="B22" s="36"/>
      <c r="C22" s="24"/>
      <c r="D22" s="24"/>
      <c r="E22" s="24"/>
      <c r="F22" s="81"/>
      <c r="G22" s="8"/>
      <c r="H22" s="17">
        <v>17</v>
      </c>
      <c r="I22" s="18" t="str">
        <f t="shared" si="0"/>
        <v/>
      </c>
      <c r="J22" s="17">
        <f t="shared" si="3"/>
        <v>-3</v>
      </c>
      <c r="K22" s="17">
        <f t="shared" si="1"/>
        <v>-30</v>
      </c>
      <c r="L22" s="17"/>
      <c r="M22" s="18" t="str">
        <f t="shared" si="4"/>
        <v/>
      </c>
    </row>
    <row r="23" spans="1:19">
      <c r="A23" s="41">
        <f t="shared" si="2"/>
        <v>0</v>
      </c>
      <c r="B23" s="35"/>
      <c r="C23" s="25"/>
      <c r="D23" s="25"/>
      <c r="E23" s="25"/>
      <c r="F23" s="82"/>
      <c r="G23" s="8"/>
      <c r="H23" s="44">
        <v>18</v>
      </c>
      <c r="I23" s="45" t="str">
        <f t="shared" si="0"/>
        <v/>
      </c>
      <c r="J23" s="44">
        <f t="shared" si="3"/>
        <v>-3</v>
      </c>
      <c r="K23" s="44">
        <f t="shared" si="1"/>
        <v>-30</v>
      </c>
      <c r="L23" s="44"/>
      <c r="M23" s="45" t="str">
        <f t="shared" si="4"/>
        <v/>
      </c>
    </row>
    <row r="24" spans="1:19">
      <c r="A24" s="42">
        <f t="shared" si="2"/>
        <v>0</v>
      </c>
      <c r="B24" s="36"/>
      <c r="C24" s="24"/>
      <c r="D24" s="24"/>
      <c r="E24" s="24"/>
      <c r="F24" s="81"/>
      <c r="G24" s="8"/>
      <c r="H24" s="17">
        <v>19</v>
      </c>
      <c r="I24" s="18" t="str">
        <f t="shared" si="0"/>
        <v/>
      </c>
      <c r="J24" s="17">
        <f t="shared" si="3"/>
        <v>-3</v>
      </c>
      <c r="K24" s="17">
        <f t="shared" si="1"/>
        <v>-30</v>
      </c>
      <c r="L24" s="17"/>
      <c r="M24" s="18" t="str">
        <f t="shared" si="4"/>
        <v/>
      </c>
      <c r="R24" s="50"/>
      <c r="S24" s="34"/>
    </row>
    <row r="25" spans="1:19">
      <c r="A25" s="41">
        <f t="shared" si="2"/>
        <v>0</v>
      </c>
      <c r="B25" s="35"/>
      <c r="C25" s="25"/>
      <c r="D25" s="25"/>
      <c r="E25" s="25"/>
      <c r="F25" s="82"/>
      <c r="G25" s="8"/>
      <c r="H25" s="44">
        <v>20</v>
      </c>
      <c r="I25" s="45" t="str">
        <f t="shared" si="0"/>
        <v/>
      </c>
      <c r="J25" s="44">
        <f t="shared" si="3"/>
        <v>-3</v>
      </c>
      <c r="K25" s="44">
        <f t="shared" si="1"/>
        <v>-30</v>
      </c>
      <c r="L25" s="44"/>
      <c r="M25" s="45" t="str">
        <f t="shared" si="4"/>
        <v/>
      </c>
    </row>
    <row r="26" spans="1:19">
      <c r="A26" s="42">
        <f t="shared" si="2"/>
        <v>0</v>
      </c>
      <c r="B26" s="36"/>
      <c r="C26" s="24"/>
      <c r="D26" s="24"/>
      <c r="E26" s="24"/>
      <c r="F26" s="81"/>
      <c r="G26" s="8"/>
      <c r="H26" s="17">
        <v>21</v>
      </c>
      <c r="I26" s="18" t="str">
        <f t="shared" si="0"/>
        <v/>
      </c>
      <c r="J26" s="17">
        <f t="shared" si="3"/>
        <v>-3</v>
      </c>
      <c r="K26" s="17">
        <f t="shared" si="1"/>
        <v>-30</v>
      </c>
      <c r="L26" s="17"/>
      <c r="M26" s="18" t="str">
        <f t="shared" si="4"/>
        <v/>
      </c>
    </row>
    <row r="27" spans="1:19">
      <c r="A27" s="41">
        <f t="shared" si="2"/>
        <v>0</v>
      </c>
      <c r="B27" s="35"/>
      <c r="C27" s="25"/>
      <c r="D27" s="25"/>
      <c r="E27" s="25"/>
      <c r="F27" s="82"/>
      <c r="G27" s="8"/>
      <c r="H27" s="44">
        <v>22</v>
      </c>
      <c r="I27" s="45" t="str">
        <f t="shared" si="0"/>
        <v/>
      </c>
      <c r="J27" s="44">
        <f t="shared" si="3"/>
        <v>-3</v>
      </c>
      <c r="K27" s="44">
        <f t="shared" si="1"/>
        <v>-30</v>
      </c>
      <c r="L27" s="44"/>
      <c r="M27" s="45" t="str">
        <f t="shared" si="4"/>
        <v/>
      </c>
    </row>
    <row r="28" spans="1:19">
      <c r="A28" s="42">
        <f t="shared" si="2"/>
        <v>0</v>
      </c>
      <c r="B28" s="36"/>
      <c r="C28" s="24"/>
      <c r="D28" s="24"/>
      <c r="E28" s="24"/>
      <c r="F28" s="81"/>
      <c r="G28" s="8"/>
      <c r="H28" s="17">
        <v>23</v>
      </c>
      <c r="I28" s="18" t="str">
        <f t="shared" si="0"/>
        <v/>
      </c>
      <c r="J28" s="17">
        <f t="shared" si="3"/>
        <v>-3</v>
      </c>
      <c r="K28" s="17">
        <f t="shared" si="1"/>
        <v>-30</v>
      </c>
      <c r="L28" s="17"/>
      <c r="M28" s="18" t="str">
        <f t="shared" si="4"/>
        <v/>
      </c>
      <c r="R28" s="50"/>
      <c r="S28" s="34"/>
    </row>
    <row r="29" spans="1:19">
      <c r="A29" s="41">
        <f t="shared" si="2"/>
        <v>0</v>
      </c>
      <c r="B29" s="35"/>
      <c r="C29" s="25"/>
      <c r="D29" s="25"/>
      <c r="E29" s="25"/>
      <c r="F29" s="82"/>
      <c r="G29" s="5"/>
      <c r="H29" s="44">
        <v>24</v>
      </c>
      <c r="I29" s="45" t="str">
        <f t="shared" si="0"/>
        <v/>
      </c>
      <c r="J29" s="44">
        <f t="shared" si="3"/>
        <v>-3</v>
      </c>
      <c r="K29" s="44">
        <f t="shared" si="1"/>
        <v>-30</v>
      </c>
      <c r="L29" s="44"/>
      <c r="M29" s="45" t="str">
        <f t="shared" si="4"/>
        <v/>
      </c>
    </row>
    <row r="30" spans="1:19">
      <c r="A30" s="42" t="str">
        <f t="shared" si="2"/>
        <v/>
      </c>
      <c r="B30" s="36"/>
      <c r="C30" s="24"/>
      <c r="D30" s="24"/>
      <c r="E30" s="24"/>
      <c r="F30" s="81" t="str">
        <f t="shared" ref="F30:F38" si="5">M30</f>
        <v/>
      </c>
      <c r="G30" s="5"/>
      <c r="H30" s="17">
        <v>25</v>
      </c>
      <c r="I30" s="18" t="str">
        <f t="shared" si="0"/>
        <v/>
      </c>
      <c r="J30" s="17">
        <f t="shared" si="3"/>
        <v>-3</v>
      </c>
      <c r="K30" s="17">
        <f t="shared" si="1"/>
        <v>-30</v>
      </c>
      <c r="L30" s="17"/>
      <c r="M30" s="18" t="str">
        <f t="shared" si="4"/>
        <v/>
      </c>
    </row>
    <row r="31" spans="1:19">
      <c r="A31" s="41" t="str">
        <f t="shared" si="2"/>
        <v/>
      </c>
      <c r="B31" s="35"/>
      <c r="C31" s="25"/>
      <c r="D31" s="25"/>
      <c r="E31" s="25"/>
      <c r="F31" s="82" t="str">
        <f t="shared" si="5"/>
        <v/>
      </c>
      <c r="G31" s="5"/>
      <c r="H31" s="44">
        <v>26</v>
      </c>
      <c r="I31" s="45" t="str">
        <f t="shared" si="0"/>
        <v/>
      </c>
      <c r="J31" s="44">
        <f t="shared" si="3"/>
        <v>-3</v>
      </c>
      <c r="K31" s="44">
        <f t="shared" si="1"/>
        <v>-30</v>
      </c>
      <c r="L31" s="44"/>
      <c r="M31" s="45" t="str">
        <f t="shared" si="4"/>
        <v/>
      </c>
    </row>
    <row r="32" spans="1:19">
      <c r="A32" s="42" t="str">
        <f t="shared" si="2"/>
        <v/>
      </c>
      <c r="B32" s="36"/>
      <c r="C32" s="24"/>
      <c r="D32" s="24"/>
      <c r="E32" s="24"/>
      <c r="F32" s="81" t="str">
        <f t="shared" si="5"/>
        <v/>
      </c>
      <c r="G32" s="5"/>
      <c r="H32" s="17">
        <v>27</v>
      </c>
      <c r="I32" s="18" t="str">
        <f t="shared" si="0"/>
        <v/>
      </c>
      <c r="J32" s="17">
        <f t="shared" si="3"/>
        <v>-3</v>
      </c>
      <c r="K32" s="17">
        <f t="shared" si="1"/>
        <v>-30</v>
      </c>
      <c r="L32" s="17"/>
      <c r="M32" s="18" t="str">
        <f t="shared" si="4"/>
        <v/>
      </c>
      <c r="R32" s="50"/>
      <c r="S32" s="34"/>
    </row>
    <row r="33" spans="1:19">
      <c r="A33" s="41" t="str">
        <f t="shared" si="2"/>
        <v/>
      </c>
      <c r="B33" s="35" t="str">
        <f t="shared" ref="B33:B65" si="6">IF(H33&gt;$H$2,"",(ROW()-5))</f>
        <v/>
      </c>
      <c r="C33" s="25"/>
      <c r="D33" s="25"/>
      <c r="E33" s="25"/>
      <c r="F33" s="25" t="str">
        <f t="shared" si="5"/>
        <v/>
      </c>
      <c r="G33" s="5"/>
      <c r="H33" s="44">
        <v>28</v>
      </c>
      <c r="I33" s="45" t="str">
        <f t="shared" si="0"/>
        <v/>
      </c>
      <c r="J33" s="44">
        <f t="shared" si="3"/>
        <v>-3</v>
      </c>
      <c r="K33" s="44">
        <f t="shared" si="1"/>
        <v>-30</v>
      </c>
      <c r="L33" s="44"/>
      <c r="M33" s="46" t="str">
        <f t="shared" si="4"/>
        <v/>
      </c>
    </row>
    <row r="34" spans="1:19">
      <c r="A34" s="42" t="str">
        <f t="shared" si="2"/>
        <v/>
      </c>
      <c r="B34" s="36" t="str">
        <f t="shared" si="6"/>
        <v/>
      </c>
      <c r="C34" s="24"/>
      <c r="D34" s="24"/>
      <c r="E34" s="24"/>
      <c r="F34" s="24" t="str">
        <f t="shared" si="5"/>
        <v/>
      </c>
      <c r="G34" s="5"/>
      <c r="H34" s="17">
        <v>29</v>
      </c>
      <c r="I34" s="18" t="str">
        <f t="shared" si="0"/>
        <v/>
      </c>
      <c r="J34" s="17">
        <f t="shared" si="3"/>
        <v>-3</v>
      </c>
      <c r="K34" s="17">
        <f t="shared" si="1"/>
        <v>-30</v>
      </c>
      <c r="L34" s="17"/>
      <c r="M34" s="19" t="str">
        <f t="shared" si="4"/>
        <v/>
      </c>
    </row>
    <row r="35" spans="1:19">
      <c r="A35" s="41" t="str">
        <f t="shared" si="2"/>
        <v/>
      </c>
      <c r="B35" s="35" t="str">
        <f t="shared" si="6"/>
        <v/>
      </c>
      <c r="C35" s="25"/>
      <c r="D35" s="25"/>
      <c r="E35" s="25"/>
      <c r="F35" s="25" t="str">
        <f t="shared" si="5"/>
        <v/>
      </c>
      <c r="G35" s="5"/>
      <c r="H35" s="44">
        <v>30</v>
      </c>
      <c r="I35" s="45" t="str">
        <f t="shared" si="0"/>
        <v/>
      </c>
      <c r="J35" s="44">
        <f t="shared" si="3"/>
        <v>-3</v>
      </c>
      <c r="K35" s="44">
        <f t="shared" si="1"/>
        <v>-30</v>
      </c>
      <c r="L35" s="44"/>
      <c r="M35" s="46" t="str">
        <f t="shared" si="4"/>
        <v/>
      </c>
    </row>
    <row r="36" spans="1:19">
      <c r="A36" s="42" t="str">
        <f t="shared" si="2"/>
        <v/>
      </c>
      <c r="B36" s="36" t="str">
        <f t="shared" si="6"/>
        <v/>
      </c>
      <c r="C36" s="24"/>
      <c r="D36" s="24"/>
      <c r="E36" s="24"/>
      <c r="F36" s="24" t="str">
        <f t="shared" si="5"/>
        <v/>
      </c>
      <c r="G36" s="5"/>
      <c r="H36" s="17">
        <v>31</v>
      </c>
      <c r="I36" s="18" t="str">
        <f t="shared" si="0"/>
        <v/>
      </c>
      <c r="J36" s="17">
        <f t="shared" si="3"/>
        <v>-3</v>
      </c>
      <c r="K36" s="17">
        <f t="shared" si="1"/>
        <v>-30</v>
      </c>
      <c r="L36" s="17"/>
      <c r="M36" s="19" t="str">
        <f t="shared" si="4"/>
        <v/>
      </c>
      <c r="R36" s="50"/>
      <c r="S36" s="34"/>
    </row>
    <row r="37" spans="1:19">
      <c r="A37" s="41" t="str">
        <f t="shared" si="2"/>
        <v/>
      </c>
      <c r="B37" s="35" t="str">
        <f t="shared" si="6"/>
        <v/>
      </c>
      <c r="C37" s="25"/>
      <c r="D37" s="25"/>
      <c r="E37" s="25"/>
      <c r="F37" s="25" t="str">
        <f t="shared" si="5"/>
        <v/>
      </c>
      <c r="G37" s="5"/>
      <c r="H37" s="44">
        <v>32</v>
      </c>
      <c r="I37" s="45" t="str">
        <f t="shared" si="0"/>
        <v/>
      </c>
      <c r="J37" s="44">
        <f t="shared" si="3"/>
        <v>-3</v>
      </c>
      <c r="K37" s="44">
        <f t="shared" si="1"/>
        <v>-30</v>
      </c>
      <c r="L37" s="44"/>
      <c r="M37" s="46" t="str">
        <f t="shared" si="4"/>
        <v/>
      </c>
    </row>
    <row r="38" spans="1:19">
      <c r="A38" s="42" t="str">
        <f t="shared" si="2"/>
        <v/>
      </c>
      <c r="B38" s="36" t="str">
        <f t="shared" si="6"/>
        <v/>
      </c>
      <c r="C38" s="24"/>
      <c r="D38" s="24"/>
      <c r="E38" s="24"/>
      <c r="F38" s="24" t="str">
        <f t="shared" si="5"/>
        <v/>
      </c>
      <c r="G38" s="5"/>
      <c r="H38" s="17">
        <v>33</v>
      </c>
      <c r="I38" s="18" t="str">
        <f t="shared" si="0"/>
        <v/>
      </c>
      <c r="J38" s="17">
        <f t="shared" si="3"/>
        <v>-4</v>
      </c>
      <c r="K38" s="17">
        <f t="shared" si="1"/>
        <v>-40</v>
      </c>
      <c r="L38" s="17"/>
      <c r="M38" s="19" t="str">
        <f t="shared" si="4"/>
        <v/>
      </c>
    </row>
    <row r="39" spans="1:19">
      <c r="A39" s="41">
        <f t="shared" si="2"/>
        <v>0</v>
      </c>
      <c r="B39" s="35" t="str">
        <f t="shared" si="6"/>
        <v/>
      </c>
      <c r="C39" s="25"/>
      <c r="D39" s="25"/>
      <c r="E39" s="25"/>
      <c r="F39" s="25"/>
      <c r="G39" s="5"/>
      <c r="H39" s="44">
        <v>34</v>
      </c>
      <c r="I39" s="45" t="str">
        <f t="shared" si="0"/>
        <v/>
      </c>
      <c r="J39" s="44">
        <f t="shared" si="3"/>
        <v>-4</v>
      </c>
      <c r="K39" s="44">
        <f t="shared" si="1"/>
        <v>-40</v>
      </c>
      <c r="L39" s="44"/>
      <c r="M39" s="46" t="str">
        <f t="shared" si="4"/>
        <v/>
      </c>
    </row>
    <row r="40" spans="1:19">
      <c r="A40" s="42">
        <f t="shared" si="2"/>
        <v>0</v>
      </c>
      <c r="B40" s="36" t="str">
        <f t="shared" si="6"/>
        <v/>
      </c>
      <c r="C40" s="24"/>
      <c r="D40" s="24"/>
      <c r="E40" s="24"/>
      <c r="F40" s="24"/>
      <c r="G40" s="5"/>
      <c r="H40" s="17">
        <v>35</v>
      </c>
      <c r="I40" s="18" t="str">
        <f t="shared" si="0"/>
        <v/>
      </c>
      <c r="J40" s="17">
        <f t="shared" si="3"/>
        <v>-4</v>
      </c>
      <c r="K40" s="17">
        <f t="shared" si="1"/>
        <v>-40</v>
      </c>
      <c r="L40" s="17"/>
      <c r="M40" s="19" t="str">
        <f t="shared" si="4"/>
        <v/>
      </c>
    </row>
    <row r="41" spans="1:19">
      <c r="A41" s="41">
        <f t="shared" si="2"/>
        <v>0</v>
      </c>
      <c r="B41" s="35" t="str">
        <f t="shared" si="6"/>
        <v/>
      </c>
      <c r="C41" s="25"/>
      <c r="D41" s="25"/>
      <c r="E41" s="25"/>
      <c r="F41" s="25"/>
      <c r="G41" s="5"/>
      <c r="H41" s="44">
        <v>36</v>
      </c>
      <c r="I41" s="45" t="str">
        <f t="shared" si="0"/>
        <v/>
      </c>
      <c r="J41" s="44">
        <f t="shared" si="3"/>
        <v>-4</v>
      </c>
      <c r="K41" s="44">
        <f t="shared" si="1"/>
        <v>-40</v>
      </c>
      <c r="L41" s="44"/>
      <c r="M41" s="46" t="str">
        <f t="shared" si="4"/>
        <v/>
      </c>
      <c r="S41" s="32"/>
    </row>
    <row r="42" spans="1:19">
      <c r="A42" s="42">
        <f t="shared" si="2"/>
        <v>0</v>
      </c>
      <c r="B42" s="36" t="str">
        <f t="shared" si="6"/>
        <v/>
      </c>
      <c r="C42" s="24"/>
      <c r="D42" s="24"/>
      <c r="E42" s="24"/>
      <c r="F42" s="24"/>
      <c r="G42" s="5"/>
      <c r="H42" s="17">
        <v>37</v>
      </c>
      <c r="I42" s="18" t="str">
        <f t="shared" si="0"/>
        <v/>
      </c>
      <c r="J42" s="17">
        <f t="shared" si="3"/>
        <v>-4</v>
      </c>
      <c r="K42" s="17">
        <f t="shared" si="1"/>
        <v>-40</v>
      </c>
      <c r="L42" s="17"/>
      <c r="M42" s="19" t="str">
        <f t="shared" si="4"/>
        <v/>
      </c>
    </row>
    <row r="43" spans="1:19">
      <c r="A43" s="41">
        <f t="shared" si="2"/>
        <v>0</v>
      </c>
      <c r="B43" s="35" t="str">
        <f t="shared" si="6"/>
        <v/>
      </c>
      <c r="C43" s="25"/>
      <c r="D43" s="25"/>
      <c r="E43" s="25"/>
      <c r="F43" s="25"/>
      <c r="G43" s="5"/>
      <c r="H43" s="44">
        <v>38</v>
      </c>
      <c r="I43" s="45" t="str">
        <f t="shared" si="0"/>
        <v/>
      </c>
      <c r="J43" s="44">
        <f t="shared" si="3"/>
        <v>-4</v>
      </c>
      <c r="K43" s="44">
        <f t="shared" si="1"/>
        <v>-40</v>
      </c>
      <c r="L43" s="44"/>
      <c r="M43" s="46" t="str">
        <f t="shared" si="4"/>
        <v/>
      </c>
    </row>
    <row r="44" spans="1:19">
      <c r="A44" s="42">
        <f t="shared" si="2"/>
        <v>0</v>
      </c>
      <c r="B44" s="36" t="str">
        <f t="shared" si="6"/>
        <v/>
      </c>
      <c r="C44" s="24"/>
      <c r="D44" s="24"/>
      <c r="E44" s="24"/>
      <c r="F44" s="24"/>
      <c r="G44" s="5"/>
      <c r="H44" s="17">
        <v>39</v>
      </c>
      <c r="I44" s="18" t="str">
        <f t="shared" si="0"/>
        <v/>
      </c>
      <c r="J44" s="17">
        <f t="shared" si="3"/>
        <v>-4</v>
      </c>
      <c r="K44" s="17">
        <f t="shared" si="1"/>
        <v>-40</v>
      </c>
      <c r="L44" s="17"/>
      <c r="M44" s="19" t="str">
        <f t="shared" si="4"/>
        <v/>
      </c>
    </row>
    <row r="45" spans="1:19">
      <c r="A45" s="41">
        <f t="shared" si="2"/>
        <v>0</v>
      </c>
      <c r="B45" s="35" t="str">
        <f t="shared" si="6"/>
        <v/>
      </c>
      <c r="C45" s="25"/>
      <c r="D45" s="25"/>
      <c r="E45" s="25"/>
      <c r="F45" s="25"/>
      <c r="G45" s="5"/>
      <c r="H45" s="44">
        <v>40</v>
      </c>
      <c r="I45" s="45" t="str">
        <f t="shared" si="0"/>
        <v/>
      </c>
      <c r="J45" s="44">
        <f t="shared" si="3"/>
        <v>-4</v>
      </c>
      <c r="K45" s="44">
        <f t="shared" si="1"/>
        <v>-40</v>
      </c>
      <c r="L45" s="44"/>
      <c r="M45" s="46" t="str">
        <f t="shared" si="4"/>
        <v/>
      </c>
    </row>
    <row r="46" spans="1:19">
      <c r="A46" s="42">
        <f t="shared" si="2"/>
        <v>0</v>
      </c>
      <c r="B46" s="36" t="str">
        <f t="shared" si="6"/>
        <v/>
      </c>
      <c r="C46" s="24"/>
      <c r="D46" s="24"/>
      <c r="E46" s="24"/>
      <c r="F46" s="24"/>
      <c r="G46" s="5"/>
      <c r="H46" s="17">
        <v>41</v>
      </c>
      <c r="I46" s="18" t="str">
        <f t="shared" si="0"/>
        <v/>
      </c>
      <c r="J46" s="17">
        <f t="shared" si="3"/>
        <v>-4</v>
      </c>
      <c r="K46" s="17">
        <f t="shared" si="1"/>
        <v>-40</v>
      </c>
      <c r="L46" s="17"/>
      <c r="M46" s="19" t="str">
        <f t="shared" si="4"/>
        <v/>
      </c>
    </row>
    <row r="47" spans="1:19">
      <c r="A47" s="41">
        <f t="shared" si="2"/>
        <v>0</v>
      </c>
      <c r="B47" s="35" t="str">
        <f t="shared" si="6"/>
        <v/>
      </c>
      <c r="C47" s="25"/>
      <c r="D47" s="25"/>
      <c r="E47" s="25"/>
      <c r="F47" s="25"/>
      <c r="G47" s="5"/>
      <c r="H47" s="44">
        <v>42</v>
      </c>
      <c r="I47" s="45" t="str">
        <f t="shared" si="0"/>
        <v/>
      </c>
      <c r="J47" s="44">
        <f t="shared" si="3"/>
        <v>-4</v>
      </c>
      <c r="K47" s="44">
        <f t="shared" si="1"/>
        <v>-40</v>
      </c>
      <c r="L47" s="44"/>
      <c r="M47" s="46" t="str">
        <f t="shared" si="4"/>
        <v/>
      </c>
    </row>
    <row r="48" spans="1:19">
      <c r="A48" s="42">
        <f t="shared" si="2"/>
        <v>0</v>
      </c>
      <c r="B48" s="36" t="str">
        <f t="shared" si="6"/>
        <v/>
      </c>
      <c r="C48" s="24"/>
      <c r="D48" s="24"/>
      <c r="E48" s="24"/>
      <c r="F48" s="24"/>
      <c r="G48" s="5"/>
      <c r="H48" s="17">
        <v>43</v>
      </c>
      <c r="I48" s="18" t="str">
        <f t="shared" si="0"/>
        <v/>
      </c>
      <c r="J48" s="17">
        <f t="shared" si="3"/>
        <v>-4</v>
      </c>
      <c r="K48" s="17">
        <f t="shared" si="1"/>
        <v>-40</v>
      </c>
      <c r="L48" s="17"/>
      <c r="M48" s="19" t="str">
        <f t="shared" si="4"/>
        <v/>
      </c>
    </row>
    <row r="49" spans="1:13">
      <c r="A49" s="41">
        <f t="shared" si="2"/>
        <v>0</v>
      </c>
      <c r="B49" s="35" t="str">
        <f t="shared" si="6"/>
        <v/>
      </c>
      <c r="C49" s="25"/>
      <c r="D49" s="25"/>
      <c r="E49" s="25"/>
      <c r="F49" s="25"/>
      <c r="G49" s="5"/>
      <c r="H49" s="44">
        <v>44</v>
      </c>
      <c r="I49" s="45" t="str">
        <f t="shared" si="0"/>
        <v/>
      </c>
      <c r="J49" s="44">
        <f t="shared" si="3"/>
        <v>-4</v>
      </c>
      <c r="K49" s="44">
        <f t="shared" si="1"/>
        <v>-40</v>
      </c>
      <c r="L49" s="44"/>
      <c r="M49" s="46" t="str">
        <f t="shared" si="4"/>
        <v/>
      </c>
    </row>
    <row r="50" spans="1:13">
      <c r="A50" s="42">
        <f t="shared" si="2"/>
        <v>0</v>
      </c>
      <c r="B50" s="36" t="str">
        <f t="shared" si="6"/>
        <v/>
      </c>
      <c r="C50" s="24"/>
      <c r="D50" s="24"/>
      <c r="E50" s="24"/>
      <c r="F50" s="24"/>
      <c r="G50" s="5"/>
      <c r="H50" s="17">
        <v>45</v>
      </c>
      <c r="I50" s="18" t="str">
        <f t="shared" si="0"/>
        <v/>
      </c>
      <c r="J50" s="17">
        <f t="shared" si="3"/>
        <v>-4</v>
      </c>
      <c r="K50" s="17">
        <f t="shared" si="1"/>
        <v>-40</v>
      </c>
      <c r="L50" s="17"/>
      <c r="M50" s="19" t="str">
        <f t="shared" si="4"/>
        <v/>
      </c>
    </row>
    <row r="51" spans="1:13">
      <c r="A51" s="41">
        <f t="shared" si="2"/>
        <v>0</v>
      </c>
      <c r="B51" s="35" t="str">
        <f t="shared" si="6"/>
        <v/>
      </c>
      <c r="C51" s="25"/>
      <c r="D51" s="25"/>
      <c r="E51" s="25"/>
      <c r="F51" s="25"/>
      <c r="G51" s="5"/>
      <c r="H51" s="44">
        <v>46</v>
      </c>
      <c r="I51" s="45" t="str">
        <f t="shared" si="0"/>
        <v/>
      </c>
      <c r="J51" s="44">
        <f t="shared" si="3"/>
        <v>-4</v>
      </c>
      <c r="K51" s="44">
        <f t="shared" si="1"/>
        <v>-40</v>
      </c>
      <c r="L51" s="44"/>
      <c r="M51" s="46" t="str">
        <f t="shared" si="4"/>
        <v/>
      </c>
    </row>
    <row r="52" spans="1:13">
      <c r="A52" s="42">
        <f t="shared" si="2"/>
        <v>0</v>
      </c>
      <c r="B52" s="36" t="str">
        <f t="shared" si="6"/>
        <v/>
      </c>
      <c r="C52" s="24"/>
      <c r="D52" s="24"/>
      <c r="E52" s="24"/>
      <c r="F52" s="24"/>
      <c r="G52" s="5"/>
      <c r="H52" s="17">
        <v>47</v>
      </c>
      <c r="I52" s="18" t="str">
        <f t="shared" si="0"/>
        <v/>
      </c>
      <c r="J52" s="17">
        <f t="shared" si="3"/>
        <v>-4</v>
      </c>
      <c r="K52" s="17">
        <f t="shared" si="1"/>
        <v>-40</v>
      </c>
      <c r="L52" s="17"/>
      <c r="M52" s="19" t="str">
        <f t="shared" si="4"/>
        <v/>
      </c>
    </row>
    <row r="53" spans="1:13">
      <c r="A53" s="41">
        <f t="shared" si="2"/>
        <v>0</v>
      </c>
      <c r="B53" s="35" t="str">
        <f t="shared" si="6"/>
        <v/>
      </c>
      <c r="C53" s="25"/>
      <c r="D53" s="25"/>
      <c r="E53" s="25"/>
      <c r="F53" s="25"/>
      <c r="G53" s="5"/>
      <c r="H53" s="44">
        <v>48</v>
      </c>
      <c r="I53" s="45" t="str">
        <f t="shared" si="0"/>
        <v/>
      </c>
      <c r="J53" s="44">
        <f t="shared" si="3"/>
        <v>-4</v>
      </c>
      <c r="K53" s="44">
        <f t="shared" si="1"/>
        <v>-40</v>
      </c>
      <c r="L53" s="44"/>
      <c r="M53" s="46" t="str">
        <f t="shared" si="4"/>
        <v/>
      </c>
    </row>
    <row r="54" spans="1:13">
      <c r="A54" s="42">
        <f t="shared" si="2"/>
        <v>0</v>
      </c>
      <c r="B54" s="36" t="str">
        <f t="shared" si="6"/>
        <v/>
      </c>
      <c r="C54" s="24"/>
      <c r="D54" s="24"/>
      <c r="E54" s="24"/>
      <c r="F54" s="24"/>
      <c r="G54" s="5"/>
      <c r="H54" s="17">
        <v>49</v>
      </c>
      <c r="I54" s="18" t="str">
        <f t="shared" si="0"/>
        <v/>
      </c>
      <c r="J54" s="17">
        <f t="shared" si="3"/>
        <v>-4</v>
      </c>
      <c r="K54" s="17">
        <f t="shared" si="1"/>
        <v>-40</v>
      </c>
      <c r="L54" s="17"/>
      <c r="M54" s="19" t="str">
        <f t="shared" si="4"/>
        <v/>
      </c>
    </row>
    <row r="55" spans="1:13">
      <c r="A55" s="41">
        <f t="shared" si="2"/>
        <v>0</v>
      </c>
      <c r="B55" s="35" t="str">
        <f t="shared" si="6"/>
        <v/>
      </c>
      <c r="C55" s="25"/>
      <c r="D55" s="25"/>
      <c r="E55" s="25"/>
      <c r="F55" s="25"/>
      <c r="G55" s="5"/>
      <c r="H55" s="44">
        <v>50</v>
      </c>
      <c r="I55" s="45" t="str">
        <f t="shared" si="0"/>
        <v/>
      </c>
      <c r="J55" s="44">
        <f t="shared" si="3"/>
        <v>-4</v>
      </c>
      <c r="K55" s="44">
        <f t="shared" si="1"/>
        <v>-40</v>
      </c>
      <c r="L55" s="44"/>
      <c r="M55" s="46" t="str">
        <f t="shared" si="4"/>
        <v/>
      </c>
    </row>
    <row r="56" spans="1:13">
      <c r="A56" s="42">
        <f t="shared" si="2"/>
        <v>0</v>
      </c>
      <c r="B56" s="36" t="str">
        <f t="shared" si="6"/>
        <v/>
      </c>
      <c r="C56" s="24"/>
      <c r="D56" s="24"/>
      <c r="E56" s="24"/>
      <c r="F56" s="24"/>
      <c r="G56" s="5"/>
      <c r="H56" s="17">
        <v>51</v>
      </c>
      <c r="I56" s="18" t="str">
        <f t="shared" si="0"/>
        <v/>
      </c>
      <c r="J56" s="17">
        <f t="shared" si="3"/>
        <v>-4</v>
      </c>
      <c r="K56" s="17">
        <f t="shared" si="1"/>
        <v>-40</v>
      </c>
      <c r="L56" s="17"/>
      <c r="M56" s="19" t="str">
        <f t="shared" si="4"/>
        <v/>
      </c>
    </row>
    <row r="57" spans="1:13">
      <c r="A57" s="41">
        <f t="shared" si="2"/>
        <v>0</v>
      </c>
      <c r="B57" s="35" t="str">
        <f t="shared" si="6"/>
        <v/>
      </c>
      <c r="C57" s="25"/>
      <c r="D57" s="25"/>
      <c r="E57" s="25"/>
      <c r="F57" s="25"/>
      <c r="G57" s="5"/>
      <c r="H57" s="44">
        <v>52</v>
      </c>
      <c r="I57" s="45" t="str">
        <f t="shared" si="0"/>
        <v/>
      </c>
      <c r="J57" s="44">
        <f t="shared" si="3"/>
        <v>-4</v>
      </c>
      <c r="K57" s="44">
        <f t="shared" si="1"/>
        <v>-40</v>
      </c>
      <c r="L57" s="44"/>
      <c r="M57" s="46" t="str">
        <f t="shared" si="4"/>
        <v/>
      </c>
    </row>
    <row r="58" spans="1:13">
      <c r="A58" s="42">
        <f t="shared" si="2"/>
        <v>0</v>
      </c>
      <c r="B58" s="36" t="str">
        <f t="shared" si="6"/>
        <v/>
      </c>
      <c r="C58" s="24"/>
      <c r="D58" s="24"/>
      <c r="E58" s="24"/>
      <c r="F58" s="24"/>
      <c r="G58" s="5"/>
      <c r="H58" s="17">
        <v>53</v>
      </c>
      <c r="I58" s="18" t="str">
        <f t="shared" si="0"/>
        <v/>
      </c>
      <c r="J58" s="17">
        <f t="shared" si="3"/>
        <v>-4</v>
      </c>
      <c r="K58" s="17">
        <f t="shared" si="1"/>
        <v>-40</v>
      </c>
      <c r="L58" s="17"/>
      <c r="M58" s="19" t="str">
        <f t="shared" si="4"/>
        <v/>
      </c>
    </row>
    <row r="59" spans="1:13">
      <c r="A59" s="41">
        <f t="shared" si="2"/>
        <v>0</v>
      </c>
      <c r="B59" s="35" t="str">
        <f t="shared" si="6"/>
        <v/>
      </c>
      <c r="C59" s="25"/>
      <c r="D59" s="25"/>
      <c r="E59" s="25"/>
      <c r="F59" s="25"/>
      <c r="G59" s="5"/>
      <c r="H59" s="44">
        <v>54</v>
      </c>
      <c r="I59" s="45" t="str">
        <f t="shared" si="0"/>
        <v/>
      </c>
      <c r="J59" s="44">
        <f t="shared" si="3"/>
        <v>-4</v>
      </c>
      <c r="K59" s="44">
        <f t="shared" si="1"/>
        <v>-40</v>
      </c>
      <c r="L59" s="44"/>
      <c r="M59" s="46" t="str">
        <f t="shared" si="4"/>
        <v/>
      </c>
    </row>
    <row r="60" spans="1:13">
      <c r="A60" s="42">
        <f t="shared" si="2"/>
        <v>0</v>
      </c>
      <c r="B60" s="36" t="str">
        <f t="shared" si="6"/>
        <v/>
      </c>
      <c r="C60" s="24"/>
      <c r="D60" s="24"/>
      <c r="E60" s="24"/>
      <c r="F60" s="24"/>
      <c r="G60" s="5"/>
      <c r="H60" s="17">
        <v>55</v>
      </c>
      <c r="I60" s="18" t="str">
        <f t="shared" si="0"/>
        <v/>
      </c>
      <c r="J60" s="17">
        <f t="shared" si="3"/>
        <v>-4</v>
      </c>
      <c r="K60" s="17">
        <f t="shared" si="1"/>
        <v>-40</v>
      </c>
      <c r="L60" s="17"/>
      <c r="M60" s="19" t="str">
        <f t="shared" si="4"/>
        <v/>
      </c>
    </row>
    <row r="61" spans="1:13">
      <c r="A61" s="41">
        <f t="shared" si="2"/>
        <v>0</v>
      </c>
      <c r="B61" s="35" t="str">
        <f t="shared" si="6"/>
        <v/>
      </c>
      <c r="C61" s="25"/>
      <c r="D61" s="25"/>
      <c r="E61" s="25"/>
      <c r="F61" s="25"/>
      <c r="G61" s="5"/>
      <c r="H61" s="44">
        <v>56</v>
      </c>
      <c r="I61" s="45" t="str">
        <f t="shared" si="0"/>
        <v/>
      </c>
      <c r="J61" s="44">
        <f t="shared" si="3"/>
        <v>-4</v>
      </c>
      <c r="K61" s="44">
        <f t="shared" si="1"/>
        <v>-40</v>
      </c>
      <c r="L61" s="44"/>
      <c r="M61" s="46" t="str">
        <f t="shared" si="4"/>
        <v/>
      </c>
    </row>
    <row r="62" spans="1:13">
      <c r="A62" s="42">
        <f t="shared" si="2"/>
        <v>0</v>
      </c>
      <c r="B62" s="36" t="str">
        <f t="shared" si="6"/>
        <v/>
      </c>
      <c r="C62" s="24"/>
      <c r="D62" s="24"/>
      <c r="E62" s="24"/>
      <c r="F62" s="24"/>
      <c r="G62" s="5"/>
      <c r="H62" s="17">
        <v>57</v>
      </c>
      <c r="I62" s="18" t="str">
        <f t="shared" si="0"/>
        <v/>
      </c>
      <c r="J62" s="17">
        <f t="shared" si="3"/>
        <v>-4</v>
      </c>
      <c r="K62" s="17">
        <f t="shared" si="1"/>
        <v>-40</v>
      </c>
      <c r="L62" s="17"/>
      <c r="M62" s="19" t="str">
        <f t="shared" si="4"/>
        <v/>
      </c>
    </row>
    <row r="63" spans="1:13">
      <c r="A63" s="41">
        <f t="shared" si="2"/>
        <v>0</v>
      </c>
      <c r="B63" s="35" t="str">
        <f t="shared" si="6"/>
        <v/>
      </c>
      <c r="C63" s="25"/>
      <c r="D63" s="25"/>
      <c r="E63" s="25"/>
      <c r="F63" s="25"/>
      <c r="G63" s="5"/>
      <c r="H63" s="44">
        <v>58</v>
      </c>
      <c r="I63" s="45" t="str">
        <f t="shared" si="0"/>
        <v/>
      </c>
      <c r="J63" s="44">
        <f t="shared" si="3"/>
        <v>-4</v>
      </c>
      <c r="K63" s="44">
        <f t="shared" si="1"/>
        <v>-40</v>
      </c>
      <c r="L63" s="44"/>
      <c r="M63" s="46" t="str">
        <f t="shared" si="4"/>
        <v/>
      </c>
    </row>
    <row r="64" spans="1:13">
      <c r="A64" s="42">
        <f t="shared" si="2"/>
        <v>0</v>
      </c>
      <c r="B64" s="36" t="str">
        <f t="shared" si="6"/>
        <v/>
      </c>
      <c r="C64" s="24"/>
      <c r="D64" s="24"/>
      <c r="E64" s="24"/>
      <c r="F64" s="24"/>
      <c r="G64" s="5"/>
      <c r="H64" s="17">
        <v>59</v>
      </c>
      <c r="I64" s="18" t="str">
        <f t="shared" si="0"/>
        <v/>
      </c>
      <c r="J64" s="17">
        <f t="shared" si="3"/>
        <v>-4</v>
      </c>
      <c r="K64" s="17">
        <f t="shared" si="1"/>
        <v>-40</v>
      </c>
      <c r="L64" s="17"/>
      <c r="M64" s="19" t="str">
        <f t="shared" si="4"/>
        <v/>
      </c>
    </row>
    <row r="65" spans="1:13">
      <c r="A65" s="41">
        <f t="shared" si="2"/>
        <v>0</v>
      </c>
      <c r="B65" s="35" t="str">
        <f t="shared" si="6"/>
        <v/>
      </c>
      <c r="C65" s="25"/>
      <c r="D65" s="25"/>
      <c r="E65" s="25"/>
      <c r="F65" s="25"/>
      <c r="G65" s="5"/>
      <c r="H65" s="44">
        <v>60</v>
      </c>
      <c r="I65" s="45" t="str">
        <f t="shared" si="0"/>
        <v/>
      </c>
      <c r="J65" s="44">
        <f t="shared" si="3"/>
        <v>-4</v>
      </c>
      <c r="K65" s="44">
        <f t="shared" si="1"/>
        <v>-40</v>
      </c>
      <c r="L65" s="44"/>
      <c r="M65" s="46" t="str">
        <f t="shared" si="4"/>
        <v/>
      </c>
    </row>
    <row r="66" spans="1:13">
      <c r="A66" s="43"/>
      <c r="B66" s="36"/>
      <c r="G66" s="5"/>
      <c r="H66" s="17">
        <v>61</v>
      </c>
      <c r="I66" s="18" t="str">
        <f t="shared" si="0"/>
        <v/>
      </c>
      <c r="J66" s="17">
        <f t="shared" si="3"/>
        <v>-4</v>
      </c>
      <c r="K66" s="17">
        <f t="shared" si="1"/>
        <v>-40</v>
      </c>
      <c r="L66" s="17"/>
      <c r="M66" s="19" t="str">
        <f t="shared" si="4"/>
        <v/>
      </c>
    </row>
    <row r="67" spans="1:13">
      <c r="A67" s="43"/>
      <c r="B67" s="35"/>
      <c r="G67" s="5"/>
      <c r="H67" s="17">
        <v>62</v>
      </c>
      <c r="I67" s="18" t="str">
        <f t="shared" si="0"/>
        <v/>
      </c>
      <c r="J67" s="17">
        <f t="shared" si="3"/>
        <v>-4</v>
      </c>
      <c r="K67" s="17">
        <f t="shared" si="1"/>
        <v>-40</v>
      </c>
      <c r="L67" s="17"/>
      <c r="M67" s="19" t="str">
        <f t="shared" si="4"/>
        <v/>
      </c>
    </row>
    <row r="68" spans="1:13">
      <c r="A68" s="43"/>
      <c r="B68" s="36"/>
      <c r="G68" s="5"/>
      <c r="H68" s="17">
        <v>63</v>
      </c>
      <c r="I68" s="18" t="str">
        <f t="shared" si="0"/>
        <v/>
      </c>
      <c r="J68" s="17">
        <f t="shared" si="3"/>
        <v>-4</v>
      </c>
      <c r="K68" s="17">
        <f t="shared" si="1"/>
        <v>-40</v>
      </c>
      <c r="L68" s="17"/>
      <c r="M68" s="19" t="str">
        <f t="shared" si="4"/>
        <v/>
      </c>
    </row>
    <row r="69" spans="1:13">
      <c r="A69" s="43"/>
      <c r="B69" s="35"/>
      <c r="G69" s="5"/>
      <c r="H69" s="17">
        <v>64</v>
      </c>
      <c r="I69" s="18" t="str">
        <f t="shared" si="0"/>
        <v/>
      </c>
      <c r="J69" s="17">
        <f t="shared" si="3"/>
        <v>-4</v>
      </c>
      <c r="K69" s="17">
        <f t="shared" si="1"/>
        <v>-40</v>
      </c>
      <c r="L69" s="17"/>
      <c r="M69" s="19" t="str">
        <f t="shared" si="4"/>
        <v/>
      </c>
    </row>
    <row r="70" spans="1:13">
      <c r="A70" s="43"/>
      <c r="G70" s="5"/>
      <c r="H70" s="17">
        <v>65</v>
      </c>
      <c r="I70" s="18" t="str">
        <f t="shared" ref="I70:I133" si="7">IF(H70&lt;$H$2+1,($I$2-($I$2-1)*(LOG(H70)/LOG($H$2))),"")</f>
        <v/>
      </c>
      <c r="J70" s="17">
        <f t="shared" si="3"/>
        <v>-5</v>
      </c>
      <c r="K70" s="17">
        <f t="shared" ref="K70:K133" si="8">J70*$J$2</f>
        <v>-50</v>
      </c>
      <c r="L70" s="17"/>
      <c r="M70" s="19" t="str">
        <f t="shared" si="4"/>
        <v/>
      </c>
    </row>
    <row r="71" spans="1:13">
      <c r="A71" s="43"/>
      <c r="G71" s="5"/>
      <c r="H71" s="17">
        <v>66</v>
      </c>
      <c r="I71" s="18" t="str">
        <f t="shared" si="7"/>
        <v/>
      </c>
      <c r="J71" s="17">
        <f t="shared" ref="J71:J134" si="9">INT(LOG($H$2,2))-ROUNDUP(LOG(H71,2),0)+IF(OR($H$2=1,$H$2=2,$H$2=4,$H$2=8,$H$2=16,$H$2=32,$H$2=64,$H$2=128,$H$2=256),0,1)</f>
        <v>-5</v>
      </c>
      <c r="K71" s="17">
        <f t="shared" si="8"/>
        <v>-50</v>
      </c>
      <c r="L71" s="17"/>
      <c r="M71" s="19" t="str">
        <f t="shared" ref="M71:M134" si="10">IF(I71&lt;&gt;"",K71+I71+L71,"")</f>
        <v/>
      </c>
    </row>
    <row r="72" spans="1:13">
      <c r="A72" s="43"/>
      <c r="G72" s="5"/>
      <c r="H72" s="17">
        <v>67</v>
      </c>
      <c r="I72" s="18" t="str">
        <f t="shared" si="7"/>
        <v/>
      </c>
      <c r="J72" s="17">
        <f t="shared" si="9"/>
        <v>-5</v>
      </c>
      <c r="K72" s="17">
        <f t="shared" si="8"/>
        <v>-50</v>
      </c>
      <c r="L72" s="17"/>
      <c r="M72" s="19" t="str">
        <f t="shared" si="10"/>
        <v/>
      </c>
    </row>
    <row r="73" spans="1:13">
      <c r="A73" s="43"/>
      <c r="G73" s="5"/>
      <c r="H73" s="17">
        <v>68</v>
      </c>
      <c r="I73" s="18" t="str">
        <f t="shared" si="7"/>
        <v/>
      </c>
      <c r="J73" s="17">
        <f t="shared" si="9"/>
        <v>-5</v>
      </c>
      <c r="K73" s="17">
        <f t="shared" si="8"/>
        <v>-50</v>
      </c>
      <c r="L73" s="17"/>
      <c r="M73" s="19" t="str">
        <f t="shared" si="10"/>
        <v/>
      </c>
    </row>
    <row r="74" spans="1:13">
      <c r="A74" s="43"/>
      <c r="G74" s="5"/>
      <c r="H74" s="17">
        <v>69</v>
      </c>
      <c r="I74" s="18" t="str">
        <f t="shared" si="7"/>
        <v/>
      </c>
      <c r="J74" s="17">
        <f t="shared" si="9"/>
        <v>-5</v>
      </c>
      <c r="K74" s="17">
        <f t="shared" si="8"/>
        <v>-50</v>
      </c>
      <c r="L74" s="17"/>
      <c r="M74" s="19" t="str">
        <f t="shared" si="10"/>
        <v/>
      </c>
    </row>
    <row r="75" spans="1:13">
      <c r="A75" s="43"/>
      <c r="G75" s="5"/>
      <c r="H75" s="17">
        <v>70</v>
      </c>
      <c r="I75" s="18" t="str">
        <f t="shared" si="7"/>
        <v/>
      </c>
      <c r="J75" s="17">
        <f t="shared" si="9"/>
        <v>-5</v>
      </c>
      <c r="K75" s="17">
        <f t="shared" si="8"/>
        <v>-50</v>
      </c>
      <c r="L75" s="17"/>
      <c r="M75" s="19" t="str">
        <f t="shared" si="10"/>
        <v/>
      </c>
    </row>
    <row r="76" spans="1:13">
      <c r="A76" s="43"/>
      <c r="G76" s="5"/>
      <c r="H76" s="17">
        <v>71</v>
      </c>
      <c r="I76" s="18" t="str">
        <f t="shared" si="7"/>
        <v/>
      </c>
      <c r="J76" s="17">
        <f t="shared" si="9"/>
        <v>-5</v>
      </c>
      <c r="K76" s="17">
        <f t="shared" si="8"/>
        <v>-50</v>
      </c>
      <c r="L76" s="17"/>
      <c r="M76" s="19" t="str">
        <f t="shared" si="10"/>
        <v/>
      </c>
    </row>
    <row r="77" spans="1:13">
      <c r="A77" s="43"/>
      <c r="G77" s="5"/>
      <c r="H77" s="17">
        <v>72</v>
      </c>
      <c r="I77" s="18" t="str">
        <f t="shared" si="7"/>
        <v/>
      </c>
      <c r="J77" s="17">
        <f t="shared" si="9"/>
        <v>-5</v>
      </c>
      <c r="K77" s="17">
        <f t="shared" si="8"/>
        <v>-50</v>
      </c>
      <c r="L77" s="17"/>
      <c r="M77" s="19" t="str">
        <f t="shared" si="10"/>
        <v/>
      </c>
    </row>
    <row r="78" spans="1:13">
      <c r="A78" s="43"/>
      <c r="G78" s="5"/>
      <c r="H78" s="17">
        <v>73</v>
      </c>
      <c r="I78" s="18" t="str">
        <f t="shared" si="7"/>
        <v/>
      </c>
      <c r="J78" s="17">
        <f t="shared" si="9"/>
        <v>-5</v>
      </c>
      <c r="K78" s="17">
        <f t="shared" si="8"/>
        <v>-50</v>
      </c>
      <c r="L78" s="17"/>
      <c r="M78" s="19" t="str">
        <f t="shared" si="10"/>
        <v/>
      </c>
    </row>
    <row r="79" spans="1:13">
      <c r="A79" s="43"/>
      <c r="G79" s="5"/>
      <c r="H79" s="17">
        <v>74</v>
      </c>
      <c r="I79" s="18" t="str">
        <f t="shared" si="7"/>
        <v/>
      </c>
      <c r="J79" s="17">
        <f t="shared" si="9"/>
        <v>-5</v>
      </c>
      <c r="K79" s="17">
        <f t="shared" si="8"/>
        <v>-50</v>
      </c>
      <c r="L79" s="17"/>
      <c r="M79" s="19" t="str">
        <f t="shared" si="10"/>
        <v/>
      </c>
    </row>
    <row r="80" spans="1:13">
      <c r="A80" s="43"/>
      <c r="G80" s="5"/>
      <c r="H80" s="17">
        <v>75</v>
      </c>
      <c r="I80" s="18" t="str">
        <f t="shared" si="7"/>
        <v/>
      </c>
      <c r="J80" s="17">
        <f t="shared" si="9"/>
        <v>-5</v>
      </c>
      <c r="K80" s="17">
        <f t="shared" si="8"/>
        <v>-50</v>
      </c>
      <c r="L80" s="17"/>
      <c r="M80" s="19" t="str">
        <f t="shared" si="10"/>
        <v/>
      </c>
    </row>
    <row r="81" spans="1:13">
      <c r="A81" s="43"/>
      <c r="G81" s="5"/>
      <c r="H81" s="17">
        <v>76</v>
      </c>
      <c r="I81" s="18" t="str">
        <f t="shared" si="7"/>
        <v/>
      </c>
      <c r="J81" s="17">
        <f t="shared" si="9"/>
        <v>-5</v>
      </c>
      <c r="K81" s="17">
        <f t="shared" si="8"/>
        <v>-50</v>
      </c>
      <c r="L81" s="17"/>
      <c r="M81" s="19" t="str">
        <f t="shared" si="10"/>
        <v/>
      </c>
    </row>
    <row r="82" spans="1:13">
      <c r="A82" s="43"/>
      <c r="G82" s="5"/>
      <c r="H82" s="17">
        <v>77</v>
      </c>
      <c r="I82" s="18" t="str">
        <f t="shared" si="7"/>
        <v/>
      </c>
      <c r="J82" s="17">
        <f t="shared" si="9"/>
        <v>-5</v>
      </c>
      <c r="K82" s="17">
        <f t="shared" si="8"/>
        <v>-50</v>
      </c>
      <c r="L82" s="17"/>
      <c r="M82" s="19" t="str">
        <f t="shared" si="10"/>
        <v/>
      </c>
    </row>
    <row r="83" spans="1:13">
      <c r="A83" s="43"/>
      <c r="G83" s="5"/>
      <c r="H83" s="17">
        <v>78</v>
      </c>
      <c r="I83" s="18" t="str">
        <f t="shared" si="7"/>
        <v/>
      </c>
      <c r="J83" s="17">
        <f t="shared" si="9"/>
        <v>-5</v>
      </c>
      <c r="K83" s="17">
        <f t="shared" si="8"/>
        <v>-50</v>
      </c>
      <c r="L83" s="17"/>
      <c r="M83" s="19" t="str">
        <f t="shared" si="10"/>
        <v/>
      </c>
    </row>
    <row r="84" spans="1:13">
      <c r="A84" s="43"/>
      <c r="G84" s="5"/>
      <c r="H84" s="17">
        <v>79</v>
      </c>
      <c r="I84" s="18" t="str">
        <f t="shared" si="7"/>
        <v/>
      </c>
      <c r="J84" s="17">
        <f t="shared" si="9"/>
        <v>-5</v>
      </c>
      <c r="K84" s="17">
        <f t="shared" si="8"/>
        <v>-50</v>
      </c>
      <c r="L84" s="17"/>
      <c r="M84" s="19" t="str">
        <f t="shared" si="10"/>
        <v/>
      </c>
    </row>
    <row r="85" spans="1:13">
      <c r="A85" s="43"/>
      <c r="G85" s="5"/>
      <c r="H85" s="17">
        <v>80</v>
      </c>
      <c r="I85" s="18" t="str">
        <f t="shared" si="7"/>
        <v/>
      </c>
      <c r="J85" s="17">
        <f t="shared" si="9"/>
        <v>-5</v>
      </c>
      <c r="K85" s="17">
        <f t="shared" si="8"/>
        <v>-50</v>
      </c>
      <c r="L85" s="17"/>
      <c r="M85" s="19" t="str">
        <f t="shared" si="10"/>
        <v/>
      </c>
    </row>
    <row r="86" spans="1:13">
      <c r="A86" s="43"/>
      <c r="G86" s="5"/>
      <c r="H86" s="17">
        <v>81</v>
      </c>
      <c r="I86" s="18" t="str">
        <f t="shared" si="7"/>
        <v/>
      </c>
      <c r="J86" s="17">
        <f t="shared" si="9"/>
        <v>-5</v>
      </c>
      <c r="K86" s="17">
        <f t="shared" si="8"/>
        <v>-50</v>
      </c>
      <c r="L86" s="17"/>
      <c r="M86" s="19" t="str">
        <f t="shared" si="10"/>
        <v/>
      </c>
    </row>
    <row r="87" spans="1:13">
      <c r="A87" s="43"/>
      <c r="G87" s="5"/>
      <c r="H87" s="17">
        <v>82</v>
      </c>
      <c r="I87" s="18" t="str">
        <f t="shared" si="7"/>
        <v/>
      </c>
      <c r="J87" s="17">
        <f t="shared" si="9"/>
        <v>-5</v>
      </c>
      <c r="K87" s="17">
        <f t="shared" si="8"/>
        <v>-50</v>
      </c>
      <c r="L87" s="17"/>
      <c r="M87" s="19" t="str">
        <f t="shared" si="10"/>
        <v/>
      </c>
    </row>
    <row r="88" spans="1:13">
      <c r="A88" s="43"/>
      <c r="G88" s="5"/>
      <c r="H88" s="17">
        <v>83</v>
      </c>
      <c r="I88" s="18" t="str">
        <f t="shared" si="7"/>
        <v/>
      </c>
      <c r="J88" s="17">
        <f t="shared" si="9"/>
        <v>-5</v>
      </c>
      <c r="K88" s="17">
        <f t="shared" si="8"/>
        <v>-50</v>
      </c>
      <c r="L88" s="17"/>
      <c r="M88" s="19" t="str">
        <f t="shared" si="10"/>
        <v/>
      </c>
    </row>
    <row r="89" spans="1:13">
      <c r="A89" s="43"/>
      <c r="G89" s="5"/>
      <c r="H89" s="17">
        <v>84</v>
      </c>
      <c r="I89" s="18" t="str">
        <f t="shared" si="7"/>
        <v/>
      </c>
      <c r="J89" s="17">
        <f t="shared" si="9"/>
        <v>-5</v>
      </c>
      <c r="K89" s="17">
        <f t="shared" si="8"/>
        <v>-50</v>
      </c>
      <c r="L89" s="17"/>
      <c r="M89" s="19" t="str">
        <f t="shared" si="10"/>
        <v/>
      </c>
    </row>
    <row r="90" spans="1:13">
      <c r="A90" s="43"/>
      <c r="G90" s="5"/>
      <c r="H90" s="17">
        <v>85</v>
      </c>
      <c r="I90" s="18" t="str">
        <f t="shared" si="7"/>
        <v/>
      </c>
      <c r="J90" s="17">
        <f t="shared" si="9"/>
        <v>-5</v>
      </c>
      <c r="K90" s="17">
        <f t="shared" si="8"/>
        <v>-50</v>
      </c>
      <c r="L90" s="17"/>
      <c r="M90" s="19" t="str">
        <f t="shared" si="10"/>
        <v/>
      </c>
    </row>
    <row r="91" spans="1:13">
      <c r="A91" s="43"/>
      <c r="G91" s="5"/>
      <c r="H91" s="17">
        <v>86</v>
      </c>
      <c r="I91" s="18" t="str">
        <f t="shared" si="7"/>
        <v/>
      </c>
      <c r="J91" s="17">
        <f t="shared" si="9"/>
        <v>-5</v>
      </c>
      <c r="K91" s="17">
        <f t="shared" si="8"/>
        <v>-50</v>
      </c>
      <c r="L91" s="17"/>
      <c r="M91" s="19" t="str">
        <f t="shared" si="10"/>
        <v/>
      </c>
    </row>
    <row r="92" spans="1:13">
      <c r="A92" s="43"/>
      <c r="G92" s="5"/>
      <c r="H92" s="17">
        <v>87</v>
      </c>
      <c r="I92" s="18" t="str">
        <f t="shared" si="7"/>
        <v/>
      </c>
      <c r="J92" s="17">
        <f t="shared" si="9"/>
        <v>-5</v>
      </c>
      <c r="K92" s="17">
        <f t="shared" si="8"/>
        <v>-50</v>
      </c>
      <c r="L92" s="17"/>
      <c r="M92" s="19" t="str">
        <f t="shared" si="10"/>
        <v/>
      </c>
    </row>
    <row r="93" spans="1:13">
      <c r="A93" s="43"/>
      <c r="G93" s="5"/>
      <c r="H93" s="17">
        <v>88</v>
      </c>
      <c r="I93" s="18" t="str">
        <f t="shared" si="7"/>
        <v/>
      </c>
      <c r="J93" s="17">
        <f t="shared" si="9"/>
        <v>-5</v>
      </c>
      <c r="K93" s="17">
        <f t="shared" si="8"/>
        <v>-50</v>
      </c>
      <c r="L93" s="17"/>
      <c r="M93" s="19" t="str">
        <f t="shared" si="10"/>
        <v/>
      </c>
    </row>
    <row r="94" spans="1:13">
      <c r="A94" s="43"/>
      <c r="G94" s="5"/>
      <c r="H94" s="17">
        <v>89</v>
      </c>
      <c r="I94" s="18" t="str">
        <f t="shared" si="7"/>
        <v/>
      </c>
      <c r="J94" s="17">
        <f t="shared" si="9"/>
        <v>-5</v>
      </c>
      <c r="K94" s="17">
        <f t="shared" si="8"/>
        <v>-50</v>
      </c>
      <c r="L94" s="17"/>
      <c r="M94" s="19" t="str">
        <f t="shared" si="10"/>
        <v/>
      </c>
    </row>
    <row r="95" spans="1:13">
      <c r="A95" s="43"/>
      <c r="G95" s="5"/>
      <c r="H95" s="17">
        <v>90</v>
      </c>
      <c r="I95" s="18" t="str">
        <f t="shared" si="7"/>
        <v/>
      </c>
      <c r="J95" s="17">
        <f t="shared" si="9"/>
        <v>-5</v>
      </c>
      <c r="K95" s="17">
        <f t="shared" si="8"/>
        <v>-50</v>
      </c>
      <c r="L95" s="17"/>
      <c r="M95" s="19" t="str">
        <f t="shared" si="10"/>
        <v/>
      </c>
    </row>
    <row r="96" spans="1:13">
      <c r="A96" s="43"/>
      <c r="G96" s="5"/>
      <c r="H96" s="17">
        <v>91</v>
      </c>
      <c r="I96" s="18" t="str">
        <f t="shared" si="7"/>
        <v/>
      </c>
      <c r="J96" s="17">
        <f t="shared" si="9"/>
        <v>-5</v>
      </c>
      <c r="K96" s="17">
        <f t="shared" si="8"/>
        <v>-50</v>
      </c>
      <c r="L96" s="17"/>
      <c r="M96" s="19" t="str">
        <f t="shared" si="10"/>
        <v/>
      </c>
    </row>
    <row r="97" spans="1:13">
      <c r="A97" s="43"/>
      <c r="G97" s="5"/>
      <c r="H97" s="17">
        <v>92</v>
      </c>
      <c r="I97" s="18" t="str">
        <f t="shared" si="7"/>
        <v/>
      </c>
      <c r="J97" s="17">
        <f t="shared" si="9"/>
        <v>-5</v>
      </c>
      <c r="K97" s="17">
        <f t="shared" si="8"/>
        <v>-50</v>
      </c>
      <c r="L97" s="17"/>
      <c r="M97" s="19" t="str">
        <f t="shared" si="10"/>
        <v/>
      </c>
    </row>
    <row r="98" spans="1:13">
      <c r="A98" s="43"/>
      <c r="G98" s="5"/>
      <c r="H98" s="17">
        <v>93</v>
      </c>
      <c r="I98" s="18" t="str">
        <f t="shared" si="7"/>
        <v/>
      </c>
      <c r="J98" s="17">
        <f t="shared" si="9"/>
        <v>-5</v>
      </c>
      <c r="K98" s="17">
        <f t="shared" si="8"/>
        <v>-50</v>
      </c>
      <c r="L98" s="17"/>
      <c r="M98" s="19" t="str">
        <f t="shared" si="10"/>
        <v/>
      </c>
    </row>
    <row r="99" spans="1:13">
      <c r="A99" s="43"/>
      <c r="G99" s="5"/>
      <c r="H99" s="17">
        <v>94</v>
      </c>
      <c r="I99" s="18" t="str">
        <f t="shared" si="7"/>
        <v/>
      </c>
      <c r="J99" s="17">
        <f t="shared" si="9"/>
        <v>-5</v>
      </c>
      <c r="K99" s="17">
        <f t="shared" si="8"/>
        <v>-50</v>
      </c>
      <c r="L99" s="17"/>
      <c r="M99" s="19" t="str">
        <f t="shared" si="10"/>
        <v/>
      </c>
    </row>
    <row r="100" spans="1:13">
      <c r="A100" s="43"/>
      <c r="G100" s="5"/>
      <c r="H100" s="17">
        <v>95</v>
      </c>
      <c r="I100" s="18" t="str">
        <f t="shared" si="7"/>
        <v/>
      </c>
      <c r="J100" s="17">
        <f t="shared" si="9"/>
        <v>-5</v>
      </c>
      <c r="K100" s="17">
        <f t="shared" si="8"/>
        <v>-50</v>
      </c>
      <c r="L100" s="17"/>
      <c r="M100" s="19" t="str">
        <f t="shared" si="10"/>
        <v/>
      </c>
    </row>
    <row r="101" spans="1:13">
      <c r="A101" s="43"/>
      <c r="G101" s="5"/>
      <c r="H101" s="17">
        <v>96</v>
      </c>
      <c r="I101" s="18" t="str">
        <f t="shared" si="7"/>
        <v/>
      </c>
      <c r="J101" s="17">
        <f t="shared" si="9"/>
        <v>-5</v>
      </c>
      <c r="K101" s="17">
        <f t="shared" si="8"/>
        <v>-50</v>
      </c>
      <c r="L101" s="17"/>
      <c r="M101" s="19" t="str">
        <f t="shared" si="10"/>
        <v/>
      </c>
    </row>
    <row r="102" spans="1:13">
      <c r="A102" s="43"/>
      <c r="G102" s="5"/>
      <c r="H102" s="17">
        <v>97</v>
      </c>
      <c r="I102" s="18" t="str">
        <f t="shared" si="7"/>
        <v/>
      </c>
      <c r="J102" s="17">
        <f t="shared" si="9"/>
        <v>-5</v>
      </c>
      <c r="K102" s="17">
        <f t="shared" si="8"/>
        <v>-50</v>
      </c>
      <c r="L102" s="17"/>
      <c r="M102" s="19" t="str">
        <f t="shared" si="10"/>
        <v/>
      </c>
    </row>
    <row r="103" spans="1:13">
      <c r="A103" s="43"/>
      <c r="G103" s="5"/>
      <c r="H103" s="17">
        <v>98</v>
      </c>
      <c r="I103" s="18" t="str">
        <f t="shared" si="7"/>
        <v/>
      </c>
      <c r="J103" s="17">
        <f t="shared" si="9"/>
        <v>-5</v>
      </c>
      <c r="K103" s="17">
        <f t="shared" si="8"/>
        <v>-50</v>
      </c>
      <c r="L103" s="17"/>
      <c r="M103" s="19" t="str">
        <f t="shared" si="10"/>
        <v/>
      </c>
    </row>
    <row r="104" spans="1:13">
      <c r="A104" s="43"/>
      <c r="G104" s="5"/>
      <c r="H104" s="17">
        <v>99</v>
      </c>
      <c r="I104" s="18" t="str">
        <f t="shared" si="7"/>
        <v/>
      </c>
      <c r="J104" s="17">
        <f t="shared" si="9"/>
        <v>-5</v>
      </c>
      <c r="K104" s="17">
        <f t="shared" si="8"/>
        <v>-50</v>
      </c>
      <c r="L104" s="17"/>
      <c r="M104" s="19" t="str">
        <f t="shared" si="10"/>
        <v/>
      </c>
    </row>
    <row r="105" spans="1:13">
      <c r="A105" s="43"/>
      <c r="G105" s="5"/>
      <c r="H105" s="17">
        <v>100</v>
      </c>
      <c r="I105" s="18" t="str">
        <f t="shared" si="7"/>
        <v/>
      </c>
      <c r="J105" s="17">
        <f t="shared" si="9"/>
        <v>-5</v>
      </c>
      <c r="K105" s="17">
        <f t="shared" si="8"/>
        <v>-50</v>
      </c>
      <c r="L105" s="17"/>
      <c r="M105" s="19" t="str">
        <f t="shared" si="10"/>
        <v/>
      </c>
    </row>
    <row r="106" spans="1:13">
      <c r="A106" s="43"/>
      <c r="G106" s="5"/>
      <c r="H106" s="17">
        <v>101</v>
      </c>
      <c r="I106" s="18" t="str">
        <f t="shared" si="7"/>
        <v/>
      </c>
      <c r="J106" s="17">
        <f t="shared" si="9"/>
        <v>-5</v>
      </c>
      <c r="K106" s="17">
        <f t="shared" si="8"/>
        <v>-50</v>
      </c>
      <c r="L106" s="17"/>
      <c r="M106" s="19" t="str">
        <f t="shared" si="10"/>
        <v/>
      </c>
    </row>
    <row r="107" spans="1:13">
      <c r="A107" s="43"/>
      <c r="G107" s="5"/>
      <c r="H107" s="17">
        <v>102</v>
      </c>
      <c r="I107" s="18" t="str">
        <f t="shared" si="7"/>
        <v/>
      </c>
      <c r="J107" s="17">
        <f t="shared" si="9"/>
        <v>-5</v>
      </c>
      <c r="K107" s="17">
        <f t="shared" si="8"/>
        <v>-50</v>
      </c>
      <c r="L107" s="17"/>
      <c r="M107" s="19" t="str">
        <f t="shared" si="10"/>
        <v/>
      </c>
    </row>
    <row r="108" spans="1:13">
      <c r="A108" s="43"/>
      <c r="G108" s="5"/>
      <c r="H108" s="17">
        <v>103</v>
      </c>
      <c r="I108" s="18" t="str">
        <f t="shared" si="7"/>
        <v/>
      </c>
      <c r="J108" s="17">
        <f t="shared" si="9"/>
        <v>-5</v>
      </c>
      <c r="K108" s="17">
        <f t="shared" si="8"/>
        <v>-50</v>
      </c>
      <c r="L108" s="17"/>
      <c r="M108" s="19" t="str">
        <f t="shared" si="10"/>
        <v/>
      </c>
    </row>
    <row r="109" spans="1:13">
      <c r="A109" s="43"/>
      <c r="G109" s="5"/>
      <c r="H109" s="17">
        <v>104</v>
      </c>
      <c r="I109" s="18" t="str">
        <f t="shared" si="7"/>
        <v/>
      </c>
      <c r="J109" s="17">
        <f t="shared" si="9"/>
        <v>-5</v>
      </c>
      <c r="K109" s="17">
        <f t="shared" si="8"/>
        <v>-50</v>
      </c>
      <c r="L109" s="17"/>
      <c r="M109" s="19" t="str">
        <f t="shared" si="10"/>
        <v/>
      </c>
    </row>
    <row r="110" spans="1:13">
      <c r="A110" s="43"/>
      <c r="G110" s="5"/>
      <c r="H110" s="17">
        <v>105</v>
      </c>
      <c r="I110" s="18" t="str">
        <f t="shared" si="7"/>
        <v/>
      </c>
      <c r="J110" s="17">
        <f t="shared" si="9"/>
        <v>-5</v>
      </c>
      <c r="K110" s="17">
        <f t="shared" si="8"/>
        <v>-50</v>
      </c>
      <c r="L110" s="17"/>
      <c r="M110" s="19" t="str">
        <f t="shared" si="10"/>
        <v/>
      </c>
    </row>
    <row r="111" spans="1:13">
      <c r="A111" s="43"/>
      <c r="G111" s="5"/>
      <c r="H111" s="17">
        <v>106</v>
      </c>
      <c r="I111" s="18" t="str">
        <f t="shared" si="7"/>
        <v/>
      </c>
      <c r="J111" s="17">
        <f t="shared" si="9"/>
        <v>-5</v>
      </c>
      <c r="K111" s="17">
        <f t="shared" si="8"/>
        <v>-50</v>
      </c>
      <c r="L111" s="17"/>
      <c r="M111" s="19" t="str">
        <f t="shared" si="10"/>
        <v/>
      </c>
    </row>
    <row r="112" spans="1:13">
      <c r="A112" s="43"/>
      <c r="G112" s="5"/>
      <c r="H112" s="17">
        <v>107</v>
      </c>
      <c r="I112" s="18" t="str">
        <f t="shared" si="7"/>
        <v/>
      </c>
      <c r="J112" s="17">
        <f t="shared" si="9"/>
        <v>-5</v>
      </c>
      <c r="K112" s="17">
        <f t="shared" si="8"/>
        <v>-50</v>
      </c>
      <c r="L112" s="17"/>
      <c r="M112" s="19" t="str">
        <f t="shared" si="10"/>
        <v/>
      </c>
    </row>
    <row r="113" spans="1:13">
      <c r="A113" s="43"/>
      <c r="G113" s="5"/>
      <c r="H113" s="17">
        <v>108</v>
      </c>
      <c r="I113" s="18" t="str">
        <f t="shared" si="7"/>
        <v/>
      </c>
      <c r="J113" s="17">
        <f t="shared" si="9"/>
        <v>-5</v>
      </c>
      <c r="K113" s="17">
        <f t="shared" si="8"/>
        <v>-50</v>
      </c>
      <c r="L113" s="17"/>
      <c r="M113" s="19" t="str">
        <f t="shared" si="10"/>
        <v/>
      </c>
    </row>
    <row r="114" spans="1:13">
      <c r="A114" s="43"/>
      <c r="G114" s="5"/>
      <c r="H114" s="17">
        <v>109</v>
      </c>
      <c r="I114" s="18" t="str">
        <f t="shared" si="7"/>
        <v/>
      </c>
      <c r="J114" s="17">
        <f t="shared" si="9"/>
        <v>-5</v>
      </c>
      <c r="K114" s="17">
        <f t="shared" si="8"/>
        <v>-50</v>
      </c>
      <c r="L114" s="17"/>
      <c r="M114" s="19" t="str">
        <f t="shared" si="10"/>
        <v/>
      </c>
    </row>
    <row r="115" spans="1:13">
      <c r="A115" s="43"/>
      <c r="G115" s="5"/>
      <c r="H115" s="17">
        <v>110</v>
      </c>
      <c r="I115" s="18" t="str">
        <f t="shared" si="7"/>
        <v/>
      </c>
      <c r="J115" s="17">
        <f t="shared" si="9"/>
        <v>-5</v>
      </c>
      <c r="K115" s="17">
        <f t="shared" si="8"/>
        <v>-50</v>
      </c>
      <c r="L115" s="17"/>
      <c r="M115" s="19" t="str">
        <f t="shared" si="10"/>
        <v/>
      </c>
    </row>
    <row r="116" spans="1:13">
      <c r="A116" s="43"/>
      <c r="G116" s="5"/>
      <c r="H116" s="17">
        <v>111</v>
      </c>
      <c r="I116" s="18" t="str">
        <f t="shared" si="7"/>
        <v/>
      </c>
      <c r="J116" s="17">
        <f t="shared" si="9"/>
        <v>-5</v>
      </c>
      <c r="K116" s="17">
        <f t="shared" si="8"/>
        <v>-50</v>
      </c>
      <c r="L116" s="17"/>
      <c r="M116" s="19" t="str">
        <f t="shared" si="10"/>
        <v/>
      </c>
    </row>
    <row r="117" spans="1:13">
      <c r="A117" s="43"/>
      <c r="G117" s="5"/>
      <c r="H117" s="17">
        <v>112</v>
      </c>
      <c r="I117" s="18" t="str">
        <f t="shared" si="7"/>
        <v/>
      </c>
      <c r="J117" s="17">
        <f t="shared" si="9"/>
        <v>-5</v>
      </c>
      <c r="K117" s="17">
        <f t="shared" si="8"/>
        <v>-50</v>
      </c>
      <c r="L117" s="17"/>
      <c r="M117" s="19" t="str">
        <f t="shared" si="10"/>
        <v/>
      </c>
    </row>
    <row r="118" spans="1:13">
      <c r="A118" s="43"/>
      <c r="G118" s="5"/>
      <c r="H118" s="17">
        <v>113</v>
      </c>
      <c r="I118" s="18" t="str">
        <f t="shared" si="7"/>
        <v/>
      </c>
      <c r="J118" s="17">
        <f t="shared" si="9"/>
        <v>-5</v>
      </c>
      <c r="K118" s="17">
        <f t="shared" si="8"/>
        <v>-50</v>
      </c>
      <c r="L118" s="17"/>
      <c r="M118" s="19" t="str">
        <f t="shared" si="10"/>
        <v/>
      </c>
    </row>
    <row r="119" spans="1:13">
      <c r="A119" s="43"/>
      <c r="G119" s="5"/>
      <c r="H119" s="17">
        <v>114</v>
      </c>
      <c r="I119" s="18" t="str">
        <f t="shared" si="7"/>
        <v/>
      </c>
      <c r="J119" s="17">
        <f t="shared" si="9"/>
        <v>-5</v>
      </c>
      <c r="K119" s="17">
        <f t="shared" si="8"/>
        <v>-50</v>
      </c>
      <c r="L119" s="17"/>
      <c r="M119" s="19" t="str">
        <f t="shared" si="10"/>
        <v/>
      </c>
    </row>
    <row r="120" spans="1:13">
      <c r="A120" s="43"/>
      <c r="G120" s="5"/>
      <c r="H120" s="17">
        <v>115</v>
      </c>
      <c r="I120" s="18" t="str">
        <f t="shared" si="7"/>
        <v/>
      </c>
      <c r="J120" s="17">
        <f t="shared" si="9"/>
        <v>-5</v>
      </c>
      <c r="K120" s="17">
        <f t="shared" si="8"/>
        <v>-50</v>
      </c>
      <c r="L120" s="17"/>
      <c r="M120" s="19" t="str">
        <f t="shared" si="10"/>
        <v/>
      </c>
    </row>
    <row r="121" spans="1:13">
      <c r="A121" s="43"/>
      <c r="G121" s="5"/>
      <c r="H121" s="17">
        <v>116</v>
      </c>
      <c r="I121" s="18" t="str">
        <f t="shared" si="7"/>
        <v/>
      </c>
      <c r="J121" s="17">
        <f t="shared" si="9"/>
        <v>-5</v>
      </c>
      <c r="K121" s="17">
        <f t="shared" si="8"/>
        <v>-50</v>
      </c>
      <c r="L121" s="17"/>
      <c r="M121" s="19" t="str">
        <f t="shared" si="10"/>
        <v/>
      </c>
    </row>
    <row r="122" spans="1:13">
      <c r="A122" s="43"/>
      <c r="G122" s="5"/>
      <c r="H122" s="17">
        <v>117</v>
      </c>
      <c r="I122" s="18" t="str">
        <f t="shared" si="7"/>
        <v/>
      </c>
      <c r="J122" s="17">
        <f t="shared" si="9"/>
        <v>-5</v>
      </c>
      <c r="K122" s="17">
        <f t="shared" si="8"/>
        <v>-50</v>
      </c>
      <c r="L122" s="17"/>
      <c r="M122" s="19" t="str">
        <f t="shared" si="10"/>
        <v/>
      </c>
    </row>
    <row r="123" spans="1:13">
      <c r="A123" s="43"/>
      <c r="G123" s="5"/>
      <c r="H123" s="17">
        <v>118</v>
      </c>
      <c r="I123" s="18" t="str">
        <f t="shared" si="7"/>
        <v/>
      </c>
      <c r="J123" s="17">
        <f t="shared" si="9"/>
        <v>-5</v>
      </c>
      <c r="K123" s="17">
        <f t="shared" si="8"/>
        <v>-50</v>
      </c>
      <c r="L123" s="17"/>
      <c r="M123" s="19" t="str">
        <f t="shared" si="10"/>
        <v/>
      </c>
    </row>
    <row r="124" spans="1:13">
      <c r="A124" s="43"/>
      <c r="G124" s="5"/>
      <c r="H124" s="17">
        <v>119</v>
      </c>
      <c r="I124" s="18" t="str">
        <f t="shared" si="7"/>
        <v/>
      </c>
      <c r="J124" s="17">
        <f t="shared" si="9"/>
        <v>-5</v>
      </c>
      <c r="K124" s="17">
        <f t="shared" si="8"/>
        <v>-50</v>
      </c>
      <c r="L124" s="17"/>
      <c r="M124" s="19" t="str">
        <f t="shared" si="10"/>
        <v/>
      </c>
    </row>
    <row r="125" spans="1:13">
      <c r="A125" s="43"/>
      <c r="G125" s="5"/>
      <c r="H125" s="17">
        <v>120</v>
      </c>
      <c r="I125" s="18" t="str">
        <f t="shared" si="7"/>
        <v/>
      </c>
      <c r="J125" s="17">
        <f t="shared" si="9"/>
        <v>-5</v>
      </c>
      <c r="K125" s="17">
        <f t="shared" si="8"/>
        <v>-50</v>
      </c>
      <c r="L125" s="17"/>
      <c r="M125" s="19" t="str">
        <f t="shared" si="10"/>
        <v/>
      </c>
    </row>
    <row r="126" spans="1:13">
      <c r="A126" s="43"/>
      <c r="G126" s="5"/>
      <c r="H126" s="17">
        <v>121</v>
      </c>
      <c r="I126" s="18" t="str">
        <f t="shared" si="7"/>
        <v/>
      </c>
      <c r="J126" s="17">
        <f t="shared" si="9"/>
        <v>-5</v>
      </c>
      <c r="K126" s="17">
        <f t="shared" si="8"/>
        <v>-50</v>
      </c>
      <c r="L126" s="17"/>
      <c r="M126" s="19" t="str">
        <f t="shared" si="10"/>
        <v/>
      </c>
    </row>
    <row r="127" spans="1:13">
      <c r="A127" s="43"/>
      <c r="G127" s="5"/>
      <c r="H127" s="17">
        <v>122</v>
      </c>
      <c r="I127" s="18" t="str">
        <f t="shared" si="7"/>
        <v/>
      </c>
      <c r="J127" s="17">
        <f t="shared" si="9"/>
        <v>-5</v>
      </c>
      <c r="K127" s="17">
        <f t="shared" si="8"/>
        <v>-50</v>
      </c>
      <c r="L127" s="17"/>
      <c r="M127" s="19" t="str">
        <f t="shared" si="10"/>
        <v/>
      </c>
    </row>
    <row r="128" spans="1:13">
      <c r="A128" s="43"/>
      <c r="G128" s="5"/>
      <c r="H128" s="17">
        <v>123</v>
      </c>
      <c r="I128" s="18" t="str">
        <f t="shared" si="7"/>
        <v/>
      </c>
      <c r="J128" s="17">
        <f t="shared" si="9"/>
        <v>-5</v>
      </c>
      <c r="K128" s="17">
        <f t="shared" si="8"/>
        <v>-50</v>
      </c>
      <c r="L128" s="17"/>
      <c r="M128" s="19" t="str">
        <f t="shared" si="10"/>
        <v/>
      </c>
    </row>
    <row r="129" spans="1:13">
      <c r="A129" s="43"/>
      <c r="G129" s="5"/>
      <c r="H129" s="17">
        <v>124</v>
      </c>
      <c r="I129" s="18" t="str">
        <f t="shared" si="7"/>
        <v/>
      </c>
      <c r="J129" s="17">
        <f t="shared" si="9"/>
        <v>-5</v>
      </c>
      <c r="K129" s="17">
        <f t="shared" si="8"/>
        <v>-50</v>
      </c>
      <c r="L129" s="17"/>
      <c r="M129" s="19" t="str">
        <f t="shared" si="10"/>
        <v/>
      </c>
    </row>
    <row r="130" spans="1:13">
      <c r="A130" s="43"/>
      <c r="G130" s="5"/>
      <c r="H130" s="17">
        <v>125</v>
      </c>
      <c r="I130" s="18" t="str">
        <f t="shared" si="7"/>
        <v/>
      </c>
      <c r="J130" s="17">
        <f t="shared" si="9"/>
        <v>-5</v>
      </c>
      <c r="K130" s="17">
        <f t="shared" si="8"/>
        <v>-50</v>
      </c>
      <c r="L130" s="17"/>
      <c r="M130" s="19" t="str">
        <f t="shared" si="10"/>
        <v/>
      </c>
    </row>
    <row r="131" spans="1:13">
      <c r="A131" s="43"/>
      <c r="G131" s="5"/>
      <c r="H131" s="17">
        <v>126</v>
      </c>
      <c r="I131" s="18" t="str">
        <f t="shared" si="7"/>
        <v/>
      </c>
      <c r="J131" s="17">
        <f t="shared" si="9"/>
        <v>-5</v>
      </c>
      <c r="K131" s="17">
        <f t="shared" si="8"/>
        <v>-50</v>
      </c>
      <c r="L131" s="17"/>
      <c r="M131" s="19" t="str">
        <f t="shared" si="10"/>
        <v/>
      </c>
    </row>
    <row r="132" spans="1:13">
      <c r="A132" s="43"/>
      <c r="G132" s="5"/>
      <c r="H132" s="17">
        <v>127</v>
      </c>
      <c r="I132" s="18" t="str">
        <f t="shared" si="7"/>
        <v/>
      </c>
      <c r="J132" s="17">
        <f t="shared" si="9"/>
        <v>-5</v>
      </c>
      <c r="K132" s="17">
        <f t="shared" si="8"/>
        <v>-50</v>
      </c>
      <c r="L132" s="17"/>
      <c r="M132" s="19" t="str">
        <f t="shared" si="10"/>
        <v/>
      </c>
    </row>
    <row r="133" spans="1:13">
      <c r="A133" s="43"/>
      <c r="G133" s="5"/>
      <c r="H133" s="17">
        <v>128</v>
      </c>
      <c r="I133" s="18" t="str">
        <f t="shared" si="7"/>
        <v/>
      </c>
      <c r="J133" s="17">
        <f t="shared" si="9"/>
        <v>-5</v>
      </c>
      <c r="K133" s="17">
        <f t="shared" si="8"/>
        <v>-50</v>
      </c>
      <c r="L133" s="17"/>
      <c r="M133" s="19" t="str">
        <f t="shared" si="10"/>
        <v/>
      </c>
    </row>
    <row r="134" spans="1:13">
      <c r="A134" s="43"/>
      <c r="G134" s="5"/>
      <c r="H134" s="17">
        <v>129</v>
      </c>
      <c r="I134" s="18" t="str">
        <f t="shared" ref="I134:I197" si="11">IF(H134&lt;$H$2+1,($I$2-($I$2-1)*(LOG(H134)/LOG($H$2))),"")</f>
        <v/>
      </c>
      <c r="J134" s="17">
        <f t="shared" si="9"/>
        <v>-6</v>
      </c>
      <c r="K134" s="17">
        <f t="shared" ref="K134:K197" si="12">J134*$J$2</f>
        <v>-60</v>
      </c>
      <c r="L134" s="17"/>
      <c r="M134" s="19" t="str">
        <f t="shared" si="10"/>
        <v/>
      </c>
    </row>
    <row r="135" spans="1:13">
      <c r="A135" s="43"/>
      <c r="G135" s="5"/>
      <c r="H135" s="17">
        <v>130</v>
      </c>
      <c r="I135" s="18" t="str">
        <f t="shared" si="11"/>
        <v/>
      </c>
      <c r="J135" s="17">
        <f t="shared" ref="J135:J198" si="13">INT(LOG($H$2,2))-ROUNDUP(LOG(H135,2),0)+IF(OR($H$2=1,$H$2=2,$H$2=4,$H$2=8,$H$2=16,$H$2=32,$H$2=64,$H$2=128,$H$2=256),0,1)</f>
        <v>-6</v>
      </c>
      <c r="K135" s="17">
        <f t="shared" si="12"/>
        <v>-60</v>
      </c>
      <c r="L135" s="17"/>
      <c r="M135" s="19" t="str">
        <f t="shared" ref="M135:M198" si="14">IF(I135&lt;&gt;"",K135+I135+L135,"")</f>
        <v/>
      </c>
    </row>
    <row r="136" spans="1:13">
      <c r="A136" s="43"/>
      <c r="G136" s="5"/>
      <c r="H136" s="17">
        <v>131</v>
      </c>
      <c r="I136" s="18" t="str">
        <f t="shared" si="11"/>
        <v/>
      </c>
      <c r="J136" s="17">
        <f t="shared" si="13"/>
        <v>-6</v>
      </c>
      <c r="K136" s="17">
        <f t="shared" si="12"/>
        <v>-60</v>
      </c>
      <c r="L136" s="17"/>
      <c r="M136" s="19" t="str">
        <f t="shared" si="14"/>
        <v/>
      </c>
    </row>
    <row r="137" spans="1:13">
      <c r="A137" s="43"/>
      <c r="G137" s="5"/>
      <c r="H137" s="17">
        <v>132</v>
      </c>
      <c r="I137" s="18" t="str">
        <f t="shared" si="11"/>
        <v/>
      </c>
      <c r="J137" s="17">
        <f t="shared" si="13"/>
        <v>-6</v>
      </c>
      <c r="K137" s="17">
        <f t="shared" si="12"/>
        <v>-60</v>
      </c>
      <c r="L137" s="17"/>
      <c r="M137" s="19" t="str">
        <f t="shared" si="14"/>
        <v/>
      </c>
    </row>
    <row r="138" spans="1:13">
      <c r="A138" s="43"/>
      <c r="G138" s="5"/>
      <c r="H138" s="17">
        <v>133</v>
      </c>
      <c r="I138" s="18" t="str">
        <f t="shared" si="11"/>
        <v/>
      </c>
      <c r="J138" s="17">
        <f t="shared" si="13"/>
        <v>-6</v>
      </c>
      <c r="K138" s="17">
        <f t="shared" si="12"/>
        <v>-60</v>
      </c>
      <c r="L138" s="17"/>
      <c r="M138" s="19" t="str">
        <f t="shared" si="14"/>
        <v/>
      </c>
    </row>
    <row r="139" spans="1:13">
      <c r="A139" s="43"/>
      <c r="G139" s="5"/>
      <c r="H139" s="17">
        <v>134</v>
      </c>
      <c r="I139" s="18" t="str">
        <f t="shared" si="11"/>
        <v/>
      </c>
      <c r="J139" s="17">
        <f t="shared" si="13"/>
        <v>-6</v>
      </c>
      <c r="K139" s="17">
        <f t="shared" si="12"/>
        <v>-60</v>
      </c>
      <c r="L139" s="17"/>
      <c r="M139" s="19" t="str">
        <f t="shared" si="14"/>
        <v/>
      </c>
    </row>
    <row r="140" spans="1:13">
      <c r="A140" s="43"/>
      <c r="G140" s="5"/>
      <c r="H140" s="17">
        <v>135</v>
      </c>
      <c r="I140" s="18" t="str">
        <f t="shared" si="11"/>
        <v/>
      </c>
      <c r="J140" s="17">
        <f t="shared" si="13"/>
        <v>-6</v>
      </c>
      <c r="K140" s="17">
        <f t="shared" si="12"/>
        <v>-60</v>
      </c>
      <c r="L140" s="17"/>
      <c r="M140" s="19" t="str">
        <f t="shared" si="14"/>
        <v/>
      </c>
    </row>
    <row r="141" spans="1:13">
      <c r="A141" s="43"/>
      <c r="G141" s="5"/>
      <c r="H141" s="17">
        <v>136</v>
      </c>
      <c r="I141" s="18" t="str">
        <f t="shared" si="11"/>
        <v/>
      </c>
      <c r="J141" s="17">
        <f t="shared" si="13"/>
        <v>-6</v>
      </c>
      <c r="K141" s="17">
        <f t="shared" si="12"/>
        <v>-60</v>
      </c>
      <c r="L141" s="17"/>
      <c r="M141" s="19" t="str">
        <f t="shared" si="14"/>
        <v/>
      </c>
    </row>
    <row r="142" spans="1:13">
      <c r="A142" s="43"/>
      <c r="G142" s="5"/>
      <c r="H142" s="17">
        <v>137</v>
      </c>
      <c r="I142" s="18" t="str">
        <f t="shared" si="11"/>
        <v/>
      </c>
      <c r="J142" s="17">
        <f t="shared" si="13"/>
        <v>-6</v>
      </c>
      <c r="K142" s="17">
        <f t="shared" si="12"/>
        <v>-60</v>
      </c>
      <c r="L142" s="17"/>
      <c r="M142" s="19" t="str">
        <f t="shared" si="14"/>
        <v/>
      </c>
    </row>
    <row r="143" spans="1:13">
      <c r="A143" s="43"/>
      <c r="G143" s="5"/>
      <c r="H143" s="17">
        <v>138</v>
      </c>
      <c r="I143" s="18" t="str">
        <f t="shared" si="11"/>
        <v/>
      </c>
      <c r="J143" s="17">
        <f t="shared" si="13"/>
        <v>-6</v>
      </c>
      <c r="K143" s="17">
        <f t="shared" si="12"/>
        <v>-60</v>
      </c>
      <c r="L143" s="17"/>
      <c r="M143" s="19" t="str">
        <f t="shared" si="14"/>
        <v/>
      </c>
    </row>
    <row r="144" spans="1:13">
      <c r="A144" s="43"/>
      <c r="G144" s="5"/>
      <c r="H144" s="17">
        <v>139</v>
      </c>
      <c r="I144" s="18" t="str">
        <f t="shared" si="11"/>
        <v/>
      </c>
      <c r="J144" s="17">
        <f t="shared" si="13"/>
        <v>-6</v>
      </c>
      <c r="K144" s="17">
        <f t="shared" si="12"/>
        <v>-60</v>
      </c>
      <c r="L144" s="17"/>
      <c r="M144" s="19" t="str">
        <f t="shared" si="14"/>
        <v/>
      </c>
    </row>
    <row r="145" spans="1:13">
      <c r="A145" s="43"/>
      <c r="G145" s="5"/>
      <c r="H145" s="17">
        <v>140</v>
      </c>
      <c r="I145" s="18" t="str">
        <f t="shared" si="11"/>
        <v/>
      </c>
      <c r="J145" s="17">
        <f t="shared" si="13"/>
        <v>-6</v>
      </c>
      <c r="K145" s="17">
        <f t="shared" si="12"/>
        <v>-60</v>
      </c>
      <c r="L145" s="17"/>
      <c r="M145" s="19" t="str">
        <f t="shared" si="14"/>
        <v/>
      </c>
    </row>
    <row r="146" spans="1:13">
      <c r="A146" s="43"/>
      <c r="G146" s="5"/>
      <c r="H146" s="17">
        <v>141</v>
      </c>
      <c r="I146" s="18" t="str">
        <f t="shared" si="11"/>
        <v/>
      </c>
      <c r="J146" s="17">
        <f t="shared" si="13"/>
        <v>-6</v>
      </c>
      <c r="K146" s="17">
        <f t="shared" si="12"/>
        <v>-60</v>
      </c>
      <c r="L146" s="17"/>
      <c r="M146" s="19" t="str">
        <f t="shared" si="14"/>
        <v/>
      </c>
    </row>
    <row r="147" spans="1:13">
      <c r="A147" s="43"/>
      <c r="G147" s="5"/>
      <c r="H147" s="17">
        <v>142</v>
      </c>
      <c r="I147" s="18" t="str">
        <f t="shared" si="11"/>
        <v/>
      </c>
      <c r="J147" s="17">
        <f t="shared" si="13"/>
        <v>-6</v>
      </c>
      <c r="K147" s="17">
        <f t="shared" si="12"/>
        <v>-60</v>
      </c>
      <c r="L147" s="17"/>
      <c r="M147" s="19" t="str">
        <f t="shared" si="14"/>
        <v/>
      </c>
    </row>
    <row r="148" spans="1:13">
      <c r="A148" s="43"/>
      <c r="G148" s="5"/>
      <c r="H148" s="17">
        <v>143</v>
      </c>
      <c r="I148" s="18" t="str">
        <f t="shared" si="11"/>
        <v/>
      </c>
      <c r="J148" s="17">
        <f t="shared" si="13"/>
        <v>-6</v>
      </c>
      <c r="K148" s="17">
        <f t="shared" si="12"/>
        <v>-60</v>
      </c>
      <c r="L148" s="17"/>
      <c r="M148" s="19" t="str">
        <f t="shared" si="14"/>
        <v/>
      </c>
    </row>
    <row r="149" spans="1:13">
      <c r="A149" s="43"/>
      <c r="G149" s="5"/>
      <c r="H149" s="17">
        <v>144</v>
      </c>
      <c r="I149" s="18" t="str">
        <f t="shared" si="11"/>
        <v/>
      </c>
      <c r="J149" s="17">
        <f t="shared" si="13"/>
        <v>-6</v>
      </c>
      <c r="K149" s="17">
        <f t="shared" si="12"/>
        <v>-60</v>
      </c>
      <c r="L149" s="17"/>
      <c r="M149" s="19" t="str">
        <f t="shared" si="14"/>
        <v/>
      </c>
    </row>
    <row r="150" spans="1:13">
      <c r="A150" s="43"/>
      <c r="G150" s="5"/>
      <c r="H150" s="17">
        <v>145</v>
      </c>
      <c r="I150" s="18" t="str">
        <f t="shared" si="11"/>
        <v/>
      </c>
      <c r="J150" s="17">
        <f t="shared" si="13"/>
        <v>-6</v>
      </c>
      <c r="K150" s="17">
        <f t="shared" si="12"/>
        <v>-60</v>
      </c>
      <c r="L150" s="17"/>
      <c r="M150" s="19" t="str">
        <f t="shared" si="14"/>
        <v/>
      </c>
    </row>
    <row r="151" spans="1:13">
      <c r="A151" s="43"/>
      <c r="G151" s="5"/>
      <c r="H151" s="17">
        <v>146</v>
      </c>
      <c r="I151" s="18" t="str">
        <f t="shared" si="11"/>
        <v/>
      </c>
      <c r="J151" s="17">
        <f t="shared" si="13"/>
        <v>-6</v>
      </c>
      <c r="K151" s="17">
        <f t="shared" si="12"/>
        <v>-60</v>
      </c>
      <c r="L151" s="17"/>
      <c r="M151" s="19" t="str">
        <f t="shared" si="14"/>
        <v/>
      </c>
    </row>
    <row r="152" spans="1:13">
      <c r="A152" s="43"/>
      <c r="G152" s="5"/>
      <c r="H152" s="17">
        <v>147</v>
      </c>
      <c r="I152" s="18" t="str">
        <f t="shared" si="11"/>
        <v/>
      </c>
      <c r="J152" s="17">
        <f t="shared" si="13"/>
        <v>-6</v>
      </c>
      <c r="K152" s="17">
        <f t="shared" si="12"/>
        <v>-60</v>
      </c>
      <c r="L152" s="17"/>
      <c r="M152" s="19" t="str">
        <f t="shared" si="14"/>
        <v/>
      </c>
    </row>
    <row r="153" spans="1:13">
      <c r="A153" s="43"/>
      <c r="G153" s="5"/>
      <c r="H153" s="17">
        <v>148</v>
      </c>
      <c r="I153" s="18" t="str">
        <f t="shared" si="11"/>
        <v/>
      </c>
      <c r="J153" s="17">
        <f t="shared" si="13"/>
        <v>-6</v>
      </c>
      <c r="K153" s="17">
        <f t="shared" si="12"/>
        <v>-60</v>
      </c>
      <c r="L153" s="17"/>
      <c r="M153" s="19" t="str">
        <f t="shared" si="14"/>
        <v/>
      </c>
    </row>
    <row r="154" spans="1:13">
      <c r="A154" s="43"/>
      <c r="G154" s="5"/>
      <c r="H154" s="17">
        <v>149</v>
      </c>
      <c r="I154" s="18" t="str">
        <f t="shared" si="11"/>
        <v/>
      </c>
      <c r="J154" s="17">
        <f t="shared" si="13"/>
        <v>-6</v>
      </c>
      <c r="K154" s="17">
        <f t="shared" si="12"/>
        <v>-60</v>
      </c>
      <c r="L154" s="17"/>
      <c r="M154" s="19" t="str">
        <f t="shared" si="14"/>
        <v/>
      </c>
    </row>
    <row r="155" spans="1:13">
      <c r="A155" s="43"/>
      <c r="G155" s="5"/>
      <c r="H155" s="17">
        <v>150</v>
      </c>
      <c r="I155" s="18" t="str">
        <f t="shared" si="11"/>
        <v/>
      </c>
      <c r="J155" s="17">
        <f t="shared" si="13"/>
        <v>-6</v>
      </c>
      <c r="K155" s="17">
        <f t="shared" si="12"/>
        <v>-60</v>
      </c>
      <c r="L155" s="17"/>
      <c r="M155" s="19" t="str">
        <f t="shared" si="14"/>
        <v/>
      </c>
    </row>
    <row r="156" spans="1:13">
      <c r="A156" s="43"/>
      <c r="G156" s="5"/>
      <c r="H156" s="17">
        <v>151</v>
      </c>
      <c r="I156" s="18" t="str">
        <f t="shared" si="11"/>
        <v/>
      </c>
      <c r="J156" s="17">
        <f t="shared" si="13"/>
        <v>-6</v>
      </c>
      <c r="K156" s="17">
        <f t="shared" si="12"/>
        <v>-60</v>
      </c>
      <c r="L156" s="17"/>
      <c r="M156" s="19" t="str">
        <f t="shared" si="14"/>
        <v/>
      </c>
    </row>
    <row r="157" spans="1:13">
      <c r="A157" s="43"/>
      <c r="G157" s="5"/>
      <c r="H157" s="17">
        <v>152</v>
      </c>
      <c r="I157" s="18" t="str">
        <f t="shared" si="11"/>
        <v/>
      </c>
      <c r="J157" s="17">
        <f t="shared" si="13"/>
        <v>-6</v>
      </c>
      <c r="K157" s="17">
        <f t="shared" si="12"/>
        <v>-60</v>
      </c>
      <c r="L157" s="17"/>
      <c r="M157" s="19" t="str">
        <f t="shared" si="14"/>
        <v/>
      </c>
    </row>
    <row r="158" spans="1:13">
      <c r="A158" s="43"/>
      <c r="G158" s="5"/>
      <c r="H158" s="17">
        <v>153</v>
      </c>
      <c r="I158" s="18" t="str">
        <f t="shared" si="11"/>
        <v/>
      </c>
      <c r="J158" s="17">
        <f t="shared" si="13"/>
        <v>-6</v>
      </c>
      <c r="K158" s="17">
        <f t="shared" si="12"/>
        <v>-60</v>
      </c>
      <c r="L158" s="17"/>
      <c r="M158" s="19" t="str">
        <f t="shared" si="14"/>
        <v/>
      </c>
    </row>
    <row r="159" spans="1:13">
      <c r="A159" s="43"/>
      <c r="G159" s="5"/>
      <c r="H159" s="17">
        <v>154</v>
      </c>
      <c r="I159" s="18" t="str">
        <f t="shared" si="11"/>
        <v/>
      </c>
      <c r="J159" s="17">
        <f t="shared" si="13"/>
        <v>-6</v>
      </c>
      <c r="K159" s="17">
        <f t="shared" si="12"/>
        <v>-60</v>
      </c>
      <c r="L159" s="17"/>
      <c r="M159" s="19" t="str">
        <f t="shared" si="14"/>
        <v/>
      </c>
    </row>
    <row r="160" spans="1:13">
      <c r="A160" s="43"/>
      <c r="G160" s="5"/>
      <c r="H160" s="17">
        <v>155</v>
      </c>
      <c r="I160" s="18" t="str">
        <f t="shared" si="11"/>
        <v/>
      </c>
      <c r="J160" s="17">
        <f t="shared" si="13"/>
        <v>-6</v>
      </c>
      <c r="K160" s="17">
        <f t="shared" si="12"/>
        <v>-60</v>
      </c>
      <c r="L160" s="17"/>
      <c r="M160" s="19" t="str">
        <f t="shared" si="14"/>
        <v/>
      </c>
    </row>
    <row r="161" spans="1:13">
      <c r="A161" s="43"/>
      <c r="G161" s="5"/>
      <c r="H161" s="17">
        <v>156</v>
      </c>
      <c r="I161" s="18" t="str">
        <f t="shared" si="11"/>
        <v/>
      </c>
      <c r="J161" s="17">
        <f t="shared" si="13"/>
        <v>-6</v>
      </c>
      <c r="K161" s="17">
        <f t="shared" si="12"/>
        <v>-60</v>
      </c>
      <c r="L161" s="17"/>
      <c r="M161" s="19" t="str">
        <f t="shared" si="14"/>
        <v/>
      </c>
    </row>
    <row r="162" spans="1:13">
      <c r="A162" s="43"/>
      <c r="G162" s="5"/>
      <c r="H162" s="17">
        <v>157</v>
      </c>
      <c r="I162" s="18" t="str">
        <f t="shared" si="11"/>
        <v/>
      </c>
      <c r="J162" s="17">
        <f t="shared" si="13"/>
        <v>-6</v>
      </c>
      <c r="K162" s="17">
        <f t="shared" si="12"/>
        <v>-60</v>
      </c>
      <c r="L162" s="17"/>
      <c r="M162" s="19" t="str">
        <f t="shared" si="14"/>
        <v/>
      </c>
    </row>
    <row r="163" spans="1:13">
      <c r="A163" s="43"/>
      <c r="G163" s="5"/>
      <c r="H163" s="17">
        <v>158</v>
      </c>
      <c r="I163" s="18" t="str">
        <f t="shared" si="11"/>
        <v/>
      </c>
      <c r="J163" s="17">
        <f t="shared" si="13"/>
        <v>-6</v>
      </c>
      <c r="K163" s="17">
        <f t="shared" si="12"/>
        <v>-60</v>
      </c>
      <c r="L163" s="17"/>
      <c r="M163" s="19" t="str">
        <f t="shared" si="14"/>
        <v/>
      </c>
    </row>
    <row r="164" spans="1:13">
      <c r="A164" s="43"/>
      <c r="G164" s="5"/>
      <c r="H164" s="17">
        <v>159</v>
      </c>
      <c r="I164" s="18" t="str">
        <f t="shared" si="11"/>
        <v/>
      </c>
      <c r="J164" s="17">
        <f t="shared" si="13"/>
        <v>-6</v>
      </c>
      <c r="K164" s="17">
        <f t="shared" si="12"/>
        <v>-60</v>
      </c>
      <c r="L164" s="17"/>
      <c r="M164" s="19" t="str">
        <f t="shared" si="14"/>
        <v/>
      </c>
    </row>
    <row r="165" spans="1:13">
      <c r="A165" s="43"/>
      <c r="G165" s="5"/>
      <c r="H165" s="17">
        <v>160</v>
      </c>
      <c r="I165" s="18" t="str">
        <f t="shared" si="11"/>
        <v/>
      </c>
      <c r="J165" s="17">
        <f t="shared" si="13"/>
        <v>-6</v>
      </c>
      <c r="K165" s="17">
        <f t="shared" si="12"/>
        <v>-60</v>
      </c>
      <c r="L165" s="17"/>
      <c r="M165" s="19" t="str">
        <f t="shared" si="14"/>
        <v/>
      </c>
    </row>
    <row r="166" spans="1:13">
      <c r="A166" s="43"/>
      <c r="G166" s="5"/>
      <c r="H166" s="17">
        <v>161</v>
      </c>
      <c r="I166" s="18" t="str">
        <f t="shared" si="11"/>
        <v/>
      </c>
      <c r="J166" s="17">
        <f t="shared" si="13"/>
        <v>-6</v>
      </c>
      <c r="K166" s="17">
        <f t="shared" si="12"/>
        <v>-60</v>
      </c>
      <c r="L166" s="17"/>
      <c r="M166" s="19" t="str">
        <f t="shared" si="14"/>
        <v/>
      </c>
    </row>
    <row r="167" spans="1:13">
      <c r="A167" s="43"/>
      <c r="G167" s="5"/>
      <c r="H167" s="17">
        <v>162</v>
      </c>
      <c r="I167" s="18" t="str">
        <f t="shared" si="11"/>
        <v/>
      </c>
      <c r="J167" s="17">
        <f t="shared" si="13"/>
        <v>-6</v>
      </c>
      <c r="K167" s="17">
        <f t="shared" si="12"/>
        <v>-60</v>
      </c>
      <c r="L167" s="17"/>
      <c r="M167" s="19" t="str">
        <f t="shared" si="14"/>
        <v/>
      </c>
    </row>
    <row r="168" spans="1:13">
      <c r="A168" s="43"/>
      <c r="G168" s="5"/>
      <c r="H168" s="17">
        <v>163</v>
      </c>
      <c r="I168" s="18" t="str">
        <f t="shared" si="11"/>
        <v/>
      </c>
      <c r="J168" s="17">
        <f t="shared" si="13"/>
        <v>-6</v>
      </c>
      <c r="K168" s="17">
        <f t="shared" si="12"/>
        <v>-60</v>
      </c>
      <c r="L168" s="17"/>
      <c r="M168" s="19" t="str">
        <f t="shared" si="14"/>
        <v/>
      </c>
    </row>
    <row r="169" spans="1:13">
      <c r="A169" s="43"/>
      <c r="G169" s="5"/>
      <c r="H169" s="17">
        <v>164</v>
      </c>
      <c r="I169" s="18" t="str">
        <f t="shared" si="11"/>
        <v/>
      </c>
      <c r="J169" s="17">
        <f t="shared" si="13"/>
        <v>-6</v>
      </c>
      <c r="K169" s="17">
        <f t="shared" si="12"/>
        <v>-60</v>
      </c>
      <c r="L169" s="17"/>
      <c r="M169" s="19" t="str">
        <f t="shared" si="14"/>
        <v/>
      </c>
    </row>
    <row r="170" spans="1:13">
      <c r="A170" s="43"/>
      <c r="G170" s="5"/>
      <c r="H170" s="17">
        <v>165</v>
      </c>
      <c r="I170" s="18" t="str">
        <f t="shared" si="11"/>
        <v/>
      </c>
      <c r="J170" s="17">
        <f t="shared" si="13"/>
        <v>-6</v>
      </c>
      <c r="K170" s="17">
        <f t="shared" si="12"/>
        <v>-60</v>
      </c>
      <c r="L170" s="17"/>
      <c r="M170" s="19" t="str">
        <f t="shared" si="14"/>
        <v/>
      </c>
    </row>
    <row r="171" spans="1:13">
      <c r="A171" s="43"/>
      <c r="G171" s="5"/>
      <c r="H171" s="17">
        <v>166</v>
      </c>
      <c r="I171" s="18" t="str">
        <f t="shared" si="11"/>
        <v/>
      </c>
      <c r="J171" s="17">
        <f t="shared" si="13"/>
        <v>-6</v>
      </c>
      <c r="K171" s="17">
        <f t="shared" si="12"/>
        <v>-60</v>
      </c>
      <c r="L171" s="17"/>
      <c r="M171" s="19" t="str">
        <f t="shared" si="14"/>
        <v/>
      </c>
    </row>
    <row r="172" spans="1:13">
      <c r="A172" s="43"/>
      <c r="G172" s="5"/>
      <c r="H172" s="17">
        <v>167</v>
      </c>
      <c r="I172" s="18" t="str">
        <f t="shared" si="11"/>
        <v/>
      </c>
      <c r="J172" s="17">
        <f t="shared" si="13"/>
        <v>-6</v>
      </c>
      <c r="K172" s="17">
        <f t="shared" si="12"/>
        <v>-60</v>
      </c>
      <c r="L172" s="17"/>
      <c r="M172" s="19" t="str">
        <f t="shared" si="14"/>
        <v/>
      </c>
    </row>
    <row r="173" spans="1:13">
      <c r="A173" s="43"/>
      <c r="G173" s="5"/>
      <c r="H173" s="17">
        <v>168</v>
      </c>
      <c r="I173" s="18" t="str">
        <f t="shared" si="11"/>
        <v/>
      </c>
      <c r="J173" s="17">
        <f t="shared" si="13"/>
        <v>-6</v>
      </c>
      <c r="K173" s="17">
        <f t="shared" si="12"/>
        <v>-60</v>
      </c>
      <c r="L173" s="17"/>
      <c r="M173" s="19" t="str">
        <f t="shared" si="14"/>
        <v/>
      </c>
    </row>
    <row r="174" spans="1:13">
      <c r="A174" s="43"/>
      <c r="G174" s="5"/>
      <c r="H174" s="17">
        <v>169</v>
      </c>
      <c r="I174" s="18" t="str">
        <f t="shared" si="11"/>
        <v/>
      </c>
      <c r="J174" s="17">
        <f t="shared" si="13"/>
        <v>-6</v>
      </c>
      <c r="K174" s="17">
        <f t="shared" si="12"/>
        <v>-60</v>
      </c>
      <c r="L174" s="17"/>
      <c r="M174" s="19" t="str">
        <f t="shared" si="14"/>
        <v/>
      </c>
    </row>
    <row r="175" spans="1:13">
      <c r="A175" s="43"/>
      <c r="G175" s="5"/>
      <c r="H175" s="17">
        <v>170</v>
      </c>
      <c r="I175" s="18" t="str">
        <f t="shared" si="11"/>
        <v/>
      </c>
      <c r="J175" s="17">
        <f t="shared" si="13"/>
        <v>-6</v>
      </c>
      <c r="K175" s="17">
        <f t="shared" si="12"/>
        <v>-60</v>
      </c>
      <c r="L175" s="17"/>
      <c r="M175" s="19" t="str">
        <f t="shared" si="14"/>
        <v/>
      </c>
    </row>
    <row r="176" spans="1:13">
      <c r="A176" s="43"/>
      <c r="G176" s="5"/>
      <c r="H176" s="17">
        <v>171</v>
      </c>
      <c r="I176" s="18" t="str">
        <f t="shared" si="11"/>
        <v/>
      </c>
      <c r="J176" s="17">
        <f t="shared" si="13"/>
        <v>-6</v>
      </c>
      <c r="K176" s="17">
        <f t="shared" si="12"/>
        <v>-60</v>
      </c>
      <c r="L176" s="17"/>
      <c r="M176" s="19" t="str">
        <f t="shared" si="14"/>
        <v/>
      </c>
    </row>
    <row r="177" spans="1:13">
      <c r="A177" s="43"/>
      <c r="G177" s="5"/>
      <c r="H177" s="17">
        <v>172</v>
      </c>
      <c r="I177" s="18" t="str">
        <f t="shared" si="11"/>
        <v/>
      </c>
      <c r="J177" s="17">
        <f t="shared" si="13"/>
        <v>-6</v>
      </c>
      <c r="K177" s="17">
        <f t="shared" si="12"/>
        <v>-60</v>
      </c>
      <c r="L177" s="17"/>
      <c r="M177" s="19" t="str">
        <f t="shared" si="14"/>
        <v/>
      </c>
    </row>
    <row r="178" spans="1:13">
      <c r="A178" s="43"/>
      <c r="G178" s="5"/>
      <c r="H178" s="17">
        <v>173</v>
      </c>
      <c r="I178" s="18" t="str">
        <f t="shared" si="11"/>
        <v/>
      </c>
      <c r="J178" s="17">
        <f t="shared" si="13"/>
        <v>-6</v>
      </c>
      <c r="K178" s="17">
        <f t="shared" si="12"/>
        <v>-60</v>
      </c>
      <c r="L178" s="17"/>
      <c r="M178" s="19" t="str">
        <f t="shared" si="14"/>
        <v/>
      </c>
    </row>
    <row r="179" spans="1:13">
      <c r="A179" s="43"/>
      <c r="G179" s="5"/>
      <c r="H179" s="17">
        <v>174</v>
      </c>
      <c r="I179" s="18" t="str">
        <f t="shared" si="11"/>
        <v/>
      </c>
      <c r="J179" s="17">
        <f t="shared" si="13"/>
        <v>-6</v>
      </c>
      <c r="K179" s="17">
        <f t="shared" si="12"/>
        <v>-60</v>
      </c>
      <c r="L179" s="17"/>
      <c r="M179" s="19" t="str">
        <f t="shared" si="14"/>
        <v/>
      </c>
    </row>
    <row r="180" spans="1:13">
      <c r="A180" s="43"/>
      <c r="G180" s="5"/>
      <c r="H180" s="17">
        <v>175</v>
      </c>
      <c r="I180" s="18" t="str">
        <f t="shared" si="11"/>
        <v/>
      </c>
      <c r="J180" s="17">
        <f t="shared" si="13"/>
        <v>-6</v>
      </c>
      <c r="K180" s="17">
        <f t="shared" si="12"/>
        <v>-60</v>
      </c>
      <c r="L180" s="17"/>
      <c r="M180" s="19" t="str">
        <f t="shared" si="14"/>
        <v/>
      </c>
    </row>
    <row r="181" spans="1:13">
      <c r="A181" s="43"/>
      <c r="G181" s="5"/>
      <c r="H181" s="17">
        <v>176</v>
      </c>
      <c r="I181" s="18" t="str">
        <f t="shared" si="11"/>
        <v/>
      </c>
      <c r="J181" s="17">
        <f t="shared" si="13"/>
        <v>-6</v>
      </c>
      <c r="K181" s="17">
        <f t="shared" si="12"/>
        <v>-60</v>
      </c>
      <c r="L181" s="17"/>
      <c r="M181" s="19" t="str">
        <f t="shared" si="14"/>
        <v/>
      </c>
    </row>
    <row r="182" spans="1:13">
      <c r="A182" s="43"/>
      <c r="G182" s="5"/>
      <c r="H182" s="17">
        <v>177</v>
      </c>
      <c r="I182" s="18" t="str">
        <f t="shared" si="11"/>
        <v/>
      </c>
      <c r="J182" s="17">
        <f t="shared" si="13"/>
        <v>-6</v>
      </c>
      <c r="K182" s="17">
        <f t="shared" si="12"/>
        <v>-60</v>
      </c>
      <c r="L182" s="17"/>
      <c r="M182" s="19" t="str">
        <f t="shared" si="14"/>
        <v/>
      </c>
    </row>
    <row r="183" spans="1:13">
      <c r="A183" s="43"/>
      <c r="G183" s="5"/>
      <c r="H183" s="17">
        <v>178</v>
      </c>
      <c r="I183" s="18" t="str">
        <f t="shared" si="11"/>
        <v/>
      </c>
      <c r="J183" s="17">
        <f t="shared" si="13"/>
        <v>-6</v>
      </c>
      <c r="K183" s="17">
        <f t="shared" si="12"/>
        <v>-60</v>
      </c>
      <c r="L183" s="17"/>
      <c r="M183" s="19" t="str">
        <f t="shared" si="14"/>
        <v/>
      </c>
    </row>
    <row r="184" spans="1:13">
      <c r="A184" s="43"/>
      <c r="G184" s="5"/>
      <c r="H184" s="17">
        <v>179</v>
      </c>
      <c r="I184" s="18" t="str">
        <f t="shared" si="11"/>
        <v/>
      </c>
      <c r="J184" s="17">
        <f t="shared" si="13"/>
        <v>-6</v>
      </c>
      <c r="K184" s="17">
        <f t="shared" si="12"/>
        <v>-60</v>
      </c>
      <c r="L184" s="17"/>
      <c r="M184" s="19" t="str">
        <f t="shared" si="14"/>
        <v/>
      </c>
    </row>
    <row r="185" spans="1:13">
      <c r="A185" s="43"/>
      <c r="G185" s="5"/>
      <c r="H185" s="17">
        <v>180</v>
      </c>
      <c r="I185" s="18" t="str">
        <f t="shared" si="11"/>
        <v/>
      </c>
      <c r="J185" s="17">
        <f t="shared" si="13"/>
        <v>-6</v>
      </c>
      <c r="K185" s="17">
        <f t="shared" si="12"/>
        <v>-60</v>
      </c>
      <c r="L185" s="17"/>
      <c r="M185" s="19" t="str">
        <f t="shared" si="14"/>
        <v/>
      </c>
    </row>
    <row r="186" spans="1:13">
      <c r="A186" s="43"/>
      <c r="G186" s="5"/>
      <c r="H186" s="17">
        <v>181</v>
      </c>
      <c r="I186" s="18" t="str">
        <f t="shared" si="11"/>
        <v/>
      </c>
      <c r="J186" s="17">
        <f t="shared" si="13"/>
        <v>-6</v>
      </c>
      <c r="K186" s="17">
        <f t="shared" si="12"/>
        <v>-60</v>
      </c>
      <c r="L186" s="17"/>
      <c r="M186" s="19" t="str">
        <f t="shared" si="14"/>
        <v/>
      </c>
    </row>
    <row r="187" spans="1:13">
      <c r="A187" s="43"/>
      <c r="G187" s="5"/>
      <c r="H187" s="17">
        <v>182</v>
      </c>
      <c r="I187" s="18" t="str">
        <f t="shared" si="11"/>
        <v/>
      </c>
      <c r="J187" s="17">
        <f t="shared" si="13"/>
        <v>-6</v>
      </c>
      <c r="K187" s="17">
        <f t="shared" si="12"/>
        <v>-60</v>
      </c>
      <c r="L187" s="17"/>
      <c r="M187" s="19" t="str">
        <f t="shared" si="14"/>
        <v/>
      </c>
    </row>
    <row r="188" spans="1:13">
      <c r="A188" s="43"/>
      <c r="G188" s="5"/>
      <c r="H188" s="17">
        <v>183</v>
      </c>
      <c r="I188" s="18" t="str">
        <f t="shared" si="11"/>
        <v/>
      </c>
      <c r="J188" s="17">
        <f t="shared" si="13"/>
        <v>-6</v>
      </c>
      <c r="K188" s="17">
        <f t="shared" si="12"/>
        <v>-60</v>
      </c>
      <c r="L188" s="17"/>
      <c r="M188" s="19" t="str">
        <f t="shared" si="14"/>
        <v/>
      </c>
    </row>
    <row r="189" spans="1:13">
      <c r="A189" s="43"/>
      <c r="G189" s="5"/>
      <c r="H189" s="17">
        <v>184</v>
      </c>
      <c r="I189" s="18" t="str">
        <f t="shared" si="11"/>
        <v/>
      </c>
      <c r="J189" s="17">
        <f t="shared" si="13"/>
        <v>-6</v>
      </c>
      <c r="K189" s="17">
        <f t="shared" si="12"/>
        <v>-60</v>
      </c>
      <c r="L189" s="17"/>
      <c r="M189" s="19" t="str">
        <f t="shared" si="14"/>
        <v/>
      </c>
    </row>
    <row r="190" spans="1:13">
      <c r="A190" s="43"/>
      <c r="G190" s="5"/>
      <c r="H190" s="17">
        <v>185</v>
      </c>
      <c r="I190" s="18" t="str">
        <f t="shared" si="11"/>
        <v/>
      </c>
      <c r="J190" s="17">
        <f t="shared" si="13"/>
        <v>-6</v>
      </c>
      <c r="K190" s="17">
        <f t="shared" si="12"/>
        <v>-60</v>
      </c>
      <c r="L190" s="17"/>
      <c r="M190" s="19" t="str">
        <f t="shared" si="14"/>
        <v/>
      </c>
    </row>
    <row r="191" spans="1:13">
      <c r="A191" s="43"/>
      <c r="G191" s="5"/>
      <c r="H191" s="17">
        <v>186</v>
      </c>
      <c r="I191" s="18" t="str">
        <f t="shared" si="11"/>
        <v/>
      </c>
      <c r="J191" s="17">
        <f t="shared" si="13"/>
        <v>-6</v>
      </c>
      <c r="K191" s="17">
        <f t="shared" si="12"/>
        <v>-60</v>
      </c>
      <c r="L191" s="17"/>
      <c r="M191" s="19" t="str">
        <f t="shared" si="14"/>
        <v/>
      </c>
    </row>
    <row r="192" spans="1:13">
      <c r="A192" s="43"/>
      <c r="G192" s="5"/>
      <c r="H192" s="17">
        <v>187</v>
      </c>
      <c r="I192" s="18" t="str">
        <f t="shared" si="11"/>
        <v/>
      </c>
      <c r="J192" s="17">
        <f t="shared" si="13"/>
        <v>-6</v>
      </c>
      <c r="K192" s="17">
        <f t="shared" si="12"/>
        <v>-60</v>
      </c>
      <c r="L192" s="17"/>
      <c r="M192" s="19" t="str">
        <f t="shared" si="14"/>
        <v/>
      </c>
    </row>
    <row r="193" spans="1:13">
      <c r="A193" s="43"/>
      <c r="G193" s="5"/>
      <c r="H193" s="17">
        <v>188</v>
      </c>
      <c r="I193" s="18" t="str">
        <f t="shared" si="11"/>
        <v/>
      </c>
      <c r="J193" s="17">
        <f t="shared" si="13"/>
        <v>-6</v>
      </c>
      <c r="K193" s="17">
        <f t="shared" si="12"/>
        <v>-60</v>
      </c>
      <c r="L193" s="17"/>
      <c r="M193" s="19" t="str">
        <f t="shared" si="14"/>
        <v/>
      </c>
    </row>
    <row r="194" spans="1:13">
      <c r="A194" s="43"/>
      <c r="G194" s="5"/>
      <c r="H194" s="17">
        <v>189</v>
      </c>
      <c r="I194" s="18" t="str">
        <f t="shared" si="11"/>
        <v/>
      </c>
      <c r="J194" s="17">
        <f t="shared" si="13"/>
        <v>-6</v>
      </c>
      <c r="K194" s="17">
        <f t="shared" si="12"/>
        <v>-60</v>
      </c>
      <c r="L194" s="17"/>
      <c r="M194" s="19" t="str">
        <f t="shared" si="14"/>
        <v/>
      </c>
    </row>
    <row r="195" spans="1:13">
      <c r="A195" s="43"/>
      <c r="G195" s="5"/>
      <c r="H195" s="17">
        <v>190</v>
      </c>
      <c r="I195" s="18" t="str">
        <f t="shared" si="11"/>
        <v/>
      </c>
      <c r="J195" s="17">
        <f t="shared" si="13"/>
        <v>-6</v>
      </c>
      <c r="K195" s="17">
        <f t="shared" si="12"/>
        <v>-60</v>
      </c>
      <c r="L195" s="17"/>
      <c r="M195" s="19" t="str">
        <f t="shared" si="14"/>
        <v/>
      </c>
    </row>
    <row r="196" spans="1:13">
      <c r="A196" s="43"/>
      <c r="G196" s="5"/>
      <c r="H196" s="17">
        <v>191</v>
      </c>
      <c r="I196" s="18" t="str">
        <f t="shared" si="11"/>
        <v/>
      </c>
      <c r="J196" s="17">
        <f t="shared" si="13"/>
        <v>-6</v>
      </c>
      <c r="K196" s="17">
        <f t="shared" si="12"/>
        <v>-60</v>
      </c>
      <c r="L196" s="17"/>
      <c r="M196" s="19" t="str">
        <f t="shared" si="14"/>
        <v/>
      </c>
    </row>
    <row r="197" spans="1:13">
      <c r="A197" s="43"/>
      <c r="G197" s="5"/>
      <c r="H197" s="17">
        <v>192</v>
      </c>
      <c r="I197" s="18" t="str">
        <f t="shared" si="11"/>
        <v/>
      </c>
      <c r="J197" s="17">
        <f t="shared" si="13"/>
        <v>-6</v>
      </c>
      <c r="K197" s="17">
        <f t="shared" si="12"/>
        <v>-60</v>
      </c>
      <c r="L197" s="17"/>
      <c r="M197" s="19" t="str">
        <f t="shared" si="14"/>
        <v/>
      </c>
    </row>
    <row r="198" spans="1:13">
      <c r="A198" s="43"/>
      <c r="G198" s="5"/>
      <c r="H198" s="17">
        <v>193</v>
      </c>
      <c r="I198" s="18" t="str">
        <f t="shared" ref="I198:I261" si="15">IF(H198&lt;$H$2+1,($I$2-($I$2-1)*(LOG(H198)/LOG($H$2))),"")</f>
        <v/>
      </c>
      <c r="J198" s="17">
        <f t="shared" si="13"/>
        <v>-6</v>
      </c>
      <c r="K198" s="17">
        <f t="shared" ref="K198:K261" si="16">J198*$J$2</f>
        <v>-60</v>
      </c>
      <c r="L198" s="17"/>
      <c r="M198" s="19" t="str">
        <f t="shared" si="14"/>
        <v/>
      </c>
    </row>
    <row r="199" spans="1:13">
      <c r="A199" s="43"/>
      <c r="G199" s="5"/>
      <c r="H199" s="17">
        <v>194</v>
      </c>
      <c r="I199" s="18" t="str">
        <f t="shared" si="15"/>
        <v/>
      </c>
      <c r="J199" s="17">
        <f t="shared" ref="J199:J262" si="17">INT(LOG($H$2,2))-ROUNDUP(LOG(H199,2),0)+IF(OR($H$2=1,$H$2=2,$H$2=4,$H$2=8,$H$2=16,$H$2=32,$H$2=64,$H$2=128,$H$2=256),0,1)</f>
        <v>-6</v>
      </c>
      <c r="K199" s="17">
        <f t="shared" si="16"/>
        <v>-60</v>
      </c>
      <c r="L199" s="17"/>
      <c r="M199" s="19" t="str">
        <f t="shared" ref="M199:M262" si="18">IF(I199&lt;&gt;"",K199+I199+L199,"")</f>
        <v/>
      </c>
    </row>
    <row r="200" spans="1:13">
      <c r="A200" s="43"/>
      <c r="G200" s="5"/>
      <c r="H200" s="17">
        <v>195</v>
      </c>
      <c r="I200" s="18" t="str">
        <f t="shared" si="15"/>
        <v/>
      </c>
      <c r="J200" s="17">
        <f t="shared" si="17"/>
        <v>-6</v>
      </c>
      <c r="K200" s="17">
        <f t="shared" si="16"/>
        <v>-60</v>
      </c>
      <c r="L200" s="17"/>
      <c r="M200" s="19" t="str">
        <f t="shared" si="18"/>
        <v/>
      </c>
    </row>
    <row r="201" spans="1:13">
      <c r="A201" s="43"/>
      <c r="G201" s="5"/>
      <c r="H201" s="17">
        <v>196</v>
      </c>
      <c r="I201" s="18" t="str">
        <f t="shared" si="15"/>
        <v/>
      </c>
      <c r="J201" s="17">
        <f t="shared" si="17"/>
        <v>-6</v>
      </c>
      <c r="K201" s="17">
        <f t="shared" si="16"/>
        <v>-60</v>
      </c>
      <c r="L201" s="17"/>
      <c r="M201" s="19" t="str">
        <f t="shared" si="18"/>
        <v/>
      </c>
    </row>
    <row r="202" spans="1:13">
      <c r="A202" s="43"/>
      <c r="G202" s="5"/>
      <c r="H202" s="17">
        <v>197</v>
      </c>
      <c r="I202" s="18" t="str">
        <f t="shared" si="15"/>
        <v/>
      </c>
      <c r="J202" s="17">
        <f t="shared" si="17"/>
        <v>-6</v>
      </c>
      <c r="K202" s="17">
        <f t="shared" si="16"/>
        <v>-60</v>
      </c>
      <c r="L202" s="17"/>
      <c r="M202" s="19" t="str">
        <f t="shared" si="18"/>
        <v/>
      </c>
    </row>
    <row r="203" spans="1:13">
      <c r="A203" s="43"/>
      <c r="G203" s="5"/>
      <c r="H203" s="17">
        <v>198</v>
      </c>
      <c r="I203" s="18" t="str">
        <f t="shared" si="15"/>
        <v/>
      </c>
      <c r="J203" s="17">
        <f t="shared" si="17"/>
        <v>-6</v>
      </c>
      <c r="K203" s="17">
        <f t="shared" si="16"/>
        <v>-60</v>
      </c>
      <c r="L203" s="17"/>
      <c r="M203" s="19" t="str">
        <f t="shared" si="18"/>
        <v/>
      </c>
    </row>
    <row r="204" spans="1:13">
      <c r="A204" s="43"/>
      <c r="G204" s="5"/>
      <c r="H204" s="17">
        <v>199</v>
      </c>
      <c r="I204" s="18" t="str">
        <f t="shared" si="15"/>
        <v/>
      </c>
      <c r="J204" s="17">
        <f t="shared" si="17"/>
        <v>-6</v>
      </c>
      <c r="K204" s="17">
        <f t="shared" si="16"/>
        <v>-60</v>
      </c>
      <c r="L204" s="17"/>
      <c r="M204" s="19" t="str">
        <f t="shared" si="18"/>
        <v/>
      </c>
    </row>
    <row r="205" spans="1:13">
      <c r="A205" s="43"/>
      <c r="G205" s="5"/>
      <c r="H205" s="17">
        <v>200</v>
      </c>
      <c r="I205" s="18" t="str">
        <f t="shared" si="15"/>
        <v/>
      </c>
      <c r="J205" s="17">
        <f t="shared" si="17"/>
        <v>-6</v>
      </c>
      <c r="K205" s="17">
        <f t="shared" si="16"/>
        <v>-60</v>
      </c>
      <c r="L205" s="17"/>
      <c r="M205" s="19" t="str">
        <f t="shared" si="18"/>
        <v/>
      </c>
    </row>
    <row r="206" spans="1:13">
      <c r="A206" s="43"/>
      <c r="G206" s="5"/>
      <c r="H206" s="17">
        <v>201</v>
      </c>
      <c r="I206" s="18" t="str">
        <f t="shared" si="15"/>
        <v/>
      </c>
      <c r="J206" s="17">
        <f t="shared" si="17"/>
        <v>-6</v>
      </c>
      <c r="K206" s="17">
        <f t="shared" si="16"/>
        <v>-60</v>
      </c>
      <c r="L206" s="17"/>
      <c r="M206" s="19" t="str">
        <f t="shared" si="18"/>
        <v/>
      </c>
    </row>
    <row r="207" spans="1:13">
      <c r="A207" s="43"/>
      <c r="G207" s="5"/>
      <c r="H207" s="17">
        <v>202</v>
      </c>
      <c r="I207" s="18" t="str">
        <f t="shared" si="15"/>
        <v/>
      </c>
      <c r="J207" s="17">
        <f t="shared" si="17"/>
        <v>-6</v>
      </c>
      <c r="K207" s="17">
        <f t="shared" si="16"/>
        <v>-60</v>
      </c>
      <c r="L207" s="17"/>
      <c r="M207" s="19" t="str">
        <f t="shared" si="18"/>
        <v/>
      </c>
    </row>
    <row r="208" spans="1:13">
      <c r="A208" s="43"/>
      <c r="G208" s="5"/>
      <c r="H208" s="17">
        <v>203</v>
      </c>
      <c r="I208" s="18" t="str">
        <f t="shared" si="15"/>
        <v/>
      </c>
      <c r="J208" s="17">
        <f t="shared" si="17"/>
        <v>-6</v>
      </c>
      <c r="K208" s="17">
        <f t="shared" si="16"/>
        <v>-60</v>
      </c>
      <c r="L208" s="17"/>
      <c r="M208" s="19" t="str">
        <f t="shared" si="18"/>
        <v/>
      </c>
    </row>
    <row r="209" spans="1:13">
      <c r="A209" s="43"/>
      <c r="G209" s="5"/>
      <c r="H209" s="17">
        <v>204</v>
      </c>
      <c r="I209" s="18" t="str">
        <f t="shared" si="15"/>
        <v/>
      </c>
      <c r="J209" s="17">
        <f t="shared" si="17"/>
        <v>-6</v>
      </c>
      <c r="K209" s="17">
        <f t="shared" si="16"/>
        <v>-60</v>
      </c>
      <c r="L209" s="17"/>
      <c r="M209" s="19" t="str">
        <f t="shared" si="18"/>
        <v/>
      </c>
    </row>
    <row r="210" spans="1:13">
      <c r="A210" s="43"/>
      <c r="G210" s="5"/>
      <c r="H210" s="17">
        <v>205</v>
      </c>
      <c r="I210" s="18" t="str">
        <f t="shared" si="15"/>
        <v/>
      </c>
      <c r="J210" s="17">
        <f t="shared" si="17"/>
        <v>-6</v>
      </c>
      <c r="K210" s="17">
        <f t="shared" si="16"/>
        <v>-60</v>
      </c>
      <c r="L210" s="17"/>
      <c r="M210" s="19" t="str">
        <f t="shared" si="18"/>
        <v/>
      </c>
    </row>
    <row r="211" spans="1:13">
      <c r="A211" s="43"/>
      <c r="G211" s="5"/>
      <c r="H211" s="17">
        <v>206</v>
      </c>
      <c r="I211" s="18" t="str">
        <f t="shared" si="15"/>
        <v/>
      </c>
      <c r="J211" s="17">
        <f t="shared" si="17"/>
        <v>-6</v>
      </c>
      <c r="K211" s="17">
        <f t="shared" si="16"/>
        <v>-60</v>
      </c>
      <c r="L211" s="17"/>
      <c r="M211" s="19" t="str">
        <f t="shared" si="18"/>
        <v/>
      </c>
    </row>
    <row r="212" spans="1:13">
      <c r="A212" s="43"/>
      <c r="G212" s="5"/>
      <c r="H212" s="17">
        <v>207</v>
      </c>
      <c r="I212" s="18" t="str">
        <f t="shared" si="15"/>
        <v/>
      </c>
      <c r="J212" s="17">
        <f t="shared" si="17"/>
        <v>-6</v>
      </c>
      <c r="K212" s="17">
        <f t="shared" si="16"/>
        <v>-60</v>
      </c>
      <c r="L212" s="17"/>
      <c r="M212" s="19" t="str">
        <f t="shared" si="18"/>
        <v/>
      </c>
    </row>
    <row r="213" spans="1:13">
      <c r="A213" s="43"/>
      <c r="G213" s="5"/>
      <c r="H213" s="17">
        <v>208</v>
      </c>
      <c r="I213" s="18" t="str">
        <f t="shared" si="15"/>
        <v/>
      </c>
      <c r="J213" s="17">
        <f t="shared" si="17"/>
        <v>-6</v>
      </c>
      <c r="K213" s="17">
        <f t="shared" si="16"/>
        <v>-60</v>
      </c>
      <c r="L213" s="17"/>
      <c r="M213" s="19" t="str">
        <f t="shared" si="18"/>
        <v/>
      </c>
    </row>
    <row r="214" spans="1:13">
      <c r="A214" s="43"/>
      <c r="G214" s="5"/>
      <c r="H214" s="17">
        <v>209</v>
      </c>
      <c r="I214" s="18" t="str">
        <f t="shared" si="15"/>
        <v/>
      </c>
      <c r="J214" s="17">
        <f t="shared" si="17"/>
        <v>-6</v>
      </c>
      <c r="K214" s="17">
        <f t="shared" si="16"/>
        <v>-60</v>
      </c>
      <c r="L214" s="17"/>
      <c r="M214" s="19" t="str">
        <f t="shared" si="18"/>
        <v/>
      </c>
    </row>
    <row r="215" spans="1:13">
      <c r="A215" s="43"/>
      <c r="G215" s="5"/>
      <c r="H215" s="17">
        <v>210</v>
      </c>
      <c r="I215" s="18" t="str">
        <f t="shared" si="15"/>
        <v/>
      </c>
      <c r="J215" s="17">
        <f t="shared" si="17"/>
        <v>-6</v>
      </c>
      <c r="K215" s="17">
        <f t="shared" si="16"/>
        <v>-60</v>
      </c>
      <c r="L215" s="17"/>
      <c r="M215" s="19" t="str">
        <f t="shared" si="18"/>
        <v/>
      </c>
    </row>
    <row r="216" spans="1:13">
      <c r="A216" s="43"/>
      <c r="G216" s="5"/>
      <c r="H216" s="17">
        <v>211</v>
      </c>
      <c r="I216" s="18" t="str">
        <f t="shared" si="15"/>
        <v/>
      </c>
      <c r="J216" s="17">
        <f t="shared" si="17"/>
        <v>-6</v>
      </c>
      <c r="K216" s="17">
        <f t="shared" si="16"/>
        <v>-60</v>
      </c>
      <c r="L216" s="17"/>
      <c r="M216" s="19" t="str">
        <f t="shared" si="18"/>
        <v/>
      </c>
    </row>
    <row r="217" spans="1:13">
      <c r="A217" s="43"/>
      <c r="G217" s="5"/>
      <c r="H217" s="17">
        <v>212</v>
      </c>
      <c r="I217" s="18" t="str">
        <f t="shared" si="15"/>
        <v/>
      </c>
      <c r="J217" s="17">
        <f t="shared" si="17"/>
        <v>-6</v>
      </c>
      <c r="K217" s="17">
        <f t="shared" si="16"/>
        <v>-60</v>
      </c>
      <c r="L217" s="17"/>
      <c r="M217" s="19" t="str">
        <f t="shared" si="18"/>
        <v/>
      </c>
    </row>
    <row r="218" spans="1:13">
      <c r="A218" s="43"/>
      <c r="G218" s="5"/>
      <c r="H218" s="17">
        <v>213</v>
      </c>
      <c r="I218" s="18" t="str">
        <f t="shared" si="15"/>
        <v/>
      </c>
      <c r="J218" s="17">
        <f t="shared" si="17"/>
        <v>-6</v>
      </c>
      <c r="K218" s="17">
        <f t="shared" si="16"/>
        <v>-60</v>
      </c>
      <c r="L218" s="17"/>
      <c r="M218" s="19" t="str">
        <f t="shared" si="18"/>
        <v/>
      </c>
    </row>
    <row r="219" spans="1:13">
      <c r="A219" s="43"/>
      <c r="G219" s="5"/>
      <c r="H219" s="17">
        <v>214</v>
      </c>
      <c r="I219" s="18" t="str">
        <f t="shared" si="15"/>
        <v/>
      </c>
      <c r="J219" s="17">
        <f t="shared" si="17"/>
        <v>-6</v>
      </c>
      <c r="K219" s="17">
        <f t="shared" si="16"/>
        <v>-60</v>
      </c>
      <c r="L219" s="17"/>
      <c r="M219" s="19" t="str">
        <f t="shared" si="18"/>
        <v/>
      </c>
    </row>
    <row r="220" spans="1:13">
      <c r="A220" s="43"/>
      <c r="G220" s="5"/>
      <c r="H220" s="17">
        <v>215</v>
      </c>
      <c r="I220" s="18" t="str">
        <f t="shared" si="15"/>
        <v/>
      </c>
      <c r="J220" s="17">
        <f t="shared" si="17"/>
        <v>-6</v>
      </c>
      <c r="K220" s="17">
        <f t="shared" si="16"/>
        <v>-60</v>
      </c>
      <c r="L220" s="17"/>
      <c r="M220" s="19" t="str">
        <f t="shared" si="18"/>
        <v/>
      </c>
    </row>
    <row r="221" spans="1:13">
      <c r="A221" s="43"/>
      <c r="G221" s="5"/>
      <c r="H221" s="17">
        <v>216</v>
      </c>
      <c r="I221" s="18" t="str">
        <f t="shared" si="15"/>
        <v/>
      </c>
      <c r="J221" s="17">
        <f t="shared" si="17"/>
        <v>-6</v>
      </c>
      <c r="K221" s="17">
        <f t="shared" si="16"/>
        <v>-60</v>
      </c>
      <c r="L221" s="17"/>
      <c r="M221" s="19" t="str">
        <f t="shared" si="18"/>
        <v/>
      </c>
    </row>
    <row r="222" spans="1:13">
      <c r="A222" s="43"/>
      <c r="G222" s="5"/>
      <c r="H222" s="17">
        <v>217</v>
      </c>
      <c r="I222" s="18" t="str">
        <f t="shared" si="15"/>
        <v/>
      </c>
      <c r="J222" s="17">
        <f t="shared" si="17"/>
        <v>-6</v>
      </c>
      <c r="K222" s="17">
        <f t="shared" si="16"/>
        <v>-60</v>
      </c>
      <c r="L222" s="17"/>
      <c r="M222" s="19" t="str">
        <f t="shared" si="18"/>
        <v/>
      </c>
    </row>
    <row r="223" spans="1:13">
      <c r="A223" s="43"/>
      <c r="G223" s="5"/>
      <c r="H223" s="17">
        <v>218</v>
      </c>
      <c r="I223" s="18" t="str">
        <f t="shared" si="15"/>
        <v/>
      </c>
      <c r="J223" s="17">
        <f t="shared" si="17"/>
        <v>-6</v>
      </c>
      <c r="K223" s="17">
        <f t="shared" si="16"/>
        <v>-60</v>
      </c>
      <c r="L223" s="17"/>
      <c r="M223" s="19" t="str">
        <f t="shared" si="18"/>
        <v/>
      </c>
    </row>
    <row r="224" spans="1:13">
      <c r="A224" s="43"/>
      <c r="G224" s="5"/>
      <c r="H224" s="17">
        <v>219</v>
      </c>
      <c r="I224" s="18" t="str">
        <f t="shared" si="15"/>
        <v/>
      </c>
      <c r="J224" s="17">
        <f t="shared" si="17"/>
        <v>-6</v>
      </c>
      <c r="K224" s="17">
        <f t="shared" si="16"/>
        <v>-60</v>
      </c>
      <c r="L224" s="17"/>
      <c r="M224" s="19" t="str">
        <f t="shared" si="18"/>
        <v/>
      </c>
    </row>
    <row r="225" spans="1:13">
      <c r="A225" s="43"/>
      <c r="G225" s="5"/>
      <c r="H225" s="17">
        <v>220</v>
      </c>
      <c r="I225" s="18" t="str">
        <f t="shared" si="15"/>
        <v/>
      </c>
      <c r="J225" s="17">
        <f t="shared" si="17"/>
        <v>-6</v>
      </c>
      <c r="K225" s="17">
        <f t="shared" si="16"/>
        <v>-60</v>
      </c>
      <c r="L225" s="17"/>
      <c r="M225" s="19" t="str">
        <f t="shared" si="18"/>
        <v/>
      </c>
    </row>
    <row r="226" spans="1:13">
      <c r="A226" s="43"/>
      <c r="G226" s="5"/>
      <c r="H226" s="17">
        <v>221</v>
      </c>
      <c r="I226" s="18" t="str">
        <f t="shared" si="15"/>
        <v/>
      </c>
      <c r="J226" s="17">
        <f t="shared" si="17"/>
        <v>-6</v>
      </c>
      <c r="K226" s="17">
        <f t="shared" si="16"/>
        <v>-60</v>
      </c>
      <c r="L226" s="17"/>
      <c r="M226" s="19" t="str">
        <f t="shared" si="18"/>
        <v/>
      </c>
    </row>
    <row r="227" spans="1:13">
      <c r="A227" s="43"/>
      <c r="G227" s="5"/>
      <c r="H227" s="17">
        <v>222</v>
      </c>
      <c r="I227" s="18" t="str">
        <f t="shared" si="15"/>
        <v/>
      </c>
      <c r="J227" s="17">
        <f t="shared" si="17"/>
        <v>-6</v>
      </c>
      <c r="K227" s="17">
        <f t="shared" si="16"/>
        <v>-60</v>
      </c>
      <c r="L227" s="17"/>
      <c r="M227" s="19" t="str">
        <f t="shared" si="18"/>
        <v/>
      </c>
    </row>
    <row r="228" spans="1:13">
      <c r="A228" s="43"/>
      <c r="G228" s="5"/>
      <c r="H228" s="17">
        <v>223</v>
      </c>
      <c r="I228" s="18" t="str">
        <f t="shared" si="15"/>
        <v/>
      </c>
      <c r="J228" s="17">
        <f t="shared" si="17"/>
        <v>-6</v>
      </c>
      <c r="K228" s="17">
        <f t="shared" si="16"/>
        <v>-60</v>
      </c>
      <c r="L228" s="17"/>
      <c r="M228" s="19" t="str">
        <f t="shared" si="18"/>
        <v/>
      </c>
    </row>
    <row r="229" spans="1:13">
      <c r="A229" s="43"/>
      <c r="G229" s="5"/>
      <c r="H229" s="17">
        <v>224</v>
      </c>
      <c r="I229" s="18" t="str">
        <f t="shared" si="15"/>
        <v/>
      </c>
      <c r="J229" s="17">
        <f t="shared" si="17"/>
        <v>-6</v>
      </c>
      <c r="K229" s="17">
        <f t="shared" si="16"/>
        <v>-60</v>
      </c>
      <c r="L229" s="17"/>
      <c r="M229" s="19" t="str">
        <f t="shared" si="18"/>
        <v/>
      </c>
    </row>
    <row r="230" spans="1:13">
      <c r="A230" s="43"/>
      <c r="G230" s="5"/>
      <c r="H230" s="17">
        <v>225</v>
      </c>
      <c r="I230" s="18" t="str">
        <f t="shared" si="15"/>
        <v/>
      </c>
      <c r="J230" s="17">
        <f t="shared" si="17"/>
        <v>-6</v>
      </c>
      <c r="K230" s="17">
        <f t="shared" si="16"/>
        <v>-60</v>
      </c>
      <c r="L230" s="17"/>
      <c r="M230" s="19" t="str">
        <f t="shared" si="18"/>
        <v/>
      </c>
    </row>
    <row r="231" spans="1:13">
      <c r="A231" s="43"/>
      <c r="G231" s="5"/>
      <c r="H231" s="17">
        <v>226</v>
      </c>
      <c r="I231" s="18" t="str">
        <f t="shared" si="15"/>
        <v/>
      </c>
      <c r="J231" s="17">
        <f t="shared" si="17"/>
        <v>-6</v>
      </c>
      <c r="K231" s="17">
        <f t="shared" si="16"/>
        <v>-60</v>
      </c>
      <c r="L231" s="17"/>
      <c r="M231" s="19" t="str">
        <f t="shared" si="18"/>
        <v/>
      </c>
    </row>
    <row r="232" spans="1:13">
      <c r="A232" s="43"/>
      <c r="G232" s="5"/>
      <c r="H232" s="17">
        <v>227</v>
      </c>
      <c r="I232" s="18" t="str">
        <f t="shared" si="15"/>
        <v/>
      </c>
      <c r="J232" s="17">
        <f t="shared" si="17"/>
        <v>-6</v>
      </c>
      <c r="K232" s="17">
        <f t="shared" si="16"/>
        <v>-60</v>
      </c>
      <c r="L232" s="17"/>
      <c r="M232" s="19" t="str">
        <f t="shared" si="18"/>
        <v/>
      </c>
    </row>
    <row r="233" spans="1:13">
      <c r="A233" s="43"/>
      <c r="G233" s="5"/>
      <c r="H233" s="17">
        <v>228</v>
      </c>
      <c r="I233" s="18" t="str">
        <f t="shared" si="15"/>
        <v/>
      </c>
      <c r="J233" s="17">
        <f t="shared" si="17"/>
        <v>-6</v>
      </c>
      <c r="K233" s="17">
        <f t="shared" si="16"/>
        <v>-60</v>
      </c>
      <c r="L233" s="17"/>
      <c r="M233" s="19" t="str">
        <f t="shared" si="18"/>
        <v/>
      </c>
    </row>
    <row r="234" spans="1:13">
      <c r="A234" s="43"/>
      <c r="G234" s="5"/>
      <c r="H234" s="17">
        <v>229</v>
      </c>
      <c r="I234" s="18" t="str">
        <f t="shared" si="15"/>
        <v/>
      </c>
      <c r="J234" s="17">
        <f t="shared" si="17"/>
        <v>-6</v>
      </c>
      <c r="K234" s="17">
        <f t="shared" si="16"/>
        <v>-60</v>
      </c>
      <c r="L234" s="17"/>
      <c r="M234" s="19" t="str">
        <f t="shared" si="18"/>
        <v/>
      </c>
    </row>
    <row r="235" spans="1:13">
      <c r="A235" s="43"/>
      <c r="G235" s="5"/>
      <c r="H235" s="17">
        <v>230</v>
      </c>
      <c r="I235" s="18" t="str">
        <f t="shared" si="15"/>
        <v/>
      </c>
      <c r="J235" s="17">
        <f t="shared" si="17"/>
        <v>-6</v>
      </c>
      <c r="K235" s="17">
        <f t="shared" si="16"/>
        <v>-60</v>
      </c>
      <c r="L235" s="17"/>
      <c r="M235" s="19" t="str">
        <f t="shared" si="18"/>
        <v/>
      </c>
    </row>
    <row r="236" spans="1:13">
      <c r="A236" s="43"/>
      <c r="G236" s="5"/>
      <c r="H236" s="17">
        <v>231</v>
      </c>
      <c r="I236" s="18" t="str">
        <f t="shared" si="15"/>
        <v/>
      </c>
      <c r="J236" s="17">
        <f t="shared" si="17"/>
        <v>-6</v>
      </c>
      <c r="K236" s="17">
        <f t="shared" si="16"/>
        <v>-60</v>
      </c>
      <c r="L236" s="17"/>
      <c r="M236" s="19" t="str">
        <f t="shared" si="18"/>
        <v/>
      </c>
    </row>
    <row r="237" spans="1:13">
      <c r="A237" s="43"/>
      <c r="G237" s="5"/>
      <c r="H237" s="17">
        <v>232</v>
      </c>
      <c r="I237" s="18" t="str">
        <f t="shared" si="15"/>
        <v/>
      </c>
      <c r="J237" s="17">
        <f t="shared" si="17"/>
        <v>-6</v>
      </c>
      <c r="K237" s="17">
        <f t="shared" si="16"/>
        <v>-60</v>
      </c>
      <c r="L237" s="17"/>
      <c r="M237" s="19" t="str">
        <f t="shared" si="18"/>
        <v/>
      </c>
    </row>
    <row r="238" spans="1:13">
      <c r="A238" s="43"/>
      <c r="G238" s="5"/>
      <c r="H238" s="17">
        <v>233</v>
      </c>
      <c r="I238" s="18" t="str">
        <f t="shared" si="15"/>
        <v/>
      </c>
      <c r="J238" s="17">
        <f t="shared" si="17"/>
        <v>-6</v>
      </c>
      <c r="K238" s="17">
        <f t="shared" si="16"/>
        <v>-60</v>
      </c>
      <c r="L238" s="17"/>
      <c r="M238" s="19" t="str">
        <f t="shared" si="18"/>
        <v/>
      </c>
    </row>
    <row r="239" spans="1:13">
      <c r="A239" s="43"/>
      <c r="G239" s="5"/>
      <c r="H239" s="17">
        <v>234</v>
      </c>
      <c r="I239" s="18" t="str">
        <f t="shared" si="15"/>
        <v/>
      </c>
      <c r="J239" s="17">
        <f t="shared" si="17"/>
        <v>-6</v>
      </c>
      <c r="K239" s="17">
        <f t="shared" si="16"/>
        <v>-60</v>
      </c>
      <c r="L239" s="17"/>
      <c r="M239" s="19" t="str">
        <f t="shared" si="18"/>
        <v/>
      </c>
    </row>
    <row r="240" spans="1:13">
      <c r="A240" s="43"/>
      <c r="G240" s="5"/>
      <c r="H240" s="17">
        <v>235</v>
      </c>
      <c r="I240" s="18" t="str">
        <f t="shared" si="15"/>
        <v/>
      </c>
      <c r="J240" s="17">
        <f t="shared" si="17"/>
        <v>-6</v>
      </c>
      <c r="K240" s="17">
        <f t="shared" si="16"/>
        <v>-60</v>
      </c>
      <c r="L240" s="17"/>
      <c r="M240" s="19" t="str">
        <f t="shared" si="18"/>
        <v/>
      </c>
    </row>
    <row r="241" spans="1:13">
      <c r="A241" s="43"/>
      <c r="G241" s="5"/>
      <c r="H241" s="17">
        <v>236</v>
      </c>
      <c r="I241" s="18" t="str">
        <f t="shared" si="15"/>
        <v/>
      </c>
      <c r="J241" s="17">
        <f t="shared" si="17"/>
        <v>-6</v>
      </c>
      <c r="K241" s="17">
        <f t="shared" si="16"/>
        <v>-60</v>
      </c>
      <c r="L241" s="17"/>
      <c r="M241" s="19" t="str">
        <f t="shared" si="18"/>
        <v/>
      </c>
    </row>
    <row r="242" spans="1:13">
      <c r="A242" s="43"/>
      <c r="G242" s="5"/>
      <c r="H242" s="17">
        <v>237</v>
      </c>
      <c r="I242" s="18" t="str">
        <f t="shared" si="15"/>
        <v/>
      </c>
      <c r="J242" s="17">
        <f t="shared" si="17"/>
        <v>-6</v>
      </c>
      <c r="K242" s="17">
        <f t="shared" si="16"/>
        <v>-60</v>
      </c>
      <c r="L242" s="17"/>
      <c r="M242" s="19" t="str">
        <f t="shared" si="18"/>
        <v/>
      </c>
    </row>
    <row r="243" spans="1:13">
      <c r="A243" s="43"/>
      <c r="G243" s="5"/>
      <c r="H243" s="17">
        <v>238</v>
      </c>
      <c r="I243" s="18" t="str">
        <f t="shared" si="15"/>
        <v/>
      </c>
      <c r="J243" s="17">
        <f t="shared" si="17"/>
        <v>-6</v>
      </c>
      <c r="K243" s="17">
        <f t="shared" si="16"/>
        <v>-60</v>
      </c>
      <c r="L243" s="17"/>
      <c r="M243" s="19" t="str">
        <f t="shared" si="18"/>
        <v/>
      </c>
    </row>
    <row r="244" spans="1:13">
      <c r="A244" s="43"/>
      <c r="G244" s="5"/>
      <c r="H244" s="17">
        <v>239</v>
      </c>
      <c r="I244" s="18" t="str">
        <f t="shared" si="15"/>
        <v/>
      </c>
      <c r="J244" s="17">
        <f t="shared" si="17"/>
        <v>-6</v>
      </c>
      <c r="K244" s="17">
        <f t="shared" si="16"/>
        <v>-60</v>
      </c>
      <c r="L244" s="17"/>
      <c r="M244" s="19" t="str">
        <f t="shared" si="18"/>
        <v/>
      </c>
    </row>
    <row r="245" spans="1:13">
      <c r="A245" s="43"/>
      <c r="G245" s="5"/>
      <c r="H245" s="17">
        <v>240</v>
      </c>
      <c r="I245" s="18" t="str">
        <f t="shared" si="15"/>
        <v/>
      </c>
      <c r="J245" s="17">
        <f t="shared" si="17"/>
        <v>-6</v>
      </c>
      <c r="K245" s="17">
        <f t="shared" si="16"/>
        <v>-60</v>
      </c>
      <c r="L245" s="17"/>
      <c r="M245" s="19" t="str">
        <f t="shared" si="18"/>
        <v/>
      </c>
    </row>
    <row r="246" spans="1:13">
      <c r="A246" s="43"/>
      <c r="G246" s="5"/>
      <c r="H246" s="17">
        <v>241</v>
      </c>
      <c r="I246" s="18" t="str">
        <f t="shared" si="15"/>
        <v/>
      </c>
      <c r="J246" s="17">
        <f t="shared" si="17"/>
        <v>-6</v>
      </c>
      <c r="K246" s="17">
        <f t="shared" si="16"/>
        <v>-60</v>
      </c>
      <c r="L246" s="17"/>
      <c r="M246" s="19" t="str">
        <f t="shared" si="18"/>
        <v/>
      </c>
    </row>
    <row r="247" spans="1:13">
      <c r="A247" s="43"/>
      <c r="G247" s="5"/>
      <c r="H247" s="17">
        <v>242</v>
      </c>
      <c r="I247" s="18" t="str">
        <f t="shared" si="15"/>
        <v/>
      </c>
      <c r="J247" s="17">
        <f t="shared" si="17"/>
        <v>-6</v>
      </c>
      <c r="K247" s="17">
        <f t="shared" si="16"/>
        <v>-60</v>
      </c>
      <c r="L247" s="17"/>
      <c r="M247" s="19" t="str">
        <f t="shared" si="18"/>
        <v/>
      </c>
    </row>
    <row r="248" spans="1:13">
      <c r="A248" s="43"/>
      <c r="G248" s="5"/>
      <c r="H248" s="17">
        <v>243</v>
      </c>
      <c r="I248" s="18" t="str">
        <f t="shared" si="15"/>
        <v/>
      </c>
      <c r="J248" s="17">
        <f t="shared" si="17"/>
        <v>-6</v>
      </c>
      <c r="K248" s="17">
        <f t="shared" si="16"/>
        <v>-60</v>
      </c>
      <c r="L248" s="17"/>
      <c r="M248" s="19" t="str">
        <f t="shared" si="18"/>
        <v/>
      </c>
    </row>
    <row r="249" spans="1:13">
      <c r="A249" s="43"/>
      <c r="G249" s="5"/>
      <c r="H249" s="17">
        <v>244</v>
      </c>
      <c r="I249" s="18" t="str">
        <f t="shared" si="15"/>
        <v/>
      </c>
      <c r="J249" s="17">
        <f t="shared" si="17"/>
        <v>-6</v>
      </c>
      <c r="K249" s="17">
        <f t="shared" si="16"/>
        <v>-60</v>
      </c>
      <c r="L249" s="17"/>
      <c r="M249" s="19" t="str">
        <f t="shared" si="18"/>
        <v/>
      </c>
    </row>
    <row r="250" spans="1:13">
      <c r="A250" s="43"/>
      <c r="G250" s="5"/>
      <c r="H250" s="17">
        <v>245</v>
      </c>
      <c r="I250" s="18" t="str">
        <f t="shared" si="15"/>
        <v/>
      </c>
      <c r="J250" s="17">
        <f t="shared" si="17"/>
        <v>-6</v>
      </c>
      <c r="K250" s="17">
        <f t="shared" si="16"/>
        <v>-60</v>
      </c>
      <c r="L250" s="17"/>
      <c r="M250" s="19" t="str">
        <f t="shared" si="18"/>
        <v/>
      </c>
    </row>
    <row r="251" spans="1:13">
      <c r="A251" s="43"/>
      <c r="G251" s="5"/>
      <c r="H251" s="17">
        <v>246</v>
      </c>
      <c r="I251" s="18" t="str">
        <f t="shared" si="15"/>
        <v/>
      </c>
      <c r="J251" s="17">
        <f t="shared" si="17"/>
        <v>-6</v>
      </c>
      <c r="K251" s="17">
        <f t="shared" si="16"/>
        <v>-60</v>
      </c>
      <c r="L251" s="17"/>
      <c r="M251" s="19" t="str">
        <f t="shared" si="18"/>
        <v/>
      </c>
    </row>
    <row r="252" spans="1:13">
      <c r="A252" s="43"/>
      <c r="G252" s="5"/>
      <c r="H252" s="17">
        <v>247</v>
      </c>
      <c r="I252" s="18" t="str">
        <f t="shared" si="15"/>
        <v/>
      </c>
      <c r="J252" s="17">
        <f t="shared" si="17"/>
        <v>-6</v>
      </c>
      <c r="K252" s="17">
        <f t="shared" si="16"/>
        <v>-60</v>
      </c>
      <c r="L252" s="17"/>
      <c r="M252" s="19" t="str">
        <f t="shared" si="18"/>
        <v/>
      </c>
    </row>
    <row r="253" spans="1:13">
      <c r="A253" s="43"/>
      <c r="G253" s="5"/>
      <c r="H253" s="17">
        <v>248</v>
      </c>
      <c r="I253" s="18" t="str">
        <f t="shared" si="15"/>
        <v/>
      </c>
      <c r="J253" s="17">
        <f t="shared" si="17"/>
        <v>-6</v>
      </c>
      <c r="K253" s="17">
        <f t="shared" si="16"/>
        <v>-60</v>
      </c>
      <c r="L253" s="17"/>
      <c r="M253" s="19" t="str">
        <f t="shared" si="18"/>
        <v/>
      </c>
    </row>
    <row r="254" spans="1:13">
      <c r="A254" s="43"/>
      <c r="G254" s="5"/>
      <c r="H254" s="17">
        <v>249</v>
      </c>
      <c r="I254" s="18" t="str">
        <f t="shared" si="15"/>
        <v/>
      </c>
      <c r="J254" s="17">
        <f t="shared" si="17"/>
        <v>-6</v>
      </c>
      <c r="K254" s="17">
        <f t="shared" si="16"/>
        <v>-60</v>
      </c>
      <c r="L254" s="17"/>
      <c r="M254" s="19" t="str">
        <f t="shared" si="18"/>
        <v/>
      </c>
    </row>
    <row r="255" spans="1:13">
      <c r="A255" s="43"/>
      <c r="G255" s="5"/>
      <c r="H255" s="17">
        <v>250</v>
      </c>
      <c r="I255" s="18" t="str">
        <f t="shared" si="15"/>
        <v/>
      </c>
      <c r="J255" s="17">
        <f t="shared" si="17"/>
        <v>-6</v>
      </c>
      <c r="K255" s="17">
        <f t="shared" si="16"/>
        <v>-60</v>
      </c>
      <c r="L255" s="17"/>
      <c r="M255" s="19" t="str">
        <f t="shared" si="18"/>
        <v/>
      </c>
    </row>
    <row r="256" spans="1:13">
      <c r="A256" s="43"/>
      <c r="G256" s="5"/>
      <c r="H256" s="17">
        <v>251</v>
      </c>
      <c r="I256" s="18" t="str">
        <f t="shared" si="15"/>
        <v/>
      </c>
      <c r="J256" s="17">
        <f t="shared" si="17"/>
        <v>-6</v>
      </c>
      <c r="K256" s="17">
        <f t="shared" si="16"/>
        <v>-60</v>
      </c>
      <c r="L256" s="17"/>
      <c r="M256" s="19" t="str">
        <f t="shared" si="18"/>
        <v/>
      </c>
    </row>
    <row r="257" spans="1:13">
      <c r="A257" s="43"/>
      <c r="G257" s="5"/>
      <c r="H257" s="17">
        <v>252</v>
      </c>
      <c r="I257" s="18" t="str">
        <f t="shared" si="15"/>
        <v/>
      </c>
      <c r="J257" s="17">
        <f t="shared" si="17"/>
        <v>-6</v>
      </c>
      <c r="K257" s="17">
        <f t="shared" si="16"/>
        <v>-60</v>
      </c>
      <c r="L257" s="17"/>
      <c r="M257" s="19" t="str">
        <f t="shared" si="18"/>
        <v/>
      </c>
    </row>
    <row r="258" spans="1:13">
      <c r="A258" s="43"/>
      <c r="G258" s="5"/>
      <c r="H258" s="17">
        <v>253</v>
      </c>
      <c r="I258" s="18" t="str">
        <f t="shared" si="15"/>
        <v/>
      </c>
      <c r="J258" s="17">
        <f t="shared" si="17"/>
        <v>-6</v>
      </c>
      <c r="K258" s="17">
        <f t="shared" si="16"/>
        <v>-60</v>
      </c>
      <c r="L258" s="17"/>
      <c r="M258" s="19" t="str">
        <f t="shared" si="18"/>
        <v/>
      </c>
    </row>
    <row r="259" spans="1:13">
      <c r="A259" s="43"/>
      <c r="G259" s="5"/>
      <c r="H259" s="17">
        <v>254</v>
      </c>
      <c r="I259" s="18" t="str">
        <f t="shared" si="15"/>
        <v/>
      </c>
      <c r="J259" s="17">
        <f t="shared" si="17"/>
        <v>-6</v>
      </c>
      <c r="K259" s="17">
        <f t="shared" si="16"/>
        <v>-60</v>
      </c>
      <c r="L259" s="17"/>
      <c r="M259" s="19" t="str">
        <f t="shared" si="18"/>
        <v/>
      </c>
    </row>
    <row r="260" spans="1:13">
      <c r="A260" s="43"/>
      <c r="G260" s="5"/>
      <c r="H260" s="17">
        <v>255</v>
      </c>
      <c r="I260" s="18" t="str">
        <f t="shared" si="15"/>
        <v/>
      </c>
      <c r="J260" s="17">
        <f t="shared" si="17"/>
        <v>-6</v>
      </c>
      <c r="K260" s="17">
        <f t="shared" si="16"/>
        <v>-60</v>
      </c>
      <c r="L260" s="17"/>
      <c r="M260" s="19" t="str">
        <f t="shared" si="18"/>
        <v/>
      </c>
    </row>
    <row r="261" spans="1:13">
      <c r="A261" s="43"/>
      <c r="G261" s="5"/>
      <c r="H261" s="17">
        <v>256</v>
      </c>
      <c r="I261" s="18" t="str">
        <f t="shared" si="15"/>
        <v/>
      </c>
      <c r="J261" s="17">
        <f t="shared" si="17"/>
        <v>-6</v>
      </c>
      <c r="K261" s="17">
        <f t="shared" si="16"/>
        <v>-60</v>
      </c>
      <c r="L261" s="17"/>
      <c r="M261" s="19" t="str">
        <f t="shared" si="18"/>
        <v/>
      </c>
    </row>
    <row r="262" spans="1:13">
      <c r="A262" s="43"/>
      <c r="G262" s="5"/>
      <c r="H262" s="17">
        <v>257</v>
      </c>
      <c r="I262" s="18" t="str">
        <f t="shared" ref="I262:I305" si="19">IF(H262&lt;$H$2+1,($I$2-($I$2-1)*(LOG(H262)/LOG($H$2))),"")</f>
        <v/>
      </c>
      <c r="J262" s="17">
        <f t="shared" si="17"/>
        <v>-7</v>
      </c>
      <c r="K262" s="17">
        <f t="shared" ref="K262:K305" si="20">J262*$J$2</f>
        <v>-70</v>
      </c>
      <c r="L262" s="17"/>
      <c r="M262" s="19" t="str">
        <f t="shared" si="18"/>
        <v/>
      </c>
    </row>
    <row r="263" spans="1:13">
      <c r="A263" s="43"/>
      <c r="G263" s="5"/>
      <c r="H263" s="17">
        <v>258</v>
      </c>
      <c r="I263" s="18" t="str">
        <f t="shared" si="19"/>
        <v/>
      </c>
      <c r="J263" s="17">
        <f t="shared" ref="J263:J326" si="21">INT(LOG($H$2,2))-ROUNDUP(LOG(H263,2),0)+IF(OR($H$2=1,$H$2=2,$H$2=4,$H$2=8,$H$2=16,$H$2=32,$H$2=64,$H$2=128,$H$2=256),0,1)</f>
        <v>-7</v>
      </c>
      <c r="K263" s="17">
        <f t="shared" si="20"/>
        <v>-70</v>
      </c>
      <c r="L263" s="17"/>
      <c r="M263" s="19" t="str">
        <f t="shared" ref="M263:M305" si="22">IF(I263&lt;&gt;"",K263+I263+L263,"")</f>
        <v/>
      </c>
    </row>
    <row r="264" spans="1:13">
      <c r="A264" s="43"/>
      <c r="G264" s="5"/>
      <c r="H264" s="17">
        <v>259</v>
      </c>
      <c r="I264" s="18" t="str">
        <f t="shared" si="19"/>
        <v/>
      </c>
      <c r="J264" s="17">
        <f t="shared" si="21"/>
        <v>-7</v>
      </c>
      <c r="K264" s="17">
        <f t="shared" si="20"/>
        <v>-70</v>
      </c>
      <c r="L264" s="17"/>
      <c r="M264" s="19" t="str">
        <f t="shared" si="22"/>
        <v/>
      </c>
    </row>
    <row r="265" spans="1:13">
      <c r="A265" s="43"/>
      <c r="G265" s="5"/>
      <c r="H265" s="17">
        <v>260</v>
      </c>
      <c r="I265" s="18" t="str">
        <f t="shared" si="19"/>
        <v/>
      </c>
      <c r="J265" s="17">
        <f t="shared" si="21"/>
        <v>-7</v>
      </c>
      <c r="K265" s="17">
        <f t="shared" si="20"/>
        <v>-70</v>
      </c>
      <c r="L265" s="17"/>
      <c r="M265" s="19" t="str">
        <f t="shared" si="22"/>
        <v/>
      </c>
    </row>
    <row r="266" spans="1:13">
      <c r="A266" s="43"/>
      <c r="G266" s="5"/>
      <c r="H266" s="17">
        <v>261</v>
      </c>
      <c r="I266" s="18" t="str">
        <f t="shared" si="19"/>
        <v/>
      </c>
      <c r="J266" s="17">
        <f t="shared" si="21"/>
        <v>-7</v>
      </c>
      <c r="K266" s="17">
        <f t="shared" si="20"/>
        <v>-70</v>
      </c>
      <c r="L266" s="17"/>
      <c r="M266" s="19" t="str">
        <f t="shared" si="22"/>
        <v/>
      </c>
    </row>
    <row r="267" spans="1:13">
      <c r="A267" s="43"/>
      <c r="G267" s="5"/>
      <c r="H267" s="17">
        <v>262</v>
      </c>
      <c r="I267" s="18" t="str">
        <f t="shared" si="19"/>
        <v/>
      </c>
      <c r="J267" s="17">
        <f t="shared" si="21"/>
        <v>-7</v>
      </c>
      <c r="K267" s="17">
        <f t="shared" si="20"/>
        <v>-70</v>
      </c>
      <c r="L267" s="17"/>
      <c r="M267" s="19" t="str">
        <f t="shared" si="22"/>
        <v/>
      </c>
    </row>
    <row r="268" spans="1:13">
      <c r="A268" s="43"/>
      <c r="G268" s="5"/>
      <c r="H268" s="17">
        <v>263</v>
      </c>
      <c r="I268" s="18" t="str">
        <f t="shared" si="19"/>
        <v/>
      </c>
      <c r="J268" s="17">
        <f t="shared" si="21"/>
        <v>-7</v>
      </c>
      <c r="K268" s="17">
        <f t="shared" si="20"/>
        <v>-70</v>
      </c>
      <c r="L268" s="17"/>
      <c r="M268" s="19" t="str">
        <f t="shared" si="22"/>
        <v/>
      </c>
    </row>
    <row r="269" spans="1:13">
      <c r="A269" s="43"/>
      <c r="G269" s="5"/>
      <c r="H269" s="17">
        <v>264</v>
      </c>
      <c r="I269" s="18" t="str">
        <f t="shared" si="19"/>
        <v/>
      </c>
      <c r="J269" s="17">
        <f t="shared" si="21"/>
        <v>-7</v>
      </c>
      <c r="K269" s="17">
        <f t="shared" si="20"/>
        <v>-70</v>
      </c>
      <c r="L269" s="17"/>
      <c r="M269" s="19" t="str">
        <f t="shared" si="22"/>
        <v/>
      </c>
    </row>
    <row r="270" spans="1:13">
      <c r="A270" s="43"/>
      <c r="G270" s="5"/>
      <c r="H270" s="17">
        <v>265</v>
      </c>
      <c r="I270" s="18" t="str">
        <f t="shared" si="19"/>
        <v/>
      </c>
      <c r="J270" s="17">
        <f t="shared" si="21"/>
        <v>-7</v>
      </c>
      <c r="K270" s="17">
        <f t="shared" si="20"/>
        <v>-70</v>
      </c>
      <c r="L270" s="17"/>
      <c r="M270" s="19" t="str">
        <f t="shared" si="22"/>
        <v/>
      </c>
    </row>
    <row r="271" spans="1:13">
      <c r="A271" s="43"/>
      <c r="G271" s="5"/>
      <c r="H271" s="17">
        <v>266</v>
      </c>
      <c r="I271" s="18" t="str">
        <f t="shared" si="19"/>
        <v/>
      </c>
      <c r="J271" s="17">
        <f t="shared" si="21"/>
        <v>-7</v>
      </c>
      <c r="K271" s="17">
        <f t="shared" si="20"/>
        <v>-70</v>
      </c>
      <c r="L271" s="17"/>
      <c r="M271" s="19" t="str">
        <f t="shared" si="22"/>
        <v/>
      </c>
    </row>
    <row r="272" spans="1:13">
      <c r="A272" s="43"/>
      <c r="G272" s="5"/>
      <c r="H272" s="17">
        <v>267</v>
      </c>
      <c r="I272" s="18" t="str">
        <f t="shared" si="19"/>
        <v/>
      </c>
      <c r="J272" s="17">
        <f t="shared" si="21"/>
        <v>-7</v>
      </c>
      <c r="K272" s="17">
        <f t="shared" si="20"/>
        <v>-70</v>
      </c>
      <c r="L272" s="17"/>
      <c r="M272" s="19" t="str">
        <f t="shared" si="22"/>
        <v/>
      </c>
    </row>
    <row r="273" spans="1:13">
      <c r="A273" s="43"/>
      <c r="G273" s="5"/>
      <c r="H273" s="17">
        <v>268</v>
      </c>
      <c r="I273" s="18" t="str">
        <f t="shared" si="19"/>
        <v/>
      </c>
      <c r="J273" s="17">
        <f t="shared" si="21"/>
        <v>-7</v>
      </c>
      <c r="K273" s="17">
        <f t="shared" si="20"/>
        <v>-70</v>
      </c>
      <c r="L273" s="17"/>
      <c r="M273" s="19" t="str">
        <f t="shared" si="22"/>
        <v/>
      </c>
    </row>
    <row r="274" spans="1:13">
      <c r="A274" s="43"/>
      <c r="G274" s="5"/>
      <c r="H274" s="17">
        <v>269</v>
      </c>
      <c r="I274" s="18" t="str">
        <f t="shared" si="19"/>
        <v/>
      </c>
      <c r="J274" s="17">
        <f t="shared" si="21"/>
        <v>-7</v>
      </c>
      <c r="K274" s="17">
        <f t="shared" si="20"/>
        <v>-70</v>
      </c>
      <c r="L274" s="17"/>
      <c r="M274" s="19" t="str">
        <f t="shared" si="22"/>
        <v/>
      </c>
    </row>
    <row r="275" spans="1:13">
      <c r="A275" s="43"/>
      <c r="G275" s="5"/>
      <c r="H275" s="17">
        <v>270</v>
      </c>
      <c r="I275" s="18" t="str">
        <f t="shared" si="19"/>
        <v/>
      </c>
      <c r="J275" s="17">
        <f t="shared" si="21"/>
        <v>-7</v>
      </c>
      <c r="K275" s="17">
        <f t="shared" si="20"/>
        <v>-70</v>
      </c>
      <c r="L275" s="17"/>
      <c r="M275" s="19" t="str">
        <f t="shared" si="22"/>
        <v/>
      </c>
    </row>
    <row r="276" spans="1:13">
      <c r="A276" s="43"/>
      <c r="G276" s="5"/>
      <c r="H276" s="17">
        <v>271</v>
      </c>
      <c r="I276" s="18" t="str">
        <f t="shared" si="19"/>
        <v/>
      </c>
      <c r="J276" s="17">
        <f t="shared" si="21"/>
        <v>-7</v>
      </c>
      <c r="K276" s="17">
        <f t="shared" si="20"/>
        <v>-70</v>
      </c>
      <c r="L276" s="17"/>
      <c r="M276" s="19" t="str">
        <f t="shared" si="22"/>
        <v/>
      </c>
    </row>
    <row r="277" spans="1:13">
      <c r="A277" s="43"/>
      <c r="G277" s="5"/>
      <c r="H277" s="17">
        <v>272</v>
      </c>
      <c r="I277" s="18" t="str">
        <f t="shared" si="19"/>
        <v/>
      </c>
      <c r="J277" s="17">
        <f t="shared" si="21"/>
        <v>-7</v>
      </c>
      <c r="K277" s="17">
        <f t="shared" si="20"/>
        <v>-70</v>
      </c>
      <c r="L277" s="17"/>
      <c r="M277" s="19" t="str">
        <f t="shared" si="22"/>
        <v/>
      </c>
    </row>
    <row r="278" spans="1:13">
      <c r="A278" s="43"/>
      <c r="G278" s="5"/>
      <c r="H278" s="17">
        <v>273</v>
      </c>
      <c r="I278" s="18" t="str">
        <f t="shared" si="19"/>
        <v/>
      </c>
      <c r="J278" s="17">
        <f t="shared" si="21"/>
        <v>-7</v>
      </c>
      <c r="K278" s="17">
        <f t="shared" si="20"/>
        <v>-70</v>
      </c>
      <c r="L278" s="17"/>
      <c r="M278" s="19" t="str">
        <f t="shared" si="22"/>
        <v/>
      </c>
    </row>
    <row r="279" spans="1:13">
      <c r="A279" s="43"/>
      <c r="G279" s="5"/>
      <c r="H279" s="17">
        <v>274</v>
      </c>
      <c r="I279" s="18" t="str">
        <f t="shared" si="19"/>
        <v/>
      </c>
      <c r="J279" s="17">
        <f t="shared" si="21"/>
        <v>-7</v>
      </c>
      <c r="K279" s="17">
        <f t="shared" si="20"/>
        <v>-70</v>
      </c>
      <c r="L279" s="17"/>
      <c r="M279" s="19" t="str">
        <f t="shared" si="22"/>
        <v/>
      </c>
    </row>
    <row r="280" spans="1:13">
      <c r="A280" s="43"/>
      <c r="G280" s="5"/>
      <c r="H280" s="17">
        <v>275</v>
      </c>
      <c r="I280" s="18" t="str">
        <f t="shared" si="19"/>
        <v/>
      </c>
      <c r="J280" s="17">
        <f t="shared" si="21"/>
        <v>-7</v>
      </c>
      <c r="K280" s="17">
        <f t="shared" si="20"/>
        <v>-70</v>
      </c>
      <c r="L280" s="17"/>
      <c r="M280" s="19" t="str">
        <f t="shared" si="22"/>
        <v/>
      </c>
    </row>
    <row r="281" spans="1:13">
      <c r="A281" s="43"/>
      <c r="G281" s="5"/>
      <c r="H281" s="17">
        <v>276</v>
      </c>
      <c r="I281" s="18" t="str">
        <f t="shared" si="19"/>
        <v/>
      </c>
      <c r="J281" s="17">
        <f t="shared" si="21"/>
        <v>-7</v>
      </c>
      <c r="K281" s="17">
        <f t="shared" si="20"/>
        <v>-70</v>
      </c>
      <c r="L281" s="17"/>
      <c r="M281" s="19" t="str">
        <f t="shared" si="22"/>
        <v/>
      </c>
    </row>
    <row r="282" spans="1:13">
      <c r="A282" s="43"/>
      <c r="G282" s="5"/>
      <c r="H282" s="17">
        <v>277</v>
      </c>
      <c r="I282" s="18" t="str">
        <f t="shared" si="19"/>
        <v/>
      </c>
      <c r="J282" s="17">
        <f t="shared" si="21"/>
        <v>-7</v>
      </c>
      <c r="K282" s="17">
        <f t="shared" si="20"/>
        <v>-70</v>
      </c>
      <c r="L282" s="17"/>
      <c r="M282" s="19" t="str">
        <f t="shared" si="22"/>
        <v/>
      </c>
    </row>
    <row r="283" spans="1:13">
      <c r="A283" s="43"/>
      <c r="G283" s="5"/>
      <c r="H283" s="17">
        <v>278</v>
      </c>
      <c r="I283" s="18" t="str">
        <f t="shared" si="19"/>
        <v/>
      </c>
      <c r="J283" s="17">
        <f t="shared" si="21"/>
        <v>-7</v>
      </c>
      <c r="K283" s="17">
        <f t="shared" si="20"/>
        <v>-70</v>
      </c>
      <c r="L283" s="17"/>
      <c r="M283" s="19" t="str">
        <f t="shared" si="22"/>
        <v/>
      </c>
    </row>
    <row r="284" spans="1:13">
      <c r="A284" s="43"/>
      <c r="G284" s="5"/>
      <c r="H284" s="17">
        <v>279</v>
      </c>
      <c r="I284" s="18" t="str">
        <f t="shared" si="19"/>
        <v/>
      </c>
      <c r="J284" s="17">
        <f t="shared" si="21"/>
        <v>-7</v>
      </c>
      <c r="K284" s="17">
        <f t="shared" si="20"/>
        <v>-70</v>
      </c>
      <c r="L284" s="17"/>
      <c r="M284" s="19" t="str">
        <f t="shared" si="22"/>
        <v/>
      </c>
    </row>
    <row r="285" spans="1:13">
      <c r="A285" s="43"/>
      <c r="G285" s="5"/>
      <c r="H285" s="17">
        <v>280</v>
      </c>
      <c r="I285" s="18" t="str">
        <f t="shared" si="19"/>
        <v/>
      </c>
      <c r="J285" s="17">
        <f t="shared" si="21"/>
        <v>-7</v>
      </c>
      <c r="K285" s="17">
        <f t="shared" si="20"/>
        <v>-70</v>
      </c>
      <c r="L285" s="17"/>
      <c r="M285" s="19" t="str">
        <f t="shared" si="22"/>
        <v/>
      </c>
    </row>
    <row r="286" spans="1:13">
      <c r="A286" s="43"/>
      <c r="G286" s="5"/>
      <c r="H286" s="17">
        <v>281</v>
      </c>
      <c r="I286" s="18" t="str">
        <f t="shared" si="19"/>
        <v/>
      </c>
      <c r="J286" s="17">
        <f t="shared" si="21"/>
        <v>-7</v>
      </c>
      <c r="K286" s="17">
        <f t="shared" si="20"/>
        <v>-70</v>
      </c>
      <c r="L286" s="17"/>
      <c r="M286" s="19" t="str">
        <f t="shared" si="22"/>
        <v/>
      </c>
    </row>
    <row r="287" spans="1:13">
      <c r="A287" s="43"/>
      <c r="G287" s="5"/>
      <c r="H287" s="17">
        <v>282</v>
      </c>
      <c r="I287" s="18" t="str">
        <f t="shared" si="19"/>
        <v/>
      </c>
      <c r="J287" s="17">
        <f t="shared" si="21"/>
        <v>-7</v>
      </c>
      <c r="K287" s="17">
        <f t="shared" si="20"/>
        <v>-70</v>
      </c>
      <c r="L287" s="17"/>
      <c r="M287" s="19" t="str">
        <f t="shared" si="22"/>
        <v/>
      </c>
    </row>
    <row r="288" spans="1:13">
      <c r="A288" s="43"/>
      <c r="G288" s="5"/>
      <c r="H288" s="17">
        <v>283</v>
      </c>
      <c r="I288" s="18" t="str">
        <f t="shared" si="19"/>
        <v/>
      </c>
      <c r="J288" s="17">
        <f t="shared" si="21"/>
        <v>-7</v>
      </c>
      <c r="K288" s="17">
        <f t="shared" si="20"/>
        <v>-70</v>
      </c>
      <c r="L288" s="17"/>
      <c r="M288" s="19" t="str">
        <f t="shared" si="22"/>
        <v/>
      </c>
    </row>
    <row r="289" spans="1:13">
      <c r="A289" s="43"/>
      <c r="G289" s="5"/>
      <c r="H289" s="17">
        <v>284</v>
      </c>
      <c r="I289" s="18" t="str">
        <f t="shared" si="19"/>
        <v/>
      </c>
      <c r="J289" s="17">
        <f t="shared" si="21"/>
        <v>-7</v>
      </c>
      <c r="K289" s="17">
        <f t="shared" si="20"/>
        <v>-70</v>
      </c>
      <c r="L289" s="17"/>
      <c r="M289" s="19" t="str">
        <f t="shared" si="22"/>
        <v/>
      </c>
    </row>
    <row r="290" spans="1:13">
      <c r="A290" s="43"/>
      <c r="G290" s="5"/>
      <c r="H290" s="17">
        <v>285</v>
      </c>
      <c r="I290" s="18" t="str">
        <f t="shared" si="19"/>
        <v/>
      </c>
      <c r="J290" s="17">
        <f t="shared" si="21"/>
        <v>-7</v>
      </c>
      <c r="K290" s="17">
        <f t="shared" si="20"/>
        <v>-70</v>
      </c>
      <c r="L290" s="17"/>
      <c r="M290" s="19" t="str">
        <f t="shared" si="22"/>
        <v/>
      </c>
    </row>
    <row r="291" spans="1:13">
      <c r="A291" s="43"/>
      <c r="G291" s="5"/>
      <c r="H291" s="17">
        <v>286</v>
      </c>
      <c r="I291" s="18" t="str">
        <f t="shared" si="19"/>
        <v/>
      </c>
      <c r="J291" s="17">
        <f t="shared" si="21"/>
        <v>-7</v>
      </c>
      <c r="K291" s="17">
        <f t="shared" si="20"/>
        <v>-70</v>
      </c>
      <c r="L291" s="17"/>
      <c r="M291" s="19" t="str">
        <f t="shared" si="22"/>
        <v/>
      </c>
    </row>
    <row r="292" spans="1:13">
      <c r="A292" s="43"/>
      <c r="G292" s="5"/>
      <c r="H292" s="17">
        <v>287</v>
      </c>
      <c r="I292" s="18" t="str">
        <f t="shared" si="19"/>
        <v/>
      </c>
      <c r="J292" s="17">
        <f t="shared" si="21"/>
        <v>-7</v>
      </c>
      <c r="K292" s="17">
        <f t="shared" si="20"/>
        <v>-70</v>
      </c>
      <c r="L292" s="17"/>
      <c r="M292" s="19" t="str">
        <f t="shared" si="22"/>
        <v/>
      </c>
    </row>
    <row r="293" spans="1:13">
      <c r="A293" s="43"/>
      <c r="G293" s="5"/>
      <c r="H293" s="17">
        <v>288</v>
      </c>
      <c r="I293" s="18" t="str">
        <f t="shared" si="19"/>
        <v/>
      </c>
      <c r="J293" s="17">
        <f t="shared" si="21"/>
        <v>-7</v>
      </c>
      <c r="K293" s="17">
        <f t="shared" si="20"/>
        <v>-70</v>
      </c>
      <c r="L293" s="17"/>
      <c r="M293" s="19" t="str">
        <f t="shared" si="22"/>
        <v/>
      </c>
    </row>
    <row r="294" spans="1:13">
      <c r="A294" s="43"/>
      <c r="G294" s="5"/>
      <c r="H294" s="17">
        <v>289</v>
      </c>
      <c r="I294" s="18" t="str">
        <f t="shared" si="19"/>
        <v/>
      </c>
      <c r="J294" s="17">
        <f t="shared" si="21"/>
        <v>-7</v>
      </c>
      <c r="K294" s="17">
        <f t="shared" si="20"/>
        <v>-70</v>
      </c>
      <c r="L294" s="17"/>
      <c r="M294" s="19" t="str">
        <f t="shared" si="22"/>
        <v/>
      </c>
    </row>
    <row r="295" spans="1:13">
      <c r="A295" s="43"/>
      <c r="G295" s="5"/>
      <c r="H295" s="17">
        <v>290</v>
      </c>
      <c r="I295" s="18" t="str">
        <f t="shared" si="19"/>
        <v/>
      </c>
      <c r="J295" s="17">
        <f t="shared" si="21"/>
        <v>-7</v>
      </c>
      <c r="K295" s="17">
        <f t="shared" si="20"/>
        <v>-70</v>
      </c>
      <c r="L295" s="17"/>
      <c r="M295" s="19" t="str">
        <f t="shared" si="22"/>
        <v/>
      </c>
    </row>
    <row r="296" spans="1:13">
      <c r="A296" s="43"/>
      <c r="G296" s="5"/>
      <c r="H296" s="17">
        <v>291</v>
      </c>
      <c r="I296" s="18" t="str">
        <f t="shared" si="19"/>
        <v/>
      </c>
      <c r="J296" s="17">
        <f t="shared" si="21"/>
        <v>-7</v>
      </c>
      <c r="K296" s="17">
        <f t="shared" si="20"/>
        <v>-70</v>
      </c>
      <c r="L296" s="17"/>
      <c r="M296" s="19" t="str">
        <f t="shared" si="22"/>
        <v/>
      </c>
    </row>
    <row r="297" spans="1:13">
      <c r="A297" s="43"/>
      <c r="G297" s="5"/>
      <c r="H297" s="17">
        <v>292</v>
      </c>
      <c r="I297" s="18" t="str">
        <f t="shared" si="19"/>
        <v/>
      </c>
      <c r="J297" s="17">
        <f t="shared" si="21"/>
        <v>-7</v>
      </c>
      <c r="K297" s="17">
        <f t="shared" si="20"/>
        <v>-70</v>
      </c>
      <c r="L297" s="17"/>
      <c r="M297" s="19" t="str">
        <f t="shared" si="22"/>
        <v/>
      </c>
    </row>
    <row r="298" spans="1:13">
      <c r="A298" s="43"/>
      <c r="G298" s="5"/>
      <c r="H298" s="17">
        <v>293</v>
      </c>
      <c r="I298" s="18" t="str">
        <f t="shared" si="19"/>
        <v/>
      </c>
      <c r="J298" s="17">
        <f t="shared" si="21"/>
        <v>-7</v>
      </c>
      <c r="K298" s="17">
        <f t="shared" si="20"/>
        <v>-70</v>
      </c>
      <c r="L298" s="17"/>
      <c r="M298" s="19" t="str">
        <f t="shared" si="22"/>
        <v/>
      </c>
    </row>
    <row r="299" spans="1:13">
      <c r="A299" s="43"/>
      <c r="G299" s="5"/>
      <c r="H299" s="17">
        <v>294</v>
      </c>
      <c r="I299" s="18" t="str">
        <f t="shared" si="19"/>
        <v/>
      </c>
      <c r="J299" s="17">
        <f t="shared" si="21"/>
        <v>-7</v>
      </c>
      <c r="K299" s="17">
        <f t="shared" si="20"/>
        <v>-70</v>
      </c>
      <c r="L299" s="17"/>
      <c r="M299" s="19" t="str">
        <f t="shared" si="22"/>
        <v/>
      </c>
    </row>
    <row r="300" spans="1:13">
      <c r="A300" s="43"/>
      <c r="G300" s="5"/>
      <c r="H300" s="17">
        <v>295</v>
      </c>
      <c r="I300" s="18" t="str">
        <f t="shared" si="19"/>
        <v/>
      </c>
      <c r="J300" s="17">
        <f t="shared" si="21"/>
        <v>-7</v>
      </c>
      <c r="K300" s="17">
        <f t="shared" si="20"/>
        <v>-70</v>
      </c>
      <c r="L300" s="17"/>
      <c r="M300" s="19" t="str">
        <f t="shared" si="22"/>
        <v/>
      </c>
    </row>
    <row r="301" spans="1:13">
      <c r="A301" s="43"/>
      <c r="G301" s="5"/>
      <c r="H301" s="17">
        <v>296</v>
      </c>
      <c r="I301" s="18" t="str">
        <f t="shared" si="19"/>
        <v/>
      </c>
      <c r="J301" s="17">
        <f t="shared" si="21"/>
        <v>-7</v>
      </c>
      <c r="K301" s="17">
        <f t="shared" si="20"/>
        <v>-70</v>
      </c>
      <c r="L301" s="17"/>
      <c r="M301" s="19" t="str">
        <f t="shared" si="22"/>
        <v/>
      </c>
    </row>
    <row r="302" spans="1:13">
      <c r="A302" s="43"/>
      <c r="G302" s="5"/>
      <c r="H302" s="17">
        <v>297</v>
      </c>
      <c r="I302" s="18" t="str">
        <f t="shared" si="19"/>
        <v/>
      </c>
      <c r="J302" s="17">
        <f t="shared" si="21"/>
        <v>-7</v>
      </c>
      <c r="K302" s="17">
        <f t="shared" si="20"/>
        <v>-70</v>
      </c>
      <c r="L302" s="17"/>
      <c r="M302" s="19" t="str">
        <f t="shared" si="22"/>
        <v/>
      </c>
    </row>
    <row r="303" spans="1:13">
      <c r="A303" s="43"/>
      <c r="G303" s="5"/>
      <c r="H303" s="17">
        <v>298</v>
      </c>
      <c r="I303" s="18" t="str">
        <f t="shared" si="19"/>
        <v/>
      </c>
      <c r="J303" s="17">
        <f t="shared" si="21"/>
        <v>-7</v>
      </c>
      <c r="K303" s="17">
        <f t="shared" si="20"/>
        <v>-70</v>
      </c>
      <c r="L303" s="17"/>
      <c r="M303" s="19" t="str">
        <f t="shared" si="22"/>
        <v/>
      </c>
    </row>
    <row r="304" spans="1:13">
      <c r="A304" s="43"/>
      <c r="G304" s="5"/>
      <c r="H304" s="17">
        <v>299</v>
      </c>
      <c r="I304" s="18" t="str">
        <f t="shared" si="19"/>
        <v/>
      </c>
      <c r="J304" s="17">
        <f t="shared" si="21"/>
        <v>-7</v>
      </c>
      <c r="K304" s="17">
        <f t="shared" si="20"/>
        <v>-70</v>
      </c>
      <c r="L304" s="17"/>
      <c r="M304" s="19" t="str">
        <f t="shared" si="22"/>
        <v/>
      </c>
    </row>
    <row r="305" spans="1:16">
      <c r="A305" s="43"/>
      <c r="G305" s="5"/>
      <c r="H305" s="17">
        <v>300</v>
      </c>
      <c r="I305" s="18" t="str">
        <f t="shared" si="19"/>
        <v/>
      </c>
      <c r="J305" s="17">
        <f t="shared" si="21"/>
        <v>-7</v>
      </c>
      <c r="K305" s="17">
        <f t="shared" si="20"/>
        <v>-70</v>
      </c>
      <c r="L305" s="17"/>
      <c r="M305" s="19" t="str">
        <f t="shared" si="22"/>
        <v/>
      </c>
    </row>
    <row r="306" spans="1:16">
      <c r="A306" s="43"/>
      <c r="J306" s="20" t="e">
        <f t="shared" si="21"/>
        <v>#NUM!</v>
      </c>
    </row>
    <row r="307" spans="1:16">
      <c r="J307" s="20" t="e">
        <f t="shared" si="21"/>
        <v>#NUM!</v>
      </c>
    </row>
    <row r="308" spans="1:16">
      <c r="J308" s="20" t="e">
        <f t="shared" si="21"/>
        <v>#NUM!</v>
      </c>
    </row>
    <row r="309" spans="1:16">
      <c r="J309" s="20" t="e">
        <f t="shared" si="21"/>
        <v>#NUM!</v>
      </c>
    </row>
    <row r="310" spans="1:16">
      <c r="J310" s="20" t="e">
        <f t="shared" si="21"/>
        <v>#NUM!</v>
      </c>
    </row>
    <row r="311" spans="1:16">
      <c r="J311" s="20" t="e">
        <f t="shared" si="21"/>
        <v>#NUM!</v>
      </c>
    </row>
    <row r="312" spans="1:16">
      <c r="J312" s="20" t="e">
        <f t="shared" si="21"/>
        <v>#NUM!</v>
      </c>
    </row>
    <row r="313" spans="1:16">
      <c r="J313" s="20" t="e">
        <f t="shared" si="21"/>
        <v>#NUM!</v>
      </c>
    </row>
    <row r="314" spans="1:16">
      <c r="J314" s="20" t="e">
        <f t="shared" si="21"/>
        <v>#NUM!</v>
      </c>
      <c r="L314" s="21"/>
      <c r="P314" s="49"/>
    </row>
    <row r="315" spans="1:16">
      <c r="J315" s="20" t="e">
        <f t="shared" si="21"/>
        <v>#NUM!</v>
      </c>
      <c r="L315" s="21"/>
      <c r="P315" s="49"/>
    </row>
    <row r="316" spans="1:16">
      <c r="J316" s="20" t="e">
        <f t="shared" si="21"/>
        <v>#NUM!</v>
      </c>
      <c r="L316" s="21"/>
      <c r="P316" s="49"/>
    </row>
    <row r="317" spans="1:16">
      <c r="J317" s="20" t="e">
        <f t="shared" si="21"/>
        <v>#NUM!</v>
      </c>
      <c r="L317" s="21"/>
      <c r="P317" s="49"/>
    </row>
    <row r="318" spans="1:16">
      <c r="J318" s="20" t="e">
        <f t="shared" si="21"/>
        <v>#NUM!</v>
      </c>
    </row>
    <row r="319" spans="1:16">
      <c r="J319" s="20" t="e">
        <f t="shared" si="21"/>
        <v>#NUM!</v>
      </c>
    </row>
    <row r="320" spans="1:16">
      <c r="J320" s="20" t="e">
        <f t="shared" si="21"/>
        <v>#NUM!</v>
      </c>
    </row>
    <row r="321" spans="10:10">
      <c r="J321" s="20" t="e">
        <f t="shared" si="21"/>
        <v>#NUM!</v>
      </c>
    </row>
    <row r="322" spans="10:10">
      <c r="J322" s="20" t="e">
        <f t="shared" si="21"/>
        <v>#NUM!</v>
      </c>
    </row>
    <row r="323" spans="10:10">
      <c r="J323" s="20" t="e">
        <f t="shared" si="21"/>
        <v>#NUM!</v>
      </c>
    </row>
    <row r="324" spans="10:10">
      <c r="J324" s="20" t="e">
        <f t="shared" si="21"/>
        <v>#NUM!</v>
      </c>
    </row>
    <row r="325" spans="10:10">
      <c r="J325" s="20" t="e">
        <f t="shared" si="21"/>
        <v>#NUM!</v>
      </c>
    </row>
    <row r="326" spans="10:10">
      <c r="J326" s="20" t="e">
        <f t="shared" si="21"/>
        <v>#NUM!</v>
      </c>
    </row>
    <row r="327" spans="10:10">
      <c r="J327" s="20" t="e">
        <f t="shared" ref="J327:J374" si="23">INT(LOG($H$2,2))-ROUNDUP(LOG(H327,2),0)+IF(OR($H$2=1,$H$2=2,$H$2=4,$H$2=8,$H$2=16,$H$2=32,$H$2=64,$H$2=128,$H$2=256),0,1)</f>
        <v>#NUM!</v>
      </c>
    </row>
    <row r="328" spans="10:10">
      <c r="J328" s="20" t="e">
        <f t="shared" si="23"/>
        <v>#NUM!</v>
      </c>
    </row>
    <row r="329" spans="10:10">
      <c r="J329" s="20" t="e">
        <f t="shared" si="23"/>
        <v>#NUM!</v>
      </c>
    </row>
    <row r="330" spans="10:10">
      <c r="J330" s="20" t="e">
        <f t="shared" si="23"/>
        <v>#NUM!</v>
      </c>
    </row>
    <row r="331" spans="10:10">
      <c r="J331" s="20" t="e">
        <f t="shared" si="23"/>
        <v>#NUM!</v>
      </c>
    </row>
    <row r="332" spans="10:10">
      <c r="J332" s="20" t="e">
        <f t="shared" si="23"/>
        <v>#NUM!</v>
      </c>
    </row>
    <row r="333" spans="10:10">
      <c r="J333" s="20" t="e">
        <f t="shared" si="23"/>
        <v>#NUM!</v>
      </c>
    </row>
    <row r="334" spans="10:10">
      <c r="J334" s="20" t="e">
        <f t="shared" si="23"/>
        <v>#NUM!</v>
      </c>
    </row>
    <row r="335" spans="10:10">
      <c r="J335" s="20" t="e">
        <f t="shared" si="23"/>
        <v>#NUM!</v>
      </c>
    </row>
    <row r="336" spans="10:10">
      <c r="J336" s="20" t="e">
        <f t="shared" si="23"/>
        <v>#NUM!</v>
      </c>
    </row>
    <row r="337" spans="10:10">
      <c r="J337" s="20" t="e">
        <f t="shared" si="23"/>
        <v>#NUM!</v>
      </c>
    </row>
    <row r="338" spans="10:10">
      <c r="J338" s="20" t="e">
        <f t="shared" si="23"/>
        <v>#NUM!</v>
      </c>
    </row>
    <row r="339" spans="10:10">
      <c r="J339" s="20" t="e">
        <f t="shared" si="23"/>
        <v>#NUM!</v>
      </c>
    </row>
    <row r="340" spans="10:10">
      <c r="J340" s="20" t="e">
        <f t="shared" si="23"/>
        <v>#NUM!</v>
      </c>
    </row>
    <row r="341" spans="10:10">
      <c r="J341" s="20" t="e">
        <f t="shared" si="23"/>
        <v>#NUM!</v>
      </c>
    </row>
    <row r="342" spans="10:10">
      <c r="J342" s="20" t="e">
        <f t="shared" si="23"/>
        <v>#NUM!</v>
      </c>
    </row>
    <row r="343" spans="10:10">
      <c r="J343" s="20" t="e">
        <f t="shared" si="23"/>
        <v>#NUM!</v>
      </c>
    </row>
    <row r="344" spans="10:10">
      <c r="J344" s="20" t="e">
        <f t="shared" si="23"/>
        <v>#NUM!</v>
      </c>
    </row>
    <row r="345" spans="10:10">
      <c r="J345" s="20" t="e">
        <f t="shared" si="23"/>
        <v>#NUM!</v>
      </c>
    </row>
    <row r="346" spans="10:10">
      <c r="J346" s="20" t="e">
        <f t="shared" si="23"/>
        <v>#NUM!</v>
      </c>
    </row>
    <row r="347" spans="10:10">
      <c r="J347" s="20" t="e">
        <f t="shared" si="23"/>
        <v>#NUM!</v>
      </c>
    </row>
    <row r="348" spans="10:10">
      <c r="J348" s="20" t="e">
        <f t="shared" si="23"/>
        <v>#NUM!</v>
      </c>
    </row>
    <row r="349" spans="10:10">
      <c r="J349" s="20" t="e">
        <f t="shared" si="23"/>
        <v>#NUM!</v>
      </c>
    </row>
    <row r="350" spans="10:10">
      <c r="J350" s="20" t="e">
        <f t="shared" si="23"/>
        <v>#NUM!</v>
      </c>
    </row>
    <row r="351" spans="10:10">
      <c r="J351" s="20" t="e">
        <f t="shared" si="23"/>
        <v>#NUM!</v>
      </c>
    </row>
    <row r="352" spans="10:10">
      <c r="J352" s="20" t="e">
        <f t="shared" si="23"/>
        <v>#NUM!</v>
      </c>
    </row>
    <row r="353" spans="10:10">
      <c r="J353" s="20" t="e">
        <f t="shared" si="23"/>
        <v>#NUM!</v>
      </c>
    </row>
    <row r="354" spans="10:10">
      <c r="J354" s="20" t="e">
        <f t="shared" si="23"/>
        <v>#NUM!</v>
      </c>
    </row>
    <row r="355" spans="10:10">
      <c r="J355" s="20" t="e">
        <f t="shared" si="23"/>
        <v>#NUM!</v>
      </c>
    </row>
    <row r="356" spans="10:10">
      <c r="J356" s="20" t="e">
        <f t="shared" si="23"/>
        <v>#NUM!</v>
      </c>
    </row>
    <row r="357" spans="10:10">
      <c r="J357" s="20" t="e">
        <f t="shared" si="23"/>
        <v>#NUM!</v>
      </c>
    </row>
    <row r="358" spans="10:10">
      <c r="J358" s="20" t="e">
        <f t="shared" si="23"/>
        <v>#NUM!</v>
      </c>
    </row>
    <row r="359" spans="10:10">
      <c r="J359" s="20" t="e">
        <f t="shared" si="23"/>
        <v>#NUM!</v>
      </c>
    </row>
    <row r="360" spans="10:10">
      <c r="J360" s="20" t="e">
        <f t="shared" si="23"/>
        <v>#NUM!</v>
      </c>
    </row>
    <row r="361" spans="10:10">
      <c r="J361" s="20" t="e">
        <f t="shared" si="23"/>
        <v>#NUM!</v>
      </c>
    </row>
    <row r="362" spans="10:10">
      <c r="J362" s="20" t="e">
        <f t="shared" si="23"/>
        <v>#NUM!</v>
      </c>
    </row>
    <row r="363" spans="10:10">
      <c r="J363" s="20" t="e">
        <f t="shared" si="23"/>
        <v>#NUM!</v>
      </c>
    </row>
    <row r="364" spans="10:10">
      <c r="J364" s="20" t="e">
        <f t="shared" si="23"/>
        <v>#NUM!</v>
      </c>
    </row>
    <row r="365" spans="10:10">
      <c r="J365" s="20" t="e">
        <f t="shared" si="23"/>
        <v>#NUM!</v>
      </c>
    </row>
    <row r="366" spans="10:10">
      <c r="J366" s="20" t="e">
        <f t="shared" si="23"/>
        <v>#NUM!</v>
      </c>
    </row>
    <row r="367" spans="10:10">
      <c r="J367" s="20" t="e">
        <f t="shared" si="23"/>
        <v>#NUM!</v>
      </c>
    </row>
    <row r="368" spans="10:10">
      <c r="J368" s="20" t="e">
        <f t="shared" si="23"/>
        <v>#NUM!</v>
      </c>
    </row>
    <row r="369" spans="10:10">
      <c r="J369" s="20" t="e">
        <f t="shared" si="23"/>
        <v>#NUM!</v>
      </c>
    </row>
    <row r="370" spans="10:10">
      <c r="J370" s="20" t="e">
        <f t="shared" si="23"/>
        <v>#NUM!</v>
      </c>
    </row>
    <row r="371" spans="10:10">
      <c r="J371" s="20" t="e">
        <f t="shared" si="23"/>
        <v>#NUM!</v>
      </c>
    </row>
    <row r="372" spans="10:10">
      <c r="J372" s="20" t="e">
        <f t="shared" si="23"/>
        <v>#NUM!</v>
      </c>
    </row>
    <row r="373" spans="10:10">
      <c r="J373" s="20" t="e">
        <f t="shared" si="23"/>
        <v>#NUM!</v>
      </c>
    </row>
    <row r="374" spans="10:10">
      <c r="J374" s="20" t="e">
        <f t="shared" si="23"/>
        <v>#NUM!</v>
      </c>
    </row>
  </sheetData>
  <mergeCells count="2">
    <mergeCell ref="C2:D2"/>
    <mergeCell ref="C3:D3"/>
  </mergeCells>
  <conditionalFormatting sqref="J9:K305">
    <cfRule type="cellIs" dxfId="4" priority="1" operator="lessThanOrEqual">
      <formula>0</formula>
    </cfRule>
  </conditionalFormatting>
  <pageMargins left="0.7" right="0.7" top="0.75" bottom="0.75" header="0.3" footer="0.3"/>
  <pageSetup paperSize="9" orientation="portrait" r:id="rId1"/>
  <ignoredErrors>
    <ignoredError sqref="I9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6303-106A-E745-9ACE-C4C0E28CC032}">
  <sheetPr>
    <tabColor theme="5" tint="0.39997558519241921"/>
  </sheetPr>
  <dimension ref="A1:K39"/>
  <sheetViews>
    <sheetView zoomScaleNormal="100" workbookViewId="0">
      <selection activeCell="K20" sqref="K20"/>
    </sheetView>
  </sheetViews>
  <sheetFormatPr defaultColWidth="11.42578125" defaultRowHeight="12.95"/>
  <cols>
    <col min="1" max="1" width="6" customWidth="1"/>
    <col min="2" max="2" width="29.28515625" customWidth="1"/>
    <col min="3" max="3" width="13.85546875" customWidth="1"/>
    <col min="5" max="5" width="13.140625" customWidth="1"/>
    <col min="6" max="6" width="13.42578125" customWidth="1"/>
    <col min="7" max="7" width="2.42578125" customWidth="1"/>
  </cols>
  <sheetData>
    <row r="1" spans="1:11" ht="14.25" thickBot="1">
      <c r="A1" s="86"/>
      <c r="B1" s="87"/>
      <c r="C1" s="87"/>
      <c r="D1" s="88"/>
      <c r="E1" s="87"/>
      <c r="F1" s="89"/>
    </row>
    <row r="2" spans="1:11" ht="14.25" thickTop="1">
      <c r="A2" s="90"/>
      <c r="B2" s="2" t="s">
        <v>0</v>
      </c>
      <c r="C2" s="64"/>
      <c r="D2" s="65" t="s">
        <v>225</v>
      </c>
      <c r="E2" s="66"/>
      <c r="F2" s="91"/>
      <c r="H2" s="111" t="s">
        <v>226</v>
      </c>
      <c r="I2" s="112"/>
      <c r="J2" s="112"/>
      <c r="K2" s="113"/>
    </row>
    <row r="3" spans="1:11" ht="13.7">
      <c r="A3" s="90"/>
      <c r="B3" s="64"/>
      <c r="C3" s="64"/>
      <c r="D3" s="67" t="s">
        <v>3</v>
      </c>
      <c r="E3" s="64" t="s">
        <v>4</v>
      </c>
      <c r="F3" s="92"/>
      <c r="H3" s="114"/>
      <c r="I3" s="115"/>
      <c r="J3" s="115"/>
      <c r="K3" s="116"/>
    </row>
    <row r="4" spans="1:11" ht="24.75" customHeight="1" thickBot="1">
      <c r="A4" s="136" t="s">
        <v>5</v>
      </c>
      <c r="B4" s="122" t="s">
        <v>6</v>
      </c>
      <c r="C4" s="124" t="s">
        <v>7</v>
      </c>
      <c r="D4" s="139" t="s">
        <v>8</v>
      </c>
      <c r="E4" s="75" t="s">
        <v>227</v>
      </c>
      <c r="F4" s="93" t="s">
        <v>228</v>
      </c>
      <c r="H4" s="117"/>
      <c r="I4" s="118"/>
      <c r="J4" s="118"/>
      <c r="K4" s="119"/>
    </row>
    <row r="5" spans="1:11" ht="18" customHeight="1" thickTop="1">
      <c r="A5" s="137"/>
      <c r="B5" s="138"/>
      <c r="C5" s="125"/>
      <c r="D5" s="140"/>
      <c r="E5" s="99" t="s">
        <v>17</v>
      </c>
      <c r="F5" s="57" t="s">
        <v>17</v>
      </c>
    </row>
    <row r="6" spans="1:11" ht="14.85" customHeight="1">
      <c r="A6" s="58">
        <f t="shared" ref="A6:A23" si="0">ROW()-5</f>
        <v>1</v>
      </c>
      <c r="B6" s="100" t="s">
        <v>19</v>
      </c>
      <c r="C6" s="84"/>
      <c r="D6" s="101">
        <f t="shared" ref="D6:D23" si="1">SUM(E6,F6)</f>
        <v>241.28371546746817</v>
      </c>
      <c r="E6" s="59">
        <f>_xlfn.XLOOKUP(B6,KlasyfikacjaGP!$B$6:$B$55,KlasyfikacjaGP!$Q$6:$Q$55,0)</f>
        <v>131.26789465234432</v>
      </c>
      <c r="F6" s="61">
        <f>_xlfn.XLOOKUP(B6,KlasyfikacjaEVF!$B$6:$B$55,KlasyfikacjaEVF!$Q$6:$Q$55,0)</f>
        <v>110.01582081512385</v>
      </c>
    </row>
    <row r="7" spans="1:11" ht="14.85" customHeight="1">
      <c r="A7" s="58">
        <f t="shared" si="0"/>
        <v>2</v>
      </c>
      <c r="B7" s="102" t="s">
        <v>23</v>
      </c>
      <c r="C7" s="55"/>
      <c r="D7" s="103">
        <f t="shared" si="1"/>
        <v>110.08026779888148</v>
      </c>
      <c r="E7" s="60">
        <f>_xlfn.XLOOKUP(B7,KlasyfikacjaGP!$B$6:$B$55,KlasyfikacjaGP!$Q$6:$Q$55,0)</f>
        <v>30.900563745042088</v>
      </c>
      <c r="F7" s="62">
        <f>_xlfn.XLOOKUP(B7,KlasyfikacjaEVF!$B$6:$B$55,KlasyfikacjaEVF!$Q$6:$Q$55,0)</f>
        <v>79.179704053839387</v>
      </c>
    </row>
    <row r="8" spans="1:11" ht="15.75" customHeight="1">
      <c r="A8" s="58">
        <f t="shared" si="0"/>
        <v>3</v>
      </c>
      <c r="B8" s="102" t="s">
        <v>20</v>
      </c>
      <c r="C8" s="55"/>
      <c r="D8" s="103">
        <f t="shared" si="1"/>
        <v>148.03361770532041</v>
      </c>
      <c r="E8" s="60">
        <f>_xlfn.XLOOKUP(B8,KlasyfikacjaGP!$B$6:$B$55,KlasyfikacjaGP!$Q$6:$Q$55,0)</f>
        <v>93.81136602318746</v>
      </c>
      <c r="F8" s="62">
        <f>_xlfn.XLOOKUP(B8,KlasyfikacjaEVF!$B$6:$B$55,KlasyfikacjaEVF!$Q$6:$Q$55,0)</f>
        <v>54.222251682132963</v>
      </c>
    </row>
    <row r="9" spans="1:11" ht="14.85" customHeight="1">
      <c r="A9" s="58">
        <f t="shared" si="0"/>
        <v>4</v>
      </c>
      <c r="B9" s="102" t="s">
        <v>18</v>
      </c>
      <c r="C9" s="85"/>
      <c r="D9" s="103">
        <f t="shared" si="1"/>
        <v>144.07210000000001</v>
      </c>
      <c r="E9" s="60">
        <f>_xlfn.XLOOKUP(B9,KlasyfikacjaGP!$B$6:$B$55,KlasyfikacjaGP!$Q$6:$Q$55,0)</f>
        <v>98</v>
      </c>
      <c r="F9" s="62">
        <f>_xlfn.XLOOKUP(B9,KlasyfikacjaEVF!$B$6:$B$55,KlasyfikacjaEVF!$Q$6:$Q$55,0)</f>
        <v>46.072099999999999</v>
      </c>
    </row>
    <row r="10" spans="1:11" ht="14.85" customHeight="1">
      <c r="A10" s="58">
        <f t="shared" si="0"/>
        <v>5</v>
      </c>
      <c r="B10" s="102" t="s">
        <v>22</v>
      </c>
      <c r="C10" s="55"/>
      <c r="D10" s="103">
        <f t="shared" si="1"/>
        <v>118.7759184409388</v>
      </c>
      <c r="E10" s="60">
        <f>_xlfn.XLOOKUP(B10,KlasyfikacjaGP!$B$6:$B$55,KlasyfikacjaGP!$Q$6:$Q$55,0)</f>
        <v>95.389783520090276</v>
      </c>
      <c r="F10" s="62">
        <f>_xlfn.XLOOKUP(B10,KlasyfikacjaEVF!$B$6:$B$55,KlasyfikacjaEVF!$Q$6:$Q$55,0)</f>
        <v>23.386134920848519</v>
      </c>
    </row>
    <row r="11" spans="1:11" ht="14.85" customHeight="1">
      <c r="A11" s="58">
        <f t="shared" si="0"/>
        <v>6</v>
      </c>
      <c r="B11" s="102" t="s">
        <v>95</v>
      </c>
      <c r="C11" s="55"/>
      <c r="D11" s="103">
        <f t="shared" si="1"/>
        <v>17.507470531270492</v>
      </c>
      <c r="E11" s="60">
        <f>_xlfn.XLOOKUP(B11,KlasyfikacjaGP!$B$6:$B$55,KlasyfikacjaGP!$Q$6:$Q$55,0)</f>
        <v>0</v>
      </c>
      <c r="F11" s="62">
        <f>_xlfn.XLOOKUP(B11,KlasyfikacjaEVF!$B$6:$B$55,KlasyfikacjaEVF!$Q$6:$Q$55,0)</f>
        <v>17.507470531270492</v>
      </c>
    </row>
    <row r="12" spans="1:11" ht="14.85" customHeight="1">
      <c r="A12" s="58">
        <f t="shared" si="0"/>
        <v>7</v>
      </c>
      <c r="B12" s="104" t="s">
        <v>96</v>
      </c>
      <c r="C12" s="55"/>
      <c r="D12" s="103">
        <f t="shared" si="1"/>
        <v>0</v>
      </c>
      <c r="E12" s="60">
        <f>_xlfn.XLOOKUP(B12,KlasyfikacjaGP!$B$6:$B$55,KlasyfikacjaGP!$Q$6:$Q$55,0)</f>
        <v>0</v>
      </c>
      <c r="F12" s="62">
        <f>_xlfn.XLOOKUP(B12,KlasyfikacjaEVF!$B$6:$B$55,KlasyfikacjaEVF!$Q$6:$Q$55,0)</f>
        <v>0</v>
      </c>
    </row>
    <row r="13" spans="1:11" ht="14.85" customHeight="1">
      <c r="A13" s="58">
        <f t="shared" si="0"/>
        <v>8</v>
      </c>
      <c r="B13" s="102" t="s">
        <v>29</v>
      </c>
      <c r="C13" s="55"/>
      <c r="D13" s="103">
        <f t="shared" si="1"/>
        <v>4.8816711630815135</v>
      </c>
      <c r="E13" s="60">
        <f>_xlfn.XLOOKUP(B13,KlasyfikacjaGP!$B$6:$B$55,KlasyfikacjaGP!$Q$6:$Q$55,0)</f>
        <v>4.8816711630815135</v>
      </c>
      <c r="F13" s="62">
        <f>_xlfn.XLOOKUP(B13,KlasyfikacjaEVF!$B$6:$B$55,KlasyfikacjaEVF!$Q$6:$Q$55,0)</f>
        <v>0</v>
      </c>
    </row>
    <row r="14" spans="1:11" ht="14.85" customHeight="1">
      <c r="A14" s="58">
        <f t="shared" si="0"/>
        <v>9</v>
      </c>
      <c r="B14" s="102" t="s">
        <v>98</v>
      </c>
      <c r="C14" s="55"/>
      <c r="D14" s="103">
        <f t="shared" si="1"/>
        <v>0</v>
      </c>
      <c r="E14" s="60">
        <f>_xlfn.XLOOKUP(B14,KlasyfikacjaGP!$B$6:$B$55,KlasyfikacjaGP!$Q$6:$Q$55,0)</f>
        <v>0</v>
      </c>
      <c r="F14" s="62">
        <f>_xlfn.XLOOKUP(B14,KlasyfikacjaEVF!$B$6:$B$55,KlasyfikacjaEVF!$Q$6:$Q$55,0)</f>
        <v>0</v>
      </c>
    </row>
    <row r="15" spans="1:11" ht="14.85" customHeight="1">
      <c r="A15" s="58">
        <f t="shared" si="0"/>
        <v>10</v>
      </c>
      <c r="B15" s="102" t="s">
        <v>99</v>
      </c>
      <c r="C15" s="55"/>
      <c r="D15" s="103">
        <f t="shared" si="1"/>
        <v>0</v>
      </c>
      <c r="E15" s="60">
        <f>_xlfn.XLOOKUP(B15,KlasyfikacjaGP!$B$6:$B$55,KlasyfikacjaGP!$Q$6:$Q$55,0)</f>
        <v>0</v>
      </c>
      <c r="F15" s="62">
        <f>_xlfn.XLOOKUP(B15,KlasyfikacjaEVF!$B$6:$B$55,KlasyfikacjaEVF!$Q$6:$Q$55,0)</f>
        <v>0</v>
      </c>
    </row>
    <row r="16" spans="1:11" ht="14.85" customHeight="1">
      <c r="A16" s="58">
        <f t="shared" si="0"/>
        <v>11</v>
      </c>
      <c r="B16" s="102" t="s">
        <v>26</v>
      </c>
      <c r="C16" s="55"/>
      <c r="D16" s="103">
        <f t="shared" si="1"/>
        <v>21.845932943206481</v>
      </c>
      <c r="E16" s="60">
        <f>_xlfn.XLOOKUP(B16,KlasyfikacjaGP!$B$6:$B$55,KlasyfikacjaGP!$Q$6:$Q$55,0)</f>
        <v>18.898308764873722</v>
      </c>
      <c r="F16" s="62">
        <f>_xlfn.XLOOKUP(B16,KlasyfikacjaEVF!$B$6:$B$55,KlasyfikacjaEVF!$Q$6:$Q$55,0)</f>
        <v>2.9476241783327595</v>
      </c>
    </row>
    <row r="17" spans="1:6" ht="14.85" customHeight="1">
      <c r="A17" s="58">
        <f t="shared" si="0"/>
        <v>12</v>
      </c>
      <c r="B17" s="102" t="s">
        <v>100</v>
      </c>
      <c r="C17" s="55"/>
      <c r="D17" s="103">
        <f t="shared" si="1"/>
        <v>0</v>
      </c>
      <c r="E17" s="60">
        <f>_xlfn.XLOOKUP(B17,KlasyfikacjaGP!$B$6:$B$55,KlasyfikacjaGP!$Q$6:$Q$55,0)</f>
        <v>0</v>
      </c>
      <c r="F17" s="62">
        <f>_xlfn.XLOOKUP(B17,KlasyfikacjaEVF!$B$6:$B$55,KlasyfikacjaEVF!$Q$6:$Q$55,0)</f>
        <v>0</v>
      </c>
    </row>
    <row r="18" spans="1:6" ht="14.85" customHeight="1">
      <c r="A18" s="58">
        <f t="shared" si="0"/>
        <v>13</v>
      </c>
      <c r="B18" s="102" t="s">
        <v>97</v>
      </c>
      <c r="C18" s="55"/>
      <c r="D18" s="103">
        <f t="shared" si="1"/>
        <v>0</v>
      </c>
      <c r="E18" s="60">
        <f>_xlfn.XLOOKUP(B18,KlasyfikacjaGP!$B$6:$B$55,KlasyfikacjaGP!$Q$6:$Q$55,0)</f>
        <v>0</v>
      </c>
      <c r="F18" s="62">
        <f>_xlfn.XLOOKUP(B18,KlasyfikacjaEVF!$B$6:$B$55,KlasyfikacjaEVF!$Q$6:$Q$55,0)</f>
        <v>0</v>
      </c>
    </row>
    <row r="19" spans="1:6" ht="14.85" customHeight="1">
      <c r="A19" s="58">
        <f t="shared" si="0"/>
        <v>14</v>
      </c>
      <c r="B19" s="102" t="s">
        <v>101</v>
      </c>
      <c r="C19" s="55"/>
      <c r="D19" s="103">
        <f t="shared" si="1"/>
        <v>0</v>
      </c>
      <c r="E19" s="60">
        <f>_xlfn.XLOOKUP(B19,KlasyfikacjaGP!$B$6:$B$55,KlasyfikacjaGP!$Q$6:$Q$55,0)</f>
        <v>0</v>
      </c>
      <c r="F19" s="62">
        <f>_xlfn.XLOOKUP(B19,KlasyfikacjaEVF!$B$6:$B$55,KlasyfikacjaEVF!$Q$6:$Q$55,0)</f>
        <v>0</v>
      </c>
    </row>
    <row r="20" spans="1:6" ht="14.85" customHeight="1">
      <c r="A20" s="58">
        <f t="shared" si="0"/>
        <v>15</v>
      </c>
      <c r="B20" s="102"/>
      <c r="C20" s="55"/>
      <c r="D20" s="103">
        <f t="shared" si="1"/>
        <v>0</v>
      </c>
      <c r="E20" s="60">
        <f>_xlfn.XLOOKUP(B20,KlasyfikacjaGP!$B$6:$B$55,KlasyfikacjaGP!$Q$6:$Q$55,0)</f>
        <v>0</v>
      </c>
      <c r="F20" s="62">
        <f>_xlfn.XLOOKUP(B20,KlasyfikacjaEVF!$B$6:$B$55,KlasyfikacjaEVF!$Q$6:$Q$55,0)</f>
        <v>0</v>
      </c>
    </row>
    <row r="21" spans="1:6" ht="14.85" customHeight="1">
      <c r="A21" s="58">
        <f t="shared" si="0"/>
        <v>16</v>
      </c>
      <c r="B21" s="102"/>
      <c r="C21" s="55"/>
      <c r="D21" s="103">
        <f t="shared" si="1"/>
        <v>0</v>
      </c>
      <c r="E21" s="60">
        <f>_xlfn.XLOOKUP(B21,KlasyfikacjaGP!$B$6:$B$55,KlasyfikacjaGP!$Q$6:$Q$55,0)</f>
        <v>0</v>
      </c>
      <c r="F21" s="62">
        <f>_xlfn.XLOOKUP(B21,KlasyfikacjaEVF!$B$6:$B$55,KlasyfikacjaEVF!$Q$6:$Q$55,0)</f>
        <v>0</v>
      </c>
    </row>
    <row r="22" spans="1:6" ht="14.85" customHeight="1">
      <c r="A22" s="58">
        <f t="shared" si="0"/>
        <v>17</v>
      </c>
      <c r="B22" s="102"/>
      <c r="C22" s="55"/>
      <c r="D22" s="103">
        <f t="shared" si="1"/>
        <v>0</v>
      </c>
      <c r="E22" s="60">
        <f>_xlfn.XLOOKUP(B22,KlasyfikacjaGP!$B$6:$B$55,KlasyfikacjaGP!$Q$6:$Q$55,0)</f>
        <v>0</v>
      </c>
      <c r="F22" s="62">
        <f>_xlfn.XLOOKUP(B22,KlasyfikacjaEVF!$B$6:$B$55,KlasyfikacjaEVF!$Q$6:$Q$55,0)</f>
        <v>0</v>
      </c>
    </row>
    <row r="23" spans="1:6" ht="14.85" customHeight="1">
      <c r="A23" s="94">
        <f t="shared" si="0"/>
        <v>18</v>
      </c>
      <c r="B23" s="102"/>
      <c r="C23" s="55"/>
      <c r="D23" s="103">
        <f t="shared" si="1"/>
        <v>0</v>
      </c>
      <c r="E23" s="60">
        <f>_xlfn.XLOOKUP(B23,KlasyfikacjaGP!$B$6:$B$55,KlasyfikacjaGP!$Q$6:$Q$55,0)</f>
        <v>0</v>
      </c>
      <c r="F23" s="62">
        <f>_xlfn.XLOOKUP(B23,KlasyfikacjaEVF!$B$6:$B$55,KlasyfikacjaEVF!$Q$6:$Q$55,0)</f>
        <v>0</v>
      </c>
    </row>
    <row r="24" spans="1:6">
      <c r="A24" s="63"/>
      <c r="B24" s="63"/>
      <c r="C24" s="63"/>
      <c r="D24" s="63"/>
      <c r="E24" s="63"/>
      <c r="F24" s="63"/>
    </row>
    <row r="25" spans="1:6">
      <c r="A25" s="63"/>
      <c r="B25" s="63"/>
      <c r="C25" s="63"/>
      <c r="D25" s="63"/>
      <c r="E25" s="63"/>
      <c r="F25" s="63"/>
    </row>
    <row r="26" spans="1:6">
      <c r="A26" s="63"/>
      <c r="B26" s="63"/>
      <c r="C26" s="63"/>
      <c r="D26" s="63"/>
      <c r="E26" s="63"/>
      <c r="F26" s="63"/>
    </row>
    <row r="27" spans="1:6">
      <c r="A27" s="63"/>
      <c r="B27" s="63"/>
      <c r="C27" s="63"/>
      <c r="D27" s="63"/>
      <c r="E27" s="63"/>
      <c r="F27" s="63"/>
    </row>
    <row r="28" spans="1:6" ht="65.45" customHeight="1">
      <c r="A28" s="63"/>
      <c r="B28" s="63"/>
      <c r="C28" s="63"/>
      <c r="D28" s="63"/>
      <c r="E28" s="63"/>
      <c r="F28" s="63"/>
    </row>
    <row r="29" spans="1:6">
      <c r="A29" s="63"/>
      <c r="B29" s="63"/>
      <c r="C29" s="63"/>
      <c r="D29" s="63"/>
      <c r="E29" s="63"/>
      <c r="F29" s="63"/>
    </row>
    <row r="30" spans="1:6">
      <c r="A30" s="63"/>
      <c r="B30" s="63"/>
      <c r="C30" s="63"/>
      <c r="D30" s="63"/>
      <c r="E30" s="63"/>
      <c r="F30" s="63"/>
    </row>
    <row r="31" spans="1:6">
      <c r="A31" s="63"/>
      <c r="B31" s="63"/>
      <c r="C31" s="63"/>
      <c r="D31" s="63"/>
      <c r="E31" s="63"/>
      <c r="F31" s="63"/>
    </row>
    <row r="32" spans="1:6">
      <c r="A32" s="63"/>
      <c r="B32" s="63"/>
      <c r="C32" s="63"/>
      <c r="D32" s="63"/>
      <c r="E32" s="63"/>
      <c r="F32" s="63"/>
    </row>
    <row r="33" spans="1:6">
      <c r="A33" s="63"/>
      <c r="B33" s="63"/>
      <c r="C33" s="63"/>
      <c r="D33" s="63"/>
      <c r="E33" s="63"/>
      <c r="F33" s="63"/>
    </row>
    <row r="34" spans="1:6">
      <c r="A34" s="63"/>
      <c r="B34" s="63"/>
      <c r="C34" s="63"/>
      <c r="D34" s="63"/>
      <c r="E34" s="63"/>
      <c r="F34" s="63"/>
    </row>
    <row r="35" spans="1:6">
      <c r="A35" s="63"/>
      <c r="B35" s="63"/>
      <c r="C35" s="63"/>
      <c r="D35" s="63"/>
      <c r="E35" s="63"/>
      <c r="F35" s="63"/>
    </row>
    <row r="36" spans="1:6">
      <c r="A36" s="63"/>
      <c r="B36" s="63"/>
      <c r="C36" s="63"/>
      <c r="D36" s="63"/>
      <c r="E36" s="63"/>
      <c r="F36" s="63"/>
    </row>
    <row r="37" spans="1:6">
      <c r="A37" s="63"/>
      <c r="B37" s="63"/>
      <c r="C37" s="63"/>
      <c r="D37" s="63"/>
      <c r="E37" s="63"/>
      <c r="F37" s="63"/>
    </row>
    <row r="38" spans="1:6">
      <c r="A38" s="63"/>
      <c r="B38" s="63"/>
      <c r="C38" s="63"/>
      <c r="D38" s="63"/>
      <c r="E38" s="63"/>
      <c r="F38" s="63"/>
    </row>
    <row r="39" spans="1:6">
      <c r="A39" s="63"/>
      <c r="B39" s="63"/>
      <c r="C39" s="63"/>
      <c r="D39" s="63"/>
      <c r="E39" s="63"/>
      <c r="F39" s="63"/>
    </row>
  </sheetData>
  <sheetProtection selectLockedCells="1" selectUnlockedCells="1"/>
  <autoFilter ref="A5:F5" xr:uid="{00000000-0001-0000-0000-000000000000}">
    <sortState xmlns:xlrd2="http://schemas.microsoft.com/office/spreadsheetml/2017/richdata2" ref="A7:F23">
      <sortCondition descending="1" ref="D5"/>
    </sortState>
  </autoFilter>
  <sortState xmlns:xlrd2="http://schemas.microsoft.com/office/spreadsheetml/2017/richdata2" ref="B6:F23">
    <sortCondition descending="1" ref="D6:D23"/>
  </sortState>
  <mergeCells count="5">
    <mergeCell ref="H2:K4"/>
    <mergeCell ref="A4:A5"/>
    <mergeCell ref="B4:B5"/>
    <mergeCell ref="C4:C5"/>
    <mergeCell ref="D4:D5"/>
  </mergeCells>
  <conditionalFormatting sqref="A6:A23">
    <cfRule type="cellIs" dxfId="3" priority="3" operator="equal">
      <formula>3</formula>
    </cfRule>
    <cfRule type="cellIs" dxfId="2" priority="4" operator="equal">
      <formula>2</formula>
    </cfRule>
    <cfRule type="cellIs" dxfId="1" priority="5" operator="equal">
      <formula>1</formula>
    </cfRule>
  </conditionalFormatting>
  <conditionalFormatting sqref="D6:F23">
    <cfRule type="cellIs" dxfId="0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2022-12-06T09:03:20Z</dcterms:modified>
  <cp:category/>
  <cp:contentStatus/>
</cp:coreProperties>
</file>