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ARCHIWUM/Sezon 2021/Floret/"/>
    </mc:Choice>
  </mc:AlternateContent>
  <xr:revisionPtr revIDLastSave="75" documentId="8_{D93D6D08-C713-4999-8A2D-54D955A2DC4C}" xr6:coauthVersionLast="47" xr6:coauthVersionMax="47" xr10:uidLastSave="{CD648862-DB2D-447B-90F9-CE502300028B}"/>
  <bookViews>
    <workbookView xWindow="-108" yWindow="-108" windowWidth="23256" windowHeight="1272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R3" i="1"/>
  <c r="D3" i="1"/>
  <c r="D4" i="1"/>
  <c r="D6" i="1"/>
  <c r="D5" i="1"/>
  <c r="D7" i="1"/>
  <c r="D8" i="1"/>
</calcChain>
</file>

<file path=xl/sharedStrings.xml><?xml version="1.0" encoding="utf-8"?>
<sst xmlns="http://schemas.openxmlformats.org/spreadsheetml/2006/main" count="33" uniqueCount="21">
  <si>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</si>
  <si>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</si>
  <si>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</si>
  <si>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</si>
  <si>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</si>
  <si>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</si>
  <si>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</si>
  <si>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</si>
  <si>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</si>
  <si>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
(Toruń)</t>
  </si>
  <si>
    <t>EU</t>
  </si>
  <si>
    <t>M</t>
  </si>
  <si>
    <t>P</t>
  </si>
  <si>
    <t>KS Wrocławianie</t>
  </si>
  <si>
    <t>HAŚKO Sergiusz</t>
  </si>
  <si>
    <t>JADCZUK Wojciech</t>
  </si>
  <si>
    <t>BAZAK Jacek</t>
  </si>
  <si>
    <t>PAKUŁA Łukasz</t>
  </si>
  <si>
    <t>DUDEK Mariusz</t>
  </si>
  <si>
    <t>KORONA-TRZEBSKI Przemysław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</si>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</sst>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8"/>
      <name val="Arial"/>
      <family val="2"/>
      <charset val="238"/>
    </font>
    <font>
      <sz val="11"/>
      <color indexed="53"/>
      <name val="Arial"/>
      <family val="2"/>
      <charset val="238"/>
    </font>
    <font>
      <sz val="11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5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181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B4" sqref="B4"/>
    </sheetView>
  </sheetViews>
  <sheetFormatPr defaultColWidth="11.5546875" defaultRowHeight="13.2" x14ac:dyDescent="0.25"/>
  <cols>
    <col min="1" max="1" width="8" customWidth="1"/>
    <col min="2" max="2" width="30.109375" bestFit="1" customWidth="1"/>
    <col min="3" max="3" width="14.88671875" customWidth="1"/>
    <col min="5" max="16" width="6" customWidth="1"/>
    <col min="17" max="18" width="6.109375" customWidth="1"/>
  </cols>
  <sheetData>
    <row r="1" spans="1:18" ht="28.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/>
      <c r="G1" s="19" t="s">
        <v>5</v>
      </c>
      <c r="H1" s="19"/>
      <c r="I1" s="19" t="s">
        <v>6</v>
      </c>
      <c r="J1" s="19"/>
      <c r="K1" s="20" t="s">
        <v>7</v>
      </c>
      <c r="L1" s="19"/>
      <c r="M1" s="19" t="s">
        <v>8</v>
      </c>
      <c r="N1" s="19"/>
      <c r="O1" s="20" t="s">
        <v>9</v>
      </c>
      <c r="P1" s="19"/>
      <c r="Q1" s="19" t="s">
        <v>10</v>
      </c>
      <c r="R1" s="19"/>
    </row>
    <row r="2" spans="1:18" ht="14.85" customHeight="1" x14ac:dyDescent="0.25">
      <c r="A2" s="19"/>
      <c r="B2" s="19"/>
      <c r="C2" s="19"/>
      <c r="D2" s="19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5.6" customHeight="1" x14ac:dyDescent="0.25">
      <c r="A3" s="2">
        <v>1</v>
      </c>
      <c r="B3" s="3" t="s">
        <v>20</v>
      </c>
      <c r="C3" s="4" t="s">
        <v>13</v>
      </c>
      <c r="D3" s="5">
        <f>F3+H3+J3+N3+P3+R3</f>
        <v>641.26</v>
      </c>
      <c r="E3" s="6">
        <v>1</v>
      </c>
      <c r="F3" s="6">
        <v>95</v>
      </c>
      <c r="G3" s="6">
        <v>1</v>
      </c>
      <c r="H3" s="6">
        <v>79</v>
      </c>
      <c r="I3" s="6">
        <v>1</v>
      </c>
      <c r="J3" s="6">
        <v>79</v>
      </c>
      <c r="K3" s="16">
        <v>1</v>
      </c>
      <c r="L3" s="16">
        <v>79</v>
      </c>
      <c r="M3" s="6">
        <v>1</v>
      </c>
      <c r="N3" s="6">
        <v>79</v>
      </c>
      <c r="O3" s="7"/>
      <c r="P3" s="7"/>
      <c r="Q3" s="8">
        <v>10</v>
      </c>
      <c r="R3" s="8">
        <f>154.63*2</f>
        <v>309.26</v>
      </c>
    </row>
    <row r="4" spans="1:18" ht="14.85" customHeight="1" x14ac:dyDescent="0.25">
      <c r="A4" s="2">
        <v>2</v>
      </c>
      <c r="B4" s="9" t="s">
        <v>14</v>
      </c>
      <c r="C4" s="4"/>
      <c r="D4" s="5">
        <f>SUM(F4+J4+P4+L4+R4+N4)</f>
        <v>371</v>
      </c>
      <c r="E4" s="6">
        <v>4</v>
      </c>
      <c r="F4" s="6">
        <v>79</v>
      </c>
      <c r="G4" s="10">
        <v>3</v>
      </c>
      <c r="H4" s="10">
        <v>70</v>
      </c>
      <c r="I4" s="6">
        <v>3</v>
      </c>
      <c r="J4" s="6">
        <v>70</v>
      </c>
      <c r="K4" s="6">
        <v>2</v>
      </c>
      <c r="L4" s="6">
        <v>73</v>
      </c>
      <c r="M4" s="6">
        <v>3</v>
      </c>
      <c r="N4" s="6">
        <v>70</v>
      </c>
      <c r="O4" s="6">
        <v>1</v>
      </c>
      <c r="P4" s="6">
        <v>79</v>
      </c>
      <c r="Q4" s="11"/>
      <c r="R4" s="11"/>
    </row>
    <row r="5" spans="1:18" ht="13.8" x14ac:dyDescent="0.25">
      <c r="A5" s="2">
        <v>3</v>
      </c>
      <c r="B5" s="18" t="s">
        <v>15</v>
      </c>
      <c r="C5" s="12"/>
      <c r="D5" s="13">
        <f t="shared" ref="D5" si="0">SUM(F5+H5+J5+L5+N5+P5)</f>
        <v>234</v>
      </c>
      <c r="E5" s="14">
        <v>2</v>
      </c>
      <c r="F5" s="14">
        <v>88</v>
      </c>
      <c r="G5" s="14"/>
      <c r="H5" s="14"/>
      <c r="I5" s="14">
        <v>2</v>
      </c>
      <c r="J5" s="14">
        <v>73</v>
      </c>
      <c r="K5" s="14"/>
      <c r="L5" s="14"/>
      <c r="M5" s="14">
        <v>2</v>
      </c>
      <c r="N5" s="14">
        <v>73</v>
      </c>
      <c r="O5" s="14"/>
      <c r="P5" s="14"/>
      <c r="Q5" s="15"/>
      <c r="R5" s="15"/>
    </row>
    <row r="6" spans="1:18" ht="14.85" customHeight="1" x14ac:dyDescent="0.25">
      <c r="A6" s="2">
        <v>4</v>
      </c>
      <c r="B6" s="17" t="s">
        <v>16</v>
      </c>
      <c r="C6" s="4"/>
      <c r="D6" s="5">
        <f>SUM(F6+H6+J6+N6+P6+L6+R6)</f>
        <v>225</v>
      </c>
      <c r="E6" s="6">
        <v>3</v>
      </c>
      <c r="F6" s="6">
        <v>84</v>
      </c>
      <c r="G6" s="6">
        <v>2</v>
      </c>
      <c r="H6" s="6">
        <v>73</v>
      </c>
      <c r="I6" s="6">
        <v>4</v>
      </c>
      <c r="J6" s="6">
        <v>68</v>
      </c>
      <c r="K6" s="6"/>
      <c r="L6" s="6"/>
      <c r="M6" s="6"/>
      <c r="N6" s="6"/>
      <c r="O6" s="6"/>
      <c r="P6" s="6"/>
      <c r="Q6" s="11"/>
      <c r="R6" s="11"/>
    </row>
    <row r="7" spans="1:18" ht="13.8" x14ac:dyDescent="0.25">
      <c r="A7" s="2">
        <v>5</v>
      </c>
      <c r="B7" s="12" t="s">
        <v>17</v>
      </c>
      <c r="C7" s="12"/>
      <c r="D7" s="13">
        <f>SUM(F7+H7+J7+L7+N7+P7)</f>
        <v>147</v>
      </c>
      <c r="E7" s="14">
        <v>6</v>
      </c>
      <c r="F7" s="14">
        <v>74</v>
      </c>
      <c r="G7" s="14"/>
      <c r="H7" s="14"/>
      <c r="I7" s="14"/>
      <c r="J7" s="14"/>
      <c r="K7" s="14"/>
      <c r="L7" s="14"/>
      <c r="M7" s="14"/>
      <c r="N7" s="14"/>
      <c r="O7" s="14">
        <v>2</v>
      </c>
      <c r="P7" s="14">
        <v>73</v>
      </c>
      <c r="Q7" s="15"/>
      <c r="R7" s="15"/>
    </row>
    <row r="8" spans="1:18" ht="13.8" x14ac:dyDescent="0.25">
      <c r="A8" s="2">
        <v>6</v>
      </c>
      <c r="B8" s="12" t="s">
        <v>18</v>
      </c>
      <c r="C8" s="12"/>
      <c r="D8" s="13">
        <f>SUM(F8+H8+J8+L8+N8+P8)</f>
        <v>138</v>
      </c>
      <c r="E8" s="14">
        <v>7</v>
      </c>
      <c r="F8" s="14">
        <v>72</v>
      </c>
      <c r="G8" s="14"/>
      <c r="H8" s="14"/>
      <c r="I8" s="14">
        <v>5</v>
      </c>
      <c r="J8" s="14">
        <v>66</v>
      </c>
      <c r="K8" s="14"/>
      <c r="L8" s="14"/>
      <c r="M8" s="14"/>
      <c r="N8" s="14"/>
      <c r="O8" s="14"/>
      <c r="P8" s="14"/>
      <c r="Q8" s="15"/>
      <c r="R8" s="15"/>
    </row>
    <row r="9" spans="1:18" ht="13.8" x14ac:dyDescent="0.25">
      <c r="A9" s="2">
        <v>7</v>
      </c>
      <c r="B9" s="12" t="s">
        <v>19</v>
      </c>
      <c r="C9" s="12"/>
      <c r="D9" s="13">
        <f>SUM(F9+H9+J9+L9+N9+P9)</f>
        <v>77</v>
      </c>
      <c r="E9" s="14">
        <v>5</v>
      </c>
      <c r="F9" s="14">
        <v>77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5"/>
      <c r="R9" s="15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2021-10-21T08:25:42Z</dcterms:created>
  <dcterms:modified xsi:type="dcterms:W3CDTF">2022-03-19T21:32:04Z</dcterms:modified>
  <cp:category/>
  <cp:contentStatus/>
</cp:coreProperties>
</file>