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- robocze/"/>
    </mc:Choice>
  </mc:AlternateContent>
  <xr:revisionPtr revIDLastSave="87" documentId="8_{7DCFD9FF-8A32-4034-AFB0-C083BCE09D45}" xr6:coauthVersionLast="47" xr6:coauthVersionMax="47" xr10:uidLastSave="{DA27932B-670A-4C06-91B2-5EDBFAF94B53}"/>
  <bookViews>
    <workbookView xWindow="28680" yWindow="-1845" windowWidth="29040" windowHeight="1779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E4" i="1"/>
  <c r="F4" i="1" s="1"/>
  <c r="K3" i="1"/>
  <c r="L3" i="1" s="1"/>
  <c r="K8" i="1"/>
  <c r="L8" i="1" s="1"/>
  <c r="K11" i="1"/>
  <c r="L11" i="1" s="1"/>
  <c r="K7" i="1"/>
  <c r="L7" i="1" s="1"/>
  <c r="K5" i="1"/>
  <c r="L5" i="1" s="1"/>
  <c r="K13" i="1"/>
  <c r="L13" i="1" s="1"/>
  <c r="K12" i="1"/>
  <c r="L12" i="1" s="1"/>
  <c r="K10" i="1"/>
  <c r="L10" i="1" s="1"/>
  <c r="K9" i="1"/>
  <c r="L9" i="1" s="1"/>
  <c r="K6" i="1"/>
  <c r="L6" i="1" s="1"/>
  <c r="Q7" i="1"/>
  <c r="Q5" i="1"/>
  <c r="Q6" i="1"/>
  <c r="Q4" i="1"/>
  <c r="O3" i="1"/>
  <c r="P3" i="1" s="1"/>
  <c r="M3" i="1"/>
  <c r="N3" i="1" s="1"/>
  <c r="I3" i="1"/>
  <c r="J3" i="1" s="1"/>
  <c r="G3" i="1"/>
  <c r="H3" i="1" s="1"/>
  <c r="E3" i="1"/>
  <c r="F3" i="1" s="1"/>
  <c r="A3" i="1"/>
  <c r="A14" i="12"/>
  <c r="A13" i="12"/>
  <c r="A12" i="12"/>
  <c r="A11" i="12"/>
  <c r="A10" i="12"/>
  <c r="A9" i="12"/>
  <c r="A8" i="12"/>
  <c r="A7" i="12"/>
  <c r="A6" i="12"/>
  <c r="A5" i="12"/>
  <c r="Q13" i="1" s="1"/>
  <c r="O8" i="1"/>
  <c r="P8" i="1" s="1"/>
  <c r="O11" i="1"/>
  <c r="P11" i="1" s="1"/>
  <c r="O7" i="1"/>
  <c r="P7" i="1" s="1"/>
  <c r="O5" i="1"/>
  <c r="P5" i="1" s="1"/>
  <c r="O13" i="1"/>
  <c r="P13" i="1" s="1"/>
  <c r="O12" i="1"/>
  <c r="P12" i="1" s="1"/>
  <c r="O10" i="1"/>
  <c r="P10" i="1" s="1"/>
  <c r="O9" i="1"/>
  <c r="P9" i="1" s="1"/>
  <c r="O4" i="1"/>
  <c r="P4" i="1" s="1"/>
  <c r="O6" i="1"/>
  <c r="P6" i="1" s="1"/>
  <c r="M8" i="1"/>
  <c r="N8" i="1" s="1"/>
  <c r="M11" i="1"/>
  <c r="N11" i="1" s="1"/>
  <c r="M7" i="1"/>
  <c r="N7" i="1" s="1"/>
  <c r="M5" i="1"/>
  <c r="N5" i="1" s="1"/>
  <c r="M13" i="1"/>
  <c r="N13" i="1" s="1"/>
  <c r="M12" i="1"/>
  <c r="N12" i="1" s="1"/>
  <c r="M10" i="1"/>
  <c r="N10" i="1" s="1"/>
  <c r="M9" i="1"/>
  <c r="N9" i="1" s="1"/>
  <c r="M4" i="1"/>
  <c r="N4" i="1" s="1"/>
  <c r="M6" i="1"/>
  <c r="N6" i="1" s="1"/>
  <c r="K4" i="1"/>
  <c r="L4" i="1" s="1"/>
  <c r="I8" i="1"/>
  <c r="J8" i="1" s="1"/>
  <c r="I11" i="1"/>
  <c r="J11" i="1" s="1"/>
  <c r="I7" i="1"/>
  <c r="J7" i="1" s="1"/>
  <c r="I5" i="1"/>
  <c r="J5" i="1" s="1"/>
  <c r="I13" i="1"/>
  <c r="J13" i="1" s="1"/>
  <c r="I12" i="1"/>
  <c r="J12" i="1" s="1"/>
  <c r="I10" i="1"/>
  <c r="J10" i="1" s="1"/>
  <c r="I9" i="1"/>
  <c r="J9" i="1" s="1"/>
  <c r="I4" i="1"/>
  <c r="J4" i="1" s="1"/>
  <c r="I6" i="1"/>
  <c r="J6" i="1" s="1"/>
  <c r="G8" i="1"/>
  <c r="H8" i="1" s="1"/>
  <c r="G11" i="1"/>
  <c r="H11" i="1" s="1"/>
  <c r="G7" i="1"/>
  <c r="H7" i="1" s="1"/>
  <c r="G5" i="1"/>
  <c r="H5" i="1" s="1"/>
  <c r="G13" i="1"/>
  <c r="H13" i="1" s="1"/>
  <c r="G12" i="1"/>
  <c r="H12" i="1" s="1"/>
  <c r="G10" i="1"/>
  <c r="H10" i="1" s="1"/>
  <c r="G9" i="1"/>
  <c r="H9" i="1" s="1"/>
  <c r="G4" i="1"/>
  <c r="H4" i="1" s="1"/>
  <c r="G6" i="1"/>
  <c r="H6" i="1" s="1"/>
  <c r="A8" i="1"/>
  <c r="A11" i="1"/>
  <c r="A7" i="1"/>
  <c r="A5" i="1"/>
  <c r="A13" i="1"/>
  <c r="A12" i="1"/>
  <c r="A10" i="1"/>
  <c r="A9" i="1"/>
  <c r="A4" i="1"/>
  <c r="A6" i="1"/>
  <c r="E7" i="1"/>
  <c r="F7" i="1" s="1"/>
  <c r="E5" i="1"/>
  <c r="F5" i="1" s="1"/>
  <c r="E11" i="1"/>
  <c r="F11" i="1" s="1"/>
  <c r="E8" i="1"/>
  <c r="F8" i="1" s="1"/>
  <c r="E10" i="1"/>
  <c r="F10" i="1" s="1"/>
  <c r="E9" i="1"/>
  <c r="F9" i="1" s="1"/>
  <c r="E12" i="1"/>
  <c r="F12" i="1" s="1"/>
  <c r="E13" i="1"/>
  <c r="F13" i="1" s="1"/>
  <c r="Q8" i="1" l="1"/>
  <c r="D8" i="1" s="1"/>
  <c r="Q9" i="1"/>
  <c r="Q10" i="1"/>
  <c r="Q3" i="1"/>
  <c r="D3" i="1" s="1"/>
  <c r="Q12" i="1"/>
  <c r="D12" i="1" s="1"/>
  <c r="Q11" i="1"/>
  <c r="D4" i="1"/>
  <c r="D5" i="1"/>
  <c r="D13" i="1"/>
  <c r="D9" i="1" l="1"/>
  <c r="D11" i="1"/>
  <c r="D10" i="1"/>
  <c r="D7" i="1"/>
  <c r="D6" i="1"/>
</calcChain>
</file>

<file path=xl/sharedStrings.xml><?xml version="1.0" encoding="utf-8"?>
<sst xmlns="http://schemas.openxmlformats.org/spreadsheetml/2006/main" count="104" uniqueCount="40">
  <si>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</si>
  <si>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</si>
  <si>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</si>
  <si>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</si>
  <si>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</si>
  <si>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</si>
  <si>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</si>
  <si>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</si>
  <si>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</si>
  <si>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</si>
  <si>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</si>
  <si>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</si>
  <si>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</si>
  <si>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PRĘGOWSKI Jerzy</t>
  </si>
  <si>
    <t>MAINKA Andrzej</t>
  </si>
  <si>
    <t>PANZ Marian</t>
  </si>
  <si>
    <t>miejsce i data:</t>
  </si>
  <si>
    <t>GDAŃSK 11-12.12.2021</t>
  </si>
  <si>
    <t>https://www.fencingtimelive.com/events/results/28D8C18043E94C9A934DE55B99DFCCF9</t>
  </si>
  <si>
    <t>POINTS</t>
  </si>
  <si>
    <t>Place</t>
  </si>
  <si>
    <t>Name</t>
  </si>
  <si>
    <t>Club(s)</t>
  </si>
  <si>
    <t>Division</t>
  </si>
  <si>
    <t>Country</t>
  </si>
  <si>
    <t>O.Ś. AZS POZNAŃ</t>
  </si>
  <si>
    <t>POL</t>
  </si>
  <si>
    <t>LESZNO</t>
  </si>
  <si>
    <t>WARSZAWA 13-14.03.2021</t>
  </si>
  <si>
    <t>http://79.163.66.117/spws/etapy.php?marek=123&amp;_turid=507</t>
  </si>
  <si>
    <t>LESZNO 23-24.10.2021</t>
  </si>
  <si>
    <t>https://www.fencingtimelive.com/events/results/D27F3597DD79415791336C9756F72251</t>
  </si>
  <si>
    <t>KATOWICE 19-20.06.2021</t>
  </si>
  <si>
    <t>https://www.fencingtimelive.com/events/results/008991D634F84B2F98185D511321D8B0</t>
  </si>
  <si>
    <t>AZS AWF Warszawa</t>
  </si>
  <si>
    <t>AZS AWF Poznań</t>
  </si>
  <si>
    <t>TORUŃ 27-28.12.2021</t>
  </si>
  <si>
    <t>http://79.163.66.117/spws/etapy.php?_etaid=915</t>
  </si>
  <si>
    <t>Mainka Andrzej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</si>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</sst>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8D8C18043E94C9A934DE55B99DFCCF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50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D27F3597DD79415791336C9756F7225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008991D634F84B2F98185D511321D8B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etaid=91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B6" sqref="B6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9.5703125" bestFit="1" customWidth="1"/>
    <col min="6" max="16" width="6" customWidth="1"/>
    <col min="17" max="17" width="9.28515625" customWidth="1"/>
  </cols>
  <sheetData>
    <row r="1" spans="1:17" ht="24.75" customHeight="1">
      <c r="A1" s="30" t="s">
        <v>0</v>
      </c>
      <c r="B1" s="30" t="s">
        <v>1</v>
      </c>
      <c r="C1" s="30" t="s">
        <v>2</v>
      </c>
      <c r="D1" s="30" t="s">
        <v>3</v>
      </c>
      <c r="E1" s="28" t="s">
        <v>4</v>
      </c>
      <c r="F1" s="28"/>
      <c r="G1" s="28" t="s">
        <v>5</v>
      </c>
      <c r="H1" s="28"/>
      <c r="I1" s="28" t="s">
        <v>6</v>
      </c>
      <c r="J1" s="28"/>
      <c r="K1" s="29" t="s">
        <v>7</v>
      </c>
      <c r="L1" s="28"/>
      <c r="M1" s="28" t="s">
        <v>8</v>
      </c>
      <c r="N1" s="28"/>
      <c r="O1" s="28" t="s">
        <v>9</v>
      </c>
      <c r="P1" s="28"/>
      <c r="Q1" s="10" t="s">
        <v>10</v>
      </c>
    </row>
    <row r="2" spans="1:17" ht="18" customHeight="1">
      <c r="A2" s="31"/>
      <c r="B2" s="31"/>
      <c r="C2" s="31"/>
      <c r="D2" s="3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>
      <c r="A3" s="2">
        <f>ROW()-2</f>
        <v>1</v>
      </c>
      <c r="B3" s="25" t="s">
        <v>13</v>
      </c>
      <c r="C3" s="3"/>
      <c r="D3" s="4">
        <f>SUM(F3,H3,J3,L3,N3,P3,Q3)-MIN(H3,J3,L3,N3,P3)</f>
        <v>493.4</v>
      </c>
      <c r="E3" s="5" t="str">
        <f>_xlfn.XLOOKUP(B3,MP!C$5:C$14,MP!B$5:B$14,"")</f>
        <v/>
      </c>
      <c r="F3" s="5">
        <f>_xlfn.XLOOKUP(E3,MP!B$5:B$14,MP!A$5:A$14,0)</f>
        <v>0</v>
      </c>
      <c r="G3" s="5" t="str">
        <f>_xlfn.XLOOKUP($B3,'GP1'!$C$5:$C$14,'GP1'!$B$5:$B$14,"")</f>
        <v/>
      </c>
      <c r="H3" s="5">
        <f>_xlfn.XLOOKUP(G3,'GP1'!$B$5:$B$14,'GP1'!$A$5:$A$14,0)</f>
        <v>0</v>
      </c>
      <c r="I3" s="5" t="str">
        <f>_xlfn.XLOOKUP($B3,'GP2'!$C$5:$C$14,'GP2'!$B$5:$B$14,"")</f>
        <v/>
      </c>
      <c r="J3" s="5">
        <f>_xlfn.XLOOKUP(I3,'GP2'!$B$5:$B$14,'GP2'!$A$5:$A$14,0)</f>
        <v>0</v>
      </c>
      <c r="K3" s="5" t="str">
        <f>_xlfn.XLOOKUP($B3,'GP3'!$C$5:$C$14,'GP3'!$B$5:$B$14,"")</f>
        <v/>
      </c>
      <c r="L3" s="5">
        <f>_xlfn.XLOOKUP(K3,'GP3'!$B$5:$B$14,'GP3'!$A$5:$A$14,0)</f>
        <v>0</v>
      </c>
      <c r="M3" s="5">
        <f>_xlfn.XLOOKUP($B3,'GP4'!$C$5:$C$14,'GP4'!$B$5:$B$14,"")</f>
        <v>1</v>
      </c>
      <c r="N3" s="5">
        <f>_xlfn.XLOOKUP(M3,'GP4'!$B$5:$B$14,'GP4'!$A$5:$A$14,0)</f>
        <v>79</v>
      </c>
      <c r="O3" s="5" t="str">
        <f>_xlfn.XLOOKUP($B3,'GP5'!$C$5:$C$14,'GP5'!$B$5:$B$14,"")</f>
        <v/>
      </c>
      <c r="P3" s="5">
        <f>_xlfn.XLOOKUP(O3,'GP5'!$B$5:$B$14,'GP5'!$A$5:$A$14,0)</f>
        <v>0</v>
      </c>
      <c r="Q3" s="19">
        <f>_xlfn.XLOOKUP($B3,EU!$B$5:$B$20,EU!$A$5:$A$20,0)</f>
        <v>414.4</v>
      </c>
    </row>
    <row r="4" spans="1:17" ht="14.85" customHeight="1">
      <c r="A4" s="2">
        <f>ROW()-2</f>
        <v>2</v>
      </c>
      <c r="B4" s="6" t="s">
        <v>14</v>
      </c>
      <c r="C4" s="3"/>
      <c r="D4" s="4">
        <f>SUM(F4,H4,J4,L4,N4,P4,Q4)-MIN(H4,J4,L4,N4,P4)</f>
        <v>476.05999999999995</v>
      </c>
      <c r="E4" s="5">
        <f>_xlfn.XLOOKUP(B4,MP!C$5:C$14,MP!B$5:B$14,"")</f>
        <v>1</v>
      </c>
      <c r="F4" s="5">
        <f>_xlfn.XLOOKUP(E4,MP!B$5:B$14,MP!A$5:A$14,0)</f>
        <v>95</v>
      </c>
      <c r="G4" s="5">
        <f>_xlfn.XLOOKUP($B4,'GP1'!$C$5:$C$14,'GP1'!$B$5:$B$14,"")</f>
        <v>1</v>
      </c>
      <c r="H4" s="5">
        <f>_xlfn.XLOOKUP(G4,'GP1'!$B$5:$B$14,'GP1'!$A$5:$A$14,0)</f>
        <v>79</v>
      </c>
      <c r="I4" s="5">
        <f>_xlfn.XLOOKUP($B4,'GP2'!$C$5:$C$14,'GP2'!$B$5:$B$14,"")</f>
        <v>1</v>
      </c>
      <c r="J4" s="5">
        <f>_xlfn.XLOOKUP(I4,'GP2'!$B$5:$B$14,'GP2'!$A$5:$A$14,0)</f>
        <v>79</v>
      </c>
      <c r="K4" s="5">
        <f>_xlfn.XLOOKUP($B4,'GP3'!$C$5:$C$14,'GP3'!$B$5:$B$14,"")</f>
        <v>1</v>
      </c>
      <c r="L4" s="5">
        <f>_xlfn.XLOOKUP(K4,'GP3'!$B$5:$B$14,'GP3'!$A$5:$A$14,0)</f>
        <v>79</v>
      </c>
      <c r="M4" s="5">
        <f>_xlfn.XLOOKUP($B4,'GP4'!$C$5:$C$14,'GP4'!$B$5:$B$14,"")</f>
        <v>2</v>
      </c>
      <c r="N4" s="5">
        <f>_xlfn.XLOOKUP(M4,'GP4'!$B$5:$B$14,'GP4'!$A$5:$A$14,0)</f>
        <v>73</v>
      </c>
      <c r="O4" s="5">
        <f>_xlfn.XLOOKUP($B4,'GP5'!$C$5:$C$14,'GP5'!$B$5:$B$14,"")</f>
        <v>1</v>
      </c>
      <c r="P4" s="5">
        <f>_xlfn.XLOOKUP(O4,'GP5'!$B$5:$B$14,'GP5'!$A$5:$A$14,0)</f>
        <v>79</v>
      </c>
      <c r="Q4" s="19">
        <f>_xlfn.XLOOKUP($B4,EU!$B$5:$B$20,EU!$A$5:$A$20,0)</f>
        <v>65.06</v>
      </c>
    </row>
    <row r="5" spans="1:17" ht="15.75" customHeight="1">
      <c r="A5" s="2">
        <f>ROW()-2</f>
        <v>3</v>
      </c>
      <c r="B5" s="6" t="s">
        <v>15</v>
      </c>
      <c r="C5" s="27"/>
      <c r="D5" s="4">
        <f>SUM(F5,H5,J5,L5,N5,P5,Q5)-MIN(H5,J5,L5,N5,P5)</f>
        <v>88</v>
      </c>
      <c r="E5" s="5">
        <f>_xlfn.XLOOKUP(B5,MP!C$5:C$14,MP!B$5:B$14,"")</f>
        <v>2</v>
      </c>
      <c r="F5" s="5">
        <f>_xlfn.XLOOKUP(E5,MP!B$5:B$14,MP!A$5:A$14,0)</f>
        <v>88</v>
      </c>
      <c r="G5" s="5" t="str">
        <f>_xlfn.XLOOKUP($B5,'GP1'!$C$5:$C$14,'GP1'!$B$5:$B$14,"")</f>
        <v/>
      </c>
      <c r="H5" s="5">
        <f>_xlfn.XLOOKUP(G5,'GP1'!$B$5:$B$14,'GP1'!$A$5:$A$14,0)</f>
        <v>0</v>
      </c>
      <c r="I5" s="5" t="str">
        <f>_xlfn.XLOOKUP($B5,'GP2'!$C$5:$C$14,'GP2'!$B$5:$B$14,"")</f>
        <v/>
      </c>
      <c r="J5" s="5">
        <f>_xlfn.XLOOKUP(I5,'GP2'!$B$5:$B$14,'GP2'!$A$5:$A$14,0)</f>
        <v>0</v>
      </c>
      <c r="K5" s="5" t="str">
        <f>_xlfn.XLOOKUP($B5,'GP3'!$C$5:$C$14,'GP3'!$B$5:$B$14,"")</f>
        <v/>
      </c>
      <c r="L5" s="5">
        <f>_xlfn.XLOOKUP(K5,'GP3'!$B$5:$B$14,'GP3'!$A$5:$A$14,0)</f>
        <v>0</v>
      </c>
      <c r="M5" s="5" t="str">
        <f>_xlfn.XLOOKUP($B5,'GP4'!$C$5:$C$14,'GP4'!$B$5:$B$14,"")</f>
        <v/>
      </c>
      <c r="N5" s="5">
        <f>_xlfn.XLOOKUP(M5,'GP4'!$B$5:$B$14,'GP4'!$A$5:$A$14,0)</f>
        <v>0</v>
      </c>
      <c r="O5" s="5" t="str">
        <f>_xlfn.XLOOKUP($B5,'GP5'!$C$5:$C$14,'GP5'!$B$5:$B$14,"")</f>
        <v/>
      </c>
      <c r="P5" s="5">
        <f>_xlfn.XLOOKUP(O5,'GP5'!$B$5:$B$14,'GP5'!$A$5:$A$14,0)</f>
        <v>0</v>
      </c>
      <c r="Q5" s="19">
        <f>_xlfn.XLOOKUP($B5,EU!$B$5:$B$20,EU!$A$5:$A$20,0)</f>
        <v>0</v>
      </c>
    </row>
    <row r="6" spans="1:17" ht="14.85" customHeight="1">
      <c r="A6" s="2">
        <f>ROW()-2</f>
        <v>4</v>
      </c>
      <c r="B6" s="6"/>
      <c r="C6" s="3"/>
      <c r="D6" s="4">
        <f>SUM(F6,H6,J6,L6,N6,P6,Q6)-MIN(H6,J6,L6,N6,P6)</f>
        <v>0</v>
      </c>
      <c r="E6" s="5">
        <f>_xlfn.XLOOKUP(B6,MP!C$5:C$14,MP!B$5:B$14,"")</f>
        <v>0</v>
      </c>
      <c r="F6" s="5">
        <f>_xlfn.XLOOKUP(E6,MP!B$5:B$14,MP!A$5:A$14,0)</f>
        <v>0</v>
      </c>
      <c r="G6" s="5">
        <f>_xlfn.XLOOKUP($B6,'GP1'!$C$5:$C$14,'GP1'!$B$5:$B$14,"")</f>
        <v>0</v>
      </c>
      <c r="H6" s="5">
        <f>_xlfn.XLOOKUP(G6,'GP1'!$B$5:$B$14,'GP1'!$A$5:$A$14,0)</f>
        <v>0</v>
      </c>
      <c r="I6" s="5">
        <f>_xlfn.XLOOKUP($B6,'GP2'!$C$5:$C$14,'GP2'!$B$5:$B$14,"")</f>
        <v>0</v>
      </c>
      <c r="J6" s="5">
        <f>_xlfn.XLOOKUP(I6,'GP2'!$B$5:$B$14,'GP2'!$A$5:$A$14,0)</f>
        <v>0</v>
      </c>
      <c r="K6" s="5">
        <f>_xlfn.XLOOKUP($B6,'GP3'!$C$5:$C$14,'GP3'!$B$5:$B$14,"")</f>
        <v>0</v>
      </c>
      <c r="L6" s="5">
        <f>_xlfn.XLOOKUP(K6,'GP3'!$B$5:$B$14,'GP3'!$A$5:$A$14,0)</f>
        <v>0</v>
      </c>
      <c r="M6" s="5">
        <f>_xlfn.XLOOKUP($B6,'GP4'!$C$5:$C$14,'GP4'!$B$5:$B$14,"")</f>
        <v>0</v>
      </c>
      <c r="N6" s="5">
        <f>_xlfn.XLOOKUP(M6,'GP4'!$B$5:$B$14,'GP4'!$A$5:$A$14,0)</f>
        <v>0</v>
      </c>
      <c r="O6" s="5">
        <f>_xlfn.XLOOKUP($B6,'GP5'!$C$5:$C$14,'GP5'!$B$5:$B$14,"")</f>
        <v>0</v>
      </c>
      <c r="P6" s="5">
        <f>_xlfn.XLOOKUP(O6,'GP5'!$B$5:$B$14,'GP5'!$A$5:$A$14,0)</f>
        <v>0</v>
      </c>
      <c r="Q6" s="19">
        <f>_xlfn.XLOOKUP($B6,EU!$B$5:$B$20,EU!$A$5:$A$20,0)</f>
        <v>0</v>
      </c>
    </row>
    <row r="7" spans="1:17" ht="14.85" customHeight="1">
      <c r="A7" s="2">
        <f>ROW()-2</f>
        <v>5</v>
      </c>
      <c r="B7" s="26"/>
      <c r="C7" s="3"/>
      <c r="D7" s="4">
        <f>SUM(F7,H7,J7,L7,N7,P7,Q7)-MIN(H7,J7,L7,N7,P7)</f>
        <v>0</v>
      </c>
      <c r="E7" s="5">
        <f>_xlfn.XLOOKUP(B7,MP!C$5:C$14,MP!B$5:B$14,"")</f>
        <v>0</v>
      </c>
      <c r="F7" s="5">
        <f>_xlfn.XLOOKUP(E7,MP!B$5:B$14,MP!A$5:A$14,0)</f>
        <v>0</v>
      </c>
      <c r="G7" s="5">
        <f>_xlfn.XLOOKUP($B7,'GP1'!$C$5:$C$14,'GP1'!$B$5:$B$14,"")</f>
        <v>0</v>
      </c>
      <c r="H7" s="5">
        <f>_xlfn.XLOOKUP(G7,'GP1'!$B$5:$B$14,'GP1'!$A$5:$A$14,0)</f>
        <v>0</v>
      </c>
      <c r="I7" s="5">
        <f>_xlfn.XLOOKUP($B7,'GP2'!$C$5:$C$14,'GP2'!$B$5:$B$14,"")</f>
        <v>0</v>
      </c>
      <c r="J7" s="5">
        <f>_xlfn.XLOOKUP(I7,'GP2'!$B$5:$B$14,'GP2'!$A$5:$A$14,0)</f>
        <v>0</v>
      </c>
      <c r="K7" s="5">
        <f>_xlfn.XLOOKUP($B7,'GP3'!$C$5:$C$14,'GP3'!$B$5:$B$14,"")</f>
        <v>0</v>
      </c>
      <c r="L7" s="5">
        <f>_xlfn.XLOOKUP(K7,'GP3'!$B$5:$B$14,'GP3'!$A$5:$A$14,0)</f>
        <v>0</v>
      </c>
      <c r="M7" s="5">
        <f>_xlfn.XLOOKUP($B7,'GP4'!$C$5:$C$14,'GP4'!$B$5:$B$14,"")</f>
        <v>0</v>
      </c>
      <c r="N7" s="5">
        <f>_xlfn.XLOOKUP(M7,'GP4'!$B$5:$B$14,'GP4'!$A$5:$A$14,0)</f>
        <v>0</v>
      </c>
      <c r="O7" s="5">
        <f>_xlfn.XLOOKUP($B7,'GP5'!$C$5:$C$14,'GP5'!$B$5:$B$14,"")</f>
        <v>0</v>
      </c>
      <c r="P7" s="5">
        <f>_xlfn.XLOOKUP(O7,'GP5'!$B$5:$B$14,'GP5'!$A$5:$A$14,0)</f>
        <v>0</v>
      </c>
      <c r="Q7" s="19">
        <f>_xlfn.XLOOKUP($B7,EU!$B$5:$B$20,EU!$A$5:$A$20,0)</f>
        <v>0</v>
      </c>
    </row>
    <row r="8" spans="1:17" ht="14.85" customHeight="1">
      <c r="A8" s="2">
        <f>ROW()-2</f>
        <v>6</v>
      </c>
      <c r="B8" s="6"/>
      <c r="C8" s="3"/>
      <c r="D8" s="4">
        <f>SUM(F8,H8,J8,L8,N8,P8,Q8)-MIN(H8,J8,L8,N8,P8)</f>
        <v>0</v>
      </c>
      <c r="E8" s="5">
        <f>_xlfn.XLOOKUP(B8,MP!C$5:C$14,MP!B$5:B$14,"")</f>
        <v>0</v>
      </c>
      <c r="F8" s="5">
        <f>_xlfn.XLOOKUP(E8,MP!B$5:B$14,MP!A$5:A$14,0)</f>
        <v>0</v>
      </c>
      <c r="G8" s="5">
        <f>_xlfn.XLOOKUP($B8,'GP1'!$C$5:$C$14,'GP1'!$B$5:$B$14,"")</f>
        <v>0</v>
      </c>
      <c r="H8" s="5">
        <f>_xlfn.XLOOKUP(G8,'GP1'!$B$5:$B$14,'GP1'!$A$5:$A$14,0)</f>
        <v>0</v>
      </c>
      <c r="I8" s="5">
        <f>_xlfn.XLOOKUP($B8,'GP2'!$C$5:$C$14,'GP2'!$B$5:$B$14,"")</f>
        <v>0</v>
      </c>
      <c r="J8" s="5">
        <f>_xlfn.XLOOKUP(I8,'GP2'!$B$5:$B$14,'GP2'!$A$5:$A$14,0)</f>
        <v>0</v>
      </c>
      <c r="K8" s="5">
        <f>_xlfn.XLOOKUP($B8,'GP3'!$C$5:$C$14,'GP3'!$B$5:$B$14,"")</f>
        <v>0</v>
      </c>
      <c r="L8" s="5">
        <f>_xlfn.XLOOKUP(K8,'GP3'!$B$5:$B$14,'GP3'!$A$5:$A$14,0)</f>
        <v>0</v>
      </c>
      <c r="M8" s="5">
        <f>_xlfn.XLOOKUP($B8,'GP4'!$C$5:$C$14,'GP4'!$B$5:$B$14,"")</f>
        <v>0</v>
      </c>
      <c r="N8" s="5">
        <f>_xlfn.XLOOKUP(M8,'GP4'!$B$5:$B$14,'GP4'!$A$5:$A$14,0)</f>
        <v>0</v>
      </c>
      <c r="O8" s="5">
        <f>_xlfn.XLOOKUP($B8,'GP5'!$C$5:$C$14,'GP5'!$B$5:$B$14,"")</f>
        <v>0</v>
      </c>
      <c r="P8" s="5">
        <f>_xlfn.XLOOKUP(O8,'GP5'!$B$5:$B$14,'GP5'!$A$5:$A$14,0)</f>
        <v>0</v>
      </c>
      <c r="Q8" s="19">
        <f>_xlfn.XLOOKUP($B8,EU!$B$5:$B$20,EU!$A$5:$A$20,0)</f>
        <v>0</v>
      </c>
    </row>
    <row r="9" spans="1:17" ht="14.85" customHeight="1">
      <c r="A9" s="2">
        <f>ROW()-2</f>
        <v>7</v>
      </c>
      <c r="B9" s="6"/>
      <c r="C9" s="3"/>
      <c r="D9" s="4">
        <f>SUM(F9,H9,J9,L9,N9,P9,Q9)-MIN(H9,J9,L9,N9,P9)</f>
        <v>0</v>
      </c>
      <c r="E9" s="5">
        <f>_xlfn.XLOOKUP(B9,MP!C$5:C$14,MP!B$5:B$14,"")</f>
        <v>0</v>
      </c>
      <c r="F9" s="5">
        <f>_xlfn.XLOOKUP(E9,MP!B$5:B$14,MP!A$5:A$14,0)</f>
        <v>0</v>
      </c>
      <c r="G9" s="5">
        <f>_xlfn.XLOOKUP($B9,'GP1'!$C$5:$C$14,'GP1'!$B$5:$B$14,"")</f>
        <v>0</v>
      </c>
      <c r="H9" s="5">
        <f>_xlfn.XLOOKUP(G9,'GP1'!$B$5:$B$14,'GP1'!$A$5:$A$14,0)</f>
        <v>0</v>
      </c>
      <c r="I9" s="5">
        <f>_xlfn.XLOOKUP($B9,'GP2'!$C$5:$C$14,'GP2'!$B$5:$B$14,"")</f>
        <v>0</v>
      </c>
      <c r="J9" s="5">
        <f>_xlfn.XLOOKUP(I9,'GP2'!$B$5:$B$14,'GP2'!$A$5:$A$14,0)</f>
        <v>0</v>
      </c>
      <c r="K9" s="5">
        <f>_xlfn.XLOOKUP($B9,'GP3'!$C$5:$C$14,'GP3'!$B$5:$B$14,"")</f>
        <v>0</v>
      </c>
      <c r="L9" s="5">
        <f>_xlfn.XLOOKUP(K9,'GP3'!$B$5:$B$14,'GP3'!$A$5:$A$14,0)</f>
        <v>0</v>
      </c>
      <c r="M9" s="5">
        <f>_xlfn.XLOOKUP($B9,'GP4'!$C$5:$C$14,'GP4'!$B$5:$B$14,"")</f>
        <v>0</v>
      </c>
      <c r="N9" s="5">
        <f>_xlfn.XLOOKUP(M9,'GP4'!$B$5:$B$14,'GP4'!$A$5:$A$14,0)</f>
        <v>0</v>
      </c>
      <c r="O9" s="5">
        <f>_xlfn.XLOOKUP($B9,'GP5'!$C$5:$C$14,'GP5'!$B$5:$B$14,"")</f>
        <v>0</v>
      </c>
      <c r="P9" s="5">
        <f>_xlfn.XLOOKUP(O9,'GP5'!$B$5:$B$14,'GP5'!$A$5:$A$14,0)</f>
        <v>0</v>
      </c>
      <c r="Q9" s="19">
        <f>_xlfn.XLOOKUP($B9,EU!$B$5:$B$20,EU!$A$5:$A$20,0)</f>
        <v>0</v>
      </c>
    </row>
    <row r="10" spans="1:17" ht="14.85" customHeight="1">
      <c r="A10" s="2">
        <f>ROW()-2</f>
        <v>8</v>
      </c>
      <c r="B10" s="6"/>
      <c r="C10" s="3"/>
      <c r="D10" s="4">
        <f>SUM(F10,H10,J10,L10,N10,P10,Q10)-MIN(H10,J10,L10,N10,P10)</f>
        <v>0</v>
      </c>
      <c r="E10" s="5">
        <f>_xlfn.XLOOKUP(B10,MP!C$5:C$14,MP!B$5:B$14,"")</f>
        <v>0</v>
      </c>
      <c r="F10" s="5">
        <f>_xlfn.XLOOKUP(E10,MP!B$5:B$14,MP!A$5:A$14,0)</f>
        <v>0</v>
      </c>
      <c r="G10" s="5">
        <f>_xlfn.XLOOKUP($B10,'GP1'!$C$5:$C$14,'GP1'!$B$5:$B$14,"")</f>
        <v>0</v>
      </c>
      <c r="H10" s="5">
        <f>_xlfn.XLOOKUP(G10,'GP1'!$B$5:$B$14,'GP1'!$A$5:$A$14,0)</f>
        <v>0</v>
      </c>
      <c r="I10" s="5">
        <f>_xlfn.XLOOKUP($B10,'GP2'!$C$5:$C$14,'GP2'!$B$5:$B$14,"")</f>
        <v>0</v>
      </c>
      <c r="J10" s="5">
        <f>_xlfn.XLOOKUP(I10,'GP2'!$B$5:$B$14,'GP2'!$A$5:$A$14,0)</f>
        <v>0</v>
      </c>
      <c r="K10" s="5">
        <f>_xlfn.XLOOKUP($B10,'GP3'!$C$5:$C$14,'GP3'!$B$5:$B$14,"")</f>
        <v>0</v>
      </c>
      <c r="L10" s="5">
        <f>_xlfn.XLOOKUP(K10,'GP3'!$B$5:$B$14,'GP3'!$A$5:$A$14,0)</f>
        <v>0</v>
      </c>
      <c r="M10" s="5">
        <f>_xlfn.XLOOKUP($B10,'GP4'!$C$5:$C$14,'GP4'!$B$5:$B$14,"")</f>
        <v>0</v>
      </c>
      <c r="N10" s="5">
        <f>_xlfn.XLOOKUP(M10,'GP4'!$B$5:$B$14,'GP4'!$A$5:$A$14,0)</f>
        <v>0</v>
      </c>
      <c r="O10" s="5">
        <f>_xlfn.XLOOKUP($B10,'GP5'!$C$5:$C$14,'GP5'!$B$5:$B$14,"")</f>
        <v>0</v>
      </c>
      <c r="P10" s="5">
        <f>_xlfn.XLOOKUP(O10,'GP5'!$B$5:$B$14,'GP5'!$A$5:$A$14,0)</f>
        <v>0</v>
      </c>
      <c r="Q10" s="19">
        <f>_xlfn.XLOOKUP($B10,EU!$B$5:$B$20,EU!$A$5:$A$20,0)</f>
        <v>0</v>
      </c>
    </row>
    <row r="11" spans="1:17" ht="14.85" customHeight="1">
      <c r="A11" s="2">
        <f>ROW()-2</f>
        <v>9</v>
      </c>
      <c r="B11" s="6"/>
      <c r="C11" s="3"/>
      <c r="D11" s="4">
        <f>SUM(F11,H11,J11,L11,N11,P11,Q11)-MIN(H11,J11,L11,N11,P11)</f>
        <v>0</v>
      </c>
      <c r="E11" s="5">
        <f>_xlfn.XLOOKUP(B11,MP!C$5:C$14,MP!B$5:B$14,"")</f>
        <v>0</v>
      </c>
      <c r="F11" s="5">
        <f>_xlfn.XLOOKUP(E11,MP!B$5:B$14,MP!A$5:A$14,0)</f>
        <v>0</v>
      </c>
      <c r="G11" s="5">
        <f>_xlfn.XLOOKUP($B11,'GP1'!$C$5:$C$14,'GP1'!$B$5:$B$14,"")</f>
        <v>0</v>
      </c>
      <c r="H11" s="5">
        <f>_xlfn.XLOOKUP(G11,'GP1'!$B$5:$B$14,'GP1'!$A$5:$A$14,0)</f>
        <v>0</v>
      </c>
      <c r="I11" s="5">
        <f>_xlfn.XLOOKUP($B11,'GP2'!$C$5:$C$14,'GP2'!$B$5:$B$14,"")</f>
        <v>0</v>
      </c>
      <c r="J11" s="5">
        <f>_xlfn.XLOOKUP(I11,'GP2'!$B$5:$B$14,'GP2'!$A$5:$A$14,0)</f>
        <v>0</v>
      </c>
      <c r="K11" s="5">
        <f>_xlfn.XLOOKUP($B11,'GP3'!$C$5:$C$14,'GP3'!$B$5:$B$14,"")</f>
        <v>0</v>
      </c>
      <c r="L11" s="5">
        <f>_xlfn.XLOOKUP(K11,'GP3'!$B$5:$B$14,'GP3'!$A$5:$A$14,0)</f>
        <v>0</v>
      </c>
      <c r="M11" s="5">
        <f>_xlfn.XLOOKUP($B11,'GP4'!$C$5:$C$14,'GP4'!$B$5:$B$14,"")</f>
        <v>0</v>
      </c>
      <c r="N11" s="5">
        <f>_xlfn.XLOOKUP(M11,'GP4'!$B$5:$B$14,'GP4'!$A$5:$A$14,0)</f>
        <v>0</v>
      </c>
      <c r="O11" s="5">
        <f>_xlfn.XLOOKUP($B11,'GP5'!$C$5:$C$14,'GP5'!$B$5:$B$14,"")</f>
        <v>0</v>
      </c>
      <c r="P11" s="5">
        <f>_xlfn.XLOOKUP(O11,'GP5'!$B$5:$B$14,'GP5'!$A$5:$A$14,0)</f>
        <v>0</v>
      </c>
      <c r="Q11" s="19">
        <f>_xlfn.XLOOKUP($B11,EU!$B$5:$B$20,EU!$A$5:$A$20,0)</f>
        <v>0</v>
      </c>
    </row>
    <row r="12" spans="1:17" ht="14.85" customHeight="1">
      <c r="A12" s="2">
        <f>ROW()-2</f>
        <v>10</v>
      </c>
      <c r="B12" s="6"/>
      <c r="C12" s="3"/>
      <c r="D12" s="4">
        <f>SUM(F12,H12,J12,L12,N12,P12,Q12)-MIN(H12,J12,L12,N12,P12)</f>
        <v>0</v>
      </c>
      <c r="E12" s="5">
        <f>_xlfn.XLOOKUP(B12,MP!C$5:C$14,MP!B$5:B$14,"")</f>
        <v>0</v>
      </c>
      <c r="F12" s="5">
        <f>_xlfn.XLOOKUP(E12,MP!B$5:B$14,MP!A$5:A$14,0)</f>
        <v>0</v>
      </c>
      <c r="G12" s="5">
        <f>_xlfn.XLOOKUP($B12,'GP1'!$C$5:$C$14,'GP1'!$B$5:$B$14,"")</f>
        <v>0</v>
      </c>
      <c r="H12" s="5">
        <f>_xlfn.XLOOKUP(G12,'GP1'!$B$5:$B$14,'GP1'!$A$5:$A$14,0)</f>
        <v>0</v>
      </c>
      <c r="I12" s="5">
        <f>_xlfn.XLOOKUP($B12,'GP2'!$C$5:$C$14,'GP2'!$B$5:$B$14,"")</f>
        <v>0</v>
      </c>
      <c r="J12" s="5">
        <f>_xlfn.XLOOKUP(I12,'GP2'!$B$5:$B$14,'GP2'!$A$5:$A$14,0)</f>
        <v>0</v>
      </c>
      <c r="K12" s="5">
        <f>_xlfn.XLOOKUP($B12,'GP3'!$C$5:$C$14,'GP3'!$B$5:$B$14,"")</f>
        <v>0</v>
      </c>
      <c r="L12" s="5">
        <f>_xlfn.XLOOKUP(K12,'GP3'!$B$5:$B$14,'GP3'!$A$5:$A$14,0)</f>
        <v>0</v>
      </c>
      <c r="M12" s="5">
        <f>_xlfn.XLOOKUP($B12,'GP4'!$C$5:$C$14,'GP4'!$B$5:$B$14,"")</f>
        <v>0</v>
      </c>
      <c r="N12" s="5">
        <f>_xlfn.XLOOKUP(M12,'GP4'!$B$5:$B$14,'GP4'!$A$5:$A$14,0)</f>
        <v>0</v>
      </c>
      <c r="O12" s="5">
        <f>_xlfn.XLOOKUP($B12,'GP5'!$C$5:$C$14,'GP5'!$B$5:$B$14,"")</f>
        <v>0</v>
      </c>
      <c r="P12" s="5">
        <f>_xlfn.XLOOKUP(O12,'GP5'!$B$5:$B$14,'GP5'!$A$5:$A$14,0)</f>
        <v>0</v>
      </c>
      <c r="Q12" s="19">
        <f>_xlfn.XLOOKUP($B12,EU!$B$5:$B$20,EU!$A$5:$A$20,0)</f>
        <v>0</v>
      </c>
    </row>
    <row r="13" spans="1:17" ht="14.85" customHeight="1">
      <c r="A13" s="2">
        <f>ROW()-2</f>
        <v>11</v>
      </c>
      <c r="B13" s="6"/>
      <c r="C13" s="3"/>
      <c r="D13" s="4">
        <f>SUM(F13,H13,J13,L13,N13,P13,Q13)-MIN(H13,J13,L13,N13,P13)</f>
        <v>0</v>
      </c>
      <c r="E13" s="5">
        <f>_xlfn.XLOOKUP(B13,MP!C$5:C$14,MP!B$5:B$14,"")</f>
        <v>0</v>
      </c>
      <c r="F13" s="5">
        <f>_xlfn.XLOOKUP(E13,MP!B$5:B$14,MP!A$5:A$14,0)</f>
        <v>0</v>
      </c>
      <c r="G13" s="5">
        <f>_xlfn.XLOOKUP($B13,'GP1'!$C$5:$C$14,'GP1'!$B$5:$B$14,"")</f>
        <v>0</v>
      </c>
      <c r="H13" s="5">
        <f>_xlfn.XLOOKUP(G13,'GP1'!$B$5:$B$14,'GP1'!$A$5:$A$14,0)</f>
        <v>0</v>
      </c>
      <c r="I13" s="5">
        <f>_xlfn.XLOOKUP($B13,'GP2'!$C$5:$C$14,'GP2'!$B$5:$B$14,"")</f>
        <v>0</v>
      </c>
      <c r="J13" s="5">
        <f>_xlfn.XLOOKUP(I13,'GP2'!$B$5:$B$14,'GP2'!$A$5:$A$14,0)</f>
        <v>0</v>
      </c>
      <c r="K13" s="5">
        <f>_xlfn.XLOOKUP($B13,'GP3'!$C$5:$C$14,'GP3'!$B$5:$B$14,"")</f>
        <v>0</v>
      </c>
      <c r="L13" s="5">
        <f>_xlfn.XLOOKUP(K13,'GP3'!$B$5:$B$14,'GP3'!$A$5:$A$14,0)</f>
        <v>0</v>
      </c>
      <c r="M13" s="5">
        <f>_xlfn.XLOOKUP($B13,'GP4'!$C$5:$C$14,'GP4'!$B$5:$B$14,"")</f>
        <v>0</v>
      </c>
      <c r="N13" s="5">
        <f>_xlfn.XLOOKUP(M13,'GP4'!$B$5:$B$14,'GP4'!$A$5:$A$14,0)</f>
        <v>0</v>
      </c>
      <c r="O13" s="5">
        <f>_xlfn.XLOOKUP($B13,'GP5'!$C$5:$C$14,'GP5'!$B$5:$B$14,"")</f>
        <v>0</v>
      </c>
      <c r="P13" s="5">
        <f>_xlfn.XLOOKUP(O13,'GP5'!$B$5:$B$14,'GP5'!$A$5:$A$14,0)</f>
        <v>0</v>
      </c>
      <c r="Q13" s="19">
        <f>_xlfn.XLOOKUP($B13,EU!$B$5:$B$20,EU!$A$5:$A$20,0)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13">
      <sortCondition descending="1" ref="D2"/>
    </sortState>
  </autoFilter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13">
    <cfRule type="cellIs" dxfId="7" priority="13" operator="equal">
      <formula>3</formula>
    </cfRule>
    <cfRule type="cellIs" dxfId="6" priority="18" operator="equal">
      <formula>2</formula>
    </cfRule>
    <cfRule type="cellIs" dxfId="5" priority="19" operator="equal">
      <formula>1</formula>
    </cfRule>
  </conditionalFormatting>
  <conditionalFormatting sqref="A4"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5"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I24"/>
  <sheetViews>
    <sheetView workbookViewId="0">
      <selection activeCell="D34" sqref="D34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9">
      <c r="A2" s="33" t="s">
        <v>16</v>
      </c>
      <c r="B2" s="33"/>
      <c r="C2" s="32" t="s">
        <v>17</v>
      </c>
      <c r="D2" s="32"/>
      <c r="E2" s="17" t="s">
        <v>18</v>
      </c>
    </row>
    <row r="4" spans="1:9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9">
      <c r="A5" s="18">
        <v>95</v>
      </c>
      <c r="B5" s="21">
        <v>1</v>
      </c>
      <c r="C5" s="22" t="s">
        <v>14</v>
      </c>
      <c r="D5" s="22" t="s">
        <v>25</v>
      </c>
      <c r="E5" s="22"/>
      <c r="F5" s="22" t="s">
        <v>26</v>
      </c>
      <c r="G5" s="22"/>
      <c r="H5" s="22"/>
      <c r="I5" s="22"/>
    </row>
    <row r="6" spans="1:9">
      <c r="A6" s="18">
        <v>88</v>
      </c>
      <c r="B6" s="21">
        <v>2</v>
      </c>
      <c r="C6" s="22" t="s">
        <v>15</v>
      </c>
      <c r="D6" s="22"/>
      <c r="E6" s="22"/>
      <c r="F6" s="22" t="s">
        <v>26</v>
      </c>
      <c r="G6" s="22"/>
      <c r="H6" s="22"/>
      <c r="I6" s="22"/>
    </row>
    <row r="7" spans="1:9">
      <c r="A7" s="18">
        <v>84</v>
      </c>
      <c r="B7" s="21"/>
      <c r="C7" s="22"/>
      <c r="D7" s="22"/>
      <c r="E7" s="22"/>
      <c r="F7" s="22"/>
      <c r="G7" s="22"/>
      <c r="H7" s="22"/>
      <c r="I7" s="22"/>
    </row>
    <row r="8" spans="1:9">
      <c r="A8" s="18">
        <v>79</v>
      </c>
      <c r="B8" s="21"/>
      <c r="C8" s="22"/>
      <c r="D8" s="22"/>
      <c r="E8" s="22"/>
      <c r="F8" s="22"/>
      <c r="G8" s="22"/>
      <c r="H8" s="22"/>
      <c r="I8" s="22"/>
    </row>
    <row r="9" spans="1:9">
      <c r="A9" s="18">
        <v>77</v>
      </c>
      <c r="B9" s="21"/>
      <c r="C9" s="22"/>
      <c r="D9" s="22"/>
      <c r="E9" s="22"/>
      <c r="F9" s="22"/>
      <c r="G9" s="22"/>
      <c r="H9" s="22"/>
      <c r="I9" s="22"/>
    </row>
    <row r="10" spans="1:9">
      <c r="A10" s="18">
        <v>74</v>
      </c>
      <c r="B10" s="21"/>
      <c r="C10" s="22"/>
      <c r="D10" s="22"/>
      <c r="E10" s="22"/>
      <c r="F10" s="22"/>
      <c r="G10" s="22"/>
      <c r="H10" s="22"/>
      <c r="I10" s="22"/>
    </row>
    <row r="11" spans="1:9">
      <c r="A11" s="18">
        <v>72</v>
      </c>
      <c r="B11" s="21"/>
      <c r="C11" s="22"/>
      <c r="D11" s="22"/>
      <c r="E11" s="22"/>
      <c r="F11" s="22"/>
      <c r="G11" s="22"/>
      <c r="H11" s="22"/>
      <c r="I11" s="22"/>
    </row>
    <row r="12" spans="1:9">
      <c r="A12" s="18">
        <v>70</v>
      </c>
      <c r="B12" s="21"/>
      <c r="C12" s="22"/>
      <c r="D12" s="22"/>
      <c r="E12" s="22"/>
      <c r="F12" s="22"/>
      <c r="G12" s="22"/>
      <c r="H12" s="22"/>
      <c r="I12" s="22"/>
    </row>
    <row r="13" spans="1:9">
      <c r="A13" s="18">
        <v>68</v>
      </c>
      <c r="B13" s="21"/>
      <c r="C13" s="22"/>
      <c r="D13" s="22"/>
      <c r="E13" s="22"/>
      <c r="F13" s="22"/>
      <c r="G13" s="22"/>
      <c r="H13" s="22"/>
      <c r="I13" s="22"/>
    </row>
    <row r="14" spans="1:9">
      <c r="A14" s="18">
        <v>66</v>
      </c>
      <c r="B14" s="21"/>
      <c r="C14" s="22"/>
      <c r="D14" s="22"/>
      <c r="E14" s="22"/>
      <c r="F14" s="22"/>
      <c r="G14" s="22"/>
      <c r="H14" s="22"/>
      <c r="I14" s="22"/>
    </row>
    <row r="15" spans="1:9">
      <c r="A15" s="18">
        <v>64</v>
      </c>
      <c r="B15" s="21"/>
      <c r="C15" s="22"/>
      <c r="D15" s="22"/>
      <c r="E15" s="22"/>
      <c r="F15" s="22"/>
      <c r="G15" s="22"/>
      <c r="H15" s="22"/>
      <c r="I15" s="22"/>
    </row>
    <row r="16" spans="1:9">
      <c r="A16" s="18">
        <v>62</v>
      </c>
      <c r="B16" s="21"/>
      <c r="C16" s="22"/>
      <c r="D16" s="22"/>
      <c r="E16" s="22"/>
      <c r="F16" s="22"/>
      <c r="G16" s="22"/>
      <c r="H16" s="22"/>
      <c r="I16" s="22"/>
    </row>
    <row r="17" spans="1:9">
      <c r="A17" s="18">
        <v>60</v>
      </c>
      <c r="B17" s="21"/>
      <c r="C17" s="22"/>
      <c r="D17" s="22"/>
      <c r="E17" s="22"/>
      <c r="F17" s="22"/>
      <c r="G17" s="22"/>
      <c r="H17" s="22"/>
      <c r="I17" s="22"/>
    </row>
    <row r="18" spans="1:9">
      <c r="B18" s="21"/>
      <c r="C18" s="22"/>
      <c r="D18" s="22"/>
      <c r="E18" s="22"/>
      <c r="F18" s="22"/>
      <c r="G18" s="22"/>
      <c r="H18" s="22"/>
      <c r="I18" s="22"/>
    </row>
    <row r="19" spans="1:9">
      <c r="B19" s="21"/>
      <c r="C19" s="22"/>
      <c r="D19" s="22"/>
      <c r="E19" s="22"/>
      <c r="F19" s="22"/>
      <c r="G19" s="22"/>
      <c r="H19" s="22"/>
      <c r="I19" s="22"/>
    </row>
    <row r="20" spans="1:9">
      <c r="B20" s="21"/>
      <c r="C20" s="22"/>
      <c r="D20" s="22"/>
      <c r="E20" s="22"/>
      <c r="F20" s="22"/>
      <c r="G20" s="22"/>
      <c r="H20" s="22"/>
      <c r="I20" s="22"/>
    </row>
    <row r="21" spans="1:9">
      <c r="B21" s="21"/>
      <c r="C21" s="22"/>
      <c r="D21" s="22"/>
      <c r="E21" s="22"/>
      <c r="F21" s="22"/>
      <c r="G21" s="22"/>
      <c r="H21" s="22"/>
      <c r="I21" s="22"/>
    </row>
    <row r="22" spans="1:9">
      <c r="B22" s="21"/>
      <c r="C22" s="22"/>
      <c r="D22" s="22"/>
      <c r="E22" s="22"/>
      <c r="F22" s="22"/>
      <c r="G22" s="22"/>
      <c r="H22" s="22"/>
      <c r="I22" s="22"/>
    </row>
    <row r="23" spans="1:9">
      <c r="B23" s="21"/>
      <c r="C23" s="22"/>
      <c r="D23" s="22"/>
      <c r="E23" s="22"/>
      <c r="F23" s="22"/>
      <c r="G23" s="22"/>
      <c r="H23" s="22"/>
      <c r="I23" s="22"/>
    </row>
    <row r="24" spans="1:9">
      <c r="B24" s="21"/>
      <c r="C24" s="22"/>
      <c r="D24" s="22"/>
      <c r="E24" s="22"/>
      <c r="F24" s="22"/>
      <c r="G24" s="22"/>
      <c r="H24" s="22"/>
      <c r="I24" s="22"/>
    </row>
  </sheetData>
  <mergeCells count="2">
    <mergeCell ref="C2:D2"/>
    <mergeCell ref="A2:B2"/>
  </mergeCells>
  <hyperlinks>
    <hyperlink ref="E2" r:id="rId1" xr:uid="{29E40381-0816-4C0D-A0AE-BF549FC6898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20"/>
  <sheetViews>
    <sheetView workbookViewId="0">
      <selection activeCell="C5" sqref="C5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3" t="s">
        <v>16</v>
      </c>
      <c r="B2" s="33"/>
      <c r="C2" s="32" t="s">
        <v>27</v>
      </c>
      <c r="D2" s="32"/>
    </row>
    <row r="4" spans="1:6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6">
      <c r="A5" s="18">
        <v>79</v>
      </c>
      <c r="B5" s="8">
        <v>1</v>
      </c>
      <c r="C5" s="22" t="s">
        <v>14</v>
      </c>
    </row>
    <row r="6" spans="1:6">
      <c r="A6" s="18">
        <v>73</v>
      </c>
      <c r="C6" s="22"/>
    </row>
    <row r="7" spans="1:6">
      <c r="A7" s="18">
        <v>70</v>
      </c>
      <c r="C7" s="22"/>
    </row>
    <row r="8" spans="1:6">
      <c r="A8" s="18">
        <v>66</v>
      </c>
      <c r="C8" s="22"/>
    </row>
    <row r="9" spans="1:6">
      <c r="A9" s="18">
        <v>64</v>
      </c>
      <c r="C9" s="22"/>
    </row>
    <row r="10" spans="1:6">
      <c r="A10" s="18">
        <v>62</v>
      </c>
      <c r="C10" s="22"/>
    </row>
    <row r="11" spans="1:6">
      <c r="A11" s="18">
        <v>60</v>
      </c>
      <c r="C11" s="22"/>
    </row>
    <row r="12" spans="1:6">
      <c r="A12" s="18">
        <v>58</v>
      </c>
      <c r="C12" s="22"/>
    </row>
    <row r="13" spans="1:6">
      <c r="A13" s="18">
        <v>56</v>
      </c>
      <c r="C13" s="22"/>
    </row>
    <row r="14" spans="1:6">
      <c r="A14" s="18">
        <v>55</v>
      </c>
      <c r="C14" s="22"/>
    </row>
    <row r="15" spans="1:6">
      <c r="A15" s="18">
        <v>54</v>
      </c>
      <c r="C15" s="22"/>
    </row>
    <row r="16" spans="1:6">
      <c r="A16" s="18">
        <v>53</v>
      </c>
      <c r="C16" s="22"/>
    </row>
    <row r="17" spans="1:3">
      <c r="A17" s="18">
        <v>52</v>
      </c>
      <c r="C17" s="22"/>
    </row>
    <row r="18" spans="1:3">
      <c r="A18" s="18">
        <v>51</v>
      </c>
      <c r="C18" s="22"/>
    </row>
    <row r="19" spans="1:3">
      <c r="C19" s="22"/>
    </row>
    <row r="20" spans="1:3">
      <c r="C20" s="22"/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B6" sqref="B6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3" t="s">
        <v>16</v>
      </c>
      <c r="B2" s="33"/>
      <c r="C2" s="32" t="s">
        <v>28</v>
      </c>
      <c r="D2" s="32"/>
      <c r="E2" s="17" t="s">
        <v>29</v>
      </c>
    </row>
    <row r="4" spans="1:6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6">
      <c r="A5" s="18">
        <v>79</v>
      </c>
      <c r="B5" s="12">
        <v>1</v>
      </c>
      <c r="C5" s="22" t="s">
        <v>14</v>
      </c>
      <c r="D5" s="12"/>
      <c r="E5" s="12"/>
      <c r="F5" s="12"/>
    </row>
    <row r="6" spans="1:6">
      <c r="A6" s="18">
        <v>73</v>
      </c>
      <c r="B6" s="12"/>
      <c r="C6" s="23"/>
      <c r="D6" s="12"/>
      <c r="E6" s="12"/>
      <c r="F6" s="12"/>
    </row>
    <row r="7" spans="1:6">
      <c r="A7" s="18">
        <v>70</v>
      </c>
      <c r="B7" s="12"/>
      <c r="C7" s="12"/>
      <c r="D7" s="12"/>
      <c r="E7" s="12"/>
      <c r="F7" s="12"/>
    </row>
    <row r="8" spans="1:6">
      <c r="A8" s="18">
        <v>66</v>
      </c>
      <c r="B8" s="12"/>
      <c r="C8" s="12"/>
      <c r="D8" s="12"/>
      <c r="E8" s="12"/>
      <c r="F8" s="12"/>
    </row>
    <row r="9" spans="1:6">
      <c r="A9" s="18">
        <v>64</v>
      </c>
      <c r="B9" s="12"/>
      <c r="C9" s="12"/>
      <c r="D9" s="12"/>
      <c r="E9" s="12"/>
      <c r="F9" s="12"/>
    </row>
    <row r="10" spans="1:6">
      <c r="A10" s="18">
        <v>62</v>
      </c>
      <c r="B10" s="12"/>
      <c r="C10" s="12"/>
      <c r="D10" s="12"/>
      <c r="E10" s="12"/>
      <c r="F10" s="12"/>
    </row>
    <row r="11" spans="1:6">
      <c r="A11" s="18">
        <v>60</v>
      </c>
    </row>
    <row r="12" spans="1:6">
      <c r="A12" s="18">
        <v>58</v>
      </c>
    </row>
    <row r="13" spans="1:6">
      <c r="A13" s="18">
        <v>56</v>
      </c>
    </row>
    <row r="14" spans="1:6">
      <c r="A14" s="18">
        <v>55</v>
      </c>
    </row>
    <row r="15" spans="1:6">
      <c r="A15" s="18">
        <v>54</v>
      </c>
    </row>
    <row r="16" spans="1:6">
      <c r="A16" s="18">
        <v>53</v>
      </c>
    </row>
    <row r="17" spans="1:1">
      <c r="A17" s="18">
        <v>52</v>
      </c>
    </row>
    <row r="18" spans="1:1">
      <c r="A18" s="18">
        <v>51</v>
      </c>
    </row>
  </sheetData>
  <mergeCells count="2">
    <mergeCell ref="A2:B2"/>
    <mergeCell ref="C2:D2"/>
  </mergeCells>
  <hyperlinks>
    <hyperlink ref="E2" r:id="rId1" xr:uid="{26C46520-FAD4-4E2C-BE9B-ACD1DED8E1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C5" sqref="C5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3" t="s">
        <v>16</v>
      </c>
      <c r="B2" s="33"/>
      <c r="C2" s="34" t="s">
        <v>30</v>
      </c>
      <c r="D2" s="34"/>
      <c r="E2" s="17" t="s">
        <v>31</v>
      </c>
    </row>
    <row r="4" spans="1:6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6" ht="12.75">
      <c r="A5" s="18">
        <v>79</v>
      </c>
      <c r="B5" s="21">
        <v>1</v>
      </c>
      <c r="C5" s="23" t="s">
        <v>14</v>
      </c>
      <c r="D5" s="23" t="s">
        <v>25</v>
      </c>
      <c r="E5" s="23"/>
      <c r="F5" s="23" t="s">
        <v>26</v>
      </c>
    </row>
    <row r="6" spans="1:6" ht="12.75">
      <c r="A6" s="18">
        <v>73</v>
      </c>
      <c r="B6" s="21"/>
      <c r="C6" s="23"/>
      <c r="D6" s="23"/>
      <c r="E6" s="23"/>
      <c r="F6" s="23"/>
    </row>
    <row r="7" spans="1:6">
      <c r="A7" s="18">
        <v>70</v>
      </c>
      <c r="C7" s="12"/>
      <c r="D7" s="12"/>
      <c r="E7" s="12"/>
      <c r="F7" s="12"/>
    </row>
    <row r="8" spans="1:6">
      <c r="A8" s="18">
        <v>66</v>
      </c>
      <c r="C8" s="12"/>
      <c r="D8" s="12"/>
      <c r="E8" s="12"/>
      <c r="F8" s="12"/>
    </row>
    <row r="9" spans="1:6">
      <c r="A9" s="18">
        <v>64</v>
      </c>
      <c r="C9" s="12"/>
      <c r="D9" s="12"/>
      <c r="E9" s="12"/>
      <c r="F9" s="12"/>
    </row>
    <row r="10" spans="1:6">
      <c r="A10" s="18">
        <v>62</v>
      </c>
    </row>
    <row r="11" spans="1:6">
      <c r="A11" s="18">
        <v>60</v>
      </c>
    </row>
    <row r="12" spans="1:6">
      <c r="A12" s="18">
        <v>58</v>
      </c>
    </row>
    <row r="13" spans="1:6">
      <c r="A13" s="18">
        <v>56</v>
      </c>
    </row>
    <row r="14" spans="1:6">
      <c r="A14" s="18">
        <v>55</v>
      </c>
    </row>
    <row r="15" spans="1:6">
      <c r="A15" s="18">
        <v>54</v>
      </c>
    </row>
    <row r="16" spans="1:6">
      <c r="A16" s="18">
        <v>53</v>
      </c>
    </row>
    <row r="17" spans="1:1">
      <c r="A17" s="18">
        <v>52</v>
      </c>
    </row>
    <row r="18" spans="1:1">
      <c r="A18" s="18">
        <v>51</v>
      </c>
    </row>
  </sheetData>
  <mergeCells count="2">
    <mergeCell ref="A2:B2"/>
    <mergeCell ref="C2:D2"/>
  </mergeCells>
  <hyperlinks>
    <hyperlink ref="E2" r:id="rId1" xr:uid="{93B30D09-39AC-49FD-A3F1-6DA61D429B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C5" sqref="C5"/>
    </sheetView>
  </sheetViews>
  <sheetFormatPr defaultRowHeight="13.15"/>
  <cols>
    <col min="2" max="2" width="5.5703125" style="18" bestFit="1" customWidth="1"/>
    <col min="3" max="3" width="24.28515625" bestFit="1" customWidth="1"/>
    <col min="4" max="4" width="25.140625" bestFit="1" customWidth="1"/>
  </cols>
  <sheetData>
    <row r="2" spans="1:6">
      <c r="A2" s="33" t="s">
        <v>16</v>
      </c>
      <c r="B2" s="33"/>
      <c r="C2" s="32" t="s">
        <v>32</v>
      </c>
      <c r="D2" s="32"/>
      <c r="E2" s="17" t="s">
        <v>33</v>
      </c>
    </row>
    <row r="4" spans="1:6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6">
      <c r="A5" s="18">
        <v>79</v>
      </c>
      <c r="B5" s="24">
        <v>1</v>
      </c>
      <c r="C5" s="23" t="s">
        <v>13</v>
      </c>
      <c r="D5" s="23" t="s">
        <v>34</v>
      </c>
      <c r="E5" s="23" t="s">
        <v>26</v>
      </c>
    </row>
    <row r="6" spans="1:6">
      <c r="A6" s="18">
        <v>73</v>
      </c>
      <c r="B6" s="24">
        <v>2</v>
      </c>
      <c r="C6" s="23" t="s">
        <v>14</v>
      </c>
      <c r="D6" s="23" t="s">
        <v>35</v>
      </c>
      <c r="E6" s="23" t="s">
        <v>26</v>
      </c>
    </row>
    <row r="7" spans="1:6">
      <c r="A7" s="18">
        <v>70</v>
      </c>
      <c r="B7" s="20"/>
      <c r="C7" s="12"/>
      <c r="D7" s="12"/>
      <c r="E7" s="12"/>
    </row>
    <row r="8" spans="1:6">
      <c r="A8" s="18">
        <v>66</v>
      </c>
      <c r="B8" s="20"/>
      <c r="C8" s="12"/>
      <c r="D8" s="12"/>
      <c r="E8" s="12"/>
    </row>
    <row r="9" spans="1:6">
      <c r="A9" s="18">
        <v>64</v>
      </c>
      <c r="B9" s="20"/>
      <c r="C9" s="12"/>
      <c r="D9" s="12"/>
      <c r="E9" s="12"/>
    </row>
    <row r="10" spans="1:6">
      <c r="A10" s="18">
        <v>62</v>
      </c>
      <c r="B10" s="20"/>
      <c r="C10" s="12"/>
      <c r="D10" s="12"/>
      <c r="E10" s="12"/>
    </row>
    <row r="11" spans="1:6">
      <c r="A11" s="18">
        <v>60</v>
      </c>
    </row>
    <row r="12" spans="1:6">
      <c r="A12" s="18">
        <v>58</v>
      </c>
    </row>
    <row r="13" spans="1:6">
      <c r="A13" s="18">
        <v>56</v>
      </c>
    </row>
    <row r="14" spans="1:6">
      <c r="A14" s="18">
        <v>55</v>
      </c>
    </row>
    <row r="15" spans="1:6">
      <c r="A15" s="18">
        <v>54</v>
      </c>
    </row>
    <row r="16" spans="1:6">
      <c r="A16" s="18">
        <v>53</v>
      </c>
    </row>
    <row r="17" spans="1:1">
      <c r="A17" s="18">
        <v>52</v>
      </c>
    </row>
    <row r="18" spans="1:1">
      <c r="A18" s="18">
        <v>51</v>
      </c>
    </row>
  </sheetData>
  <mergeCells count="2">
    <mergeCell ref="A2:B2"/>
    <mergeCell ref="C2:D2"/>
  </mergeCells>
  <hyperlinks>
    <hyperlink ref="E2" r:id="rId1" xr:uid="{C82DF66E-578D-4CF8-A385-2E58D8177FB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E2" sqref="E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33" t="s">
        <v>16</v>
      </c>
      <c r="B2" s="33"/>
      <c r="C2" s="32" t="s">
        <v>36</v>
      </c>
      <c r="D2" s="32"/>
      <c r="E2" s="17" t="s">
        <v>37</v>
      </c>
    </row>
    <row r="4" spans="1:6" ht="14.45">
      <c r="A4" s="9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</row>
    <row r="5" spans="1:6">
      <c r="A5" s="18">
        <v>79</v>
      </c>
      <c r="B5" s="8">
        <v>1</v>
      </c>
      <c r="C5" t="s">
        <v>38</v>
      </c>
    </row>
    <row r="6" spans="1:6">
      <c r="A6" s="18">
        <v>73</v>
      </c>
      <c r="C6" s="22"/>
    </row>
    <row r="7" spans="1:6">
      <c r="A7" s="18">
        <v>70</v>
      </c>
    </row>
    <row r="8" spans="1:6">
      <c r="A8" s="18">
        <v>66</v>
      </c>
    </row>
    <row r="9" spans="1:6">
      <c r="A9" s="18">
        <v>64</v>
      </c>
    </row>
    <row r="10" spans="1:6">
      <c r="A10" s="18">
        <v>62</v>
      </c>
    </row>
    <row r="11" spans="1:6">
      <c r="A11" s="18">
        <v>60</v>
      </c>
    </row>
    <row r="12" spans="1:6">
      <c r="A12" s="18">
        <v>58</v>
      </c>
    </row>
    <row r="13" spans="1:6">
      <c r="A13" s="18">
        <v>56</v>
      </c>
    </row>
    <row r="14" spans="1:6">
      <c r="A14" s="18">
        <v>55</v>
      </c>
    </row>
    <row r="15" spans="1:6">
      <c r="A15" s="18">
        <v>54</v>
      </c>
    </row>
    <row r="16" spans="1:6">
      <c r="A16" s="18">
        <v>53</v>
      </c>
    </row>
    <row r="17" spans="1:1">
      <c r="A17" s="18">
        <v>52</v>
      </c>
    </row>
    <row r="18" spans="1:1">
      <c r="A18" s="18">
        <v>51</v>
      </c>
    </row>
  </sheetData>
  <mergeCells count="2">
    <mergeCell ref="A2:B2"/>
    <mergeCell ref="C2:D2"/>
  </mergeCells>
  <hyperlinks>
    <hyperlink ref="E2" r:id="rId1" xr:uid="{B49FEAC3-DA05-4F05-9E05-11C6836439E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B5" sqref="B5"/>
    </sheetView>
  </sheetViews>
  <sheetFormatPr defaultRowHeight="13.15"/>
  <cols>
    <col min="1" max="1" width="13.42578125" customWidth="1"/>
    <col min="2" max="2" width="24.28515625" bestFit="1" customWidth="1"/>
    <col min="3" max="3" width="7.140625" bestFit="1" customWidth="1"/>
  </cols>
  <sheetData>
    <row r="2" spans="1:4">
      <c r="A2" s="11" t="s">
        <v>16</v>
      </c>
      <c r="B2" s="15">
        <v>44551</v>
      </c>
      <c r="C2" s="14" t="s">
        <v>39</v>
      </c>
    </row>
    <row r="4" spans="1:4" ht="14.45">
      <c r="A4" s="9" t="s">
        <v>19</v>
      </c>
      <c r="B4" s="7" t="s">
        <v>21</v>
      </c>
      <c r="C4" s="7" t="s">
        <v>19</v>
      </c>
    </row>
    <row r="5" spans="1:4">
      <c r="A5">
        <f>C5*2</f>
        <v>414.4</v>
      </c>
      <c r="B5" s="23" t="s">
        <v>13</v>
      </c>
      <c r="C5" s="13">
        <v>207.2</v>
      </c>
      <c r="D5" s="12"/>
    </row>
    <row r="6" spans="1:4">
      <c r="A6">
        <f t="shared" ref="A6:A14" si="0">C6*2</f>
        <v>65.06</v>
      </c>
      <c r="B6" s="22" t="s">
        <v>14</v>
      </c>
      <c r="C6" s="16">
        <v>32.53</v>
      </c>
      <c r="D6" s="12"/>
    </row>
    <row r="7" spans="1:4">
      <c r="A7">
        <f t="shared" si="0"/>
        <v>0</v>
      </c>
    </row>
    <row r="8" spans="1:4">
      <c r="A8">
        <f t="shared" si="0"/>
        <v>0</v>
      </c>
    </row>
    <row r="9" spans="1:4">
      <c r="A9">
        <f t="shared" si="0"/>
        <v>0</v>
      </c>
    </row>
    <row r="10" spans="1:4">
      <c r="A10">
        <f t="shared" si="0"/>
        <v>0</v>
      </c>
    </row>
    <row r="11" spans="1:4">
      <c r="A11">
        <f t="shared" si="0"/>
        <v>0</v>
      </c>
    </row>
    <row r="12" spans="1:4">
      <c r="A12">
        <f t="shared" si="0"/>
        <v>0</v>
      </c>
    </row>
    <row r="13" spans="1:4">
      <c r="A13">
        <f t="shared" si="0"/>
        <v>0</v>
      </c>
    </row>
    <row r="14" spans="1:4">
      <c r="A14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2022-01-08T13:04:37Z</dcterms:modified>
  <cp:category/>
  <cp:contentStatus/>
</cp:coreProperties>
</file>