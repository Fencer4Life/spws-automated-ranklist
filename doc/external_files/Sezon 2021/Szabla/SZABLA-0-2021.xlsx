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Nowy excel - robocze/"/>
    </mc:Choice>
  </mc:AlternateContent>
  <xr:revisionPtr revIDLastSave="149" documentId="8_{7DCFD9FF-8A32-4034-AFB0-C083BCE09D45}" xr6:coauthVersionLast="47" xr6:coauthVersionMax="47" xr10:uidLastSave="{4B63BD47-3DDE-4F48-96ED-916E6FF801D3}"/>
  <bookViews>
    <workbookView xWindow="28680" yWindow="-1845" windowWidth="29040" windowHeight="17790" tabRatio="956" xr2:uid="{00000000-000D-0000-FFFF-FFFF00000000}"/>
  </bookViews>
  <sheets>
    <sheet name="Ranking" sheetId="1" r:id="rId1"/>
    <sheet name="MP" sheetId="3" r:id="rId2"/>
    <sheet name="GP1" sheetId="7" r:id="rId3"/>
    <sheet name="GP2" sheetId="8" r:id="rId4"/>
    <sheet name="GP3" sheetId="9" r:id="rId5"/>
    <sheet name="GP4" sheetId="10" r:id="rId6"/>
    <sheet name="GP5" sheetId="11" r:id="rId7"/>
    <sheet name="EU" sheetId="12" r:id="rId8"/>
  </sheets>
  <definedNames>
    <definedName name="_xlnm._FilterDatabase" localSheetId="0" hidden="1">Ranking!$A$2:$Q$2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0" i="1" l="1"/>
  <c r="P30" i="1" s="1"/>
  <c r="O29" i="1"/>
  <c r="P29" i="1" s="1"/>
  <c r="O28" i="1"/>
  <c r="P28" i="1" s="1"/>
  <c r="O27" i="1"/>
  <c r="P27" i="1" s="1"/>
  <c r="O26" i="1"/>
  <c r="P26" i="1" s="1"/>
  <c r="O25" i="1"/>
  <c r="P25" i="1" s="1"/>
  <c r="O24" i="1"/>
  <c r="P24" i="1" s="1"/>
  <c r="O23" i="1"/>
  <c r="P23" i="1" s="1"/>
  <c r="O22" i="1"/>
  <c r="P22" i="1" s="1"/>
  <c r="O21" i="1"/>
  <c r="P21" i="1" s="1"/>
  <c r="O20" i="1"/>
  <c r="P20" i="1" s="1"/>
  <c r="O19" i="1"/>
  <c r="P19" i="1" s="1"/>
  <c r="O18" i="1"/>
  <c r="P18" i="1" s="1"/>
  <c r="O17" i="1"/>
  <c r="P17" i="1" s="1"/>
  <c r="O16" i="1"/>
  <c r="P16" i="1" s="1"/>
  <c r="O13" i="1"/>
  <c r="P13" i="1" s="1"/>
  <c r="O11" i="1"/>
  <c r="P11" i="1" s="1"/>
  <c r="O9" i="1"/>
  <c r="P9" i="1" s="1"/>
  <c r="O10" i="1"/>
  <c r="P10" i="1" s="1"/>
  <c r="O15" i="1"/>
  <c r="P15" i="1" s="1"/>
  <c r="O14" i="1"/>
  <c r="P14" i="1" s="1"/>
  <c r="O12" i="1"/>
  <c r="P12" i="1" s="1"/>
  <c r="O8" i="1"/>
  <c r="P8" i="1" s="1"/>
  <c r="O7" i="1"/>
  <c r="P7" i="1" s="1"/>
  <c r="O6" i="1"/>
  <c r="P6" i="1" s="1"/>
  <c r="O5" i="1"/>
  <c r="P5" i="1" s="1"/>
  <c r="O4" i="1"/>
  <c r="P4" i="1" s="1"/>
  <c r="O3" i="1"/>
  <c r="P3" i="1" s="1"/>
  <c r="M30" i="1"/>
  <c r="N30" i="1" s="1"/>
  <c r="M29" i="1"/>
  <c r="N29" i="1" s="1"/>
  <c r="M28" i="1"/>
  <c r="N28" i="1" s="1"/>
  <c r="M27" i="1"/>
  <c r="N27" i="1" s="1"/>
  <c r="M26" i="1"/>
  <c r="N26" i="1" s="1"/>
  <c r="M25" i="1"/>
  <c r="N25" i="1" s="1"/>
  <c r="M24" i="1"/>
  <c r="N24" i="1" s="1"/>
  <c r="M23" i="1"/>
  <c r="N23" i="1" s="1"/>
  <c r="M22" i="1"/>
  <c r="N22" i="1" s="1"/>
  <c r="M21" i="1"/>
  <c r="N21" i="1" s="1"/>
  <c r="M20" i="1"/>
  <c r="N20" i="1" s="1"/>
  <c r="M19" i="1"/>
  <c r="N19" i="1" s="1"/>
  <c r="M18" i="1"/>
  <c r="N18" i="1" s="1"/>
  <c r="M17" i="1"/>
  <c r="N17" i="1" s="1"/>
  <c r="M16" i="1"/>
  <c r="N16" i="1" s="1"/>
  <c r="M13" i="1"/>
  <c r="N13" i="1" s="1"/>
  <c r="M11" i="1"/>
  <c r="N11" i="1" s="1"/>
  <c r="M9" i="1"/>
  <c r="N9" i="1" s="1"/>
  <c r="M10" i="1"/>
  <c r="N10" i="1" s="1"/>
  <c r="M15" i="1"/>
  <c r="N15" i="1" s="1"/>
  <c r="M14" i="1"/>
  <c r="N14" i="1" s="1"/>
  <c r="M12" i="1"/>
  <c r="N12" i="1" s="1"/>
  <c r="M8" i="1"/>
  <c r="N8" i="1" s="1"/>
  <c r="M7" i="1"/>
  <c r="N7" i="1" s="1"/>
  <c r="M6" i="1"/>
  <c r="N6" i="1" s="1"/>
  <c r="M5" i="1"/>
  <c r="N5" i="1" s="1"/>
  <c r="M4" i="1"/>
  <c r="N4" i="1" s="1"/>
  <c r="M3" i="1"/>
  <c r="N3" i="1" s="1"/>
  <c r="K30" i="1"/>
  <c r="L30" i="1" s="1"/>
  <c r="K29" i="1"/>
  <c r="L29" i="1" s="1"/>
  <c r="K28" i="1"/>
  <c r="L28" i="1" s="1"/>
  <c r="K27" i="1"/>
  <c r="L27" i="1" s="1"/>
  <c r="K26" i="1"/>
  <c r="L26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3" i="1"/>
  <c r="L13" i="1" s="1"/>
  <c r="K11" i="1"/>
  <c r="L11" i="1" s="1"/>
  <c r="K9" i="1"/>
  <c r="L9" i="1" s="1"/>
  <c r="K10" i="1"/>
  <c r="L10" i="1" s="1"/>
  <c r="K15" i="1"/>
  <c r="L15" i="1" s="1"/>
  <c r="K14" i="1"/>
  <c r="L14" i="1" s="1"/>
  <c r="K12" i="1"/>
  <c r="L12" i="1" s="1"/>
  <c r="K8" i="1"/>
  <c r="L8" i="1" s="1"/>
  <c r="K7" i="1"/>
  <c r="L7" i="1" s="1"/>
  <c r="K6" i="1"/>
  <c r="L6" i="1" s="1"/>
  <c r="K5" i="1"/>
  <c r="L5" i="1" s="1"/>
  <c r="K4" i="1"/>
  <c r="L4" i="1" s="1"/>
  <c r="K3" i="1"/>
  <c r="L3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3" i="1"/>
  <c r="J13" i="1" s="1"/>
  <c r="I11" i="1"/>
  <c r="J11" i="1" s="1"/>
  <c r="I9" i="1"/>
  <c r="J9" i="1" s="1"/>
  <c r="I10" i="1"/>
  <c r="J10" i="1" s="1"/>
  <c r="I15" i="1"/>
  <c r="J15" i="1" s="1"/>
  <c r="I14" i="1"/>
  <c r="J14" i="1" s="1"/>
  <c r="I12" i="1"/>
  <c r="J12" i="1" s="1"/>
  <c r="I8" i="1"/>
  <c r="J8" i="1" s="1"/>
  <c r="I7" i="1"/>
  <c r="J7" i="1" s="1"/>
  <c r="I6" i="1"/>
  <c r="J6" i="1" s="1"/>
  <c r="I5" i="1"/>
  <c r="J5" i="1" s="1"/>
  <c r="I4" i="1"/>
  <c r="J4" i="1" s="1"/>
  <c r="I3" i="1"/>
  <c r="J3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3" i="1"/>
  <c r="H13" i="1" s="1"/>
  <c r="H11" i="1"/>
  <c r="G11" i="1"/>
  <c r="G9" i="1"/>
  <c r="H9" i="1" s="1"/>
  <c r="G10" i="1"/>
  <c r="H10" i="1" s="1"/>
  <c r="G15" i="1"/>
  <c r="H15" i="1" s="1"/>
  <c r="G14" i="1"/>
  <c r="H14" i="1" s="1"/>
  <c r="G12" i="1"/>
  <c r="H12" i="1" s="1"/>
  <c r="G8" i="1"/>
  <c r="H8" i="1" s="1"/>
  <c r="H7" i="1"/>
  <c r="G7" i="1"/>
  <c r="G6" i="1"/>
  <c r="H6" i="1" s="1"/>
  <c r="G5" i="1"/>
  <c r="H5" i="1" s="1"/>
  <c r="G4" i="1"/>
  <c r="H4" i="1" s="1"/>
  <c r="G3" i="1"/>
  <c r="H3" i="1" s="1"/>
  <c r="E30" i="1"/>
  <c r="F30" i="1" s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3" i="1"/>
  <c r="F13" i="1" s="1"/>
  <c r="E11" i="1"/>
  <c r="F11" i="1" s="1"/>
  <c r="E9" i="1"/>
  <c r="F9" i="1" s="1"/>
  <c r="E10" i="1"/>
  <c r="F10" i="1" s="1"/>
  <c r="E15" i="1"/>
  <c r="F15" i="1" s="1"/>
  <c r="E14" i="1"/>
  <c r="F14" i="1" s="1"/>
  <c r="E12" i="1"/>
  <c r="F12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Q30" i="1"/>
  <c r="A30" i="1"/>
  <c r="Q29" i="1"/>
  <c r="A29" i="1"/>
  <c r="Q28" i="1"/>
  <c r="A28" i="1"/>
  <c r="Q27" i="1"/>
  <c r="A27" i="1"/>
  <c r="Q26" i="1"/>
  <c r="A26" i="1"/>
  <c r="Q25" i="1"/>
  <c r="A25" i="1"/>
  <c r="Q24" i="1"/>
  <c r="A24" i="1"/>
  <c r="Q23" i="1"/>
  <c r="A23" i="1"/>
  <c r="Q22" i="1"/>
  <c r="A22" i="1"/>
  <c r="Q21" i="1"/>
  <c r="A21" i="1"/>
  <c r="Q20" i="1"/>
  <c r="A20" i="1"/>
  <c r="Q19" i="1"/>
  <c r="A19" i="1"/>
  <c r="Q18" i="1"/>
  <c r="A18" i="1"/>
  <c r="Q17" i="1"/>
  <c r="A17" i="1"/>
  <c r="Q11" i="1"/>
  <c r="A11" i="1"/>
  <c r="Q15" i="1"/>
  <c r="A15" i="1"/>
  <c r="Q10" i="1"/>
  <c r="A10" i="1"/>
  <c r="Q16" i="1"/>
  <c r="A16" i="1"/>
  <c r="Q13" i="1"/>
  <c r="A13" i="1"/>
  <c r="D24" i="1" l="1"/>
  <c r="D30" i="1"/>
  <c r="D25" i="1"/>
  <c r="D29" i="1"/>
  <c r="D20" i="1"/>
  <c r="D23" i="1"/>
  <c r="D27" i="1"/>
  <c r="D21" i="1"/>
  <c r="D28" i="1"/>
  <c r="D22" i="1"/>
  <c r="D26" i="1"/>
  <c r="D15" i="1"/>
  <c r="D10" i="1"/>
  <c r="D17" i="1"/>
  <c r="D13" i="1"/>
  <c r="D11" i="1"/>
  <c r="D16" i="1"/>
  <c r="D18" i="1"/>
  <c r="D19" i="1"/>
  <c r="Q9" i="1"/>
  <c r="Q4" i="1"/>
  <c r="Q6" i="1"/>
  <c r="Q12" i="1"/>
  <c r="Q8" i="1"/>
  <c r="Q7" i="1"/>
  <c r="Q14" i="1"/>
  <c r="Q5" i="1"/>
  <c r="Q3" i="1"/>
  <c r="A14" i="12"/>
  <c r="A13" i="12"/>
  <c r="A12" i="12"/>
  <c r="A11" i="12"/>
  <c r="A10" i="12"/>
  <c r="A9" i="12"/>
  <c r="A8" i="12"/>
  <c r="A7" i="12"/>
  <c r="A6" i="12"/>
  <c r="A5" i="12"/>
  <c r="A9" i="1"/>
  <c r="A4" i="1"/>
  <c r="A6" i="1"/>
  <c r="A12" i="1"/>
  <c r="A8" i="1"/>
  <c r="A7" i="1"/>
  <c r="A14" i="1"/>
  <c r="A3" i="1"/>
  <c r="A5" i="1"/>
  <c r="D3" i="1" l="1"/>
  <c r="D6" i="1"/>
  <c r="D8" i="1"/>
  <c r="D12" i="1"/>
  <c r="D14" i="1" l="1"/>
  <c r="D9" i="1"/>
  <c r="D7" i="1"/>
  <c r="D4" i="1"/>
  <c r="D5" i="1"/>
</calcChain>
</file>

<file path=xl/sharedStrings.xml><?xml version="1.0" encoding="utf-8"?>
<sst xmlns="http://schemas.openxmlformats.org/spreadsheetml/2006/main" count="223" uniqueCount="81">
  <si>
    <t>L.P.</t>
  </si>
  <si>
    <t>IMIĘ NAZWISKO</t>
  </si>
  <si>
    <t>KLUB</t>
  </si>
  <si>
    <t>PUNKTY</t>
  </si>
  <si>
    <t>MPW</t>
  </si>
  <si>
    <t>GP I</t>
  </si>
  <si>
    <t>GP II</t>
  </si>
  <si>
    <t>GP III</t>
  </si>
  <si>
    <t>GP IV</t>
  </si>
  <si>
    <t>GP V</t>
  </si>
  <si>
    <t>EU</t>
  </si>
  <si>
    <t>M</t>
  </si>
  <si>
    <t>P</t>
  </si>
  <si>
    <t>miejsce i data:</t>
  </si>
  <si>
    <t>GDAŃSK 11-12.12.2021</t>
  </si>
  <si>
    <t>POINTS</t>
  </si>
  <si>
    <t>Place</t>
  </si>
  <si>
    <t>Name</t>
  </si>
  <si>
    <t>Club(s)</t>
  </si>
  <si>
    <t>Division</t>
  </si>
  <si>
    <t>Country</t>
  </si>
  <si>
    <t>LESZNO</t>
  </si>
  <si>
    <t>WARSZAWA 13-14.03.2021</t>
  </si>
  <si>
    <t>LESZNO 23-24.10.2021</t>
  </si>
  <si>
    <t>KATOWICE 19-20.06.2021</t>
  </si>
  <si>
    <t>TORUŃ 27-28.12.2021</t>
  </si>
  <si>
    <t>https://www.veteransfencing.eu/fencing/rankings/</t>
  </si>
  <si>
    <t>KOSIŃSKI Łukasz</t>
  </si>
  <si>
    <t>PRZYSTAJKO Daniel</t>
  </si>
  <si>
    <t>CHOJNACKI Tomasz</t>
  </si>
  <si>
    <t>KU AZS-UAM POZNAŃ.</t>
  </si>
  <si>
    <t>POL</t>
  </si>
  <si>
    <t>WIŚNIEWSKI Bernard</t>
  </si>
  <si>
    <t>https://www.fencingtimelive.com/events/results/B3C906A36C9B4C9CB2688CF68BE0EE96</t>
  </si>
  <si>
    <t>http://79.163.66.117/spws/etapy.php?marek=123&amp;_turid=503</t>
  </si>
  <si>
    <t>Kosiński Łukasz</t>
  </si>
  <si>
    <t>0 (30-39)</t>
  </si>
  <si>
    <t>Przystajko Daniel</t>
  </si>
  <si>
    <t>Zapaśnik Janusz</t>
  </si>
  <si>
    <t>Michalski Philip</t>
  </si>
  <si>
    <t>Wołoszyn Nikodem</t>
  </si>
  <si>
    <t>Mikołajczuk Norbert</t>
  </si>
  <si>
    <t>Gajda Krzysztof</t>
  </si>
  <si>
    <t>Mościński Eryk</t>
  </si>
  <si>
    <t>Wojtyszyn Michał</t>
  </si>
  <si>
    <t>ZAPAŚNIK Janusz</t>
  </si>
  <si>
    <t>MICHALSKI Philip</t>
  </si>
  <si>
    <t>WOŁOSZYN Nikodem</t>
  </si>
  <si>
    <t>MIKOŁAJCZUK Norbert</t>
  </si>
  <si>
    <t>GAJDA Krzysztof</t>
  </si>
  <si>
    <t>MOŚCIŃSKI Eryk</t>
  </si>
  <si>
    <t>WOJTYSZYN Michał</t>
  </si>
  <si>
    <t>https://www.fencingtimelive.com/events/results/96B8606B31164131A2A5BACE2CF50377</t>
  </si>
  <si>
    <t>MUKS VICTOR WARSZAWA</t>
  </si>
  <si>
    <t>GĘZIKIEWICZ Marcin</t>
  </si>
  <si>
    <t>KOLEJARZ 24 KATOWICE</t>
  </si>
  <si>
    <t>https://www.fencingtimelive.com/events/results/27CD0611848D45DDABD27CB412321D0E</t>
  </si>
  <si>
    <t>UAM Poznań</t>
  </si>
  <si>
    <t>KIRCUN Jan</t>
  </si>
  <si>
    <t>ASZ Woj</t>
  </si>
  <si>
    <t>MUKS Viktor Warszawa</t>
  </si>
  <si>
    <t>TRISCORNIA Anton</t>
  </si>
  <si>
    <t>Bytomskie Towarzystwo Szermiercze</t>
  </si>
  <si>
    <t>Gęzikiewicz Marcin</t>
  </si>
  <si>
    <t>Chojnacki Tomasz</t>
  </si>
  <si>
    <t>Triscornia Anton</t>
  </si>
  <si>
    <t>Wiśniewski Bernard</t>
  </si>
  <si>
    <t>1 (40-49)</t>
  </si>
  <si>
    <t>Rumak Józef</t>
  </si>
  <si>
    <t>Wyrostek Paweł</t>
  </si>
  <si>
    <t>Jamrocha Maciej</t>
  </si>
  <si>
    <t>Paprocki Paweł</t>
  </si>
  <si>
    <t>Mazur Jan</t>
  </si>
  <si>
    <t>Lewicki Sebastian</t>
  </si>
  <si>
    <t>http://79.163.66.117/spws/etapy.php?_etaid=912</t>
  </si>
  <si>
    <t>RUMAK Józef</t>
  </si>
  <si>
    <t>WYROSTEK Paweł</t>
  </si>
  <si>
    <t>JAMROCHA Maciej</t>
  </si>
  <si>
    <t>PAPROCKI Paweł</t>
  </si>
  <si>
    <t>MAZUR Jan</t>
  </si>
  <si>
    <t>LEWICKI Sebastian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</si>
</sst>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238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6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5">
    <xf numFmtId="0" fontId="0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3" borderId="0" xfId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2"/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2" fontId="0" fillId="0" borderId="0" xfId="0" applyNumberForma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" fontId="0" fillId="0" borderId="0" xfId="0" applyNumberFormat="1" applyAlignment="1">
      <alignment vertical="center" wrapText="1"/>
    </xf>
    <xf numFmtId="0" fontId="5" fillId="0" borderId="0" xfId="3"/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</cellXfs>
  <cellStyles count="5">
    <cellStyle name="Akcent 1" xfId="1" builtinId="29"/>
    <cellStyle name="Akcent 3" xfId="2" builtinId="37"/>
    <cellStyle name="Hiperłącze" xfId="3" builtinId="8"/>
    <cellStyle name="Hyperlink" xfId="4" xr:uid="{00000000-000B-0000-0000-000008000000}"/>
    <cellStyle name="Normalny" xfId="0" builtinId="0"/>
  </cellStyles>
  <dxfs count="11"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5" tint="-0.499984740745262"/>
      </font>
      <fill>
        <patternFill>
          <bgColor theme="5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events/results/B3C906A36C9B4C9CB2688CF68BE0EE9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79.163.66.117/spws/etapy.php?marek=123&amp;_turid=503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events/results/96B8606B31164131A2A5BACE2CF50377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events/results/27CD0611848D45DDABD27CB412321D0E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79.163.66.117/spws/etapy.php?_etaid=91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tabSelected="1" workbookViewId="0">
      <selection activeCell="B24" sqref="B24"/>
    </sheetView>
  </sheetViews>
  <sheetFormatPr defaultColWidth="11.5546875" defaultRowHeight="13.2" x14ac:dyDescent="0.25"/>
  <cols>
    <col min="1" max="1" width="6" customWidth="1"/>
    <col min="2" max="2" width="29.33203125" customWidth="1"/>
    <col min="3" max="3" width="13.88671875" customWidth="1"/>
    <col min="5" max="5" width="9.5546875" bestFit="1" customWidth="1"/>
    <col min="6" max="16" width="6" customWidth="1"/>
    <col min="17" max="17" width="9.33203125" customWidth="1"/>
  </cols>
  <sheetData>
    <row r="1" spans="1:17" ht="24.75" customHeight="1" x14ac:dyDescent="0.25">
      <c r="A1" s="24" t="s">
        <v>0</v>
      </c>
      <c r="B1" s="24" t="s">
        <v>1</v>
      </c>
      <c r="C1" s="24" t="s">
        <v>2</v>
      </c>
      <c r="D1" s="24" t="s">
        <v>3</v>
      </c>
      <c r="E1" s="26" t="s">
        <v>4</v>
      </c>
      <c r="F1" s="26"/>
      <c r="G1" s="26" t="s">
        <v>5</v>
      </c>
      <c r="H1" s="26"/>
      <c r="I1" s="26" t="s">
        <v>6</v>
      </c>
      <c r="J1" s="26"/>
      <c r="K1" s="27" t="s">
        <v>7</v>
      </c>
      <c r="L1" s="26"/>
      <c r="M1" s="26" t="s">
        <v>8</v>
      </c>
      <c r="N1" s="26"/>
      <c r="O1" s="26" t="s">
        <v>9</v>
      </c>
      <c r="P1" s="26"/>
      <c r="Q1" s="10" t="s">
        <v>10</v>
      </c>
    </row>
    <row r="2" spans="1:17" ht="18" customHeight="1" x14ac:dyDescent="0.25">
      <c r="A2" s="25"/>
      <c r="B2" s="25"/>
      <c r="C2" s="25"/>
      <c r="D2" s="25"/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  <c r="O2" s="1" t="s">
        <v>11</v>
      </c>
      <c r="P2" s="1" t="s">
        <v>12</v>
      </c>
      <c r="Q2" s="1" t="s">
        <v>12</v>
      </c>
    </row>
    <row r="3" spans="1:17" ht="14.85" customHeight="1" x14ac:dyDescent="0.25">
      <c r="A3" s="2">
        <f>ROW()-2</f>
        <v>1</v>
      </c>
      <c r="B3" s="6" t="s">
        <v>27</v>
      </c>
      <c r="C3" s="3"/>
      <c r="D3" s="4">
        <f>SUM(F3,H3,J3,L3,N3,P3,Q3)-MIN(H3,J3,L3,N3,P3)</f>
        <v>411</v>
      </c>
      <c r="E3" s="5">
        <f>_xlfn.XLOOKUP(B3,MP!C$5:C$100,MP!B$5:B$100,"")</f>
        <v>1</v>
      </c>
      <c r="F3" s="5">
        <f>_xlfn.XLOOKUP(E3,MP!B$5:B$100,MP!A$5:A$100,0)</f>
        <v>95</v>
      </c>
      <c r="G3" s="5">
        <f>_xlfn.XLOOKUP($B3,'GP1'!$C$5:$C$100,'GP1'!$B$5:$B$100,"")</f>
        <v>1</v>
      </c>
      <c r="H3" s="5">
        <f>_xlfn.XLOOKUP(G3,'GP1'!$B$5:$B$100,'GP1'!$A$5:$A$100,0)</f>
        <v>79</v>
      </c>
      <c r="I3" s="5">
        <f>_xlfn.XLOOKUP($B3,'GP2'!$C$5:$C$100,'GP2'!$B$5:$B$100,"")</f>
        <v>1</v>
      </c>
      <c r="J3" s="5">
        <f>_xlfn.XLOOKUP(I3,'GP2'!$B$5:$B$100,'GP2'!$A$5:$A$100,0)</f>
        <v>79</v>
      </c>
      <c r="K3" s="5">
        <f>_xlfn.XLOOKUP($B3,'GP3'!$C$5:$C$100,'GP3'!$B$5:$B$100,"")</f>
        <v>1</v>
      </c>
      <c r="L3" s="5">
        <f>_xlfn.XLOOKUP(K3,'GP3'!$B$5:$B$100,'GP3'!$A$5:$A$100,0)</f>
        <v>79</v>
      </c>
      <c r="M3" s="5">
        <f>_xlfn.XLOOKUP($B3,'GP4'!$C$5:$C$100,'GP4'!$B$5:$B$100,"")</f>
        <v>1</v>
      </c>
      <c r="N3" s="5">
        <f>_xlfn.XLOOKUP(M3,'GP4'!$B$5:$B$100,'GP4'!$A$5:$A$100,0)</f>
        <v>79</v>
      </c>
      <c r="O3" s="5">
        <f>_xlfn.XLOOKUP($B3,'GP5'!$C$5:$C$100,'GP5'!$B$5:$B$100,"")</f>
        <v>1</v>
      </c>
      <c r="P3" s="5">
        <f>_xlfn.XLOOKUP(O3,'GP5'!$B$5:$B$100,'GP5'!$A$5:$A$100,0)</f>
        <v>79</v>
      </c>
      <c r="Q3" s="20">
        <f>_xlfn.XLOOKUP($B3,EU!$B$5:$B$20,EU!$A$5:$A$20,0)</f>
        <v>0</v>
      </c>
    </row>
    <row r="4" spans="1:17" ht="14.85" customHeight="1" x14ac:dyDescent="0.25">
      <c r="A4" s="2">
        <f>ROW()-2</f>
        <v>2</v>
      </c>
      <c r="B4" s="6" t="s">
        <v>29</v>
      </c>
      <c r="C4" s="3"/>
      <c r="D4" s="4">
        <f>SUM(F4,H4,J4,L4,N4,P4,Q4)-MIN(H4,J4,L4,N4,P4)</f>
        <v>353</v>
      </c>
      <c r="E4" s="5">
        <f>_xlfn.XLOOKUP(B4,MP!C$5:C$100,MP!B$5:B$100,"")</f>
        <v>3</v>
      </c>
      <c r="F4" s="5">
        <f>_xlfn.XLOOKUP(E4,MP!B$5:B$100,MP!A$5:A$100,0)</f>
        <v>84</v>
      </c>
      <c r="G4" s="5">
        <f>_xlfn.XLOOKUP($B4,'GP1'!$C$5:$C$100,'GP1'!$B$5:$B$100,"")</f>
        <v>3</v>
      </c>
      <c r="H4" s="5">
        <f>_xlfn.XLOOKUP(G4,'GP1'!$B$5:$B$100,'GP1'!$A$5:$A$100,0)</f>
        <v>70</v>
      </c>
      <c r="I4" s="5" t="str">
        <f>_xlfn.XLOOKUP($B4,'GP2'!$C$5:$C$100,'GP2'!$B$5:$B$100,"")</f>
        <v/>
      </c>
      <c r="J4" s="5">
        <f>_xlfn.XLOOKUP(I4,'GP2'!$B$5:$B$100,'GP2'!$A$5:$A$100,0)</f>
        <v>0</v>
      </c>
      <c r="K4" s="5">
        <f>_xlfn.XLOOKUP($B4,'GP3'!$C$5:$C$100,'GP3'!$B$5:$B$100,"")</f>
        <v>5</v>
      </c>
      <c r="L4" s="5">
        <f>_xlfn.XLOOKUP(K4,'GP3'!$B$5:$B$100,'GP3'!$A$5:$A$100,0)</f>
        <v>64</v>
      </c>
      <c r="M4" s="5">
        <f>_xlfn.XLOOKUP($B4,'GP4'!$C$5:$C$100,'GP4'!$B$5:$B$100,"")</f>
        <v>2</v>
      </c>
      <c r="N4" s="5">
        <f>_xlfn.XLOOKUP(M4,'GP4'!$B$5:$B$100,'GP4'!$A$5:$A$100,0)</f>
        <v>73</v>
      </c>
      <c r="O4" s="5">
        <f>_xlfn.XLOOKUP($B4,'GP5'!$C$5:$C$100,'GP5'!$B$5:$B$100,"")</f>
        <v>6</v>
      </c>
      <c r="P4" s="5">
        <f>_xlfn.XLOOKUP(O4,'GP5'!$B$5:$B$100,'GP5'!$A$5:$A$100,0)</f>
        <v>62</v>
      </c>
      <c r="Q4" s="20">
        <f>_xlfn.XLOOKUP($B4,EU!$B$5:$B$20,EU!$A$5:$A$20,0)</f>
        <v>0</v>
      </c>
    </row>
    <row r="5" spans="1:17" ht="15.75" customHeight="1" x14ac:dyDescent="0.25">
      <c r="A5" s="2">
        <f>ROW()-2</f>
        <v>3</v>
      </c>
      <c r="B5" s="6" t="s">
        <v>32</v>
      </c>
      <c r="C5" s="11"/>
      <c r="D5" s="4">
        <f>SUM(F5,H5,J5,L5,N5,P5,Q5)-MIN(H5,J5,L5,N5,P5)</f>
        <v>282</v>
      </c>
      <c r="E5" s="5">
        <f>_xlfn.XLOOKUP(B5,MP!C$5:C$100,MP!B$5:B$100,"")</f>
        <v>2</v>
      </c>
      <c r="F5" s="5">
        <f>_xlfn.XLOOKUP(E5,MP!B$5:B$100,MP!A$5:A$100,0)</f>
        <v>88</v>
      </c>
      <c r="G5" s="5" t="str">
        <f>_xlfn.XLOOKUP($B5,'GP1'!$C$5:$C$100,'GP1'!$B$5:$B$100,"")</f>
        <v/>
      </c>
      <c r="H5" s="5">
        <f>_xlfn.XLOOKUP(G5,'GP1'!$B$5:$B$100,'GP1'!$A$5:$A$100,0)</f>
        <v>0</v>
      </c>
      <c r="I5" s="5" t="str">
        <f>_xlfn.XLOOKUP($B5,'GP2'!$C$5:$C$100,'GP2'!$B$5:$B$100,"")</f>
        <v/>
      </c>
      <c r="J5" s="5">
        <f>_xlfn.XLOOKUP(I5,'GP2'!$B$5:$B$100,'GP2'!$A$5:$A$100,0)</f>
        <v>0</v>
      </c>
      <c r="K5" s="5">
        <f>_xlfn.XLOOKUP($B5,'GP3'!$C$5:$C$100,'GP3'!$B$5:$B$100,"")</f>
        <v>3</v>
      </c>
      <c r="L5" s="5">
        <f>_xlfn.XLOOKUP(K5,'GP3'!$B$5:$B$100,'GP3'!$A$5:$A$100,0)</f>
        <v>70</v>
      </c>
      <c r="M5" s="5">
        <f>_xlfn.XLOOKUP($B5,'GP4'!$C$5:$C$100,'GP4'!$B$5:$B$100,"")</f>
        <v>4</v>
      </c>
      <c r="N5" s="5">
        <f>_xlfn.XLOOKUP(M5,'GP4'!$B$5:$B$100,'GP4'!$A$5:$A$100,0)</f>
        <v>66</v>
      </c>
      <c r="O5" s="5">
        <f>_xlfn.XLOOKUP($B5,'GP5'!$C$5:$C$100,'GP5'!$B$5:$B$100,"")</f>
        <v>8</v>
      </c>
      <c r="P5" s="5">
        <f>_xlfn.XLOOKUP(O5,'GP5'!$B$5:$B$100,'GP5'!$A$5:$A$100,0)</f>
        <v>58</v>
      </c>
      <c r="Q5" s="20">
        <f>_xlfn.XLOOKUP($B5,EU!$B$5:$B$20,EU!$A$5:$A$20,0)</f>
        <v>0</v>
      </c>
    </row>
    <row r="6" spans="1:17" ht="14.85" customHeight="1" x14ac:dyDescent="0.25">
      <c r="A6" s="2">
        <f>ROW()-2</f>
        <v>4</v>
      </c>
      <c r="B6" s="6" t="s">
        <v>28</v>
      </c>
      <c r="C6" s="5"/>
      <c r="D6" s="4">
        <f>SUM(F6,H6,J6,L6,N6,P6,Q6)-MIN(H6,J6,L6,N6,P6)</f>
        <v>219</v>
      </c>
      <c r="E6" s="5" t="str">
        <f>_xlfn.XLOOKUP(B6,MP!C$5:C$100,MP!B$5:B$100,"")</f>
        <v/>
      </c>
      <c r="F6" s="5">
        <f>_xlfn.XLOOKUP(E6,MP!B$5:B$100,MP!A$5:A$100,0)</f>
        <v>0</v>
      </c>
      <c r="G6" s="5">
        <f>_xlfn.XLOOKUP($B6,'GP1'!$C$5:$C$100,'GP1'!$B$5:$B$100,"")</f>
        <v>2</v>
      </c>
      <c r="H6" s="5">
        <f>_xlfn.XLOOKUP(G6,'GP1'!$B$5:$B$100,'GP1'!$A$5:$A$100,0)</f>
        <v>73</v>
      </c>
      <c r="I6" s="5">
        <f>_xlfn.XLOOKUP($B6,'GP2'!$C$5:$C$100,'GP2'!$B$5:$B$100,"")</f>
        <v>2</v>
      </c>
      <c r="J6" s="5">
        <f>_xlfn.XLOOKUP(I6,'GP2'!$B$5:$B$100,'GP2'!$A$5:$A$100,0)</f>
        <v>73</v>
      </c>
      <c r="K6" s="5" t="str">
        <f>_xlfn.XLOOKUP($B6,'GP3'!$C$5:$C$100,'GP3'!$B$5:$B$100,"")</f>
        <v/>
      </c>
      <c r="L6" s="5">
        <f>_xlfn.XLOOKUP(K6,'GP3'!$B$5:$B$100,'GP3'!$A$5:$A$100,0)</f>
        <v>0</v>
      </c>
      <c r="M6" s="5" t="str">
        <f>_xlfn.XLOOKUP($B6,'GP4'!$C$5:$C$100,'GP4'!$B$5:$B$100,"")</f>
        <v/>
      </c>
      <c r="N6" s="5">
        <f>_xlfn.XLOOKUP(M6,'GP4'!$B$5:$B$100,'GP4'!$A$5:$A$100,0)</f>
        <v>0</v>
      </c>
      <c r="O6" s="5">
        <f>_xlfn.XLOOKUP($B6,'GP5'!$C$5:$C$100,'GP5'!$B$5:$B$100,"")</f>
        <v>2</v>
      </c>
      <c r="P6" s="5">
        <f>_xlfn.XLOOKUP(O6,'GP5'!$B$5:$B$100,'GP5'!$A$5:$A$100,0)</f>
        <v>73</v>
      </c>
      <c r="Q6" s="20">
        <f>_xlfn.XLOOKUP($B6,EU!$B$5:$B$20,EU!$A$5:$A$20,0)</f>
        <v>0</v>
      </c>
    </row>
    <row r="7" spans="1:17" ht="14.85" customHeight="1" x14ac:dyDescent="0.25">
      <c r="A7" s="2">
        <f>ROW()-2</f>
        <v>5</v>
      </c>
      <c r="B7" s="6" t="s">
        <v>46</v>
      </c>
      <c r="C7" s="3"/>
      <c r="D7" s="4">
        <f>SUM(F7,H7,J7,L7,N7,P7,Q7)-MIN(H7,J7,L7,N7,P7)</f>
        <v>203</v>
      </c>
      <c r="E7" s="5" t="str">
        <f>_xlfn.XLOOKUP(B7,MP!C$5:C$100,MP!B$5:B$100,"")</f>
        <v/>
      </c>
      <c r="F7" s="5">
        <f>_xlfn.XLOOKUP(E7,MP!B$5:B$100,MP!A$5:A$100,0)</f>
        <v>0</v>
      </c>
      <c r="G7" s="5" t="str">
        <f>_xlfn.XLOOKUP($B7,'GP1'!$C$5:$C$100,'GP1'!$B$5:$B$100,"")</f>
        <v/>
      </c>
      <c r="H7" s="5">
        <f>_xlfn.XLOOKUP(G7,'GP1'!$B$5:$B$100,'GP1'!$A$5:$A$100,0)</f>
        <v>0</v>
      </c>
      <c r="I7" s="5">
        <f>_xlfn.XLOOKUP($B7,'GP2'!$C$5:$C$100,'GP2'!$B$5:$B$100,"")</f>
        <v>4</v>
      </c>
      <c r="J7" s="5">
        <f>_xlfn.XLOOKUP(I7,'GP2'!$B$5:$B$100,'GP2'!$A$5:$A$100,0)</f>
        <v>66</v>
      </c>
      <c r="K7" s="5">
        <f>_xlfn.XLOOKUP($B7,'GP3'!$C$5:$C$100,'GP3'!$B$5:$B$100,"")</f>
        <v>2</v>
      </c>
      <c r="L7" s="5">
        <f>_xlfn.XLOOKUP(K7,'GP3'!$B$5:$B$100,'GP3'!$A$5:$A$100,0)</f>
        <v>73</v>
      </c>
      <c r="M7" s="5" t="str">
        <f>_xlfn.XLOOKUP($B7,'GP4'!$C$5:$C$100,'GP4'!$B$5:$B$100,"")</f>
        <v/>
      </c>
      <c r="N7" s="5">
        <f>_xlfn.XLOOKUP(M7,'GP4'!$B$5:$B$100,'GP4'!$A$5:$A$100,0)</f>
        <v>0</v>
      </c>
      <c r="O7" s="5">
        <f>_xlfn.XLOOKUP($B7,'GP5'!$C$5:$C$100,'GP5'!$B$5:$B$100,"")</f>
        <v>5</v>
      </c>
      <c r="P7" s="5">
        <f>_xlfn.XLOOKUP(O7,'GP5'!$B$5:$B$100,'GP5'!$A$5:$A$100,0)</f>
        <v>64</v>
      </c>
      <c r="Q7" s="20">
        <f>_xlfn.XLOOKUP($B7,EU!$B$5:$B$20,EU!$A$5:$A$20,0)</f>
        <v>0</v>
      </c>
    </row>
    <row r="8" spans="1:17" ht="14.85" customHeight="1" x14ac:dyDescent="0.25">
      <c r="A8" s="2">
        <f>ROW()-2</f>
        <v>6</v>
      </c>
      <c r="B8" s="6" t="s">
        <v>48</v>
      </c>
      <c r="C8" s="3"/>
      <c r="D8" s="4">
        <f>SUM(F8,H8,J8,L8,N8,P8,Q8)-MIN(H8,J8,L8,N8,P8)</f>
        <v>180</v>
      </c>
      <c r="E8" s="5" t="str">
        <f>_xlfn.XLOOKUP(B8,MP!C$5:C$100,MP!B$5:B$100,"")</f>
        <v/>
      </c>
      <c r="F8" s="5">
        <f>_xlfn.XLOOKUP(E8,MP!B$5:B$100,MP!A$5:A$100,0)</f>
        <v>0</v>
      </c>
      <c r="G8" s="5" t="str">
        <f>_xlfn.XLOOKUP($B8,'GP1'!$C$5:$C$100,'GP1'!$B$5:$B$100,"")</f>
        <v/>
      </c>
      <c r="H8" s="5">
        <f>_xlfn.XLOOKUP(G8,'GP1'!$B$5:$B$100,'GP1'!$A$5:$A$100,0)</f>
        <v>0</v>
      </c>
      <c r="I8" s="5">
        <f>_xlfn.XLOOKUP($B8,'GP2'!$C$5:$C$100,'GP2'!$B$5:$B$100,"")</f>
        <v>6</v>
      </c>
      <c r="J8" s="5">
        <f>_xlfn.XLOOKUP(I8,'GP2'!$B$5:$B$100,'GP2'!$A$5:$A$100,0)</f>
        <v>62</v>
      </c>
      <c r="K8" s="5" t="str">
        <f>_xlfn.XLOOKUP($B8,'GP3'!$C$5:$C$100,'GP3'!$B$5:$B$100,"")</f>
        <v/>
      </c>
      <c r="L8" s="5">
        <f>_xlfn.XLOOKUP(K8,'GP3'!$B$5:$B$100,'GP3'!$A$5:$A$100,0)</f>
        <v>0</v>
      </c>
      <c r="M8" s="5">
        <f>_xlfn.XLOOKUP($B8,'GP4'!$C$5:$C$100,'GP4'!$B$5:$B$100,"")</f>
        <v>6</v>
      </c>
      <c r="N8" s="5">
        <f>_xlfn.XLOOKUP(M8,'GP4'!$B$5:$B$100,'GP4'!$A$5:$A$100,0)</f>
        <v>62</v>
      </c>
      <c r="O8" s="5">
        <f>_xlfn.XLOOKUP($B8,'GP5'!$C$5:$C$100,'GP5'!$B$5:$B$100,"")</f>
        <v>9</v>
      </c>
      <c r="P8" s="5">
        <f>_xlfn.XLOOKUP(O8,'GP5'!$B$5:$B$100,'GP5'!$A$5:$A$100,0)</f>
        <v>56</v>
      </c>
      <c r="Q8" s="20">
        <f>_xlfn.XLOOKUP($B8,EU!$B$5:$B$20,EU!$A$5:$A$20,0)</f>
        <v>0</v>
      </c>
    </row>
    <row r="9" spans="1:17" ht="14.85" customHeight="1" x14ac:dyDescent="0.25">
      <c r="A9" s="2">
        <f>ROW()-2</f>
        <v>7</v>
      </c>
      <c r="B9" s="6" t="s">
        <v>47</v>
      </c>
      <c r="C9" s="3"/>
      <c r="D9" s="4">
        <f>SUM(F9,H9,J9,L9,N9,P9,Q9)-MIN(H9,J9,L9,N9,P9)</f>
        <v>134</v>
      </c>
      <c r="E9" s="5" t="str">
        <f>_xlfn.XLOOKUP(B9,MP!C$5:C$100,MP!B$5:B$100,"")</f>
        <v/>
      </c>
      <c r="F9" s="5">
        <f>_xlfn.XLOOKUP(E9,MP!B$5:B$100,MP!A$5:A$100,0)</f>
        <v>0</v>
      </c>
      <c r="G9" s="5" t="str">
        <f>_xlfn.XLOOKUP($B9,'GP1'!$C$5:$C$100,'GP1'!$B$5:$B$100,"")</f>
        <v/>
      </c>
      <c r="H9" s="5">
        <f>_xlfn.XLOOKUP(G9,'GP1'!$B$5:$B$100,'GP1'!$A$5:$A$100,0)</f>
        <v>0</v>
      </c>
      <c r="I9" s="5">
        <f>_xlfn.XLOOKUP($B9,'GP2'!$C$5:$C$100,'GP2'!$B$5:$B$100,"")</f>
        <v>5</v>
      </c>
      <c r="J9" s="5">
        <f>_xlfn.XLOOKUP(I9,'GP2'!$B$5:$B$100,'GP2'!$A$5:$A$100,0)</f>
        <v>64</v>
      </c>
      <c r="K9" s="5" t="str">
        <f>_xlfn.XLOOKUP($B9,'GP3'!$C$5:$C$100,'GP3'!$B$5:$B$100,"")</f>
        <v/>
      </c>
      <c r="L9" s="5">
        <f>_xlfn.XLOOKUP(K9,'GP3'!$B$5:$B$100,'GP3'!$A$5:$A$100,0)</f>
        <v>0</v>
      </c>
      <c r="M9" s="5" t="str">
        <f>_xlfn.XLOOKUP($B9,'GP4'!$C$5:$C$100,'GP4'!$B$5:$B$100,"")</f>
        <v/>
      </c>
      <c r="N9" s="5">
        <f>_xlfn.XLOOKUP(M9,'GP4'!$B$5:$B$100,'GP4'!$A$5:$A$100,0)</f>
        <v>0</v>
      </c>
      <c r="O9" s="5">
        <f>_xlfn.XLOOKUP($B9,'GP5'!$C$5:$C$100,'GP5'!$B$5:$B$100,"")</f>
        <v>3</v>
      </c>
      <c r="P9" s="5">
        <f>_xlfn.XLOOKUP(O9,'GP5'!$B$5:$B$100,'GP5'!$A$5:$A$100,0)</f>
        <v>70</v>
      </c>
      <c r="Q9" s="20">
        <f>_xlfn.XLOOKUP($B9,EU!$B$5:$B$20,EU!$A$5:$A$20,0)</f>
        <v>0</v>
      </c>
    </row>
    <row r="10" spans="1:17" ht="14.85" customHeight="1" x14ac:dyDescent="0.25">
      <c r="A10" s="2">
        <f>ROW()-2</f>
        <v>8</v>
      </c>
      <c r="B10" s="6" t="s">
        <v>54</v>
      </c>
      <c r="C10" s="3"/>
      <c r="D10" s="4">
        <f>SUM(F10,H10,J10,L10,N10,P10,Q10)-MIN(H10,J10,L10,N10,P10)</f>
        <v>132</v>
      </c>
      <c r="E10" s="5" t="str">
        <f>_xlfn.XLOOKUP(B10,MP!C$5:C$100,MP!B$5:B$100,"")</f>
        <v/>
      </c>
      <c r="F10" s="5">
        <f>_xlfn.XLOOKUP(E10,MP!B$5:B$100,MP!A$5:A$100,0)</f>
        <v>0</v>
      </c>
      <c r="G10" s="5" t="str">
        <f>_xlfn.XLOOKUP($B10,'GP1'!$C$5:$C$100,'GP1'!$B$5:$B$100,"")</f>
        <v/>
      </c>
      <c r="H10" s="5">
        <f>_xlfn.XLOOKUP(G10,'GP1'!$B$5:$B$100,'GP1'!$A$5:$A$100,0)</f>
        <v>0</v>
      </c>
      <c r="I10" s="5" t="str">
        <f>_xlfn.XLOOKUP($B10,'GP2'!$C$5:$C$100,'GP2'!$B$5:$B$100,"")</f>
        <v/>
      </c>
      <c r="J10" s="5">
        <f>_xlfn.XLOOKUP(I10,'GP2'!$B$5:$B$100,'GP2'!$A$5:$A$100,0)</f>
        <v>0</v>
      </c>
      <c r="K10" s="5">
        <f>_xlfn.XLOOKUP($B10,'GP3'!$C$5:$C$100,'GP3'!$B$5:$B$100,"")</f>
        <v>4</v>
      </c>
      <c r="L10" s="5">
        <f>_xlfn.XLOOKUP(K10,'GP3'!$B$5:$B$100,'GP3'!$A$5:$A$100,0)</f>
        <v>66</v>
      </c>
      <c r="M10" s="5" t="str">
        <f>_xlfn.XLOOKUP($B10,'GP4'!$C$5:$C$100,'GP4'!$B$5:$B$100,"")</f>
        <v/>
      </c>
      <c r="N10" s="5">
        <f>_xlfn.XLOOKUP(M10,'GP4'!$B$5:$B$100,'GP4'!$A$5:$A$100,0)</f>
        <v>0</v>
      </c>
      <c r="O10" s="5">
        <f>_xlfn.XLOOKUP($B10,'GP5'!$C$5:$C$100,'GP5'!$B$5:$B$100,"")</f>
        <v>4</v>
      </c>
      <c r="P10" s="5">
        <f>_xlfn.XLOOKUP(O10,'GP5'!$B$5:$B$100,'GP5'!$A$5:$A$100,0)</f>
        <v>66</v>
      </c>
      <c r="Q10" s="20">
        <f>_xlfn.XLOOKUP($B10,EU!$B$5:$B$20,EU!$A$5:$A$20,0)</f>
        <v>0</v>
      </c>
    </row>
    <row r="11" spans="1:17" ht="14.85" customHeight="1" x14ac:dyDescent="0.25">
      <c r="A11" s="2">
        <f>ROW()-2</f>
        <v>9</v>
      </c>
      <c r="B11" s="6" t="s">
        <v>61</v>
      </c>
      <c r="C11" s="3"/>
      <c r="D11" s="4">
        <f>SUM(F11,H11,J11,L11,N11,P11,Q11)-MIN(H11,J11,L11,N11,P11)</f>
        <v>124</v>
      </c>
      <c r="E11" s="5" t="str">
        <f>_xlfn.XLOOKUP(B11,MP!C$5:C$100,MP!B$5:B$100,"")</f>
        <v/>
      </c>
      <c r="F11" s="5">
        <f>_xlfn.XLOOKUP(E11,MP!B$5:B$100,MP!A$5:A$100,0)</f>
        <v>0</v>
      </c>
      <c r="G11" s="5" t="str">
        <f>_xlfn.XLOOKUP($B11,'GP1'!$C$5:$C$100,'GP1'!$B$5:$B$100,"")</f>
        <v/>
      </c>
      <c r="H11" s="5">
        <f>_xlfn.XLOOKUP(G11,'GP1'!$B$5:$B$100,'GP1'!$A$5:$A$100,0)</f>
        <v>0</v>
      </c>
      <c r="I11" s="5" t="str">
        <f>_xlfn.XLOOKUP($B11,'GP2'!$C$5:$C$100,'GP2'!$B$5:$B$100,"")</f>
        <v/>
      </c>
      <c r="J11" s="5">
        <f>_xlfn.XLOOKUP(I11,'GP2'!$B$5:$B$100,'GP2'!$A$5:$A$100,0)</f>
        <v>0</v>
      </c>
      <c r="K11" s="5" t="str">
        <f>_xlfn.XLOOKUP($B11,'GP3'!$C$5:$C$100,'GP3'!$B$5:$B$100,"")</f>
        <v/>
      </c>
      <c r="L11" s="5">
        <f>_xlfn.XLOOKUP(K11,'GP3'!$B$5:$B$100,'GP3'!$A$5:$A$100,0)</f>
        <v>0</v>
      </c>
      <c r="M11" s="5">
        <f>_xlfn.XLOOKUP($B11,'GP4'!$C$5:$C$100,'GP4'!$B$5:$B$100,"")</f>
        <v>5</v>
      </c>
      <c r="N11" s="5">
        <f>_xlfn.XLOOKUP(M11,'GP4'!$B$5:$B$100,'GP4'!$A$5:$A$100,0)</f>
        <v>64</v>
      </c>
      <c r="O11" s="5">
        <f>_xlfn.XLOOKUP($B11,'GP5'!$C$5:$C$100,'GP5'!$B$5:$B$100,"")</f>
        <v>7</v>
      </c>
      <c r="P11" s="5">
        <f>_xlfn.XLOOKUP(O11,'GP5'!$B$5:$B$100,'GP5'!$A$5:$A$100,0)</f>
        <v>60</v>
      </c>
      <c r="Q11" s="20">
        <f>_xlfn.XLOOKUP($B11,EU!$B$5:$B$20,EU!$A$5:$A$20,0)</f>
        <v>0</v>
      </c>
    </row>
    <row r="12" spans="1:17" ht="14.85" customHeight="1" x14ac:dyDescent="0.25">
      <c r="A12" s="2">
        <f>ROW()-2</f>
        <v>10</v>
      </c>
      <c r="B12" s="6" t="s">
        <v>49</v>
      </c>
      <c r="C12" s="3"/>
      <c r="D12" s="4">
        <f>SUM(F12,H12,J12,L12,N12,P12,Q12)-MIN(H12,J12,L12,N12,P12)</f>
        <v>122</v>
      </c>
      <c r="E12" s="5" t="str">
        <f>_xlfn.XLOOKUP(B12,MP!C$5:C$100,MP!B$5:B$100,"")</f>
        <v/>
      </c>
      <c r="F12" s="5">
        <f>_xlfn.XLOOKUP(E12,MP!B$5:B$100,MP!A$5:A$100,0)</f>
        <v>0</v>
      </c>
      <c r="G12" s="5" t="str">
        <f>_xlfn.XLOOKUP($B12,'GP1'!$C$5:$C$100,'GP1'!$B$5:$B$100,"")</f>
        <v/>
      </c>
      <c r="H12" s="5">
        <f>_xlfn.XLOOKUP(G12,'GP1'!$B$5:$B$100,'GP1'!$A$5:$A$100,0)</f>
        <v>0</v>
      </c>
      <c r="I12" s="5">
        <f>_xlfn.XLOOKUP($B12,'GP2'!$C$5:$C$100,'GP2'!$B$5:$B$100,"")</f>
        <v>7</v>
      </c>
      <c r="J12" s="5">
        <f>_xlfn.XLOOKUP(I12,'GP2'!$B$5:$B$100,'GP2'!$A$5:$A$100,0)</f>
        <v>60</v>
      </c>
      <c r="K12" s="5">
        <f>_xlfn.XLOOKUP($B12,'GP3'!$C$5:$C$100,'GP3'!$B$5:$B$100,"")</f>
        <v>6</v>
      </c>
      <c r="L12" s="5">
        <f>_xlfn.XLOOKUP(K12,'GP3'!$B$5:$B$100,'GP3'!$A$5:$A$100,0)</f>
        <v>62</v>
      </c>
      <c r="M12" s="5" t="str">
        <f>_xlfn.XLOOKUP($B12,'GP4'!$C$5:$C$100,'GP4'!$B$5:$B$100,"")</f>
        <v/>
      </c>
      <c r="N12" s="5">
        <f>_xlfn.XLOOKUP(M12,'GP4'!$B$5:$B$100,'GP4'!$A$5:$A$100,0)</f>
        <v>0</v>
      </c>
      <c r="O12" s="5" t="str">
        <f>_xlfn.XLOOKUP($B12,'GP5'!$C$5:$C$100,'GP5'!$B$5:$B$100,"")</f>
        <v/>
      </c>
      <c r="P12" s="5">
        <f>_xlfn.XLOOKUP(O12,'GP5'!$B$5:$B$100,'GP5'!$A$5:$A$100,0)</f>
        <v>0</v>
      </c>
      <c r="Q12" s="20">
        <f>_xlfn.XLOOKUP($B12,EU!$B$5:$B$20,EU!$A$5:$A$20,0)</f>
        <v>0</v>
      </c>
    </row>
    <row r="13" spans="1:17" ht="14.85" customHeight="1" x14ac:dyDescent="0.25">
      <c r="A13" s="2">
        <f>ROW()-2</f>
        <v>11</v>
      </c>
      <c r="B13" s="6" t="s">
        <v>50</v>
      </c>
      <c r="C13" s="3"/>
      <c r="D13" s="4">
        <f>SUM(F13,H13,J13,L13,N13,P13,Q13)-MIN(H13,J13,L13,N13,P13)</f>
        <v>113</v>
      </c>
      <c r="E13" s="5" t="str">
        <f>_xlfn.XLOOKUP(B13,MP!C$5:C$100,MP!B$5:B$100,"")</f>
        <v/>
      </c>
      <c r="F13" s="5">
        <f>_xlfn.XLOOKUP(E13,MP!B$5:B$100,MP!A$5:A$100,0)</f>
        <v>0</v>
      </c>
      <c r="G13" s="5" t="str">
        <f>_xlfn.XLOOKUP($B13,'GP1'!$C$5:$C$100,'GP1'!$B$5:$B$100,"")</f>
        <v/>
      </c>
      <c r="H13" s="5">
        <f>_xlfn.XLOOKUP(G13,'GP1'!$B$5:$B$100,'GP1'!$A$5:$A$100,0)</f>
        <v>0</v>
      </c>
      <c r="I13" s="5">
        <f>_xlfn.XLOOKUP($B13,'GP2'!$C$5:$C$100,'GP2'!$B$5:$B$100,"")</f>
        <v>8</v>
      </c>
      <c r="J13" s="5">
        <f>_xlfn.XLOOKUP(I13,'GP2'!$B$5:$B$100,'GP2'!$A$5:$A$100,0)</f>
        <v>58</v>
      </c>
      <c r="K13" s="5" t="str">
        <f>_xlfn.XLOOKUP($B13,'GP3'!$C$5:$C$100,'GP3'!$B$5:$B$100,"")</f>
        <v/>
      </c>
      <c r="L13" s="5">
        <f>_xlfn.XLOOKUP(K13,'GP3'!$B$5:$B$100,'GP3'!$A$5:$A$100,0)</f>
        <v>0</v>
      </c>
      <c r="M13" s="5" t="str">
        <f>_xlfn.XLOOKUP($B13,'GP4'!$C$5:$C$100,'GP4'!$B$5:$B$100,"")</f>
        <v/>
      </c>
      <c r="N13" s="5">
        <f>_xlfn.XLOOKUP(M13,'GP4'!$B$5:$B$100,'GP4'!$A$5:$A$100,0)</f>
        <v>0</v>
      </c>
      <c r="O13" s="5">
        <f>_xlfn.XLOOKUP($B13,'GP5'!$C$5:$C$100,'GP5'!$B$5:$B$100,"")</f>
        <v>10</v>
      </c>
      <c r="P13" s="5">
        <f>_xlfn.XLOOKUP(O13,'GP5'!$B$5:$B$100,'GP5'!$A$5:$A$100,0)</f>
        <v>55</v>
      </c>
      <c r="Q13" s="20">
        <f>_xlfn.XLOOKUP($B13,EU!$B$5:$B$20,EU!$A$5:$A$20,0)</f>
        <v>0</v>
      </c>
    </row>
    <row r="14" spans="1:17" ht="14.85" customHeight="1" x14ac:dyDescent="0.25">
      <c r="A14" s="2">
        <f>ROW()-2</f>
        <v>12</v>
      </c>
      <c r="B14" s="6" t="s">
        <v>45</v>
      </c>
      <c r="C14" s="3"/>
      <c r="D14" s="4">
        <f>SUM(F14,H14,J14,L14,N14,P14,Q14)-MIN(H14,J14,L14,N14,P14)</f>
        <v>70</v>
      </c>
      <c r="E14" s="5" t="str">
        <f>_xlfn.XLOOKUP(B14,MP!C$5:C$100,MP!B$5:B$100,"")</f>
        <v/>
      </c>
      <c r="F14" s="5">
        <f>_xlfn.XLOOKUP(E14,MP!B$5:B$100,MP!A$5:A$100,0)</f>
        <v>0</v>
      </c>
      <c r="G14" s="5" t="str">
        <f>_xlfn.XLOOKUP($B14,'GP1'!$C$5:$C$100,'GP1'!$B$5:$B$100,"")</f>
        <v/>
      </c>
      <c r="H14" s="5">
        <f>_xlfn.XLOOKUP(G14,'GP1'!$B$5:$B$100,'GP1'!$A$5:$A$100,0)</f>
        <v>0</v>
      </c>
      <c r="I14" s="5">
        <f>_xlfn.XLOOKUP($B14,'GP2'!$C$5:$C$100,'GP2'!$B$5:$B$100,"")</f>
        <v>3</v>
      </c>
      <c r="J14" s="5">
        <f>_xlfn.XLOOKUP(I14,'GP2'!$B$5:$B$100,'GP2'!$A$5:$A$100,0)</f>
        <v>70</v>
      </c>
      <c r="K14" s="5" t="str">
        <f>_xlfn.XLOOKUP($B14,'GP3'!$C$5:$C$100,'GP3'!$B$5:$B$100,"")</f>
        <v/>
      </c>
      <c r="L14" s="5">
        <f>_xlfn.XLOOKUP(K14,'GP3'!$B$5:$B$100,'GP3'!$A$5:$A$100,0)</f>
        <v>0</v>
      </c>
      <c r="M14" s="5" t="str">
        <f>_xlfn.XLOOKUP($B14,'GP4'!$C$5:$C$100,'GP4'!$B$5:$B$100,"")</f>
        <v/>
      </c>
      <c r="N14" s="5">
        <f>_xlfn.XLOOKUP(M14,'GP4'!$B$5:$B$100,'GP4'!$A$5:$A$100,0)</f>
        <v>0</v>
      </c>
      <c r="O14" s="5" t="str">
        <f>_xlfn.XLOOKUP($B14,'GP5'!$C$5:$C$100,'GP5'!$B$5:$B$100,"")</f>
        <v/>
      </c>
      <c r="P14" s="5">
        <f>_xlfn.XLOOKUP(O14,'GP5'!$B$5:$B$100,'GP5'!$A$5:$A$100,0)</f>
        <v>0</v>
      </c>
      <c r="Q14" s="20">
        <f>_xlfn.XLOOKUP($B14,EU!$B$5:$B$20,EU!$A$5:$A$20,0)</f>
        <v>0</v>
      </c>
    </row>
    <row r="15" spans="1:17" ht="14.85" customHeight="1" x14ac:dyDescent="0.25">
      <c r="A15" s="2">
        <f>ROW()-2</f>
        <v>13</v>
      </c>
      <c r="B15" s="6" t="s">
        <v>58</v>
      </c>
      <c r="C15" s="3"/>
      <c r="D15" s="4">
        <f>SUM(F15,H15,J15,L15,N15,P15,Q15)-MIN(H15,J15,L15,N15,P15)</f>
        <v>70</v>
      </c>
      <c r="E15" s="5" t="str">
        <f>_xlfn.XLOOKUP(B15,MP!C$5:C$100,MP!B$5:B$100,"")</f>
        <v/>
      </c>
      <c r="F15" s="5">
        <f>_xlfn.XLOOKUP(E15,MP!B$5:B$100,MP!A$5:A$100,0)</f>
        <v>0</v>
      </c>
      <c r="G15" s="5" t="str">
        <f>_xlfn.XLOOKUP($B15,'GP1'!$C$5:$C$100,'GP1'!$B$5:$B$100,"")</f>
        <v/>
      </c>
      <c r="H15" s="5">
        <f>_xlfn.XLOOKUP(G15,'GP1'!$B$5:$B$100,'GP1'!$A$5:$A$100,0)</f>
        <v>0</v>
      </c>
      <c r="I15" s="5" t="str">
        <f>_xlfn.XLOOKUP($B15,'GP2'!$C$5:$C$100,'GP2'!$B$5:$B$100,"")</f>
        <v/>
      </c>
      <c r="J15" s="5">
        <f>_xlfn.XLOOKUP(I15,'GP2'!$B$5:$B$100,'GP2'!$A$5:$A$100,0)</f>
        <v>0</v>
      </c>
      <c r="K15" s="5" t="str">
        <f>_xlfn.XLOOKUP($B15,'GP3'!$C$5:$C$100,'GP3'!$B$5:$B$100,"")</f>
        <v/>
      </c>
      <c r="L15" s="5">
        <f>_xlfn.XLOOKUP(K15,'GP3'!$B$5:$B$100,'GP3'!$A$5:$A$100,0)</f>
        <v>0</v>
      </c>
      <c r="M15" s="5">
        <f>_xlfn.XLOOKUP($B15,'GP4'!$C$5:$C$100,'GP4'!$B$5:$B$100,"")</f>
        <v>3</v>
      </c>
      <c r="N15" s="5">
        <f>_xlfn.XLOOKUP(M15,'GP4'!$B$5:$B$100,'GP4'!$A$5:$A$100,0)</f>
        <v>70</v>
      </c>
      <c r="O15" s="5" t="str">
        <f>_xlfn.XLOOKUP($B15,'GP5'!$C$5:$C$100,'GP5'!$B$5:$B$100,"")</f>
        <v/>
      </c>
      <c r="P15" s="5">
        <f>_xlfn.XLOOKUP(O15,'GP5'!$B$5:$B$100,'GP5'!$A$5:$A$100,0)</f>
        <v>0</v>
      </c>
      <c r="Q15" s="20">
        <f>_xlfn.XLOOKUP($B15,EU!$B$5:$B$20,EU!$A$5:$A$20,0)</f>
        <v>0</v>
      </c>
    </row>
    <row r="16" spans="1:17" ht="14.85" customHeight="1" x14ac:dyDescent="0.25">
      <c r="A16" s="2">
        <f>ROW()-2</f>
        <v>14</v>
      </c>
      <c r="B16" s="6" t="s">
        <v>51</v>
      </c>
      <c r="C16" s="3"/>
      <c r="D16" s="4">
        <f>SUM(F16,H16,J16,L16,N16,P16,Q16)-MIN(H16,J16,L16,N16,P16)</f>
        <v>56</v>
      </c>
      <c r="E16" s="5" t="str">
        <f>_xlfn.XLOOKUP(B16,MP!C$5:C$100,MP!B$5:B$100,"")</f>
        <v/>
      </c>
      <c r="F16" s="5">
        <f>_xlfn.XLOOKUP(E16,MP!B$5:B$100,MP!A$5:A$100,0)</f>
        <v>0</v>
      </c>
      <c r="G16" s="5" t="str">
        <f>_xlfn.XLOOKUP($B16,'GP1'!$C$5:$C$100,'GP1'!$B$5:$B$100,"")</f>
        <v/>
      </c>
      <c r="H16" s="5">
        <f>_xlfn.XLOOKUP(G16,'GP1'!$B$5:$B$100,'GP1'!$A$5:$A$100,0)</f>
        <v>0</v>
      </c>
      <c r="I16" s="5">
        <f>_xlfn.XLOOKUP($B16,'GP2'!$C$5:$C$100,'GP2'!$B$5:$B$100,"")</f>
        <v>9</v>
      </c>
      <c r="J16" s="5">
        <f>_xlfn.XLOOKUP(I16,'GP2'!$B$5:$B$100,'GP2'!$A$5:$A$100,0)</f>
        <v>56</v>
      </c>
      <c r="K16" s="5" t="str">
        <f>_xlfn.XLOOKUP($B16,'GP3'!$C$5:$C$100,'GP3'!$B$5:$B$100,"")</f>
        <v/>
      </c>
      <c r="L16" s="5">
        <f>_xlfn.XLOOKUP(K16,'GP3'!$B$5:$B$100,'GP3'!$A$5:$A$100,0)</f>
        <v>0</v>
      </c>
      <c r="M16" s="5" t="str">
        <f>_xlfn.XLOOKUP($B16,'GP4'!$C$5:$C$100,'GP4'!$B$5:$B$100,"")</f>
        <v/>
      </c>
      <c r="N16" s="5">
        <f>_xlfn.XLOOKUP(M16,'GP4'!$B$5:$B$100,'GP4'!$A$5:$A$100,0)</f>
        <v>0</v>
      </c>
      <c r="O16" s="5" t="str">
        <f>_xlfn.XLOOKUP($B16,'GP5'!$C$5:$C$100,'GP5'!$B$5:$B$100,"")</f>
        <v/>
      </c>
      <c r="P16" s="5">
        <f>_xlfn.XLOOKUP(O16,'GP5'!$B$5:$B$100,'GP5'!$A$5:$A$100,0)</f>
        <v>0</v>
      </c>
      <c r="Q16" s="20">
        <f>_xlfn.XLOOKUP($B16,EU!$B$5:$B$20,EU!$A$5:$A$20,0)</f>
        <v>0</v>
      </c>
    </row>
    <row r="17" spans="1:17" ht="14.85" customHeight="1" x14ac:dyDescent="0.25">
      <c r="A17" s="2">
        <f>ROW()-2</f>
        <v>15</v>
      </c>
      <c r="B17" s="6" t="s">
        <v>75</v>
      </c>
      <c r="C17" s="3"/>
      <c r="D17" s="4">
        <f>SUM(F17,H17,J17,L17,N17,P17,Q17)-MIN(H17,J17,L17,N17,P17)</f>
        <v>54</v>
      </c>
      <c r="E17" s="5" t="str">
        <f>_xlfn.XLOOKUP(B17,MP!C$5:C$100,MP!B$5:B$100,"")</f>
        <v/>
      </c>
      <c r="F17" s="5">
        <f>_xlfn.XLOOKUP(E17,MP!B$5:B$100,MP!A$5:A$100,0)</f>
        <v>0</v>
      </c>
      <c r="G17" s="5" t="str">
        <f>_xlfn.XLOOKUP($B17,'GP1'!$C$5:$C$100,'GP1'!$B$5:$B$100,"")</f>
        <v/>
      </c>
      <c r="H17" s="5">
        <f>_xlfn.XLOOKUP(G17,'GP1'!$B$5:$B$100,'GP1'!$A$5:$A$100,0)</f>
        <v>0</v>
      </c>
      <c r="I17" s="5" t="str">
        <f>_xlfn.XLOOKUP($B17,'GP2'!$C$5:$C$100,'GP2'!$B$5:$B$100,"")</f>
        <v/>
      </c>
      <c r="J17" s="5">
        <f>_xlfn.XLOOKUP(I17,'GP2'!$B$5:$B$100,'GP2'!$A$5:$A$100,0)</f>
        <v>0</v>
      </c>
      <c r="K17" s="5" t="str">
        <f>_xlfn.XLOOKUP($B17,'GP3'!$C$5:$C$100,'GP3'!$B$5:$B$100,"")</f>
        <v/>
      </c>
      <c r="L17" s="5">
        <f>_xlfn.XLOOKUP(K17,'GP3'!$B$5:$B$100,'GP3'!$A$5:$A$100,0)</f>
        <v>0</v>
      </c>
      <c r="M17" s="5" t="str">
        <f>_xlfn.XLOOKUP($B17,'GP4'!$C$5:$C$100,'GP4'!$B$5:$B$100,"")</f>
        <v/>
      </c>
      <c r="N17" s="5">
        <f>_xlfn.XLOOKUP(M17,'GP4'!$B$5:$B$100,'GP4'!$A$5:$A$100,0)</f>
        <v>0</v>
      </c>
      <c r="O17" s="5">
        <f>_xlfn.XLOOKUP($B17,'GP5'!$C$5:$C$100,'GP5'!$B$5:$B$100,"")</f>
        <v>11</v>
      </c>
      <c r="P17" s="5">
        <f>_xlfn.XLOOKUP(O17,'GP5'!$B$5:$B$100,'GP5'!$A$5:$A$100,0)</f>
        <v>54</v>
      </c>
      <c r="Q17" s="20">
        <f>_xlfn.XLOOKUP($B17,EU!$B$5:$B$20,EU!$A$5:$A$20,0)</f>
        <v>0</v>
      </c>
    </row>
    <row r="18" spans="1:17" ht="14.85" customHeight="1" x14ac:dyDescent="0.25">
      <c r="A18" s="2">
        <f>ROW()-2</f>
        <v>16</v>
      </c>
      <c r="B18" s="6" t="s">
        <v>76</v>
      </c>
      <c r="C18" s="3"/>
      <c r="D18" s="4">
        <f>SUM(F18,H18,J18,L18,N18,P18,Q18)-MIN(H18,J18,L18,N18,P18)</f>
        <v>53</v>
      </c>
      <c r="E18" s="5" t="str">
        <f>_xlfn.XLOOKUP(B18,MP!C$5:C$100,MP!B$5:B$100,"")</f>
        <v/>
      </c>
      <c r="F18" s="5">
        <f>_xlfn.XLOOKUP(E18,MP!B$5:B$100,MP!A$5:A$100,0)</f>
        <v>0</v>
      </c>
      <c r="G18" s="5" t="str">
        <f>_xlfn.XLOOKUP($B18,'GP1'!$C$5:$C$100,'GP1'!$B$5:$B$100,"")</f>
        <v/>
      </c>
      <c r="H18" s="5">
        <f>_xlfn.XLOOKUP(G18,'GP1'!$B$5:$B$100,'GP1'!$A$5:$A$100,0)</f>
        <v>0</v>
      </c>
      <c r="I18" s="5" t="str">
        <f>_xlfn.XLOOKUP($B18,'GP2'!$C$5:$C$100,'GP2'!$B$5:$B$100,"")</f>
        <v/>
      </c>
      <c r="J18" s="5">
        <f>_xlfn.XLOOKUP(I18,'GP2'!$B$5:$B$100,'GP2'!$A$5:$A$100,0)</f>
        <v>0</v>
      </c>
      <c r="K18" s="5" t="str">
        <f>_xlfn.XLOOKUP($B18,'GP3'!$C$5:$C$100,'GP3'!$B$5:$B$100,"")</f>
        <v/>
      </c>
      <c r="L18" s="5">
        <f>_xlfn.XLOOKUP(K18,'GP3'!$B$5:$B$100,'GP3'!$A$5:$A$100,0)</f>
        <v>0</v>
      </c>
      <c r="M18" s="5" t="str">
        <f>_xlfn.XLOOKUP($B18,'GP4'!$C$5:$C$100,'GP4'!$B$5:$B$100,"")</f>
        <v/>
      </c>
      <c r="N18" s="5">
        <f>_xlfn.XLOOKUP(M18,'GP4'!$B$5:$B$100,'GP4'!$A$5:$A$100,0)</f>
        <v>0</v>
      </c>
      <c r="O18" s="5">
        <f>_xlfn.XLOOKUP($B18,'GP5'!$C$5:$C$100,'GP5'!$B$5:$B$100,"")</f>
        <v>12</v>
      </c>
      <c r="P18" s="5">
        <f>_xlfn.XLOOKUP(O18,'GP5'!$B$5:$B$100,'GP5'!$A$5:$A$100,0)</f>
        <v>53</v>
      </c>
      <c r="Q18" s="20">
        <f>_xlfn.XLOOKUP($B18,EU!$B$5:$B$20,EU!$A$5:$A$20,0)</f>
        <v>0</v>
      </c>
    </row>
    <row r="19" spans="1:17" ht="14.85" customHeight="1" x14ac:dyDescent="0.25">
      <c r="A19" s="2">
        <f>ROW()-2</f>
        <v>17</v>
      </c>
      <c r="B19" s="6" t="s">
        <v>77</v>
      </c>
      <c r="C19" s="3"/>
      <c r="D19" s="4">
        <f>SUM(F19,H19,J19,L19,N19,P19,Q19)-MIN(H19,J19,L19,N19,P19)</f>
        <v>52</v>
      </c>
      <c r="E19" s="5" t="str">
        <f>_xlfn.XLOOKUP(B19,MP!C$5:C$100,MP!B$5:B$100,"")</f>
        <v/>
      </c>
      <c r="F19" s="5">
        <f>_xlfn.XLOOKUP(E19,MP!B$5:B$100,MP!A$5:A$100,0)</f>
        <v>0</v>
      </c>
      <c r="G19" s="5" t="str">
        <f>_xlfn.XLOOKUP($B19,'GP1'!$C$5:$C$100,'GP1'!$B$5:$B$100,"")</f>
        <v/>
      </c>
      <c r="H19" s="5">
        <f>_xlfn.XLOOKUP(G19,'GP1'!$B$5:$B$100,'GP1'!$A$5:$A$100,0)</f>
        <v>0</v>
      </c>
      <c r="I19" s="5" t="str">
        <f>_xlfn.XLOOKUP($B19,'GP2'!$C$5:$C$100,'GP2'!$B$5:$B$100,"")</f>
        <v/>
      </c>
      <c r="J19" s="5">
        <f>_xlfn.XLOOKUP(I19,'GP2'!$B$5:$B$100,'GP2'!$A$5:$A$100,0)</f>
        <v>0</v>
      </c>
      <c r="K19" s="5" t="str">
        <f>_xlfn.XLOOKUP($B19,'GP3'!$C$5:$C$100,'GP3'!$B$5:$B$100,"")</f>
        <v/>
      </c>
      <c r="L19" s="5">
        <f>_xlfn.XLOOKUP(K19,'GP3'!$B$5:$B$100,'GP3'!$A$5:$A$100,0)</f>
        <v>0</v>
      </c>
      <c r="M19" s="5" t="str">
        <f>_xlfn.XLOOKUP($B19,'GP4'!$C$5:$C$100,'GP4'!$B$5:$B$100,"")</f>
        <v/>
      </c>
      <c r="N19" s="5">
        <f>_xlfn.XLOOKUP(M19,'GP4'!$B$5:$B$100,'GP4'!$A$5:$A$100,0)</f>
        <v>0</v>
      </c>
      <c r="O19" s="5">
        <f>_xlfn.XLOOKUP($B19,'GP5'!$C$5:$C$100,'GP5'!$B$5:$B$100,"")</f>
        <v>13</v>
      </c>
      <c r="P19" s="5">
        <f>_xlfn.XLOOKUP(O19,'GP5'!$B$5:$B$100,'GP5'!$A$5:$A$100,0)</f>
        <v>52</v>
      </c>
      <c r="Q19" s="20">
        <f>_xlfn.XLOOKUP($B19,EU!$B$5:$B$20,EU!$A$5:$A$20,0)</f>
        <v>0</v>
      </c>
    </row>
    <row r="20" spans="1:17" ht="14.85" customHeight="1" x14ac:dyDescent="0.25">
      <c r="A20" s="2">
        <f>ROW()-2</f>
        <v>18</v>
      </c>
      <c r="B20" s="6" t="s">
        <v>78</v>
      </c>
      <c r="C20" s="3"/>
      <c r="D20" s="4">
        <f>SUM(F20,H20,J20,L20,N20,P20,Q20)-MIN(H20,J20,L20,N20,P20)</f>
        <v>51</v>
      </c>
      <c r="E20" s="5" t="str">
        <f>_xlfn.XLOOKUP(B20,MP!C$5:C$100,MP!B$5:B$100,"")</f>
        <v/>
      </c>
      <c r="F20" s="5">
        <f>_xlfn.XLOOKUP(E20,MP!B$5:B$100,MP!A$5:A$100,0)</f>
        <v>0</v>
      </c>
      <c r="G20" s="5" t="str">
        <f>_xlfn.XLOOKUP($B20,'GP1'!$C$5:$C$100,'GP1'!$B$5:$B$100,"")</f>
        <v/>
      </c>
      <c r="H20" s="5">
        <f>_xlfn.XLOOKUP(G20,'GP1'!$B$5:$B$100,'GP1'!$A$5:$A$100,0)</f>
        <v>0</v>
      </c>
      <c r="I20" s="5" t="str">
        <f>_xlfn.XLOOKUP($B20,'GP2'!$C$5:$C$100,'GP2'!$B$5:$B$100,"")</f>
        <v/>
      </c>
      <c r="J20" s="5">
        <f>_xlfn.XLOOKUP(I20,'GP2'!$B$5:$B$100,'GP2'!$A$5:$A$100,0)</f>
        <v>0</v>
      </c>
      <c r="K20" s="5" t="str">
        <f>_xlfn.XLOOKUP($B20,'GP3'!$C$5:$C$100,'GP3'!$B$5:$B$100,"")</f>
        <v/>
      </c>
      <c r="L20" s="5">
        <f>_xlfn.XLOOKUP(K20,'GP3'!$B$5:$B$100,'GP3'!$A$5:$A$100,0)</f>
        <v>0</v>
      </c>
      <c r="M20" s="5" t="str">
        <f>_xlfn.XLOOKUP($B20,'GP4'!$C$5:$C$100,'GP4'!$B$5:$B$100,"")</f>
        <v/>
      </c>
      <c r="N20" s="5">
        <f>_xlfn.XLOOKUP(M20,'GP4'!$B$5:$B$100,'GP4'!$A$5:$A$100,0)</f>
        <v>0</v>
      </c>
      <c r="O20" s="5">
        <f>_xlfn.XLOOKUP($B20,'GP5'!$C$5:$C$100,'GP5'!$B$5:$B$100,"")</f>
        <v>14</v>
      </c>
      <c r="P20" s="5">
        <f>_xlfn.XLOOKUP(O20,'GP5'!$B$5:$B$100,'GP5'!$A$5:$A$100,0)</f>
        <v>51</v>
      </c>
      <c r="Q20" s="20">
        <f>_xlfn.XLOOKUP($B20,EU!$B$5:$B$20,EU!$A$5:$A$20,0)</f>
        <v>0</v>
      </c>
    </row>
    <row r="21" spans="1:17" ht="14.85" customHeight="1" x14ac:dyDescent="0.25">
      <c r="A21" s="2">
        <f>ROW()-2</f>
        <v>19</v>
      </c>
      <c r="B21" s="6" t="s">
        <v>79</v>
      </c>
      <c r="C21" s="3"/>
      <c r="D21" s="4">
        <f>SUM(F21,H21,J21,L21,N21,P21,Q21)-MIN(H21,J21,L21,N21,P21)</f>
        <v>50</v>
      </c>
      <c r="E21" s="5" t="str">
        <f>_xlfn.XLOOKUP(B21,MP!C$5:C$100,MP!B$5:B$100,"")</f>
        <v/>
      </c>
      <c r="F21" s="5">
        <f>_xlfn.XLOOKUP(E21,MP!B$5:B$100,MP!A$5:A$100,0)</f>
        <v>0</v>
      </c>
      <c r="G21" s="5" t="str">
        <f>_xlfn.XLOOKUP($B21,'GP1'!$C$5:$C$100,'GP1'!$B$5:$B$100,"")</f>
        <v/>
      </c>
      <c r="H21" s="5">
        <f>_xlfn.XLOOKUP(G21,'GP1'!$B$5:$B$100,'GP1'!$A$5:$A$100,0)</f>
        <v>0</v>
      </c>
      <c r="I21" s="5" t="str">
        <f>_xlfn.XLOOKUP($B21,'GP2'!$C$5:$C$100,'GP2'!$B$5:$B$100,"")</f>
        <v/>
      </c>
      <c r="J21" s="5">
        <f>_xlfn.XLOOKUP(I21,'GP2'!$B$5:$B$100,'GP2'!$A$5:$A$100,0)</f>
        <v>0</v>
      </c>
      <c r="K21" s="5" t="str">
        <f>_xlfn.XLOOKUP($B21,'GP3'!$C$5:$C$100,'GP3'!$B$5:$B$100,"")</f>
        <v/>
      </c>
      <c r="L21" s="5">
        <f>_xlfn.XLOOKUP(K21,'GP3'!$B$5:$B$100,'GP3'!$A$5:$A$100,0)</f>
        <v>0</v>
      </c>
      <c r="M21" s="5" t="str">
        <f>_xlfn.XLOOKUP($B21,'GP4'!$C$5:$C$100,'GP4'!$B$5:$B$100,"")</f>
        <v/>
      </c>
      <c r="N21" s="5">
        <f>_xlfn.XLOOKUP(M21,'GP4'!$B$5:$B$100,'GP4'!$A$5:$A$100,0)</f>
        <v>0</v>
      </c>
      <c r="O21" s="5">
        <f>_xlfn.XLOOKUP($B21,'GP5'!$C$5:$C$100,'GP5'!$B$5:$B$100,"")</f>
        <v>15</v>
      </c>
      <c r="P21" s="5">
        <f>_xlfn.XLOOKUP(O21,'GP5'!$B$5:$B$100,'GP5'!$A$5:$A$100,0)</f>
        <v>50</v>
      </c>
      <c r="Q21" s="20">
        <f>_xlfn.XLOOKUP($B21,EU!$B$5:$B$20,EU!$A$5:$A$20,0)</f>
        <v>0</v>
      </c>
    </row>
    <row r="22" spans="1:17" ht="14.85" customHeight="1" x14ac:dyDescent="0.25">
      <c r="A22" s="2">
        <f>ROW()-2</f>
        <v>20</v>
      </c>
      <c r="B22" s="6" t="s">
        <v>80</v>
      </c>
      <c r="C22" s="3"/>
      <c r="D22" s="4">
        <f>SUM(F22,H22,J22,L22,N22,P22,Q22)-MIN(H22,J22,L22,N22,P22)</f>
        <v>49</v>
      </c>
      <c r="E22" s="5" t="str">
        <f>_xlfn.XLOOKUP(B22,MP!C$5:C$100,MP!B$5:B$100,"")</f>
        <v/>
      </c>
      <c r="F22" s="5">
        <f>_xlfn.XLOOKUP(E22,MP!B$5:B$100,MP!A$5:A$100,0)</f>
        <v>0</v>
      </c>
      <c r="G22" s="5" t="str">
        <f>_xlfn.XLOOKUP($B22,'GP1'!$C$5:$C$100,'GP1'!$B$5:$B$100,"")</f>
        <v/>
      </c>
      <c r="H22" s="5">
        <f>_xlfn.XLOOKUP(G22,'GP1'!$B$5:$B$100,'GP1'!$A$5:$A$100,0)</f>
        <v>0</v>
      </c>
      <c r="I22" s="5" t="str">
        <f>_xlfn.XLOOKUP($B22,'GP2'!$C$5:$C$100,'GP2'!$B$5:$B$100,"")</f>
        <v/>
      </c>
      <c r="J22" s="5">
        <f>_xlfn.XLOOKUP(I22,'GP2'!$B$5:$B$100,'GP2'!$A$5:$A$100,0)</f>
        <v>0</v>
      </c>
      <c r="K22" s="5" t="str">
        <f>_xlfn.XLOOKUP($B22,'GP3'!$C$5:$C$100,'GP3'!$B$5:$B$100,"")</f>
        <v/>
      </c>
      <c r="L22" s="5">
        <f>_xlfn.XLOOKUP(K22,'GP3'!$B$5:$B$100,'GP3'!$A$5:$A$100,0)</f>
        <v>0</v>
      </c>
      <c r="M22" s="5" t="str">
        <f>_xlfn.XLOOKUP($B22,'GP4'!$C$5:$C$100,'GP4'!$B$5:$B$100,"")</f>
        <v/>
      </c>
      <c r="N22" s="5">
        <f>_xlfn.XLOOKUP(M22,'GP4'!$B$5:$B$100,'GP4'!$A$5:$A$100,0)</f>
        <v>0</v>
      </c>
      <c r="O22" s="5">
        <f>_xlfn.XLOOKUP($B22,'GP5'!$C$5:$C$100,'GP5'!$B$5:$B$100,"")</f>
        <v>16</v>
      </c>
      <c r="P22" s="5">
        <f>_xlfn.XLOOKUP(O22,'GP5'!$B$5:$B$100,'GP5'!$A$5:$A$100,0)</f>
        <v>49</v>
      </c>
      <c r="Q22" s="20">
        <f>_xlfn.XLOOKUP($B22,EU!$B$5:$B$20,EU!$A$5:$A$20,0)</f>
        <v>0</v>
      </c>
    </row>
    <row r="23" spans="1:17" ht="14.85" customHeight="1" x14ac:dyDescent="0.25">
      <c r="A23" s="2">
        <f>ROW()-2</f>
        <v>21</v>
      </c>
      <c r="B23" s="6"/>
      <c r="C23" s="3"/>
      <c r="D23" s="4">
        <f>SUM(F23,H23,J23,L23,N23,P23,Q23)-MIN(H23,J23,L23,N23,P23)</f>
        <v>0</v>
      </c>
      <c r="E23" s="5">
        <f>_xlfn.XLOOKUP(B23,MP!C$5:C$100,MP!B$5:B$100,"")</f>
        <v>0</v>
      </c>
      <c r="F23" s="5">
        <f>_xlfn.XLOOKUP(E23,MP!B$5:B$100,MP!A$5:A$100,0)</f>
        <v>0</v>
      </c>
      <c r="G23" s="5">
        <f>_xlfn.XLOOKUP($B23,'GP1'!$C$5:$C$100,'GP1'!$B$5:$B$100,"")</f>
        <v>0</v>
      </c>
      <c r="H23" s="5">
        <f>_xlfn.XLOOKUP(G23,'GP1'!$B$5:$B$100,'GP1'!$A$5:$A$100,0)</f>
        <v>0</v>
      </c>
      <c r="I23" s="5">
        <f>_xlfn.XLOOKUP($B23,'GP2'!$C$5:$C$100,'GP2'!$B$5:$B$100,"")</f>
        <v>0</v>
      </c>
      <c r="J23" s="5">
        <f>_xlfn.XLOOKUP(I23,'GP2'!$B$5:$B$100,'GP2'!$A$5:$A$100,0)</f>
        <v>0</v>
      </c>
      <c r="K23" s="5">
        <f>_xlfn.XLOOKUP($B23,'GP3'!$C$5:$C$100,'GP3'!$B$5:$B$100,"")</f>
        <v>0</v>
      </c>
      <c r="L23" s="5">
        <f>_xlfn.XLOOKUP(K23,'GP3'!$B$5:$B$100,'GP3'!$A$5:$A$100,0)</f>
        <v>0</v>
      </c>
      <c r="M23" s="5">
        <f>_xlfn.XLOOKUP($B23,'GP4'!$C$5:$C$100,'GP4'!$B$5:$B$100,"")</f>
        <v>0</v>
      </c>
      <c r="N23" s="5">
        <f>_xlfn.XLOOKUP(M23,'GP4'!$B$5:$B$100,'GP4'!$A$5:$A$100,0)</f>
        <v>0</v>
      </c>
      <c r="O23" s="5">
        <f>_xlfn.XLOOKUP($B23,'GP5'!$C$5:$C$100,'GP5'!$B$5:$B$100,"")</f>
        <v>0</v>
      </c>
      <c r="P23" s="5">
        <f>_xlfn.XLOOKUP(O23,'GP5'!$B$5:$B$100,'GP5'!$A$5:$A$100,0)</f>
        <v>0</v>
      </c>
      <c r="Q23" s="20">
        <f>_xlfn.XLOOKUP($B23,EU!$B$5:$B$20,EU!$A$5:$A$20,0)</f>
        <v>0</v>
      </c>
    </row>
    <row r="24" spans="1:17" ht="14.85" customHeight="1" x14ac:dyDescent="0.25">
      <c r="A24" s="2">
        <f>ROW()-2</f>
        <v>22</v>
      </c>
      <c r="B24" s="6"/>
      <c r="C24" s="3"/>
      <c r="D24" s="4">
        <f>SUM(F24,H24,J24,L24,N24,P24,Q24)-MIN(H24,J24,L24,N24,P24)</f>
        <v>0</v>
      </c>
      <c r="E24" s="5">
        <f>_xlfn.XLOOKUP(B24,MP!C$5:C$100,MP!B$5:B$100,"")</f>
        <v>0</v>
      </c>
      <c r="F24" s="5">
        <f>_xlfn.XLOOKUP(E24,MP!B$5:B$100,MP!A$5:A$100,0)</f>
        <v>0</v>
      </c>
      <c r="G24" s="5">
        <f>_xlfn.XLOOKUP($B24,'GP1'!$C$5:$C$100,'GP1'!$B$5:$B$100,"")</f>
        <v>0</v>
      </c>
      <c r="H24" s="5">
        <f>_xlfn.XLOOKUP(G24,'GP1'!$B$5:$B$100,'GP1'!$A$5:$A$100,0)</f>
        <v>0</v>
      </c>
      <c r="I24" s="5">
        <f>_xlfn.XLOOKUP($B24,'GP2'!$C$5:$C$100,'GP2'!$B$5:$B$100,"")</f>
        <v>0</v>
      </c>
      <c r="J24" s="5">
        <f>_xlfn.XLOOKUP(I24,'GP2'!$B$5:$B$100,'GP2'!$A$5:$A$100,0)</f>
        <v>0</v>
      </c>
      <c r="K24" s="5">
        <f>_xlfn.XLOOKUP($B24,'GP3'!$C$5:$C$100,'GP3'!$B$5:$B$100,"")</f>
        <v>0</v>
      </c>
      <c r="L24" s="5">
        <f>_xlfn.XLOOKUP(K24,'GP3'!$B$5:$B$100,'GP3'!$A$5:$A$100,0)</f>
        <v>0</v>
      </c>
      <c r="M24" s="5">
        <f>_xlfn.XLOOKUP($B24,'GP4'!$C$5:$C$100,'GP4'!$B$5:$B$100,"")</f>
        <v>0</v>
      </c>
      <c r="N24" s="5">
        <f>_xlfn.XLOOKUP(M24,'GP4'!$B$5:$B$100,'GP4'!$A$5:$A$100,0)</f>
        <v>0</v>
      </c>
      <c r="O24" s="5">
        <f>_xlfn.XLOOKUP($B24,'GP5'!$C$5:$C$100,'GP5'!$B$5:$B$100,"")</f>
        <v>0</v>
      </c>
      <c r="P24" s="5">
        <f>_xlfn.XLOOKUP(O24,'GP5'!$B$5:$B$100,'GP5'!$A$5:$A$100,0)</f>
        <v>0</v>
      </c>
      <c r="Q24" s="20">
        <f>_xlfn.XLOOKUP($B24,EU!$B$5:$B$20,EU!$A$5:$A$20,0)</f>
        <v>0</v>
      </c>
    </row>
    <row r="25" spans="1:17" ht="14.85" customHeight="1" x14ac:dyDescent="0.25">
      <c r="A25" s="2">
        <f>ROW()-2</f>
        <v>23</v>
      </c>
      <c r="B25" s="6"/>
      <c r="C25" s="3"/>
      <c r="D25" s="4">
        <f>SUM(F25,H25,J25,L25,N25,P25,Q25)-MIN(H25,J25,L25,N25,P25)</f>
        <v>0</v>
      </c>
      <c r="E25" s="5">
        <f>_xlfn.XLOOKUP(B25,MP!C$5:C$100,MP!B$5:B$100,"")</f>
        <v>0</v>
      </c>
      <c r="F25" s="5">
        <f>_xlfn.XLOOKUP(E25,MP!B$5:B$100,MP!A$5:A$100,0)</f>
        <v>0</v>
      </c>
      <c r="G25" s="5">
        <f>_xlfn.XLOOKUP($B25,'GP1'!$C$5:$C$100,'GP1'!$B$5:$B$100,"")</f>
        <v>0</v>
      </c>
      <c r="H25" s="5">
        <f>_xlfn.XLOOKUP(G25,'GP1'!$B$5:$B$100,'GP1'!$A$5:$A$100,0)</f>
        <v>0</v>
      </c>
      <c r="I25" s="5">
        <f>_xlfn.XLOOKUP($B25,'GP2'!$C$5:$C$100,'GP2'!$B$5:$B$100,"")</f>
        <v>0</v>
      </c>
      <c r="J25" s="5">
        <f>_xlfn.XLOOKUP(I25,'GP2'!$B$5:$B$100,'GP2'!$A$5:$A$100,0)</f>
        <v>0</v>
      </c>
      <c r="K25" s="5">
        <f>_xlfn.XLOOKUP($B25,'GP3'!$C$5:$C$100,'GP3'!$B$5:$B$100,"")</f>
        <v>0</v>
      </c>
      <c r="L25" s="5">
        <f>_xlfn.XLOOKUP(K25,'GP3'!$B$5:$B$100,'GP3'!$A$5:$A$100,0)</f>
        <v>0</v>
      </c>
      <c r="M25" s="5">
        <f>_xlfn.XLOOKUP($B25,'GP4'!$C$5:$C$100,'GP4'!$B$5:$B$100,"")</f>
        <v>0</v>
      </c>
      <c r="N25" s="5">
        <f>_xlfn.XLOOKUP(M25,'GP4'!$B$5:$B$100,'GP4'!$A$5:$A$100,0)</f>
        <v>0</v>
      </c>
      <c r="O25" s="5">
        <f>_xlfn.XLOOKUP($B25,'GP5'!$C$5:$C$100,'GP5'!$B$5:$B$100,"")</f>
        <v>0</v>
      </c>
      <c r="P25" s="5">
        <f>_xlfn.XLOOKUP(O25,'GP5'!$B$5:$B$100,'GP5'!$A$5:$A$100,0)</f>
        <v>0</v>
      </c>
      <c r="Q25" s="20">
        <f>_xlfn.XLOOKUP($B25,EU!$B$5:$B$20,EU!$A$5:$A$20,0)</f>
        <v>0</v>
      </c>
    </row>
    <row r="26" spans="1:17" ht="14.85" customHeight="1" x14ac:dyDescent="0.25">
      <c r="A26" s="2">
        <f>ROW()-2</f>
        <v>24</v>
      </c>
      <c r="B26" s="6"/>
      <c r="C26" s="3"/>
      <c r="D26" s="4">
        <f>SUM(F26,H26,J26,L26,N26,P26,Q26)-MIN(H26,J26,L26,N26,P26)</f>
        <v>0</v>
      </c>
      <c r="E26" s="5">
        <f>_xlfn.XLOOKUP(B26,MP!C$5:C$100,MP!B$5:B$100,"")</f>
        <v>0</v>
      </c>
      <c r="F26" s="5">
        <f>_xlfn.XLOOKUP(E26,MP!B$5:B$100,MP!A$5:A$100,0)</f>
        <v>0</v>
      </c>
      <c r="G26" s="5">
        <f>_xlfn.XLOOKUP($B26,'GP1'!$C$5:$C$100,'GP1'!$B$5:$B$100,"")</f>
        <v>0</v>
      </c>
      <c r="H26" s="5">
        <f>_xlfn.XLOOKUP(G26,'GP1'!$B$5:$B$100,'GP1'!$A$5:$A$100,0)</f>
        <v>0</v>
      </c>
      <c r="I26" s="5">
        <f>_xlfn.XLOOKUP($B26,'GP2'!$C$5:$C$100,'GP2'!$B$5:$B$100,"")</f>
        <v>0</v>
      </c>
      <c r="J26" s="5">
        <f>_xlfn.XLOOKUP(I26,'GP2'!$B$5:$B$100,'GP2'!$A$5:$A$100,0)</f>
        <v>0</v>
      </c>
      <c r="K26" s="5">
        <f>_xlfn.XLOOKUP($B26,'GP3'!$C$5:$C$100,'GP3'!$B$5:$B$100,"")</f>
        <v>0</v>
      </c>
      <c r="L26" s="5">
        <f>_xlfn.XLOOKUP(K26,'GP3'!$B$5:$B$100,'GP3'!$A$5:$A$100,0)</f>
        <v>0</v>
      </c>
      <c r="M26" s="5">
        <f>_xlfn.XLOOKUP($B26,'GP4'!$C$5:$C$100,'GP4'!$B$5:$B$100,"")</f>
        <v>0</v>
      </c>
      <c r="N26" s="5">
        <f>_xlfn.XLOOKUP(M26,'GP4'!$B$5:$B$100,'GP4'!$A$5:$A$100,0)</f>
        <v>0</v>
      </c>
      <c r="O26" s="5">
        <f>_xlfn.XLOOKUP($B26,'GP5'!$C$5:$C$100,'GP5'!$B$5:$B$100,"")</f>
        <v>0</v>
      </c>
      <c r="P26" s="5">
        <f>_xlfn.XLOOKUP(O26,'GP5'!$B$5:$B$100,'GP5'!$A$5:$A$100,0)</f>
        <v>0</v>
      </c>
      <c r="Q26" s="20">
        <f>_xlfn.XLOOKUP($B26,EU!$B$5:$B$20,EU!$A$5:$A$20,0)</f>
        <v>0</v>
      </c>
    </row>
    <row r="27" spans="1:17" ht="14.85" customHeight="1" x14ac:dyDescent="0.25">
      <c r="A27" s="2">
        <f>ROW()-2</f>
        <v>25</v>
      </c>
      <c r="B27" s="6"/>
      <c r="C27" s="3"/>
      <c r="D27" s="4">
        <f>SUM(F27,H27,J27,L27,N27,P27,Q27)-MIN(H27,J27,L27,N27,P27)</f>
        <v>0</v>
      </c>
      <c r="E27" s="5">
        <f>_xlfn.XLOOKUP(B27,MP!C$5:C$100,MP!B$5:B$100,"")</f>
        <v>0</v>
      </c>
      <c r="F27" s="5">
        <f>_xlfn.XLOOKUP(E27,MP!B$5:B$100,MP!A$5:A$100,0)</f>
        <v>0</v>
      </c>
      <c r="G27" s="5">
        <f>_xlfn.XLOOKUP($B27,'GP1'!$C$5:$C$100,'GP1'!$B$5:$B$100,"")</f>
        <v>0</v>
      </c>
      <c r="H27" s="5">
        <f>_xlfn.XLOOKUP(G27,'GP1'!$B$5:$B$100,'GP1'!$A$5:$A$100,0)</f>
        <v>0</v>
      </c>
      <c r="I27" s="5">
        <f>_xlfn.XLOOKUP($B27,'GP2'!$C$5:$C$100,'GP2'!$B$5:$B$100,"")</f>
        <v>0</v>
      </c>
      <c r="J27" s="5">
        <f>_xlfn.XLOOKUP(I27,'GP2'!$B$5:$B$100,'GP2'!$A$5:$A$100,0)</f>
        <v>0</v>
      </c>
      <c r="K27" s="5">
        <f>_xlfn.XLOOKUP($B27,'GP3'!$C$5:$C$100,'GP3'!$B$5:$B$100,"")</f>
        <v>0</v>
      </c>
      <c r="L27" s="5">
        <f>_xlfn.XLOOKUP(K27,'GP3'!$B$5:$B$100,'GP3'!$A$5:$A$100,0)</f>
        <v>0</v>
      </c>
      <c r="M27" s="5">
        <f>_xlfn.XLOOKUP($B27,'GP4'!$C$5:$C$100,'GP4'!$B$5:$B$100,"")</f>
        <v>0</v>
      </c>
      <c r="N27" s="5">
        <f>_xlfn.XLOOKUP(M27,'GP4'!$B$5:$B$100,'GP4'!$A$5:$A$100,0)</f>
        <v>0</v>
      </c>
      <c r="O27" s="5">
        <f>_xlfn.XLOOKUP($B27,'GP5'!$C$5:$C$100,'GP5'!$B$5:$B$100,"")</f>
        <v>0</v>
      </c>
      <c r="P27" s="5">
        <f>_xlfn.XLOOKUP(O27,'GP5'!$B$5:$B$100,'GP5'!$A$5:$A$100,0)</f>
        <v>0</v>
      </c>
      <c r="Q27" s="20">
        <f>_xlfn.XLOOKUP($B27,EU!$B$5:$B$20,EU!$A$5:$A$20,0)</f>
        <v>0</v>
      </c>
    </row>
    <row r="28" spans="1:17" ht="14.85" customHeight="1" x14ac:dyDescent="0.25">
      <c r="A28" s="2">
        <f>ROW()-2</f>
        <v>26</v>
      </c>
      <c r="B28" s="6"/>
      <c r="C28" s="3"/>
      <c r="D28" s="4">
        <f>SUM(F28,H28,J28,L28,N28,P28,Q28)-MIN(H28,J28,L28,N28,P28)</f>
        <v>0</v>
      </c>
      <c r="E28" s="5">
        <f>_xlfn.XLOOKUP(B28,MP!C$5:C$100,MP!B$5:B$100,"")</f>
        <v>0</v>
      </c>
      <c r="F28" s="5">
        <f>_xlfn.XLOOKUP(E28,MP!B$5:B$100,MP!A$5:A$100,0)</f>
        <v>0</v>
      </c>
      <c r="G28" s="5">
        <f>_xlfn.XLOOKUP($B28,'GP1'!$C$5:$C$100,'GP1'!$B$5:$B$100,"")</f>
        <v>0</v>
      </c>
      <c r="H28" s="5">
        <f>_xlfn.XLOOKUP(G28,'GP1'!$B$5:$B$100,'GP1'!$A$5:$A$100,0)</f>
        <v>0</v>
      </c>
      <c r="I28" s="5">
        <f>_xlfn.XLOOKUP($B28,'GP2'!$C$5:$C$100,'GP2'!$B$5:$B$100,"")</f>
        <v>0</v>
      </c>
      <c r="J28" s="5">
        <f>_xlfn.XLOOKUP(I28,'GP2'!$B$5:$B$100,'GP2'!$A$5:$A$100,0)</f>
        <v>0</v>
      </c>
      <c r="K28" s="5">
        <f>_xlfn.XLOOKUP($B28,'GP3'!$C$5:$C$100,'GP3'!$B$5:$B$100,"")</f>
        <v>0</v>
      </c>
      <c r="L28" s="5">
        <f>_xlfn.XLOOKUP(K28,'GP3'!$B$5:$B$100,'GP3'!$A$5:$A$100,0)</f>
        <v>0</v>
      </c>
      <c r="M28" s="5">
        <f>_xlfn.XLOOKUP($B28,'GP4'!$C$5:$C$100,'GP4'!$B$5:$B$100,"")</f>
        <v>0</v>
      </c>
      <c r="N28" s="5">
        <f>_xlfn.XLOOKUP(M28,'GP4'!$B$5:$B$100,'GP4'!$A$5:$A$100,0)</f>
        <v>0</v>
      </c>
      <c r="O28" s="5">
        <f>_xlfn.XLOOKUP($B28,'GP5'!$C$5:$C$100,'GP5'!$B$5:$B$100,"")</f>
        <v>0</v>
      </c>
      <c r="P28" s="5">
        <f>_xlfn.XLOOKUP(O28,'GP5'!$B$5:$B$100,'GP5'!$A$5:$A$100,0)</f>
        <v>0</v>
      </c>
      <c r="Q28" s="20">
        <f>_xlfn.XLOOKUP($B28,EU!$B$5:$B$20,EU!$A$5:$A$20,0)</f>
        <v>0</v>
      </c>
    </row>
    <row r="29" spans="1:17" ht="14.85" customHeight="1" x14ac:dyDescent="0.25">
      <c r="A29" s="2">
        <f>ROW()-2</f>
        <v>27</v>
      </c>
      <c r="B29" s="6"/>
      <c r="C29" s="3"/>
      <c r="D29" s="4">
        <f>SUM(F29,H29,J29,L29,N29,P29,Q29)-MIN(H29,J29,L29,N29,P29)</f>
        <v>0</v>
      </c>
      <c r="E29" s="5">
        <f>_xlfn.XLOOKUP(B29,MP!C$5:C$100,MP!B$5:B$100,"")</f>
        <v>0</v>
      </c>
      <c r="F29" s="5">
        <f>_xlfn.XLOOKUP(E29,MP!B$5:B$100,MP!A$5:A$100,0)</f>
        <v>0</v>
      </c>
      <c r="G29" s="5">
        <f>_xlfn.XLOOKUP($B29,'GP1'!$C$5:$C$100,'GP1'!$B$5:$B$100,"")</f>
        <v>0</v>
      </c>
      <c r="H29" s="5">
        <f>_xlfn.XLOOKUP(G29,'GP1'!$B$5:$B$100,'GP1'!$A$5:$A$100,0)</f>
        <v>0</v>
      </c>
      <c r="I29" s="5">
        <f>_xlfn.XLOOKUP($B29,'GP2'!$C$5:$C$100,'GP2'!$B$5:$B$100,"")</f>
        <v>0</v>
      </c>
      <c r="J29" s="5">
        <f>_xlfn.XLOOKUP(I29,'GP2'!$B$5:$B$100,'GP2'!$A$5:$A$100,0)</f>
        <v>0</v>
      </c>
      <c r="K29" s="5">
        <f>_xlfn.XLOOKUP($B29,'GP3'!$C$5:$C$100,'GP3'!$B$5:$B$100,"")</f>
        <v>0</v>
      </c>
      <c r="L29" s="5">
        <f>_xlfn.XLOOKUP(K29,'GP3'!$B$5:$B$100,'GP3'!$A$5:$A$100,0)</f>
        <v>0</v>
      </c>
      <c r="M29" s="5">
        <f>_xlfn.XLOOKUP($B29,'GP4'!$C$5:$C$100,'GP4'!$B$5:$B$100,"")</f>
        <v>0</v>
      </c>
      <c r="N29" s="5">
        <f>_xlfn.XLOOKUP(M29,'GP4'!$B$5:$B$100,'GP4'!$A$5:$A$100,0)</f>
        <v>0</v>
      </c>
      <c r="O29" s="5">
        <f>_xlfn.XLOOKUP($B29,'GP5'!$C$5:$C$100,'GP5'!$B$5:$B$100,"")</f>
        <v>0</v>
      </c>
      <c r="P29" s="5">
        <f>_xlfn.XLOOKUP(O29,'GP5'!$B$5:$B$100,'GP5'!$A$5:$A$100,0)</f>
        <v>0</v>
      </c>
      <c r="Q29" s="20">
        <f>_xlfn.XLOOKUP($B29,EU!$B$5:$B$20,EU!$A$5:$A$20,0)</f>
        <v>0</v>
      </c>
    </row>
    <row r="30" spans="1:17" ht="14.85" customHeight="1" x14ac:dyDescent="0.25">
      <c r="A30" s="2">
        <f>ROW()-2</f>
        <v>28</v>
      </c>
      <c r="B30" s="6"/>
      <c r="C30" s="3"/>
      <c r="D30" s="4">
        <f>SUM(F30,H30,J30,L30,N30,P30,Q30)-MIN(H30,J30,L30,N30,P30)</f>
        <v>0</v>
      </c>
      <c r="E30" s="5">
        <f>_xlfn.XLOOKUP(B30,MP!C$5:C$100,MP!B$5:B$100,"")</f>
        <v>0</v>
      </c>
      <c r="F30" s="5">
        <f>_xlfn.XLOOKUP(E30,MP!B$5:B$100,MP!A$5:A$100,0)</f>
        <v>0</v>
      </c>
      <c r="G30" s="5">
        <f>_xlfn.XLOOKUP($B30,'GP1'!$C$5:$C$100,'GP1'!$B$5:$B$100,"")</f>
        <v>0</v>
      </c>
      <c r="H30" s="5">
        <f>_xlfn.XLOOKUP(G30,'GP1'!$B$5:$B$100,'GP1'!$A$5:$A$100,0)</f>
        <v>0</v>
      </c>
      <c r="I30" s="5">
        <f>_xlfn.XLOOKUP($B30,'GP2'!$C$5:$C$100,'GP2'!$B$5:$B$100,"")</f>
        <v>0</v>
      </c>
      <c r="J30" s="5">
        <f>_xlfn.XLOOKUP(I30,'GP2'!$B$5:$B$100,'GP2'!$A$5:$A$100,0)</f>
        <v>0</v>
      </c>
      <c r="K30" s="5">
        <f>_xlfn.XLOOKUP($B30,'GP3'!$C$5:$C$100,'GP3'!$B$5:$B$100,"")</f>
        <v>0</v>
      </c>
      <c r="L30" s="5">
        <f>_xlfn.XLOOKUP(K30,'GP3'!$B$5:$B$100,'GP3'!$A$5:$A$100,0)</f>
        <v>0</v>
      </c>
      <c r="M30" s="5">
        <f>_xlfn.XLOOKUP($B30,'GP4'!$C$5:$C$100,'GP4'!$B$5:$B$100,"")</f>
        <v>0</v>
      </c>
      <c r="N30" s="5">
        <f>_xlfn.XLOOKUP(M30,'GP4'!$B$5:$B$100,'GP4'!$A$5:$A$100,0)</f>
        <v>0</v>
      </c>
      <c r="O30" s="5">
        <f>_xlfn.XLOOKUP($B30,'GP5'!$C$5:$C$100,'GP5'!$B$5:$B$100,"")</f>
        <v>0</v>
      </c>
      <c r="P30" s="5">
        <f>_xlfn.XLOOKUP(O30,'GP5'!$B$5:$B$100,'GP5'!$A$5:$A$100,0)</f>
        <v>0</v>
      </c>
      <c r="Q30" s="20">
        <f>_xlfn.XLOOKUP($B30,EU!$B$5:$B$20,EU!$A$5:$A$20,0)</f>
        <v>0</v>
      </c>
    </row>
  </sheetData>
  <sheetProtection selectLockedCells="1" selectUnlockedCells="1"/>
  <autoFilter ref="A2:Q2" xr:uid="{00000000-0001-0000-0000-000000000000}">
    <sortState xmlns:xlrd2="http://schemas.microsoft.com/office/spreadsheetml/2017/richdata2" ref="A4:Q30">
      <sortCondition descending="1" ref="D2"/>
    </sortState>
  </autoFilter>
  <mergeCells count="10">
    <mergeCell ref="I1:J1"/>
    <mergeCell ref="K1:L1"/>
    <mergeCell ref="M1:N1"/>
    <mergeCell ref="O1:P1"/>
    <mergeCell ref="G1:H1"/>
    <mergeCell ref="A1:A2"/>
    <mergeCell ref="B1:B2"/>
    <mergeCell ref="C1:C2"/>
    <mergeCell ref="D1:D2"/>
    <mergeCell ref="E1:F1"/>
  </mergeCells>
  <conditionalFormatting sqref="A3:A19">
    <cfRule type="cellIs" dxfId="10" priority="19" operator="equal">
      <formula>3</formula>
    </cfRule>
    <cfRule type="cellIs" dxfId="9" priority="24" operator="equal">
      <formula>2</formula>
    </cfRule>
    <cfRule type="cellIs" dxfId="8" priority="25" operator="equal">
      <formula>1</formula>
    </cfRule>
  </conditionalFormatting>
  <conditionalFormatting sqref="A4">
    <cfRule type="cellIs" dxfId="7" priority="20" operator="equal">
      <formula>2</formula>
    </cfRule>
    <cfRule type="cellIs" dxfId="6" priority="21" operator="equal">
      <formula>1</formula>
    </cfRule>
  </conditionalFormatting>
  <conditionalFormatting sqref="A5">
    <cfRule type="cellIs" dxfId="5" priority="16" operator="equal">
      <formula>3</formula>
    </cfRule>
    <cfRule type="cellIs" dxfId="4" priority="17" operator="equal">
      <formula>2</formula>
    </cfRule>
    <cfRule type="cellIs" dxfId="3" priority="18" operator="equal">
      <formula>1</formula>
    </cfRule>
  </conditionalFormatting>
  <conditionalFormatting sqref="A20:A30">
    <cfRule type="cellIs" dxfId="2" priority="1" operator="equal">
      <formula>3</formula>
    </cfRule>
    <cfRule type="cellIs" dxfId="1" priority="2" operator="equal">
      <formula>2</formula>
    </cfRule>
    <cfRule type="cellIs" dxfId="0" priority="3" operator="equal">
      <formula>1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AEB5-52ED-4235-841F-AB6AC2809A75}">
  <sheetPr>
    <tabColor rgb="FF92D050"/>
  </sheetPr>
  <dimension ref="A2:F17"/>
  <sheetViews>
    <sheetView workbookViewId="0">
      <selection activeCell="C6" sqref="C6"/>
    </sheetView>
  </sheetViews>
  <sheetFormatPr defaultRowHeight="13.2" x14ac:dyDescent="0.25"/>
  <cols>
    <col min="2" max="2" width="5.5546875" style="8" bestFit="1" customWidth="1"/>
    <col min="3" max="3" width="24.33203125" bestFit="1" customWidth="1"/>
    <col min="4" max="4" width="25.109375" bestFit="1" customWidth="1"/>
  </cols>
  <sheetData>
    <row r="2" spans="1:6" x14ac:dyDescent="0.25">
      <c r="A2" s="29" t="s">
        <v>13</v>
      </c>
      <c r="B2" s="29"/>
      <c r="C2" s="28" t="s">
        <v>14</v>
      </c>
      <c r="D2" s="28"/>
      <c r="E2" s="18" t="s">
        <v>33</v>
      </c>
    </row>
    <row r="4" spans="1:6" ht="14.4" x14ac:dyDescent="0.3">
      <c r="A4" s="9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</row>
    <row r="5" spans="1:6" x14ac:dyDescent="0.25">
      <c r="A5" s="19">
        <v>95</v>
      </c>
      <c r="B5" s="32">
        <v>1</v>
      </c>
      <c r="C5" s="31" t="s">
        <v>27</v>
      </c>
      <c r="D5" s="31" t="s">
        <v>30</v>
      </c>
      <c r="E5" s="31"/>
      <c r="F5" s="31" t="s">
        <v>31</v>
      </c>
    </row>
    <row r="6" spans="1:6" x14ac:dyDescent="0.25">
      <c r="A6" s="19">
        <v>88</v>
      </c>
      <c r="B6" s="32">
        <v>2</v>
      </c>
      <c r="C6" s="31" t="s">
        <v>32</v>
      </c>
      <c r="D6" s="31"/>
      <c r="E6" s="31"/>
      <c r="F6" s="31" t="s">
        <v>31</v>
      </c>
    </row>
    <row r="7" spans="1:6" x14ac:dyDescent="0.25">
      <c r="A7" s="19">
        <v>84</v>
      </c>
      <c r="B7" s="32">
        <v>3</v>
      </c>
      <c r="C7" s="31" t="s">
        <v>29</v>
      </c>
      <c r="D7" s="31"/>
      <c r="E7" s="31"/>
      <c r="F7" s="31" t="s">
        <v>31</v>
      </c>
    </row>
    <row r="8" spans="1:6" x14ac:dyDescent="0.25">
      <c r="A8" s="19">
        <v>79</v>
      </c>
    </row>
    <row r="9" spans="1:6" x14ac:dyDescent="0.25">
      <c r="A9" s="19">
        <v>77</v>
      </c>
    </row>
    <row r="10" spans="1:6" x14ac:dyDescent="0.25">
      <c r="A10" s="19">
        <v>74</v>
      </c>
    </row>
    <row r="11" spans="1:6" x14ac:dyDescent="0.25">
      <c r="A11" s="19">
        <v>72</v>
      </c>
    </row>
    <row r="12" spans="1:6" x14ac:dyDescent="0.25">
      <c r="A12" s="19">
        <v>70</v>
      </c>
    </row>
    <row r="13" spans="1:6" x14ac:dyDescent="0.25">
      <c r="A13" s="19">
        <v>68</v>
      </c>
    </row>
    <row r="14" spans="1:6" x14ac:dyDescent="0.25">
      <c r="A14" s="19">
        <v>66</v>
      </c>
    </row>
    <row r="15" spans="1:6" x14ac:dyDescent="0.25">
      <c r="A15" s="19">
        <v>64</v>
      </c>
    </row>
    <row r="16" spans="1:6" x14ac:dyDescent="0.25">
      <c r="A16" s="19">
        <v>62</v>
      </c>
    </row>
    <row r="17" spans="1:1" x14ac:dyDescent="0.25">
      <c r="A17" s="19">
        <v>60</v>
      </c>
    </row>
  </sheetData>
  <mergeCells count="2">
    <mergeCell ref="C2:D2"/>
    <mergeCell ref="A2:B2"/>
  </mergeCells>
  <hyperlinks>
    <hyperlink ref="E2" r:id="rId1" xr:uid="{A8474BDE-F6C5-47FF-AB93-F6DB6DF7D29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9117-CDBF-4561-B1B7-094234C31C2A}">
  <sheetPr>
    <tabColor rgb="FF92D050"/>
  </sheetPr>
  <dimension ref="A2:F18"/>
  <sheetViews>
    <sheetView workbookViewId="0">
      <selection activeCell="D32" sqref="D32"/>
    </sheetView>
  </sheetViews>
  <sheetFormatPr defaultRowHeight="13.2" x14ac:dyDescent="0.25"/>
  <cols>
    <col min="2" max="2" width="5.5546875" style="8" bestFit="1" customWidth="1"/>
    <col min="3" max="3" width="24.33203125" bestFit="1" customWidth="1"/>
    <col min="4" max="4" width="25.109375" bestFit="1" customWidth="1"/>
  </cols>
  <sheetData>
    <row r="2" spans="1:6" x14ac:dyDescent="0.25">
      <c r="A2" s="29" t="s">
        <v>13</v>
      </c>
      <c r="B2" s="29"/>
      <c r="C2" s="28" t="s">
        <v>21</v>
      </c>
      <c r="D2" s="28"/>
    </row>
    <row r="4" spans="1:6" ht="14.4" x14ac:dyDescent="0.3">
      <c r="A4" s="9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</row>
    <row r="5" spans="1:6" x14ac:dyDescent="0.25">
      <c r="A5" s="19">
        <v>79</v>
      </c>
      <c r="B5" s="8">
        <v>1</v>
      </c>
      <c r="C5" s="31" t="s">
        <v>27</v>
      </c>
    </row>
    <row r="6" spans="1:6" x14ac:dyDescent="0.25">
      <c r="A6" s="19">
        <v>73</v>
      </c>
      <c r="B6" s="8">
        <v>2</v>
      </c>
      <c r="C6" s="31" t="s">
        <v>28</v>
      </c>
    </row>
    <row r="7" spans="1:6" x14ac:dyDescent="0.25">
      <c r="A7" s="19">
        <v>70</v>
      </c>
      <c r="B7" s="8">
        <v>3</v>
      </c>
      <c r="C7" s="31" t="s">
        <v>29</v>
      </c>
    </row>
    <row r="8" spans="1:6" x14ac:dyDescent="0.25">
      <c r="A8" s="19">
        <v>66</v>
      </c>
      <c r="C8" s="31"/>
    </row>
    <row r="9" spans="1:6" x14ac:dyDescent="0.25">
      <c r="A9" s="19">
        <v>64</v>
      </c>
      <c r="C9" s="31"/>
    </row>
    <row r="10" spans="1:6" x14ac:dyDescent="0.25">
      <c r="A10" s="19">
        <v>62</v>
      </c>
      <c r="C10" s="31"/>
    </row>
    <row r="11" spans="1:6" x14ac:dyDescent="0.25">
      <c r="A11" s="19">
        <v>60</v>
      </c>
      <c r="C11" s="31"/>
    </row>
    <row r="12" spans="1:6" x14ac:dyDescent="0.25">
      <c r="A12" s="19">
        <v>58</v>
      </c>
      <c r="C12" s="31"/>
    </row>
    <row r="13" spans="1:6" x14ac:dyDescent="0.25">
      <c r="A13" s="19">
        <v>56</v>
      </c>
      <c r="C13" s="31"/>
    </row>
    <row r="14" spans="1:6" x14ac:dyDescent="0.25">
      <c r="A14" s="19">
        <v>55</v>
      </c>
      <c r="C14" s="31"/>
    </row>
    <row r="15" spans="1:6" x14ac:dyDescent="0.25">
      <c r="A15" s="19">
        <v>54</v>
      </c>
      <c r="C15" s="31"/>
    </row>
    <row r="16" spans="1:6" x14ac:dyDescent="0.25">
      <c r="A16" s="19">
        <v>53</v>
      </c>
      <c r="C16" s="31"/>
    </row>
    <row r="17" spans="1:3" x14ac:dyDescent="0.25">
      <c r="A17" s="19">
        <v>52</v>
      </c>
      <c r="C17" s="31"/>
    </row>
    <row r="18" spans="1:3" x14ac:dyDescent="0.25">
      <c r="A18" s="19">
        <v>51</v>
      </c>
      <c r="C18" s="31"/>
    </row>
  </sheetData>
  <mergeCells count="2">
    <mergeCell ref="A2:B2"/>
    <mergeCell ref="C2:D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A9D1-67E9-4D21-ADD8-F30BB071E51F}">
  <sheetPr>
    <tabColor rgb="FF92D050"/>
  </sheetPr>
  <dimension ref="A2:F18"/>
  <sheetViews>
    <sheetView workbookViewId="0">
      <selection activeCell="C41" sqref="C41"/>
    </sheetView>
  </sheetViews>
  <sheetFormatPr defaultRowHeight="13.2" x14ac:dyDescent="0.25"/>
  <cols>
    <col min="2" max="2" width="5.5546875" style="8" bestFit="1" customWidth="1"/>
    <col min="3" max="3" width="24.33203125" bestFit="1" customWidth="1"/>
    <col min="4" max="4" width="25.109375" bestFit="1" customWidth="1"/>
  </cols>
  <sheetData>
    <row r="2" spans="1:6" x14ac:dyDescent="0.25">
      <c r="A2" s="29" t="s">
        <v>13</v>
      </c>
      <c r="B2" s="29"/>
      <c r="C2" s="28" t="s">
        <v>22</v>
      </c>
      <c r="D2" s="28"/>
      <c r="E2" s="18" t="s">
        <v>34</v>
      </c>
    </row>
    <row r="4" spans="1:6" ht="14.4" x14ac:dyDescent="0.3">
      <c r="A4" s="9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</row>
    <row r="5" spans="1:6" x14ac:dyDescent="0.25">
      <c r="A5" s="19">
        <v>79</v>
      </c>
      <c r="B5" s="21">
        <v>1</v>
      </c>
      <c r="C5" s="33" t="s">
        <v>35</v>
      </c>
      <c r="D5" s="21" t="s">
        <v>31</v>
      </c>
      <c r="E5" s="21" t="s">
        <v>36</v>
      </c>
      <c r="F5" s="13"/>
    </row>
    <row r="6" spans="1:6" x14ac:dyDescent="0.25">
      <c r="A6" s="19">
        <v>73</v>
      </c>
      <c r="B6" s="21">
        <v>2</v>
      </c>
      <c r="C6" s="33" t="s">
        <v>37</v>
      </c>
      <c r="D6" s="21" t="s">
        <v>31</v>
      </c>
      <c r="E6" s="21" t="s">
        <v>36</v>
      </c>
      <c r="F6" s="13"/>
    </row>
    <row r="7" spans="1:6" x14ac:dyDescent="0.25">
      <c r="A7" s="19">
        <v>70</v>
      </c>
      <c r="B7" s="21">
        <v>3</v>
      </c>
      <c r="C7" s="33" t="s">
        <v>38</v>
      </c>
      <c r="D7" s="21" t="s">
        <v>31</v>
      </c>
      <c r="E7" s="21" t="s">
        <v>36</v>
      </c>
      <c r="F7" s="13"/>
    </row>
    <row r="8" spans="1:6" x14ac:dyDescent="0.25">
      <c r="A8" s="19">
        <v>66</v>
      </c>
      <c r="B8" s="21">
        <v>4</v>
      </c>
      <c r="C8" s="33" t="s">
        <v>39</v>
      </c>
      <c r="D8" s="21" t="s">
        <v>31</v>
      </c>
      <c r="E8" s="21" t="s">
        <v>36</v>
      </c>
      <c r="F8" s="13"/>
    </row>
    <row r="9" spans="1:6" x14ac:dyDescent="0.25">
      <c r="A9" s="19">
        <v>64</v>
      </c>
      <c r="B9" s="21">
        <v>5</v>
      </c>
      <c r="C9" s="33" t="s">
        <v>40</v>
      </c>
      <c r="D9" s="21" t="s">
        <v>31</v>
      </c>
      <c r="E9" s="21" t="s">
        <v>36</v>
      </c>
      <c r="F9" s="13"/>
    </row>
    <row r="10" spans="1:6" x14ac:dyDescent="0.25">
      <c r="A10" s="19">
        <v>62</v>
      </c>
      <c r="B10" s="21">
        <v>6</v>
      </c>
      <c r="C10" s="33" t="s">
        <v>41</v>
      </c>
      <c r="D10" s="21" t="s">
        <v>31</v>
      </c>
      <c r="E10" s="21" t="s">
        <v>36</v>
      </c>
      <c r="F10" s="13"/>
    </row>
    <row r="11" spans="1:6" x14ac:dyDescent="0.25">
      <c r="A11" s="19">
        <v>60</v>
      </c>
      <c r="B11" s="23">
        <v>7</v>
      </c>
      <c r="C11" s="34" t="s">
        <v>42</v>
      </c>
      <c r="D11" s="23" t="s">
        <v>31</v>
      </c>
      <c r="E11" s="23" t="s">
        <v>36</v>
      </c>
    </row>
    <row r="12" spans="1:6" x14ac:dyDescent="0.25">
      <c r="A12" s="19">
        <v>58</v>
      </c>
      <c r="B12" s="23">
        <v>8</v>
      </c>
      <c r="C12" s="34" t="s">
        <v>43</v>
      </c>
      <c r="D12" s="23" t="s">
        <v>31</v>
      </c>
      <c r="E12" s="23" t="s">
        <v>36</v>
      </c>
    </row>
    <row r="13" spans="1:6" x14ac:dyDescent="0.25">
      <c r="A13" s="19">
        <v>56</v>
      </c>
      <c r="B13" s="23">
        <v>9</v>
      </c>
      <c r="C13" s="34" t="s">
        <v>44</v>
      </c>
      <c r="D13" s="23" t="s">
        <v>31</v>
      </c>
      <c r="E13" s="23" t="s">
        <v>36</v>
      </c>
    </row>
    <row r="14" spans="1:6" x14ac:dyDescent="0.25">
      <c r="A14" s="19">
        <v>55</v>
      </c>
    </row>
    <row r="15" spans="1:6" x14ac:dyDescent="0.25">
      <c r="A15" s="19">
        <v>54</v>
      </c>
    </row>
    <row r="16" spans="1:6" x14ac:dyDescent="0.25">
      <c r="A16" s="19">
        <v>53</v>
      </c>
    </row>
    <row r="17" spans="1:1" x14ac:dyDescent="0.25">
      <c r="A17" s="19">
        <v>52</v>
      </c>
    </row>
    <row r="18" spans="1:1" x14ac:dyDescent="0.25">
      <c r="A18" s="19">
        <v>51</v>
      </c>
    </row>
  </sheetData>
  <mergeCells count="2">
    <mergeCell ref="A2:B2"/>
    <mergeCell ref="C2:D2"/>
  </mergeCells>
  <hyperlinks>
    <hyperlink ref="E2" r:id="rId1" xr:uid="{4D8133F5-03B8-4392-A384-59555ECA4CB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B158B-5BEA-45E8-8F23-648702ABE151}">
  <sheetPr>
    <tabColor rgb="FF92D050"/>
  </sheetPr>
  <dimension ref="A2:H25"/>
  <sheetViews>
    <sheetView workbookViewId="0">
      <selection activeCell="D43" sqref="D42:D43"/>
    </sheetView>
  </sheetViews>
  <sheetFormatPr defaultRowHeight="13.2" x14ac:dyDescent="0.25"/>
  <cols>
    <col min="2" max="2" width="5.5546875" style="8" bestFit="1" customWidth="1"/>
    <col min="3" max="3" width="24.33203125" bestFit="1" customWidth="1"/>
    <col min="4" max="4" width="25.109375" bestFit="1" customWidth="1"/>
  </cols>
  <sheetData>
    <row r="2" spans="1:8" x14ac:dyDescent="0.25">
      <c r="A2" s="29" t="s">
        <v>13</v>
      </c>
      <c r="B2" s="29"/>
      <c r="C2" s="30" t="s">
        <v>23</v>
      </c>
      <c r="D2" s="30"/>
      <c r="E2" s="18" t="s">
        <v>52</v>
      </c>
    </row>
    <row r="4" spans="1:8" ht="14.4" x14ac:dyDescent="0.3">
      <c r="A4" s="9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</row>
    <row r="5" spans="1:8" x14ac:dyDescent="0.25">
      <c r="A5" s="19">
        <v>79</v>
      </c>
      <c r="B5" s="32">
        <v>1</v>
      </c>
      <c r="C5" s="35" t="s">
        <v>27</v>
      </c>
      <c r="D5" s="35" t="s">
        <v>30</v>
      </c>
      <c r="E5" s="35"/>
      <c r="F5" s="35" t="s">
        <v>31</v>
      </c>
      <c r="G5" s="31"/>
      <c r="H5" s="31"/>
    </row>
    <row r="6" spans="1:8" x14ac:dyDescent="0.25">
      <c r="A6" s="19">
        <v>73</v>
      </c>
      <c r="B6" s="32">
        <v>2</v>
      </c>
      <c r="C6" s="35" t="s">
        <v>46</v>
      </c>
      <c r="D6" s="35" t="s">
        <v>30</v>
      </c>
      <c r="E6" s="35"/>
      <c r="F6" s="35" t="s">
        <v>31</v>
      </c>
      <c r="G6" s="31"/>
      <c r="H6" s="31"/>
    </row>
    <row r="7" spans="1:8" x14ac:dyDescent="0.25">
      <c r="A7" s="19">
        <v>70</v>
      </c>
      <c r="B7" s="32">
        <v>3</v>
      </c>
      <c r="C7" s="35" t="s">
        <v>32</v>
      </c>
      <c r="D7" s="35" t="s">
        <v>53</v>
      </c>
      <c r="E7" s="35"/>
      <c r="F7" s="35" t="s">
        <v>31</v>
      </c>
      <c r="G7" s="31"/>
      <c r="H7" s="31"/>
    </row>
    <row r="8" spans="1:8" x14ac:dyDescent="0.25">
      <c r="A8" s="19">
        <v>66</v>
      </c>
      <c r="B8" s="32">
        <v>4</v>
      </c>
      <c r="C8" s="35" t="s">
        <v>54</v>
      </c>
      <c r="D8" s="35" t="s">
        <v>30</v>
      </c>
      <c r="E8" s="35"/>
      <c r="F8" s="35" t="s">
        <v>31</v>
      </c>
      <c r="G8" s="31"/>
      <c r="H8" s="31"/>
    </row>
    <row r="9" spans="1:8" x14ac:dyDescent="0.25">
      <c r="A9" s="19">
        <v>64</v>
      </c>
      <c r="B9" s="32">
        <v>5</v>
      </c>
      <c r="C9" s="35" t="s">
        <v>29</v>
      </c>
      <c r="D9" s="35" t="s">
        <v>30</v>
      </c>
      <c r="E9" s="35"/>
      <c r="F9" s="35" t="s">
        <v>31</v>
      </c>
      <c r="G9" s="31"/>
      <c r="H9" s="31"/>
    </row>
    <row r="10" spans="1:8" x14ac:dyDescent="0.25">
      <c r="A10" s="19">
        <v>62</v>
      </c>
      <c r="B10" s="32">
        <v>6</v>
      </c>
      <c r="C10" s="31" t="s">
        <v>49</v>
      </c>
      <c r="D10" s="31" t="s">
        <v>55</v>
      </c>
      <c r="E10" s="31"/>
      <c r="F10" s="31" t="s">
        <v>31</v>
      </c>
      <c r="G10" s="31"/>
      <c r="H10" s="31"/>
    </row>
    <row r="11" spans="1:8" x14ac:dyDescent="0.25">
      <c r="A11" s="19">
        <v>60</v>
      </c>
      <c r="B11" s="32"/>
      <c r="C11" s="31"/>
      <c r="D11" s="31"/>
      <c r="E11" s="31"/>
      <c r="F11" s="31"/>
      <c r="G11" s="31"/>
      <c r="H11" s="31"/>
    </row>
    <row r="12" spans="1:8" x14ac:dyDescent="0.25">
      <c r="A12" s="19">
        <v>58</v>
      </c>
      <c r="B12" s="32"/>
      <c r="C12" s="31"/>
      <c r="D12" s="31"/>
      <c r="E12" s="31"/>
      <c r="F12" s="31"/>
      <c r="G12" s="31"/>
      <c r="H12" s="31"/>
    </row>
    <row r="13" spans="1:8" x14ac:dyDescent="0.25">
      <c r="A13" s="19">
        <v>56</v>
      </c>
      <c r="B13" s="32"/>
      <c r="C13" s="31"/>
      <c r="D13" s="31"/>
      <c r="E13" s="31"/>
      <c r="F13" s="31"/>
      <c r="G13" s="31"/>
      <c r="H13" s="31"/>
    </row>
    <row r="14" spans="1:8" x14ac:dyDescent="0.25">
      <c r="A14" s="19">
        <v>55</v>
      </c>
      <c r="B14" s="32"/>
      <c r="C14" s="31"/>
      <c r="D14" s="31"/>
      <c r="E14" s="31"/>
      <c r="F14" s="31"/>
      <c r="G14" s="31"/>
      <c r="H14" s="31"/>
    </row>
    <row r="15" spans="1:8" x14ac:dyDescent="0.25">
      <c r="A15" s="19">
        <v>54</v>
      </c>
      <c r="B15" s="32"/>
      <c r="C15" s="31"/>
      <c r="D15" s="31"/>
      <c r="E15" s="31"/>
      <c r="F15" s="31"/>
      <c r="G15" s="31"/>
      <c r="H15" s="31"/>
    </row>
    <row r="16" spans="1:8" x14ac:dyDescent="0.25">
      <c r="A16" s="19">
        <v>53</v>
      </c>
      <c r="B16" s="32"/>
      <c r="C16" s="31"/>
      <c r="D16" s="31"/>
      <c r="E16" s="31"/>
      <c r="F16" s="31"/>
      <c r="G16" s="31"/>
      <c r="H16" s="31"/>
    </row>
    <row r="17" spans="1:8" x14ac:dyDescent="0.25">
      <c r="A17" s="19">
        <v>52</v>
      </c>
      <c r="B17" s="32"/>
      <c r="C17" s="31"/>
      <c r="D17" s="31"/>
      <c r="E17" s="31"/>
      <c r="F17" s="31"/>
      <c r="G17" s="31"/>
      <c r="H17" s="31"/>
    </row>
    <row r="18" spans="1:8" x14ac:dyDescent="0.25">
      <c r="A18" s="19">
        <v>51</v>
      </c>
      <c r="B18" s="32"/>
      <c r="C18" s="31"/>
      <c r="D18" s="31"/>
      <c r="E18" s="31"/>
      <c r="F18" s="31"/>
      <c r="G18" s="31"/>
      <c r="H18" s="31"/>
    </row>
    <row r="19" spans="1:8" x14ac:dyDescent="0.25">
      <c r="B19" s="32"/>
      <c r="C19" s="31"/>
      <c r="D19" s="31"/>
      <c r="E19" s="31"/>
      <c r="F19" s="31"/>
      <c r="G19" s="31"/>
      <c r="H19" s="31"/>
    </row>
    <row r="20" spans="1:8" x14ac:dyDescent="0.25">
      <c r="B20" s="32"/>
      <c r="C20" s="31"/>
      <c r="D20" s="31"/>
      <c r="E20" s="31"/>
      <c r="F20" s="31"/>
      <c r="G20" s="31"/>
      <c r="H20" s="31"/>
    </row>
    <row r="21" spans="1:8" x14ac:dyDescent="0.25">
      <c r="B21" s="32"/>
      <c r="C21" s="31"/>
      <c r="D21" s="31"/>
      <c r="E21" s="31"/>
      <c r="F21" s="31"/>
      <c r="G21" s="31"/>
      <c r="H21" s="31"/>
    </row>
    <row r="22" spans="1:8" x14ac:dyDescent="0.25">
      <c r="B22" s="32"/>
      <c r="C22" s="31"/>
      <c r="D22" s="31"/>
      <c r="E22" s="31"/>
      <c r="F22" s="31"/>
      <c r="G22" s="31"/>
      <c r="H22" s="31"/>
    </row>
    <row r="23" spans="1:8" x14ac:dyDescent="0.25">
      <c r="B23" s="32"/>
      <c r="C23" s="31"/>
      <c r="D23" s="31"/>
      <c r="E23" s="31"/>
      <c r="F23" s="31"/>
      <c r="G23" s="31"/>
      <c r="H23" s="31"/>
    </row>
    <row r="24" spans="1:8" x14ac:dyDescent="0.25">
      <c r="B24" s="32"/>
      <c r="C24" s="31"/>
      <c r="D24" s="31"/>
      <c r="E24" s="31"/>
      <c r="F24" s="31"/>
      <c r="G24" s="31"/>
      <c r="H24" s="31"/>
    </row>
    <row r="25" spans="1:8" x14ac:dyDescent="0.25">
      <c r="B25" s="32"/>
      <c r="C25" s="31"/>
      <c r="D25" s="31"/>
      <c r="E25" s="31"/>
      <c r="F25" s="31"/>
      <c r="G25" s="31"/>
      <c r="H25" s="31"/>
    </row>
  </sheetData>
  <mergeCells count="2">
    <mergeCell ref="A2:B2"/>
    <mergeCell ref="C2:D2"/>
  </mergeCells>
  <hyperlinks>
    <hyperlink ref="E2" r:id="rId1" xr:uid="{535C66A1-CEC5-480B-BC48-289BEC5546F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09E1C-39DB-4FC9-B6A2-9073F44F2176}">
  <sheetPr>
    <tabColor rgb="FF92D050"/>
  </sheetPr>
  <dimension ref="A2:F18"/>
  <sheetViews>
    <sheetView workbookViewId="0">
      <selection activeCell="E2" sqref="E2"/>
    </sheetView>
  </sheetViews>
  <sheetFormatPr defaultRowHeight="13.2" x14ac:dyDescent="0.25"/>
  <cols>
    <col min="2" max="2" width="5.5546875" style="19" bestFit="1" customWidth="1"/>
    <col min="3" max="3" width="24.33203125" bestFit="1" customWidth="1"/>
    <col min="4" max="4" width="25.109375" bestFit="1" customWidth="1"/>
  </cols>
  <sheetData>
    <row r="2" spans="1:6" x14ac:dyDescent="0.25">
      <c r="A2" s="29" t="s">
        <v>13</v>
      </c>
      <c r="B2" s="29"/>
      <c r="C2" s="28" t="s">
        <v>24</v>
      </c>
      <c r="D2" s="28"/>
      <c r="E2" s="18" t="s">
        <v>56</v>
      </c>
    </row>
    <row r="4" spans="1:6" ht="14.4" x14ac:dyDescent="0.3">
      <c r="A4" s="9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</row>
    <row r="5" spans="1:6" x14ac:dyDescent="0.25">
      <c r="A5" s="19">
        <v>79</v>
      </c>
      <c r="B5" s="36">
        <v>1</v>
      </c>
      <c r="C5" s="35" t="s">
        <v>27</v>
      </c>
      <c r="D5" s="35" t="s">
        <v>57</v>
      </c>
      <c r="E5" s="35" t="s">
        <v>31</v>
      </c>
    </row>
    <row r="6" spans="1:6" x14ac:dyDescent="0.25">
      <c r="A6" s="19">
        <v>73</v>
      </c>
      <c r="B6" s="36">
        <v>2</v>
      </c>
      <c r="C6" s="35" t="s">
        <v>29</v>
      </c>
      <c r="D6" s="35" t="s">
        <v>57</v>
      </c>
      <c r="E6" s="35" t="s">
        <v>31</v>
      </c>
    </row>
    <row r="7" spans="1:6" x14ac:dyDescent="0.25">
      <c r="A7" s="19">
        <v>70</v>
      </c>
      <c r="B7" s="36">
        <v>3</v>
      </c>
      <c r="C7" s="35" t="s">
        <v>58</v>
      </c>
      <c r="D7" s="35" t="s">
        <v>59</v>
      </c>
      <c r="E7" s="35" t="s">
        <v>31</v>
      </c>
    </row>
    <row r="8" spans="1:6" x14ac:dyDescent="0.25">
      <c r="A8" s="19">
        <v>66</v>
      </c>
      <c r="B8" s="36">
        <v>4</v>
      </c>
      <c r="C8" s="35" t="s">
        <v>32</v>
      </c>
      <c r="D8" s="35" t="s">
        <v>60</v>
      </c>
      <c r="E8" s="35" t="s">
        <v>31</v>
      </c>
    </row>
    <row r="9" spans="1:6" ht="22.8" x14ac:dyDescent="0.25">
      <c r="A9" s="19">
        <v>64</v>
      </c>
      <c r="B9" s="36">
        <v>5</v>
      </c>
      <c r="C9" s="35" t="s">
        <v>61</v>
      </c>
      <c r="D9" s="35" t="s">
        <v>62</v>
      </c>
      <c r="E9" s="35" t="s">
        <v>31</v>
      </c>
    </row>
    <row r="10" spans="1:6" x14ac:dyDescent="0.25">
      <c r="A10" s="19">
        <v>62</v>
      </c>
      <c r="B10" s="36">
        <v>6</v>
      </c>
      <c r="C10" s="35" t="s">
        <v>48</v>
      </c>
      <c r="D10" s="35" t="s">
        <v>59</v>
      </c>
      <c r="E10" s="35" t="s">
        <v>31</v>
      </c>
    </row>
    <row r="11" spans="1:6" x14ac:dyDescent="0.25">
      <c r="A11" s="19">
        <v>60</v>
      </c>
    </row>
    <row r="12" spans="1:6" x14ac:dyDescent="0.25">
      <c r="A12" s="19">
        <v>58</v>
      </c>
    </row>
    <row r="13" spans="1:6" x14ac:dyDescent="0.25">
      <c r="A13" s="19">
        <v>56</v>
      </c>
    </row>
    <row r="14" spans="1:6" x14ac:dyDescent="0.25">
      <c r="A14" s="19">
        <v>55</v>
      </c>
    </row>
    <row r="15" spans="1:6" x14ac:dyDescent="0.25">
      <c r="A15" s="19">
        <v>54</v>
      </c>
    </row>
    <row r="16" spans="1:6" x14ac:dyDescent="0.25">
      <c r="A16" s="19">
        <v>53</v>
      </c>
    </row>
    <row r="17" spans="1:1" x14ac:dyDescent="0.25">
      <c r="A17" s="19">
        <v>52</v>
      </c>
    </row>
    <row r="18" spans="1:1" x14ac:dyDescent="0.25">
      <c r="A18" s="19">
        <v>51</v>
      </c>
    </row>
  </sheetData>
  <mergeCells count="2">
    <mergeCell ref="A2:B2"/>
    <mergeCell ref="C2:D2"/>
  </mergeCells>
  <hyperlinks>
    <hyperlink ref="E2" r:id="rId1" xr:uid="{4E72B7BC-0D48-4EA9-91A9-457B5114237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BEFA2-B886-4220-83E9-6EEBE9FA0FBD}">
  <sheetPr>
    <tabColor rgb="FF92D050"/>
  </sheetPr>
  <dimension ref="A2:F20"/>
  <sheetViews>
    <sheetView workbookViewId="0">
      <selection activeCell="E22" sqref="E22"/>
    </sheetView>
  </sheetViews>
  <sheetFormatPr defaultRowHeight="13.2" x14ac:dyDescent="0.25"/>
  <cols>
    <col min="2" max="2" width="5.5546875" style="8" bestFit="1" customWidth="1"/>
    <col min="3" max="3" width="24.33203125" bestFit="1" customWidth="1"/>
    <col min="4" max="4" width="25.109375" bestFit="1" customWidth="1"/>
  </cols>
  <sheetData>
    <row r="2" spans="1:6" x14ac:dyDescent="0.25">
      <c r="A2" s="29" t="s">
        <v>13</v>
      </c>
      <c r="B2" s="29"/>
      <c r="C2" s="28" t="s">
        <v>25</v>
      </c>
      <c r="D2" s="28"/>
      <c r="E2" s="18" t="s">
        <v>74</v>
      </c>
    </row>
    <row r="4" spans="1:6" ht="14.4" x14ac:dyDescent="0.3">
      <c r="A4" s="9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</row>
    <row r="5" spans="1:6" x14ac:dyDescent="0.25">
      <c r="A5" s="19">
        <v>79</v>
      </c>
      <c r="B5" s="22">
        <v>1</v>
      </c>
      <c r="C5" s="15" t="s">
        <v>35</v>
      </c>
      <c r="D5" s="15" t="s">
        <v>31</v>
      </c>
      <c r="E5" s="15" t="s">
        <v>36</v>
      </c>
    </row>
    <row r="6" spans="1:6" x14ac:dyDescent="0.25">
      <c r="A6" s="19">
        <v>73</v>
      </c>
      <c r="B6" s="22">
        <v>2</v>
      </c>
      <c r="C6" s="15" t="s">
        <v>37</v>
      </c>
      <c r="D6" s="15" t="s">
        <v>31</v>
      </c>
      <c r="E6" s="15" t="s">
        <v>36</v>
      </c>
    </row>
    <row r="7" spans="1:6" x14ac:dyDescent="0.25">
      <c r="A7" s="19">
        <v>70</v>
      </c>
      <c r="B7" s="22">
        <v>3</v>
      </c>
      <c r="C7" s="15" t="s">
        <v>40</v>
      </c>
      <c r="D7" s="15" t="s">
        <v>31</v>
      </c>
      <c r="E7" s="15" t="s">
        <v>36</v>
      </c>
    </row>
    <row r="8" spans="1:6" x14ac:dyDescent="0.25">
      <c r="A8" s="19">
        <v>66</v>
      </c>
      <c r="B8" s="22">
        <v>4</v>
      </c>
      <c r="C8" s="15" t="s">
        <v>63</v>
      </c>
      <c r="D8" s="15" t="s">
        <v>31</v>
      </c>
      <c r="E8" s="15" t="s">
        <v>36</v>
      </c>
    </row>
    <row r="9" spans="1:6" x14ac:dyDescent="0.25">
      <c r="A9" s="19">
        <v>64</v>
      </c>
      <c r="B9" s="22">
        <v>5</v>
      </c>
      <c r="C9" s="15" t="s">
        <v>39</v>
      </c>
      <c r="D9" s="15" t="s">
        <v>31</v>
      </c>
      <c r="E9" s="15" t="s">
        <v>36</v>
      </c>
    </row>
    <row r="10" spans="1:6" x14ac:dyDescent="0.25">
      <c r="A10" s="19">
        <v>62</v>
      </c>
      <c r="B10" s="22">
        <v>6</v>
      </c>
      <c r="C10" s="15" t="s">
        <v>64</v>
      </c>
      <c r="D10" s="15" t="s">
        <v>31</v>
      </c>
      <c r="E10" s="15" t="s">
        <v>36</v>
      </c>
    </row>
    <row r="11" spans="1:6" x14ac:dyDescent="0.25">
      <c r="A11" s="19">
        <v>60</v>
      </c>
      <c r="B11" s="22">
        <v>7</v>
      </c>
      <c r="C11" s="15" t="s">
        <v>65</v>
      </c>
      <c r="D11" s="15" t="s">
        <v>31</v>
      </c>
      <c r="E11" s="15" t="s">
        <v>36</v>
      </c>
    </row>
    <row r="12" spans="1:6" x14ac:dyDescent="0.25">
      <c r="A12" s="19">
        <v>58</v>
      </c>
      <c r="B12" s="22">
        <v>8</v>
      </c>
      <c r="C12" s="15" t="s">
        <v>66</v>
      </c>
      <c r="D12" s="15" t="s">
        <v>31</v>
      </c>
      <c r="E12" s="15" t="s">
        <v>67</v>
      </c>
    </row>
    <row r="13" spans="1:6" x14ac:dyDescent="0.25">
      <c r="A13" s="19">
        <v>56</v>
      </c>
      <c r="B13" s="22">
        <v>9</v>
      </c>
      <c r="C13" s="15" t="s">
        <v>41</v>
      </c>
      <c r="D13" s="15" t="s">
        <v>31</v>
      </c>
      <c r="E13" s="15" t="s">
        <v>36</v>
      </c>
    </row>
    <row r="14" spans="1:6" x14ac:dyDescent="0.25">
      <c r="A14" s="19">
        <v>55</v>
      </c>
      <c r="B14" s="22">
        <v>10</v>
      </c>
      <c r="C14" s="15" t="s">
        <v>43</v>
      </c>
      <c r="D14" s="15" t="s">
        <v>31</v>
      </c>
      <c r="E14" s="15" t="s">
        <v>36</v>
      </c>
    </row>
    <row r="15" spans="1:6" x14ac:dyDescent="0.25">
      <c r="A15" s="19">
        <v>54</v>
      </c>
      <c r="B15" s="22">
        <v>11</v>
      </c>
      <c r="C15" s="15" t="s">
        <v>68</v>
      </c>
      <c r="D15" s="15" t="s">
        <v>31</v>
      </c>
      <c r="E15" s="15" t="s">
        <v>36</v>
      </c>
    </row>
    <row r="16" spans="1:6" x14ac:dyDescent="0.25">
      <c r="A16" s="19">
        <v>53</v>
      </c>
      <c r="B16" s="22">
        <v>12</v>
      </c>
      <c r="C16" s="15" t="s">
        <v>69</v>
      </c>
      <c r="D16" s="15" t="s">
        <v>31</v>
      </c>
      <c r="E16" s="15" t="s">
        <v>36</v>
      </c>
    </row>
    <row r="17" spans="1:5" x14ac:dyDescent="0.25">
      <c r="A17" s="19">
        <v>52</v>
      </c>
      <c r="B17" s="22">
        <v>13</v>
      </c>
      <c r="C17" s="15" t="s">
        <v>70</v>
      </c>
      <c r="D17" s="15" t="s">
        <v>31</v>
      </c>
      <c r="E17" s="15" t="s">
        <v>36</v>
      </c>
    </row>
    <row r="18" spans="1:5" x14ac:dyDescent="0.25">
      <c r="A18" s="19">
        <v>51</v>
      </c>
      <c r="B18" s="22">
        <v>14</v>
      </c>
      <c r="C18" s="15" t="s">
        <v>71</v>
      </c>
      <c r="D18" s="15" t="s">
        <v>31</v>
      </c>
      <c r="E18" s="15" t="s">
        <v>36</v>
      </c>
    </row>
    <row r="19" spans="1:5" x14ac:dyDescent="0.25">
      <c r="A19" s="22">
        <v>50</v>
      </c>
      <c r="B19" s="22">
        <v>15</v>
      </c>
      <c r="C19" s="15" t="s">
        <v>72</v>
      </c>
      <c r="D19" s="15" t="s">
        <v>31</v>
      </c>
      <c r="E19" s="15" t="s">
        <v>36</v>
      </c>
    </row>
    <row r="20" spans="1:5" x14ac:dyDescent="0.25">
      <c r="A20" s="22">
        <v>49</v>
      </c>
      <c r="B20" s="22">
        <v>16</v>
      </c>
      <c r="C20" s="15" t="s">
        <v>73</v>
      </c>
      <c r="D20" s="15" t="s">
        <v>31</v>
      </c>
      <c r="E20" s="15" t="s">
        <v>36</v>
      </c>
    </row>
  </sheetData>
  <mergeCells count="2">
    <mergeCell ref="A2:B2"/>
    <mergeCell ref="C2:D2"/>
  </mergeCells>
  <hyperlinks>
    <hyperlink ref="E2" r:id="rId1" xr:uid="{C1FB63C7-1317-4E1A-AA72-6EBCCD1D7605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EF344-7173-43DE-8914-FBE17AC54547}">
  <sheetPr>
    <tabColor rgb="FF92D050"/>
  </sheetPr>
  <dimension ref="A2:D14"/>
  <sheetViews>
    <sheetView workbookViewId="0">
      <selection activeCell="B49" sqref="B49"/>
    </sheetView>
  </sheetViews>
  <sheetFormatPr defaultRowHeight="13.2" x14ac:dyDescent="0.25"/>
  <cols>
    <col min="1" max="1" width="13.44140625" customWidth="1"/>
    <col min="2" max="2" width="24.33203125" bestFit="1" customWidth="1"/>
    <col min="3" max="3" width="7.109375" bestFit="1" customWidth="1"/>
  </cols>
  <sheetData>
    <row r="2" spans="1:4" x14ac:dyDescent="0.25">
      <c r="A2" s="12" t="s">
        <v>13</v>
      </c>
      <c r="B2" s="16">
        <v>44551</v>
      </c>
      <c r="C2" s="15" t="s">
        <v>26</v>
      </c>
    </row>
    <row r="4" spans="1:4" ht="14.4" x14ac:dyDescent="0.3">
      <c r="A4" s="9" t="s">
        <v>15</v>
      </c>
      <c r="B4" s="7" t="s">
        <v>17</v>
      </c>
      <c r="C4" s="7" t="s">
        <v>15</v>
      </c>
    </row>
    <row r="5" spans="1:4" x14ac:dyDescent="0.25">
      <c r="A5">
        <f>C5*2</f>
        <v>0</v>
      </c>
      <c r="B5" s="6"/>
      <c r="C5" s="14"/>
      <c r="D5" s="13"/>
    </row>
    <row r="6" spans="1:4" x14ac:dyDescent="0.25">
      <c r="A6">
        <f t="shared" ref="A6:A14" si="0">C6*2</f>
        <v>0</v>
      </c>
      <c r="B6" s="6"/>
      <c r="C6" s="17"/>
      <c r="D6" s="13"/>
    </row>
    <row r="7" spans="1:4" x14ac:dyDescent="0.25">
      <c r="A7">
        <f t="shared" si="0"/>
        <v>0</v>
      </c>
    </row>
    <row r="8" spans="1:4" x14ac:dyDescent="0.25">
      <c r="A8">
        <f t="shared" si="0"/>
        <v>0</v>
      </c>
    </row>
    <row r="9" spans="1:4" x14ac:dyDescent="0.25">
      <c r="A9">
        <f t="shared" si="0"/>
        <v>0</v>
      </c>
    </row>
    <row r="10" spans="1:4" x14ac:dyDescent="0.25">
      <c r="A10">
        <f t="shared" si="0"/>
        <v>0</v>
      </c>
    </row>
    <row r="11" spans="1:4" x14ac:dyDescent="0.25">
      <c r="A11">
        <f t="shared" si="0"/>
        <v>0</v>
      </c>
    </row>
    <row r="12" spans="1:4" x14ac:dyDescent="0.25">
      <c r="A12">
        <f t="shared" si="0"/>
        <v>0</v>
      </c>
    </row>
    <row r="13" spans="1:4" x14ac:dyDescent="0.25">
      <c r="A13">
        <f t="shared" si="0"/>
        <v>0</v>
      </c>
    </row>
    <row r="14" spans="1:4" x14ac:dyDescent="0.25">
      <c r="A14">
        <f t="shared" si="0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Ranking</vt:lpstr>
      <vt:lpstr>MP</vt:lpstr>
      <vt:lpstr>GP1</vt:lpstr>
      <vt:lpstr>GP2</vt:lpstr>
      <vt:lpstr>GP3</vt:lpstr>
      <vt:lpstr>GP4</vt:lpstr>
      <vt:lpstr>GP5</vt:lpstr>
      <vt:lpstr>EU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2021-10-21T08:27:43Z</dcterms:created>
  <dcterms:modified xsi:type="dcterms:W3CDTF">2022-01-08T11:39:09Z</dcterms:modified>
  <cp:category/>
  <cp:contentStatus/>
</cp:coreProperties>
</file>