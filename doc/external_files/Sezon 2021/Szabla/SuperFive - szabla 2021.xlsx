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ARCHIWUM/Sezon 2021/Szabla/"/>
    </mc:Choice>
  </mc:AlternateContent>
  <xr:revisionPtr revIDLastSave="1530" documentId="13_ncr:40009_{DA224EAB-C919-40A7-81D2-D6EFC55D2398}" xr6:coauthVersionLast="47" xr6:coauthVersionMax="47" xr10:uidLastSave="{5820C2B3-4769-4A38-A77C-BEC5FA74A97F}"/>
  <bookViews>
    <workbookView xWindow="-108" yWindow="-108" windowWidth="23256" windowHeight="12720" tabRatio="234" xr2:uid="{00000000-000D-0000-FFFF-FFFF00000000}"/>
  </bookViews>
  <sheets>
    <sheet name="All" sheetId="2" r:id="rId1"/>
    <sheet name="Kobiety" sheetId="1" r:id="rId2"/>
    <sheet name="Mężczyźni" sheetId="4" r:id="rId3"/>
  </sheets>
  <definedNames>
    <definedName name="_xlnm._FilterDatabase" localSheetId="0" hidden="1">All!$A$2:$D$84</definedName>
    <definedName name="_xlnm._FilterDatabase" localSheetId="1" hidden="1">Kobiety!$A$2:$O$26</definedName>
    <definedName name="_xlnm._FilterDatabase" localSheetId="2" hidden="1">Mężczyźni!$A$2:$P$65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" l="1"/>
  <c r="A26" i="1"/>
  <c r="C25" i="1"/>
  <c r="A25" i="1"/>
  <c r="C24" i="1"/>
  <c r="A24" i="1"/>
  <c r="C23" i="1"/>
  <c r="A23" i="1"/>
  <c r="C22" i="1"/>
  <c r="A22" i="1"/>
  <c r="C21" i="1"/>
  <c r="A21" i="1"/>
  <c r="C20" i="1"/>
  <c r="A20" i="1"/>
  <c r="C13" i="1"/>
  <c r="A13" i="1"/>
  <c r="C11" i="1"/>
  <c r="A11" i="1"/>
  <c r="C10" i="1"/>
  <c r="A10" i="1"/>
  <c r="C19" i="1"/>
  <c r="A19" i="1"/>
  <c r="C18" i="1"/>
  <c r="A18" i="1"/>
  <c r="C9" i="1"/>
  <c r="C8" i="1"/>
  <c r="C4" i="1"/>
  <c r="C6" i="1"/>
  <c r="D65" i="4"/>
  <c r="A65" i="4"/>
  <c r="D64" i="4"/>
  <c r="A64" i="4"/>
  <c r="D63" i="4"/>
  <c r="A63" i="4"/>
  <c r="D62" i="4"/>
  <c r="A62" i="4"/>
  <c r="D61" i="4"/>
  <c r="A61" i="4"/>
  <c r="D60" i="4"/>
  <c r="A60" i="4"/>
  <c r="D59" i="4"/>
  <c r="A59" i="4"/>
  <c r="D58" i="4"/>
  <c r="A58" i="4"/>
  <c r="D57" i="4"/>
  <c r="A57" i="4"/>
  <c r="D56" i="4"/>
  <c r="A56" i="4"/>
  <c r="D55" i="4"/>
  <c r="A55" i="4"/>
  <c r="D54" i="4"/>
  <c r="A54" i="4"/>
  <c r="D53" i="4"/>
  <c r="A53" i="4"/>
  <c r="D52" i="4"/>
  <c r="A52" i="4"/>
  <c r="D49" i="4"/>
  <c r="A49" i="4"/>
  <c r="D39" i="4"/>
  <c r="A39" i="4"/>
  <c r="D45" i="4"/>
  <c r="A45" i="4"/>
  <c r="D43" i="4"/>
  <c r="A43" i="4"/>
  <c r="D47" i="4"/>
  <c r="A47" i="4"/>
  <c r="D44" i="4"/>
  <c r="A44" i="4"/>
  <c r="D36" i="4"/>
  <c r="A36" i="4"/>
  <c r="D51" i="4"/>
  <c r="A51" i="4"/>
  <c r="D42" i="4"/>
  <c r="A42" i="4"/>
  <c r="D29" i="4"/>
  <c r="A29" i="4"/>
  <c r="D19" i="4"/>
  <c r="A19" i="4"/>
  <c r="D14" i="4"/>
  <c r="A14" i="4"/>
  <c r="D16" i="4"/>
  <c r="A16" i="4"/>
  <c r="D18" i="4"/>
  <c r="A18" i="4"/>
  <c r="D46" i="4"/>
  <c r="A46" i="4"/>
  <c r="D50" i="4"/>
  <c r="A50" i="4"/>
  <c r="D17" i="4"/>
  <c r="A17" i="4"/>
  <c r="D6" i="4"/>
  <c r="A6" i="4"/>
  <c r="D7" i="4"/>
  <c r="A7" i="4"/>
  <c r="D5" i="4"/>
  <c r="A5" i="4"/>
  <c r="D8" i="4"/>
  <c r="A8" i="4"/>
  <c r="D3" i="4"/>
  <c r="A3" i="4"/>
  <c r="D9" i="4"/>
  <c r="A9" i="4"/>
  <c r="D40" i="4"/>
  <c r="A40" i="4"/>
  <c r="D41" i="4"/>
  <c r="A41" i="4"/>
  <c r="A80" i="2"/>
  <c r="A79" i="2"/>
  <c r="A78" i="2"/>
  <c r="A77" i="2"/>
  <c r="A76" i="2"/>
  <c r="A75" i="2"/>
  <c r="A74" i="2"/>
  <c r="A73" i="2"/>
  <c r="A72" i="2"/>
  <c r="A71" i="2"/>
  <c r="A70" i="2"/>
  <c r="A69" i="2"/>
  <c r="A53" i="2"/>
  <c r="A62" i="2"/>
  <c r="A47" i="2"/>
  <c r="A48" i="2"/>
  <c r="A55" i="2"/>
  <c r="A50" i="2"/>
  <c r="A12" i="2"/>
  <c r="A59" i="2"/>
  <c r="A51" i="2"/>
  <c r="A31" i="2"/>
  <c r="A15" i="2"/>
  <c r="A19" i="2"/>
  <c r="A45" i="2"/>
  <c r="A11" i="2"/>
  <c r="A9" i="2"/>
  <c r="A60" i="2"/>
  <c r="A66" i="2"/>
  <c r="A58" i="2"/>
  <c r="A67" i="2"/>
  <c r="A56" i="2"/>
  <c r="A49" i="2"/>
  <c r="A65" i="2"/>
  <c r="A28" i="2"/>
  <c r="A30" i="2"/>
  <c r="A20" i="2"/>
  <c r="A26" i="2"/>
  <c r="A27" i="2"/>
  <c r="A33" i="2"/>
  <c r="A44" i="2"/>
  <c r="A41" i="2"/>
  <c r="A22" i="2"/>
  <c r="A46" i="2"/>
  <c r="A84" i="2"/>
  <c r="A83" i="2"/>
  <c r="A13" i="2"/>
  <c r="A82" i="2"/>
  <c r="A39" i="2"/>
  <c r="D28" i="4" l="1"/>
  <c r="A28" i="4"/>
  <c r="D35" i="4"/>
  <c r="A35" i="4"/>
  <c r="D30" i="4"/>
  <c r="A30" i="4"/>
  <c r="D48" i="4"/>
  <c r="A48" i="4"/>
  <c r="D26" i="4"/>
  <c r="A26" i="4"/>
  <c r="D20" i="4"/>
  <c r="A20" i="4"/>
  <c r="D15" i="4"/>
  <c r="A15" i="4"/>
  <c r="D38" i="4"/>
  <c r="A38" i="4"/>
  <c r="D10" i="4"/>
  <c r="A10" i="4"/>
  <c r="D22" i="4"/>
  <c r="A22" i="4"/>
  <c r="D23" i="4"/>
  <c r="A23" i="4"/>
  <c r="D21" i="4"/>
  <c r="A21" i="4"/>
  <c r="D4" i="4"/>
  <c r="A4" i="4"/>
  <c r="D11" i="4"/>
  <c r="A11" i="4"/>
  <c r="D33" i="4"/>
  <c r="A33" i="4"/>
  <c r="A81" i="2"/>
  <c r="A64" i="2"/>
  <c r="A68" i="2"/>
  <c r="A17" i="2"/>
  <c r="A3" i="2"/>
  <c r="A52" i="2"/>
  <c r="A61" i="2"/>
  <c r="A38" i="2"/>
  <c r="A54" i="2"/>
  <c r="A8" i="2"/>
  <c r="A10" i="2"/>
  <c r="A7" i="2"/>
  <c r="A24" i="2"/>
  <c r="A35" i="2"/>
  <c r="A63" i="2"/>
  <c r="A16" i="2"/>
  <c r="A37" i="2"/>
  <c r="A4" i="2"/>
  <c r="A36" i="2"/>
  <c r="A32" i="2"/>
  <c r="A18" i="2"/>
  <c r="A6" i="2"/>
  <c r="D32" i="4"/>
  <c r="D27" i="4"/>
  <c r="D34" i="2" s="1"/>
  <c r="D34" i="4"/>
  <c r="D31" i="4"/>
  <c r="D18" i="2"/>
  <c r="D37" i="4"/>
  <c r="D13" i="4"/>
  <c r="D12" i="4"/>
  <c r="D24" i="4"/>
  <c r="D25" i="4"/>
  <c r="D43" i="2"/>
  <c r="D42" i="2"/>
  <c r="A57" i="2"/>
  <c r="A14" i="2"/>
  <c r="A29" i="2"/>
  <c r="A43" i="2"/>
  <c r="A42" i="2"/>
  <c r="A40" i="2"/>
  <c r="A25" i="2"/>
  <c r="A23" i="2"/>
  <c r="A34" i="2"/>
  <c r="A21" i="2"/>
  <c r="A5" i="2"/>
  <c r="A32" i="4"/>
  <c r="A27" i="4"/>
  <c r="A34" i="4"/>
  <c r="A31" i="4"/>
  <c r="A37" i="4"/>
  <c r="A13" i="4"/>
  <c r="A12" i="4"/>
  <c r="A24" i="4"/>
  <c r="A25" i="4"/>
  <c r="A17" i="1"/>
  <c r="A16" i="1"/>
  <c r="A3" i="1"/>
  <c r="A7" i="1"/>
  <c r="A15" i="1"/>
  <c r="A12" i="1"/>
  <c r="A14" i="1"/>
  <c r="A9" i="1"/>
  <c r="A5" i="1"/>
  <c r="A8" i="1"/>
  <c r="A4" i="1"/>
  <c r="A6" i="1"/>
  <c r="C5" i="1"/>
  <c r="C14" i="1"/>
  <c r="C12" i="1"/>
  <c r="C15" i="1"/>
  <c r="C7" i="1"/>
  <c r="C3" i="1"/>
  <c r="C16" i="1"/>
  <c r="D49" i="2" s="1"/>
  <c r="C17" i="1"/>
  <c r="D10" i="2" l="1"/>
  <c r="D68" i="2"/>
  <c r="D39" i="2"/>
  <c r="D11" i="2"/>
  <c r="D23" i="2"/>
  <c r="D5" i="2"/>
  <c r="D61" i="2"/>
  <c r="D32" i="2"/>
  <c r="D8" i="2"/>
  <c r="D52" i="2"/>
  <c r="D13" i="2"/>
  <c r="D30" i="2"/>
  <c r="D25" i="2"/>
  <c r="D16" i="2"/>
  <c r="D40" i="2"/>
  <c r="D29" i="2"/>
  <c r="D36" i="2"/>
  <c r="D45" i="2"/>
  <c r="D46" i="2"/>
  <c r="D14" i="2"/>
  <c r="D4" i="2"/>
  <c r="D63" i="2"/>
  <c r="D24" i="2"/>
  <c r="D54" i="2"/>
  <c r="D3" i="2"/>
  <c r="D64" i="2"/>
  <c r="D27" i="2"/>
  <c r="D78" i="2"/>
  <c r="D74" i="2"/>
  <c r="D70" i="2"/>
  <c r="D60" i="2"/>
  <c r="D26" i="2"/>
  <c r="D77" i="2"/>
  <c r="D69" i="2"/>
  <c r="D50" i="2"/>
  <c r="D59" i="2"/>
  <c r="D20" i="2"/>
  <c r="D73" i="2"/>
  <c r="D47" i="2"/>
  <c r="D31" i="2"/>
  <c r="D15" i="2"/>
  <c r="D66" i="2"/>
  <c r="D80" i="2"/>
  <c r="D72" i="2"/>
  <c r="D48" i="2"/>
  <c r="D9" i="2"/>
  <c r="D44" i="2"/>
  <c r="D41" i="2"/>
  <c r="D76" i="2"/>
  <c r="D53" i="2"/>
  <c r="D12" i="2"/>
  <c r="D28" i="2"/>
  <c r="D58" i="2"/>
  <c r="D55" i="2"/>
  <c r="D51" i="2"/>
  <c r="D79" i="2"/>
  <c r="D75" i="2"/>
  <c r="D71" i="2"/>
  <c r="D62" i="2"/>
  <c r="D67" i="2"/>
  <c r="D57" i="2"/>
  <c r="D37" i="2"/>
  <c r="D19" i="2"/>
  <c r="D6" i="2"/>
  <c r="D35" i="2"/>
  <c r="D7" i="2"/>
  <c r="D38" i="2"/>
  <c r="D17" i="2"/>
  <c r="D22" i="2"/>
  <c r="D56" i="2"/>
  <c r="D21" i="2"/>
  <c r="D33" i="2"/>
  <c r="D65" i="2"/>
</calcChain>
</file>

<file path=xl/sharedStrings.xml><?xml version="1.0" encoding="utf-8"?>
<sst xmlns="http://schemas.openxmlformats.org/spreadsheetml/2006/main" count="200" uniqueCount="82">
  <si>
    <t>L.P.</t>
  </si>
  <si>
    <t>IMIĘ NAZWISKO</t>
  </si>
  <si>
    <t>PUNKTY</t>
  </si>
  <si>
    <t>GANSZCZYK Marcin</t>
  </si>
  <si>
    <t>KOSIŃSKI Łukasz</t>
  </si>
  <si>
    <t>GAJDA Leszek</t>
  </si>
  <si>
    <t>OSSOWSKI Wojciech</t>
  </si>
  <si>
    <t>MAZIK Aleksander</t>
  </si>
  <si>
    <t>WINGROWICZ Mariusz</t>
  </si>
  <si>
    <t>NOWICKI Robert</t>
  </si>
  <si>
    <t>GAJDA Zbigniew</t>
  </si>
  <si>
    <t>RUDY Andrzej</t>
  </si>
  <si>
    <t>MICHALSKI Philip</t>
  </si>
  <si>
    <t>CHOJNACKI Tomasz</t>
  </si>
  <si>
    <t>KROCHMALSKI Jakub</t>
  </si>
  <si>
    <t>PRZYSTAJKO Daniel</t>
  </si>
  <si>
    <t>ZABŁOCKI Michał</t>
  </si>
  <si>
    <t>MAINKA Andrzej</t>
  </si>
  <si>
    <t>MUTWIL Marcin</t>
  </si>
  <si>
    <t>k</t>
  </si>
  <si>
    <t>LASKOWSKA Patrycja</t>
  </si>
  <si>
    <t>WIŚNIEWSKI Bernard</t>
  </si>
  <si>
    <t>KONWIŃSKI Grzegorz</t>
  </si>
  <si>
    <t>BAZAK Jacek</t>
  </si>
  <si>
    <t>FUHRMANN Ulrike</t>
  </si>
  <si>
    <t>GĘZIKIEWICZ Marcin</t>
  </si>
  <si>
    <t>DANILCZUK Julita</t>
  </si>
  <si>
    <t>KĘDZIORA Agata</t>
  </si>
  <si>
    <t>SAJEWICZ Izabela</t>
  </si>
  <si>
    <t>JAROSZEK Zbigniew</t>
  </si>
  <si>
    <t>OWCZAREK Ewelina</t>
  </si>
  <si>
    <t>WOŁOSZYN Nikodem</t>
  </si>
  <si>
    <t>TRZENSIOK Bernard</t>
  </si>
  <si>
    <t>BROMBEREK Angelika</t>
  </si>
  <si>
    <t>KOSIŃSKI Jerzy</t>
  </si>
  <si>
    <t>MIKOŁAJCZUK Norbert</t>
  </si>
  <si>
    <t>TRISCRONIA Anton</t>
  </si>
  <si>
    <t>KIERSZNICKI Ryszard</t>
  </si>
  <si>
    <t>KOŁUCKI Michał</t>
  </si>
  <si>
    <t>MARASEK Tomasz</t>
  </si>
  <si>
    <t>ZAWROTNIAK Przemysław</t>
  </si>
  <si>
    <t>ADAMCZEWSKI Wojciech</t>
  </si>
  <si>
    <t>SZYMAŃSKI Adam</t>
  </si>
  <si>
    <t>BALIUNOVA Iryna</t>
  </si>
  <si>
    <t>GAJDA Krzysztof</t>
  </si>
  <si>
    <t>JAMROCHA Maciej</t>
  </si>
  <si>
    <t>JUSZKIEWICZ Piotr</t>
  </si>
  <si>
    <t>ZAPAŚNIK Janusz</t>
  </si>
  <si>
    <t>JAŃCZYK Marta</t>
  </si>
  <si>
    <t>KIRCUN Jan</t>
  </si>
  <si>
    <t>LEWICKI Sebastian</t>
  </si>
  <si>
    <t>MOŚCIŃSKI Eryk</t>
  </si>
  <si>
    <t>CHUDYCKI Artur</t>
  </si>
  <si>
    <t>GAWROŃSKA Marta</t>
  </si>
  <si>
    <t>MARTIN Madalina</t>
  </si>
  <si>
    <t>PANZ Marian</t>
  </si>
  <si>
    <t>PRĘGOWSKI Jerzy</t>
  </si>
  <si>
    <t>MILCZAREK Renata</t>
  </si>
  <si>
    <t>PAPROCKI Paweł</t>
  </si>
  <si>
    <t>RUMAK Józef</t>
  </si>
  <si>
    <t>SOSNOWSKA Aniela</t>
  </si>
  <si>
    <t>SZYMCZYK Wiktoria</t>
  </si>
  <si>
    <t>WOJTYSZYN Michał</t>
  </si>
  <si>
    <t>WYROSTEK Paweł</t>
  </si>
  <si>
    <t>BARAŃSKI Wacław</t>
  </si>
  <si>
    <t>CZERNIK Paulina</t>
  </si>
  <si>
    <t>DEDU Bianca</t>
  </si>
  <si>
    <t>MAZUR Jan</t>
  </si>
  <si>
    <t>TRECIŃSKA Oliwia</t>
  </si>
  <si>
    <t>MPW</t>
  </si>
  <si>
    <t>GP I</t>
  </si>
  <si>
    <t>GP II</t>
  </si>
  <si>
    <t>GP III</t>
  </si>
  <si>
    <t>GP IV</t>
  </si>
  <si>
    <t>GP V</t>
  </si>
  <si>
    <t>I</t>
  </si>
  <si>
    <t>II</t>
  </si>
  <si>
    <t>Odszedł w tym roku</t>
  </si>
  <si>
    <t xml:space="preserve"> ma mniej niż 30 lat</t>
  </si>
  <si>
    <t>odeszła w tym roku</t>
  </si>
  <si>
    <t>odeszła/odszedł w tym roku</t>
  </si>
  <si>
    <t>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</si>
</sst>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theme="6"/>
      </patternFill>
    </fill>
    <fill>
      <patternFill patternType="solid">
        <fgColor theme="7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1" fillId="4" borderId="0" applyNumberFormat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left"/>
    </xf>
    <xf numFmtId="0" fontId="5" fillId="3" borderId="1" xfId="1" applyBorder="1" applyAlignment="1">
      <alignment horizontal="center"/>
    </xf>
    <xf numFmtId="0" fontId="5" fillId="3" borderId="1" xfId="1" applyBorder="1" applyAlignment="1">
      <alignment horizontal="left"/>
    </xf>
    <xf numFmtId="0" fontId="1" fillId="4" borderId="1" xfId="2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3">
    <cellStyle name="20% — akcent 4" xfId="2" builtinId="42"/>
    <cellStyle name="Akcent 3" xfId="1" builtinId="37"/>
    <cellStyle name="Normalny" xfId="0" builtinId="0"/>
  </cellStyles>
  <dxfs count="21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4"/>
  <sheetViews>
    <sheetView tabSelected="1" workbookViewId="0">
      <pane ySplit="2" topLeftCell="A3" activePane="bottomLeft" state="frozen"/>
      <selection pane="bottomLeft" activeCell="C3" sqref="C3"/>
    </sheetView>
  </sheetViews>
  <sheetFormatPr defaultColWidth="11.5546875" defaultRowHeight="13.2" x14ac:dyDescent="0.25"/>
  <cols>
    <col min="1" max="1" width="4.6640625" bestFit="1" customWidth="1"/>
    <col min="2" max="2" width="4.6640625" customWidth="1"/>
    <col min="3" max="3" width="29" bestFit="1" customWidth="1"/>
    <col min="4" max="4" width="9.6640625" style="6" bestFit="1" customWidth="1"/>
    <col min="6" max="6" width="25.5546875" bestFit="1" customWidth="1"/>
  </cols>
  <sheetData>
    <row r="1" spans="1:6" ht="13.95" customHeight="1" x14ac:dyDescent="0.3">
      <c r="A1" s="11" t="s">
        <v>0</v>
      </c>
      <c r="B1" s="12"/>
      <c r="C1" s="11" t="s">
        <v>1</v>
      </c>
      <c r="D1" s="11" t="s">
        <v>2</v>
      </c>
      <c r="F1" s="10" t="s">
        <v>78</v>
      </c>
    </row>
    <row r="2" spans="1:6" ht="13.95" customHeight="1" x14ac:dyDescent="0.3">
      <c r="A2" s="11"/>
      <c r="B2" s="13"/>
      <c r="C2" s="11"/>
      <c r="D2" s="11"/>
      <c r="F2" s="9" t="s">
        <v>80</v>
      </c>
    </row>
    <row r="3" spans="1:6" ht="13.8" x14ac:dyDescent="0.25">
      <c r="A3" s="2">
        <f t="shared" ref="A3:A34" si="0">ROW()-2</f>
        <v>1</v>
      </c>
      <c r="B3" s="2">
        <v>1</v>
      </c>
      <c r="C3" s="3" t="s">
        <v>81</v>
      </c>
      <c r="D3" s="5">
        <f>_xlfn.XLOOKUP(C3,Kobiety!$B$3:$B$96,Kobiety!C$3:C$96,_xlfn.XLOOKUP(C3,Mężczyźni!$C$3:$C$62,Mężczyźni!D$3:D$62,""))</f>
        <v>59</v>
      </c>
    </row>
    <row r="4" spans="1:6" ht="13.8" x14ac:dyDescent="0.25">
      <c r="A4" s="2">
        <f t="shared" si="0"/>
        <v>2</v>
      </c>
      <c r="B4" s="2">
        <v>1</v>
      </c>
      <c r="C4" s="3" t="s">
        <v>3</v>
      </c>
      <c r="D4" s="5">
        <f>_xlfn.XLOOKUP(C4,Kobiety!$B$3:$B$96,Kobiety!C$3:C$96,_xlfn.XLOOKUP(C4,Mężczyźni!$C$3:$C$62,Mężczyźni!D$3:D$62,""))</f>
        <v>56</v>
      </c>
    </row>
    <row r="5" spans="1:6" ht="13.8" x14ac:dyDescent="0.25">
      <c r="A5" s="2">
        <f t="shared" si="0"/>
        <v>3</v>
      </c>
      <c r="B5" s="2">
        <v>0</v>
      </c>
      <c r="C5" s="3" t="s">
        <v>4</v>
      </c>
      <c r="D5" s="5">
        <f>_xlfn.XLOOKUP(C5,Kobiety!$B$3:$B$96,Kobiety!C$3:C$96,_xlfn.XLOOKUP(C5,Mężczyźni!$C$3:$C$62,Mężczyźni!D$3:D$62,""))</f>
        <v>55</v>
      </c>
    </row>
    <row r="6" spans="1:6" ht="13.8" x14ac:dyDescent="0.25">
      <c r="A6" s="2">
        <f t="shared" si="0"/>
        <v>4</v>
      </c>
      <c r="B6" s="2">
        <v>2</v>
      </c>
      <c r="C6" s="3" t="s">
        <v>5</v>
      </c>
      <c r="D6" s="5">
        <f>_xlfn.XLOOKUP(C6,Kobiety!$B$3:$B$96,Kobiety!C$3:C$96,_xlfn.XLOOKUP(C6,Mężczyźni!$C$3:$C$62,Mężczyźni!D$3:D$62,""))</f>
        <v>40</v>
      </c>
    </row>
    <row r="7" spans="1:6" ht="13.8" x14ac:dyDescent="0.25">
      <c r="A7" s="2">
        <f t="shared" si="0"/>
        <v>5</v>
      </c>
      <c r="B7" s="2">
        <v>3</v>
      </c>
      <c r="C7" s="3" t="s">
        <v>6</v>
      </c>
      <c r="D7" s="5">
        <f>_xlfn.XLOOKUP(C7,Kobiety!$B$3:$B$96,Kobiety!C$3:C$96,_xlfn.XLOOKUP(C7,Mężczyźni!$C$3:$C$62,Mężczyźni!D$3:D$62,""))</f>
        <v>37</v>
      </c>
    </row>
    <row r="8" spans="1:6" ht="13.8" x14ac:dyDescent="0.25">
      <c r="A8" s="2">
        <f t="shared" si="0"/>
        <v>6</v>
      </c>
      <c r="B8" s="2">
        <v>2</v>
      </c>
      <c r="C8" s="3" t="s">
        <v>7</v>
      </c>
      <c r="D8" s="5">
        <f>_xlfn.XLOOKUP(C8,Kobiety!$B$3:$B$96,Kobiety!C$3:C$96,_xlfn.XLOOKUP(C8,Mężczyźni!$C$3:$C$62,Mężczyźni!D$3:D$62,""))</f>
        <v>34</v>
      </c>
    </row>
    <row r="9" spans="1:6" ht="13.8" x14ac:dyDescent="0.25">
      <c r="A9" s="2">
        <f t="shared" si="0"/>
        <v>7</v>
      </c>
      <c r="B9" s="2">
        <v>1</v>
      </c>
      <c r="C9" s="3" t="s">
        <v>8</v>
      </c>
      <c r="D9" s="5">
        <f>_xlfn.XLOOKUP(C9,Kobiety!$B$3:$B$96,Kobiety!C$3:C$96,_xlfn.XLOOKUP(C9,Mężczyźni!$C$3:$C$62,Mężczyźni!D$3:D$62,""))</f>
        <v>32</v>
      </c>
    </row>
    <row r="10" spans="1:6" ht="13.8" x14ac:dyDescent="0.25">
      <c r="A10" s="2">
        <f t="shared" si="0"/>
        <v>8</v>
      </c>
      <c r="B10" s="2">
        <v>2</v>
      </c>
      <c r="C10" s="3" t="s">
        <v>9</v>
      </c>
      <c r="D10" s="5">
        <f>_xlfn.XLOOKUP(C10,Kobiety!$B$3:$B$96,Kobiety!C$3:C$96,_xlfn.XLOOKUP(C10,Mężczyźni!$C$3:$C$62,Mężczyźni!D$3:D$62,""))</f>
        <v>31</v>
      </c>
    </row>
    <row r="11" spans="1:6" ht="13.8" x14ac:dyDescent="0.25">
      <c r="A11" s="2">
        <f t="shared" si="0"/>
        <v>9</v>
      </c>
      <c r="B11" s="2">
        <v>2</v>
      </c>
      <c r="C11" s="3" t="s">
        <v>10</v>
      </c>
      <c r="D11" s="5">
        <f>_xlfn.XLOOKUP(C11,Kobiety!$B$3:$B$96,Kobiety!C$3:C$96,_xlfn.XLOOKUP(C11,Mężczyźni!$C$3:$C$62,Mężczyźni!D$3:D$62,""))</f>
        <v>30</v>
      </c>
    </row>
    <row r="12" spans="1:6" ht="13.8" x14ac:dyDescent="0.25">
      <c r="A12" s="2">
        <f t="shared" si="0"/>
        <v>10</v>
      </c>
      <c r="B12" s="2">
        <v>1</v>
      </c>
      <c r="C12" s="3" t="s">
        <v>11</v>
      </c>
      <c r="D12" s="5">
        <f>_xlfn.XLOOKUP(C12,Kobiety!$B$3:$B$96,Kobiety!C$3:C$96,_xlfn.XLOOKUP(C12,Mężczyźni!$C$3:$C$62,Mężczyźni!D$3:D$62,""))</f>
        <v>29</v>
      </c>
    </row>
    <row r="13" spans="1:6" ht="13.8" x14ac:dyDescent="0.25">
      <c r="A13" s="2">
        <f t="shared" si="0"/>
        <v>11</v>
      </c>
      <c r="B13" s="2">
        <v>0</v>
      </c>
      <c r="C13" s="3" t="s">
        <v>12</v>
      </c>
      <c r="D13" s="5">
        <f>_xlfn.XLOOKUP(C13,Kobiety!$B$3:$B$96,Kobiety!C$3:C$96,_xlfn.XLOOKUP(C13,Mężczyźni!$C$3:$C$62,Mężczyźni!D$3:D$62,""))</f>
        <v>25</v>
      </c>
    </row>
    <row r="14" spans="1:6" ht="13.8" x14ac:dyDescent="0.25">
      <c r="A14" s="2">
        <f t="shared" si="0"/>
        <v>12</v>
      </c>
      <c r="B14" s="2">
        <v>0</v>
      </c>
      <c r="C14" s="3" t="s">
        <v>13</v>
      </c>
      <c r="D14" s="5">
        <f>_xlfn.XLOOKUP(C14,Kobiety!$B$3:$B$96,Kobiety!C$3:C$96,_xlfn.XLOOKUP(C14,Mężczyźni!$C$3:$C$62,Mężczyźni!D$3:D$62,""))</f>
        <v>24</v>
      </c>
    </row>
    <row r="15" spans="1:6" ht="13.8" x14ac:dyDescent="0.25">
      <c r="A15" s="2">
        <f t="shared" si="0"/>
        <v>13</v>
      </c>
      <c r="B15" s="2">
        <v>1</v>
      </c>
      <c r="C15" s="3" t="s">
        <v>14</v>
      </c>
      <c r="D15" s="5">
        <f>_xlfn.XLOOKUP(C15,Kobiety!$B$3:$B$96,Kobiety!C$3:C$96,_xlfn.XLOOKUP(C15,Mężczyźni!$C$3:$C$62,Mężczyźni!D$3:D$62,""))</f>
        <v>24</v>
      </c>
    </row>
    <row r="16" spans="1:6" ht="13.2" customHeight="1" x14ac:dyDescent="0.25">
      <c r="A16" s="2">
        <f t="shared" si="0"/>
        <v>14</v>
      </c>
      <c r="B16" s="2">
        <v>0</v>
      </c>
      <c r="C16" s="3" t="s">
        <v>15</v>
      </c>
      <c r="D16" s="5">
        <f>_xlfn.XLOOKUP(C16,Kobiety!$B$3:$B$96,Kobiety!C$3:C$96,_xlfn.XLOOKUP(C16,Mężczyźni!$C$3:$C$62,Mężczyźni!D$3:D$62,""))</f>
        <v>24</v>
      </c>
    </row>
    <row r="17" spans="1:4" ht="13.2" customHeight="1" x14ac:dyDescent="0.25">
      <c r="A17" s="2">
        <f t="shared" si="0"/>
        <v>15</v>
      </c>
      <c r="B17" s="2">
        <v>2</v>
      </c>
      <c r="C17" s="3" t="s">
        <v>16</v>
      </c>
      <c r="D17" s="5">
        <f>_xlfn.XLOOKUP(C17,Kobiety!$B$3:$B$96,Kobiety!C$3:C$96,_xlfn.XLOOKUP(C17,Mężczyźni!$C$3:$C$62,Mężczyźni!D$3:D$62,""))</f>
        <v>24</v>
      </c>
    </row>
    <row r="18" spans="1:4" ht="13.2" customHeight="1" x14ac:dyDescent="0.25">
      <c r="A18" s="2">
        <f t="shared" si="0"/>
        <v>16</v>
      </c>
      <c r="B18" s="2">
        <v>4</v>
      </c>
      <c r="C18" s="3" t="s">
        <v>17</v>
      </c>
      <c r="D18" s="5">
        <f>_xlfn.XLOOKUP(C18,Kobiety!$B$3:$B$96,Kobiety!C$3:C$96,_xlfn.XLOOKUP(C18,Mężczyźni!$C$3:$C$62,Mężczyźni!D$3:D$62,""))</f>
        <v>23</v>
      </c>
    </row>
    <row r="19" spans="1:4" ht="13.2" customHeight="1" x14ac:dyDescent="0.25">
      <c r="A19" s="2">
        <f t="shared" si="0"/>
        <v>17</v>
      </c>
      <c r="B19" s="2">
        <v>2</v>
      </c>
      <c r="C19" s="3" t="s">
        <v>18</v>
      </c>
      <c r="D19" s="5">
        <f>_xlfn.XLOOKUP(C19,Kobiety!$B$3:$B$96,Kobiety!C$3:C$96,_xlfn.XLOOKUP(C19,Mężczyźni!$C$3:$C$62,Mężczyźni!D$3:D$62,""))</f>
        <v>23</v>
      </c>
    </row>
    <row r="20" spans="1:4" ht="13.2" customHeight="1" x14ac:dyDescent="0.3">
      <c r="A20" s="2">
        <f t="shared" si="0"/>
        <v>18</v>
      </c>
      <c r="B20" s="2" t="s">
        <v>19</v>
      </c>
      <c r="C20" s="10" t="s">
        <v>20</v>
      </c>
      <c r="D20" s="5">
        <f>_xlfn.XLOOKUP(C20,Kobiety!$B$3:$B$96,Kobiety!C$3:C$96,_xlfn.XLOOKUP(C20,Mężczyźni!$C$3:$C$62,Mężczyźni!D$3:D$62,""))</f>
        <v>21</v>
      </c>
    </row>
    <row r="21" spans="1:4" ht="13.2" customHeight="1" x14ac:dyDescent="0.25">
      <c r="A21" s="2">
        <f t="shared" si="0"/>
        <v>19</v>
      </c>
      <c r="B21" s="2">
        <v>0</v>
      </c>
      <c r="C21" s="3" t="s">
        <v>21</v>
      </c>
      <c r="D21" s="5">
        <f>_xlfn.XLOOKUP(C21,Kobiety!$B$3:$B$96,Kobiety!C$3:C$96,_xlfn.XLOOKUP(C21,Mężczyźni!$C$3:$C$62,Mężczyźni!D$3:D$62,""))</f>
        <v>19</v>
      </c>
    </row>
    <row r="22" spans="1:4" ht="13.2" customHeight="1" x14ac:dyDescent="0.25">
      <c r="A22" s="2">
        <f t="shared" si="0"/>
        <v>20</v>
      </c>
      <c r="B22" s="2">
        <v>3</v>
      </c>
      <c r="C22" s="3" t="s">
        <v>22</v>
      </c>
      <c r="D22" s="5">
        <f>_xlfn.XLOOKUP(C22,Kobiety!$B$3:$B$96,Kobiety!C$3:C$96,_xlfn.XLOOKUP(C22,Mężczyźni!$C$3:$C$62,Mężczyźni!D$3:D$62,""))</f>
        <v>16</v>
      </c>
    </row>
    <row r="23" spans="1:4" ht="13.2" customHeight="1" x14ac:dyDescent="0.25">
      <c r="A23" s="2">
        <f t="shared" si="0"/>
        <v>21</v>
      </c>
      <c r="B23" s="2">
        <v>1</v>
      </c>
      <c r="C23" s="3" t="s">
        <v>23</v>
      </c>
      <c r="D23" s="5">
        <f>_xlfn.XLOOKUP(C23,Kobiety!$B$3:$B$96,Kobiety!C$3:C$96,_xlfn.XLOOKUP(C23,Mężczyźni!$C$3:$C$62,Mężczyźni!D$3:D$62,""))</f>
        <v>15</v>
      </c>
    </row>
    <row r="24" spans="1:4" ht="13.2" customHeight="1" x14ac:dyDescent="0.25">
      <c r="A24" s="2">
        <f t="shared" si="0"/>
        <v>22</v>
      </c>
      <c r="B24" s="2" t="s">
        <v>19</v>
      </c>
      <c r="C24" s="3" t="s">
        <v>24</v>
      </c>
      <c r="D24" s="5">
        <f>_xlfn.XLOOKUP(C24,Kobiety!$B$3:$B$96,Kobiety!C$3:C$96,_xlfn.XLOOKUP(C24,Mężczyźni!$C$3:$C$62,Mężczyźni!D$3:D$62,""))</f>
        <v>15</v>
      </c>
    </row>
    <row r="25" spans="1:4" ht="13.2" customHeight="1" x14ac:dyDescent="0.25">
      <c r="A25" s="2">
        <f t="shared" si="0"/>
        <v>23</v>
      </c>
      <c r="B25" s="2">
        <v>0</v>
      </c>
      <c r="C25" s="3" t="s">
        <v>25</v>
      </c>
      <c r="D25" s="5">
        <f>_xlfn.XLOOKUP(C25,Kobiety!$B$3:$B$96,Kobiety!C$3:C$96,_xlfn.XLOOKUP(C25,Mężczyźni!$C$3:$C$62,Mężczyźni!D$3:D$62,""))</f>
        <v>15</v>
      </c>
    </row>
    <row r="26" spans="1:4" ht="13.2" customHeight="1" x14ac:dyDescent="0.3">
      <c r="A26" s="2">
        <f t="shared" si="0"/>
        <v>24</v>
      </c>
      <c r="B26" s="2" t="s">
        <v>19</v>
      </c>
      <c r="C26" s="10" t="s">
        <v>26</v>
      </c>
      <c r="D26" s="5">
        <f>_xlfn.XLOOKUP(C26,Kobiety!$B$3:$B$96,Kobiety!C$3:C$96,_xlfn.XLOOKUP(C26,Mężczyźni!$C$3:$C$62,Mężczyźni!D$3:D$62,""))</f>
        <v>14</v>
      </c>
    </row>
    <row r="27" spans="1:4" ht="13.2" customHeight="1" x14ac:dyDescent="0.25">
      <c r="A27" s="2">
        <f t="shared" si="0"/>
        <v>25</v>
      </c>
      <c r="B27" s="2" t="s">
        <v>19</v>
      </c>
      <c r="C27" s="3" t="s">
        <v>27</v>
      </c>
      <c r="D27" s="5">
        <f>_xlfn.XLOOKUP(C27,Kobiety!$B$3:$B$96,Kobiety!C$3:C$96,_xlfn.XLOOKUP(C27,Mężczyźni!$C$3:$C$62,Mężczyźni!D$3:D$62,""))</f>
        <v>14</v>
      </c>
    </row>
    <row r="28" spans="1:4" ht="13.2" customHeight="1" x14ac:dyDescent="0.25">
      <c r="A28" s="2">
        <f t="shared" si="0"/>
        <v>26</v>
      </c>
      <c r="B28" s="2" t="s">
        <v>19</v>
      </c>
      <c r="C28" s="3" t="s">
        <v>28</v>
      </c>
      <c r="D28" s="5">
        <f>_xlfn.XLOOKUP(C28,Kobiety!$B$3:$B$96,Kobiety!C$3:C$96,_xlfn.XLOOKUP(C28,Mężczyźni!$C$3:$C$62,Mężczyźni!D$3:D$62,""))</f>
        <v>13</v>
      </c>
    </row>
    <row r="29" spans="1:4" ht="13.2" customHeight="1" x14ac:dyDescent="0.25">
      <c r="A29" s="2">
        <f t="shared" si="0"/>
        <v>27</v>
      </c>
      <c r="B29" s="2">
        <v>2</v>
      </c>
      <c r="C29" s="3" t="s">
        <v>29</v>
      </c>
      <c r="D29" s="5">
        <f>_xlfn.XLOOKUP(C29,Kobiety!$B$3:$B$96,Kobiety!C$3:C$96,_xlfn.XLOOKUP(C29,Mężczyźni!$C$3:$C$62,Mężczyźni!D$3:D$62,""))</f>
        <v>11</v>
      </c>
    </row>
    <row r="30" spans="1:4" ht="13.2" customHeight="1" x14ac:dyDescent="0.25">
      <c r="A30" s="2">
        <f t="shared" si="0"/>
        <v>28</v>
      </c>
      <c r="B30" s="2" t="s">
        <v>19</v>
      </c>
      <c r="C30" s="3" t="s">
        <v>30</v>
      </c>
      <c r="D30" s="5">
        <f>_xlfn.XLOOKUP(C30,Kobiety!$B$3:$B$96,Kobiety!C$3:C$96,_xlfn.XLOOKUP(C30,Mężczyźni!$C$3:$C$62,Mężczyźni!D$3:D$62,""))</f>
        <v>11</v>
      </c>
    </row>
    <row r="31" spans="1:4" ht="13.2" customHeight="1" x14ac:dyDescent="0.25">
      <c r="A31" s="2">
        <f t="shared" si="0"/>
        <v>29</v>
      </c>
      <c r="B31" s="2">
        <v>0</v>
      </c>
      <c r="C31" s="3" t="s">
        <v>31</v>
      </c>
      <c r="D31" s="5">
        <f>_xlfn.XLOOKUP(C31,Kobiety!$B$3:$B$96,Kobiety!C$3:C$96,_xlfn.XLOOKUP(C31,Mężczyźni!$C$3:$C$62,Mężczyźni!D$3:D$62,""))</f>
        <v>11</v>
      </c>
    </row>
    <row r="32" spans="1:4" ht="13.2" customHeight="1" x14ac:dyDescent="0.25">
      <c r="A32" s="2">
        <f t="shared" si="0"/>
        <v>30</v>
      </c>
      <c r="B32" s="2">
        <v>2</v>
      </c>
      <c r="C32" s="3" t="s">
        <v>32</v>
      </c>
      <c r="D32" s="5">
        <f>_xlfn.XLOOKUP(C32,Kobiety!$B$3:$B$96,Kobiety!C$3:C$96,_xlfn.XLOOKUP(C32,Mężczyźni!$C$3:$C$62,Mężczyźni!D$3:D$62,""))</f>
        <v>10</v>
      </c>
    </row>
    <row r="33" spans="1:4" ht="13.2" customHeight="1" x14ac:dyDescent="0.25">
      <c r="A33" s="2">
        <f t="shared" si="0"/>
        <v>31</v>
      </c>
      <c r="B33" s="2" t="s">
        <v>19</v>
      </c>
      <c r="C33" s="3" t="s">
        <v>33</v>
      </c>
      <c r="D33" s="5">
        <f>_xlfn.XLOOKUP(C33,Kobiety!$B$3:$B$96,Kobiety!C$3:C$96,_xlfn.XLOOKUP(C33,Mężczyźni!$C$3:$C$62,Mężczyźni!D$3:D$62,""))</f>
        <v>9</v>
      </c>
    </row>
    <row r="34" spans="1:4" ht="13.2" customHeight="1" x14ac:dyDescent="0.3">
      <c r="A34" s="8">
        <f t="shared" si="0"/>
        <v>32</v>
      </c>
      <c r="B34" s="8">
        <v>3</v>
      </c>
      <c r="C34" s="9" t="s">
        <v>34</v>
      </c>
      <c r="D34" s="8">
        <f>_xlfn.XLOOKUP(C34,Kobiety!$B$3:$B$96,Kobiety!C$3:C$96,_xlfn.XLOOKUP(C34,Mężczyźni!$C$3:$C$62,Mężczyźni!D$3:D$62,""))</f>
        <v>9</v>
      </c>
    </row>
    <row r="35" spans="1:4" ht="13.2" customHeight="1" x14ac:dyDescent="0.25">
      <c r="A35" s="2">
        <f t="shared" ref="A35:A66" si="1">ROW()-2</f>
        <v>33</v>
      </c>
      <c r="B35" s="2">
        <v>0</v>
      </c>
      <c r="C35" s="3" t="s">
        <v>35</v>
      </c>
      <c r="D35" s="5">
        <f>_xlfn.XLOOKUP(C35,Kobiety!$B$3:$B$96,Kobiety!C$3:C$96,_xlfn.XLOOKUP(C35,Mężczyźni!$C$3:$C$62,Mężczyźni!D$3:D$62,""))</f>
        <v>9</v>
      </c>
    </row>
    <row r="36" spans="1:4" ht="13.2" customHeight="1" x14ac:dyDescent="0.25">
      <c r="A36" s="2">
        <f t="shared" si="1"/>
        <v>34</v>
      </c>
      <c r="B36" s="2">
        <v>0</v>
      </c>
      <c r="C36" s="3" t="s">
        <v>36</v>
      </c>
      <c r="D36" s="5">
        <f>_xlfn.XLOOKUP(C36,Kobiety!$B$3:$B$96,Kobiety!C$3:C$96,_xlfn.XLOOKUP(C36,Mężczyźni!$C$3:$C$62,Mężczyźni!D$3:D$62,""))</f>
        <v>9</v>
      </c>
    </row>
    <row r="37" spans="1:4" ht="13.2" customHeight="1" x14ac:dyDescent="0.25">
      <c r="A37" s="2">
        <f t="shared" si="1"/>
        <v>35</v>
      </c>
      <c r="B37" s="2">
        <v>3</v>
      </c>
      <c r="C37" s="3" t="s">
        <v>37</v>
      </c>
      <c r="D37" s="5">
        <f>_xlfn.XLOOKUP(C37,Kobiety!$B$3:$B$96,Kobiety!C$3:C$96,_xlfn.XLOOKUP(C37,Mężczyźni!$C$3:$C$62,Mężczyźni!D$3:D$62,""))</f>
        <v>6</v>
      </c>
    </row>
    <row r="38" spans="1:4" ht="13.2" customHeight="1" x14ac:dyDescent="0.25">
      <c r="A38" s="2">
        <f t="shared" si="1"/>
        <v>36</v>
      </c>
      <c r="B38" s="2">
        <v>1</v>
      </c>
      <c r="C38" s="3" t="s">
        <v>38</v>
      </c>
      <c r="D38" s="5">
        <f>_xlfn.XLOOKUP(C38,Kobiety!$B$3:$B$96,Kobiety!C$3:C$96,_xlfn.XLOOKUP(C38,Mężczyźni!$C$3:$C$62,Mężczyźni!D$3:D$62,""))</f>
        <v>6</v>
      </c>
    </row>
    <row r="39" spans="1:4" ht="13.2" customHeight="1" x14ac:dyDescent="0.25">
      <c r="A39" s="2">
        <f t="shared" si="1"/>
        <v>37</v>
      </c>
      <c r="B39" s="2">
        <v>1</v>
      </c>
      <c r="C39" s="3" t="s">
        <v>39</v>
      </c>
      <c r="D39" s="5">
        <f>_xlfn.XLOOKUP(C39,Kobiety!$B$3:$B$96,Kobiety!C$3:C$96,_xlfn.XLOOKUP(C39,Mężczyźni!$C$3:$C$62,Mężczyźni!D$3:D$62,""))</f>
        <v>6</v>
      </c>
    </row>
    <row r="40" spans="1:4" ht="13.2" customHeight="1" x14ac:dyDescent="0.25">
      <c r="A40" s="2">
        <f t="shared" si="1"/>
        <v>38</v>
      </c>
      <c r="B40" s="2">
        <v>1</v>
      </c>
      <c r="C40" s="3" t="s">
        <v>40</v>
      </c>
      <c r="D40" s="5">
        <f>_xlfn.XLOOKUP(C40,Kobiety!$B$3:$B$96,Kobiety!C$3:C$96,_xlfn.XLOOKUP(C40,Mężczyźni!$C$3:$C$62,Mężczyźni!D$3:D$62,""))</f>
        <v>6</v>
      </c>
    </row>
    <row r="41" spans="1:4" ht="13.2" customHeight="1" x14ac:dyDescent="0.25">
      <c r="A41" s="2">
        <f t="shared" si="1"/>
        <v>39</v>
      </c>
      <c r="B41" s="2">
        <v>3</v>
      </c>
      <c r="C41" s="3" t="s">
        <v>41</v>
      </c>
      <c r="D41" s="5">
        <f>_xlfn.XLOOKUP(C41,Kobiety!$B$3:$B$96,Kobiety!C$3:C$96,_xlfn.XLOOKUP(C41,Mężczyźni!$C$3:$C$62,Mężczyźni!D$3:D$62,""))</f>
        <v>5</v>
      </c>
    </row>
    <row r="42" spans="1:4" ht="13.2" customHeight="1" x14ac:dyDescent="0.25">
      <c r="A42" s="2">
        <f t="shared" si="1"/>
        <v>40</v>
      </c>
      <c r="B42" s="2">
        <v>1</v>
      </c>
      <c r="C42" s="3" t="s">
        <v>42</v>
      </c>
      <c r="D42" s="5">
        <f>_xlfn.XLOOKUP(C42,Kobiety!$B$3:$B$96,Kobiety!C$3:C$96,_xlfn.XLOOKUP(C42,Mężczyźni!$C$3:$C$62,Mężczyźni!D$3:D$62,""))</f>
        <v>5</v>
      </c>
    </row>
    <row r="43" spans="1:4" ht="13.2" customHeight="1" x14ac:dyDescent="0.3">
      <c r="A43" s="2">
        <f t="shared" si="1"/>
        <v>41</v>
      </c>
      <c r="B43" s="2" t="s">
        <v>19</v>
      </c>
      <c r="C43" s="10" t="s">
        <v>43</v>
      </c>
      <c r="D43" s="5">
        <f>_xlfn.XLOOKUP(C43,Kobiety!$B$3:$B$96,Kobiety!C$3:C$96,_xlfn.XLOOKUP(C43,Mężczyźni!$C$3:$C$62,Mężczyźni!D$3:D$62,""))</f>
        <v>4</v>
      </c>
    </row>
    <row r="44" spans="1:4" ht="13.2" customHeight="1" x14ac:dyDescent="0.25">
      <c r="A44" s="2">
        <f t="shared" si="1"/>
        <v>42</v>
      </c>
      <c r="B44" s="2"/>
      <c r="C44" s="3" t="s">
        <v>44</v>
      </c>
      <c r="D44" s="5">
        <f>_xlfn.XLOOKUP(C44,Kobiety!$B$3:$B$96,Kobiety!C$3:C$96,_xlfn.XLOOKUP(C44,Mężczyźni!$C$3:$C$62,Mężczyźni!D$3:D$62,""))</f>
        <v>4</v>
      </c>
    </row>
    <row r="45" spans="1:4" ht="13.2" customHeight="1" x14ac:dyDescent="0.25">
      <c r="A45" s="2">
        <f t="shared" si="1"/>
        <v>43</v>
      </c>
      <c r="B45" s="2">
        <v>0</v>
      </c>
      <c r="C45" s="3" t="s">
        <v>45</v>
      </c>
      <c r="D45" s="5">
        <f>_xlfn.XLOOKUP(C45,Kobiety!$B$3:$B$96,Kobiety!C$3:C$96,_xlfn.XLOOKUP(C45,Mężczyźni!$C$3:$C$62,Mężczyźni!D$3:D$62,""))</f>
        <v>4</v>
      </c>
    </row>
    <row r="46" spans="1:4" ht="13.2" customHeight="1" x14ac:dyDescent="0.25">
      <c r="A46" s="2">
        <f t="shared" si="1"/>
        <v>44</v>
      </c>
      <c r="B46" s="2">
        <v>3</v>
      </c>
      <c r="C46" s="3" t="s">
        <v>46</v>
      </c>
      <c r="D46" s="5">
        <f>_xlfn.XLOOKUP(C46,Kobiety!$B$3:$B$96,Kobiety!C$3:C$96,_xlfn.XLOOKUP(C46,Mężczyźni!$C$3:$C$62,Mężczyźni!D$3:D$62,""))</f>
        <v>4</v>
      </c>
    </row>
    <row r="47" spans="1:4" ht="13.2" customHeight="1" x14ac:dyDescent="0.3">
      <c r="A47" s="2">
        <f t="shared" si="1"/>
        <v>45</v>
      </c>
      <c r="B47" s="2">
        <v>0</v>
      </c>
      <c r="C47" s="10" t="s">
        <v>47</v>
      </c>
      <c r="D47" s="5">
        <f>_xlfn.XLOOKUP(C47,Kobiety!$B$3:$B$96,Kobiety!C$3:C$96,_xlfn.XLOOKUP(C47,Mężczyźni!$C$3:$C$62,Mężczyźni!D$3:D$62,""))</f>
        <v>4</v>
      </c>
    </row>
    <row r="48" spans="1:4" ht="13.2" customHeight="1" x14ac:dyDescent="0.3">
      <c r="A48" s="2">
        <f t="shared" si="1"/>
        <v>46</v>
      </c>
      <c r="B48" s="2" t="s">
        <v>19</v>
      </c>
      <c r="C48" s="10" t="s">
        <v>48</v>
      </c>
      <c r="D48" s="5">
        <f>_xlfn.XLOOKUP(C48,Kobiety!$B$3:$B$96,Kobiety!C$3:C$96,_xlfn.XLOOKUP(C48,Mężczyźni!$C$3:$C$62,Mężczyźni!D$3:D$62,""))</f>
        <v>3</v>
      </c>
    </row>
    <row r="49" spans="1:4" ht="13.2" customHeight="1" x14ac:dyDescent="0.25">
      <c r="A49" s="2">
        <f t="shared" si="1"/>
        <v>47</v>
      </c>
      <c r="B49" s="2">
        <v>0</v>
      </c>
      <c r="C49" s="3" t="s">
        <v>49</v>
      </c>
      <c r="D49" s="5">
        <f>_xlfn.XLOOKUP(C49,Kobiety!$B$3:$B$96,Kobiety!C$3:C$96,_xlfn.XLOOKUP(C49,Mężczyźni!$C$3:$C$62,Mężczyźni!D$3:D$62,""))</f>
        <v>3</v>
      </c>
    </row>
    <row r="50" spans="1:4" ht="13.2" customHeight="1" x14ac:dyDescent="0.25">
      <c r="A50" s="2">
        <f t="shared" si="1"/>
        <v>48</v>
      </c>
      <c r="B50" s="2">
        <v>0</v>
      </c>
      <c r="C50" s="3" t="s">
        <v>50</v>
      </c>
      <c r="D50" s="5">
        <f>_xlfn.XLOOKUP(C50,Kobiety!$B$3:$B$96,Kobiety!C$3:C$96,_xlfn.XLOOKUP(C50,Mężczyźni!$C$3:$C$62,Mężczyźni!D$3:D$62,""))</f>
        <v>3</v>
      </c>
    </row>
    <row r="51" spans="1:4" ht="13.2" customHeight="1" x14ac:dyDescent="0.25">
      <c r="A51" s="2">
        <f t="shared" si="1"/>
        <v>49</v>
      </c>
      <c r="B51" s="2">
        <v>0</v>
      </c>
      <c r="C51" s="3" t="s">
        <v>51</v>
      </c>
      <c r="D51" s="5">
        <f>_xlfn.XLOOKUP(C51,Kobiety!$B$3:$B$96,Kobiety!C$3:C$96,_xlfn.XLOOKUP(C51,Mężczyźni!$C$3:$C$62,Mężczyźni!D$3:D$62,""))</f>
        <v>3</v>
      </c>
    </row>
    <row r="52" spans="1:4" ht="13.2" customHeight="1" x14ac:dyDescent="0.25">
      <c r="A52" s="2">
        <f t="shared" si="1"/>
        <v>50</v>
      </c>
      <c r="B52" s="2">
        <v>3</v>
      </c>
      <c r="C52" s="3" t="s">
        <v>52</v>
      </c>
      <c r="D52" s="5">
        <f>_xlfn.XLOOKUP(C52,Kobiety!$B$3:$B$96,Kobiety!C$3:C$96,_xlfn.XLOOKUP(C52,Mężczyźni!$C$3:$C$62,Mężczyźni!D$3:D$62,""))</f>
        <v>2</v>
      </c>
    </row>
    <row r="53" spans="1:4" ht="13.2" customHeight="1" x14ac:dyDescent="0.3">
      <c r="A53" s="2">
        <f t="shared" si="1"/>
        <v>51</v>
      </c>
      <c r="B53" s="2" t="s">
        <v>19</v>
      </c>
      <c r="C53" s="10" t="s">
        <v>53</v>
      </c>
      <c r="D53" s="5">
        <f>_xlfn.XLOOKUP(C53,Kobiety!$B$3:$B$96,Kobiety!C$3:C$96,_xlfn.XLOOKUP(C53,Mężczyźni!$C$3:$C$62,Mężczyźni!D$3:D$62,""))</f>
        <v>2</v>
      </c>
    </row>
    <row r="54" spans="1:4" ht="13.2" customHeight="1" x14ac:dyDescent="0.3">
      <c r="A54" s="2">
        <f t="shared" si="1"/>
        <v>52</v>
      </c>
      <c r="B54" s="2" t="s">
        <v>19</v>
      </c>
      <c r="C54" s="10" t="s">
        <v>54</v>
      </c>
      <c r="D54" s="5">
        <f>_xlfn.XLOOKUP(C54,Kobiety!$B$3:$B$96,Kobiety!C$3:C$96,_xlfn.XLOOKUP(C54,Mężczyźni!$C$3:$C$62,Mężczyźni!D$3:D$62,""))</f>
        <v>2</v>
      </c>
    </row>
    <row r="55" spans="1:4" ht="13.2" customHeight="1" x14ac:dyDescent="0.25">
      <c r="A55" s="2">
        <f t="shared" si="1"/>
        <v>53</v>
      </c>
      <c r="B55" s="2">
        <v>4</v>
      </c>
      <c r="C55" s="7" t="s">
        <v>55</v>
      </c>
      <c r="D55" s="5">
        <f>_xlfn.XLOOKUP(C55,Kobiety!$B$3:$B$96,Kobiety!C$3:C$96,_xlfn.XLOOKUP(C55,Mężczyźni!$C$3:$C$62,Mężczyźni!D$3:D$62,""))</f>
        <v>2</v>
      </c>
    </row>
    <row r="56" spans="1:4" ht="13.2" customHeight="1" x14ac:dyDescent="0.25">
      <c r="A56" s="2">
        <f t="shared" si="1"/>
        <v>54</v>
      </c>
      <c r="B56" s="2">
        <v>4</v>
      </c>
      <c r="C56" s="3" t="s">
        <v>56</v>
      </c>
      <c r="D56" s="5">
        <f>_xlfn.XLOOKUP(C56,Kobiety!$B$3:$B$96,Kobiety!C$3:C$96,_xlfn.XLOOKUP(C56,Mężczyźni!$C$3:$C$62,Mężczyźni!D$3:D$62,""))</f>
        <v>2</v>
      </c>
    </row>
    <row r="57" spans="1:4" ht="13.2" customHeight="1" x14ac:dyDescent="0.25">
      <c r="A57" s="2">
        <f t="shared" si="1"/>
        <v>55</v>
      </c>
      <c r="B57" s="2" t="s">
        <v>19</v>
      </c>
      <c r="C57" s="3" t="s">
        <v>57</v>
      </c>
      <c r="D57" s="5">
        <f>_xlfn.XLOOKUP(C57,Kobiety!$B$3:$B$96,Kobiety!C$3:C$96,_xlfn.XLOOKUP(C57,Mężczyźni!$C$3:$C$62,Mężczyźni!D$3:D$62,""))</f>
        <v>1</v>
      </c>
    </row>
    <row r="58" spans="1:4" ht="13.2" customHeight="1" x14ac:dyDescent="0.25">
      <c r="A58" s="2">
        <f t="shared" si="1"/>
        <v>56</v>
      </c>
      <c r="B58" s="2">
        <v>0</v>
      </c>
      <c r="C58" s="3" t="s">
        <v>58</v>
      </c>
      <c r="D58" s="5">
        <f>_xlfn.XLOOKUP(C58,Kobiety!$B$3:$B$96,Kobiety!C$3:C$96,_xlfn.XLOOKUP(C58,Mężczyźni!$C$3:$C$62,Mężczyźni!D$3:D$62,""))</f>
        <v>1</v>
      </c>
    </row>
    <row r="59" spans="1:4" ht="13.2" customHeight="1" x14ac:dyDescent="0.25">
      <c r="A59" s="2">
        <f t="shared" si="1"/>
        <v>57</v>
      </c>
      <c r="B59" s="2">
        <v>0</v>
      </c>
      <c r="C59" s="3" t="s">
        <v>59</v>
      </c>
      <c r="D59" s="5">
        <f>_xlfn.XLOOKUP(C59,Kobiety!$B$3:$B$96,Kobiety!C$3:C$96,_xlfn.XLOOKUP(C59,Mężczyźni!$C$3:$C$62,Mężczyźni!D$3:D$62,""))</f>
        <v>1</v>
      </c>
    </row>
    <row r="60" spans="1:4" ht="13.2" customHeight="1" x14ac:dyDescent="0.25">
      <c r="A60" s="2">
        <f t="shared" si="1"/>
        <v>58</v>
      </c>
      <c r="B60" s="2" t="s">
        <v>19</v>
      </c>
      <c r="C60" s="3" t="s">
        <v>60</v>
      </c>
      <c r="D60" s="5">
        <f>_xlfn.XLOOKUP(C60,Kobiety!$B$3:$B$96,Kobiety!C$3:C$96,_xlfn.XLOOKUP(C60,Mężczyźni!$C$3:$C$62,Mężczyźni!D$3:D$62,""))</f>
        <v>1</v>
      </c>
    </row>
    <row r="61" spans="1:4" ht="13.2" customHeight="1" x14ac:dyDescent="0.25">
      <c r="A61" s="2">
        <f t="shared" si="1"/>
        <v>59</v>
      </c>
      <c r="B61" s="2" t="s">
        <v>19</v>
      </c>
      <c r="C61" s="3" t="s">
        <v>61</v>
      </c>
      <c r="D61" s="5">
        <f>_xlfn.XLOOKUP(C61,Kobiety!$B$3:$B$96,Kobiety!C$3:C$96,_xlfn.XLOOKUP(C61,Mężczyźni!$C$3:$C$62,Mężczyźni!D$3:D$62,""))</f>
        <v>1</v>
      </c>
    </row>
    <row r="62" spans="1:4" ht="13.2" customHeight="1" x14ac:dyDescent="0.3">
      <c r="A62" s="2">
        <f t="shared" si="1"/>
        <v>60</v>
      </c>
      <c r="B62" s="2">
        <v>0</v>
      </c>
      <c r="C62" s="10" t="s">
        <v>62</v>
      </c>
      <c r="D62" s="5">
        <f>_xlfn.XLOOKUP(C62,Kobiety!$B$3:$B$96,Kobiety!C$3:C$96,_xlfn.XLOOKUP(C62,Mężczyźni!$C$3:$C$62,Mężczyźni!D$3:D$62,""))</f>
        <v>1</v>
      </c>
    </row>
    <row r="63" spans="1:4" ht="13.2" customHeight="1" x14ac:dyDescent="0.25">
      <c r="A63" s="2">
        <f t="shared" si="1"/>
        <v>61</v>
      </c>
      <c r="B63" s="2">
        <v>0</v>
      </c>
      <c r="C63" s="3" t="s">
        <v>63</v>
      </c>
      <c r="D63" s="5">
        <f>_xlfn.XLOOKUP(C63,Kobiety!$B$3:$B$96,Kobiety!C$3:C$96,_xlfn.XLOOKUP(C63,Mężczyźni!$C$3:$C$62,Mężczyźni!D$3:D$62,""))</f>
        <v>1</v>
      </c>
    </row>
    <row r="64" spans="1:4" ht="13.2" customHeight="1" x14ac:dyDescent="0.25">
      <c r="A64" s="2">
        <f t="shared" si="1"/>
        <v>62</v>
      </c>
      <c r="B64" s="2">
        <v>3</v>
      </c>
      <c r="C64" s="3" t="s">
        <v>64</v>
      </c>
      <c r="D64" s="5">
        <f>_xlfn.XLOOKUP(C64,Kobiety!$B$3:$B$96,Kobiety!C$3:C$96,_xlfn.XLOOKUP(C64,Mężczyźni!$C$3:$C$62,Mężczyźni!D$3:D$62,""))</f>
        <v>0</v>
      </c>
    </row>
    <row r="65" spans="1:4" ht="13.2" customHeight="1" x14ac:dyDescent="0.25">
      <c r="A65" s="2">
        <f t="shared" si="1"/>
        <v>63</v>
      </c>
      <c r="B65" s="2" t="s">
        <v>19</v>
      </c>
      <c r="C65" s="3" t="s">
        <v>65</v>
      </c>
      <c r="D65" s="5">
        <f>_xlfn.XLOOKUP(C65,Kobiety!$B$3:$B$96,Kobiety!C$3:C$96,_xlfn.XLOOKUP(C65,Mężczyźni!$C$3:$C$62,Mężczyźni!D$3:D$62,""))</f>
        <v>0</v>
      </c>
    </row>
    <row r="66" spans="1:4" ht="13.2" customHeight="1" x14ac:dyDescent="0.25">
      <c r="A66" s="2">
        <f t="shared" si="1"/>
        <v>64</v>
      </c>
      <c r="B66" s="2" t="s">
        <v>19</v>
      </c>
      <c r="C66" s="3" t="s">
        <v>66</v>
      </c>
      <c r="D66" s="5">
        <f>_xlfn.XLOOKUP(C66,Kobiety!$B$3:$B$96,Kobiety!C$3:C$96,_xlfn.XLOOKUP(C66,Mężczyźni!$C$3:$C$62,Mężczyźni!D$3:D$62,""))</f>
        <v>0</v>
      </c>
    </row>
    <row r="67" spans="1:4" ht="13.2" customHeight="1" x14ac:dyDescent="0.25">
      <c r="A67" s="2">
        <f t="shared" ref="A67:A84" si="2">ROW()-2</f>
        <v>65</v>
      </c>
      <c r="B67" s="2">
        <v>0</v>
      </c>
      <c r="C67" s="3" t="s">
        <v>67</v>
      </c>
      <c r="D67" s="5">
        <f>_xlfn.XLOOKUP(C67,Kobiety!$B$3:$B$96,Kobiety!C$3:C$96,_xlfn.XLOOKUP(C67,Mężczyźni!$C$3:$C$62,Mężczyźni!D$3:D$62,""))</f>
        <v>0</v>
      </c>
    </row>
    <row r="68" spans="1:4" ht="13.2" customHeight="1" x14ac:dyDescent="0.25">
      <c r="A68" s="2">
        <f t="shared" si="2"/>
        <v>66</v>
      </c>
      <c r="B68" s="2" t="s">
        <v>19</v>
      </c>
      <c r="C68" s="3" t="s">
        <v>68</v>
      </c>
      <c r="D68" s="5">
        <f>_xlfn.XLOOKUP(C68,Kobiety!$B$3:$B$96,Kobiety!C$3:C$96,_xlfn.XLOOKUP(C68,Mężczyźni!$C$3:$C$62,Mężczyźni!D$3:D$62,""))</f>
        <v>0</v>
      </c>
    </row>
    <row r="69" spans="1:4" ht="13.2" customHeight="1" x14ac:dyDescent="0.25">
      <c r="A69" s="2">
        <f t="shared" si="2"/>
        <v>67</v>
      </c>
      <c r="B69" s="2"/>
      <c r="C69" s="3"/>
      <c r="D69" s="5">
        <f>_xlfn.XLOOKUP(C69,Kobiety!$B$3:$B$96,Kobiety!C$3:C$96,_xlfn.XLOOKUP(C69,Mężczyźni!$C$3:$C$62,Mężczyźni!D$3:D$62,""))</f>
        <v>0</v>
      </c>
    </row>
    <row r="70" spans="1:4" ht="13.2" customHeight="1" x14ac:dyDescent="0.25">
      <c r="A70" s="2">
        <f t="shared" si="2"/>
        <v>68</v>
      </c>
      <c r="B70" s="2"/>
      <c r="C70" s="3"/>
      <c r="D70" s="5">
        <f>_xlfn.XLOOKUP(C70,Kobiety!$B$3:$B$96,Kobiety!C$3:C$96,_xlfn.XLOOKUP(C70,Mężczyźni!$C$3:$C$62,Mężczyźni!D$3:D$62,""))</f>
        <v>0</v>
      </c>
    </row>
    <row r="71" spans="1:4" ht="13.2" customHeight="1" x14ac:dyDescent="0.25">
      <c r="A71" s="2">
        <f t="shared" si="2"/>
        <v>69</v>
      </c>
      <c r="B71" s="2"/>
      <c r="C71" s="3"/>
      <c r="D71" s="5">
        <f>_xlfn.XLOOKUP(C71,Kobiety!$B$3:$B$96,Kobiety!C$3:C$96,_xlfn.XLOOKUP(C71,Mężczyźni!$C$3:$C$62,Mężczyźni!D$3:D$62,""))</f>
        <v>0</v>
      </c>
    </row>
    <row r="72" spans="1:4" ht="13.2" customHeight="1" x14ac:dyDescent="0.25">
      <c r="A72" s="2">
        <f t="shared" si="2"/>
        <v>70</v>
      </c>
      <c r="B72" s="2"/>
      <c r="C72" s="3"/>
      <c r="D72" s="5">
        <f>_xlfn.XLOOKUP(C72,Kobiety!$B$3:$B$96,Kobiety!C$3:C$96,_xlfn.XLOOKUP(C72,Mężczyźni!$C$3:$C$62,Mężczyźni!D$3:D$62,""))</f>
        <v>0</v>
      </c>
    </row>
    <row r="73" spans="1:4" ht="13.2" customHeight="1" x14ac:dyDescent="0.25">
      <c r="A73" s="2">
        <f t="shared" si="2"/>
        <v>71</v>
      </c>
      <c r="B73" s="2"/>
      <c r="C73" s="3"/>
      <c r="D73" s="5">
        <f>_xlfn.XLOOKUP(C73,Kobiety!$B$3:$B$96,Kobiety!C$3:C$96,_xlfn.XLOOKUP(C73,Mężczyźni!$C$3:$C$62,Mężczyźni!D$3:D$62,""))</f>
        <v>0</v>
      </c>
    </row>
    <row r="74" spans="1:4" ht="13.2" customHeight="1" x14ac:dyDescent="0.25">
      <c r="A74" s="2">
        <f t="shared" si="2"/>
        <v>72</v>
      </c>
      <c r="B74" s="2"/>
      <c r="C74" s="3"/>
      <c r="D74" s="5">
        <f>_xlfn.XLOOKUP(C74,Kobiety!$B$3:$B$96,Kobiety!C$3:C$96,_xlfn.XLOOKUP(C74,Mężczyźni!$C$3:$C$62,Mężczyźni!D$3:D$62,""))</f>
        <v>0</v>
      </c>
    </row>
    <row r="75" spans="1:4" ht="13.2" customHeight="1" x14ac:dyDescent="0.25">
      <c r="A75" s="2">
        <f t="shared" si="2"/>
        <v>73</v>
      </c>
      <c r="B75" s="2"/>
      <c r="C75" s="3"/>
      <c r="D75" s="5">
        <f>_xlfn.XLOOKUP(C75,Kobiety!$B$3:$B$96,Kobiety!C$3:C$96,_xlfn.XLOOKUP(C75,Mężczyźni!$C$3:$C$62,Mężczyźni!D$3:D$62,""))</f>
        <v>0</v>
      </c>
    </row>
    <row r="76" spans="1:4" ht="13.2" customHeight="1" x14ac:dyDescent="0.25">
      <c r="A76" s="2">
        <f t="shared" si="2"/>
        <v>74</v>
      </c>
      <c r="B76" s="2"/>
      <c r="C76" s="3"/>
      <c r="D76" s="5">
        <f>_xlfn.XLOOKUP(C76,Kobiety!$B$3:$B$96,Kobiety!C$3:C$96,_xlfn.XLOOKUP(C76,Mężczyźni!$C$3:$C$62,Mężczyźni!D$3:D$62,""))</f>
        <v>0</v>
      </c>
    </row>
    <row r="77" spans="1:4" ht="13.2" customHeight="1" x14ac:dyDescent="0.25">
      <c r="A77" s="2">
        <f t="shared" si="2"/>
        <v>75</v>
      </c>
      <c r="B77" s="2"/>
      <c r="C77" s="3"/>
      <c r="D77" s="5">
        <f>_xlfn.XLOOKUP(C77,Kobiety!$B$3:$B$96,Kobiety!C$3:C$96,_xlfn.XLOOKUP(C77,Mężczyźni!$C$3:$C$62,Mężczyźni!D$3:D$62,""))</f>
        <v>0</v>
      </c>
    </row>
    <row r="78" spans="1:4" ht="13.2" customHeight="1" x14ac:dyDescent="0.25">
      <c r="A78" s="2">
        <f t="shared" si="2"/>
        <v>76</v>
      </c>
      <c r="B78" s="2"/>
      <c r="C78" s="3"/>
      <c r="D78" s="5">
        <f>_xlfn.XLOOKUP(C78,Kobiety!$B$3:$B$96,Kobiety!C$3:C$96,_xlfn.XLOOKUP(C78,Mężczyźni!$C$3:$C$62,Mężczyźni!D$3:D$62,""))</f>
        <v>0</v>
      </c>
    </row>
    <row r="79" spans="1:4" ht="13.2" customHeight="1" x14ac:dyDescent="0.25">
      <c r="A79" s="2">
        <f t="shared" si="2"/>
        <v>77</v>
      </c>
      <c r="B79" s="2"/>
      <c r="C79" s="3"/>
      <c r="D79" s="5">
        <f>_xlfn.XLOOKUP(C79,Kobiety!$B$3:$B$96,Kobiety!C$3:C$96,_xlfn.XLOOKUP(C79,Mężczyźni!$C$3:$C$62,Mężczyźni!D$3:D$62,""))</f>
        <v>0</v>
      </c>
    </row>
    <row r="80" spans="1:4" ht="13.2" customHeight="1" x14ac:dyDescent="0.25">
      <c r="A80" s="2">
        <f t="shared" si="2"/>
        <v>78</v>
      </c>
      <c r="B80" s="2"/>
      <c r="C80" s="3"/>
      <c r="D80" s="5">
        <f>_xlfn.XLOOKUP(C80,Kobiety!$B$3:$B$96,Kobiety!C$3:C$96,_xlfn.XLOOKUP(C80,Mężczyźni!$C$3:$C$62,Mężczyźni!D$3:D$62,""))</f>
        <v>0</v>
      </c>
    </row>
    <row r="81" spans="1:4" ht="13.2" customHeight="1" x14ac:dyDescent="0.25">
      <c r="A81" s="2">
        <f t="shared" si="2"/>
        <v>79</v>
      </c>
      <c r="B81" s="2"/>
      <c r="C81" s="3"/>
      <c r="D81" s="5"/>
    </row>
    <row r="82" spans="1:4" ht="13.2" customHeight="1" x14ac:dyDescent="0.25">
      <c r="A82" s="2">
        <f t="shared" si="2"/>
        <v>80</v>
      </c>
      <c r="B82" s="2"/>
      <c r="C82" s="3"/>
      <c r="D82" s="5"/>
    </row>
    <row r="83" spans="1:4" ht="13.2" customHeight="1" x14ac:dyDescent="0.25">
      <c r="A83" s="2">
        <f t="shared" si="2"/>
        <v>81</v>
      </c>
      <c r="B83" s="2"/>
      <c r="C83" s="3"/>
      <c r="D83" s="5"/>
    </row>
    <row r="84" spans="1:4" ht="13.2" customHeight="1" x14ac:dyDescent="0.25">
      <c r="A84" s="2">
        <f t="shared" si="2"/>
        <v>82</v>
      </c>
      <c r="B84" s="2"/>
      <c r="C84" s="3"/>
      <c r="D84" s="5"/>
    </row>
  </sheetData>
  <sheetProtection selectLockedCells="1" selectUnlockedCells="1"/>
  <autoFilter ref="A2:D84" xr:uid="{00000000-0001-0000-0100-000000000000}">
    <sortState xmlns:xlrd2="http://schemas.microsoft.com/office/spreadsheetml/2017/richdata2" ref="A4:D84">
      <sortCondition descending="1" ref="D2:D84"/>
    </sortState>
  </autoFilter>
  <mergeCells count="4">
    <mergeCell ref="A1:A2"/>
    <mergeCell ref="C1:C2"/>
    <mergeCell ref="D1:D2"/>
    <mergeCell ref="B1:B2"/>
  </mergeCells>
  <conditionalFormatting sqref="A3 A6:A84">
    <cfRule type="cellIs" dxfId="20" priority="43" operator="equal">
      <formula>3</formula>
    </cfRule>
    <cfRule type="cellIs" dxfId="19" priority="44" operator="equal">
      <formula>2</formula>
    </cfRule>
    <cfRule type="cellIs" dxfId="18" priority="45" operator="equal">
      <formula>1</formula>
    </cfRule>
  </conditionalFormatting>
  <conditionalFormatting sqref="A4">
    <cfRule type="cellIs" dxfId="17" priority="40" operator="equal">
      <formula>3</formula>
    </cfRule>
    <cfRule type="cellIs" dxfId="16" priority="41" operator="equal">
      <formula>2</formula>
    </cfRule>
    <cfRule type="cellIs" dxfId="15" priority="42" operator="equal">
      <formula>1</formula>
    </cfRule>
  </conditionalFormatting>
  <conditionalFormatting sqref="A5">
    <cfRule type="cellIs" dxfId="14" priority="7" operator="equal">
      <formula>3</formula>
    </cfRule>
    <cfRule type="cellIs" dxfId="13" priority="8" operator="equal">
      <formula>2</formula>
    </cfRule>
    <cfRule type="cellIs" dxfId="12" priority="9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workbookViewId="0">
      <pane xSplit="3" ySplit="2" topLeftCell="H3" activePane="bottomRight" state="frozen"/>
      <selection pane="topRight" activeCell="D1" sqref="D1"/>
      <selection pane="bottomLeft" activeCell="A3" sqref="A3"/>
      <selection pane="bottomRight" activeCell="B13" sqref="B13"/>
    </sheetView>
  </sheetViews>
  <sheetFormatPr defaultColWidth="11.5546875" defaultRowHeight="13.2" x14ac:dyDescent="0.25"/>
  <cols>
    <col min="1" max="1" width="5.44140625" customWidth="1"/>
    <col min="2" max="2" width="19.109375" customWidth="1"/>
    <col min="3" max="3" width="10.5546875" customWidth="1"/>
    <col min="4" max="15" width="6.109375" customWidth="1"/>
    <col min="17" max="17" width="17.77734375" bestFit="1" customWidth="1"/>
  </cols>
  <sheetData>
    <row r="1" spans="1:17" ht="14.4" x14ac:dyDescent="0.3">
      <c r="A1" s="11" t="s">
        <v>0</v>
      </c>
      <c r="B1" s="11" t="s">
        <v>1</v>
      </c>
      <c r="C1" s="11" t="s">
        <v>2</v>
      </c>
      <c r="D1" s="11" t="s">
        <v>69</v>
      </c>
      <c r="E1" s="11"/>
      <c r="F1" s="11" t="s">
        <v>70</v>
      </c>
      <c r="G1" s="11"/>
      <c r="H1" s="11" t="s">
        <v>71</v>
      </c>
      <c r="I1" s="11"/>
      <c r="J1" s="11" t="s">
        <v>72</v>
      </c>
      <c r="K1" s="11"/>
      <c r="L1" s="11" t="s">
        <v>73</v>
      </c>
      <c r="M1" s="11"/>
      <c r="N1" s="11" t="s">
        <v>74</v>
      </c>
      <c r="O1" s="11"/>
      <c r="Q1" s="10" t="s">
        <v>78</v>
      </c>
    </row>
    <row r="2" spans="1:17" ht="14.4" x14ac:dyDescent="0.3">
      <c r="A2" s="11"/>
      <c r="B2" s="11"/>
      <c r="C2" s="11"/>
      <c r="D2" s="1" t="s">
        <v>75</v>
      </c>
      <c r="E2" s="1" t="s">
        <v>76</v>
      </c>
      <c r="F2" s="1" t="s">
        <v>75</v>
      </c>
      <c r="G2" s="1" t="s">
        <v>76</v>
      </c>
      <c r="H2" s="1" t="s">
        <v>75</v>
      </c>
      <c r="I2" s="1" t="s">
        <v>76</v>
      </c>
      <c r="J2" s="1" t="s">
        <v>75</v>
      </c>
      <c r="K2" s="1" t="s">
        <v>76</v>
      </c>
      <c r="L2" s="1" t="s">
        <v>75</v>
      </c>
      <c r="M2" s="1" t="s">
        <v>76</v>
      </c>
      <c r="N2" s="1" t="s">
        <v>75</v>
      </c>
      <c r="O2" s="1" t="s">
        <v>76</v>
      </c>
      <c r="Q2" s="9" t="s">
        <v>79</v>
      </c>
    </row>
    <row r="3" spans="1:17" ht="14.4" x14ac:dyDescent="0.3">
      <c r="A3" s="2">
        <f t="shared" ref="A3:A26" si="0">ROW()-2</f>
        <v>1</v>
      </c>
      <c r="B3" s="10" t="s">
        <v>20</v>
      </c>
      <c r="C3" s="2">
        <f t="shared" ref="C3:C26" si="1">SUM(D3:O3)</f>
        <v>21</v>
      </c>
      <c r="D3" s="4"/>
      <c r="E3" s="4"/>
      <c r="F3" s="4"/>
      <c r="G3" s="4"/>
      <c r="H3" s="4">
        <v>4</v>
      </c>
      <c r="I3" s="4">
        <v>2</v>
      </c>
      <c r="J3" s="4">
        <v>1</v>
      </c>
      <c r="K3" s="4">
        <v>3</v>
      </c>
      <c r="L3" s="4">
        <v>2</v>
      </c>
      <c r="M3" s="4">
        <v>1</v>
      </c>
      <c r="N3" s="4">
        <v>4</v>
      </c>
      <c r="O3" s="4">
        <v>4</v>
      </c>
    </row>
    <row r="4" spans="1:17" ht="13.8" x14ac:dyDescent="0.25">
      <c r="A4" s="2">
        <f t="shared" si="0"/>
        <v>2</v>
      </c>
      <c r="B4" s="3" t="s">
        <v>24</v>
      </c>
      <c r="C4" s="2">
        <f t="shared" si="1"/>
        <v>15</v>
      </c>
      <c r="D4" s="4">
        <v>0</v>
      </c>
      <c r="E4" s="4">
        <v>1</v>
      </c>
      <c r="F4" s="4">
        <v>2</v>
      </c>
      <c r="G4" s="4">
        <v>3</v>
      </c>
      <c r="H4" s="4">
        <v>0</v>
      </c>
      <c r="I4" s="4">
        <v>1</v>
      </c>
      <c r="J4" s="4">
        <v>0</v>
      </c>
      <c r="K4" s="4">
        <v>2</v>
      </c>
      <c r="L4" s="4">
        <v>2</v>
      </c>
      <c r="M4" s="4">
        <v>2</v>
      </c>
      <c r="N4" s="4">
        <v>1</v>
      </c>
      <c r="O4" s="4">
        <v>1</v>
      </c>
    </row>
    <row r="5" spans="1:17" ht="14.4" x14ac:dyDescent="0.3">
      <c r="A5" s="2">
        <f t="shared" si="0"/>
        <v>3</v>
      </c>
      <c r="B5" s="10" t="s">
        <v>26</v>
      </c>
      <c r="C5" s="2">
        <f t="shared" si="1"/>
        <v>14</v>
      </c>
      <c r="D5" s="4"/>
      <c r="E5" s="4"/>
      <c r="F5" s="4"/>
      <c r="G5" s="4"/>
      <c r="H5" s="4">
        <v>3</v>
      </c>
      <c r="I5" s="4">
        <v>1</v>
      </c>
      <c r="J5" s="4"/>
      <c r="K5" s="4"/>
      <c r="L5" s="4">
        <v>3</v>
      </c>
      <c r="M5" s="4">
        <v>2</v>
      </c>
      <c r="N5" s="4">
        <v>2</v>
      </c>
      <c r="O5" s="4">
        <v>3</v>
      </c>
    </row>
    <row r="6" spans="1:17" ht="13.8" x14ac:dyDescent="0.25">
      <c r="A6" s="2">
        <f t="shared" si="0"/>
        <v>4</v>
      </c>
      <c r="B6" s="3" t="s">
        <v>27</v>
      </c>
      <c r="C6" s="2">
        <f t="shared" si="1"/>
        <v>14</v>
      </c>
      <c r="D6" s="4"/>
      <c r="E6" s="4"/>
      <c r="F6" s="4">
        <v>2</v>
      </c>
      <c r="G6" s="4">
        <v>3</v>
      </c>
      <c r="H6" s="4">
        <v>4</v>
      </c>
      <c r="I6" s="4">
        <v>5</v>
      </c>
      <c r="J6" s="4"/>
      <c r="K6" s="4"/>
      <c r="L6" s="4"/>
      <c r="M6" s="4"/>
      <c r="N6" s="4"/>
      <c r="O6" s="4"/>
    </row>
    <row r="7" spans="1:17" ht="13.8" x14ac:dyDescent="0.25">
      <c r="A7" s="2">
        <f t="shared" si="0"/>
        <v>5</v>
      </c>
      <c r="B7" s="3" t="s">
        <v>28</v>
      </c>
      <c r="C7" s="2">
        <f t="shared" si="1"/>
        <v>13</v>
      </c>
      <c r="D7" s="4"/>
      <c r="E7" s="4"/>
      <c r="F7" s="4"/>
      <c r="G7" s="4"/>
      <c r="H7" s="4">
        <v>4</v>
      </c>
      <c r="I7" s="4">
        <v>3</v>
      </c>
      <c r="J7" s="4"/>
      <c r="K7" s="4"/>
      <c r="L7" s="4">
        <v>2</v>
      </c>
      <c r="M7" s="4">
        <v>4</v>
      </c>
      <c r="N7" s="4"/>
      <c r="O7" s="4"/>
    </row>
    <row r="8" spans="1:17" ht="13.8" x14ac:dyDescent="0.25">
      <c r="A8" s="2">
        <f t="shared" si="0"/>
        <v>6</v>
      </c>
      <c r="B8" s="3" t="s">
        <v>30</v>
      </c>
      <c r="C8" s="2">
        <f t="shared" si="1"/>
        <v>11</v>
      </c>
      <c r="D8" s="4"/>
      <c r="E8" s="4"/>
      <c r="F8" s="4">
        <v>3</v>
      </c>
      <c r="G8" s="4">
        <v>3</v>
      </c>
      <c r="H8" s="4">
        <v>2</v>
      </c>
      <c r="I8" s="4">
        <v>3</v>
      </c>
      <c r="J8" s="4"/>
      <c r="K8" s="4"/>
      <c r="L8" s="4"/>
      <c r="M8" s="4"/>
      <c r="N8" s="4"/>
      <c r="O8" s="4"/>
    </row>
    <row r="9" spans="1:17" ht="13.8" x14ac:dyDescent="0.25">
      <c r="A9" s="2">
        <f t="shared" si="0"/>
        <v>7</v>
      </c>
      <c r="B9" s="3" t="s">
        <v>33</v>
      </c>
      <c r="C9" s="2">
        <f t="shared" si="1"/>
        <v>9</v>
      </c>
      <c r="D9" s="4"/>
      <c r="E9" s="4"/>
      <c r="F9" s="4">
        <v>3</v>
      </c>
      <c r="G9" s="4">
        <v>3</v>
      </c>
      <c r="H9" s="4"/>
      <c r="I9" s="4"/>
      <c r="J9" s="4"/>
      <c r="K9" s="4"/>
      <c r="L9" s="4">
        <v>3</v>
      </c>
      <c r="M9" s="4"/>
      <c r="N9" s="4"/>
      <c r="O9" s="4"/>
    </row>
    <row r="10" spans="1:17" ht="14.4" x14ac:dyDescent="0.3">
      <c r="A10" s="2">
        <f t="shared" si="0"/>
        <v>8</v>
      </c>
      <c r="B10" s="10" t="s">
        <v>43</v>
      </c>
      <c r="C10" s="2">
        <f t="shared" si="1"/>
        <v>4</v>
      </c>
      <c r="D10" s="4"/>
      <c r="E10" s="4"/>
      <c r="F10" s="4"/>
      <c r="G10" s="4"/>
      <c r="H10" s="4">
        <v>2</v>
      </c>
      <c r="I10" s="4">
        <v>2</v>
      </c>
      <c r="J10" s="4"/>
      <c r="K10" s="4"/>
      <c r="L10" s="4"/>
      <c r="M10" s="4"/>
      <c r="N10" s="4"/>
      <c r="O10" s="4"/>
    </row>
    <row r="11" spans="1:17" ht="14.4" x14ac:dyDescent="0.3">
      <c r="A11" s="2">
        <f t="shared" si="0"/>
        <v>9</v>
      </c>
      <c r="B11" s="10" t="s">
        <v>48</v>
      </c>
      <c r="C11" s="2">
        <f t="shared" si="1"/>
        <v>3</v>
      </c>
      <c r="D11" s="4"/>
      <c r="E11" s="4"/>
      <c r="F11" s="4"/>
      <c r="G11" s="4"/>
      <c r="H11" s="4">
        <v>2</v>
      </c>
      <c r="I11" s="4">
        <v>1</v>
      </c>
      <c r="J11" s="4"/>
      <c r="K11" s="4"/>
      <c r="L11" s="4"/>
      <c r="M11" s="4"/>
      <c r="N11" s="4"/>
      <c r="O11" s="4"/>
    </row>
    <row r="12" spans="1:17" ht="14.4" x14ac:dyDescent="0.3">
      <c r="A12" s="2">
        <f t="shared" si="0"/>
        <v>10</v>
      </c>
      <c r="B12" s="10" t="s">
        <v>54</v>
      </c>
      <c r="C12" s="2">
        <f t="shared" si="1"/>
        <v>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>
        <v>1</v>
      </c>
      <c r="O12" s="4">
        <v>1</v>
      </c>
    </row>
    <row r="13" spans="1:17" ht="14.4" x14ac:dyDescent="0.3">
      <c r="A13" s="2">
        <f t="shared" si="0"/>
        <v>11</v>
      </c>
      <c r="B13" s="10" t="s">
        <v>53</v>
      </c>
      <c r="C13" s="2">
        <f t="shared" si="1"/>
        <v>2</v>
      </c>
      <c r="D13" s="4"/>
      <c r="E13" s="4"/>
      <c r="F13" s="4"/>
      <c r="G13" s="4"/>
      <c r="H13" s="4">
        <v>1</v>
      </c>
      <c r="I13" s="4">
        <v>1</v>
      </c>
      <c r="J13" s="4"/>
      <c r="K13" s="4"/>
      <c r="L13" s="4"/>
      <c r="M13" s="4"/>
      <c r="N13" s="4"/>
      <c r="O13" s="4"/>
    </row>
    <row r="14" spans="1:17" ht="13.8" x14ac:dyDescent="0.25">
      <c r="A14" s="2">
        <f t="shared" si="0"/>
        <v>12</v>
      </c>
      <c r="B14" s="3" t="s">
        <v>57</v>
      </c>
      <c r="C14" s="2">
        <f t="shared" si="1"/>
        <v>1</v>
      </c>
      <c r="D14" s="4"/>
      <c r="E14" s="4"/>
      <c r="F14" s="4"/>
      <c r="G14" s="4"/>
      <c r="H14" s="4"/>
      <c r="I14" s="4"/>
      <c r="J14" s="4">
        <v>0</v>
      </c>
      <c r="K14" s="4">
        <v>0</v>
      </c>
      <c r="L14" s="4">
        <v>0</v>
      </c>
      <c r="M14" s="4">
        <v>0</v>
      </c>
      <c r="N14" s="4">
        <v>1</v>
      </c>
      <c r="O14" s="4">
        <v>0</v>
      </c>
    </row>
    <row r="15" spans="1:17" ht="13.8" x14ac:dyDescent="0.25">
      <c r="A15" s="2">
        <f t="shared" si="0"/>
        <v>13</v>
      </c>
      <c r="B15" s="3" t="s">
        <v>60</v>
      </c>
      <c r="C15" s="2">
        <f t="shared" si="1"/>
        <v>1</v>
      </c>
      <c r="D15" s="4"/>
      <c r="E15" s="4"/>
      <c r="F15" s="4">
        <v>1</v>
      </c>
      <c r="G15" s="4">
        <v>0</v>
      </c>
      <c r="H15" s="4">
        <v>0</v>
      </c>
      <c r="I15" s="4">
        <v>0</v>
      </c>
      <c r="J15" s="4"/>
      <c r="K15" s="4"/>
      <c r="L15" s="4"/>
      <c r="M15" s="4"/>
      <c r="N15" s="4"/>
      <c r="O15" s="4"/>
    </row>
    <row r="16" spans="1:17" ht="13.8" x14ac:dyDescent="0.25">
      <c r="A16" s="2">
        <f t="shared" si="0"/>
        <v>14</v>
      </c>
      <c r="B16" s="3" t="s">
        <v>61</v>
      </c>
      <c r="C16" s="2">
        <f t="shared" si="1"/>
        <v>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>
        <v>0</v>
      </c>
      <c r="O16" s="4">
        <v>1</v>
      </c>
    </row>
    <row r="17" spans="1:15" ht="13.8" x14ac:dyDescent="0.25">
      <c r="A17" s="2">
        <f t="shared" si="0"/>
        <v>15</v>
      </c>
      <c r="B17" s="3" t="s">
        <v>65</v>
      </c>
      <c r="C17" s="2">
        <f t="shared" si="1"/>
        <v>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>
        <v>0</v>
      </c>
      <c r="O17" s="4">
        <v>0</v>
      </c>
    </row>
    <row r="18" spans="1:15" ht="13.8" x14ac:dyDescent="0.25">
      <c r="A18" s="2">
        <f t="shared" si="0"/>
        <v>16</v>
      </c>
      <c r="B18" s="3" t="s">
        <v>66</v>
      </c>
      <c r="C18" s="2">
        <f t="shared" si="1"/>
        <v>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>
        <v>0</v>
      </c>
      <c r="O18" s="4">
        <v>0</v>
      </c>
    </row>
    <row r="19" spans="1:15" ht="13.8" x14ac:dyDescent="0.25">
      <c r="A19" s="2">
        <f t="shared" si="0"/>
        <v>17</v>
      </c>
      <c r="B19" s="3" t="s">
        <v>68</v>
      </c>
      <c r="C19" s="2">
        <f t="shared" si="1"/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>
        <v>0</v>
      </c>
      <c r="O19" s="4">
        <v>0</v>
      </c>
    </row>
    <row r="20" spans="1:15" ht="13.8" x14ac:dyDescent="0.25">
      <c r="A20" s="2">
        <f t="shared" si="0"/>
        <v>18</v>
      </c>
      <c r="B20" s="3"/>
      <c r="C20" s="2">
        <f t="shared" si="1"/>
        <v>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3.8" x14ac:dyDescent="0.25">
      <c r="A21" s="2">
        <f t="shared" si="0"/>
        <v>19</v>
      </c>
      <c r="B21" s="3"/>
      <c r="C21" s="2">
        <f t="shared" si="1"/>
        <v>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3.8" x14ac:dyDescent="0.25">
      <c r="A22" s="2">
        <f t="shared" si="0"/>
        <v>20</v>
      </c>
      <c r="B22" s="3"/>
      <c r="C22" s="2">
        <f t="shared" si="1"/>
        <v>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13.8" x14ac:dyDescent="0.25">
      <c r="A23" s="2">
        <f t="shared" si="0"/>
        <v>21</v>
      </c>
      <c r="B23" s="3"/>
      <c r="C23" s="2">
        <f t="shared" si="1"/>
        <v>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13.8" x14ac:dyDescent="0.25">
      <c r="A24" s="2">
        <f t="shared" si="0"/>
        <v>22</v>
      </c>
      <c r="B24" s="3"/>
      <c r="C24" s="2">
        <f t="shared" si="1"/>
        <v>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3.8" x14ac:dyDescent="0.25">
      <c r="A25" s="2">
        <f t="shared" si="0"/>
        <v>23</v>
      </c>
      <c r="B25" s="3"/>
      <c r="C25" s="2">
        <f t="shared" si="1"/>
        <v>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13.8" x14ac:dyDescent="0.25">
      <c r="A26" s="2">
        <f t="shared" si="0"/>
        <v>24</v>
      </c>
      <c r="B26" s="3"/>
      <c r="C26" s="2">
        <f t="shared" si="1"/>
        <v>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</sheetData>
  <sheetProtection selectLockedCells="1" selectUnlockedCells="1"/>
  <autoFilter ref="A2:O26" xr:uid="{00000000-0009-0000-0000-000000000000}">
    <sortState xmlns:xlrd2="http://schemas.microsoft.com/office/spreadsheetml/2017/richdata2" ref="A4:O26">
      <sortCondition descending="1" ref="C2:C26"/>
    </sortState>
  </autoFilter>
  <mergeCells count="9">
    <mergeCell ref="J1:K1"/>
    <mergeCell ref="L1:M1"/>
    <mergeCell ref="N1:O1"/>
    <mergeCell ref="A1:A2"/>
    <mergeCell ref="B1:B2"/>
    <mergeCell ref="C1:C2"/>
    <mergeCell ref="D1:E1"/>
    <mergeCell ref="F1:G1"/>
    <mergeCell ref="H1:I1"/>
  </mergeCells>
  <conditionalFormatting sqref="A3">
    <cfRule type="cellIs" dxfId="11" priority="4" operator="equal">
      <formula>3</formula>
    </cfRule>
    <cfRule type="cellIs" dxfId="10" priority="5" operator="equal">
      <formula>2</formula>
    </cfRule>
    <cfRule type="cellIs" dxfId="9" priority="6" operator="equal">
      <formula>1</formula>
    </cfRule>
  </conditionalFormatting>
  <conditionalFormatting sqref="A4:A5">
    <cfRule type="cellIs" dxfId="8" priority="1" operator="equal">
      <formula>3</formula>
    </cfRule>
    <cfRule type="cellIs" dxfId="7" priority="2" operator="equal">
      <formula>2</formula>
    </cfRule>
    <cfRule type="cellIs" dxfId="6" priority="3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CAFE-A561-497B-9624-9A5AD143DC59}">
  <dimension ref="A1:R65"/>
  <sheetViews>
    <sheetView workbookViewId="0">
      <pane xSplit="4" ySplit="2" topLeftCell="E12" activePane="bottomRight" state="frozen"/>
      <selection pane="topRight" activeCell="E1" sqref="E1"/>
      <selection pane="bottomLeft" activeCell="A3" sqref="A3"/>
      <selection pane="bottomRight" activeCell="C49" sqref="C49"/>
    </sheetView>
  </sheetViews>
  <sheetFormatPr defaultColWidth="11.5546875" defaultRowHeight="13.2" x14ac:dyDescent="0.25"/>
  <cols>
    <col min="1" max="2" width="5.44140625" customWidth="1"/>
    <col min="3" max="3" width="24.109375" bestFit="1" customWidth="1"/>
    <col min="4" max="4" width="10.5546875" customWidth="1"/>
    <col min="5" max="16" width="6.109375" customWidth="1"/>
    <col min="18" max="18" width="18.21875" bestFit="1" customWidth="1"/>
  </cols>
  <sheetData>
    <row r="1" spans="1:18" ht="14.4" x14ac:dyDescent="0.3">
      <c r="A1" s="11" t="s">
        <v>0</v>
      </c>
      <c r="B1" s="12"/>
      <c r="C1" s="11" t="s">
        <v>1</v>
      </c>
      <c r="D1" s="11" t="s">
        <v>2</v>
      </c>
      <c r="E1" s="11" t="s">
        <v>69</v>
      </c>
      <c r="F1" s="11"/>
      <c r="G1" s="11" t="s">
        <v>70</v>
      </c>
      <c r="H1" s="11"/>
      <c r="I1" s="11" t="s">
        <v>71</v>
      </c>
      <c r="J1" s="11"/>
      <c r="K1" s="11" t="s">
        <v>72</v>
      </c>
      <c r="L1" s="11"/>
      <c r="M1" s="11" t="s">
        <v>73</v>
      </c>
      <c r="N1" s="11"/>
      <c r="O1" s="11" t="s">
        <v>74</v>
      </c>
      <c r="P1" s="11"/>
      <c r="R1" s="10" t="s">
        <v>78</v>
      </c>
    </row>
    <row r="2" spans="1:18" ht="14.4" x14ac:dyDescent="0.3">
      <c r="A2" s="11"/>
      <c r="B2" s="13"/>
      <c r="C2" s="11"/>
      <c r="D2" s="11"/>
      <c r="E2" s="1" t="s">
        <v>75</v>
      </c>
      <c r="F2" s="1" t="s">
        <v>76</v>
      </c>
      <c r="G2" s="1" t="s">
        <v>75</v>
      </c>
      <c r="H2" s="1" t="s">
        <v>76</v>
      </c>
      <c r="I2" s="1" t="s">
        <v>75</v>
      </c>
      <c r="J2" s="1" t="s">
        <v>76</v>
      </c>
      <c r="K2" s="1" t="s">
        <v>75</v>
      </c>
      <c r="L2" s="1" t="s">
        <v>76</v>
      </c>
      <c r="M2" s="1" t="s">
        <v>75</v>
      </c>
      <c r="N2" s="1" t="s">
        <v>76</v>
      </c>
      <c r="O2" s="1" t="s">
        <v>75</v>
      </c>
      <c r="P2" s="1" t="s">
        <v>76</v>
      </c>
      <c r="R2" s="9" t="s">
        <v>77</v>
      </c>
    </row>
    <row r="3" spans="1:18" ht="13.8" x14ac:dyDescent="0.25">
      <c r="A3" s="2">
        <f t="shared" ref="A3:A34" si="0">ROW()-2</f>
        <v>1</v>
      </c>
      <c r="B3" s="2">
        <v>1</v>
      </c>
      <c r="C3" s="3" t="s">
        <v>81</v>
      </c>
      <c r="D3" s="2">
        <f t="shared" ref="D3:D34" si="1">SUM(E3:P3)</f>
        <v>59</v>
      </c>
      <c r="E3" s="4">
        <v>5</v>
      </c>
      <c r="F3" s="4">
        <v>5</v>
      </c>
      <c r="G3" s="4">
        <v>5</v>
      </c>
      <c r="H3" s="4">
        <v>4</v>
      </c>
      <c r="I3" s="4">
        <v>5</v>
      </c>
      <c r="J3" s="4">
        <v>5</v>
      </c>
      <c r="K3" s="4">
        <v>6</v>
      </c>
      <c r="L3" s="4">
        <v>6</v>
      </c>
      <c r="M3" s="4">
        <v>5</v>
      </c>
      <c r="N3" s="4">
        <v>4</v>
      </c>
      <c r="O3" s="4">
        <v>4</v>
      </c>
      <c r="P3" s="4">
        <v>5</v>
      </c>
    </row>
    <row r="4" spans="1:18" ht="13.8" x14ac:dyDescent="0.25">
      <c r="A4" s="2">
        <f t="shared" si="0"/>
        <v>2</v>
      </c>
      <c r="B4" s="2">
        <v>1</v>
      </c>
      <c r="C4" s="3" t="s">
        <v>3</v>
      </c>
      <c r="D4" s="2">
        <f t="shared" si="1"/>
        <v>56</v>
      </c>
      <c r="E4" s="4">
        <v>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4</v>
      </c>
      <c r="L4" s="4">
        <v>4</v>
      </c>
      <c r="M4" s="4">
        <v>5</v>
      </c>
      <c r="N4" s="4">
        <v>5</v>
      </c>
      <c r="O4" s="4">
        <v>4</v>
      </c>
      <c r="P4" s="4">
        <v>4</v>
      </c>
    </row>
    <row r="5" spans="1:18" ht="13.8" x14ac:dyDescent="0.25">
      <c r="A5" s="2">
        <f t="shared" si="0"/>
        <v>3</v>
      </c>
      <c r="B5" s="2">
        <v>0</v>
      </c>
      <c r="C5" s="3" t="s">
        <v>4</v>
      </c>
      <c r="D5" s="2">
        <f t="shared" si="1"/>
        <v>55</v>
      </c>
      <c r="E5" s="4">
        <v>5</v>
      </c>
      <c r="F5" s="4">
        <v>2</v>
      </c>
      <c r="G5" s="4">
        <v>5</v>
      </c>
      <c r="H5" s="4">
        <v>5</v>
      </c>
      <c r="I5" s="4">
        <v>4</v>
      </c>
      <c r="J5" s="4">
        <v>5</v>
      </c>
      <c r="K5" s="4">
        <v>5</v>
      </c>
      <c r="L5" s="4">
        <v>5</v>
      </c>
      <c r="M5" s="4">
        <v>5</v>
      </c>
      <c r="N5" s="4">
        <v>5</v>
      </c>
      <c r="O5" s="4">
        <v>4</v>
      </c>
      <c r="P5" s="4">
        <v>5</v>
      </c>
    </row>
    <row r="6" spans="1:18" ht="13.8" x14ac:dyDescent="0.25">
      <c r="A6" s="2">
        <f t="shared" si="0"/>
        <v>4</v>
      </c>
      <c r="B6" s="2">
        <v>2</v>
      </c>
      <c r="C6" s="3" t="s">
        <v>5</v>
      </c>
      <c r="D6" s="2">
        <f t="shared" si="1"/>
        <v>40</v>
      </c>
      <c r="E6" s="4">
        <v>3</v>
      </c>
      <c r="F6" s="4">
        <v>4</v>
      </c>
      <c r="G6" s="4">
        <v>2</v>
      </c>
      <c r="H6" s="4">
        <v>4</v>
      </c>
      <c r="I6" s="4">
        <v>3</v>
      </c>
      <c r="J6" s="4">
        <v>4</v>
      </c>
      <c r="K6" s="4">
        <v>2</v>
      </c>
      <c r="L6" s="4">
        <v>4</v>
      </c>
      <c r="M6" s="4">
        <v>3</v>
      </c>
      <c r="N6" s="4">
        <v>2</v>
      </c>
      <c r="O6" s="4">
        <v>4</v>
      </c>
      <c r="P6" s="4">
        <v>5</v>
      </c>
    </row>
    <row r="7" spans="1:18" ht="13.8" x14ac:dyDescent="0.25">
      <c r="A7" s="2">
        <f t="shared" si="0"/>
        <v>5</v>
      </c>
      <c r="B7" s="2">
        <v>3</v>
      </c>
      <c r="C7" s="3" t="s">
        <v>6</v>
      </c>
      <c r="D7" s="2">
        <f t="shared" si="1"/>
        <v>37</v>
      </c>
      <c r="E7" s="4">
        <v>4</v>
      </c>
      <c r="F7" s="4">
        <v>2</v>
      </c>
      <c r="G7" s="4">
        <v>1</v>
      </c>
      <c r="H7" s="4">
        <v>3</v>
      </c>
      <c r="I7" s="4">
        <v>4</v>
      </c>
      <c r="J7" s="4">
        <v>4</v>
      </c>
      <c r="K7" s="4">
        <v>3</v>
      </c>
      <c r="L7" s="4">
        <v>2</v>
      </c>
      <c r="M7" s="4">
        <v>3</v>
      </c>
      <c r="N7" s="4">
        <v>3</v>
      </c>
      <c r="O7" s="4">
        <v>5</v>
      </c>
      <c r="P7" s="4">
        <v>3</v>
      </c>
    </row>
    <row r="8" spans="1:18" ht="13.8" x14ac:dyDescent="0.25">
      <c r="A8" s="2">
        <f t="shared" si="0"/>
        <v>6</v>
      </c>
      <c r="B8" s="2">
        <v>2</v>
      </c>
      <c r="C8" s="3" t="s">
        <v>7</v>
      </c>
      <c r="D8" s="2">
        <f t="shared" si="1"/>
        <v>34</v>
      </c>
      <c r="E8" s="4">
        <v>2</v>
      </c>
      <c r="F8" s="4">
        <v>4</v>
      </c>
      <c r="G8" s="4">
        <v>3</v>
      </c>
      <c r="H8" s="4">
        <v>3</v>
      </c>
      <c r="I8" s="4">
        <v>3</v>
      </c>
      <c r="J8" s="4">
        <v>3</v>
      </c>
      <c r="K8" s="4">
        <v>3</v>
      </c>
      <c r="L8" s="4">
        <v>2</v>
      </c>
      <c r="M8" s="4">
        <v>2</v>
      </c>
      <c r="N8" s="4">
        <v>1</v>
      </c>
      <c r="O8" s="4">
        <v>4</v>
      </c>
      <c r="P8" s="4">
        <v>4</v>
      </c>
    </row>
    <row r="9" spans="1:18" ht="13.8" x14ac:dyDescent="0.25">
      <c r="A9" s="2">
        <f t="shared" si="0"/>
        <v>7</v>
      </c>
      <c r="B9" s="2">
        <v>1</v>
      </c>
      <c r="C9" s="3" t="s">
        <v>8</v>
      </c>
      <c r="D9" s="2">
        <f t="shared" si="1"/>
        <v>32</v>
      </c>
      <c r="E9" s="4">
        <v>4</v>
      </c>
      <c r="F9" s="4">
        <v>4</v>
      </c>
      <c r="G9" s="4"/>
      <c r="H9" s="4"/>
      <c r="I9" s="4">
        <v>3</v>
      </c>
      <c r="J9" s="4">
        <v>3</v>
      </c>
      <c r="K9" s="4">
        <v>3</v>
      </c>
      <c r="L9" s="4">
        <v>3</v>
      </c>
      <c r="M9" s="4">
        <v>2</v>
      </c>
      <c r="N9" s="4">
        <v>4</v>
      </c>
      <c r="O9" s="4">
        <v>4</v>
      </c>
      <c r="P9" s="4">
        <v>2</v>
      </c>
    </row>
    <row r="10" spans="1:18" ht="13.8" x14ac:dyDescent="0.25">
      <c r="A10" s="2">
        <f t="shared" si="0"/>
        <v>8</v>
      </c>
      <c r="B10" s="2">
        <v>2</v>
      </c>
      <c r="C10" s="3" t="s">
        <v>9</v>
      </c>
      <c r="D10" s="2">
        <f t="shared" si="1"/>
        <v>31</v>
      </c>
      <c r="E10" s="4">
        <v>3</v>
      </c>
      <c r="F10" s="4">
        <v>3</v>
      </c>
      <c r="G10" s="4"/>
      <c r="H10" s="4"/>
      <c r="I10" s="4"/>
      <c r="J10" s="4"/>
      <c r="K10" s="4">
        <v>5</v>
      </c>
      <c r="L10" s="4">
        <v>5</v>
      </c>
      <c r="M10" s="4">
        <v>3</v>
      </c>
      <c r="N10" s="4">
        <v>3</v>
      </c>
      <c r="O10" s="4">
        <v>5</v>
      </c>
      <c r="P10" s="4">
        <v>4</v>
      </c>
    </row>
    <row r="11" spans="1:18" ht="13.8" x14ac:dyDescent="0.25">
      <c r="A11" s="2">
        <f t="shared" si="0"/>
        <v>9</v>
      </c>
      <c r="B11" s="2">
        <v>2</v>
      </c>
      <c r="C11" s="3" t="s">
        <v>10</v>
      </c>
      <c r="D11" s="2">
        <f t="shared" si="1"/>
        <v>30</v>
      </c>
      <c r="E11" s="4"/>
      <c r="F11" s="4"/>
      <c r="G11" s="4">
        <v>2</v>
      </c>
      <c r="H11" s="4">
        <v>4</v>
      </c>
      <c r="I11" s="4">
        <v>4</v>
      </c>
      <c r="J11" s="4">
        <v>4</v>
      </c>
      <c r="K11" s="4">
        <v>4</v>
      </c>
      <c r="L11" s="4">
        <v>3</v>
      </c>
      <c r="M11" s="4">
        <v>3</v>
      </c>
      <c r="N11" s="4">
        <v>1</v>
      </c>
      <c r="O11" s="4">
        <v>2</v>
      </c>
      <c r="P11" s="4">
        <v>3</v>
      </c>
    </row>
    <row r="12" spans="1:18" ht="13.8" x14ac:dyDescent="0.25">
      <c r="A12" s="2">
        <f t="shared" si="0"/>
        <v>10</v>
      </c>
      <c r="B12" s="2">
        <v>1</v>
      </c>
      <c r="C12" s="3" t="s">
        <v>11</v>
      </c>
      <c r="D12" s="2">
        <f t="shared" si="1"/>
        <v>29</v>
      </c>
      <c r="E12" s="4">
        <v>3</v>
      </c>
      <c r="F12" s="4">
        <v>3</v>
      </c>
      <c r="G12" s="4">
        <v>1</v>
      </c>
      <c r="H12" s="4">
        <v>2</v>
      </c>
      <c r="I12" s="4">
        <v>5</v>
      </c>
      <c r="J12" s="4">
        <v>3</v>
      </c>
      <c r="K12" s="4">
        <v>3</v>
      </c>
      <c r="L12" s="4">
        <v>3</v>
      </c>
      <c r="M12" s="4">
        <v>2</v>
      </c>
      <c r="N12" s="4">
        <v>4</v>
      </c>
      <c r="O12" s="4"/>
      <c r="P12" s="4"/>
    </row>
    <row r="13" spans="1:18" ht="13.8" x14ac:dyDescent="0.25">
      <c r="A13" s="2">
        <f t="shared" si="0"/>
        <v>11</v>
      </c>
      <c r="B13" s="2">
        <v>0</v>
      </c>
      <c r="C13" s="3" t="s">
        <v>12</v>
      </c>
      <c r="D13" s="2">
        <f t="shared" si="1"/>
        <v>25</v>
      </c>
      <c r="E13" s="4"/>
      <c r="F13" s="4"/>
      <c r="G13" s="4"/>
      <c r="H13" s="4"/>
      <c r="I13" s="4">
        <v>3</v>
      </c>
      <c r="J13" s="4">
        <v>5</v>
      </c>
      <c r="K13" s="4">
        <v>5</v>
      </c>
      <c r="L13" s="4">
        <v>5</v>
      </c>
      <c r="M13" s="4"/>
      <c r="N13" s="4"/>
      <c r="O13" s="4">
        <v>4</v>
      </c>
      <c r="P13" s="4">
        <v>3</v>
      </c>
    </row>
    <row r="14" spans="1:18" ht="13.8" x14ac:dyDescent="0.25">
      <c r="A14" s="2">
        <f t="shared" si="0"/>
        <v>12</v>
      </c>
      <c r="B14" s="2">
        <v>0</v>
      </c>
      <c r="C14" s="3" t="s">
        <v>13</v>
      </c>
      <c r="D14" s="2">
        <f t="shared" si="1"/>
        <v>24</v>
      </c>
      <c r="E14" s="4">
        <v>1</v>
      </c>
      <c r="F14" s="4">
        <v>2</v>
      </c>
      <c r="G14" s="4">
        <v>4</v>
      </c>
      <c r="H14" s="4">
        <v>3</v>
      </c>
      <c r="I14" s="4"/>
      <c r="J14" s="4"/>
      <c r="K14" s="4">
        <v>3</v>
      </c>
      <c r="L14" s="4">
        <v>1</v>
      </c>
      <c r="M14" s="4">
        <v>2</v>
      </c>
      <c r="N14" s="4">
        <v>2</v>
      </c>
      <c r="O14" s="4">
        <v>3</v>
      </c>
      <c r="P14" s="4">
        <v>3</v>
      </c>
    </row>
    <row r="15" spans="1:18" ht="13.8" x14ac:dyDescent="0.25">
      <c r="A15" s="2">
        <f t="shared" si="0"/>
        <v>13</v>
      </c>
      <c r="B15" s="2">
        <v>1</v>
      </c>
      <c r="C15" s="3" t="s">
        <v>14</v>
      </c>
      <c r="D15" s="2">
        <f t="shared" si="1"/>
        <v>24</v>
      </c>
      <c r="E15" s="4">
        <v>3</v>
      </c>
      <c r="F15" s="4">
        <v>4</v>
      </c>
      <c r="G15" s="4"/>
      <c r="H15" s="4"/>
      <c r="I15" s="4"/>
      <c r="J15" s="4"/>
      <c r="K15" s="4"/>
      <c r="L15" s="4"/>
      <c r="M15" s="4">
        <v>4</v>
      </c>
      <c r="N15" s="4">
        <v>4</v>
      </c>
      <c r="O15" s="4">
        <v>5</v>
      </c>
      <c r="P15" s="4">
        <v>4</v>
      </c>
    </row>
    <row r="16" spans="1:18" ht="13.8" x14ac:dyDescent="0.25">
      <c r="A16" s="2">
        <f t="shared" si="0"/>
        <v>14</v>
      </c>
      <c r="B16" s="2">
        <v>0</v>
      </c>
      <c r="C16" s="3" t="s">
        <v>15</v>
      </c>
      <c r="D16" s="2">
        <f t="shared" si="1"/>
        <v>24</v>
      </c>
      <c r="E16" s="4"/>
      <c r="F16" s="4"/>
      <c r="G16" s="4">
        <v>3</v>
      </c>
      <c r="H16" s="4">
        <v>3</v>
      </c>
      <c r="I16" s="4">
        <v>5</v>
      </c>
      <c r="J16" s="4">
        <v>4</v>
      </c>
      <c r="K16" s="4"/>
      <c r="L16" s="4"/>
      <c r="M16" s="4"/>
      <c r="N16" s="4"/>
      <c r="O16" s="4">
        <v>4</v>
      </c>
      <c r="P16" s="4">
        <v>5</v>
      </c>
    </row>
    <row r="17" spans="1:16" ht="13.8" x14ac:dyDescent="0.25">
      <c r="A17" s="2">
        <f t="shared" si="0"/>
        <v>15</v>
      </c>
      <c r="B17" s="2">
        <v>2</v>
      </c>
      <c r="C17" s="3" t="s">
        <v>16</v>
      </c>
      <c r="D17" s="2">
        <f t="shared" si="1"/>
        <v>24</v>
      </c>
      <c r="E17" s="4">
        <v>4</v>
      </c>
      <c r="F17" s="4">
        <v>5</v>
      </c>
      <c r="G17" s="4"/>
      <c r="H17" s="4"/>
      <c r="I17" s="4"/>
      <c r="J17" s="4"/>
      <c r="K17" s="4">
        <v>4</v>
      </c>
      <c r="L17" s="4">
        <v>4</v>
      </c>
      <c r="M17" s="4">
        <v>4</v>
      </c>
      <c r="N17" s="4">
        <v>3</v>
      </c>
      <c r="O17" s="4"/>
      <c r="P17" s="4"/>
    </row>
    <row r="18" spans="1:16" ht="13.8" x14ac:dyDescent="0.25">
      <c r="A18" s="2">
        <f t="shared" si="0"/>
        <v>16</v>
      </c>
      <c r="B18" s="2">
        <v>4</v>
      </c>
      <c r="C18" s="3" t="s">
        <v>17</v>
      </c>
      <c r="D18" s="2">
        <f t="shared" si="1"/>
        <v>23</v>
      </c>
      <c r="E18" s="4">
        <v>2</v>
      </c>
      <c r="F18" s="4">
        <v>2</v>
      </c>
      <c r="G18" s="4">
        <v>3</v>
      </c>
      <c r="H18" s="4">
        <v>1</v>
      </c>
      <c r="I18" s="4">
        <v>1</v>
      </c>
      <c r="J18" s="4">
        <v>1</v>
      </c>
      <c r="K18" s="4">
        <v>2</v>
      </c>
      <c r="L18" s="4">
        <v>1</v>
      </c>
      <c r="M18" s="4">
        <v>3</v>
      </c>
      <c r="N18" s="4">
        <v>2</v>
      </c>
      <c r="O18" s="4">
        <v>3</v>
      </c>
      <c r="P18" s="4">
        <v>2</v>
      </c>
    </row>
    <row r="19" spans="1:16" ht="13.8" x14ac:dyDescent="0.25">
      <c r="A19" s="2">
        <f t="shared" si="0"/>
        <v>17</v>
      </c>
      <c r="B19" s="2">
        <v>2</v>
      </c>
      <c r="C19" s="3" t="s">
        <v>18</v>
      </c>
      <c r="D19" s="2">
        <f t="shared" si="1"/>
        <v>23</v>
      </c>
      <c r="E19" s="4"/>
      <c r="F19" s="4"/>
      <c r="G19" s="4">
        <v>3</v>
      </c>
      <c r="H19" s="4">
        <v>5</v>
      </c>
      <c r="I19" s="4">
        <v>5</v>
      </c>
      <c r="J19" s="4">
        <v>4</v>
      </c>
      <c r="K19" s="4"/>
      <c r="L19" s="4"/>
      <c r="M19" s="4">
        <v>3</v>
      </c>
      <c r="N19" s="4">
        <v>3</v>
      </c>
      <c r="O19" s="4"/>
      <c r="P19" s="4"/>
    </row>
    <row r="20" spans="1:16" ht="13.8" x14ac:dyDescent="0.25">
      <c r="A20" s="2">
        <f t="shared" si="0"/>
        <v>18</v>
      </c>
      <c r="B20" s="2">
        <v>0</v>
      </c>
      <c r="C20" s="3" t="s">
        <v>21</v>
      </c>
      <c r="D20" s="2">
        <f t="shared" si="1"/>
        <v>19</v>
      </c>
      <c r="E20" s="4">
        <v>2</v>
      </c>
      <c r="F20" s="4">
        <v>2</v>
      </c>
      <c r="G20" s="4"/>
      <c r="H20" s="4"/>
      <c r="I20" s="4"/>
      <c r="J20" s="4"/>
      <c r="K20" s="4">
        <v>1</v>
      </c>
      <c r="L20" s="4">
        <v>3</v>
      </c>
      <c r="M20" s="4">
        <v>3</v>
      </c>
      <c r="N20" s="4">
        <v>2</v>
      </c>
      <c r="O20" s="4">
        <v>3</v>
      </c>
      <c r="P20" s="4">
        <v>3</v>
      </c>
    </row>
    <row r="21" spans="1:16" ht="13.8" x14ac:dyDescent="0.25">
      <c r="A21" s="2">
        <f t="shared" si="0"/>
        <v>19</v>
      </c>
      <c r="B21" s="2">
        <v>3</v>
      </c>
      <c r="C21" s="3" t="s">
        <v>22</v>
      </c>
      <c r="D21" s="2">
        <f t="shared" si="1"/>
        <v>16</v>
      </c>
      <c r="E21" s="4">
        <v>0</v>
      </c>
      <c r="F21" s="4">
        <v>2</v>
      </c>
      <c r="G21" s="4">
        <v>5</v>
      </c>
      <c r="H21" s="4">
        <v>1</v>
      </c>
      <c r="I21" s="4">
        <v>0</v>
      </c>
      <c r="J21" s="4">
        <v>1</v>
      </c>
      <c r="K21" s="4">
        <v>2</v>
      </c>
      <c r="L21" s="4">
        <v>0</v>
      </c>
      <c r="M21" s="4"/>
      <c r="N21" s="4"/>
      <c r="O21" s="4">
        <v>2</v>
      </c>
      <c r="P21" s="4">
        <v>3</v>
      </c>
    </row>
    <row r="22" spans="1:16" ht="13.8" x14ac:dyDescent="0.25">
      <c r="A22" s="2">
        <f t="shared" si="0"/>
        <v>20</v>
      </c>
      <c r="B22" s="2">
        <v>1</v>
      </c>
      <c r="C22" s="3" t="s">
        <v>23</v>
      </c>
      <c r="D22" s="2">
        <f t="shared" si="1"/>
        <v>15</v>
      </c>
      <c r="E22" s="4"/>
      <c r="F22" s="4"/>
      <c r="G22" s="4">
        <v>4</v>
      </c>
      <c r="H22" s="4">
        <v>5</v>
      </c>
      <c r="I22" s="4">
        <v>2</v>
      </c>
      <c r="J22" s="4">
        <v>4</v>
      </c>
      <c r="K22" s="4"/>
      <c r="L22" s="4"/>
      <c r="M22" s="4"/>
      <c r="N22" s="4"/>
      <c r="O22" s="4"/>
      <c r="P22" s="4"/>
    </row>
    <row r="23" spans="1:16" ht="13.8" x14ac:dyDescent="0.25">
      <c r="A23" s="2">
        <f t="shared" si="0"/>
        <v>21</v>
      </c>
      <c r="B23" s="2">
        <v>0</v>
      </c>
      <c r="C23" s="3" t="s">
        <v>25</v>
      </c>
      <c r="D23" s="2">
        <f t="shared" si="1"/>
        <v>15</v>
      </c>
      <c r="E23" s="4"/>
      <c r="F23" s="4"/>
      <c r="G23" s="4"/>
      <c r="H23" s="4"/>
      <c r="I23" s="4"/>
      <c r="J23" s="4"/>
      <c r="K23" s="4">
        <v>4</v>
      </c>
      <c r="L23" s="4">
        <v>5</v>
      </c>
      <c r="M23" s="4"/>
      <c r="N23" s="4"/>
      <c r="O23" s="4">
        <v>3</v>
      </c>
      <c r="P23" s="4">
        <v>3</v>
      </c>
    </row>
    <row r="24" spans="1:16" ht="13.8" x14ac:dyDescent="0.25">
      <c r="A24" s="2">
        <f t="shared" si="0"/>
        <v>22</v>
      </c>
      <c r="B24" s="2">
        <v>2</v>
      </c>
      <c r="C24" s="3" t="s">
        <v>29</v>
      </c>
      <c r="D24" s="2">
        <f t="shared" si="1"/>
        <v>11</v>
      </c>
      <c r="E24" s="4"/>
      <c r="F24" s="4"/>
      <c r="G24" s="4"/>
      <c r="H24" s="4"/>
      <c r="I24" s="4">
        <v>4</v>
      </c>
      <c r="J24" s="4">
        <v>3</v>
      </c>
      <c r="K24" s="4"/>
      <c r="L24" s="4"/>
      <c r="M24" s="4">
        <v>1</v>
      </c>
      <c r="N24" s="4">
        <v>3</v>
      </c>
      <c r="O24" s="4"/>
      <c r="P24" s="4"/>
    </row>
    <row r="25" spans="1:16" ht="13.8" x14ac:dyDescent="0.25">
      <c r="A25" s="2">
        <f t="shared" si="0"/>
        <v>23</v>
      </c>
      <c r="B25" s="2">
        <v>0</v>
      </c>
      <c r="C25" s="3" t="s">
        <v>31</v>
      </c>
      <c r="D25" s="2">
        <f t="shared" si="1"/>
        <v>11</v>
      </c>
      <c r="E25" s="4"/>
      <c r="F25" s="4"/>
      <c r="G25" s="4"/>
      <c r="H25" s="4"/>
      <c r="I25" s="4">
        <v>2</v>
      </c>
      <c r="J25" s="4">
        <v>3</v>
      </c>
      <c r="K25" s="4"/>
      <c r="L25" s="4"/>
      <c r="M25" s="4"/>
      <c r="N25" s="4"/>
      <c r="O25" s="4">
        <v>2</v>
      </c>
      <c r="P25" s="4">
        <v>4</v>
      </c>
    </row>
    <row r="26" spans="1:16" ht="13.8" x14ac:dyDescent="0.25">
      <c r="A26" s="2">
        <f t="shared" si="0"/>
        <v>24</v>
      </c>
      <c r="B26" s="2">
        <v>2</v>
      </c>
      <c r="C26" s="3" t="s">
        <v>32</v>
      </c>
      <c r="D26" s="2">
        <f t="shared" si="1"/>
        <v>10</v>
      </c>
      <c r="E26" s="4"/>
      <c r="F26" s="4"/>
      <c r="G26" s="4"/>
      <c r="H26" s="4"/>
      <c r="I26" s="4">
        <v>3</v>
      </c>
      <c r="J26" s="4">
        <v>2</v>
      </c>
      <c r="K26" s="4">
        <v>1</v>
      </c>
      <c r="L26" s="4">
        <v>3</v>
      </c>
      <c r="M26" s="4">
        <v>0</v>
      </c>
      <c r="N26" s="4">
        <v>1</v>
      </c>
      <c r="O26" s="4"/>
      <c r="P26" s="4"/>
    </row>
    <row r="27" spans="1:16" ht="14.4" x14ac:dyDescent="0.3">
      <c r="A27" s="8">
        <f t="shared" si="0"/>
        <v>25</v>
      </c>
      <c r="B27" s="8">
        <v>3</v>
      </c>
      <c r="C27" s="9" t="s">
        <v>34</v>
      </c>
      <c r="D27" s="8">
        <f t="shared" si="1"/>
        <v>9</v>
      </c>
      <c r="E27" s="8"/>
      <c r="F27" s="8"/>
      <c r="G27" s="8">
        <v>2</v>
      </c>
      <c r="H27" s="8">
        <v>2</v>
      </c>
      <c r="I27" s="8">
        <v>3</v>
      </c>
      <c r="J27" s="8">
        <v>2</v>
      </c>
      <c r="K27" s="8"/>
      <c r="L27" s="8"/>
      <c r="M27" s="8"/>
      <c r="N27" s="8"/>
      <c r="O27" s="8"/>
      <c r="P27" s="8"/>
    </row>
    <row r="28" spans="1:16" ht="13.8" x14ac:dyDescent="0.25">
      <c r="A28" s="2">
        <f t="shared" si="0"/>
        <v>26</v>
      </c>
      <c r="B28" s="2">
        <v>0</v>
      </c>
      <c r="C28" s="3" t="s">
        <v>35</v>
      </c>
      <c r="D28" s="2">
        <f t="shared" si="1"/>
        <v>9</v>
      </c>
      <c r="E28" s="4"/>
      <c r="F28" s="4"/>
      <c r="G28" s="4"/>
      <c r="H28" s="4"/>
      <c r="I28" s="4">
        <v>1</v>
      </c>
      <c r="J28" s="4">
        <v>1</v>
      </c>
      <c r="K28" s="4"/>
      <c r="L28" s="4"/>
      <c r="M28" s="4">
        <v>1</v>
      </c>
      <c r="N28" s="4">
        <v>1</v>
      </c>
      <c r="O28" s="4">
        <v>3</v>
      </c>
      <c r="P28" s="4">
        <v>2</v>
      </c>
    </row>
    <row r="29" spans="1:16" ht="13.8" x14ac:dyDescent="0.25">
      <c r="A29" s="2">
        <f t="shared" si="0"/>
        <v>27</v>
      </c>
      <c r="B29" s="2">
        <v>0</v>
      </c>
      <c r="C29" s="3" t="s">
        <v>36</v>
      </c>
      <c r="D29" s="2">
        <f t="shared" si="1"/>
        <v>9</v>
      </c>
      <c r="E29" s="4"/>
      <c r="F29" s="4"/>
      <c r="G29" s="4"/>
      <c r="H29" s="4"/>
      <c r="I29" s="4"/>
      <c r="J29" s="4"/>
      <c r="K29" s="4"/>
      <c r="L29" s="4"/>
      <c r="M29" s="4">
        <v>2</v>
      </c>
      <c r="N29" s="4">
        <v>2</v>
      </c>
      <c r="O29" s="4">
        <v>2</v>
      </c>
      <c r="P29" s="4">
        <v>3</v>
      </c>
    </row>
    <row r="30" spans="1:16" ht="13.8" x14ac:dyDescent="0.25">
      <c r="A30" s="2">
        <f t="shared" si="0"/>
        <v>28</v>
      </c>
      <c r="B30" s="2">
        <v>3</v>
      </c>
      <c r="C30" s="3" t="s">
        <v>37</v>
      </c>
      <c r="D30" s="2">
        <f t="shared" si="1"/>
        <v>6</v>
      </c>
      <c r="E30" s="4">
        <v>1</v>
      </c>
      <c r="F30" s="4">
        <v>0</v>
      </c>
      <c r="G30" s="4">
        <v>2</v>
      </c>
      <c r="H30" s="4">
        <v>2</v>
      </c>
      <c r="I30" s="4">
        <v>0</v>
      </c>
      <c r="J30" s="4">
        <v>0</v>
      </c>
      <c r="K30" s="4">
        <v>1</v>
      </c>
      <c r="L30" s="4">
        <v>0</v>
      </c>
      <c r="M30" s="4">
        <v>0</v>
      </c>
      <c r="N30" s="4">
        <v>0</v>
      </c>
      <c r="O30" s="4"/>
      <c r="P30" s="4"/>
    </row>
    <row r="31" spans="1:16" ht="13.8" x14ac:dyDescent="0.25">
      <c r="A31" s="2">
        <f t="shared" si="0"/>
        <v>29</v>
      </c>
      <c r="B31" s="2">
        <v>1</v>
      </c>
      <c r="C31" s="3" t="s">
        <v>38</v>
      </c>
      <c r="D31" s="2">
        <f t="shared" si="1"/>
        <v>6</v>
      </c>
      <c r="E31" s="4">
        <v>3</v>
      </c>
      <c r="F31" s="4">
        <v>3</v>
      </c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13.8" x14ac:dyDescent="0.25">
      <c r="A32" s="2">
        <f t="shared" si="0"/>
        <v>30</v>
      </c>
      <c r="B32" s="2">
        <v>1</v>
      </c>
      <c r="C32" s="3" t="s">
        <v>39</v>
      </c>
      <c r="D32" s="2">
        <f t="shared" si="1"/>
        <v>6</v>
      </c>
      <c r="E32" s="4">
        <v>1</v>
      </c>
      <c r="F32" s="4">
        <v>1</v>
      </c>
      <c r="G32" s="4"/>
      <c r="H32" s="4"/>
      <c r="I32" s="4"/>
      <c r="J32" s="4"/>
      <c r="K32" s="4"/>
      <c r="L32" s="4"/>
      <c r="M32" s="4"/>
      <c r="N32" s="4"/>
      <c r="O32" s="4">
        <v>2</v>
      </c>
      <c r="P32" s="4">
        <v>2</v>
      </c>
    </row>
    <row r="33" spans="1:16" ht="13.8" x14ac:dyDescent="0.25">
      <c r="A33" s="2">
        <f t="shared" si="0"/>
        <v>31</v>
      </c>
      <c r="B33" s="2">
        <v>1</v>
      </c>
      <c r="C33" s="3" t="s">
        <v>40</v>
      </c>
      <c r="D33" s="2">
        <f t="shared" si="1"/>
        <v>6</v>
      </c>
      <c r="E33" s="4"/>
      <c r="F33" s="4"/>
      <c r="G33" s="4"/>
      <c r="H33" s="4"/>
      <c r="I33" s="4"/>
      <c r="J33" s="4"/>
      <c r="K33" s="4"/>
      <c r="L33" s="4"/>
      <c r="M33" s="4">
        <v>3</v>
      </c>
      <c r="N33" s="4">
        <v>3</v>
      </c>
      <c r="O33" s="4"/>
      <c r="P33" s="4"/>
    </row>
    <row r="34" spans="1:16" ht="13.8" x14ac:dyDescent="0.25">
      <c r="A34" s="2">
        <f t="shared" si="0"/>
        <v>32</v>
      </c>
      <c r="B34" s="2">
        <v>3</v>
      </c>
      <c r="C34" s="3" t="s">
        <v>41</v>
      </c>
      <c r="D34" s="2">
        <f t="shared" si="1"/>
        <v>5</v>
      </c>
      <c r="E34" s="4">
        <v>0</v>
      </c>
      <c r="F34" s="4">
        <v>0</v>
      </c>
      <c r="G34" s="4"/>
      <c r="H34" s="4"/>
      <c r="I34" s="4">
        <v>0</v>
      </c>
      <c r="J34" s="4">
        <v>1</v>
      </c>
      <c r="K34" s="4"/>
      <c r="L34" s="4"/>
      <c r="M34" s="4"/>
      <c r="N34" s="4"/>
      <c r="O34" s="4">
        <v>3</v>
      </c>
      <c r="P34" s="4">
        <v>1</v>
      </c>
    </row>
    <row r="35" spans="1:16" ht="13.8" x14ac:dyDescent="0.25">
      <c r="A35" s="2">
        <f t="shared" ref="A35:A55" si="2">ROW()-2</f>
        <v>33</v>
      </c>
      <c r="B35" s="2">
        <v>1</v>
      </c>
      <c r="C35" s="3" t="s">
        <v>42</v>
      </c>
      <c r="D35" s="2">
        <f t="shared" ref="D35:D55" si="3">SUM(E35:P35)</f>
        <v>5</v>
      </c>
      <c r="E35" s="4"/>
      <c r="F35" s="4"/>
      <c r="G35" s="4"/>
      <c r="H35" s="4"/>
      <c r="I35" s="4"/>
      <c r="J35" s="4"/>
      <c r="K35" s="4">
        <v>2</v>
      </c>
      <c r="L35" s="4">
        <v>1</v>
      </c>
      <c r="M35" s="4">
        <v>2</v>
      </c>
      <c r="N35" s="4">
        <v>0</v>
      </c>
      <c r="O35" s="4"/>
      <c r="P35" s="4"/>
    </row>
    <row r="36" spans="1:16" ht="13.8" x14ac:dyDescent="0.25">
      <c r="A36" s="2">
        <f t="shared" si="2"/>
        <v>34</v>
      </c>
      <c r="B36" s="2">
        <v>0</v>
      </c>
      <c r="C36" s="3" t="s">
        <v>44</v>
      </c>
      <c r="D36" s="2">
        <f t="shared" si="3"/>
        <v>4</v>
      </c>
      <c r="E36" s="4"/>
      <c r="F36" s="4"/>
      <c r="G36" s="4"/>
      <c r="H36" s="4"/>
      <c r="I36" s="4">
        <v>0</v>
      </c>
      <c r="J36" s="4">
        <v>1</v>
      </c>
      <c r="K36" s="4">
        <v>2</v>
      </c>
      <c r="L36" s="4">
        <v>1</v>
      </c>
      <c r="M36" s="4"/>
      <c r="N36" s="4"/>
      <c r="O36" s="4"/>
      <c r="P36" s="4"/>
    </row>
    <row r="37" spans="1:16" ht="13.8" x14ac:dyDescent="0.25">
      <c r="A37" s="2">
        <f t="shared" si="2"/>
        <v>35</v>
      </c>
      <c r="B37" s="2">
        <v>0</v>
      </c>
      <c r="C37" s="3" t="s">
        <v>45</v>
      </c>
      <c r="D37" s="2">
        <f t="shared" si="3"/>
        <v>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>
        <v>0</v>
      </c>
      <c r="P37" s="4">
        <v>4</v>
      </c>
    </row>
    <row r="38" spans="1:16" ht="13.8" x14ac:dyDescent="0.25">
      <c r="A38" s="2">
        <f t="shared" si="2"/>
        <v>36</v>
      </c>
      <c r="B38" s="2">
        <v>3</v>
      </c>
      <c r="C38" s="3" t="s">
        <v>46</v>
      </c>
      <c r="D38" s="2">
        <f t="shared" si="3"/>
        <v>4</v>
      </c>
      <c r="E38" s="4">
        <v>1</v>
      </c>
      <c r="F38" s="4">
        <v>0</v>
      </c>
      <c r="G38" s="4">
        <v>0</v>
      </c>
      <c r="H38" s="4">
        <v>0</v>
      </c>
      <c r="I38" s="4"/>
      <c r="J38" s="4"/>
      <c r="K38" s="4">
        <v>0</v>
      </c>
      <c r="L38" s="4">
        <v>0</v>
      </c>
      <c r="M38" s="4">
        <v>0</v>
      </c>
      <c r="N38" s="4">
        <v>0</v>
      </c>
      <c r="O38" s="4">
        <v>2</v>
      </c>
      <c r="P38" s="4">
        <v>1</v>
      </c>
    </row>
    <row r="39" spans="1:16" ht="14.4" x14ac:dyDescent="0.3">
      <c r="A39" s="2">
        <f t="shared" si="2"/>
        <v>37</v>
      </c>
      <c r="B39" s="2">
        <v>0</v>
      </c>
      <c r="C39" s="10" t="s">
        <v>47</v>
      </c>
      <c r="D39" s="2">
        <f t="shared" si="3"/>
        <v>4</v>
      </c>
      <c r="E39" s="4"/>
      <c r="F39" s="4"/>
      <c r="G39" s="4"/>
      <c r="H39" s="4"/>
      <c r="I39" s="4">
        <v>1</v>
      </c>
      <c r="J39" s="4">
        <v>3</v>
      </c>
      <c r="K39" s="4"/>
      <c r="L39" s="4"/>
      <c r="M39" s="4"/>
      <c r="N39" s="4"/>
      <c r="O39" s="4"/>
      <c r="P39" s="4"/>
    </row>
    <row r="40" spans="1:16" ht="13.8" x14ac:dyDescent="0.25">
      <c r="A40" s="2">
        <f t="shared" si="2"/>
        <v>38</v>
      </c>
      <c r="B40" s="2">
        <v>0</v>
      </c>
      <c r="C40" s="3" t="s">
        <v>49</v>
      </c>
      <c r="D40" s="2">
        <f t="shared" si="3"/>
        <v>3</v>
      </c>
      <c r="E40" s="4"/>
      <c r="F40" s="4"/>
      <c r="G40" s="4"/>
      <c r="H40" s="4"/>
      <c r="I40" s="4"/>
      <c r="J40" s="4"/>
      <c r="K40" s="4"/>
      <c r="L40" s="4"/>
      <c r="M40" s="4">
        <v>2</v>
      </c>
      <c r="N40" s="4">
        <v>1</v>
      </c>
      <c r="O40" s="4"/>
      <c r="P40" s="4"/>
    </row>
    <row r="41" spans="1:16" ht="13.8" x14ac:dyDescent="0.25">
      <c r="A41" s="2">
        <f t="shared" si="2"/>
        <v>39</v>
      </c>
      <c r="B41" s="2">
        <v>0</v>
      </c>
      <c r="C41" s="3" t="s">
        <v>50</v>
      </c>
      <c r="D41" s="2">
        <f t="shared" si="3"/>
        <v>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>
        <v>1</v>
      </c>
      <c r="P41" s="4">
        <v>2</v>
      </c>
    </row>
    <row r="42" spans="1:16" ht="13.8" x14ac:dyDescent="0.25">
      <c r="A42" s="2">
        <f t="shared" si="2"/>
        <v>40</v>
      </c>
      <c r="B42" s="2">
        <v>0</v>
      </c>
      <c r="C42" s="3" t="s">
        <v>51</v>
      </c>
      <c r="D42" s="2">
        <f t="shared" si="3"/>
        <v>3</v>
      </c>
      <c r="E42" s="4"/>
      <c r="F42" s="4"/>
      <c r="G42" s="4"/>
      <c r="H42" s="4"/>
      <c r="I42" s="4">
        <v>1</v>
      </c>
      <c r="J42" s="4">
        <v>0</v>
      </c>
      <c r="K42" s="4"/>
      <c r="L42" s="4"/>
      <c r="M42" s="4"/>
      <c r="N42" s="4"/>
      <c r="O42" s="4">
        <v>1</v>
      </c>
      <c r="P42" s="4">
        <v>1</v>
      </c>
    </row>
    <row r="43" spans="1:16" ht="13.8" x14ac:dyDescent="0.25">
      <c r="A43" s="2">
        <f t="shared" si="2"/>
        <v>41</v>
      </c>
      <c r="B43" s="2">
        <v>3</v>
      </c>
      <c r="C43" s="3" t="s">
        <v>52</v>
      </c>
      <c r="D43" s="2">
        <f t="shared" si="3"/>
        <v>2</v>
      </c>
      <c r="E43" s="4">
        <v>1</v>
      </c>
      <c r="F43" s="4">
        <v>1</v>
      </c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13.8" x14ac:dyDescent="0.25">
      <c r="A44" s="2">
        <f t="shared" si="2"/>
        <v>42</v>
      </c>
      <c r="B44" s="2">
        <v>4</v>
      </c>
      <c r="C44" s="3" t="s">
        <v>55</v>
      </c>
      <c r="D44" s="2">
        <f t="shared" si="3"/>
        <v>2</v>
      </c>
      <c r="E44" s="4">
        <v>2</v>
      </c>
      <c r="F44" s="4">
        <v>0</v>
      </c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13.8" x14ac:dyDescent="0.25">
      <c r="A45" s="2">
        <f t="shared" si="2"/>
        <v>43</v>
      </c>
      <c r="B45" s="2">
        <v>4</v>
      </c>
      <c r="C45" s="3" t="s">
        <v>56</v>
      </c>
      <c r="D45" s="2">
        <f t="shared" si="3"/>
        <v>2</v>
      </c>
      <c r="E45" s="4"/>
      <c r="F45" s="4"/>
      <c r="G45" s="4"/>
      <c r="H45" s="4"/>
      <c r="I45" s="4"/>
      <c r="J45" s="4"/>
      <c r="K45" s="4"/>
      <c r="L45" s="4"/>
      <c r="M45" s="4">
        <v>0</v>
      </c>
      <c r="N45" s="4">
        <v>2</v>
      </c>
      <c r="O45" s="4"/>
      <c r="P45" s="4"/>
    </row>
    <row r="46" spans="1:16" ht="13.8" x14ac:dyDescent="0.25">
      <c r="A46" s="2">
        <f t="shared" si="2"/>
        <v>44</v>
      </c>
      <c r="B46" s="2">
        <v>0</v>
      </c>
      <c r="C46" s="3" t="s">
        <v>58</v>
      </c>
      <c r="D46" s="2">
        <f t="shared" si="3"/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>
        <v>1</v>
      </c>
      <c r="P46" s="4">
        <v>0</v>
      </c>
    </row>
    <row r="47" spans="1:16" ht="13.8" x14ac:dyDescent="0.25">
      <c r="A47" s="2">
        <f t="shared" si="2"/>
        <v>45</v>
      </c>
      <c r="B47" s="2">
        <v>0</v>
      </c>
      <c r="C47" s="3" t="s">
        <v>59</v>
      </c>
      <c r="D47" s="2">
        <f t="shared" si="3"/>
        <v>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>
        <v>1</v>
      </c>
      <c r="P47" s="4">
        <v>0</v>
      </c>
    </row>
    <row r="48" spans="1:16" ht="13.8" x14ac:dyDescent="0.25">
      <c r="A48" s="2">
        <f t="shared" si="2"/>
        <v>46</v>
      </c>
      <c r="B48" s="2">
        <v>0</v>
      </c>
      <c r="C48" s="3" t="s">
        <v>63</v>
      </c>
      <c r="D48" s="2">
        <f t="shared" si="3"/>
        <v>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>
        <v>0</v>
      </c>
      <c r="P48" s="4">
        <v>1</v>
      </c>
    </row>
    <row r="49" spans="1:16" ht="14.4" x14ac:dyDescent="0.3">
      <c r="A49" s="2">
        <f t="shared" si="2"/>
        <v>47</v>
      </c>
      <c r="B49" s="2">
        <v>0</v>
      </c>
      <c r="C49" s="10" t="s">
        <v>62</v>
      </c>
      <c r="D49" s="2">
        <f t="shared" si="3"/>
        <v>1</v>
      </c>
      <c r="E49" s="4"/>
      <c r="F49" s="4"/>
      <c r="G49" s="4"/>
      <c r="H49" s="4"/>
      <c r="I49" s="4">
        <v>1</v>
      </c>
      <c r="J49" s="4">
        <v>0</v>
      </c>
      <c r="K49" s="4"/>
      <c r="L49" s="4"/>
      <c r="M49" s="4"/>
      <c r="N49" s="4"/>
      <c r="O49" s="4"/>
      <c r="P49" s="4"/>
    </row>
    <row r="50" spans="1:16" ht="13.8" x14ac:dyDescent="0.25">
      <c r="A50" s="2">
        <f t="shared" si="2"/>
        <v>48</v>
      </c>
      <c r="B50" s="2">
        <v>2</v>
      </c>
      <c r="C50" s="3" t="s">
        <v>64</v>
      </c>
      <c r="D50" s="2">
        <f t="shared" si="3"/>
        <v>0</v>
      </c>
      <c r="E50" s="4"/>
      <c r="F50" s="4"/>
      <c r="G50" s="4"/>
      <c r="H50" s="4"/>
      <c r="I50" s="4"/>
      <c r="J50" s="4"/>
      <c r="K50" s="4"/>
      <c r="L50" s="4"/>
      <c r="M50" s="4">
        <v>0</v>
      </c>
      <c r="N50" s="4">
        <v>0</v>
      </c>
      <c r="O50" s="4"/>
      <c r="P50" s="4"/>
    </row>
    <row r="51" spans="1:16" ht="13.8" x14ac:dyDescent="0.25">
      <c r="A51" s="2">
        <f t="shared" si="2"/>
        <v>49</v>
      </c>
      <c r="B51" s="2">
        <v>0</v>
      </c>
      <c r="C51" s="3" t="s">
        <v>67</v>
      </c>
      <c r="D51" s="2">
        <f t="shared" si="3"/>
        <v>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>
        <v>0</v>
      </c>
      <c r="P51" s="4">
        <v>0</v>
      </c>
    </row>
    <row r="52" spans="1:16" ht="13.8" x14ac:dyDescent="0.25">
      <c r="A52" s="2">
        <f t="shared" si="2"/>
        <v>50</v>
      </c>
      <c r="B52" s="2"/>
      <c r="C52" s="3"/>
      <c r="D52" s="2">
        <f t="shared" si="3"/>
        <v>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13.8" x14ac:dyDescent="0.25">
      <c r="A53" s="2">
        <f t="shared" si="2"/>
        <v>51</v>
      </c>
      <c r="B53" s="2"/>
      <c r="C53" s="3"/>
      <c r="D53" s="2">
        <f t="shared" si="3"/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13.8" x14ac:dyDescent="0.25">
      <c r="A54" s="2">
        <f t="shared" si="2"/>
        <v>52</v>
      </c>
      <c r="B54" s="2"/>
      <c r="C54" s="3"/>
      <c r="D54" s="2">
        <f t="shared" si="3"/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13.8" x14ac:dyDescent="0.25">
      <c r="A55" s="2">
        <f t="shared" si="2"/>
        <v>53</v>
      </c>
      <c r="B55" s="2"/>
      <c r="C55" s="3"/>
      <c r="D55" s="2">
        <f t="shared" si="3"/>
        <v>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13.8" x14ac:dyDescent="0.25">
      <c r="A56" s="2">
        <f t="shared" ref="A56:A65" si="4">ROW()-2</f>
        <v>54</v>
      </c>
      <c r="B56" s="2"/>
      <c r="C56" s="3"/>
      <c r="D56" s="2">
        <f t="shared" ref="D56:D65" si="5">SUM(E56:P56)</f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13.8" x14ac:dyDescent="0.25">
      <c r="A57" s="2">
        <f t="shared" si="4"/>
        <v>55</v>
      </c>
      <c r="B57" s="2"/>
      <c r="C57" s="3"/>
      <c r="D57" s="2">
        <f t="shared" si="5"/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13.8" x14ac:dyDescent="0.25">
      <c r="A58" s="2">
        <f t="shared" si="4"/>
        <v>56</v>
      </c>
      <c r="B58" s="2"/>
      <c r="C58" s="3"/>
      <c r="D58" s="2">
        <f t="shared" si="5"/>
        <v>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13.8" x14ac:dyDescent="0.25">
      <c r="A59" s="2">
        <f t="shared" si="4"/>
        <v>57</v>
      </c>
      <c r="B59" s="2"/>
      <c r="C59" s="3"/>
      <c r="D59" s="2">
        <f t="shared" si="5"/>
        <v>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13.8" x14ac:dyDescent="0.25">
      <c r="A60" s="2">
        <f t="shared" si="4"/>
        <v>58</v>
      </c>
      <c r="B60" s="2"/>
      <c r="C60" s="3"/>
      <c r="D60" s="2">
        <f t="shared" si="5"/>
        <v>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13.8" x14ac:dyDescent="0.25">
      <c r="A61" s="2">
        <f t="shared" si="4"/>
        <v>59</v>
      </c>
      <c r="B61" s="2"/>
      <c r="C61" s="3"/>
      <c r="D61" s="2">
        <f t="shared" si="5"/>
        <v>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ht="13.8" x14ac:dyDescent="0.25">
      <c r="A62" s="2">
        <f t="shared" si="4"/>
        <v>60</v>
      </c>
      <c r="B62" s="2"/>
      <c r="C62" s="3"/>
      <c r="D62" s="2">
        <f t="shared" si="5"/>
        <v>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ht="13.8" x14ac:dyDescent="0.25">
      <c r="A63" s="2">
        <f t="shared" si="4"/>
        <v>61</v>
      </c>
      <c r="B63" s="2"/>
      <c r="C63" s="3"/>
      <c r="D63" s="2">
        <f t="shared" si="5"/>
        <v>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3.8" x14ac:dyDescent="0.25">
      <c r="A64" s="2">
        <f t="shared" si="4"/>
        <v>62</v>
      </c>
      <c r="B64" s="2"/>
      <c r="C64" s="3"/>
      <c r="D64" s="2">
        <f t="shared" si="5"/>
        <v>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3.8" x14ac:dyDescent="0.25">
      <c r="A65" s="2">
        <f t="shared" si="4"/>
        <v>63</v>
      </c>
      <c r="B65" s="2"/>
      <c r="C65" s="3"/>
      <c r="D65" s="2">
        <f t="shared" si="5"/>
        <v>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</sheetData>
  <sheetProtection selectLockedCells="1" selectUnlockedCells="1"/>
  <autoFilter ref="A2:P65" xr:uid="{00000000-0009-0000-0000-000000000000}">
    <sortState xmlns:xlrd2="http://schemas.microsoft.com/office/spreadsheetml/2017/richdata2" ref="A4:P65">
      <sortCondition descending="1" ref="D2:D65"/>
    </sortState>
  </autoFilter>
  <mergeCells count="10">
    <mergeCell ref="K1:L1"/>
    <mergeCell ref="M1:N1"/>
    <mergeCell ref="O1:P1"/>
    <mergeCell ref="A1:A2"/>
    <mergeCell ref="C1:C2"/>
    <mergeCell ref="D1:D2"/>
    <mergeCell ref="E1:F1"/>
    <mergeCell ref="G1:H1"/>
    <mergeCell ref="I1:J1"/>
    <mergeCell ref="B1:B2"/>
  </mergeCells>
  <conditionalFormatting sqref="A3">
    <cfRule type="cellIs" dxfId="5" priority="4" operator="equal">
      <formula>3</formula>
    </cfRule>
    <cfRule type="cellIs" dxfId="4" priority="5" operator="equal">
      <formula>2</formula>
    </cfRule>
    <cfRule type="cellIs" dxfId="3" priority="6" operator="equal">
      <formula>1</formula>
    </cfRule>
  </conditionalFormatting>
  <conditionalFormatting sqref="A4:A5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All</vt:lpstr>
      <vt:lpstr>Kobiety</vt:lpstr>
      <vt:lpstr>Mężczyźni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2021-12-21T01:02:02Z</dcterms:created>
  <dcterms:modified xsi:type="dcterms:W3CDTF">2022-03-19T21:42:41Z</dcterms:modified>
  <cp:category/>
  <cp:contentStatus/>
</cp:coreProperties>
</file>