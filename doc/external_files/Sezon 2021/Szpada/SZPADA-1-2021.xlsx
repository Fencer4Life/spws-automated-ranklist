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ARCHIWUM/Sezon 2021/Szpada/"/>
    </mc:Choice>
  </mc:AlternateContent>
  <xr:revisionPtr revIDLastSave="205" documentId="8_{7DCFD9FF-8A32-4034-AFB0-C083BCE09D45}" xr6:coauthVersionLast="47" xr6:coauthVersionMax="47" xr10:uidLastSave="{DD3A62EA-1D9B-4C66-8899-005018E5BF1B}"/>
  <bookViews>
    <workbookView xWindow="-108" yWindow="-108" windowWidth="23256" windowHeight="12720" tabRatio="956" xr2:uid="{00000000-000D-0000-FFFF-FFFF00000000}"/>
  </bookViews>
  <sheets>
    <sheet name="Ranking" sheetId="1" r:id="rId1"/>
    <sheet name="MP" sheetId="3" r:id="rId2"/>
    <sheet name="GP1" sheetId="7" r:id="rId3"/>
    <sheet name="GP2" sheetId="8" r:id="rId4"/>
    <sheet name="GP3" sheetId="9" r:id="rId5"/>
    <sheet name="GP4" sheetId="10" r:id="rId6"/>
    <sheet name="GP5" sheetId="11" r:id="rId7"/>
    <sheet name="EU" sheetId="12" r:id="rId8"/>
  </sheets>
  <definedNames>
    <definedName name="_xlnm._FilterDatabase" localSheetId="0" hidden="1">Ranking!$A$2:$Q$2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0" i="1" l="1"/>
  <c r="P50" i="1" s="1"/>
  <c r="M50" i="1"/>
  <c r="N50" i="1" s="1"/>
  <c r="K50" i="1"/>
  <c r="L50" i="1" s="1"/>
  <c r="I50" i="1"/>
  <c r="J50" i="1" s="1"/>
  <c r="G50" i="1"/>
  <c r="H50" i="1" s="1"/>
  <c r="E50" i="1"/>
  <c r="F50" i="1" s="1"/>
  <c r="A50" i="1"/>
  <c r="O49" i="1"/>
  <c r="P49" i="1" s="1"/>
  <c r="M49" i="1"/>
  <c r="N49" i="1" s="1"/>
  <c r="K49" i="1"/>
  <c r="L49" i="1" s="1"/>
  <c r="I49" i="1"/>
  <c r="J49" i="1" s="1"/>
  <c r="G49" i="1"/>
  <c r="H49" i="1" s="1"/>
  <c r="E49" i="1"/>
  <c r="F49" i="1" s="1"/>
  <c r="A49" i="1"/>
  <c r="O48" i="1"/>
  <c r="P48" i="1" s="1"/>
  <c r="M48" i="1"/>
  <c r="N48" i="1" s="1"/>
  <c r="K48" i="1"/>
  <c r="L48" i="1" s="1"/>
  <c r="I48" i="1"/>
  <c r="J48" i="1" s="1"/>
  <c r="G48" i="1"/>
  <c r="H48" i="1" s="1"/>
  <c r="E48" i="1"/>
  <c r="F48" i="1" s="1"/>
  <c r="A48" i="1"/>
  <c r="O47" i="1"/>
  <c r="P47" i="1" s="1"/>
  <c r="M47" i="1"/>
  <c r="N47" i="1" s="1"/>
  <c r="K47" i="1"/>
  <c r="L47" i="1" s="1"/>
  <c r="I47" i="1"/>
  <c r="J47" i="1" s="1"/>
  <c r="G47" i="1"/>
  <c r="H47" i="1" s="1"/>
  <c r="E47" i="1"/>
  <c r="F47" i="1" s="1"/>
  <c r="A47" i="1"/>
  <c r="O46" i="1"/>
  <c r="P46" i="1" s="1"/>
  <c r="M46" i="1"/>
  <c r="N46" i="1" s="1"/>
  <c r="K46" i="1"/>
  <c r="L46" i="1" s="1"/>
  <c r="I46" i="1"/>
  <c r="J46" i="1" s="1"/>
  <c r="G46" i="1"/>
  <c r="H46" i="1" s="1"/>
  <c r="E46" i="1"/>
  <c r="F46" i="1" s="1"/>
  <c r="A46" i="1"/>
  <c r="O45" i="1"/>
  <c r="P45" i="1" s="1"/>
  <c r="M45" i="1"/>
  <c r="N45" i="1" s="1"/>
  <c r="K45" i="1"/>
  <c r="L45" i="1" s="1"/>
  <c r="I45" i="1"/>
  <c r="J45" i="1" s="1"/>
  <c r="G45" i="1"/>
  <c r="H45" i="1" s="1"/>
  <c r="E45" i="1"/>
  <c r="F45" i="1" s="1"/>
  <c r="A45" i="1"/>
  <c r="O44" i="1"/>
  <c r="P44" i="1" s="1"/>
  <c r="M44" i="1"/>
  <c r="N44" i="1" s="1"/>
  <c r="K44" i="1"/>
  <c r="L44" i="1" s="1"/>
  <c r="I44" i="1"/>
  <c r="J44" i="1" s="1"/>
  <c r="G44" i="1"/>
  <c r="H44" i="1" s="1"/>
  <c r="E44" i="1"/>
  <c r="F44" i="1" s="1"/>
  <c r="A44" i="1"/>
  <c r="O43" i="1"/>
  <c r="P43" i="1" s="1"/>
  <c r="M43" i="1"/>
  <c r="N43" i="1" s="1"/>
  <c r="K43" i="1"/>
  <c r="L43" i="1" s="1"/>
  <c r="I43" i="1"/>
  <c r="J43" i="1" s="1"/>
  <c r="G43" i="1"/>
  <c r="H43" i="1" s="1"/>
  <c r="E43" i="1"/>
  <c r="F43" i="1" s="1"/>
  <c r="A43" i="1"/>
  <c r="O42" i="1"/>
  <c r="P42" i="1" s="1"/>
  <c r="M42" i="1"/>
  <c r="N42" i="1" s="1"/>
  <c r="K42" i="1"/>
  <c r="L42" i="1" s="1"/>
  <c r="I42" i="1"/>
  <c r="J42" i="1" s="1"/>
  <c r="G42" i="1"/>
  <c r="H42" i="1" s="1"/>
  <c r="E42" i="1"/>
  <c r="F42" i="1" s="1"/>
  <c r="A42" i="1"/>
  <c r="O41" i="1"/>
  <c r="P41" i="1" s="1"/>
  <c r="M41" i="1"/>
  <c r="N41" i="1" s="1"/>
  <c r="K41" i="1"/>
  <c r="L41" i="1" s="1"/>
  <c r="I41" i="1"/>
  <c r="J41" i="1" s="1"/>
  <c r="G41" i="1"/>
  <c r="H41" i="1" s="1"/>
  <c r="E41" i="1"/>
  <c r="F41" i="1" s="1"/>
  <c r="A41" i="1"/>
  <c r="O40" i="1"/>
  <c r="P40" i="1" s="1"/>
  <c r="M40" i="1"/>
  <c r="N40" i="1" s="1"/>
  <c r="K40" i="1"/>
  <c r="L40" i="1" s="1"/>
  <c r="I40" i="1"/>
  <c r="J40" i="1" s="1"/>
  <c r="G40" i="1"/>
  <c r="H40" i="1" s="1"/>
  <c r="E40" i="1"/>
  <c r="F40" i="1" s="1"/>
  <c r="A40" i="1"/>
  <c r="O39" i="1"/>
  <c r="P39" i="1" s="1"/>
  <c r="M39" i="1"/>
  <c r="N39" i="1" s="1"/>
  <c r="K39" i="1"/>
  <c r="L39" i="1" s="1"/>
  <c r="I39" i="1"/>
  <c r="J39" i="1" s="1"/>
  <c r="G39" i="1"/>
  <c r="H39" i="1" s="1"/>
  <c r="E39" i="1"/>
  <c r="F39" i="1" s="1"/>
  <c r="A39" i="1"/>
  <c r="O38" i="1"/>
  <c r="P38" i="1" s="1"/>
  <c r="M38" i="1"/>
  <c r="N38" i="1" s="1"/>
  <c r="K38" i="1"/>
  <c r="L38" i="1" s="1"/>
  <c r="I38" i="1"/>
  <c r="J38" i="1" s="1"/>
  <c r="G38" i="1"/>
  <c r="H38" i="1" s="1"/>
  <c r="E38" i="1"/>
  <c r="F38" i="1" s="1"/>
  <c r="A38" i="1"/>
  <c r="O37" i="1"/>
  <c r="P37" i="1" s="1"/>
  <c r="M37" i="1"/>
  <c r="N37" i="1" s="1"/>
  <c r="K37" i="1"/>
  <c r="L37" i="1" s="1"/>
  <c r="I37" i="1"/>
  <c r="J37" i="1" s="1"/>
  <c r="G37" i="1"/>
  <c r="H37" i="1" s="1"/>
  <c r="E37" i="1"/>
  <c r="F37" i="1" s="1"/>
  <c r="A37" i="1"/>
  <c r="O36" i="1"/>
  <c r="P36" i="1" s="1"/>
  <c r="M36" i="1"/>
  <c r="N36" i="1" s="1"/>
  <c r="K36" i="1"/>
  <c r="L36" i="1" s="1"/>
  <c r="I36" i="1"/>
  <c r="J36" i="1" s="1"/>
  <c r="G36" i="1"/>
  <c r="H36" i="1" s="1"/>
  <c r="E36" i="1"/>
  <c r="F36" i="1" s="1"/>
  <c r="A36" i="1"/>
  <c r="P35" i="1"/>
  <c r="O35" i="1"/>
  <c r="M35" i="1"/>
  <c r="N35" i="1" s="1"/>
  <c r="K35" i="1"/>
  <c r="L35" i="1" s="1"/>
  <c r="I35" i="1"/>
  <c r="J35" i="1" s="1"/>
  <c r="G35" i="1"/>
  <c r="H35" i="1" s="1"/>
  <c r="E35" i="1"/>
  <c r="F35" i="1" s="1"/>
  <c r="A35" i="1"/>
  <c r="O34" i="1"/>
  <c r="P34" i="1" s="1"/>
  <c r="M34" i="1"/>
  <c r="N34" i="1" s="1"/>
  <c r="K34" i="1"/>
  <c r="L34" i="1" s="1"/>
  <c r="I34" i="1"/>
  <c r="J34" i="1" s="1"/>
  <c r="G34" i="1"/>
  <c r="H34" i="1" s="1"/>
  <c r="E34" i="1"/>
  <c r="F34" i="1" s="1"/>
  <c r="A34" i="1"/>
  <c r="O33" i="1"/>
  <c r="P33" i="1" s="1"/>
  <c r="M33" i="1"/>
  <c r="N33" i="1" s="1"/>
  <c r="K33" i="1"/>
  <c r="L33" i="1" s="1"/>
  <c r="I33" i="1"/>
  <c r="J33" i="1" s="1"/>
  <c r="G33" i="1"/>
  <c r="H33" i="1" s="1"/>
  <c r="E33" i="1"/>
  <c r="F33" i="1" s="1"/>
  <c r="A33" i="1"/>
  <c r="O32" i="1"/>
  <c r="P32" i="1" s="1"/>
  <c r="M32" i="1"/>
  <c r="N32" i="1" s="1"/>
  <c r="K32" i="1"/>
  <c r="L32" i="1" s="1"/>
  <c r="I32" i="1"/>
  <c r="J32" i="1" s="1"/>
  <c r="G32" i="1"/>
  <c r="H32" i="1" s="1"/>
  <c r="E32" i="1"/>
  <c r="F32" i="1" s="1"/>
  <c r="A32" i="1"/>
  <c r="O31" i="1"/>
  <c r="P31" i="1" s="1"/>
  <c r="M31" i="1"/>
  <c r="N31" i="1" s="1"/>
  <c r="K31" i="1"/>
  <c r="L31" i="1" s="1"/>
  <c r="I31" i="1"/>
  <c r="J31" i="1" s="1"/>
  <c r="G31" i="1"/>
  <c r="H31" i="1" s="1"/>
  <c r="E31" i="1"/>
  <c r="F31" i="1" s="1"/>
  <c r="A31" i="1"/>
  <c r="O30" i="1"/>
  <c r="P30" i="1" s="1"/>
  <c r="M30" i="1"/>
  <c r="N30" i="1" s="1"/>
  <c r="K30" i="1"/>
  <c r="L30" i="1" s="1"/>
  <c r="I30" i="1"/>
  <c r="J30" i="1" s="1"/>
  <c r="G30" i="1"/>
  <c r="H30" i="1" s="1"/>
  <c r="E30" i="1"/>
  <c r="F30" i="1" s="1"/>
  <c r="A30" i="1"/>
  <c r="O29" i="1"/>
  <c r="P29" i="1" s="1"/>
  <c r="M29" i="1"/>
  <c r="N29" i="1" s="1"/>
  <c r="K29" i="1"/>
  <c r="L29" i="1" s="1"/>
  <c r="I29" i="1"/>
  <c r="J29" i="1" s="1"/>
  <c r="G29" i="1"/>
  <c r="H29" i="1" s="1"/>
  <c r="E29" i="1"/>
  <c r="F29" i="1" s="1"/>
  <c r="A29" i="1"/>
  <c r="O28" i="1"/>
  <c r="P28" i="1" s="1"/>
  <c r="N28" i="1"/>
  <c r="M28" i="1"/>
  <c r="L28" i="1"/>
  <c r="K28" i="1"/>
  <c r="I28" i="1"/>
  <c r="J28" i="1" s="1"/>
  <c r="G28" i="1"/>
  <c r="H28" i="1" s="1"/>
  <c r="E28" i="1"/>
  <c r="F28" i="1" s="1"/>
  <c r="A28" i="1"/>
  <c r="O27" i="1"/>
  <c r="P27" i="1" s="1"/>
  <c r="M27" i="1"/>
  <c r="N27" i="1" s="1"/>
  <c r="K27" i="1"/>
  <c r="L27" i="1" s="1"/>
  <c r="I27" i="1"/>
  <c r="J27" i="1" s="1"/>
  <c r="G27" i="1"/>
  <c r="H27" i="1" s="1"/>
  <c r="E27" i="1"/>
  <c r="F27" i="1" s="1"/>
  <c r="A27" i="1"/>
  <c r="O26" i="1"/>
  <c r="P26" i="1" s="1"/>
  <c r="M26" i="1"/>
  <c r="N26" i="1" s="1"/>
  <c r="K26" i="1"/>
  <c r="L26" i="1" s="1"/>
  <c r="I26" i="1"/>
  <c r="J26" i="1" s="1"/>
  <c r="G26" i="1"/>
  <c r="H26" i="1" s="1"/>
  <c r="E26" i="1"/>
  <c r="F26" i="1" s="1"/>
  <c r="A26" i="1"/>
  <c r="O25" i="1"/>
  <c r="P25" i="1" s="1"/>
  <c r="M25" i="1"/>
  <c r="N25" i="1" s="1"/>
  <c r="K25" i="1"/>
  <c r="L25" i="1" s="1"/>
  <c r="I25" i="1"/>
  <c r="J25" i="1" s="1"/>
  <c r="G25" i="1"/>
  <c r="H25" i="1" s="1"/>
  <c r="E25" i="1"/>
  <c r="F25" i="1" s="1"/>
  <c r="A25" i="1"/>
  <c r="O24" i="1"/>
  <c r="P24" i="1" s="1"/>
  <c r="M24" i="1"/>
  <c r="N24" i="1" s="1"/>
  <c r="K24" i="1"/>
  <c r="L24" i="1" s="1"/>
  <c r="I24" i="1"/>
  <c r="J24" i="1" s="1"/>
  <c r="G24" i="1"/>
  <c r="H24" i="1" s="1"/>
  <c r="E24" i="1"/>
  <c r="F24" i="1" s="1"/>
  <c r="A24" i="1"/>
  <c r="Q21" i="1"/>
  <c r="O21" i="1"/>
  <c r="P21" i="1" s="1"/>
  <c r="M21" i="1"/>
  <c r="N21" i="1" s="1"/>
  <c r="K21" i="1"/>
  <c r="L21" i="1" s="1"/>
  <c r="I21" i="1"/>
  <c r="J21" i="1" s="1"/>
  <c r="G21" i="1"/>
  <c r="H21" i="1" s="1"/>
  <c r="E21" i="1"/>
  <c r="F21" i="1" s="1"/>
  <c r="A21" i="1"/>
  <c r="Q20" i="1"/>
  <c r="O20" i="1"/>
  <c r="P20" i="1" s="1"/>
  <c r="M20" i="1"/>
  <c r="N20" i="1" s="1"/>
  <c r="K20" i="1"/>
  <c r="L20" i="1" s="1"/>
  <c r="I20" i="1"/>
  <c r="J20" i="1" s="1"/>
  <c r="G20" i="1"/>
  <c r="H20" i="1" s="1"/>
  <c r="E20" i="1"/>
  <c r="F20" i="1" s="1"/>
  <c r="Q19" i="1"/>
  <c r="O19" i="1"/>
  <c r="P19" i="1" s="1"/>
  <c r="M19" i="1"/>
  <c r="N19" i="1" s="1"/>
  <c r="K19" i="1"/>
  <c r="L19" i="1" s="1"/>
  <c r="I19" i="1"/>
  <c r="J19" i="1" s="1"/>
  <c r="G19" i="1"/>
  <c r="H19" i="1" s="1"/>
  <c r="E19" i="1"/>
  <c r="F19" i="1" s="1"/>
  <c r="Q17" i="1"/>
  <c r="O17" i="1"/>
  <c r="P17" i="1" s="1"/>
  <c r="M17" i="1"/>
  <c r="N17" i="1" s="1"/>
  <c r="K17" i="1"/>
  <c r="L17" i="1" s="1"/>
  <c r="I17" i="1"/>
  <c r="J17" i="1" s="1"/>
  <c r="G17" i="1"/>
  <c r="H17" i="1" s="1"/>
  <c r="E17" i="1"/>
  <c r="F17" i="1" s="1"/>
  <c r="Q18" i="1"/>
  <c r="O18" i="1"/>
  <c r="P18" i="1" s="1"/>
  <c r="M18" i="1"/>
  <c r="N18" i="1" s="1"/>
  <c r="K18" i="1"/>
  <c r="L18" i="1" s="1"/>
  <c r="I18" i="1"/>
  <c r="J18" i="1" s="1"/>
  <c r="G18" i="1"/>
  <c r="H18" i="1" s="1"/>
  <c r="E18" i="1"/>
  <c r="F18" i="1" s="1"/>
  <c r="Q16" i="1"/>
  <c r="O16" i="1"/>
  <c r="P16" i="1" s="1"/>
  <c r="M16" i="1"/>
  <c r="N16" i="1" s="1"/>
  <c r="K16" i="1"/>
  <c r="L16" i="1" s="1"/>
  <c r="I16" i="1"/>
  <c r="J16" i="1" s="1"/>
  <c r="G16" i="1"/>
  <c r="H16" i="1" s="1"/>
  <c r="E16" i="1"/>
  <c r="F16" i="1" s="1"/>
  <c r="Q15" i="1"/>
  <c r="O15" i="1"/>
  <c r="P15" i="1" s="1"/>
  <c r="M15" i="1"/>
  <c r="N15" i="1" s="1"/>
  <c r="K15" i="1"/>
  <c r="L15" i="1" s="1"/>
  <c r="I15" i="1"/>
  <c r="J15" i="1" s="1"/>
  <c r="G15" i="1"/>
  <c r="H15" i="1" s="1"/>
  <c r="E15" i="1"/>
  <c r="F15" i="1" s="1"/>
  <c r="Q10" i="1"/>
  <c r="O10" i="1"/>
  <c r="P10" i="1" s="1"/>
  <c r="M10" i="1"/>
  <c r="N10" i="1" s="1"/>
  <c r="K10" i="1"/>
  <c r="L10" i="1" s="1"/>
  <c r="I10" i="1"/>
  <c r="J10" i="1" s="1"/>
  <c r="G10" i="1"/>
  <c r="H10" i="1" s="1"/>
  <c r="E10" i="1"/>
  <c r="F10" i="1" s="1"/>
  <c r="Q23" i="1"/>
  <c r="O23" i="1"/>
  <c r="P23" i="1" s="1"/>
  <c r="M23" i="1"/>
  <c r="N23" i="1" s="1"/>
  <c r="K23" i="1"/>
  <c r="L23" i="1" s="1"/>
  <c r="I23" i="1"/>
  <c r="J23" i="1" s="1"/>
  <c r="G23" i="1"/>
  <c r="H23" i="1" s="1"/>
  <c r="E23" i="1"/>
  <c r="F23" i="1" s="1"/>
  <c r="Q7" i="1"/>
  <c r="O7" i="1"/>
  <c r="P7" i="1" s="1"/>
  <c r="M7" i="1"/>
  <c r="N7" i="1" s="1"/>
  <c r="K7" i="1"/>
  <c r="L7" i="1" s="1"/>
  <c r="I7" i="1"/>
  <c r="J7" i="1" s="1"/>
  <c r="G7" i="1"/>
  <c r="H7" i="1" s="1"/>
  <c r="E7" i="1"/>
  <c r="F7" i="1" s="1"/>
  <c r="Q14" i="1"/>
  <c r="O14" i="1"/>
  <c r="P14" i="1" s="1"/>
  <c r="M14" i="1"/>
  <c r="N14" i="1" s="1"/>
  <c r="K14" i="1"/>
  <c r="L14" i="1" s="1"/>
  <c r="I14" i="1"/>
  <c r="J14" i="1" s="1"/>
  <c r="G14" i="1"/>
  <c r="H14" i="1" s="1"/>
  <c r="E14" i="1"/>
  <c r="F14" i="1" s="1"/>
  <c r="Q8" i="1"/>
  <c r="O8" i="1"/>
  <c r="P8" i="1" s="1"/>
  <c r="M8" i="1"/>
  <c r="N8" i="1" s="1"/>
  <c r="K8" i="1"/>
  <c r="L8" i="1" s="1"/>
  <c r="I8" i="1"/>
  <c r="J8" i="1" s="1"/>
  <c r="G8" i="1"/>
  <c r="H8" i="1" s="1"/>
  <c r="E8" i="1"/>
  <c r="F8" i="1" s="1"/>
  <c r="Q22" i="1"/>
  <c r="O22" i="1"/>
  <c r="P22" i="1" s="1"/>
  <c r="M22" i="1"/>
  <c r="N22" i="1" s="1"/>
  <c r="K22" i="1"/>
  <c r="L22" i="1" s="1"/>
  <c r="I22" i="1"/>
  <c r="J22" i="1" s="1"/>
  <c r="G22" i="1"/>
  <c r="H22" i="1" s="1"/>
  <c r="E22" i="1"/>
  <c r="F22" i="1" s="1"/>
  <c r="Q6" i="1"/>
  <c r="O6" i="1"/>
  <c r="P6" i="1" s="1"/>
  <c r="M6" i="1"/>
  <c r="N6" i="1" s="1"/>
  <c r="K6" i="1"/>
  <c r="L6" i="1" s="1"/>
  <c r="I6" i="1"/>
  <c r="J6" i="1" s="1"/>
  <c r="G6" i="1"/>
  <c r="H6" i="1" s="1"/>
  <c r="E6" i="1"/>
  <c r="F6" i="1" s="1"/>
  <c r="Q13" i="1"/>
  <c r="O13" i="1"/>
  <c r="P13" i="1" s="1"/>
  <c r="M13" i="1"/>
  <c r="N13" i="1" s="1"/>
  <c r="K13" i="1"/>
  <c r="L13" i="1" s="1"/>
  <c r="I13" i="1"/>
  <c r="J13" i="1" s="1"/>
  <c r="G13" i="1"/>
  <c r="H13" i="1" s="1"/>
  <c r="E13" i="1"/>
  <c r="F13" i="1" s="1"/>
  <c r="Q5" i="1"/>
  <c r="O5" i="1"/>
  <c r="P5" i="1" s="1"/>
  <c r="M5" i="1"/>
  <c r="N5" i="1" s="1"/>
  <c r="K5" i="1"/>
  <c r="L5" i="1" s="1"/>
  <c r="I5" i="1"/>
  <c r="J5" i="1" s="1"/>
  <c r="G5" i="1"/>
  <c r="H5" i="1" s="1"/>
  <c r="E5" i="1"/>
  <c r="F5" i="1" s="1"/>
  <c r="Q9" i="1"/>
  <c r="O9" i="1"/>
  <c r="P9" i="1" s="1"/>
  <c r="M9" i="1"/>
  <c r="N9" i="1" s="1"/>
  <c r="K9" i="1"/>
  <c r="L9" i="1" s="1"/>
  <c r="I9" i="1"/>
  <c r="J9" i="1" s="1"/>
  <c r="G9" i="1"/>
  <c r="H9" i="1" s="1"/>
  <c r="E9" i="1"/>
  <c r="F9" i="1" s="1"/>
  <c r="Q11" i="1"/>
  <c r="O11" i="1"/>
  <c r="P11" i="1" s="1"/>
  <c r="M11" i="1"/>
  <c r="N11" i="1" s="1"/>
  <c r="K11" i="1"/>
  <c r="L11" i="1" s="1"/>
  <c r="I11" i="1"/>
  <c r="J11" i="1" s="1"/>
  <c r="G11" i="1"/>
  <c r="H11" i="1" s="1"/>
  <c r="E11" i="1"/>
  <c r="F11" i="1" s="1"/>
  <c r="Q12" i="1"/>
  <c r="O12" i="1"/>
  <c r="P12" i="1" s="1"/>
  <c r="M12" i="1"/>
  <c r="N12" i="1" s="1"/>
  <c r="K12" i="1"/>
  <c r="L12" i="1" s="1"/>
  <c r="I12" i="1"/>
  <c r="J12" i="1" s="1"/>
  <c r="G12" i="1"/>
  <c r="H12" i="1" s="1"/>
  <c r="E12" i="1"/>
  <c r="F12" i="1" s="1"/>
  <c r="Q3" i="1"/>
  <c r="O3" i="1"/>
  <c r="P3" i="1" s="1"/>
  <c r="M3" i="1"/>
  <c r="N3" i="1" s="1"/>
  <c r="K3" i="1"/>
  <c r="L3" i="1" s="1"/>
  <c r="I3" i="1"/>
  <c r="J3" i="1" s="1"/>
  <c r="G3" i="1"/>
  <c r="H3" i="1" s="1"/>
  <c r="E3" i="1"/>
  <c r="F3" i="1" s="1"/>
  <c r="Q4" i="1"/>
  <c r="O4" i="1"/>
  <c r="P4" i="1" s="1"/>
  <c r="M4" i="1"/>
  <c r="N4" i="1" s="1"/>
  <c r="K4" i="1"/>
  <c r="L4" i="1" s="1"/>
  <c r="I4" i="1"/>
  <c r="J4" i="1" s="1"/>
  <c r="E4" i="1"/>
  <c r="F4" i="1" s="1"/>
  <c r="G4" i="1"/>
  <c r="H4" i="1" s="1"/>
  <c r="A20" i="1"/>
  <c r="A19" i="1"/>
  <c r="A17" i="1"/>
  <c r="A18" i="1"/>
  <c r="A16" i="1"/>
  <c r="A15" i="1"/>
  <c r="A10" i="1"/>
  <c r="A23" i="1"/>
  <c r="A7" i="1"/>
  <c r="A9" i="1"/>
  <c r="A14" i="12"/>
  <c r="A13" i="12"/>
  <c r="A12" i="12"/>
  <c r="A11" i="12"/>
  <c r="A10" i="12"/>
  <c r="A9" i="12"/>
  <c r="A8" i="12"/>
  <c r="A7" i="12"/>
  <c r="A6" i="12"/>
  <c r="A5" i="12"/>
  <c r="A5" i="1"/>
  <c r="A22" i="1"/>
  <c r="A12" i="1"/>
  <c r="A3" i="1"/>
  <c r="A14" i="1"/>
  <c r="A8" i="1"/>
  <c r="A6" i="1"/>
  <c r="A13" i="1"/>
  <c r="A4" i="1"/>
  <c r="A11" i="1"/>
  <c r="Q34" i="1" l="1"/>
  <c r="D34" i="1" s="1"/>
  <c r="Q35" i="1"/>
  <c r="D35" i="1" s="1"/>
  <c r="Q36" i="1"/>
  <c r="D36" i="1" s="1"/>
  <c r="Q37" i="1"/>
  <c r="D37" i="1" s="1"/>
  <c r="Q43" i="1"/>
  <c r="D43" i="1" s="1"/>
  <c r="Q40" i="1"/>
  <c r="D40" i="1" s="1"/>
  <c r="Q44" i="1"/>
  <c r="D44" i="1" s="1"/>
  <c r="Q45" i="1"/>
  <c r="D45" i="1" s="1"/>
  <c r="Q46" i="1"/>
  <c r="D46" i="1" s="1"/>
  <c r="Q47" i="1"/>
  <c r="D47" i="1" s="1"/>
  <c r="Q48" i="1"/>
  <c r="D48" i="1" s="1"/>
  <c r="Q49" i="1"/>
  <c r="D49" i="1" s="1"/>
  <c r="Q50" i="1"/>
  <c r="D50" i="1" s="1"/>
  <c r="Q39" i="1"/>
  <c r="D39" i="1" s="1"/>
  <c r="Q24" i="1"/>
  <c r="D24" i="1" s="1"/>
  <c r="Q25" i="1"/>
  <c r="D25" i="1" s="1"/>
  <c r="Q26" i="1"/>
  <c r="D26" i="1" s="1"/>
  <c r="Q27" i="1"/>
  <c r="D27" i="1" s="1"/>
  <c r="Q38" i="1"/>
  <c r="D38" i="1" s="1"/>
  <c r="Q42" i="1"/>
  <c r="D42" i="1" s="1"/>
  <c r="Q41" i="1"/>
  <c r="D41" i="1" s="1"/>
  <c r="Q28" i="1"/>
  <c r="D28" i="1" s="1"/>
  <c r="Q29" i="1"/>
  <c r="D29" i="1" s="1"/>
  <c r="Q30" i="1"/>
  <c r="D30" i="1" s="1"/>
  <c r="Q31" i="1"/>
  <c r="D31" i="1" s="1"/>
  <c r="Q32" i="1"/>
  <c r="D32" i="1" s="1"/>
  <c r="Q33" i="1"/>
  <c r="D33" i="1" s="1"/>
  <c r="D21" i="1"/>
  <c r="D20" i="1"/>
  <c r="D18" i="1"/>
  <c r="D10" i="1"/>
  <c r="D23" i="1"/>
  <c r="D7" i="1"/>
  <c r="D15" i="1"/>
  <c r="D17" i="1"/>
  <c r="D19" i="1"/>
  <c r="D16" i="1"/>
  <c r="D9" i="1"/>
  <c r="D4" i="1"/>
  <c r="D5" i="1"/>
  <c r="D3" i="1"/>
  <c r="D8" i="1"/>
  <c r="D14" i="1"/>
  <c r="D13" i="1" l="1"/>
  <c r="D22" i="1"/>
  <c r="D6" i="1"/>
  <c r="D12" i="1"/>
  <c r="D11" i="1"/>
</calcChain>
</file>

<file path=xl/sharedStrings.xml><?xml version="1.0" encoding="utf-8"?>
<sst xmlns="http://schemas.openxmlformats.org/spreadsheetml/2006/main" count="217" uniqueCount="80">
  <si>
    <t>L.P.</t>
  </si>
  <si>
    <t>IMIĘ NAZWISKO</t>
  </si>
  <si>
    <t>KLUB</t>
  </si>
  <si>
    <t>PUNKTY</t>
  </si>
  <si>
    <t>MPW</t>
  </si>
  <si>
    <t>GP I</t>
  </si>
  <si>
    <t>GP II</t>
  </si>
  <si>
    <t>GP III</t>
  </si>
  <si>
    <t>GP IV</t>
  </si>
  <si>
    <t>GP V</t>
  </si>
  <si>
    <t>EU</t>
  </si>
  <si>
    <t>M</t>
  </si>
  <si>
    <t>P</t>
  </si>
  <si>
    <t>KORONA-TRZEBSKI Przemysław</t>
  </si>
  <si>
    <t>MANDRELA Jarosław</t>
  </si>
  <si>
    <t>HAŚKO Sergiusz</t>
  </si>
  <si>
    <t>SZCZERBOWSKI Lech</t>
  </si>
  <si>
    <t>DUDEK Mariusz</t>
  </si>
  <si>
    <t>FORAJTER Roman</t>
  </si>
  <si>
    <t>PILUTKIEWICZ Igor</t>
  </si>
  <si>
    <t>KOWALSKI Tomasz</t>
  </si>
  <si>
    <t>CYGAŃSKI Tomasz</t>
  </si>
  <si>
    <t>RUDZIŃSKI Wojciech</t>
  </si>
  <si>
    <t>OWCZAREK Hubert</t>
  </si>
  <si>
    <t>SĘKOWSKI Maciej</t>
  </si>
  <si>
    <t>JADCZUK Wojciech</t>
  </si>
  <si>
    <t>SAMSONOWICZ Maciej</t>
  </si>
  <si>
    <t>KOZIEJOWSKI Sebastian</t>
  </si>
  <si>
    <t>JASZCZAK Piotr</t>
  </si>
  <si>
    <t>KORZH Valeriy</t>
  </si>
  <si>
    <t>BUDNIK Robert</t>
  </si>
  <si>
    <t>DROBCZYK Paweł</t>
  </si>
  <si>
    <t>NIECZKOWSKI Tomasz</t>
  </si>
  <si>
    <t>miejsce i data:</t>
  </si>
  <si>
    <t>GDAŃSK 11-12.12.2021</t>
  </si>
  <si>
    <t>https://www.fencingtimelive.com/events/results/C7CB48CB2A6841DDAA8F46E6202BFFC6</t>
  </si>
  <si>
    <t>POINTS</t>
  </si>
  <si>
    <t>Place</t>
  </si>
  <si>
    <t>Name</t>
  </si>
  <si>
    <t>Club(s)</t>
  </si>
  <si>
    <t>Division</t>
  </si>
  <si>
    <t>Country</t>
  </si>
  <si>
    <t>Piast Gliwice</t>
  </si>
  <si>
    <t>POL</t>
  </si>
  <si>
    <t>KS Szpada Łódź</t>
  </si>
  <si>
    <t>SKS FLESZ ŚWIDNICA</t>
  </si>
  <si>
    <t>KSz Warszawianka</t>
  </si>
  <si>
    <t>T.S. Górnik Radlin</t>
  </si>
  <si>
    <t>PKSZERM Warszawa</t>
  </si>
  <si>
    <t>KS AZS AWFIS GDAŃSK.</t>
  </si>
  <si>
    <t>UKS FENIX Nowy Dwór Maz.</t>
  </si>
  <si>
    <t>LESZNO</t>
  </si>
  <si>
    <t>WARSZAWA 13-14.03.2021</t>
  </si>
  <si>
    <t>http://79.163.66.117/spws/etapy.php?marek=123&amp;_turid=489</t>
  </si>
  <si>
    <t>Korona-Trzebski Przemysław</t>
  </si>
  <si>
    <t>Pilutkiewicz Igor</t>
  </si>
  <si>
    <t>Mandrela Jarosław</t>
  </si>
  <si>
    <t>Owczarek Hubert</t>
  </si>
  <si>
    <t>Rudziński Wojciech</t>
  </si>
  <si>
    <t>Szczerbowski Lech</t>
  </si>
  <si>
    <t>Dudek Mariusz</t>
  </si>
  <si>
    <t>Forajter Roman</t>
  </si>
  <si>
    <t>Kowalski Tomasz</t>
  </si>
  <si>
    <t>LESZNO 23-24.10.2021</t>
  </si>
  <si>
    <t>https://www.fencingtimelive.com/events/results/517F0AAA9D78429A8C6A19824C803198</t>
  </si>
  <si>
    <t>PIAST GLIWICE</t>
  </si>
  <si>
    <t>KS SZPADA ŁÓDŹ</t>
  </si>
  <si>
    <t>T.S. GÓRNIK RADLIN</t>
  </si>
  <si>
    <t>KS Warszawianka</t>
  </si>
  <si>
    <t>KS AZS AWFIS GDAŃSK</t>
  </si>
  <si>
    <t>UKS FENIKS WIELISZEW</t>
  </si>
  <si>
    <t>KATOWICE 19-20.06.2021</t>
  </si>
  <si>
    <t>https://www.fencingtimelive.com/events/results/9973FF5023D24B779B320A30BDAC8EE8</t>
  </si>
  <si>
    <t>TS Górnik Radlin</t>
  </si>
  <si>
    <t>Fenix</t>
  </si>
  <si>
    <t>TORUŃ 27-28.12.2021</t>
  </si>
  <si>
    <t>http://79.163.66.117/spws/etapy.php?_etaid=900</t>
  </si>
  <si>
    <t>Haśko Sergiusz</t>
  </si>
  <si>
    <t>https://www.veteransfencing.eu/fencing/rankings/</t>
  </si>
  <si>
    <t>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</si>
</sst>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  <charset val="238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6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5">
    <xf numFmtId="0" fontId="0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3" borderId="0" xfId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0" xfId="2"/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2" fontId="0" fillId="0" borderId="0" xfId="0" applyNumberFormat="1"/>
    <xf numFmtId="14" fontId="0" fillId="0" borderId="0" xfId="0" applyNumberFormat="1" applyAlignment="1">
      <alignment vertical="center"/>
    </xf>
    <xf numFmtId="2" fontId="0" fillId="0" borderId="0" xfId="0" applyNumberFormat="1" applyAlignment="1">
      <alignment vertical="center" wrapText="1"/>
    </xf>
    <xf numFmtId="0" fontId="5" fillId="0" borderId="0" xfId="3"/>
    <xf numFmtId="0" fontId="5" fillId="0" borderId="0" xfId="4"/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4" borderId="0" xfId="2" applyAlignment="1">
      <alignment horizontal="center" vertical="center"/>
    </xf>
    <xf numFmtId="0" fontId="5" fillId="0" borderId="0" xfId="3" applyAlignment="1">
      <alignment vertical="center"/>
    </xf>
    <xf numFmtId="0" fontId="3" fillId="0" borderId="0" xfId="0" applyFont="1"/>
    <xf numFmtId="0" fontId="3" fillId="0" borderId="1" xfId="0" applyFont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5">
    <cellStyle name="Akcent 1" xfId="1" builtinId="29"/>
    <cellStyle name="Akcent 3" xfId="2" builtinId="37"/>
    <cellStyle name="Hiperłącze" xfId="3" builtinId="8"/>
    <cellStyle name="Hyperlink" xfId="4" xr:uid="{00000000-000B-0000-0000-000008000000}"/>
    <cellStyle name="Normalny" xfId="0" builtinId="0"/>
  </cellStyles>
  <dxfs count="9"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5" tint="-0.499984740745262"/>
      </font>
      <fill>
        <patternFill>
          <bgColor theme="5" tint="-0.24994659260841701"/>
        </patternFill>
      </fill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79.163.66.117/spws/etapy.php?marek=123&amp;_turid=489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veteransfencing.eu/fencing/ranking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"/>
  <sheetViews>
    <sheetView tabSelected="1" workbookViewId="0">
      <selection activeCell="B39" sqref="B39"/>
    </sheetView>
  </sheetViews>
  <sheetFormatPr defaultColWidth="11.5546875" defaultRowHeight="13.2" x14ac:dyDescent="0.25"/>
  <cols>
    <col min="1" max="1" width="6" customWidth="1"/>
    <col min="2" max="2" width="29.33203125" customWidth="1"/>
    <col min="3" max="3" width="13.88671875" customWidth="1"/>
    <col min="5" max="5" width="9.5546875" bestFit="1" customWidth="1"/>
    <col min="6" max="16" width="6" customWidth="1"/>
    <col min="17" max="17" width="9.33203125" customWidth="1"/>
  </cols>
  <sheetData>
    <row r="1" spans="1:17" ht="24.75" customHeight="1" x14ac:dyDescent="0.25">
      <c r="A1" s="27" t="s">
        <v>0</v>
      </c>
      <c r="B1" s="27" t="s">
        <v>1</v>
      </c>
      <c r="C1" s="27" t="s">
        <v>2</v>
      </c>
      <c r="D1" s="27" t="s">
        <v>3</v>
      </c>
      <c r="E1" s="29" t="s">
        <v>4</v>
      </c>
      <c r="F1" s="29"/>
      <c r="G1" s="29" t="s">
        <v>5</v>
      </c>
      <c r="H1" s="29"/>
      <c r="I1" s="29" t="s">
        <v>6</v>
      </c>
      <c r="J1" s="29"/>
      <c r="K1" s="30" t="s">
        <v>7</v>
      </c>
      <c r="L1" s="29"/>
      <c r="M1" s="29" t="s">
        <v>8</v>
      </c>
      <c r="N1" s="29"/>
      <c r="O1" s="29" t="s">
        <v>9</v>
      </c>
      <c r="P1" s="29"/>
      <c r="Q1" s="10" t="s">
        <v>10</v>
      </c>
    </row>
    <row r="2" spans="1:17" ht="18" customHeight="1" x14ac:dyDescent="0.25">
      <c r="A2" s="28"/>
      <c r="B2" s="28"/>
      <c r="C2" s="28"/>
      <c r="D2" s="28"/>
      <c r="E2" s="1" t="s">
        <v>11</v>
      </c>
      <c r="F2" s="1" t="s">
        <v>12</v>
      </c>
      <c r="G2" s="1" t="s">
        <v>11</v>
      </c>
      <c r="H2" s="1" t="s">
        <v>12</v>
      </c>
      <c r="I2" s="1" t="s">
        <v>11</v>
      </c>
      <c r="J2" s="1" t="s">
        <v>12</v>
      </c>
      <c r="K2" s="1" t="s">
        <v>11</v>
      </c>
      <c r="L2" s="1" t="s">
        <v>12</v>
      </c>
      <c r="M2" s="1" t="s">
        <v>11</v>
      </c>
      <c r="N2" s="1" t="s">
        <v>12</v>
      </c>
      <c r="O2" s="1" t="s">
        <v>11</v>
      </c>
      <c r="P2" s="1" t="s">
        <v>12</v>
      </c>
      <c r="Q2" s="1" t="s">
        <v>12</v>
      </c>
    </row>
    <row r="3" spans="1:17" ht="14.85" customHeight="1" x14ac:dyDescent="0.25">
      <c r="A3" s="2">
        <f t="shared" ref="A3:A50" si="0">ROW()-2</f>
        <v>1</v>
      </c>
      <c r="B3" s="6" t="s">
        <v>13</v>
      </c>
      <c r="C3" s="5"/>
      <c r="D3" s="4">
        <f t="shared" ref="D3:D50" si="1">SUM(F3,H3,J3,L3,N3,P3,Q3)-MIN(H3,J3,L3,N3,P3)</f>
        <v>441.38</v>
      </c>
      <c r="E3" s="5">
        <f>_xlfn.XLOOKUP(B3,MP!C$5:C$100,MP!B$5:B$100,"")</f>
        <v>2</v>
      </c>
      <c r="F3" s="5">
        <f>_xlfn.XLOOKUP(E3,MP!B$5:B$100,MP!A$5:A$100,0)</f>
        <v>88</v>
      </c>
      <c r="G3" s="5">
        <f>_xlfn.XLOOKUP($B3,'GP1'!$C$5:$C$100,'GP1'!$B$5:$B$100,"")</f>
        <v>2</v>
      </c>
      <c r="H3" s="5">
        <f>_xlfn.XLOOKUP(G3,'GP1'!$B$5:$B$100,'GP1'!$A$5:$A$100,0)</f>
        <v>73</v>
      </c>
      <c r="I3" s="5">
        <f>_xlfn.XLOOKUP($B3,'GP2'!$C$5:$C$100,'GP2'!$B$5:$B$100,"")</f>
        <v>1</v>
      </c>
      <c r="J3" s="5">
        <f>_xlfn.XLOOKUP(I3,'GP2'!$B$5:$B$100,'GP2'!$A$5:$A$100,0)</f>
        <v>79</v>
      </c>
      <c r="K3" s="5">
        <f>_xlfn.XLOOKUP($B3,'GP3'!$C$5:$C$100,'GP3'!$B$5:$B$100,"")</f>
        <v>2</v>
      </c>
      <c r="L3" s="5">
        <f>_xlfn.XLOOKUP(K3,'GP3'!$B$5:$B$100,'GP3'!$A$5:$A$100,0)</f>
        <v>73</v>
      </c>
      <c r="M3" s="5">
        <f>_xlfn.XLOOKUP($B3,'GP4'!$C$5:$C$100,'GP4'!$B$5:$B$100,"")</f>
        <v>1</v>
      </c>
      <c r="N3" s="5">
        <f>_xlfn.XLOOKUP(M3,'GP4'!$B$5:$B$100,'GP4'!$A$5:$A$100,0)</f>
        <v>79</v>
      </c>
      <c r="O3" s="5">
        <f>_xlfn.XLOOKUP($B3,'GP5'!$C$5:$C$100,'GP5'!$B$5:$B$100,"")</f>
        <v>1</v>
      </c>
      <c r="P3" s="5">
        <f>_xlfn.XLOOKUP(O3,'GP5'!$B$5:$B$100,'GP5'!$A$5:$A$100,0)</f>
        <v>79</v>
      </c>
      <c r="Q3" s="20">
        <f>_xlfn.XLOOKUP($B3,EU!$B$5:$B$100,EU!$A$5:$A$100,0)</f>
        <v>43.38</v>
      </c>
    </row>
    <row r="4" spans="1:17" ht="15.75" customHeight="1" x14ac:dyDescent="0.25">
      <c r="A4" s="2">
        <f t="shared" si="0"/>
        <v>2</v>
      </c>
      <c r="B4" s="6" t="s">
        <v>14</v>
      </c>
      <c r="C4" s="11"/>
      <c r="D4" s="4">
        <f t="shared" si="1"/>
        <v>387</v>
      </c>
      <c r="E4" s="5">
        <f>_xlfn.XLOOKUP(B4,MP!C$5:C$100,MP!B$5:B$100,"")</f>
        <v>1</v>
      </c>
      <c r="F4" s="5">
        <f>_xlfn.XLOOKUP(E4,MP!B$5:B$100,MP!A$5:A$100,0)</f>
        <v>95</v>
      </c>
      <c r="G4" s="5">
        <f>_xlfn.XLOOKUP($B4,'GP1'!$C$5:$C$100,'GP1'!$B$5:$B$100,"")</f>
        <v>1</v>
      </c>
      <c r="H4" s="5">
        <f>_xlfn.XLOOKUP(G4,'GP1'!$B$5:$B$100,'GP1'!$A$5:$A$100,0)</f>
        <v>79</v>
      </c>
      <c r="I4" s="5">
        <f>_xlfn.XLOOKUP($B4,'GP2'!$C$5:$C$100,'GP2'!$B$5:$B$100,"")</f>
        <v>5</v>
      </c>
      <c r="J4" s="5">
        <f>_xlfn.XLOOKUP(I4,'GP2'!$B$5:$B$100,'GP2'!$A$5:$A$100,0)</f>
        <v>64</v>
      </c>
      <c r="K4" s="5">
        <f>_xlfn.XLOOKUP($B4,'GP3'!$C$5:$C$100,'GP3'!$B$5:$B$100,"")</f>
        <v>1</v>
      </c>
      <c r="L4" s="5">
        <f>_xlfn.XLOOKUP(K4,'GP3'!$B$5:$B$100,'GP3'!$A$5:$A$100,0)</f>
        <v>79</v>
      </c>
      <c r="M4" s="5">
        <f>_xlfn.XLOOKUP($B4,'GP4'!$C$5:$C$100,'GP4'!$B$5:$B$100,"")</f>
        <v>3</v>
      </c>
      <c r="N4" s="5">
        <f>_xlfn.XLOOKUP(M4,'GP4'!$B$5:$B$100,'GP4'!$A$5:$A$100,0)</f>
        <v>70</v>
      </c>
      <c r="O4" s="5" t="str">
        <f>_xlfn.XLOOKUP($B4,'GP5'!$C$5:$C$100,'GP5'!$B$5:$B$100,"")</f>
        <v/>
      </c>
      <c r="P4" s="5">
        <f>_xlfn.XLOOKUP(O4,'GP5'!$B$5:$B$100,'GP5'!$A$5:$A$100,0)</f>
        <v>0</v>
      </c>
      <c r="Q4" s="20">
        <f>_xlfn.XLOOKUP($B4,EU!$B$5:$B$100,EU!$A$5:$A$100,0)</f>
        <v>0</v>
      </c>
    </row>
    <row r="5" spans="1:17" ht="14.85" customHeight="1" x14ac:dyDescent="0.25">
      <c r="A5" s="2">
        <f t="shared" si="0"/>
        <v>3</v>
      </c>
      <c r="B5" s="6" t="s">
        <v>15</v>
      </c>
      <c r="C5" s="3"/>
      <c r="D5" s="4">
        <f t="shared" si="1"/>
        <v>356</v>
      </c>
      <c r="E5" s="5">
        <f>_xlfn.XLOOKUP(B5,MP!C$5:C$100,MP!B$5:B$100,"")</f>
        <v>8</v>
      </c>
      <c r="F5" s="5">
        <f>_xlfn.XLOOKUP(E5,MP!B$5:B$100,MP!A$5:A$100,0)</f>
        <v>70</v>
      </c>
      <c r="G5" s="5">
        <f>_xlfn.XLOOKUP($B5,'GP1'!$C$5:$C$100,'GP1'!$B$5:$B$100,"")</f>
        <v>6</v>
      </c>
      <c r="H5" s="5">
        <f>_xlfn.XLOOKUP(G5,'GP1'!$B$5:$B$100,'GP1'!$A$5:$A$100,0)</f>
        <v>62</v>
      </c>
      <c r="I5" s="5">
        <f>_xlfn.XLOOKUP($B5,'GP2'!$C$5:$C$100,'GP2'!$B$5:$B$100,"")</f>
        <v>3</v>
      </c>
      <c r="J5" s="5">
        <f>_xlfn.XLOOKUP(I5,'GP2'!$B$5:$B$100,'GP2'!$A$5:$A$100,0)</f>
        <v>70</v>
      </c>
      <c r="K5" s="5">
        <f>_xlfn.XLOOKUP($B5,'GP3'!$C$5:$C$100,'GP3'!$B$5:$B$100,"")</f>
        <v>3</v>
      </c>
      <c r="L5" s="5">
        <f>_xlfn.XLOOKUP(K5,'GP3'!$B$5:$B$100,'GP3'!$A$5:$A$100,0)</f>
        <v>70</v>
      </c>
      <c r="M5" s="5">
        <f>_xlfn.XLOOKUP($B5,'GP4'!$C$5:$C$100,'GP4'!$B$5:$B$100,"")</f>
        <v>2</v>
      </c>
      <c r="N5" s="5">
        <f>_xlfn.XLOOKUP(M5,'GP4'!$B$5:$B$100,'GP4'!$A$5:$A$100,0)</f>
        <v>73</v>
      </c>
      <c r="O5" s="5">
        <f>_xlfn.XLOOKUP($B5,'GP5'!$C$5:$C$100,'GP5'!$B$5:$B$100,"")</f>
        <v>2</v>
      </c>
      <c r="P5" s="5">
        <f>_xlfn.XLOOKUP(O5,'GP5'!$B$5:$B$100,'GP5'!$A$5:$A$100,0)</f>
        <v>73</v>
      </c>
      <c r="Q5" s="20">
        <f>_xlfn.XLOOKUP($B5,EU!$B$5:$B$100,EU!$A$5:$A$100,0)</f>
        <v>0</v>
      </c>
    </row>
    <row r="6" spans="1:17" ht="14.85" customHeight="1" x14ac:dyDescent="0.25">
      <c r="A6" s="2">
        <f t="shared" si="0"/>
        <v>4</v>
      </c>
      <c r="B6" s="6" t="s">
        <v>16</v>
      </c>
      <c r="C6" s="3"/>
      <c r="D6" s="4">
        <f t="shared" si="1"/>
        <v>316</v>
      </c>
      <c r="E6" s="5">
        <f>_xlfn.XLOOKUP(B6,MP!C$5:C$100,MP!B$5:B$100,"")</f>
        <v>10</v>
      </c>
      <c r="F6" s="5">
        <f>_xlfn.XLOOKUP(E6,MP!B$5:B$100,MP!A$5:A$100,0)</f>
        <v>66</v>
      </c>
      <c r="G6" s="5">
        <f>_xlfn.XLOOKUP($B6,'GP1'!$C$5:$C$100,'GP1'!$B$5:$B$100,"")</f>
        <v>8</v>
      </c>
      <c r="H6" s="5">
        <f>_xlfn.XLOOKUP(G6,'GP1'!$B$5:$B$100,'GP1'!$A$5:$A$100,0)</f>
        <v>58</v>
      </c>
      <c r="I6" s="5">
        <f>_xlfn.XLOOKUP($B6,'GP2'!$C$5:$C$100,'GP2'!$B$5:$B$100,"")</f>
        <v>8</v>
      </c>
      <c r="J6" s="5">
        <f>_xlfn.XLOOKUP(I6,'GP2'!$B$5:$B$100,'GP2'!$A$5:$A$100,0)</f>
        <v>58</v>
      </c>
      <c r="K6" s="5">
        <f>_xlfn.XLOOKUP($B6,'GP3'!$C$5:$C$100,'GP3'!$B$5:$B$100,"")</f>
        <v>5</v>
      </c>
      <c r="L6" s="5">
        <f>_xlfn.XLOOKUP(K6,'GP3'!$B$5:$B$100,'GP3'!$A$5:$A$100,0)</f>
        <v>64</v>
      </c>
      <c r="M6" s="5" t="str">
        <f>_xlfn.XLOOKUP($B6,'GP4'!$C$5:$C$100,'GP4'!$B$5:$B$100,"")</f>
        <v/>
      </c>
      <c r="N6" s="5">
        <f>_xlfn.XLOOKUP(M6,'GP4'!$B$5:$B$100,'GP4'!$A$5:$A$100,0)</f>
        <v>0</v>
      </c>
      <c r="O6" s="5">
        <f>_xlfn.XLOOKUP($B6,'GP5'!$C$5:$C$100,'GP5'!$B$5:$B$100,"")</f>
        <v>3</v>
      </c>
      <c r="P6" s="5">
        <f>_xlfn.XLOOKUP(O6,'GP5'!$B$5:$B$100,'GP5'!$A$5:$A$100,0)</f>
        <v>70</v>
      </c>
      <c r="Q6" s="20">
        <f>_xlfn.XLOOKUP($B6,EU!$B$5:$B$100,EU!$A$5:$A$100,0)</f>
        <v>0</v>
      </c>
    </row>
    <row r="7" spans="1:17" ht="14.85" customHeight="1" x14ac:dyDescent="0.25">
      <c r="A7" s="2">
        <f t="shared" si="0"/>
        <v>5</v>
      </c>
      <c r="B7" s="6" t="s">
        <v>17</v>
      </c>
      <c r="C7" s="3"/>
      <c r="D7" s="4">
        <f t="shared" si="1"/>
        <v>306</v>
      </c>
      <c r="E7" s="5">
        <f>_xlfn.XLOOKUP(B7,MP!C$5:C$100,MP!B$5:B$100,"")</f>
        <v>12</v>
      </c>
      <c r="F7" s="5">
        <f>_xlfn.XLOOKUP(E7,MP!B$5:B$100,MP!A$5:A$100,0)</f>
        <v>62</v>
      </c>
      <c r="G7" s="5">
        <f>_xlfn.XLOOKUP($B7,'GP1'!$C$5:$C$100,'GP1'!$B$5:$B$100,"")</f>
        <v>12</v>
      </c>
      <c r="H7" s="5">
        <f>_xlfn.XLOOKUP(G7,'GP1'!$B$5:$B$100,'GP1'!$A$5:$A$100,0)</f>
        <v>53</v>
      </c>
      <c r="I7" s="5">
        <f>_xlfn.XLOOKUP($B7,'GP2'!$C$5:$C$100,'GP2'!$B$5:$B$100,"")</f>
        <v>9</v>
      </c>
      <c r="J7" s="5">
        <f>_xlfn.XLOOKUP(I7,'GP2'!$B$5:$B$100,'GP2'!$A$5:$A$100,0)</f>
        <v>56</v>
      </c>
      <c r="K7" s="5">
        <f>_xlfn.XLOOKUP($B7,'GP3'!$C$5:$C$100,'GP3'!$B$5:$B$100,"")</f>
        <v>8</v>
      </c>
      <c r="L7" s="5">
        <f>_xlfn.XLOOKUP(K7,'GP3'!$B$5:$B$100,'GP3'!$A$5:$A$100,0)</f>
        <v>58</v>
      </c>
      <c r="M7" s="5">
        <f>_xlfn.XLOOKUP($B7,'GP4'!$C$5:$C$100,'GP4'!$B$5:$B$100,"")</f>
        <v>5</v>
      </c>
      <c r="N7" s="5">
        <f>_xlfn.XLOOKUP(M7,'GP4'!$B$5:$B$100,'GP4'!$A$5:$A$100,0)</f>
        <v>64</v>
      </c>
      <c r="O7" s="5">
        <f>_xlfn.XLOOKUP($B7,'GP5'!$C$5:$C$100,'GP5'!$B$5:$B$100,"")</f>
        <v>4</v>
      </c>
      <c r="P7" s="5">
        <f>_xlfn.XLOOKUP(O7,'GP5'!$B$5:$B$100,'GP5'!$A$5:$A$100,0)</f>
        <v>66</v>
      </c>
      <c r="Q7" s="20">
        <f>_xlfn.XLOOKUP($B7,EU!$B$5:$B$100,EU!$A$5:$A$100,0)</f>
        <v>0</v>
      </c>
    </row>
    <row r="8" spans="1:17" ht="14.85" customHeight="1" x14ac:dyDescent="0.25">
      <c r="A8" s="2">
        <f t="shared" si="0"/>
        <v>6</v>
      </c>
      <c r="B8" s="6" t="s">
        <v>18</v>
      </c>
      <c r="C8" s="3"/>
      <c r="D8" s="4">
        <f t="shared" si="1"/>
        <v>296</v>
      </c>
      <c r="E8" s="5">
        <f>_xlfn.XLOOKUP(B8,MP!C$5:C$100,MP!B$5:B$100,"")</f>
        <v>11</v>
      </c>
      <c r="F8" s="5">
        <f>_xlfn.XLOOKUP(E8,MP!B$5:B$100,MP!A$5:A$100,0)</f>
        <v>64</v>
      </c>
      <c r="G8" s="5">
        <f>_xlfn.XLOOKUP($B8,'GP1'!$C$5:$C$100,'GP1'!$B$5:$B$100,"")</f>
        <v>10</v>
      </c>
      <c r="H8" s="5">
        <f>_xlfn.XLOOKUP(G8,'GP1'!$B$5:$B$100,'GP1'!$A$5:$A$100,0)</f>
        <v>55</v>
      </c>
      <c r="I8" s="5">
        <f>_xlfn.XLOOKUP($B8,'GP2'!$C$5:$C$100,'GP2'!$B$5:$B$100,"")</f>
        <v>10</v>
      </c>
      <c r="J8" s="5">
        <f>_xlfn.XLOOKUP(I8,'GP2'!$B$5:$B$100,'GP2'!$A$5:$A$100,0)</f>
        <v>55</v>
      </c>
      <c r="K8" s="5">
        <f>_xlfn.XLOOKUP($B8,'GP3'!$C$5:$C$100,'GP3'!$B$5:$B$100,"")</f>
        <v>7</v>
      </c>
      <c r="L8" s="5">
        <f>_xlfn.XLOOKUP(K8,'GP3'!$B$5:$B$100,'GP3'!$A$5:$A$100,0)</f>
        <v>60</v>
      </c>
      <c r="M8" s="5">
        <f>_xlfn.XLOOKUP($B8,'GP4'!$C$5:$C$100,'GP4'!$B$5:$B$100,"")</f>
        <v>6</v>
      </c>
      <c r="N8" s="5">
        <f>_xlfn.XLOOKUP(M8,'GP4'!$B$5:$B$100,'GP4'!$A$5:$A$100,0)</f>
        <v>62</v>
      </c>
      <c r="O8" s="5" t="str">
        <f>_xlfn.XLOOKUP($B8,'GP5'!$C$5:$C$100,'GP5'!$B$5:$B$100,"")</f>
        <v/>
      </c>
      <c r="P8" s="5">
        <f>_xlfn.XLOOKUP(O8,'GP5'!$B$5:$B$100,'GP5'!$A$5:$A$100,0)</f>
        <v>0</v>
      </c>
      <c r="Q8" s="20">
        <f>_xlfn.XLOOKUP($B8,EU!$B$5:$B$100,EU!$A$5:$A$100,0)</f>
        <v>0</v>
      </c>
    </row>
    <row r="9" spans="1:17" ht="14.4" customHeight="1" x14ac:dyDescent="0.25">
      <c r="A9" s="2">
        <f t="shared" si="0"/>
        <v>7</v>
      </c>
      <c r="B9" s="6" t="s">
        <v>19</v>
      </c>
      <c r="C9" s="3"/>
      <c r="D9" s="4">
        <f t="shared" si="1"/>
        <v>268</v>
      </c>
      <c r="E9" s="5">
        <f>_xlfn.XLOOKUP(B9,MP!C$5:C$100,MP!B$5:B$100,"")</f>
        <v>7</v>
      </c>
      <c r="F9" s="5">
        <f>_xlfn.XLOOKUP(E9,MP!B$5:B$100,MP!A$5:A$100,0)</f>
        <v>72</v>
      </c>
      <c r="G9" s="5">
        <f>_xlfn.XLOOKUP($B9,'GP1'!$C$5:$C$100,'GP1'!$B$5:$B$100,"")</f>
        <v>5</v>
      </c>
      <c r="H9" s="5">
        <f>_xlfn.XLOOKUP(G9,'GP1'!$B$5:$B$100,'GP1'!$A$5:$A$100,0)</f>
        <v>64</v>
      </c>
      <c r="I9" s="5">
        <f>_xlfn.XLOOKUP($B9,'GP2'!$C$5:$C$100,'GP2'!$B$5:$B$100,"")</f>
        <v>4</v>
      </c>
      <c r="J9" s="5">
        <f>_xlfn.XLOOKUP(I9,'GP2'!$B$5:$B$100,'GP2'!$A$5:$A$100,0)</f>
        <v>66</v>
      </c>
      <c r="K9" s="5" t="str">
        <f>_xlfn.XLOOKUP($B9,'GP3'!$C$5:$C$100,'GP3'!$B$5:$B$100,"")</f>
        <v/>
      </c>
      <c r="L9" s="5">
        <f>_xlfn.XLOOKUP(K9,'GP3'!$B$5:$B$100,'GP3'!$A$5:$A$100,0)</f>
        <v>0</v>
      </c>
      <c r="M9" s="5">
        <f>_xlfn.XLOOKUP($B9,'GP4'!$C$5:$C$100,'GP4'!$B$5:$B$100,"")</f>
        <v>4</v>
      </c>
      <c r="N9" s="5">
        <f>_xlfn.XLOOKUP(M9,'GP4'!$B$5:$B$100,'GP4'!$A$5:$A$100,0)</f>
        <v>66</v>
      </c>
      <c r="O9" s="5" t="str">
        <f>_xlfn.XLOOKUP($B9,'GP5'!$C$5:$C$100,'GP5'!$B$5:$B$100,"")</f>
        <v/>
      </c>
      <c r="P9" s="5">
        <f>_xlfn.XLOOKUP(O9,'GP5'!$B$5:$B$100,'GP5'!$A$5:$A$100,0)</f>
        <v>0</v>
      </c>
      <c r="Q9" s="20">
        <f>_xlfn.XLOOKUP($B9,EU!$B$5:$B$100,EU!$A$5:$A$100,0)</f>
        <v>0</v>
      </c>
    </row>
    <row r="10" spans="1:17" ht="14.4" customHeight="1" x14ac:dyDescent="0.25">
      <c r="A10" s="2">
        <f t="shared" si="0"/>
        <v>8</v>
      </c>
      <c r="B10" s="6" t="s">
        <v>20</v>
      </c>
      <c r="C10" s="3"/>
      <c r="D10" s="4">
        <f t="shared" si="1"/>
        <v>221</v>
      </c>
      <c r="E10" s="5" t="str">
        <f>_xlfn.XLOOKUP(B10,MP!C$5:C$100,MP!B$5:B$100,"")</f>
        <v/>
      </c>
      <c r="F10" s="5">
        <f>_xlfn.XLOOKUP(E10,MP!B$5:B$100,MP!A$5:A$100,0)</f>
        <v>0</v>
      </c>
      <c r="G10" s="5">
        <f>_xlfn.XLOOKUP($B10,'GP1'!$C$5:$C$100,'GP1'!$B$5:$B$100,"")</f>
        <v>14</v>
      </c>
      <c r="H10" s="5">
        <f>_xlfn.XLOOKUP(G10,'GP1'!$B$5:$B$100,'GP1'!$A$5:$A$100,0)</f>
        <v>51</v>
      </c>
      <c r="I10" s="5">
        <f>_xlfn.XLOOKUP($B10,'GP2'!$C$5:$C$100,'GP2'!$B$5:$B$100,"")</f>
        <v>11</v>
      </c>
      <c r="J10" s="5">
        <f>_xlfn.XLOOKUP(I10,'GP2'!$B$5:$B$100,'GP2'!$A$5:$A$100,0)</f>
        <v>54</v>
      </c>
      <c r="K10" s="5">
        <f>_xlfn.XLOOKUP($B10,'GP3'!$C$5:$C$100,'GP3'!$B$5:$B$100,"")</f>
        <v>9</v>
      </c>
      <c r="L10" s="5">
        <f>_xlfn.XLOOKUP(K10,'GP3'!$B$5:$B$100,'GP3'!$A$5:$A$100,0)</f>
        <v>56</v>
      </c>
      <c r="M10" s="5">
        <f>_xlfn.XLOOKUP($B10,'GP4'!$C$5:$C$100,'GP4'!$B$5:$B$100,"")</f>
        <v>7</v>
      </c>
      <c r="N10" s="5">
        <f>_xlfn.XLOOKUP(M10,'GP4'!$B$5:$B$100,'GP4'!$A$5:$A$100,0)</f>
        <v>60</v>
      </c>
      <c r="O10" s="5" t="str">
        <f>_xlfn.XLOOKUP($B10,'GP5'!$C$5:$C$100,'GP5'!$B$5:$B$100,"")</f>
        <v/>
      </c>
      <c r="P10" s="5">
        <f>_xlfn.XLOOKUP(O10,'GP5'!$B$5:$B$100,'GP5'!$A$5:$A$100,0)</f>
        <v>0</v>
      </c>
      <c r="Q10" s="20">
        <f>_xlfn.XLOOKUP($B10,EU!$B$5:$B$100,EU!$A$5:$A$100,0)</f>
        <v>0</v>
      </c>
    </row>
    <row r="11" spans="1:17" ht="14.4" customHeight="1" x14ac:dyDescent="0.25">
      <c r="A11" s="2">
        <f t="shared" si="0"/>
        <v>9</v>
      </c>
      <c r="B11" s="6" t="s">
        <v>79</v>
      </c>
      <c r="C11" s="3"/>
      <c r="D11" s="4">
        <f t="shared" si="1"/>
        <v>188.12</v>
      </c>
      <c r="E11" s="5" t="str">
        <f>_xlfn.XLOOKUP(B11,MP!C$5:C$100,MP!B$5:B$100,"")</f>
        <v/>
      </c>
      <c r="F11" s="5">
        <f>_xlfn.XLOOKUP(E11,MP!B$5:B$100,MP!A$5:A$100,0)</f>
        <v>0</v>
      </c>
      <c r="G11" s="5">
        <f>_xlfn.XLOOKUP($B11,'GP1'!$C$5:$C$100,'GP1'!$B$5:$B$100,"")</f>
        <v>4</v>
      </c>
      <c r="H11" s="5">
        <f>_xlfn.XLOOKUP(G11,'GP1'!$B$5:$B$100,'GP1'!$A$5:$A$100,0)</f>
        <v>66</v>
      </c>
      <c r="I11" s="5">
        <f>_xlfn.XLOOKUP($B11,'GP2'!$C$5:$C$100,'GP2'!$B$5:$B$100,"")</f>
        <v>2</v>
      </c>
      <c r="J11" s="5">
        <f>_xlfn.XLOOKUP(I11,'GP2'!$B$5:$B$100,'GP2'!$A$5:$A$100,0)</f>
        <v>73</v>
      </c>
      <c r="K11" s="5" t="str">
        <f>_xlfn.XLOOKUP($B11,'GP3'!$C$5:$C$100,'GP3'!$B$5:$B$100,"")</f>
        <v/>
      </c>
      <c r="L11" s="5">
        <f>_xlfn.XLOOKUP(K11,'GP3'!$B$5:$B$100,'GP3'!$A$5:$A$100,0)</f>
        <v>0</v>
      </c>
      <c r="M11" s="5" t="str">
        <f>_xlfn.XLOOKUP($B11,'GP4'!$C$5:$C$100,'GP4'!$B$5:$B$100,"")</f>
        <v/>
      </c>
      <c r="N11" s="5">
        <f>_xlfn.XLOOKUP(M11,'GP4'!$B$5:$B$100,'GP4'!$A$5:$A$100,0)</f>
        <v>0</v>
      </c>
      <c r="O11" s="5" t="str">
        <f>_xlfn.XLOOKUP($B11,'GP5'!$C$5:$C$100,'GP5'!$B$5:$B$100,"")</f>
        <v/>
      </c>
      <c r="P11" s="5">
        <f>_xlfn.XLOOKUP(O11,'GP5'!$B$5:$B$100,'GP5'!$A$5:$A$100,0)</f>
        <v>0</v>
      </c>
      <c r="Q11" s="20">
        <f>_xlfn.XLOOKUP($B11,EU!$B$5:$B$100,EU!$A$5:$A$100,0)</f>
        <v>49.12</v>
      </c>
    </row>
    <row r="12" spans="1:17" ht="14.4" customHeight="1" x14ac:dyDescent="0.25">
      <c r="A12" s="2">
        <f t="shared" si="0"/>
        <v>10</v>
      </c>
      <c r="B12" s="6" t="s">
        <v>21</v>
      </c>
      <c r="C12" s="3"/>
      <c r="D12" s="4">
        <f t="shared" si="1"/>
        <v>147</v>
      </c>
      <c r="E12" s="5">
        <f>_xlfn.XLOOKUP(B12,MP!C$5:C$100,MP!B$5:B$100,"")</f>
        <v>5</v>
      </c>
      <c r="F12" s="5">
        <f>_xlfn.XLOOKUP(E12,MP!B$5:B$100,MP!A$5:A$100,0)</f>
        <v>77</v>
      </c>
      <c r="G12" s="5">
        <f>_xlfn.XLOOKUP($B12,'GP1'!$C$5:$C$100,'GP1'!$B$5:$B$100,"")</f>
        <v>3</v>
      </c>
      <c r="H12" s="5">
        <f>_xlfn.XLOOKUP(G12,'GP1'!$B$5:$B$100,'GP1'!$A$5:$A$100,0)</f>
        <v>70</v>
      </c>
      <c r="I12" s="5" t="str">
        <f>_xlfn.XLOOKUP($B12,'GP2'!$C$5:$C$100,'GP2'!$B$5:$B$100,"")</f>
        <v/>
      </c>
      <c r="J12" s="5">
        <f>_xlfn.XLOOKUP(I12,'GP2'!$B$5:$B$100,'GP2'!$A$5:$A$100,0)</f>
        <v>0</v>
      </c>
      <c r="K12" s="5" t="str">
        <f>_xlfn.XLOOKUP($B12,'GP3'!$C$5:$C$100,'GP3'!$B$5:$B$100,"")</f>
        <v/>
      </c>
      <c r="L12" s="5">
        <f>_xlfn.XLOOKUP(K12,'GP3'!$B$5:$B$100,'GP3'!$A$5:$A$100,0)</f>
        <v>0</v>
      </c>
      <c r="M12" s="5" t="str">
        <f>_xlfn.XLOOKUP($B12,'GP4'!$C$5:$C$100,'GP4'!$B$5:$B$100,"")</f>
        <v/>
      </c>
      <c r="N12" s="5">
        <f>_xlfn.XLOOKUP(M12,'GP4'!$B$5:$B$100,'GP4'!$A$5:$A$100,0)</f>
        <v>0</v>
      </c>
      <c r="O12" s="5" t="str">
        <f>_xlfn.XLOOKUP($B12,'GP5'!$C$5:$C$100,'GP5'!$B$5:$B$100,"")</f>
        <v/>
      </c>
      <c r="P12" s="5">
        <f>_xlfn.XLOOKUP(O12,'GP5'!$B$5:$B$100,'GP5'!$A$5:$A$100,0)</f>
        <v>0</v>
      </c>
      <c r="Q12" s="20">
        <f>_xlfn.XLOOKUP($B12,EU!$B$5:$B$100,EU!$A$5:$A$100,0)</f>
        <v>0</v>
      </c>
    </row>
    <row r="13" spans="1:17" ht="14.4" customHeight="1" x14ac:dyDescent="0.25">
      <c r="A13" s="2">
        <f t="shared" si="0"/>
        <v>11</v>
      </c>
      <c r="B13" s="6" t="s">
        <v>22</v>
      </c>
      <c r="C13" s="3"/>
      <c r="D13" s="4">
        <f t="shared" si="1"/>
        <v>120</v>
      </c>
      <c r="E13" s="5" t="str">
        <f>_xlfn.XLOOKUP(B13,MP!C$5:C$100,MP!B$5:B$100,"")</f>
        <v/>
      </c>
      <c r="F13" s="5">
        <f>_xlfn.XLOOKUP(E13,MP!B$5:B$100,MP!A$5:A$100,0)</f>
        <v>0</v>
      </c>
      <c r="G13" s="5">
        <f>_xlfn.XLOOKUP($B13,'GP1'!$C$5:$C$100,'GP1'!$B$5:$B$100,"")</f>
        <v>7</v>
      </c>
      <c r="H13" s="5">
        <f>_xlfn.XLOOKUP(G13,'GP1'!$B$5:$B$100,'GP1'!$A$5:$A$100,0)</f>
        <v>60</v>
      </c>
      <c r="I13" s="5">
        <f>_xlfn.XLOOKUP($B13,'GP2'!$C$5:$C$100,'GP2'!$B$5:$B$100,"")</f>
        <v>7</v>
      </c>
      <c r="J13" s="5">
        <f>_xlfn.XLOOKUP(I13,'GP2'!$B$5:$B$100,'GP2'!$A$5:$A$100,0)</f>
        <v>60</v>
      </c>
      <c r="K13" s="5" t="str">
        <f>_xlfn.XLOOKUP($B13,'GP3'!$C$5:$C$100,'GP3'!$B$5:$B$100,"")</f>
        <v/>
      </c>
      <c r="L13" s="5">
        <f>_xlfn.XLOOKUP(K13,'GP3'!$B$5:$B$100,'GP3'!$A$5:$A$100,0)</f>
        <v>0</v>
      </c>
      <c r="M13" s="5" t="str">
        <f>_xlfn.XLOOKUP($B13,'GP4'!$C$5:$C$100,'GP4'!$B$5:$B$100,"")</f>
        <v/>
      </c>
      <c r="N13" s="5">
        <f>_xlfn.XLOOKUP(M13,'GP4'!$B$5:$B$100,'GP4'!$A$5:$A$100,0)</f>
        <v>0</v>
      </c>
      <c r="O13" s="5" t="str">
        <f>_xlfn.XLOOKUP($B13,'GP5'!$C$5:$C$100,'GP5'!$B$5:$B$100,"")</f>
        <v/>
      </c>
      <c r="P13" s="5">
        <f>_xlfn.XLOOKUP(O13,'GP5'!$B$5:$B$100,'GP5'!$A$5:$A$100,0)</f>
        <v>0</v>
      </c>
      <c r="Q13" s="20">
        <f>_xlfn.XLOOKUP($B13,EU!$B$5:$B$100,EU!$A$5:$A$100,0)</f>
        <v>0</v>
      </c>
    </row>
    <row r="14" spans="1:17" ht="14.4" customHeight="1" x14ac:dyDescent="0.25">
      <c r="A14" s="2">
        <f t="shared" si="0"/>
        <v>12</v>
      </c>
      <c r="B14" s="6" t="s">
        <v>23</v>
      </c>
      <c r="C14" s="3"/>
      <c r="D14" s="4">
        <f t="shared" si="1"/>
        <v>116</v>
      </c>
      <c r="E14" s="5" t="str">
        <f>_xlfn.XLOOKUP(B14,MP!C$5:C$100,MP!B$5:B$100,"")</f>
        <v/>
      </c>
      <c r="F14" s="5">
        <f>_xlfn.XLOOKUP(E14,MP!B$5:B$100,MP!A$5:A$100,0)</f>
        <v>0</v>
      </c>
      <c r="G14" s="5">
        <f>_xlfn.XLOOKUP($B14,'GP1'!$C$5:$C$100,'GP1'!$B$5:$B$100,"")</f>
        <v>11</v>
      </c>
      <c r="H14" s="5">
        <f>_xlfn.XLOOKUP(G14,'GP1'!$B$5:$B$100,'GP1'!$A$5:$A$100,0)</f>
        <v>54</v>
      </c>
      <c r="I14" s="5">
        <f>_xlfn.XLOOKUP($B14,'GP2'!$C$5:$C$100,'GP2'!$B$5:$B$100,"")</f>
        <v>6</v>
      </c>
      <c r="J14" s="5">
        <f>_xlfn.XLOOKUP(I14,'GP2'!$B$5:$B$100,'GP2'!$A$5:$A$100,0)</f>
        <v>62</v>
      </c>
      <c r="K14" s="5" t="str">
        <f>_xlfn.XLOOKUP($B14,'GP3'!$C$5:$C$100,'GP3'!$B$5:$B$100,"")</f>
        <v/>
      </c>
      <c r="L14" s="5">
        <f>_xlfn.XLOOKUP(K14,'GP3'!$B$5:$B$100,'GP3'!$A$5:$A$100,0)</f>
        <v>0</v>
      </c>
      <c r="M14" s="5" t="str">
        <f>_xlfn.XLOOKUP($B14,'GP4'!$C$5:$C$100,'GP4'!$B$5:$B$100,"")</f>
        <v/>
      </c>
      <c r="N14" s="5">
        <f>_xlfn.XLOOKUP(M14,'GP4'!$B$5:$B$100,'GP4'!$A$5:$A$100,0)</f>
        <v>0</v>
      </c>
      <c r="O14" s="5" t="str">
        <f>_xlfn.XLOOKUP($B14,'GP5'!$C$5:$C$100,'GP5'!$B$5:$B$100,"")</f>
        <v/>
      </c>
      <c r="P14" s="5">
        <f>_xlfn.XLOOKUP(O14,'GP5'!$B$5:$B$100,'GP5'!$A$5:$A$100,0)</f>
        <v>0</v>
      </c>
      <c r="Q14" s="20">
        <f>_xlfn.XLOOKUP($B14,EU!$B$5:$B$100,EU!$A$5:$A$100,0)</f>
        <v>0</v>
      </c>
    </row>
    <row r="15" spans="1:17" ht="14.4" customHeight="1" x14ac:dyDescent="0.25">
      <c r="A15" s="2">
        <f t="shared" si="0"/>
        <v>13</v>
      </c>
      <c r="B15" s="6" t="s">
        <v>24</v>
      </c>
      <c r="C15" s="3"/>
      <c r="D15" s="4">
        <f t="shared" si="1"/>
        <v>84</v>
      </c>
      <c r="E15" s="5">
        <f>_xlfn.XLOOKUP(B15,MP!C$5:C$100,MP!B$5:B$100,"")</f>
        <v>3</v>
      </c>
      <c r="F15" s="5">
        <f>_xlfn.XLOOKUP(E15,MP!B$5:B$100,MP!A$5:A$100,0)</f>
        <v>84</v>
      </c>
      <c r="G15" s="5" t="str">
        <f>_xlfn.XLOOKUP($B15,'GP1'!$C$5:$C$100,'GP1'!$B$5:$B$100,"")</f>
        <v/>
      </c>
      <c r="H15" s="5">
        <f>_xlfn.XLOOKUP(G15,'GP1'!$B$5:$B$100,'GP1'!$A$5:$A$100,0)</f>
        <v>0</v>
      </c>
      <c r="I15" s="5" t="str">
        <f>_xlfn.XLOOKUP($B15,'GP2'!$C$5:$C$100,'GP2'!$B$5:$B$100,"")</f>
        <v/>
      </c>
      <c r="J15" s="5">
        <f>_xlfn.XLOOKUP(I15,'GP2'!$B$5:$B$100,'GP2'!$A$5:$A$100,0)</f>
        <v>0</v>
      </c>
      <c r="K15" s="5" t="str">
        <f>_xlfn.XLOOKUP($B15,'GP3'!$C$5:$C$100,'GP3'!$B$5:$B$100,"")</f>
        <v/>
      </c>
      <c r="L15" s="5">
        <f>_xlfn.XLOOKUP(K15,'GP3'!$B$5:$B$100,'GP3'!$A$5:$A$100,0)</f>
        <v>0</v>
      </c>
      <c r="M15" s="5" t="str">
        <f>_xlfn.XLOOKUP($B15,'GP4'!$C$5:$C$100,'GP4'!$B$5:$B$100,"")</f>
        <v/>
      </c>
      <c r="N15" s="5">
        <f>_xlfn.XLOOKUP(M15,'GP4'!$B$5:$B$100,'GP4'!$A$5:$A$100,0)</f>
        <v>0</v>
      </c>
      <c r="O15" s="5" t="str">
        <f>_xlfn.XLOOKUP($B15,'GP5'!$C$5:$C$100,'GP5'!$B$5:$B$100,"")</f>
        <v/>
      </c>
      <c r="P15" s="5">
        <f>_xlfn.XLOOKUP(O15,'GP5'!$B$5:$B$100,'GP5'!$A$5:$A$100,0)</f>
        <v>0</v>
      </c>
      <c r="Q15" s="20">
        <f>_xlfn.XLOOKUP($B15,EU!$B$5:$B$100,EU!$A$5:$A$100,0)</f>
        <v>0</v>
      </c>
    </row>
    <row r="16" spans="1:17" ht="14.4" customHeight="1" x14ac:dyDescent="0.25">
      <c r="A16" s="2">
        <f t="shared" si="0"/>
        <v>14</v>
      </c>
      <c r="B16" s="6" t="s">
        <v>25</v>
      </c>
      <c r="C16" s="3"/>
      <c r="D16" s="4">
        <f t="shared" si="1"/>
        <v>79</v>
      </c>
      <c r="E16" s="5">
        <f>_xlfn.XLOOKUP(B16,MP!C$5:C$100,MP!B$5:B$100,"")</f>
        <v>4</v>
      </c>
      <c r="F16" s="5">
        <f>_xlfn.XLOOKUP(E16,MP!B$5:B$100,MP!A$5:A$100,0)</f>
        <v>79</v>
      </c>
      <c r="G16" s="5" t="str">
        <f>_xlfn.XLOOKUP($B16,'GP1'!$C$5:$C$100,'GP1'!$B$5:$B$100,"")</f>
        <v/>
      </c>
      <c r="H16" s="5">
        <f>_xlfn.XLOOKUP(G16,'GP1'!$B$5:$B$100,'GP1'!$A$5:$A$100,0)</f>
        <v>0</v>
      </c>
      <c r="I16" s="5" t="str">
        <f>_xlfn.XLOOKUP($B16,'GP2'!$C$5:$C$100,'GP2'!$B$5:$B$100,"")</f>
        <v/>
      </c>
      <c r="J16" s="5">
        <f>_xlfn.XLOOKUP(I16,'GP2'!$B$5:$B$100,'GP2'!$A$5:$A$100,0)</f>
        <v>0</v>
      </c>
      <c r="K16" s="5" t="str">
        <f>_xlfn.XLOOKUP($B16,'GP3'!$C$5:$C$100,'GP3'!$B$5:$B$100,"")</f>
        <v/>
      </c>
      <c r="L16" s="5">
        <f>_xlfn.XLOOKUP(K16,'GP3'!$B$5:$B$100,'GP3'!$A$5:$A$100,0)</f>
        <v>0</v>
      </c>
      <c r="M16" s="5" t="str">
        <f>_xlfn.XLOOKUP($B16,'GP4'!$C$5:$C$100,'GP4'!$B$5:$B$100,"")</f>
        <v/>
      </c>
      <c r="N16" s="5">
        <f>_xlfn.XLOOKUP(M16,'GP4'!$B$5:$B$100,'GP4'!$A$5:$A$100,0)</f>
        <v>0</v>
      </c>
      <c r="O16" s="5" t="str">
        <f>_xlfn.XLOOKUP($B16,'GP5'!$C$5:$C$100,'GP5'!$B$5:$B$100,"")</f>
        <v/>
      </c>
      <c r="P16" s="5">
        <f>_xlfn.XLOOKUP(O16,'GP5'!$B$5:$B$100,'GP5'!$A$5:$A$100,0)</f>
        <v>0</v>
      </c>
      <c r="Q16" s="20">
        <f>_xlfn.XLOOKUP($B16,EU!$B$5:$B$100,EU!$A$5:$A$100,0)</f>
        <v>0</v>
      </c>
    </row>
    <row r="17" spans="1:17" ht="14.4" customHeight="1" x14ac:dyDescent="0.25">
      <c r="A17" s="2">
        <f t="shared" si="0"/>
        <v>15</v>
      </c>
      <c r="B17" s="6" t="s">
        <v>26</v>
      </c>
      <c r="C17" s="3"/>
      <c r="D17" s="4">
        <f t="shared" si="1"/>
        <v>79.900000000000006</v>
      </c>
      <c r="E17" s="5">
        <f>_xlfn.XLOOKUP(B17,MP!C$5:C$100,MP!B$5:B$100,"")</f>
        <v>9</v>
      </c>
      <c r="F17" s="5">
        <f>_xlfn.XLOOKUP(E17,MP!B$5:B$100,MP!A$5:A$100,0)</f>
        <v>68</v>
      </c>
      <c r="G17" s="5" t="str">
        <f>_xlfn.XLOOKUP($B17,'GP1'!$C$5:$C$100,'GP1'!$B$5:$B$100,"")</f>
        <v/>
      </c>
      <c r="H17" s="5">
        <f>_xlfn.XLOOKUP(G17,'GP1'!$B$5:$B$100,'GP1'!$A$5:$A$100,0)</f>
        <v>0</v>
      </c>
      <c r="I17" s="5" t="str">
        <f>_xlfn.XLOOKUP($B17,'GP2'!$C$5:$C$100,'GP2'!$B$5:$B$100,"")</f>
        <v/>
      </c>
      <c r="J17" s="5">
        <f>_xlfn.XLOOKUP(I17,'GP2'!$B$5:$B$100,'GP2'!$A$5:$A$100,0)</f>
        <v>0</v>
      </c>
      <c r="K17" s="5" t="str">
        <f>_xlfn.XLOOKUP($B17,'GP3'!$C$5:$C$100,'GP3'!$B$5:$B$100,"")</f>
        <v/>
      </c>
      <c r="L17" s="5">
        <f>_xlfn.XLOOKUP(K17,'GP3'!$B$5:$B$100,'GP3'!$A$5:$A$100,0)</f>
        <v>0</v>
      </c>
      <c r="M17" s="5" t="str">
        <f>_xlfn.XLOOKUP($B17,'GP4'!$C$5:$C$100,'GP4'!$B$5:$B$100,"")</f>
        <v/>
      </c>
      <c r="N17" s="5">
        <f>_xlfn.XLOOKUP(M17,'GP4'!$B$5:$B$100,'GP4'!$A$5:$A$100,0)</f>
        <v>0</v>
      </c>
      <c r="O17" s="5" t="str">
        <f>_xlfn.XLOOKUP($B17,'GP5'!$C$5:$C$100,'GP5'!$B$5:$B$100,"")</f>
        <v/>
      </c>
      <c r="P17" s="5">
        <f>_xlfn.XLOOKUP(O17,'GP5'!$B$5:$B$100,'GP5'!$A$5:$A$100,0)</f>
        <v>0</v>
      </c>
      <c r="Q17" s="20">
        <f>_xlfn.XLOOKUP($B17,EU!$B$5:$B$100,EU!$A$5:$A$100,0)</f>
        <v>11.9</v>
      </c>
    </row>
    <row r="18" spans="1:17" ht="14.4" customHeight="1" x14ac:dyDescent="0.25">
      <c r="A18" s="2">
        <f t="shared" si="0"/>
        <v>16</v>
      </c>
      <c r="B18" s="6" t="s">
        <v>27</v>
      </c>
      <c r="C18" s="3"/>
      <c r="D18" s="4">
        <f t="shared" si="1"/>
        <v>74</v>
      </c>
      <c r="E18" s="5">
        <f>_xlfn.XLOOKUP(B18,MP!C$5:C$100,MP!B$5:B$100,"")</f>
        <v>6</v>
      </c>
      <c r="F18" s="5">
        <f>_xlfn.XLOOKUP(E18,MP!B$5:B$100,MP!A$5:A$100,0)</f>
        <v>74</v>
      </c>
      <c r="G18" s="5" t="str">
        <f>_xlfn.XLOOKUP($B18,'GP1'!$C$5:$C$100,'GP1'!$B$5:$B$100,"")</f>
        <v/>
      </c>
      <c r="H18" s="5">
        <f>_xlfn.XLOOKUP(G18,'GP1'!$B$5:$B$100,'GP1'!$A$5:$A$100,0)</f>
        <v>0</v>
      </c>
      <c r="I18" s="5" t="str">
        <f>_xlfn.XLOOKUP($B18,'GP2'!$C$5:$C$100,'GP2'!$B$5:$B$100,"")</f>
        <v/>
      </c>
      <c r="J18" s="5">
        <f>_xlfn.XLOOKUP(I18,'GP2'!$B$5:$B$100,'GP2'!$A$5:$A$100,0)</f>
        <v>0</v>
      </c>
      <c r="K18" s="5" t="str">
        <f>_xlfn.XLOOKUP($B18,'GP3'!$C$5:$C$100,'GP3'!$B$5:$B$100,"")</f>
        <v/>
      </c>
      <c r="L18" s="5">
        <f>_xlfn.XLOOKUP(K18,'GP3'!$B$5:$B$100,'GP3'!$A$5:$A$100,0)</f>
        <v>0</v>
      </c>
      <c r="M18" s="5" t="str">
        <f>_xlfn.XLOOKUP($B18,'GP4'!$C$5:$C$100,'GP4'!$B$5:$B$100,"")</f>
        <v/>
      </c>
      <c r="N18" s="5">
        <f>_xlfn.XLOOKUP(M18,'GP4'!$B$5:$B$100,'GP4'!$A$5:$A$100,0)</f>
        <v>0</v>
      </c>
      <c r="O18" s="5" t="str">
        <f>_xlfn.XLOOKUP($B18,'GP5'!$C$5:$C$100,'GP5'!$B$5:$B$100,"")</f>
        <v/>
      </c>
      <c r="P18" s="5">
        <f>_xlfn.XLOOKUP(O18,'GP5'!$B$5:$B$100,'GP5'!$A$5:$A$100,0)</f>
        <v>0</v>
      </c>
      <c r="Q18" s="20">
        <f>_xlfn.XLOOKUP($B18,EU!$B$5:$B$100,EU!$A$5:$A$100,0)</f>
        <v>0</v>
      </c>
    </row>
    <row r="19" spans="1:17" ht="14.4" customHeight="1" x14ac:dyDescent="0.25">
      <c r="A19" s="2">
        <f t="shared" si="0"/>
        <v>17</v>
      </c>
      <c r="B19" s="6" t="s">
        <v>28</v>
      </c>
      <c r="C19" s="3"/>
      <c r="D19" s="4">
        <f t="shared" si="1"/>
        <v>70.88</v>
      </c>
      <c r="E19" s="5">
        <f>_xlfn.XLOOKUP(B19,MP!C$5:C$100,MP!B$5:B$100,"")</f>
        <v>13</v>
      </c>
      <c r="F19" s="5">
        <f>_xlfn.XLOOKUP(E19,MP!B$5:B$100,MP!A$5:A$100,0)</f>
        <v>60</v>
      </c>
      <c r="G19" s="5" t="str">
        <f>_xlfn.XLOOKUP($B19,'GP1'!$C$5:$C$100,'GP1'!$B$5:$B$100,"")</f>
        <v/>
      </c>
      <c r="H19" s="5">
        <f>_xlfn.XLOOKUP(G19,'GP1'!$B$5:$B$100,'GP1'!$A$5:$A$100,0)</f>
        <v>0</v>
      </c>
      <c r="I19" s="5" t="str">
        <f>_xlfn.XLOOKUP($B19,'GP2'!$C$5:$C$100,'GP2'!$B$5:$B$100,"")</f>
        <v/>
      </c>
      <c r="J19" s="5">
        <f>_xlfn.XLOOKUP(I19,'GP2'!$B$5:$B$100,'GP2'!$A$5:$A$100,0)</f>
        <v>0</v>
      </c>
      <c r="K19" s="5" t="str">
        <f>_xlfn.XLOOKUP($B19,'GP3'!$C$5:$C$100,'GP3'!$B$5:$B$100,"")</f>
        <v/>
      </c>
      <c r="L19" s="5">
        <f>_xlfn.XLOOKUP(K19,'GP3'!$B$5:$B$100,'GP3'!$A$5:$A$100,0)</f>
        <v>0</v>
      </c>
      <c r="M19" s="5" t="str">
        <f>_xlfn.XLOOKUP($B19,'GP4'!$C$5:$C$100,'GP4'!$B$5:$B$100,"")</f>
        <v/>
      </c>
      <c r="N19" s="5">
        <f>_xlfn.XLOOKUP(M19,'GP4'!$B$5:$B$100,'GP4'!$A$5:$A$100,0)</f>
        <v>0</v>
      </c>
      <c r="O19" s="5" t="str">
        <f>_xlfn.XLOOKUP($B19,'GP5'!$C$5:$C$100,'GP5'!$B$5:$B$100,"")</f>
        <v/>
      </c>
      <c r="P19" s="5">
        <f>_xlfn.XLOOKUP(O19,'GP5'!$B$5:$B$100,'GP5'!$A$5:$A$100,0)</f>
        <v>0</v>
      </c>
      <c r="Q19" s="20">
        <f>_xlfn.XLOOKUP($B19,EU!$B$5:$B$100,EU!$A$5:$A$100,0)</f>
        <v>10.88</v>
      </c>
    </row>
    <row r="20" spans="1:17" ht="14.4" customHeight="1" x14ac:dyDescent="0.25">
      <c r="A20" s="2">
        <f t="shared" si="0"/>
        <v>18</v>
      </c>
      <c r="B20" s="26" t="s">
        <v>29</v>
      </c>
      <c r="C20" s="3"/>
      <c r="D20" s="4">
        <f t="shared" si="1"/>
        <v>66</v>
      </c>
      <c r="E20" s="5" t="str">
        <f>_xlfn.XLOOKUP(B20,MP!C$5:C$100,MP!B$5:B$100,"")</f>
        <v/>
      </c>
      <c r="F20" s="5">
        <f>_xlfn.XLOOKUP(E20,MP!B$5:B$100,MP!A$5:A$100,0)</f>
        <v>0</v>
      </c>
      <c r="G20" s="5" t="str">
        <f>_xlfn.XLOOKUP($B20,'GP1'!$C$5:$C$100,'GP1'!$B$5:$B$100,"")</f>
        <v/>
      </c>
      <c r="H20" s="5">
        <f>_xlfn.XLOOKUP(G20,'GP1'!$B$5:$B$100,'GP1'!$A$5:$A$100,0)</f>
        <v>0</v>
      </c>
      <c r="I20" s="5" t="str">
        <f>_xlfn.XLOOKUP($B20,'GP2'!$C$5:$C$100,'GP2'!$B$5:$B$100,"")</f>
        <v/>
      </c>
      <c r="J20" s="5">
        <f>_xlfn.XLOOKUP(I20,'GP2'!$B$5:$B$100,'GP2'!$A$5:$A$100,0)</f>
        <v>0</v>
      </c>
      <c r="K20" s="5">
        <f>_xlfn.XLOOKUP($B20,'GP3'!$C$5:$C$100,'GP3'!$B$5:$B$100,"")</f>
        <v>4</v>
      </c>
      <c r="L20" s="5">
        <f>_xlfn.XLOOKUP(K20,'GP3'!$B$5:$B$100,'GP3'!$A$5:$A$100,0)</f>
        <v>66</v>
      </c>
      <c r="M20" s="5" t="str">
        <f>_xlfn.XLOOKUP($B20,'GP4'!$C$5:$C$100,'GP4'!$B$5:$B$100,"")</f>
        <v/>
      </c>
      <c r="N20" s="5">
        <f>_xlfn.XLOOKUP(M20,'GP4'!$B$5:$B$100,'GP4'!$A$5:$A$100,0)</f>
        <v>0</v>
      </c>
      <c r="O20" s="5" t="str">
        <f>_xlfn.XLOOKUP($B20,'GP5'!$C$5:$C$100,'GP5'!$B$5:$B$100,"")</f>
        <v/>
      </c>
      <c r="P20" s="5">
        <f>_xlfn.XLOOKUP(O20,'GP5'!$B$5:$B$100,'GP5'!$A$5:$A$100,0)</f>
        <v>0</v>
      </c>
      <c r="Q20" s="20">
        <f>_xlfn.XLOOKUP($B20,EU!$B$5:$B$100,EU!$A$5:$A$100,0)</f>
        <v>0</v>
      </c>
    </row>
    <row r="21" spans="1:17" ht="14.4" customHeight="1" x14ac:dyDescent="0.25">
      <c r="A21" s="2">
        <f t="shared" si="0"/>
        <v>19</v>
      </c>
      <c r="B21" s="6" t="s">
        <v>30</v>
      </c>
      <c r="C21" s="3"/>
      <c r="D21" s="4">
        <f t="shared" si="1"/>
        <v>62</v>
      </c>
      <c r="E21" s="5" t="str">
        <f>_xlfn.XLOOKUP(B21,MP!C$5:C$100,MP!B$5:B$100,"")</f>
        <v/>
      </c>
      <c r="F21" s="5">
        <f>_xlfn.XLOOKUP(E21,MP!B$5:B$100,MP!A$5:A$100,0)</f>
        <v>0</v>
      </c>
      <c r="G21" s="5" t="str">
        <f>_xlfn.XLOOKUP($B21,'GP1'!$C$5:$C$100,'GP1'!$B$5:$B$100,"")</f>
        <v/>
      </c>
      <c r="H21" s="5">
        <f>_xlfn.XLOOKUP(G21,'GP1'!$B$5:$B$100,'GP1'!$A$5:$A$100,0)</f>
        <v>0</v>
      </c>
      <c r="I21" s="5" t="str">
        <f>_xlfn.XLOOKUP($B21,'GP2'!$C$5:$C$100,'GP2'!$B$5:$B$100,"")</f>
        <v/>
      </c>
      <c r="J21" s="5">
        <f>_xlfn.XLOOKUP(I21,'GP2'!$B$5:$B$100,'GP2'!$A$5:$A$100,0)</f>
        <v>0</v>
      </c>
      <c r="K21" s="5">
        <f>_xlfn.XLOOKUP($B21,'GP3'!$C$5:$C$100,'GP3'!$B$5:$B$100,"")</f>
        <v>6</v>
      </c>
      <c r="L21" s="5">
        <f>_xlfn.XLOOKUP(K21,'GP3'!$B$5:$B$100,'GP3'!$A$5:$A$100,0)</f>
        <v>62</v>
      </c>
      <c r="M21" s="5" t="str">
        <f>_xlfn.XLOOKUP($B21,'GP4'!$C$5:$C$100,'GP4'!$B$5:$B$100,"")</f>
        <v/>
      </c>
      <c r="N21" s="5">
        <f>_xlfn.XLOOKUP(M21,'GP4'!$B$5:$B$100,'GP4'!$A$5:$A$100,0)</f>
        <v>0</v>
      </c>
      <c r="O21" s="5" t="str">
        <f>_xlfn.XLOOKUP($B21,'GP5'!$C$5:$C$100,'GP5'!$B$5:$B$100,"")</f>
        <v/>
      </c>
      <c r="P21" s="5">
        <f>_xlfn.XLOOKUP(O21,'GP5'!$B$5:$B$100,'GP5'!$A$5:$A$100,0)</f>
        <v>0</v>
      </c>
      <c r="Q21" s="20">
        <f>_xlfn.XLOOKUP($B21,EU!$B$5:$B$100,EU!$A$5:$A$100,0)</f>
        <v>0</v>
      </c>
    </row>
    <row r="22" spans="1:17" ht="14.4" customHeight="1" x14ac:dyDescent="0.25">
      <c r="A22" s="2">
        <f t="shared" si="0"/>
        <v>20</v>
      </c>
      <c r="B22" s="22" t="s">
        <v>31</v>
      </c>
      <c r="C22" s="3"/>
      <c r="D22" s="4">
        <f t="shared" si="1"/>
        <v>56</v>
      </c>
      <c r="E22" s="5" t="str">
        <f>_xlfn.XLOOKUP(B22,MP!C$5:C$100,MP!B$5:B$100,"")</f>
        <v/>
      </c>
      <c r="F22" s="5">
        <f>_xlfn.XLOOKUP(E22,MP!B$5:B$100,MP!A$5:A$100,0)</f>
        <v>0</v>
      </c>
      <c r="G22" s="5">
        <f>_xlfn.XLOOKUP($B22,'GP1'!$C$5:$C$100,'GP1'!$B$5:$B$100,"")</f>
        <v>9</v>
      </c>
      <c r="H22" s="5">
        <f>_xlfn.XLOOKUP(G22,'GP1'!$B$5:$B$100,'GP1'!$A$5:$A$100,0)</f>
        <v>56</v>
      </c>
      <c r="I22" s="5" t="str">
        <f>_xlfn.XLOOKUP($B22,'GP2'!$C$5:$C$100,'GP2'!$B$5:$B$100,"")</f>
        <v/>
      </c>
      <c r="J22" s="5">
        <f>_xlfn.XLOOKUP(I22,'GP2'!$B$5:$B$100,'GP2'!$A$5:$A$100,0)</f>
        <v>0</v>
      </c>
      <c r="K22" s="5" t="str">
        <f>_xlfn.XLOOKUP($B22,'GP3'!$C$5:$C$100,'GP3'!$B$5:$B$100,"")</f>
        <v/>
      </c>
      <c r="L22" s="5">
        <f>_xlfn.XLOOKUP(K22,'GP3'!$B$5:$B$100,'GP3'!$A$5:$A$100,0)</f>
        <v>0</v>
      </c>
      <c r="M22" s="5" t="str">
        <f>_xlfn.XLOOKUP($B22,'GP4'!$C$5:$C$100,'GP4'!$B$5:$B$100,"")</f>
        <v/>
      </c>
      <c r="N22" s="5">
        <f>_xlfn.XLOOKUP(M22,'GP4'!$B$5:$B$100,'GP4'!$A$5:$A$100,0)</f>
        <v>0</v>
      </c>
      <c r="O22" s="5" t="str">
        <f>_xlfn.XLOOKUP($B22,'GP5'!$C$5:$C$100,'GP5'!$B$5:$B$100,"")</f>
        <v/>
      </c>
      <c r="P22" s="5">
        <f>_xlfn.XLOOKUP(O22,'GP5'!$B$5:$B$100,'GP5'!$A$5:$A$100,0)</f>
        <v>0</v>
      </c>
      <c r="Q22" s="20">
        <f>_xlfn.XLOOKUP($B22,EU!$B$5:$B$100,EU!$A$5:$A$100,0)</f>
        <v>0</v>
      </c>
    </row>
    <row r="23" spans="1:17" ht="14.4" customHeight="1" x14ac:dyDescent="0.25">
      <c r="A23" s="2">
        <f t="shared" si="0"/>
        <v>21</v>
      </c>
      <c r="B23" s="6" t="s">
        <v>32</v>
      </c>
      <c r="C23" s="3"/>
      <c r="D23" s="4">
        <f t="shared" si="1"/>
        <v>52</v>
      </c>
      <c r="E23" s="5" t="str">
        <f>_xlfn.XLOOKUP(B23,MP!C$5:C$100,MP!B$5:B$100,"")</f>
        <v/>
      </c>
      <c r="F23" s="5">
        <f>_xlfn.XLOOKUP(E23,MP!B$5:B$100,MP!A$5:A$100,0)</f>
        <v>0</v>
      </c>
      <c r="G23" s="5">
        <f>_xlfn.XLOOKUP($B23,'GP1'!$C$5:$C$100,'GP1'!$B$5:$B$100,"")</f>
        <v>13</v>
      </c>
      <c r="H23" s="5">
        <f>_xlfn.XLOOKUP(G23,'GP1'!$B$5:$B$100,'GP1'!$A$5:$A$100,0)</f>
        <v>52</v>
      </c>
      <c r="I23" s="5" t="str">
        <f>_xlfn.XLOOKUP($B23,'GP2'!$C$5:$C$100,'GP2'!$B$5:$B$100,"")</f>
        <v/>
      </c>
      <c r="J23" s="5">
        <f>_xlfn.XLOOKUP(I23,'GP2'!$B$5:$B$100,'GP2'!$A$5:$A$100,0)</f>
        <v>0</v>
      </c>
      <c r="K23" s="5" t="str">
        <f>_xlfn.XLOOKUP($B23,'GP3'!$C$5:$C$100,'GP3'!$B$5:$B$100,"")</f>
        <v/>
      </c>
      <c r="L23" s="5">
        <f>_xlfn.XLOOKUP(K23,'GP3'!$B$5:$B$100,'GP3'!$A$5:$A$100,0)</f>
        <v>0</v>
      </c>
      <c r="M23" s="5" t="str">
        <f>_xlfn.XLOOKUP($B23,'GP4'!$C$5:$C$100,'GP4'!$B$5:$B$100,"")</f>
        <v/>
      </c>
      <c r="N23" s="5">
        <f>_xlfn.XLOOKUP(M23,'GP4'!$B$5:$B$100,'GP4'!$A$5:$A$100,0)</f>
        <v>0</v>
      </c>
      <c r="O23" s="5" t="str">
        <f>_xlfn.XLOOKUP($B23,'GP5'!$C$5:$C$100,'GP5'!$B$5:$B$100,"")</f>
        <v/>
      </c>
      <c r="P23" s="5">
        <f>_xlfn.XLOOKUP(O23,'GP5'!$B$5:$B$100,'GP5'!$A$5:$A$100,0)</f>
        <v>0</v>
      </c>
      <c r="Q23" s="20">
        <f>_xlfn.XLOOKUP($B23,EU!$B$5:$B$100,EU!$A$5:$A$100,0)</f>
        <v>0</v>
      </c>
    </row>
    <row r="24" spans="1:17" ht="14.4" customHeight="1" x14ac:dyDescent="0.25">
      <c r="A24" s="2">
        <f t="shared" si="0"/>
        <v>22</v>
      </c>
      <c r="B24" s="6"/>
      <c r="C24" s="3"/>
      <c r="D24" s="4">
        <f t="shared" si="1"/>
        <v>0</v>
      </c>
      <c r="E24" s="5">
        <f>_xlfn.XLOOKUP(B24,MP!C$5:C$100,MP!B$5:B$100,"")</f>
        <v>0</v>
      </c>
      <c r="F24" s="5">
        <f>_xlfn.XLOOKUP(E24,MP!B$5:B$100,MP!A$5:A$100,0)</f>
        <v>0</v>
      </c>
      <c r="G24" s="5">
        <f>_xlfn.XLOOKUP($B24,'GP1'!$C$5:$C$100,'GP1'!$B$5:$B$100,"")</f>
        <v>0</v>
      </c>
      <c r="H24" s="5">
        <f>_xlfn.XLOOKUP(G24,'GP1'!$B$5:$B$100,'GP1'!$A$5:$A$100,0)</f>
        <v>0</v>
      </c>
      <c r="I24" s="5">
        <f>_xlfn.XLOOKUP($B24,'GP2'!$C$5:$C$100,'GP2'!$B$5:$B$100,"")</f>
        <v>0</v>
      </c>
      <c r="J24" s="5">
        <f>_xlfn.XLOOKUP(I24,'GP2'!$B$5:$B$100,'GP2'!$A$5:$A$100,0)</f>
        <v>0</v>
      </c>
      <c r="K24" s="5">
        <f>_xlfn.XLOOKUP($B24,'GP3'!$C$5:$C$100,'GP3'!$B$5:$B$100,"")</f>
        <v>0</v>
      </c>
      <c r="L24" s="5">
        <f>_xlfn.XLOOKUP(K24,'GP3'!$B$5:$B$100,'GP3'!$A$5:$A$100,0)</f>
        <v>0</v>
      </c>
      <c r="M24" s="5">
        <f>_xlfn.XLOOKUP($B24,'GP4'!$C$5:$C$100,'GP4'!$B$5:$B$100,"")</f>
        <v>0</v>
      </c>
      <c r="N24" s="5">
        <f>_xlfn.XLOOKUP(M24,'GP4'!$B$5:$B$100,'GP4'!$A$5:$A$100,0)</f>
        <v>0</v>
      </c>
      <c r="O24" s="5">
        <f>_xlfn.XLOOKUP($B24,'GP5'!$C$5:$C$100,'GP5'!$B$5:$B$100,"")</f>
        <v>0</v>
      </c>
      <c r="P24" s="5">
        <f>_xlfn.XLOOKUP(O24,'GP5'!$B$5:$B$100,'GP5'!$A$5:$A$100,0)</f>
        <v>0</v>
      </c>
      <c r="Q24" s="20">
        <f>_xlfn.XLOOKUP($B24,EU!$B$5:$B$100,EU!$A$5:$A$100,0)</f>
        <v>0</v>
      </c>
    </row>
    <row r="25" spans="1:17" ht="14.4" customHeight="1" x14ac:dyDescent="0.25">
      <c r="A25" s="2">
        <f t="shared" si="0"/>
        <v>23</v>
      </c>
      <c r="B25" s="6"/>
      <c r="C25" s="3"/>
      <c r="D25" s="4">
        <f t="shared" si="1"/>
        <v>0</v>
      </c>
      <c r="E25" s="5">
        <f>_xlfn.XLOOKUP(B25,MP!C$5:C$100,MP!B$5:B$100,"")</f>
        <v>0</v>
      </c>
      <c r="F25" s="5">
        <f>_xlfn.XLOOKUP(E25,MP!B$5:B$100,MP!A$5:A$100,0)</f>
        <v>0</v>
      </c>
      <c r="G25" s="5">
        <f>_xlfn.XLOOKUP($B25,'GP1'!$C$5:$C$100,'GP1'!$B$5:$B$100,"")</f>
        <v>0</v>
      </c>
      <c r="H25" s="5">
        <f>_xlfn.XLOOKUP(G25,'GP1'!$B$5:$B$100,'GP1'!$A$5:$A$100,0)</f>
        <v>0</v>
      </c>
      <c r="I25" s="5">
        <f>_xlfn.XLOOKUP($B25,'GP2'!$C$5:$C$100,'GP2'!$B$5:$B$100,"")</f>
        <v>0</v>
      </c>
      <c r="J25" s="5">
        <f>_xlfn.XLOOKUP(I25,'GP2'!$B$5:$B$100,'GP2'!$A$5:$A$100,0)</f>
        <v>0</v>
      </c>
      <c r="K25" s="5">
        <f>_xlfn.XLOOKUP($B25,'GP3'!$C$5:$C$100,'GP3'!$B$5:$B$100,"")</f>
        <v>0</v>
      </c>
      <c r="L25" s="5">
        <f>_xlfn.XLOOKUP(K25,'GP3'!$B$5:$B$100,'GP3'!$A$5:$A$100,0)</f>
        <v>0</v>
      </c>
      <c r="M25" s="5">
        <f>_xlfn.XLOOKUP($B25,'GP4'!$C$5:$C$100,'GP4'!$B$5:$B$100,"")</f>
        <v>0</v>
      </c>
      <c r="N25" s="5">
        <f>_xlfn.XLOOKUP(M25,'GP4'!$B$5:$B$100,'GP4'!$A$5:$A$100,0)</f>
        <v>0</v>
      </c>
      <c r="O25" s="5">
        <f>_xlfn.XLOOKUP($B25,'GP5'!$C$5:$C$100,'GP5'!$B$5:$B$100,"")</f>
        <v>0</v>
      </c>
      <c r="P25" s="5">
        <f>_xlfn.XLOOKUP(O25,'GP5'!$B$5:$B$100,'GP5'!$A$5:$A$100,0)</f>
        <v>0</v>
      </c>
      <c r="Q25" s="20">
        <f>_xlfn.XLOOKUP($B25,EU!$B$5:$B$100,EU!$A$5:$A$100,0)</f>
        <v>0</v>
      </c>
    </row>
    <row r="26" spans="1:17" ht="14.4" customHeight="1" x14ac:dyDescent="0.25">
      <c r="A26" s="2">
        <f t="shared" si="0"/>
        <v>24</v>
      </c>
      <c r="B26" s="6"/>
      <c r="C26" s="3"/>
      <c r="D26" s="4">
        <f t="shared" si="1"/>
        <v>0</v>
      </c>
      <c r="E26" s="5">
        <f>_xlfn.XLOOKUP(B26,MP!C$5:C$100,MP!B$5:B$100,"")</f>
        <v>0</v>
      </c>
      <c r="F26" s="5">
        <f>_xlfn.XLOOKUP(E26,MP!B$5:B$100,MP!A$5:A$100,0)</f>
        <v>0</v>
      </c>
      <c r="G26" s="5">
        <f>_xlfn.XLOOKUP($B26,'GP1'!$C$5:$C$100,'GP1'!$B$5:$B$100,"")</f>
        <v>0</v>
      </c>
      <c r="H26" s="5">
        <f>_xlfn.XLOOKUP(G26,'GP1'!$B$5:$B$100,'GP1'!$A$5:$A$100,0)</f>
        <v>0</v>
      </c>
      <c r="I26" s="5">
        <f>_xlfn.XLOOKUP($B26,'GP2'!$C$5:$C$100,'GP2'!$B$5:$B$100,"")</f>
        <v>0</v>
      </c>
      <c r="J26" s="5">
        <f>_xlfn.XLOOKUP(I26,'GP2'!$B$5:$B$100,'GP2'!$A$5:$A$100,0)</f>
        <v>0</v>
      </c>
      <c r="K26" s="5">
        <f>_xlfn.XLOOKUP($B26,'GP3'!$C$5:$C$100,'GP3'!$B$5:$B$100,"")</f>
        <v>0</v>
      </c>
      <c r="L26" s="5">
        <f>_xlfn.XLOOKUP(K26,'GP3'!$B$5:$B$100,'GP3'!$A$5:$A$100,0)</f>
        <v>0</v>
      </c>
      <c r="M26" s="5">
        <f>_xlfn.XLOOKUP($B26,'GP4'!$C$5:$C$100,'GP4'!$B$5:$B$100,"")</f>
        <v>0</v>
      </c>
      <c r="N26" s="5">
        <f>_xlfn.XLOOKUP(M26,'GP4'!$B$5:$B$100,'GP4'!$A$5:$A$100,0)</f>
        <v>0</v>
      </c>
      <c r="O26" s="5">
        <f>_xlfn.XLOOKUP($B26,'GP5'!$C$5:$C$100,'GP5'!$B$5:$B$100,"")</f>
        <v>0</v>
      </c>
      <c r="P26" s="5">
        <f>_xlfn.XLOOKUP(O26,'GP5'!$B$5:$B$100,'GP5'!$A$5:$A$100,0)</f>
        <v>0</v>
      </c>
      <c r="Q26" s="20">
        <f>_xlfn.XLOOKUP($B26,EU!$B$5:$B$100,EU!$A$5:$A$100,0)</f>
        <v>0</v>
      </c>
    </row>
    <row r="27" spans="1:17" ht="14.4" customHeight="1" x14ac:dyDescent="0.25">
      <c r="A27" s="2">
        <f t="shared" si="0"/>
        <v>25</v>
      </c>
      <c r="B27" s="6"/>
      <c r="C27" s="3"/>
      <c r="D27" s="4">
        <f t="shared" si="1"/>
        <v>0</v>
      </c>
      <c r="E27" s="5">
        <f>_xlfn.XLOOKUP(B27,MP!C$5:C$100,MP!B$5:B$100,"")</f>
        <v>0</v>
      </c>
      <c r="F27" s="5">
        <f>_xlfn.XLOOKUP(E27,MP!B$5:B$100,MP!A$5:A$100,0)</f>
        <v>0</v>
      </c>
      <c r="G27" s="5">
        <f>_xlfn.XLOOKUP($B27,'GP1'!$C$5:$C$100,'GP1'!$B$5:$B$100,"")</f>
        <v>0</v>
      </c>
      <c r="H27" s="5">
        <f>_xlfn.XLOOKUP(G27,'GP1'!$B$5:$B$100,'GP1'!$A$5:$A$100,0)</f>
        <v>0</v>
      </c>
      <c r="I27" s="5">
        <f>_xlfn.XLOOKUP($B27,'GP2'!$C$5:$C$100,'GP2'!$B$5:$B$100,"")</f>
        <v>0</v>
      </c>
      <c r="J27" s="5">
        <f>_xlfn.XLOOKUP(I27,'GP2'!$B$5:$B$100,'GP2'!$A$5:$A$100,0)</f>
        <v>0</v>
      </c>
      <c r="K27" s="5">
        <f>_xlfn.XLOOKUP($B27,'GP3'!$C$5:$C$100,'GP3'!$B$5:$B$100,"")</f>
        <v>0</v>
      </c>
      <c r="L27" s="5">
        <f>_xlfn.XLOOKUP(K27,'GP3'!$B$5:$B$100,'GP3'!$A$5:$A$100,0)</f>
        <v>0</v>
      </c>
      <c r="M27" s="5">
        <f>_xlfn.XLOOKUP($B27,'GP4'!$C$5:$C$100,'GP4'!$B$5:$B$100,"")</f>
        <v>0</v>
      </c>
      <c r="N27" s="5">
        <f>_xlfn.XLOOKUP(M27,'GP4'!$B$5:$B$100,'GP4'!$A$5:$A$100,0)</f>
        <v>0</v>
      </c>
      <c r="O27" s="5">
        <f>_xlfn.XLOOKUP($B27,'GP5'!$C$5:$C$100,'GP5'!$B$5:$B$100,"")</f>
        <v>0</v>
      </c>
      <c r="P27" s="5">
        <f>_xlfn.XLOOKUP(O27,'GP5'!$B$5:$B$100,'GP5'!$A$5:$A$100,0)</f>
        <v>0</v>
      </c>
      <c r="Q27" s="20">
        <f>_xlfn.XLOOKUP($B27,EU!$B$5:$B$100,EU!$A$5:$A$100,0)</f>
        <v>0</v>
      </c>
    </row>
    <row r="28" spans="1:17" ht="14.4" customHeight="1" x14ac:dyDescent="0.25">
      <c r="A28" s="2">
        <f t="shared" si="0"/>
        <v>26</v>
      </c>
      <c r="B28" s="6"/>
      <c r="C28" s="3"/>
      <c r="D28" s="4">
        <f t="shared" si="1"/>
        <v>0</v>
      </c>
      <c r="E28" s="5">
        <f>_xlfn.XLOOKUP(B28,MP!C$5:C$100,MP!B$5:B$100,"")</f>
        <v>0</v>
      </c>
      <c r="F28" s="5">
        <f>_xlfn.XLOOKUP(E28,MP!B$5:B$100,MP!A$5:A$100,0)</f>
        <v>0</v>
      </c>
      <c r="G28" s="5">
        <f>_xlfn.XLOOKUP($B28,'GP1'!$C$5:$C$100,'GP1'!$B$5:$B$100,"")</f>
        <v>0</v>
      </c>
      <c r="H28" s="5">
        <f>_xlfn.XLOOKUP(G28,'GP1'!$B$5:$B$100,'GP1'!$A$5:$A$100,0)</f>
        <v>0</v>
      </c>
      <c r="I28" s="5">
        <f>_xlfn.XLOOKUP($B28,'GP2'!$C$5:$C$100,'GP2'!$B$5:$B$100,"")</f>
        <v>0</v>
      </c>
      <c r="J28" s="5">
        <f>_xlfn.XLOOKUP(I28,'GP2'!$B$5:$B$100,'GP2'!$A$5:$A$100,0)</f>
        <v>0</v>
      </c>
      <c r="K28" s="5">
        <f>_xlfn.XLOOKUP($B28,'GP3'!$C$5:$C$100,'GP3'!$B$5:$B$100,"")</f>
        <v>0</v>
      </c>
      <c r="L28" s="5">
        <f>_xlfn.XLOOKUP(K28,'GP3'!$B$5:$B$100,'GP3'!$A$5:$A$100,0)</f>
        <v>0</v>
      </c>
      <c r="M28" s="5">
        <f>_xlfn.XLOOKUP($B28,'GP4'!$C$5:$C$100,'GP4'!$B$5:$B$100,"")</f>
        <v>0</v>
      </c>
      <c r="N28" s="5">
        <f>_xlfn.XLOOKUP(M28,'GP4'!$B$5:$B$100,'GP4'!$A$5:$A$100,0)</f>
        <v>0</v>
      </c>
      <c r="O28" s="5">
        <f>_xlfn.XLOOKUP($B28,'GP5'!$C$5:$C$100,'GP5'!$B$5:$B$100,"")</f>
        <v>0</v>
      </c>
      <c r="P28" s="5">
        <f>_xlfn.XLOOKUP(O28,'GP5'!$B$5:$B$100,'GP5'!$A$5:$A$100,0)</f>
        <v>0</v>
      </c>
      <c r="Q28" s="20">
        <f>_xlfn.XLOOKUP($B28,EU!$B$5:$B$100,EU!$A$5:$A$100,0)</f>
        <v>0</v>
      </c>
    </row>
    <row r="29" spans="1:17" ht="14.4" customHeight="1" x14ac:dyDescent="0.25">
      <c r="A29" s="2">
        <f t="shared" si="0"/>
        <v>27</v>
      </c>
      <c r="B29" s="6"/>
      <c r="C29" s="3"/>
      <c r="D29" s="4">
        <f t="shared" si="1"/>
        <v>0</v>
      </c>
      <c r="E29" s="5">
        <f>_xlfn.XLOOKUP(B29,MP!C$5:C$100,MP!B$5:B$100,"")</f>
        <v>0</v>
      </c>
      <c r="F29" s="5">
        <f>_xlfn.XLOOKUP(E29,MP!B$5:B$100,MP!A$5:A$100,0)</f>
        <v>0</v>
      </c>
      <c r="G29" s="5">
        <f>_xlfn.XLOOKUP($B29,'GP1'!$C$5:$C$100,'GP1'!$B$5:$B$100,"")</f>
        <v>0</v>
      </c>
      <c r="H29" s="5">
        <f>_xlfn.XLOOKUP(G29,'GP1'!$B$5:$B$100,'GP1'!$A$5:$A$100,0)</f>
        <v>0</v>
      </c>
      <c r="I29" s="5">
        <f>_xlfn.XLOOKUP($B29,'GP2'!$C$5:$C$100,'GP2'!$B$5:$B$100,"")</f>
        <v>0</v>
      </c>
      <c r="J29" s="5">
        <f>_xlfn.XLOOKUP(I29,'GP2'!$B$5:$B$100,'GP2'!$A$5:$A$100,0)</f>
        <v>0</v>
      </c>
      <c r="K29" s="5">
        <f>_xlfn.XLOOKUP($B29,'GP3'!$C$5:$C$100,'GP3'!$B$5:$B$100,"")</f>
        <v>0</v>
      </c>
      <c r="L29" s="5">
        <f>_xlfn.XLOOKUP(K29,'GP3'!$B$5:$B$100,'GP3'!$A$5:$A$100,0)</f>
        <v>0</v>
      </c>
      <c r="M29" s="5">
        <f>_xlfn.XLOOKUP($B29,'GP4'!$C$5:$C$100,'GP4'!$B$5:$B$100,"")</f>
        <v>0</v>
      </c>
      <c r="N29" s="5">
        <f>_xlfn.XLOOKUP(M29,'GP4'!$B$5:$B$100,'GP4'!$A$5:$A$100,0)</f>
        <v>0</v>
      </c>
      <c r="O29" s="5">
        <f>_xlfn.XLOOKUP($B29,'GP5'!$C$5:$C$100,'GP5'!$B$5:$B$100,"")</f>
        <v>0</v>
      </c>
      <c r="P29" s="5">
        <f>_xlfn.XLOOKUP(O29,'GP5'!$B$5:$B$100,'GP5'!$A$5:$A$100,0)</f>
        <v>0</v>
      </c>
      <c r="Q29" s="20">
        <f>_xlfn.XLOOKUP($B29,EU!$B$5:$B$100,EU!$A$5:$A$100,0)</f>
        <v>0</v>
      </c>
    </row>
    <row r="30" spans="1:17" ht="14.4" customHeight="1" x14ac:dyDescent="0.25">
      <c r="A30" s="2">
        <f t="shared" si="0"/>
        <v>28</v>
      </c>
      <c r="B30" s="6"/>
      <c r="C30" s="3"/>
      <c r="D30" s="4">
        <f t="shared" si="1"/>
        <v>0</v>
      </c>
      <c r="E30" s="5">
        <f>_xlfn.XLOOKUP(B30,MP!C$5:C$100,MP!B$5:B$100,"")</f>
        <v>0</v>
      </c>
      <c r="F30" s="5">
        <f>_xlfn.XLOOKUP(E30,MP!B$5:B$100,MP!A$5:A$100,0)</f>
        <v>0</v>
      </c>
      <c r="G30" s="5">
        <f>_xlfn.XLOOKUP($B30,'GP1'!$C$5:$C$100,'GP1'!$B$5:$B$100,"")</f>
        <v>0</v>
      </c>
      <c r="H30" s="5">
        <f>_xlfn.XLOOKUP(G30,'GP1'!$B$5:$B$100,'GP1'!$A$5:$A$100,0)</f>
        <v>0</v>
      </c>
      <c r="I30" s="5">
        <f>_xlfn.XLOOKUP($B30,'GP2'!$C$5:$C$100,'GP2'!$B$5:$B$100,"")</f>
        <v>0</v>
      </c>
      <c r="J30" s="5">
        <f>_xlfn.XLOOKUP(I30,'GP2'!$B$5:$B$100,'GP2'!$A$5:$A$100,0)</f>
        <v>0</v>
      </c>
      <c r="K30" s="5">
        <f>_xlfn.XLOOKUP($B30,'GP3'!$C$5:$C$100,'GP3'!$B$5:$B$100,"")</f>
        <v>0</v>
      </c>
      <c r="L30" s="5">
        <f>_xlfn.XLOOKUP(K30,'GP3'!$B$5:$B$100,'GP3'!$A$5:$A$100,0)</f>
        <v>0</v>
      </c>
      <c r="M30" s="5">
        <f>_xlfn.XLOOKUP($B30,'GP4'!$C$5:$C$100,'GP4'!$B$5:$B$100,"")</f>
        <v>0</v>
      </c>
      <c r="N30" s="5">
        <f>_xlfn.XLOOKUP(M30,'GP4'!$B$5:$B$100,'GP4'!$A$5:$A$100,0)</f>
        <v>0</v>
      </c>
      <c r="O30" s="5">
        <f>_xlfn.XLOOKUP($B30,'GP5'!$C$5:$C$100,'GP5'!$B$5:$B$100,"")</f>
        <v>0</v>
      </c>
      <c r="P30" s="5">
        <f>_xlfn.XLOOKUP(O30,'GP5'!$B$5:$B$100,'GP5'!$A$5:$A$100,0)</f>
        <v>0</v>
      </c>
      <c r="Q30" s="20">
        <f>_xlfn.XLOOKUP($B30,EU!$B$5:$B$100,EU!$A$5:$A$100,0)</f>
        <v>0</v>
      </c>
    </row>
    <row r="31" spans="1:17" ht="14.4" customHeight="1" x14ac:dyDescent="0.25">
      <c r="A31" s="2">
        <f t="shared" si="0"/>
        <v>29</v>
      </c>
      <c r="B31" s="6"/>
      <c r="C31" s="3"/>
      <c r="D31" s="4">
        <f t="shared" si="1"/>
        <v>0</v>
      </c>
      <c r="E31" s="5">
        <f>_xlfn.XLOOKUP(B31,MP!C$5:C$100,MP!B$5:B$100,"")</f>
        <v>0</v>
      </c>
      <c r="F31" s="5">
        <f>_xlfn.XLOOKUP(E31,MP!B$5:B$100,MP!A$5:A$100,0)</f>
        <v>0</v>
      </c>
      <c r="G31" s="5">
        <f>_xlfn.XLOOKUP($B31,'GP1'!$C$5:$C$100,'GP1'!$B$5:$B$100,"")</f>
        <v>0</v>
      </c>
      <c r="H31" s="5">
        <f>_xlfn.XLOOKUP(G31,'GP1'!$B$5:$B$100,'GP1'!$A$5:$A$100,0)</f>
        <v>0</v>
      </c>
      <c r="I31" s="5">
        <f>_xlfn.XLOOKUP($B31,'GP2'!$C$5:$C$100,'GP2'!$B$5:$B$100,"")</f>
        <v>0</v>
      </c>
      <c r="J31" s="5">
        <f>_xlfn.XLOOKUP(I31,'GP2'!$B$5:$B$100,'GP2'!$A$5:$A$100,0)</f>
        <v>0</v>
      </c>
      <c r="K31" s="5">
        <f>_xlfn.XLOOKUP($B31,'GP3'!$C$5:$C$100,'GP3'!$B$5:$B$100,"")</f>
        <v>0</v>
      </c>
      <c r="L31" s="5">
        <f>_xlfn.XLOOKUP(K31,'GP3'!$B$5:$B$100,'GP3'!$A$5:$A$100,0)</f>
        <v>0</v>
      </c>
      <c r="M31" s="5">
        <f>_xlfn.XLOOKUP($B31,'GP4'!$C$5:$C$100,'GP4'!$B$5:$B$100,"")</f>
        <v>0</v>
      </c>
      <c r="N31" s="5">
        <f>_xlfn.XLOOKUP(M31,'GP4'!$B$5:$B$100,'GP4'!$A$5:$A$100,0)</f>
        <v>0</v>
      </c>
      <c r="O31" s="5">
        <f>_xlfn.XLOOKUP($B31,'GP5'!$C$5:$C$100,'GP5'!$B$5:$B$100,"")</f>
        <v>0</v>
      </c>
      <c r="P31" s="5">
        <f>_xlfn.XLOOKUP(O31,'GP5'!$B$5:$B$100,'GP5'!$A$5:$A$100,0)</f>
        <v>0</v>
      </c>
      <c r="Q31" s="20">
        <f>_xlfn.XLOOKUP($B31,EU!$B$5:$B$100,EU!$A$5:$A$100,0)</f>
        <v>0</v>
      </c>
    </row>
    <row r="32" spans="1:17" ht="14.4" customHeight="1" x14ac:dyDescent="0.25">
      <c r="A32" s="2">
        <f t="shared" si="0"/>
        <v>30</v>
      </c>
      <c r="B32" s="6"/>
      <c r="C32" s="3"/>
      <c r="D32" s="4">
        <f t="shared" si="1"/>
        <v>0</v>
      </c>
      <c r="E32" s="5">
        <f>_xlfn.XLOOKUP(B32,MP!C$5:C$100,MP!B$5:B$100,"")</f>
        <v>0</v>
      </c>
      <c r="F32" s="5">
        <f>_xlfn.XLOOKUP(E32,MP!B$5:B$100,MP!A$5:A$100,0)</f>
        <v>0</v>
      </c>
      <c r="G32" s="5">
        <f>_xlfn.XLOOKUP($B32,'GP1'!$C$5:$C$100,'GP1'!$B$5:$B$100,"")</f>
        <v>0</v>
      </c>
      <c r="H32" s="5">
        <f>_xlfn.XLOOKUP(G32,'GP1'!$B$5:$B$100,'GP1'!$A$5:$A$100,0)</f>
        <v>0</v>
      </c>
      <c r="I32" s="5">
        <f>_xlfn.XLOOKUP($B32,'GP2'!$C$5:$C$100,'GP2'!$B$5:$B$100,"")</f>
        <v>0</v>
      </c>
      <c r="J32" s="5">
        <f>_xlfn.XLOOKUP(I32,'GP2'!$B$5:$B$100,'GP2'!$A$5:$A$100,0)</f>
        <v>0</v>
      </c>
      <c r="K32" s="5">
        <f>_xlfn.XLOOKUP($B32,'GP3'!$C$5:$C$100,'GP3'!$B$5:$B$100,"")</f>
        <v>0</v>
      </c>
      <c r="L32" s="5">
        <f>_xlfn.XLOOKUP(K32,'GP3'!$B$5:$B$100,'GP3'!$A$5:$A$100,0)</f>
        <v>0</v>
      </c>
      <c r="M32" s="5">
        <f>_xlfn.XLOOKUP($B32,'GP4'!$C$5:$C$100,'GP4'!$B$5:$B$100,"")</f>
        <v>0</v>
      </c>
      <c r="N32" s="5">
        <f>_xlfn.XLOOKUP(M32,'GP4'!$B$5:$B$100,'GP4'!$A$5:$A$100,0)</f>
        <v>0</v>
      </c>
      <c r="O32" s="5">
        <f>_xlfn.XLOOKUP($B32,'GP5'!$C$5:$C$100,'GP5'!$B$5:$B$100,"")</f>
        <v>0</v>
      </c>
      <c r="P32" s="5">
        <f>_xlfn.XLOOKUP(O32,'GP5'!$B$5:$B$100,'GP5'!$A$5:$A$100,0)</f>
        <v>0</v>
      </c>
      <c r="Q32" s="20">
        <f>_xlfn.XLOOKUP($B32,EU!$B$5:$B$100,EU!$A$5:$A$100,0)</f>
        <v>0</v>
      </c>
    </row>
    <row r="33" spans="1:17" ht="14.4" customHeight="1" x14ac:dyDescent="0.25">
      <c r="A33" s="2">
        <f t="shared" si="0"/>
        <v>31</v>
      </c>
      <c r="B33" s="6"/>
      <c r="C33" s="3"/>
      <c r="D33" s="4">
        <f t="shared" si="1"/>
        <v>0</v>
      </c>
      <c r="E33" s="5">
        <f>_xlfn.XLOOKUP(B33,MP!C$5:C$100,MP!B$5:B$100,"")</f>
        <v>0</v>
      </c>
      <c r="F33" s="5">
        <f>_xlfn.XLOOKUP(E33,MP!B$5:B$100,MP!A$5:A$100,0)</f>
        <v>0</v>
      </c>
      <c r="G33" s="5">
        <f>_xlfn.XLOOKUP($B33,'GP1'!$C$5:$C$100,'GP1'!$B$5:$B$100,"")</f>
        <v>0</v>
      </c>
      <c r="H33" s="5">
        <f>_xlfn.XLOOKUP(G33,'GP1'!$B$5:$B$100,'GP1'!$A$5:$A$100,0)</f>
        <v>0</v>
      </c>
      <c r="I33" s="5">
        <f>_xlfn.XLOOKUP($B33,'GP2'!$C$5:$C$100,'GP2'!$B$5:$B$100,"")</f>
        <v>0</v>
      </c>
      <c r="J33" s="5">
        <f>_xlfn.XLOOKUP(I33,'GP2'!$B$5:$B$100,'GP2'!$A$5:$A$100,0)</f>
        <v>0</v>
      </c>
      <c r="K33" s="5">
        <f>_xlfn.XLOOKUP($B33,'GP3'!$C$5:$C$100,'GP3'!$B$5:$B$100,"")</f>
        <v>0</v>
      </c>
      <c r="L33" s="5">
        <f>_xlfn.XLOOKUP(K33,'GP3'!$B$5:$B$100,'GP3'!$A$5:$A$100,0)</f>
        <v>0</v>
      </c>
      <c r="M33" s="5">
        <f>_xlfn.XLOOKUP($B33,'GP4'!$C$5:$C$100,'GP4'!$B$5:$B$100,"")</f>
        <v>0</v>
      </c>
      <c r="N33" s="5">
        <f>_xlfn.XLOOKUP(M33,'GP4'!$B$5:$B$100,'GP4'!$A$5:$A$100,0)</f>
        <v>0</v>
      </c>
      <c r="O33" s="5">
        <f>_xlfn.XLOOKUP($B33,'GP5'!$C$5:$C$100,'GP5'!$B$5:$B$100,"")</f>
        <v>0</v>
      </c>
      <c r="P33" s="5">
        <f>_xlfn.XLOOKUP(O33,'GP5'!$B$5:$B$100,'GP5'!$A$5:$A$100,0)</f>
        <v>0</v>
      </c>
      <c r="Q33" s="20">
        <f>_xlfn.XLOOKUP($B33,EU!$B$5:$B$100,EU!$A$5:$A$100,0)</f>
        <v>0</v>
      </c>
    </row>
    <row r="34" spans="1:17" ht="14.4" customHeight="1" x14ac:dyDescent="0.25">
      <c r="A34" s="2">
        <f t="shared" si="0"/>
        <v>32</v>
      </c>
      <c r="B34" s="6"/>
      <c r="C34" s="3"/>
      <c r="D34" s="4">
        <f t="shared" si="1"/>
        <v>0</v>
      </c>
      <c r="E34" s="5">
        <f>_xlfn.XLOOKUP(B34,MP!C$5:C$100,MP!B$5:B$100,"")</f>
        <v>0</v>
      </c>
      <c r="F34" s="5">
        <f>_xlfn.XLOOKUP(E34,MP!B$5:B$100,MP!A$5:A$100,0)</f>
        <v>0</v>
      </c>
      <c r="G34" s="5">
        <f>_xlfn.XLOOKUP($B34,'GP1'!$C$5:$C$100,'GP1'!$B$5:$B$100,"")</f>
        <v>0</v>
      </c>
      <c r="H34" s="5">
        <f>_xlfn.XLOOKUP(G34,'GP1'!$B$5:$B$100,'GP1'!$A$5:$A$100,0)</f>
        <v>0</v>
      </c>
      <c r="I34" s="5">
        <f>_xlfn.XLOOKUP($B34,'GP2'!$C$5:$C$100,'GP2'!$B$5:$B$100,"")</f>
        <v>0</v>
      </c>
      <c r="J34" s="5">
        <f>_xlfn.XLOOKUP(I34,'GP2'!$B$5:$B$100,'GP2'!$A$5:$A$100,0)</f>
        <v>0</v>
      </c>
      <c r="K34" s="5">
        <f>_xlfn.XLOOKUP($B34,'GP3'!$C$5:$C$100,'GP3'!$B$5:$B$100,"")</f>
        <v>0</v>
      </c>
      <c r="L34" s="5">
        <f>_xlfn.XLOOKUP(K34,'GP3'!$B$5:$B$100,'GP3'!$A$5:$A$100,0)</f>
        <v>0</v>
      </c>
      <c r="M34" s="5">
        <f>_xlfn.XLOOKUP($B34,'GP4'!$C$5:$C$100,'GP4'!$B$5:$B$100,"")</f>
        <v>0</v>
      </c>
      <c r="N34" s="5">
        <f>_xlfn.XLOOKUP(M34,'GP4'!$B$5:$B$100,'GP4'!$A$5:$A$100,0)</f>
        <v>0</v>
      </c>
      <c r="O34" s="5">
        <f>_xlfn.XLOOKUP($B34,'GP5'!$C$5:$C$100,'GP5'!$B$5:$B$100,"")</f>
        <v>0</v>
      </c>
      <c r="P34" s="5">
        <f>_xlfn.XLOOKUP(O34,'GP5'!$B$5:$B$100,'GP5'!$A$5:$A$100,0)</f>
        <v>0</v>
      </c>
      <c r="Q34" s="20">
        <f>_xlfn.XLOOKUP($B34,EU!$B$5:$B$100,EU!$A$5:$A$100,0)</f>
        <v>0</v>
      </c>
    </row>
    <row r="35" spans="1:17" ht="14.4" customHeight="1" x14ac:dyDescent="0.25">
      <c r="A35" s="2">
        <f t="shared" si="0"/>
        <v>33</v>
      </c>
      <c r="B35" s="6"/>
      <c r="C35" s="3"/>
      <c r="D35" s="4">
        <f t="shared" si="1"/>
        <v>0</v>
      </c>
      <c r="E35" s="5">
        <f>_xlfn.XLOOKUP(B35,MP!C$5:C$100,MP!B$5:B$100,"")</f>
        <v>0</v>
      </c>
      <c r="F35" s="5">
        <f>_xlfn.XLOOKUP(E35,MP!B$5:B$100,MP!A$5:A$100,0)</f>
        <v>0</v>
      </c>
      <c r="G35" s="5">
        <f>_xlfn.XLOOKUP($B35,'GP1'!$C$5:$C$100,'GP1'!$B$5:$B$100,"")</f>
        <v>0</v>
      </c>
      <c r="H35" s="5">
        <f>_xlfn.XLOOKUP(G35,'GP1'!$B$5:$B$100,'GP1'!$A$5:$A$100,0)</f>
        <v>0</v>
      </c>
      <c r="I35" s="5">
        <f>_xlfn.XLOOKUP($B35,'GP2'!$C$5:$C$100,'GP2'!$B$5:$B$100,"")</f>
        <v>0</v>
      </c>
      <c r="J35" s="5">
        <f>_xlfn.XLOOKUP(I35,'GP2'!$B$5:$B$100,'GP2'!$A$5:$A$100,0)</f>
        <v>0</v>
      </c>
      <c r="K35" s="5">
        <f>_xlfn.XLOOKUP($B35,'GP3'!$C$5:$C$100,'GP3'!$B$5:$B$100,"")</f>
        <v>0</v>
      </c>
      <c r="L35" s="5">
        <f>_xlfn.XLOOKUP(K35,'GP3'!$B$5:$B$100,'GP3'!$A$5:$A$100,0)</f>
        <v>0</v>
      </c>
      <c r="M35" s="5">
        <f>_xlfn.XLOOKUP($B35,'GP4'!$C$5:$C$100,'GP4'!$B$5:$B$100,"")</f>
        <v>0</v>
      </c>
      <c r="N35" s="5">
        <f>_xlfn.XLOOKUP(M35,'GP4'!$B$5:$B$100,'GP4'!$A$5:$A$100,0)</f>
        <v>0</v>
      </c>
      <c r="O35" s="5">
        <f>_xlfn.XLOOKUP($B35,'GP5'!$C$5:$C$100,'GP5'!$B$5:$B$100,"")</f>
        <v>0</v>
      </c>
      <c r="P35" s="5">
        <f>_xlfn.XLOOKUP(O35,'GP5'!$B$5:$B$100,'GP5'!$A$5:$A$100,0)</f>
        <v>0</v>
      </c>
      <c r="Q35" s="20">
        <f>_xlfn.XLOOKUP($B35,EU!$B$5:$B$100,EU!$A$5:$A$100,0)</f>
        <v>0</v>
      </c>
    </row>
    <row r="36" spans="1:17" ht="14.4" customHeight="1" x14ac:dyDescent="0.25">
      <c r="A36" s="2">
        <f t="shared" si="0"/>
        <v>34</v>
      </c>
      <c r="B36" s="6"/>
      <c r="C36" s="3"/>
      <c r="D36" s="4">
        <f t="shared" si="1"/>
        <v>0</v>
      </c>
      <c r="E36" s="5">
        <f>_xlfn.XLOOKUP(B36,MP!C$5:C$100,MP!B$5:B$100,"")</f>
        <v>0</v>
      </c>
      <c r="F36" s="5">
        <f>_xlfn.XLOOKUP(E36,MP!B$5:B$100,MP!A$5:A$100,0)</f>
        <v>0</v>
      </c>
      <c r="G36" s="5">
        <f>_xlfn.XLOOKUP($B36,'GP1'!$C$5:$C$100,'GP1'!$B$5:$B$100,"")</f>
        <v>0</v>
      </c>
      <c r="H36" s="5">
        <f>_xlfn.XLOOKUP(G36,'GP1'!$B$5:$B$100,'GP1'!$A$5:$A$100,0)</f>
        <v>0</v>
      </c>
      <c r="I36" s="5">
        <f>_xlfn.XLOOKUP($B36,'GP2'!$C$5:$C$100,'GP2'!$B$5:$B$100,"")</f>
        <v>0</v>
      </c>
      <c r="J36" s="5">
        <f>_xlfn.XLOOKUP(I36,'GP2'!$B$5:$B$100,'GP2'!$A$5:$A$100,0)</f>
        <v>0</v>
      </c>
      <c r="K36" s="5">
        <f>_xlfn.XLOOKUP($B36,'GP3'!$C$5:$C$100,'GP3'!$B$5:$B$100,"")</f>
        <v>0</v>
      </c>
      <c r="L36" s="5">
        <f>_xlfn.XLOOKUP(K36,'GP3'!$B$5:$B$100,'GP3'!$A$5:$A$100,0)</f>
        <v>0</v>
      </c>
      <c r="M36" s="5">
        <f>_xlfn.XLOOKUP($B36,'GP4'!$C$5:$C$100,'GP4'!$B$5:$B$100,"")</f>
        <v>0</v>
      </c>
      <c r="N36" s="5">
        <f>_xlfn.XLOOKUP(M36,'GP4'!$B$5:$B$100,'GP4'!$A$5:$A$100,0)</f>
        <v>0</v>
      </c>
      <c r="O36" s="5">
        <f>_xlfn.XLOOKUP($B36,'GP5'!$C$5:$C$100,'GP5'!$B$5:$B$100,"")</f>
        <v>0</v>
      </c>
      <c r="P36" s="5">
        <f>_xlfn.XLOOKUP(O36,'GP5'!$B$5:$B$100,'GP5'!$A$5:$A$100,0)</f>
        <v>0</v>
      </c>
      <c r="Q36" s="20">
        <f>_xlfn.XLOOKUP($B36,EU!$B$5:$B$100,EU!$A$5:$A$100,0)</f>
        <v>0</v>
      </c>
    </row>
    <row r="37" spans="1:17" ht="14.4" customHeight="1" x14ac:dyDescent="0.25">
      <c r="A37" s="2">
        <f t="shared" si="0"/>
        <v>35</v>
      </c>
      <c r="B37" s="6"/>
      <c r="C37" s="3"/>
      <c r="D37" s="4">
        <f t="shared" si="1"/>
        <v>0</v>
      </c>
      <c r="E37" s="5">
        <f>_xlfn.XLOOKUP(B37,MP!C$5:C$100,MP!B$5:B$100,"")</f>
        <v>0</v>
      </c>
      <c r="F37" s="5">
        <f>_xlfn.XLOOKUP(E37,MP!B$5:B$100,MP!A$5:A$100,0)</f>
        <v>0</v>
      </c>
      <c r="G37" s="5">
        <f>_xlfn.XLOOKUP($B37,'GP1'!$C$5:$C$100,'GP1'!$B$5:$B$100,"")</f>
        <v>0</v>
      </c>
      <c r="H37" s="5">
        <f>_xlfn.XLOOKUP(G37,'GP1'!$B$5:$B$100,'GP1'!$A$5:$A$100,0)</f>
        <v>0</v>
      </c>
      <c r="I37" s="5">
        <f>_xlfn.XLOOKUP($B37,'GP2'!$C$5:$C$100,'GP2'!$B$5:$B$100,"")</f>
        <v>0</v>
      </c>
      <c r="J37" s="5">
        <f>_xlfn.XLOOKUP(I37,'GP2'!$B$5:$B$100,'GP2'!$A$5:$A$100,0)</f>
        <v>0</v>
      </c>
      <c r="K37" s="5">
        <f>_xlfn.XLOOKUP($B37,'GP3'!$C$5:$C$100,'GP3'!$B$5:$B$100,"")</f>
        <v>0</v>
      </c>
      <c r="L37" s="5">
        <f>_xlfn.XLOOKUP(K37,'GP3'!$B$5:$B$100,'GP3'!$A$5:$A$100,0)</f>
        <v>0</v>
      </c>
      <c r="M37" s="5">
        <f>_xlfn.XLOOKUP($B37,'GP4'!$C$5:$C$100,'GP4'!$B$5:$B$100,"")</f>
        <v>0</v>
      </c>
      <c r="N37" s="5">
        <f>_xlfn.XLOOKUP(M37,'GP4'!$B$5:$B$100,'GP4'!$A$5:$A$100,0)</f>
        <v>0</v>
      </c>
      <c r="O37" s="5">
        <f>_xlfn.XLOOKUP($B37,'GP5'!$C$5:$C$100,'GP5'!$B$5:$B$100,"")</f>
        <v>0</v>
      </c>
      <c r="P37" s="5">
        <f>_xlfn.XLOOKUP(O37,'GP5'!$B$5:$B$100,'GP5'!$A$5:$A$100,0)</f>
        <v>0</v>
      </c>
      <c r="Q37" s="20">
        <f>_xlfn.XLOOKUP($B37,EU!$B$5:$B$100,EU!$A$5:$A$100,0)</f>
        <v>0</v>
      </c>
    </row>
    <row r="38" spans="1:17" ht="14.4" customHeight="1" x14ac:dyDescent="0.25">
      <c r="A38" s="2">
        <f t="shared" si="0"/>
        <v>36</v>
      </c>
      <c r="B38" s="6"/>
      <c r="C38" s="3"/>
      <c r="D38" s="4">
        <f t="shared" si="1"/>
        <v>0</v>
      </c>
      <c r="E38" s="5">
        <f>_xlfn.XLOOKUP(B38,MP!C$5:C$100,MP!B$5:B$100,"")</f>
        <v>0</v>
      </c>
      <c r="F38" s="5">
        <f>_xlfn.XLOOKUP(E38,MP!B$5:B$100,MP!A$5:A$100,0)</f>
        <v>0</v>
      </c>
      <c r="G38" s="5">
        <f>_xlfn.XLOOKUP($B38,'GP1'!$C$5:$C$100,'GP1'!$B$5:$B$100,"")</f>
        <v>0</v>
      </c>
      <c r="H38" s="5">
        <f>_xlfn.XLOOKUP(G38,'GP1'!$B$5:$B$100,'GP1'!$A$5:$A$100,0)</f>
        <v>0</v>
      </c>
      <c r="I38" s="5">
        <f>_xlfn.XLOOKUP($B38,'GP2'!$C$5:$C$100,'GP2'!$B$5:$B$100,"")</f>
        <v>0</v>
      </c>
      <c r="J38" s="5">
        <f>_xlfn.XLOOKUP(I38,'GP2'!$B$5:$B$100,'GP2'!$A$5:$A$100,0)</f>
        <v>0</v>
      </c>
      <c r="K38" s="5">
        <f>_xlfn.XLOOKUP($B38,'GP3'!$C$5:$C$100,'GP3'!$B$5:$B$100,"")</f>
        <v>0</v>
      </c>
      <c r="L38" s="5">
        <f>_xlfn.XLOOKUP(K38,'GP3'!$B$5:$B$100,'GP3'!$A$5:$A$100,0)</f>
        <v>0</v>
      </c>
      <c r="M38" s="5">
        <f>_xlfn.XLOOKUP($B38,'GP4'!$C$5:$C$100,'GP4'!$B$5:$B$100,"")</f>
        <v>0</v>
      </c>
      <c r="N38" s="5">
        <f>_xlfn.XLOOKUP(M38,'GP4'!$B$5:$B$100,'GP4'!$A$5:$A$100,0)</f>
        <v>0</v>
      </c>
      <c r="O38" s="5">
        <f>_xlfn.XLOOKUP($B38,'GP5'!$C$5:$C$100,'GP5'!$B$5:$B$100,"")</f>
        <v>0</v>
      </c>
      <c r="P38" s="5">
        <f>_xlfn.XLOOKUP(O38,'GP5'!$B$5:$B$100,'GP5'!$A$5:$A$100,0)</f>
        <v>0</v>
      </c>
      <c r="Q38" s="20">
        <f>_xlfn.XLOOKUP($B38,EU!$B$5:$B$100,EU!$A$5:$A$100,0)</f>
        <v>0</v>
      </c>
    </row>
    <row r="39" spans="1:17" ht="14.4" customHeight="1" x14ac:dyDescent="0.25">
      <c r="A39" s="2">
        <f t="shared" si="0"/>
        <v>37</v>
      </c>
      <c r="B39" s="6"/>
      <c r="C39" s="3"/>
      <c r="D39" s="4">
        <f t="shared" si="1"/>
        <v>0</v>
      </c>
      <c r="E39" s="5">
        <f>_xlfn.XLOOKUP(B39,MP!C$5:C$100,MP!B$5:B$100,"")</f>
        <v>0</v>
      </c>
      <c r="F39" s="5">
        <f>_xlfn.XLOOKUP(E39,MP!B$5:B$100,MP!A$5:A$100,0)</f>
        <v>0</v>
      </c>
      <c r="G39" s="5">
        <f>_xlfn.XLOOKUP($B39,'GP1'!$C$5:$C$100,'GP1'!$B$5:$B$100,"")</f>
        <v>0</v>
      </c>
      <c r="H39" s="5">
        <f>_xlfn.XLOOKUP(G39,'GP1'!$B$5:$B$100,'GP1'!$A$5:$A$100,0)</f>
        <v>0</v>
      </c>
      <c r="I39" s="5">
        <f>_xlfn.XLOOKUP($B39,'GP2'!$C$5:$C$100,'GP2'!$B$5:$B$100,"")</f>
        <v>0</v>
      </c>
      <c r="J39" s="5">
        <f>_xlfn.XLOOKUP(I39,'GP2'!$B$5:$B$100,'GP2'!$A$5:$A$100,0)</f>
        <v>0</v>
      </c>
      <c r="K39" s="5">
        <f>_xlfn.XLOOKUP($B39,'GP3'!$C$5:$C$100,'GP3'!$B$5:$B$100,"")</f>
        <v>0</v>
      </c>
      <c r="L39" s="5">
        <f>_xlfn.XLOOKUP(K39,'GP3'!$B$5:$B$100,'GP3'!$A$5:$A$100,0)</f>
        <v>0</v>
      </c>
      <c r="M39" s="5">
        <f>_xlfn.XLOOKUP($B39,'GP4'!$C$5:$C$100,'GP4'!$B$5:$B$100,"")</f>
        <v>0</v>
      </c>
      <c r="N39" s="5">
        <f>_xlfn.XLOOKUP(M39,'GP4'!$B$5:$B$100,'GP4'!$A$5:$A$100,0)</f>
        <v>0</v>
      </c>
      <c r="O39" s="5">
        <f>_xlfn.XLOOKUP($B39,'GP5'!$C$5:$C$100,'GP5'!$B$5:$B$100,"")</f>
        <v>0</v>
      </c>
      <c r="P39" s="5">
        <f>_xlfn.XLOOKUP(O39,'GP5'!$B$5:$B$100,'GP5'!$A$5:$A$100,0)</f>
        <v>0</v>
      </c>
      <c r="Q39" s="20">
        <f>_xlfn.XLOOKUP($B39,EU!$B$5:$B$100,EU!$A$5:$A$100,0)</f>
        <v>0</v>
      </c>
    </row>
    <row r="40" spans="1:17" ht="14.4" customHeight="1" x14ac:dyDescent="0.25">
      <c r="A40" s="2">
        <f t="shared" si="0"/>
        <v>38</v>
      </c>
      <c r="B40" s="6"/>
      <c r="C40" s="3"/>
      <c r="D40" s="4">
        <f t="shared" si="1"/>
        <v>0</v>
      </c>
      <c r="E40" s="5">
        <f>_xlfn.XLOOKUP(B40,MP!C$5:C$100,MP!B$5:B$100,"")</f>
        <v>0</v>
      </c>
      <c r="F40" s="5">
        <f>_xlfn.XLOOKUP(E40,MP!B$5:B$100,MP!A$5:A$100,0)</f>
        <v>0</v>
      </c>
      <c r="G40" s="5">
        <f>_xlfn.XLOOKUP($B40,'GP1'!$C$5:$C$100,'GP1'!$B$5:$B$100,"")</f>
        <v>0</v>
      </c>
      <c r="H40" s="5">
        <f>_xlfn.XLOOKUP(G40,'GP1'!$B$5:$B$100,'GP1'!$A$5:$A$100,0)</f>
        <v>0</v>
      </c>
      <c r="I40" s="5">
        <f>_xlfn.XLOOKUP($B40,'GP2'!$C$5:$C$100,'GP2'!$B$5:$B$100,"")</f>
        <v>0</v>
      </c>
      <c r="J40" s="5">
        <f>_xlfn.XLOOKUP(I40,'GP2'!$B$5:$B$100,'GP2'!$A$5:$A$100,0)</f>
        <v>0</v>
      </c>
      <c r="K40" s="5">
        <f>_xlfn.XLOOKUP($B40,'GP3'!$C$5:$C$100,'GP3'!$B$5:$B$100,"")</f>
        <v>0</v>
      </c>
      <c r="L40" s="5">
        <f>_xlfn.XLOOKUP(K40,'GP3'!$B$5:$B$100,'GP3'!$A$5:$A$100,0)</f>
        <v>0</v>
      </c>
      <c r="M40" s="5">
        <f>_xlfn.XLOOKUP($B40,'GP4'!$C$5:$C$100,'GP4'!$B$5:$B$100,"")</f>
        <v>0</v>
      </c>
      <c r="N40" s="5">
        <f>_xlfn.XLOOKUP(M40,'GP4'!$B$5:$B$100,'GP4'!$A$5:$A$100,0)</f>
        <v>0</v>
      </c>
      <c r="O40" s="5">
        <f>_xlfn.XLOOKUP($B40,'GP5'!$C$5:$C$100,'GP5'!$B$5:$B$100,"")</f>
        <v>0</v>
      </c>
      <c r="P40" s="5">
        <f>_xlfn.XLOOKUP(O40,'GP5'!$B$5:$B$100,'GP5'!$A$5:$A$100,0)</f>
        <v>0</v>
      </c>
      <c r="Q40" s="20">
        <f>_xlfn.XLOOKUP($B40,EU!$B$5:$B$100,EU!$A$5:$A$100,0)</f>
        <v>0</v>
      </c>
    </row>
    <row r="41" spans="1:17" ht="14.4" customHeight="1" x14ac:dyDescent="0.25">
      <c r="A41" s="2">
        <f t="shared" si="0"/>
        <v>39</v>
      </c>
      <c r="B41" s="6"/>
      <c r="C41" s="3"/>
      <c r="D41" s="4">
        <f t="shared" si="1"/>
        <v>0</v>
      </c>
      <c r="E41" s="5">
        <f>_xlfn.XLOOKUP(B41,MP!C$5:C$100,MP!B$5:B$100,"")</f>
        <v>0</v>
      </c>
      <c r="F41" s="5">
        <f>_xlfn.XLOOKUP(E41,MP!B$5:B$100,MP!A$5:A$100,0)</f>
        <v>0</v>
      </c>
      <c r="G41" s="5">
        <f>_xlfn.XLOOKUP($B41,'GP1'!$C$5:$C$100,'GP1'!$B$5:$B$100,"")</f>
        <v>0</v>
      </c>
      <c r="H41" s="5">
        <f>_xlfn.XLOOKUP(G41,'GP1'!$B$5:$B$100,'GP1'!$A$5:$A$100,0)</f>
        <v>0</v>
      </c>
      <c r="I41" s="5">
        <f>_xlfn.XLOOKUP($B41,'GP2'!$C$5:$C$100,'GP2'!$B$5:$B$100,"")</f>
        <v>0</v>
      </c>
      <c r="J41" s="5">
        <f>_xlfn.XLOOKUP(I41,'GP2'!$B$5:$B$100,'GP2'!$A$5:$A$100,0)</f>
        <v>0</v>
      </c>
      <c r="K41" s="5">
        <f>_xlfn.XLOOKUP($B41,'GP3'!$C$5:$C$100,'GP3'!$B$5:$B$100,"")</f>
        <v>0</v>
      </c>
      <c r="L41" s="5">
        <f>_xlfn.XLOOKUP(K41,'GP3'!$B$5:$B$100,'GP3'!$A$5:$A$100,0)</f>
        <v>0</v>
      </c>
      <c r="M41" s="5">
        <f>_xlfn.XLOOKUP($B41,'GP4'!$C$5:$C$100,'GP4'!$B$5:$B$100,"")</f>
        <v>0</v>
      </c>
      <c r="N41" s="5">
        <f>_xlfn.XLOOKUP(M41,'GP4'!$B$5:$B$100,'GP4'!$A$5:$A$100,0)</f>
        <v>0</v>
      </c>
      <c r="O41" s="5">
        <f>_xlfn.XLOOKUP($B41,'GP5'!$C$5:$C$100,'GP5'!$B$5:$B$100,"")</f>
        <v>0</v>
      </c>
      <c r="P41" s="5">
        <f>_xlfn.XLOOKUP(O41,'GP5'!$B$5:$B$100,'GP5'!$A$5:$A$100,0)</f>
        <v>0</v>
      </c>
      <c r="Q41" s="20">
        <f>_xlfn.XLOOKUP($B41,EU!$B$5:$B$100,EU!$A$5:$A$100,0)</f>
        <v>0</v>
      </c>
    </row>
    <row r="42" spans="1:17" ht="14.4" customHeight="1" x14ac:dyDescent="0.25">
      <c r="A42" s="2">
        <f t="shared" si="0"/>
        <v>40</v>
      </c>
      <c r="B42" s="6"/>
      <c r="C42" s="3"/>
      <c r="D42" s="4">
        <f t="shared" si="1"/>
        <v>0</v>
      </c>
      <c r="E42" s="5">
        <f>_xlfn.XLOOKUP(B42,MP!C$5:C$100,MP!B$5:B$100,"")</f>
        <v>0</v>
      </c>
      <c r="F42" s="5">
        <f>_xlfn.XLOOKUP(E42,MP!B$5:B$100,MP!A$5:A$100,0)</f>
        <v>0</v>
      </c>
      <c r="G42" s="5">
        <f>_xlfn.XLOOKUP($B42,'GP1'!$C$5:$C$100,'GP1'!$B$5:$B$100,"")</f>
        <v>0</v>
      </c>
      <c r="H42" s="5">
        <f>_xlfn.XLOOKUP(G42,'GP1'!$B$5:$B$100,'GP1'!$A$5:$A$100,0)</f>
        <v>0</v>
      </c>
      <c r="I42" s="5">
        <f>_xlfn.XLOOKUP($B42,'GP2'!$C$5:$C$100,'GP2'!$B$5:$B$100,"")</f>
        <v>0</v>
      </c>
      <c r="J42" s="5">
        <f>_xlfn.XLOOKUP(I42,'GP2'!$B$5:$B$100,'GP2'!$A$5:$A$100,0)</f>
        <v>0</v>
      </c>
      <c r="K42" s="5">
        <f>_xlfn.XLOOKUP($B42,'GP3'!$C$5:$C$100,'GP3'!$B$5:$B$100,"")</f>
        <v>0</v>
      </c>
      <c r="L42" s="5">
        <f>_xlfn.XLOOKUP(K42,'GP3'!$B$5:$B$100,'GP3'!$A$5:$A$100,0)</f>
        <v>0</v>
      </c>
      <c r="M42" s="5">
        <f>_xlfn.XLOOKUP($B42,'GP4'!$C$5:$C$100,'GP4'!$B$5:$B$100,"")</f>
        <v>0</v>
      </c>
      <c r="N42" s="5">
        <f>_xlfn.XLOOKUP(M42,'GP4'!$B$5:$B$100,'GP4'!$A$5:$A$100,0)</f>
        <v>0</v>
      </c>
      <c r="O42" s="5">
        <f>_xlfn.XLOOKUP($B42,'GP5'!$C$5:$C$100,'GP5'!$B$5:$B$100,"")</f>
        <v>0</v>
      </c>
      <c r="P42" s="5">
        <f>_xlfn.XLOOKUP(O42,'GP5'!$B$5:$B$100,'GP5'!$A$5:$A$100,0)</f>
        <v>0</v>
      </c>
      <c r="Q42" s="20">
        <f>_xlfn.XLOOKUP($B42,EU!$B$5:$B$100,EU!$A$5:$A$100,0)</f>
        <v>0</v>
      </c>
    </row>
    <row r="43" spans="1:17" ht="14.4" customHeight="1" x14ac:dyDescent="0.25">
      <c r="A43" s="2">
        <f t="shared" si="0"/>
        <v>41</v>
      </c>
      <c r="B43" s="6"/>
      <c r="C43" s="3"/>
      <c r="D43" s="4">
        <f t="shared" si="1"/>
        <v>0</v>
      </c>
      <c r="E43" s="5">
        <f>_xlfn.XLOOKUP(B43,MP!C$5:C$100,MP!B$5:B$100,"")</f>
        <v>0</v>
      </c>
      <c r="F43" s="5">
        <f>_xlfn.XLOOKUP(E43,MP!B$5:B$100,MP!A$5:A$100,0)</f>
        <v>0</v>
      </c>
      <c r="G43" s="5">
        <f>_xlfn.XLOOKUP($B43,'GP1'!$C$5:$C$100,'GP1'!$B$5:$B$100,"")</f>
        <v>0</v>
      </c>
      <c r="H43" s="5">
        <f>_xlfn.XLOOKUP(G43,'GP1'!$B$5:$B$100,'GP1'!$A$5:$A$100,0)</f>
        <v>0</v>
      </c>
      <c r="I43" s="5">
        <f>_xlfn.XLOOKUP($B43,'GP2'!$C$5:$C$100,'GP2'!$B$5:$B$100,"")</f>
        <v>0</v>
      </c>
      <c r="J43" s="5">
        <f>_xlfn.XLOOKUP(I43,'GP2'!$B$5:$B$100,'GP2'!$A$5:$A$100,0)</f>
        <v>0</v>
      </c>
      <c r="K43" s="5">
        <f>_xlfn.XLOOKUP($B43,'GP3'!$C$5:$C$100,'GP3'!$B$5:$B$100,"")</f>
        <v>0</v>
      </c>
      <c r="L43" s="5">
        <f>_xlfn.XLOOKUP(K43,'GP3'!$B$5:$B$100,'GP3'!$A$5:$A$100,0)</f>
        <v>0</v>
      </c>
      <c r="M43" s="5">
        <f>_xlfn.XLOOKUP($B43,'GP4'!$C$5:$C$100,'GP4'!$B$5:$B$100,"")</f>
        <v>0</v>
      </c>
      <c r="N43" s="5">
        <f>_xlfn.XLOOKUP(M43,'GP4'!$B$5:$B$100,'GP4'!$A$5:$A$100,0)</f>
        <v>0</v>
      </c>
      <c r="O43" s="5">
        <f>_xlfn.XLOOKUP($B43,'GP5'!$C$5:$C$100,'GP5'!$B$5:$B$100,"")</f>
        <v>0</v>
      </c>
      <c r="P43" s="5">
        <f>_xlfn.XLOOKUP(O43,'GP5'!$B$5:$B$100,'GP5'!$A$5:$A$100,0)</f>
        <v>0</v>
      </c>
      <c r="Q43" s="20">
        <f>_xlfn.XLOOKUP($B43,EU!$B$5:$B$100,EU!$A$5:$A$100,0)</f>
        <v>0</v>
      </c>
    </row>
    <row r="44" spans="1:17" ht="14.4" customHeight="1" x14ac:dyDescent="0.25">
      <c r="A44" s="2">
        <f t="shared" si="0"/>
        <v>42</v>
      </c>
      <c r="B44" s="6"/>
      <c r="C44" s="3"/>
      <c r="D44" s="4">
        <f t="shared" si="1"/>
        <v>0</v>
      </c>
      <c r="E44" s="5">
        <f>_xlfn.XLOOKUP(B44,MP!C$5:C$100,MP!B$5:B$100,"")</f>
        <v>0</v>
      </c>
      <c r="F44" s="5">
        <f>_xlfn.XLOOKUP(E44,MP!B$5:B$100,MP!A$5:A$100,0)</f>
        <v>0</v>
      </c>
      <c r="G44" s="5">
        <f>_xlfn.XLOOKUP($B44,'GP1'!$C$5:$C$100,'GP1'!$B$5:$B$100,"")</f>
        <v>0</v>
      </c>
      <c r="H44" s="5">
        <f>_xlfn.XLOOKUP(G44,'GP1'!$B$5:$B$100,'GP1'!$A$5:$A$100,0)</f>
        <v>0</v>
      </c>
      <c r="I44" s="5">
        <f>_xlfn.XLOOKUP($B44,'GP2'!$C$5:$C$100,'GP2'!$B$5:$B$100,"")</f>
        <v>0</v>
      </c>
      <c r="J44" s="5">
        <f>_xlfn.XLOOKUP(I44,'GP2'!$B$5:$B$100,'GP2'!$A$5:$A$100,0)</f>
        <v>0</v>
      </c>
      <c r="K44" s="5">
        <f>_xlfn.XLOOKUP($B44,'GP3'!$C$5:$C$100,'GP3'!$B$5:$B$100,"")</f>
        <v>0</v>
      </c>
      <c r="L44" s="5">
        <f>_xlfn.XLOOKUP(K44,'GP3'!$B$5:$B$100,'GP3'!$A$5:$A$100,0)</f>
        <v>0</v>
      </c>
      <c r="M44" s="5">
        <f>_xlfn.XLOOKUP($B44,'GP4'!$C$5:$C$100,'GP4'!$B$5:$B$100,"")</f>
        <v>0</v>
      </c>
      <c r="N44" s="5">
        <f>_xlfn.XLOOKUP(M44,'GP4'!$B$5:$B$100,'GP4'!$A$5:$A$100,0)</f>
        <v>0</v>
      </c>
      <c r="O44" s="5">
        <f>_xlfn.XLOOKUP($B44,'GP5'!$C$5:$C$100,'GP5'!$B$5:$B$100,"")</f>
        <v>0</v>
      </c>
      <c r="P44" s="5">
        <f>_xlfn.XLOOKUP(O44,'GP5'!$B$5:$B$100,'GP5'!$A$5:$A$100,0)</f>
        <v>0</v>
      </c>
      <c r="Q44" s="20">
        <f>_xlfn.XLOOKUP($B44,EU!$B$5:$B$100,EU!$A$5:$A$100,0)</f>
        <v>0</v>
      </c>
    </row>
    <row r="45" spans="1:17" ht="14.4" customHeight="1" x14ac:dyDescent="0.25">
      <c r="A45" s="2">
        <f t="shared" si="0"/>
        <v>43</v>
      </c>
      <c r="B45" s="6"/>
      <c r="C45" s="3"/>
      <c r="D45" s="4">
        <f t="shared" si="1"/>
        <v>0</v>
      </c>
      <c r="E45" s="5">
        <f>_xlfn.XLOOKUP(B45,MP!C$5:C$100,MP!B$5:B$100,"")</f>
        <v>0</v>
      </c>
      <c r="F45" s="5">
        <f>_xlfn.XLOOKUP(E45,MP!B$5:B$100,MP!A$5:A$100,0)</f>
        <v>0</v>
      </c>
      <c r="G45" s="5">
        <f>_xlfn.XLOOKUP($B45,'GP1'!$C$5:$C$100,'GP1'!$B$5:$B$100,"")</f>
        <v>0</v>
      </c>
      <c r="H45" s="5">
        <f>_xlfn.XLOOKUP(G45,'GP1'!$B$5:$B$100,'GP1'!$A$5:$A$100,0)</f>
        <v>0</v>
      </c>
      <c r="I45" s="5">
        <f>_xlfn.XLOOKUP($B45,'GP2'!$C$5:$C$100,'GP2'!$B$5:$B$100,"")</f>
        <v>0</v>
      </c>
      <c r="J45" s="5">
        <f>_xlfn.XLOOKUP(I45,'GP2'!$B$5:$B$100,'GP2'!$A$5:$A$100,0)</f>
        <v>0</v>
      </c>
      <c r="K45" s="5">
        <f>_xlfn.XLOOKUP($B45,'GP3'!$C$5:$C$100,'GP3'!$B$5:$B$100,"")</f>
        <v>0</v>
      </c>
      <c r="L45" s="5">
        <f>_xlfn.XLOOKUP(K45,'GP3'!$B$5:$B$100,'GP3'!$A$5:$A$100,0)</f>
        <v>0</v>
      </c>
      <c r="M45" s="5">
        <f>_xlfn.XLOOKUP($B45,'GP4'!$C$5:$C$100,'GP4'!$B$5:$B$100,"")</f>
        <v>0</v>
      </c>
      <c r="N45" s="5">
        <f>_xlfn.XLOOKUP(M45,'GP4'!$B$5:$B$100,'GP4'!$A$5:$A$100,0)</f>
        <v>0</v>
      </c>
      <c r="O45" s="5">
        <f>_xlfn.XLOOKUP($B45,'GP5'!$C$5:$C$100,'GP5'!$B$5:$B$100,"")</f>
        <v>0</v>
      </c>
      <c r="P45" s="5">
        <f>_xlfn.XLOOKUP(O45,'GP5'!$B$5:$B$100,'GP5'!$A$5:$A$100,0)</f>
        <v>0</v>
      </c>
      <c r="Q45" s="20">
        <f>_xlfn.XLOOKUP($B45,EU!$B$5:$B$100,EU!$A$5:$A$100,0)</f>
        <v>0</v>
      </c>
    </row>
    <row r="46" spans="1:17" ht="14.4" customHeight="1" x14ac:dyDescent="0.25">
      <c r="A46" s="2">
        <f t="shared" si="0"/>
        <v>44</v>
      </c>
      <c r="B46" s="6"/>
      <c r="C46" s="3"/>
      <c r="D46" s="4">
        <f t="shared" si="1"/>
        <v>0</v>
      </c>
      <c r="E46" s="5">
        <f>_xlfn.XLOOKUP(B46,MP!C$5:C$100,MP!B$5:B$100,"")</f>
        <v>0</v>
      </c>
      <c r="F46" s="5">
        <f>_xlfn.XLOOKUP(E46,MP!B$5:B$100,MP!A$5:A$100,0)</f>
        <v>0</v>
      </c>
      <c r="G46" s="5">
        <f>_xlfn.XLOOKUP($B46,'GP1'!$C$5:$C$100,'GP1'!$B$5:$B$100,"")</f>
        <v>0</v>
      </c>
      <c r="H46" s="5">
        <f>_xlfn.XLOOKUP(G46,'GP1'!$B$5:$B$100,'GP1'!$A$5:$A$100,0)</f>
        <v>0</v>
      </c>
      <c r="I46" s="5">
        <f>_xlfn.XLOOKUP($B46,'GP2'!$C$5:$C$100,'GP2'!$B$5:$B$100,"")</f>
        <v>0</v>
      </c>
      <c r="J46" s="5">
        <f>_xlfn.XLOOKUP(I46,'GP2'!$B$5:$B$100,'GP2'!$A$5:$A$100,0)</f>
        <v>0</v>
      </c>
      <c r="K46" s="5">
        <f>_xlfn.XLOOKUP($B46,'GP3'!$C$5:$C$100,'GP3'!$B$5:$B$100,"")</f>
        <v>0</v>
      </c>
      <c r="L46" s="5">
        <f>_xlfn.XLOOKUP(K46,'GP3'!$B$5:$B$100,'GP3'!$A$5:$A$100,0)</f>
        <v>0</v>
      </c>
      <c r="M46" s="5">
        <f>_xlfn.XLOOKUP($B46,'GP4'!$C$5:$C$100,'GP4'!$B$5:$B$100,"")</f>
        <v>0</v>
      </c>
      <c r="N46" s="5">
        <f>_xlfn.XLOOKUP(M46,'GP4'!$B$5:$B$100,'GP4'!$A$5:$A$100,0)</f>
        <v>0</v>
      </c>
      <c r="O46" s="5">
        <f>_xlfn.XLOOKUP($B46,'GP5'!$C$5:$C$100,'GP5'!$B$5:$B$100,"")</f>
        <v>0</v>
      </c>
      <c r="P46" s="5">
        <f>_xlfn.XLOOKUP(O46,'GP5'!$B$5:$B$100,'GP5'!$A$5:$A$100,0)</f>
        <v>0</v>
      </c>
      <c r="Q46" s="20">
        <f>_xlfn.XLOOKUP($B46,EU!$B$5:$B$100,EU!$A$5:$A$100,0)</f>
        <v>0</v>
      </c>
    </row>
    <row r="47" spans="1:17" ht="14.4" customHeight="1" x14ac:dyDescent="0.25">
      <c r="A47" s="2">
        <f t="shared" si="0"/>
        <v>45</v>
      </c>
      <c r="B47" s="6"/>
      <c r="C47" s="3"/>
      <c r="D47" s="4">
        <f t="shared" si="1"/>
        <v>0</v>
      </c>
      <c r="E47" s="5">
        <f>_xlfn.XLOOKUP(B47,MP!C$5:C$100,MP!B$5:B$100,"")</f>
        <v>0</v>
      </c>
      <c r="F47" s="5">
        <f>_xlfn.XLOOKUP(E47,MP!B$5:B$100,MP!A$5:A$100,0)</f>
        <v>0</v>
      </c>
      <c r="G47" s="5">
        <f>_xlfn.XLOOKUP($B47,'GP1'!$C$5:$C$100,'GP1'!$B$5:$B$100,"")</f>
        <v>0</v>
      </c>
      <c r="H47" s="5">
        <f>_xlfn.XLOOKUP(G47,'GP1'!$B$5:$B$100,'GP1'!$A$5:$A$100,0)</f>
        <v>0</v>
      </c>
      <c r="I47" s="5">
        <f>_xlfn.XLOOKUP($B47,'GP2'!$C$5:$C$100,'GP2'!$B$5:$B$100,"")</f>
        <v>0</v>
      </c>
      <c r="J47" s="5">
        <f>_xlfn.XLOOKUP(I47,'GP2'!$B$5:$B$100,'GP2'!$A$5:$A$100,0)</f>
        <v>0</v>
      </c>
      <c r="K47" s="5">
        <f>_xlfn.XLOOKUP($B47,'GP3'!$C$5:$C$100,'GP3'!$B$5:$B$100,"")</f>
        <v>0</v>
      </c>
      <c r="L47" s="5">
        <f>_xlfn.XLOOKUP(K47,'GP3'!$B$5:$B$100,'GP3'!$A$5:$A$100,0)</f>
        <v>0</v>
      </c>
      <c r="M47" s="5">
        <f>_xlfn.XLOOKUP($B47,'GP4'!$C$5:$C$100,'GP4'!$B$5:$B$100,"")</f>
        <v>0</v>
      </c>
      <c r="N47" s="5">
        <f>_xlfn.XLOOKUP(M47,'GP4'!$B$5:$B$100,'GP4'!$A$5:$A$100,0)</f>
        <v>0</v>
      </c>
      <c r="O47" s="5">
        <f>_xlfn.XLOOKUP($B47,'GP5'!$C$5:$C$100,'GP5'!$B$5:$B$100,"")</f>
        <v>0</v>
      </c>
      <c r="P47" s="5">
        <f>_xlfn.XLOOKUP(O47,'GP5'!$B$5:$B$100,'GP5'!$A$5:$A$100,0)</f>
        <v>0</v>
      </c>
      <c r="Q47" s="20">
        <f>_xlfn.XLOOKUP($B47,EU!$B$5:$B$100,EU!$A$5:$A$100,0)</f>
        <v>0</v>
      </c>
    </row>
    <row r="48" spans="1:17" ht="14.4" customHeight="1" x14ac:dyDescent="0.25">
      <c r="A48" s="2">
        <f t="shared" si="0"/>
        <v>46</v>
      </c>
      <c r="B48" s="6"/>
      <c r="C48" s="3"/>
      <c r="D48" s="4">
        <f t="shared" si="1"/>
        <v>0</v>
      </c>
      <c r="E48" s="5">
        <f>_xlfn.XLOOKUP(B48,MP!C$5:C$100,MP!B$5:B$100,"")</f>
        <v>0</v>
      </c>
      <c r="F48" s="5">
        <f>_xlfn.XLOOKUP(E48,MP!B$5:B$100,MP!A$5:A$100,0)</f>
        <v>0</v>
      </c>
      <c r="G48" s="5">
        <f>_xlfn.XLOOKUP($B48,'GP1'!$C$5:$C$100,'GP1'!$B$5:$B$100,"")</f>
        <v>0</v>
      </c>
      <c r="H48" s="5">
        <f>_xlfn.XLOOKUP(G48,'GP1'!$B$5:$B$100,'GP1'!$A$5:$A$100,0)</f>
        <v>0</v>
      </c>
      <c r="I48" s="5">
        <f>_xlfn.XLOOKUP($B48,'GP2'!$C$5:$C$100,'GP2'!$B$5:$B$100,"")</f>
        <v>0</v>
      </c>
      <c r="J48" s="5">
        <f>_xlfn.XLOOKUP(I48,'GP2'!$B$5:$B$100,'GP2'!$A$5:$A$100,0)</f>
        <v>0</v>
      </c>
      <c r="K48" s="5">
        <f>_xlfn.XLOOKUP($B48,'GP3'!$C$5:$C$100,'GP3'!$B$5:$B$100,"")</f>
        <v>0</v>
      </c>
      <c r="L48" s="5">
        <f>_xlfn.XLOOKUP(K48,'GP3'!$B$5:$B$100,'GP3'!$A$5:$A$100,0)</f>
        <v>0</v>
      </c>
      <c r="M48" s="5">
        <f>_xlfn.XLOOKUP($B48,'GP4'!$C$5:$C$100,'GP4'!$B$5:$B$100,"")</f>
        <v>0</v>
      </c>
      <c r="N48" s="5">
        <f>_xlfn.XLOOKUP(M48,'GP4'!$B$5:$B$100,'GP4'!$A$5:$A$100,0)</f>
        <v>0</v>
      </c>
      <c r="O48" s="5">
        <f>_xlfn.XLOOKUP($B48,'GP5'!$C$5:$C$100,'GP5'!$B$5:$B$100,"")</f>
        <v>0</v>
      </c>
      <c r="P48" s="5">
        <f>_xlfn.XLOOKUP(O48,'GP5'!$B$5:$B$100,'GP5'!$A$5:$A$100,0)</f>
        <v>0</v>
      </c>
      <c r="Q48" s="20">
        <f>_xlfn.XLOOKUP($B48,EU!$B$5:$B$100,EU!$A$5:$A$100,0)</f>
        <v>0</v>
      </c>
    </row>
    <row r="49" spans="1:17" ht="14.4" customHeight="1" x14ac:dyDescent="0.25">
      <c r="A49" s="2">
        <f t="shared" si="0"/>
        <v>47</v>
      </c>
      <c r="B49" s="6"/>
      <c r="C49" s="3"/>
      <c r="D49" s="4">
        <f t="shared" si="1"/>
        <v>0</v>
      </c>
      <c r="E49" s="5">
        <f>_xlfn.XLOOKUP(B49,MP!C$5:C$100,MP!B$5:B$100,"")</f>
        <v>0</v>
      </c>
      <c r="F49" s="5">
        <f>_xlfn.XLOOKUP(E49,MP!B$5:B$100,MP!A$5:A$100,0)</f>
        <v>0</v>
      </c>
      <c r="G49" s="5">
        <f>_xlfn.XLOOKUP($B49,'GP1'!$C$5:$C$100,'GP1'!$B$5:$B$100,"")</f>
        <v>0</v>
      </c>
      <c r="H49" s="5">
        <f>_xlfn.XLOOKUP(G49,'GP1'!$B$5:$B$100,'GP1'!$A$5:$A$100,0)</f>
        <v>0</v>
      </c>
      <c r="I49" s="5">
        <f>_xlfn.XLOOKUP($B49,'GP2'!$C$5:$C$100,'GP2'!$B$5:$B$100,"")</f>
        <v>0</v>
      </c>
      <c r="J49" s="5">
        <f>_xlfn.XLOOKUP(I49,'GP2'!$B$5:$B$100,'GP2'!$A$5:$A$100,0)</f>
        <v>0</v>
      </c>
      <c r="K49" s="5">
        <f>_xlfn.XLOOKUP($B49,'GP3'!$C$5:$C$100,'GP3'!$B$5:$B$100,"")</f>
        <v>0</v>
      </c>
      <c r="L49" s="5">
        <f>_xlfn.XLOOKUP(K49,'GP3'!$B$5:$B$100,'GP3'!$A$5:$A$100,0)</f>
        <v>0</v>
      </c>
      <c r="M49" s="5">
        <f>_xlfn.XLOOKUP($B49,'GP4'!$C$5:$C$100,'GP4'!$B$5:$B$100,"")</f>
        <v>0</v>
      </c>
      <c r="N49" s="5">
        <f>_xlfn.XLOOKUP(M49,'GP4'!$B$5:$B$100,'GP4'!$A$5:$A$100,0)</f>
        <v>0</v>
      </c>
      <c r="O49" s="5">
        <f>_xlfn.XLOOKUP($B49,'GP5'!$C$5:$C$100,'GP5'!$B$5:$B$100,"")</f>
        <v>0</v>
      </c>
      <c r="P49" s="5">
        <f>_xlfn.XLOOKUP(O49,'GP5'!$B$5:$B$100,'GP5'!$A$5:$A$100,0)</f>
        <v>0</v>
      </c>
      <c r="Q49" s="20">
        <f>_xlfn.XLOOKUP($B49,EU!$B$5:$B$100,EU!$A$5:$A$100,0)</f>
        <v>0</v>
      </c>
    </row>
    <row r="50" spans="1:17" ht="14.4" customHeight="1" x14ac:dyDescent="0.25">
      <c r="A50" s="2">
        <f t="shared" si="0"/>
        <v>48</v>
      </c>
      <c r="B50" s="6"/>
      <c r="C50" s="3"/>
      <c r="D50" s="4">
        <f t="shared" si="1"/>
        <v>0</v>
      </c>
      <c r="E50" s="5">
        <f>_xlfn.XLOOKUP(B50,MP!C$5:C$100,MP!B$5:B$100,"")</f>
        <v>0</v>
      </c>
      <c r="F50" s="5">
        <f>_xlfn.XLOOKUP(E50,MP!B$5:B$100,MP!A$5:A$100,0)</f>
        <v>0</v>
      </c>
      <c r="G50" s="5">
        <f>_xlfn.XLOOKUP($B50,'GP1'!$C$5:$C$100,'GP1'!$B$5:$B$100,"")</f>
        <v>0</v>
      </c>
      <c r="H50" s="5">
        <f>_xlfn.XLOOKUP(G50,'GP1'!$B$5:$B$100,'GP1'!$A$5:$A$100,0)</f>
        <v>0</v>
      </c>
      <c r="I50" s="5">
        <f>_xlfn.XLOOKUP($B50,'GP2'!$C$5:$C$100,'GP2'!$B$5:$B$100,"")</f>
        <v>0</v>
      </c>
      <c r="J50" s="5">
        <f>_xlfn.XLOOKUP(I50,'GP2'!$B$5:$B$100,'GP2'!$A$5:$A$100,0)</f>
        <v>0</v>
      </c>
      <c r="K50" s="5">
        <f>_xlfn.XLOOKUP($B50,'GP3'!$C$5:$C$100,'GP3'!$B$5:$B$100,"")</f>
        <v>0</v>
      </c>
      <c r="L50" s="5">
        <f>_xlfn.XLOOKUP(K50,'GP3'!$B$5:$B$100,'GP3'!$A$5:$A$100,0)</f>
        <v>0</v>
      </c>
      <c r="M50" s="5">
        <f>_xlfn.XLOOKUP($B50,'GP4'!$C$5:$C$100,'GP4'!$B$5:$B$100,"")</f>
        <v>0</v>
      </c>
      <c r="N50" s="5">
        <f>_xlfn.XLOOKUP(M50,'GP4'!$B$5:$B$100,'GP4'!$A$5:$A$100,0)</f>
        <v>0</v>
      </c>
      <c r="O50" s="5">
        <f>_xlfn.XLOOKUP($B50,'GP5'!$C$5:$C$100,'GP5'!$B$5:$B$100,"")</f>
        <v>0</v>
      </c>
      <c r="P50" s="5">
        <f>_xlfn.XLOOKUP(O50,'GP5'!$B$5:$B$100,'GP5'!$A$5:$A$100,0)</f>
        <v>0</v>
      </c>
      <c r="Q50" s="20">
        <f>_xlfn.XLOOKUP($B50,EU!$B$5:$B$100,EU!$A$5:$A$100,0)</f>
        <v>0</v>
      </c>
    </row>
  </sheetData>
  <sheetProtection selectLockedCells="1" selectUnlockedCells="1"/>
  <autoFilter ref="A2:Q2" xr:uid="{00000000-0001-0000-0000-000000000000}">
    <sortState xmlns:xlrd2="http://schemas.microsoft.com/office/spreadsheetml/2017/richdata2" ref="A4:Q50">
      <sortCondition descending="1" ref="D2"/>
    </sortState>
  </autoFilter>
  <mergeCells count="10">
    <mergeCell ref="I1:J1"/>
    <mergeCell ref="K1:L1"/>
    <mergeCell ref="M1:N1"/>
    <mergeCell ref="O1:P1"/>
    <mergeCell ref="G1:H1"/>
    <mergeCell ref="A1:A2"/>
    <mergeCell ref="B1:B2"/>
    <mergeCell ref="C1:C2"/>
    <mergeCell ref="D1:D2"/>
    <mergeCell ref="E1:F1"/>
  </mergeCells>
  <conditionalFormatting sqref="A3:A22">
    <cfRule type="cellIs" dxfId="8" priority="16" operator="equal">
      <formula>3</formula>
    </cfRule>
    <cfRule type="cellIs" dxfId="7" priority="21" operator="equal">
      <formula>2</formula>
    </cfRule>
    <cfRule type="cellIs" dxfId="6" priority="22" operator="equal">
      <formula>1</formula>
    </cfRule>
  </conditionalFormatting>
  <conditionalFormatting sqref="A4">
    <cfRule type="cellIs" dxfId="5" priority="13" operator="equal">
      <formula>3</formula>
    </cfRule>
    <cfRule type="cellIs" dxfId="4" priority="14" operator="equal">
      <formula>2</formula>
    </cfRule>
    <cfRule type="cellIs" dxfId="3" priority="15" operator="equal">
      <formula>1</formula>
    </cfRule>
  </conditionalFormatting>
  <conditionalFormatting sqref="A23:A50">
    <cfRule type="cellIs" dxfId="2" priority="1" operator="equal">
      <formula>3</formula>
    </cfRule>
    <cfRule type="cellIs" dxfId="1" priority="2" operator="equal">
      <formula>2</formula>
    </cfRule>
    <cfRule type="cellIs" dxfId="0" priority="3" operator="equal">
      <formula>1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BAEB5-52ED-4235-841F-AB6AC2809A75}">
  <sheetPr>
    <tabColor rgb="FF92D050"/>
  </sheetPr>
  <dimension ref="A2:F17"/>
  <sheetViews>
    <sheetView workbookViewId="0">
      <selection activeCell="A14" sqref="A14"/>
    </sheetView>
  </sheetViews>
  <sheetFormatPr defaultRowHeight="13.2" x14ac:dyDescent="0.25"/>
  <cols>
    <col min="2" max="2" width="5.5546875" style="8" bestFit="1" customWidth="1"/>
    <col min="3" max="3" width="24.33203125" bestFit="1" customWidth="1"/>
    <col min="4" max="4" width="25.109375" bestFit="1" customWidth="1"/>
  </cols>
  <sheetData>
    <row r="2" spans="1:6" x14ac:dyDescent="0.25">
      <c r="A2" s="32" t="s">
        <v>33</v>
      </c>
      <c r="B2" s="32"/>
      <c r="C2" s="31" t="s">
        <v>34</v>
      </c>
      <c r="D2" s="31"/>
      <c r="E2" s="17" t="s">
        <v>35</v>
      </c>
    </row>
    <row r="4" spans="1:6" ht="14.4" x14ac:dyDescent="0.3">
      <c r="A4" s="9" t="s">
        <v>36</v>
      </c>
      <c r="B4" s="7" t="s">
        <v>37</v>
      </c>
      <c r="C4" s="7" t="s">
        <v>38</v>
      </c>
      <c r="D4" s="7" t="s">
        <v>39</v>
      </c>
      <c r="E4" s="7" t="s">
        <v>40</v>
      </c>
      <c r="F4" s="7" t="s">
        <v>41</v>
      </c>
    </row>
    <row r="5" spans="1:6" x14ac:dyDescent="0.25">
      <c r="A5" s="19">
        <v>95</v>
      </c>
      <c r="B5" s="8">
        <v>1</v>
      </c>
      <c r="C5" t="s">
        <v>14</v>
      </c>
      <c r="D5" t="s">
        <v>42</v>
      </c>
      <c r="F5" t="s">
        <v>43</v>
      </c>
    </row>
    <row r="6" spans="1:6" x14ac:dyDescent="0.25">
      <c r="A6" s="19">
        <v>88</v>
      </c>
      <c r="B6" s="8">
        <v>2</v>
      </c>
      <c r="C6" t="s">
        <v>13</v>
      </c>
      <c r="D6" t="s">
        <v>44</v>
      </c>
      <c r="F6" t="s">
        <v>43</v>
      </c>
    </row>
    <row r="7" spans="1:6" x14ac:dyDescent="0.25">
      <c r="A7" s="19">
        <v>84</v>
      </c>
      <c r="B7" s="8">
        <v>3</v>
      </c>
      <c r="C7" t="s">
        <v>24</v>
      </c>
      <c r="F7" t="s">
        <v>43</v>
      </c>
    </row>
    <row r="8" spans="1:6" x14ac:dyDescent="0.25">
      <c r="A8" s="19">
        <v>79</v>
      </c>
      <c r="B8" s="8">
        <v>4</v>
      </c>
      <c r="C8" t="s">
        <v>25</v>
      </c>
      <c r="F8" t="s">
        <v>43</v>
      </c>
    </row>
    <row r="9" spans="1:6" x14ac:dyDescent="0.25">
      <c r="A9" s="19">
        <v>77</v>
      </c>
      <c r="B9" s="8">
        <v>5</v>
      </c>
      <c r="C9" t="s">
        <v>21</v>
      </c>
      <c r="D9" t="s">
        <v>45</v>
      </c>
      <c r="F9" t="s">
        <v>43</v>
      </c>
    </row>
    <row r="10" spans="1:6" x14ac:dyDescent="0.25">
      <c r="A10" s="19">
        <v>74</v>
      </c>
      <c r="B10" s="8">
        <v>6</v>
      </c>
      <c r="C10" t="s">
        <v>27</v>
      </c>
      <c r="F10" t="s">
        <v>43</v>
      </c>
    </row>
    <row r="11" spans="1:6" x14ac:dyDescent="0.25">
      <c r="A11" s="19">
        <v>72</v>
      </c>
      <c r="B11" s="8">
        <v>7</v>
      </c>
      <c r="C11" t="s">
        <v>19</v>
      </c>
      <c r="D11" t="s">
        <v>46</v>
      </c>
      <c r="F11" t="s">
        <v>43</v>
      </c>
    </row>
    <row r="12" spans="1:6" x14ac:dyDescent="0.25">
      <c r="A12" s="19">
        <v>70</v>
      </c>
      <c r="B12" s="8">
        <v>8</v>
      </c>
      <c r="C12" t="s">
        <v>15</v>
      </c>
      <c r="D12" t="s">
        <v>47</v>
      </c>
      <c r="F12" t="s">
        <v>43</v>
      </c>
    </row>
    <row r="13" spans="1:6" x14ac:dyDescent="0.25">
      <c r="A13" s="19">
        <v>68</v>
      </c>
      <c r="B13" s="8">
        <v>9</v>
      </c>
      <c r="C13" t="s">
        <v>26</v>
      </c>
      <c r="D13" t="s">
        <v>48</v>
      </c>
      <c r="F13" t="s">
        <v>43</v>
      </c>
    </row>
    <row r="14" spans="1:6" x14ac:dyDescent="0.25">
      <c r="A14" s="19">
        <v>66</v>
      </c>
      <c r="B14" s="8">
        <v>10</v>
      </c>
      <c r="C14" t="s">
        <v>16</v>
      </c>
      <c r="D14" t="s">
        <v>49</v>
      </c>
      <c r="F14" t="s">
        <v>43</v>
      </c>
    </row>
    <row r="15" spans="1:6" x14ac:dyDescent="0.25">
      <c r="A15" s="19">
        <v>64</v>
      </c>
      <c r="B15" s="8">
        <v>11</v>
      </c>
      <c r="C15" t="s">
        <v>18</v>
      </c>
      <c r="D15" t="s">
        <v>42</v>
      </c>
      <c r="F15" t="s">
        <v>43</v>
      </c>
    </row>
    <row r="16" spans="1:6" x14ac:dyDescent="0.25">
      <c r="A16" s="19">
        <v>62</v>
      </c>
      <c r="B16" s="8">
        <v>12</v>
      </c>
      <c r="C16" t="s">
        <v>17</v>
      </c>
      <c r="D16" t="s">
        <v>50</v>
      </c>
      <c r="F16" t="s">
        <v>43</v>
      </c>
    </row>
    <row r="17" spans="1:6" x14ac:dyDescent="0.25">
      <c r="A17" s="19">
        <v>60</v>
      </c>
      <c r="B17" s="8">
        <v>13</v>
      </c>
      <c r="C17" t="s">
        <v>28</v>
      </c>
      <c r="F17" t="s">
        <v>43</v>
      </c>
    </row>
  </sheetData>
  <mergeCells count="2">
    <mergeCell ref="C2:D2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89117-CDBF-4561-B1B7-094234C31C2A}">
  <sheetPr>
    <tabColor rgb="FF92D050"/>
  </sheetPr>
  <dimension ref="A2:F18"/>
  <sheetViews>
    <sheetView workbookViewId="0">
      <selection activeCell="C11" sqref="C11"/>
    </sheetView>
  </sheetViews>
  <sheetFormatPr defaultRowHeight="13.2" x14ac:dyDescent="0.25"/>
  <cols>
    <col min="2" max="2" width="5.5546875" style="8" bestFit="1" customWidth="1"/>
    <col min="3" max="3" width="29" bestFit="1" customWidth="1"/>
    <col min="4" max="4" width="25.109375" bestFit="1" customWidth="1"/>
  </cols>
  <sheetData>
    <row r="2" spans="1:6" x14ac:dyDescent="0.25">
      <c r="A2" s="32" t="s">
        <v>33</v>
      </c>
      <c r="B2" s="32"/>
      <c r="C2" s="31" t="s">
        <v>51</v>
      </c>
      <c r="D2" s="31"/>
    </row>
    <row r="4" spans="1:6" ht="14.4" x14ac:dyDescent="0.3">
      <c r="A4" s="9" t="s">
        <v>36</v>
      </c>
      <c r="B4" s="7" t="s">
        <v>37</v>
      </c>
      <c r="C4" s="7" t="s">
        <v>38</v>
      </c>
      <c r="D4" s="7" t="s">
        <v>39</v>
      </c>
      <c r="E4" s="7" t="s">
        <v>40</v>
      </c>
      <c r="F4" s="7" t="s">
        <v>41</v>
      </c>
    </row>
    <row r="5" spans="1:6" x14ac:dyDescent="0.25">
      <c r="A5">
        <v>79</v>
      </c>
      <c r="B5" s="8">
        <v>1</v>
      </c>
      <c r="C5" t="s">
        <v>14</v>
      </c>
    </row>
    <row r="6" spans="1:6" x14ac:dyDescent="0.25">
      <c r="A6">
        <v>73</v>
      </c>
      <c r="B6" s="8">
        <v>2</v>
      </c>
      <c r="C6" t="s">
        <v>13</v>
      </c>
    </row>
    <row r="7" spans="1:6" x14ac:dyDescent="0.25">
      <c r="A7">
        <v>70</v>
      </c>
      <c r="B7" s="8">
        <v>3</v>
      </c>
      <c r="C7" t="s">
        <v>21</v>
      </c>
    </row>
    <row r="8" spans="1:6" x14ac:dyDescent="0.25">
      <c r="A8">
        <v>66</v>
      </c>
      <c r="B8" s="8">
        <v>4</v>
      </c>
      <c r="C8" t="s">
        <v>79</v>
      </c>
    </row>
    <row r="9" spans="1:6" x14ac:dyDescent="0.25">
      <c r="A9">
        <v>64</v>
      </c>
      <c r="B9" s="8">
        <v>5</v>
      </c>
      <c r="C9" t="s">
        <v>19</v>
      </c>
    </row>
    <row r="10" spans="1:6" x14ac:dyDescent="0.25">
      <c r="A10">
        <v>62</v>
      </c>
      <c r="B10" s="8">
        <v>6</v>
      </c>
      <c r="C10" t="s">
        <v>15</v>
      </c>
    </row>
    <row r="11" spans="1:6" x14ac:dyDescent="0.25">
      <c r="A11">
        <v>60</v>
      </c>
      <c r="B11" s="8">
        <v>7</v>
      </c>
      <c r="C11" t="s">
        <v>22</v>
      </c>
    </row>
    <row r="12" spans="1:6" x14ac:dyDescent="0.25">
      <c r="A12">
        <v>58</v>
      </c>
      <c r="B12" s="8">
        <v>8</v>
      </c>
      <c r="C12" t="s">
        <v>16</v>
      </c>
    </row>
    <row r="13" spans="1:6" x14ac:dyDescent="0.25">
      <c r="A13">
        <v>56</v>
      </c>
      <c r="B13" s="8">
        <v>9</v>
      </c>
      <c r="C13" t="s">
        <v>31</v>
      </c>
    </row>
    <row r="14" spans="1:6" x14ac:dyDescent="0.25">
      <c r="A14">
        <v>55</v>
      </c>
      <c r="B14" s="8">
        <v>10</v>
      </c>
      <c r="C14" t="s">
        <v>18</v>
      </c>
    </row>
    <row r="15" spans="1:6" x14ac:dyDescent="0.25">
      <c r="A15">
        <v>54</v>
      </c>
      <c r="B15" s="8">
        <v>11</v>
      </c>
      <c r="C15" t="s">
        <v>23</v>
      </c>
    </row>
    <row r="16" spans="1:6" x14ac:dyDescent="0.25">
      <c r="A16">
        <v>53</v>
      </c>
      <c r="B16" s="8">
        <v>12</v>
      </c>
      <c r="C16" t="s">
        <v>17</v>
      </c>
    </row>
    <row r="17" spans="1:3" x14ac:dyDescent="0.25">
      <c r="A17">
        <v>52</v>
      </c>
      <c r="B17" s="8">
        <v>13</v>
      </c>
      <c r="C17" t="s">
        <v>32</v>
      </c>
    </row>
    <row r="18" spans="1:3" x14ac:dyDescent="0.25">
      <c r="A18">
        <v>51</v>
      </c>
      <c r="B18" s="8">
        <v>14</v>
      </c>
      <c r="C18" t="s">
        <v>20</v>
      </c>
    </row>
  </sheetData>
  <mergeCells count="2">
    <mergeCell ref="A2:B2"/>
    <mergeCell ref="C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AA9D1-67E9-4D21-ADD8-F30BB071E51F}">
  <sheetPr>
    <tabColor rgb="FF92D050"/>
  </sheetPr>
  <dimension ref="A2:F18"/>
  <sheetViews>
    <sheetView workbookViewId="0">
      <selection activeCell="P12" sqref="P12"/>
    </sheetView>
  </sheetViews>
  <sheetFormatPr defaultRowHeight="13.2" x14ac:dyDescent="0.25"/>
  <cols>
    <col min="1" max="1" width="8.88671875" style="19"/>
    <col min="2" max="2" width="5.5546875" style="19" bestFit="1" customWidth="1"/>
    <col min="3" max="3" width="24.33203125" bestFit="1" customWidth="1"/>
    <col min="4" max="4" width="25.109375" bestFit="1" customWidth="1"/>
  </cols>
  <sheetData>
    <row r="2" spans="1:6" x14ac:dyDescent="0.25">
      <c r="A2" s="32" t="s">
        <v>33</v>
      </c>
      <c r="B2" s="32"/>
      <c r="C2" s="31" t="s">
        <v>52</v>
      </c>
      <c r="D2" s="31"/>
      <c r="E2" s="17" t="s">
        <v>53</v>
      </c>
    </row>
    <row r="4" spans="1:6" ht="14.4" x14ac:dyDescent="0.25">
      <c r="A4" s="23" t="s">
        <v>36</v>
      </c>
      <c r="B4" s="7" t="s">
        <v>37</v>
      </c>
      <c r="C4" s="7" t="s">
        <v>38</v>
      </c>
      <c r="D4" s="7" t="s">
        <v>39</v>
      </c>
      <c r="E4" s="7" t="s">
        <v>40</v>
      </c>
      <c r="F4" s="7" t="s">
        <v>41</v>
      </c>
    </row>
    <row r="5" spans="1:6" ht="13.95" customHeight="1" x14ac:dyDescent="0.25">
      <c r="A5" s="19">
        <v>79</v>
      </c>
      <c r="B5" s="21">
        <v>1</v>
      </c>
      <c r="C5" s="13" t="s">
        <v>54</v>
      </c>
      <c r="D5" s="13"/>
      <c r="E5" s="13"/>
      <c r="F5" s="13"/>
    </row>
    <row r="6" spans="1:6" x14ac:dyDescent="0.25">
      <c r="A6" s="19">
        <v>73</v>
      </c>
      <c r="B6" s="21">
        <v>2</v>
      </c>
      <c r="C6" s="13" t="s">
        <v>79</v>
      </c>
      <c r="D6" s="13"/>
      <c r="E6" s="13"/>
      <c r="F6" s="13"/>
    </row>
    <row r="7" spans="1:6" x14ac:dyDescent="0.25">
      <c r="A7" s="19">
        <v>70</v>
      </c>
      <c r="B7" s="21">
        <v>3</v>
      </c>
      <c r="C7" s="13" t="s">
        <v>15</v>
      </c>
      <c r="D7" s="13"/>
      <c r="E7" s="13"/>
      <c r="F7" s="13"/>
    </row>
    <row r="8" spans="1:6" x14ac:dyDescent="0.25">
      <c r="A8" s="19">
        <v>66</v>
      </c>
      <c r="B8" s="21">
        <v>4</v>
      </c>
      <c r="C8" s="13" t="s">
        <v>55</v>
      </c>
      <c r="D8" s="13"/>
      <c r="E8" s="13"/>
      <c r="F8" s="13"/>
    </row>
    <row r="9" spans="1:6" x14ac:dyDescent="0.25">
      <c r="A9" s="19">
        <v>64</v>
      </c>
      <c r="B9" s="21">
        <v>5</v>
      </c>
      <c r="C9" s="13" t="s">
        <v>56</v>
      </c>
      <c r="D9" s="13"/>
      <c r="E9" s="13"/>
      <c r="F9" s="13"/>
    </row>
    <row r="10" spans="1:6" x14ac:dyDescent="0.25">
      <c r="A10" s="19">
        <v>62</v>
      </c>
      <c r="B10" s="21">
        <v>6</v>
      </c>
      <c r="C10" s="13" t="s">
        <v>57</v>
      </c>
      <c r="D10" s="13"/>
      <c r="E10" s="13"/>
      <c r="F10" s="13"/>
    </row>
    <row r="11" spans="1:6" x14ac:dyDescent="0.25">
      <c r="A11" s="19">
        <v>60</v>
      </c>
      <c r="B11" s="19">
        <v>7</v>
      </c>
      <c r="C11" s="13" t="s">
        <v>58</v>
      </c>
    </row>
    <row r="12" spans="1:6" x14ac:dyDescent="0.25">
      <c r="A12" s="19">
        <v>58</v>
      </c>
      <c r="B12" s="19">
        <v>8</v>
      </c>
      <c r="C12" s="13" t="s">
        <v>59</v>
      </c>
    </row>
    <row r="13" spans="1:6" x14ac:dyDescent="0.25">
      <c r="A13" s="19">
        <v>56</v>
      </c>
      <c r="B13" s="19">
        <v>9</v>
      </c>
      <c r="C13" s="13" t="s">
        <v>60</v>
      </c>
    </row>
    <row r="14" spans="1:6" x14ac:dyDescent="0.25">
      <c r="A14" s="19">
        <v>55</v>
      </c>
      <c r="B14" s="19">
        <v>10</v>
      </c>
      <c r="C14" s="13" t="s">
        <v>61</v>
      </c>
    </row>
    <row r="15" spans="1:6" x14ac:dyDescent="0.25">
      <c r="A15" s="19">
        <v>54</v>
      </c>
      <c r="B15" s="19">
        <v>11</v>
      </c>
      <c r="C15" s="13" t="s">
        <v>62</v>
      </c>
    </row>
    <row r="16" spans="1:6" x14ac:dyDescent="0.25">
      <c r="A16" s="19">
        <v>53</v>
      </c>
    </row>
    <row r="17" spans="1:1" x14ac:dyDescent="0.25">
      <c r="A17" s="19">
        <v>52</v>
      </c>
    </row>
    <row r="18" spans="1:1" x14ac:dyDescent="0.25">
      <c r="A18" s="19">
        <v>51</v>
      </c>
    </row>
  </sheetData>
  <mergeCells count="2">
    <mergeCell ref="A2:B2"/>
    <mergeCell ref="C2:D2"/>
  </mergeCells>
  <hyperlinks>
    <hyperlink ref="E2" r:id="rId1" xr:uid="{AF783F3E-6A71-495D-B667-A14F2A90DA7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B158B-5BEA-45E8-8F23-648702ABE151}">
  <sheetPr>
    <tabColor rgb="FF92D050"/>
  </sheetPr>
  <dimension ref="A2:F18"/>
  <sheetViews>
    <sheetView workbookViewId="0">
      <selection activeCell="A4" sqref="A4:A17"/>
    </sheetView>
  </sheetViews>
  <sheetFormatPr defaultRowHeight="13.2" x14ac:dyDescent="0.25"/>
  <cols>
    <col min="2" max="2" width="5.5546875" style="8" bestFit="1" customWidth="1"/>
    <col min="3" max="3" width="24.33203125" bestFit="1" customWidth="1"/>
    <col min="4" max="4" width="25.109375" bestFit="1" customWidth="1"/>
  </cols>
  <sheetData>
    <row r="2" spans="1:6" x14ac:dyDescent="0.25">
      <c r="A2" s="32" t="s">
        <v>33</v>
      </c>
      <c r="B2" s="32"/>
      <c r="C2" s="33" t="s">
        <v>63</v>
      </c>
      <c r="D2" s="33"/>
      <c r="E2" s="18" t="s">
        <v>64</v>
      </c>
    </row>
    <row r="4" spans="1:6" ht="14.4" x14ac:dyDescent="0.3">
      <c r="A4" s="9" t="s">
        <v>36</v>
      </c>
      <c r="B4" s="7" t="s">
        <v>37</v>
      </c>
      <c r="C4" s="7" t="s">
        <v>38</v>
      </c>
      <c r="D4" s="7" t="s">
        <v>39</v>
      </c>
      <c r="E4" s="7" t="s">
        <v>40</v>
      </c>
      <c r="F4" s="7" t="s">
        <v>41</v>
      </c>
    </row>
    <row r="5" spans="1:6" x14ac:dyDescent="0.25">
      <c r="A5" s="19">
        <v>79</v>
      </c>
      <c r="B5" s="8">
        <v>1</v>
      </c>
      <c r="C5" s="13" t="s">
        <v>14</v>
      </c>
      <c r="D5" s="13" t="s">
        <v>65</v>
      </c>
      <c r="E5" s="13"/>
      <c r="F5" s="13" t="s">
        <v>43</v>
      </c>
    </row>
    <row r="6" spans="1:6" ht="26.4" x14ac:dyDescent="0.25">
      <c r="A6" s="19">
        <v>73</v>
      </c>
      <c r="B6" s="8">
        <v>2</v>
      </c>
      <c r="C6" s="13" t="s">
        <v>13</v>
      </c>
      <c r="D6" s="13" t="s">
        <v>66</v>
      </c>
      <c r="E6" s="13"/>
      <c r="F6" s="13" t="s">
        <v>43</v>
      </c>
    </row>
    <row r="7" spans="1:6" x14ac:dyDescent="0.25">
      <c r="A7" s="19">
        <v>70</v>
      </c>
      <c r="B7" s="8">
        <v>3</v>
      </c>
      <c r="C7" s="13" t="s">
        <v>15</v>
      </c>
      <c r="D7" s="13" t="s">
        <v>67</v>
      </c>
      <c r="E7" s="13"/>
      <c r="F7" s="13" t="s">
        <v>43</v>
      </c>
    </row>
    <row r="8" spans="1:6" x14ac:dyDescent="0.25">
      <c r="A8" s="19">
        <v>66</v>
      </c>
      <c r="B8" s="8">
        <v>4</v>
      </c>
      <c r="C8" s="13" t="s">
        <v>29</v>
      </c>
      <c r="D8" s="13" t="s">
        <v>68</v>
      </c>
      <c r="E8" s="13"/>
      <c r="F8" s="13" t="s">
        <v>43</v>
      </c>
    </row>
    <row r="9" spans="1:6" x14ac:dyDescent="0.25">
      <c r="A9" s="19">
        <v>64</v>
      </c>
      <c r="B9" s="8">
        <v>5</v>
      </c>
      <c r="C9" s="13" t="s">
        <v>16</v>
      </c>
      <c r="D9" s="13" t="s">
        <v>69</v>
      </c>
      <c r="E9" s="13"/>
      <c r="F9" s="13" t="s">
        <v>43</v>
      </c>
    </row>
    <row r="10" spans="1:6" x14ac:dyDescent="0.25">
      <c r="A10" s="19">
        <v>62</v>
      </c>
      <c r="B10" s="8">
        <v>6</v>
      </c>
      <c r="C10" t="s">
        <v>30</v>
      </c>
      <c r="F10" t="s">
        <v>43</v>
      </c>
    </row>
    <row r="11" spans="1:6" x14ac:dyDescent="0.25">
      <c r="A11" s="19">
        <v>60</v>
      </c>
      <c r="B11" s="8">
        <v>7</v>
      </c>
      <c r="C11" t="s">
        <v>18</v>
      </c>
      <c r="D11" t="s">
        <v>65</v>
      </c>
      <c r="F11" t="s">
        <v>43</v>
      </c>
    </row>
    <row r="12" spans="1:6" x14ac:dyDescent="0.25">
      <c r="A12" s="19">
        <v>58</v>
      </c>
      <c r="B12" s="8">
        <v>8</v>
      </c>
      <c r="C12" t="s">
        <v>17</v>
      </c>
      <c r="D12" t="s">
        <v>70</v>
      </c>
      <c r="F12" t="s">
        <v>43</v>
      </c>
    </row>
    <row r="13" spans="1:6" x14ac:dyDescent="0.25">
      <c r="A13" s="19">
        <v>56</v>
      </c>
      <c r="B13" s="8">
        <v>9</v>
      </c>
      <c r="C13" t="s">
        <v>20</v>
      </c>
      <c r="F13" t="s">
        <v>43</v>
      </c>
    </row>
    <row r="14" spans="1:6" x14ac:dyDescent="0.25">
      <c r="A14" s="19">
        <v>55</v>
      </c>
    </row>
    <row r="15" spans="1:6" x14ac:dyDescent="0.25">
      <c r="A15" s="19">
        <v>54</v>
      </c>
    </row>
    <row r="16" spans="1:6" x14ac:dyDescent="0.25">
      <c r="A16" s="19">
        <v>53</v>
      </c>
    </row>
    <row r="17" spans="1:1" x14ac:dyDescent="0.25">
      <c r="A17" s="19">
        <v>52</v>
      </c>
    </row>
    <row r="18" spans="1:1" x14ac:dyDescent="0.25">
      <c r="A18" s="19">
        <v>51</v>
      </c>
    </row>
  </sheetData>
  <mergeCells count="2">
    <mergeCell ref="A2:B2"/>
    <mergeCell ref="C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09E1C-39DB-4FC9-B6A2-9073F44F2176}">
  <sheetPr>
    <tabColor rgb="FF92D050"/>
  </sheetPr>
  <dimension ref="A2:F18"/>
  <sheetViews>
    <sheetView workbookViewId="0">
      <selection activeCell="A5" sqref="A5:A18"/>
    </sheetView>
  </sheetViews>
  <sheetFormatPr defaultRowHeight="13.2" x14ac:dyDescent="0.25"/>
  <cols>
    <col min="2" max="2" width="5.5546875" style="19" bestFit="1" customWidth="1"/>
    <col min="3" max="3" width="24.33203125" bestFit="1" customWidth="1"/>
    <col min="4" max="4" width="25.109375" bestFit="1" customWidth="1"/>
  </cols>
  <sheetData>
    <row r="2" spans="1:6" x14ac:dyDescent="0.25">
      <c r="A2" s="32" t="s">
        <v>33</v>
      </c>
      <c r="B2" s="32"/>
      <c r="C2" s="31" t="s">
        <v>71</v>
      </c>
      <c r="D2" s="31"/>
      <c r="E2" s="18" t="s">
        <v>72</v>
      </c>
    </row>
    <row r="4" spans="1:6" ht="14.4" x14ac:dyDescent="0.3">
      <c r="A4" s="9" t="s">
        <v>36</v>
      </c>
      <c r="B4" s="7" t="s">
        <v>37</v>
      </c>
      <c r="C4" s="7" t="s">
        <v>38</v>
      </c>
      <c r="D4" s="7" t="s">
        <v>39</v>
      </c>
      <c r="E4" s="7" t="s">
        <v>40</v>
      </c>
      <c r="F4" s="7" t="s">
        <v>41</v>
      </c>
    </row>
    <row r="5" spans="1:6" ht="26.4" x14ac:dyDescent="0.25">
      <c r="A5" s="19">
        <v>79</v>
      </c>
      <c r="B5" s="21">
        <v>1</v>
      </c>
      <c r="C5" s="13" t="s">
        <v>13</v>
      </c>
      <c r="D5" s="13" t="s">
        <v>44</v>
      </c>
      <c r="E5" s="13" t="s">
        <v>43</v>
      </c>
    </row>
    <row r="6" spans="1:6" x14ac:dyDescent="0.25">
      <c r="A6" s="19">
        <v>73</v>
      </c>
      <c r="B6" s="21">
        <v>2</v>
      </c>
      <c r="C6" s="13" t="s">
        <v>15</v>
      </c>
      <c r="D6" s="13" t="s">
        <v>73</v>
      </c>
      <c r="E6" s="13" t="s">
        <v>43</v>
      </c>
    </row>
    <row r="7" spans="1:6" x14ac:dyDescent="0.25">
      <c r="A7" s="19">
        <v>70</v>
      </c>
      <c r="B7" s="21">
        <v>3</v>
      </c>
      <c r="C7" s="13" t="s">
        <v>14</v>
      </c>
      <c r="D7" s="13" t="s">
        <v>42</v>
      </c>
      <c r="E7" s="13" t="s">
        <v>43</v>
      </c>
    </row>
    <row r="8" spans="1:6" x14ac:dyDescent="0.25">
      <c r="A8" s="19">
        <v>66</v>
      </c>
      <c r="B8" s="21">
        <v>4</v>
      </c>
      <c r="C8" s="13" t="s">
        <v>19</v>
      </c>
      <c r="D8" s="13" t="s">
        <v>46</v>
      </c>
      <c r="E8" s="13" t="s">
        <v>43</v>
      </c>
    </row>
    <row r="9" spans="1:6" x14ac:dyDescent="0.25">
      <c r="A9" s="19">
        <v>64</v>
      </c>
      <c r="B9" s="21">
        <v>5</v>
      </c>
      <c r="C9" s="13" t="s">
        <v>17</v>
      </c>
      <c r="D9" s="13" t="s">
        <v>74</v>
      </c>
      <c r="E9" s="13" t="s">
        <v>43</v>
      </c>
    </row>
    <row r="10" spans="1:6" x14ac:dyDescent="0.25">
      <c r="A10" s="19">
        <v>62</v>
      </c>
      <c r="B10" s="21">
        <v>6</v>
      </c>
      <c r="C10" s="13" t="s">
        <v>18</v>
      </c>
      <c r="D10" s="13" t="s">
        <v>42</v>
      </c>
      <c r="E10" s="13" t="s">
        <v>43</v>
      </c>
    </row>
    <row r="11" spans="1:6" x14ac:dyDescent="0.25">
      <c r="A11" s="19">
        <v>60</v>
      </c>
      <c r="B11" s="19">
        <v>7</v>
      </c>
      <c r="C11" t="s">
        <v>20</v>
      </c>
      <c r="D11" t="s">
        <v>42</v>
      </c>
      <c r="E11" t="s">
        <v>43</v>
      </c>
    </row>
    <row r="12" spans="1:6" x14ac:dyDescent="0.25">
      <c r="A12" s="19">
        <v>58</v>
      </c>
    </row>
    <row r="13" spans="1:6" x14ac:dyDescent="0.25">
      <c r="A13" s="19">
        <v>56</v>
      </c>
    </row>
    <row r="14" spans="1:6" x14ac:dyDescent="0.25">
      <c r="A14" s="19">
        <v>55</v>
      </c>
    </row>
    <row r="15" spans="1:6" x14ac:dyDescent="0.25">
      <c r="A15" s="19">
        <v>54</v>
      </c>
    </row>
    <row r="16" spans="1:6" x14ac:dyDescent="0.25">
      <c r="A16" s="19">
        <v>53</v>
      </c>
    </row>
    <row r="17" spans="1:1" x14ac:dyDescent="0.25">
      <c r="A17" s="19">
        <v>52</v>
      </c>
    </row>
    <row r="18" spans="1:1" x14ac:dyDescent="0.25">
      <c r="A18" s="19">
        <v>51</v>
      </c>
    </row>
  </sheetData>
  <mergeCells count="2">
    <mergeCell ref="A2:B2"/>
    <mergeCell ref="C2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BEFA2-B886-4220-83E9-6EEBE9FA0FBD}">
  <sheetPr>
    <tabColor rgb="FF92D050"/>
  </sheetPr>
  <dimension ref="A2:F18"/>
  <sheetViews>
    <sheetView workbookViewId="0">
      <selection activeCell="H41" sqref="H41"/>
    </sheetView>
  </sheetViews>
  <sheetFormatPr defaultRowHeight="13.2" x14ac:dyDescent="0.25"/>
  <cols>
    <col min="2" max="2" width="5.5546875" style="8" bestFit="1" customWidth="1"/>
    <col min="3" max="3" width="24.33203125" bestFit="1" customWidth="1"/>
    <col min="4" max="4" width="25.109375" bestFit="1" customWidth="1"/>
  </cols>
  <sheetData>
    <row r="2" spans="1:6" x14ac:dyDescent="0.25">
      <c r="A2" s="32" t="s">
        <v>33</v>
      </c>
      <c r="B2" s="32"/>
      <c r="C2" s="31" t="s">
        <v>75</v>
      </c>
      <c r="D2" s="31"/>
      <c r="E2" s="18" t="s">
        <v>76</v>
      </c>
    </row>
    <row r="4" spans="1:6" ht="14.4" x14ac:dyDescent="0.3">
      <c r="A4" s="9" t="s">
        <v>36</v>
      </c>
      <c r="B4" s="7" t="s">
        <v>37</v>
      </c>
      <c r="C4" s="7" t="s">
        <v>38</v>
      </c>
      <c r="D4" s="7" t="s">
        <v>39</v>
      </c>
      <c r="E4" s="7" t="s">
        <v>40</v>
      </c>
      <c r="F4" s="7" t="s">
        <v>41</v>
      </c>
    </row>
    <row r="5" spans="1:6" x14ac:dyDescent="0.25">
      <c r="A5" s="19">
        <v>79</v>
      </c>
      <c r="B5" s="8">
        <v>1</v>
      </c>
      <c r="C5" t="s">
        <v>54</v>
      </c>
    </row>
    <row r="6" spans="1:6" x14ac:dyDescent="0.25">
      <c r="A6" s="19">
        <v>73</v>
      </c>
      <c r="B6" s="8">
        <v>2</v>
      </c>
      <c r="C6" t="s">
        <v>77</v>
      </c>
    </row>
    <row r="7" spans="1:6" x14ac:dyDescent="0.25">
      <c r="A7" s="19">
        <v>70</v>
      </c>
      <c r="B7" s="8">
        <v>3</v>
      </c>
      <c r="C7" t="s">
        <v>59</v>
      </c>
    </row>
    <row r="8" spans="1:6" x14ac:dyDescent="0.25">
      <c r="A8" s="19">
        <v>66</v>
      </c>
      <c r="B8" s="8">
        <v>4</v>
      </c>
      <c r="C8" t="s">
        <v>60</v>
      </c>
    </row>
    <row r="9" spans="1:6" x14ac:dyDescent="0.25">
      <c r="A9" s="19">
        <v>64</v>
      </c>
    </row>
    <row r="10" spans="1:6" x14ac:dyDescent="0.25">
      <c r="A10" s="19">
        <v>62</v>
      </c>
    </row>
    <row r="11" spans="1:6" x14ac:dyDescent="0.25">
      <c r="A11" s="19">
        <v>60</v>
      </c>
    </row>
    <row r="12" spans="1:6" x14ac:dyDescent="0.25">
      <c r="A12" s="19">
        <v>58</v>
      </c>
    </row>
    <row r="13" spans="1:6" x14ac:dyDescent="0.25">
      <c r="A13" s="19">
        <v>56</v>
      </c>
    </row>
    <row r="14" spans="1:6" x14ac:dyDescent="0.25">
      <c r="A14" s="19">
        <v>55</v>
      </c>
    </row>
    <row r="15" spans="1:6" x14ac:dyDescent="0.25">
      <c r="A15" s="19">
        <v>54</v>
      </c>
    </row>
    <row r="16" spans="1:6" x14ac:dyDescent="0.25">
      <c r="A16" s="19">
        <v>53</v>
      </c>
    </row>
    <row r="17" spans="1:1" x14ac:dyDescent="0.25">
      <c r="A17" s="19">
        <v>52</v>
      </c>
    </row>
    <row r="18" spans="1:1" x14ac:dyDescent="0.25">
      <c r="A18" s="19">
        <v>51</v>
      </c>
    </row>
  </sheetData>
  <mergeCells count="2">
    <mergeCell ref="A2:B2"/>
    <mergeCell ref="C2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EF344-7173-43DE-8914-FBE17AC54547}">
  <sheetPr>
    <tabColor rgb="FF92D050"/>
  </sheetPr>
  <dimension ref="A2:D14"/>
  <sheetViews>
    <sheetView workbookViewId="0">
      <selection activeCell="B17" sqref="B17"/>
    </sheetView>
  </sheetViews>
  <sheetFormatPr defaultRowHeight="13.2" x14ac:dyDescent="0.25"/>
  <cols>
    <col min="1" max="1" width="13.44140625" customWidth="1"/>
    <col min="2" max="2" width="26.6640625" bestFit="1" customWidth="1"/>
    <col min="3" max="3" width="7.109375" bestFit="1" customWidth="1"/>
  </cols>
  <sheetData>
    <row r="2" spans="1:4" x14ac:dyDescent="0.25">
      <c r="A2" s="12" t="s">
        <v>33</v>
      </c>
      <c r="B2" s="15">
        <v>44551</v>
      </c>
      <c r="C2" s="24" t="s">
        <v>78</v>
      </c>
    </row>
    <row r="4" spans="1:4" ht="14.4" x14ac:dyDescent="0.3">
      <c r="A4" s="9" t="s">
        <v>36</v>
      </c>
      <c r="B4" s="7" t="s">
        <v>38</v>
      </c>
      <c r="C4" s="7" t="s">
        <v>36</v>
      </c>
    </row>
    <row r="5" spans="1:4" x14ac:dyDescent="0.25">
      <c r="A5">
        <f>C5*2</f>
        <v>49.12</v>
      </c>
      <c r="B5" s="25" t="s">
        <v>79</v>
      </c>
      <c r="C5" s="14">
        <v>24.56</v>
      </c>
      <c r="D5" s="13"/>
    </row>
    <row r="6" spans="1:4" x14ac:dyDescent="0.25">
      <c r="A6">
        <f t="shared" ref="A6:A14" si="0">C6*2</f>
        <v>43.38</v>
      </c>
      <c r="B6" s="25" t="s">
        <v>13</v>
      </c>
      <c r="C6" s="16">
        <v>21.69</v>
      </c>
      <c r="D6" s="13"/>
    </row>
    <row r="7" spans="1:4" x14ac:dyDescent="0.25">
      <c r="A7">
        <f t="shared" si="0"/>
        <v>11.9</v>
      </c>
      <c r="B7" s="25" t="s">
        <v>26</v>
      </c>
      <c r="C7" s="16">
        <v>5.95</v>
      </c>
    </row>
    <row r="8" spans="1:4" x14ac:dyDescent="0.25">
      <c r="A8">
        <f t="shared" si="0"/>
        <v>10.88</v>
      </c>
      <c r="B8" s="25" t="s">
        <v>28</v>
      </c>
      <c r="C8" s="16">
        <v>5.44</v>
      </c>
    </row>
    <row r="9" spans="1:4" x14ac:dyDescent="0.25">
      <c r="A9">
        <f t="shared" si="0"/>
        <v>0</v>
      </c>
      <c r="B9" s="25"/>
    </row>
    <row r="10" spans="1:4" x14ac:dyDescent="0.25">
      <c r="A10">
        <f t="shared" si="0"/>
        <v>0</v>
      </c>
      <c r="B10" s="25"/>
    </row>
    <row r="11" spans="1:4" x14ac:dyDescent="0.25">
      <c r="A11">
        <f t="shared" si="0"/>
        <v>0</v>
      </c>
      <c r="B11" s="25"/>
    </row>
    <row r="12" spans="1:4" x14ac:dyDescent="0.25">
      <c r="A12">
        <f t="shared" si="0"/>
        <v>0</v>
      </c>
      <c r="B12" s="25"/>
    </row>
    <row r="13" spans="1:4" x14ac:dyDescent="0.25">
      <c r="A13">
        <f t="shared" si="0"/>
        <v>0</v>
      </c>
      <c r="B13" s="25"/>
    </row>
    <row r="14" spans="1:4" x14ac:dyDescent="0.25">
      <c r="A14">
        <f t="shared" si="0"/>
        <v>0</v>
      </c>
      <c r="B14" s="25"/>
    </row>
  </sheetData>
  <hyperlinks>
    <hyperlink ref="C2" r:id="rId1" xr:uid="{D9339EED-AE1A-4656-8FE3-639820D8060B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Ranking</vt:lpstr>
      <vt:lpstr>MP</vt:lpstr>
      <vt:lpstr>GP1</vt:lpstr>
      <vt:lpstr>GP2</vt:lpstr>
      <vt:lpstr>GP3</vt:lpstr>
      <vt:lpstr>GP4</vt:lpstr>
      <vt:lpstr>GP5</vt:lpstr>
      <vt:lpstr>EU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Sadowska</cp:lastModifiedBy>
  <cp:revision/>
  <dcterms:created xsi:type="dcterms:W3CDTF">2021-10-21T08:27:43Z</dcterms:created>
  <dcterms:modified xsi:type="dcterms:W3CDTF">2022-03-19T21:38:37Z</dcterms:modified>
  <cp:category/>
  <cp:contentStatus/>
</cp:coreProperties>
</file>