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Nowy excel - robocze/"/>
    </mc:Choice>
  </mc:AlternateContent>
  <xr:revisionPtr revIDLastSave="83" documentId="8_{7DCFD9FF-8A32-4034-AFB0-C083BCE09D45}" xr6:coauthVersionLast="47" xr6:coauthVersionMax="47" xr10:uidLastSave="{0EC4168F-EF81-425D-9DAC-405E91126C6A}"/>
  <bookViews>
    <workbookView xWindow="-108" yWindow="-108" windowWidth="23256" windowHeight="12720" tabRatio="956" firstSheet="6" xr2:uid="{00000000-000D-0000-FFFF-FFFF00000000}"/>
  </bookViews>
  <sheets>
    <sheet name="Ranking" sheetId="1" r:id="rId1"/>
    <sheet name="MP" sheetId="3" r:id="rId2"/>
    <sheet name="GP1" sheetId="7" r:id="rId3"/>
    <sheet name="GP2" sheetId="8" r:id="rId4"/>
    <sheet name="GP3" sheetId="9" r:id="rId5"/>
    <sheet name="GP4" sheetId="10" r:id="rId6"/>
    <sheet name="GP5" sheetId="11" r:id="rId7"/>
    <sheet name="EU" sheetId="12" r:id="rId8"/>
  </sheets>
  <definedNames>
    <definedName name="_xlnm._FilterDatabase" localSheetId="0" hidden="1">Ranking!$A$2:$Q$2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F5" i="1" s="1"/>
  <c r="E3" i="1"/>
  <c r="K7" i="1"/>
  <c r="L7" i="1" s="1"/>
  <c r="K8" i="1"/>
  <c r="L8" i="1" s="1"/>
  <c r="K11" i="1"/>
  <c r="L11" i="1" s="1"/>
  <c r="K6" i="1"/>
  <c r="L6" i="1" s="1"/>
  <c r="K4" i="1"/>
  <c r="L4" i="1" s="1"/>
  <c r="K13" i="1"/>
  <c r="L13" i="1" s="1"/>
  <c r="K12" i="1"/>
  <c r="L12" i="1" s="1"/>
  <c r="K10" i="1"/>
  <c r="L10" i="1" s="1"/>
  <c r="K9" i="1"/>
  <c r="L9" i="1" s="1"/>
  <c r="K5" i="1"/>
  <c r="L5" i="1" s="1"/>
  <c r="Q7" i="1"/>
  <c r="Q8" i="1"/>
  <c r="Q11" i="1"/>
  <c r="Q6" i="1"/>
  <c r="Q13" i="1"/>
  <c r="Q12" i="1"/>
  <c r="Q10" i="1"/>
  <c r="Q9" i="1"/>
  <c r="Q5" i="1"/>
  <c r="Q3" i="1"/>
  <c r="O7" i="1"/>
  <c r="P7" i="1" s="1"/>
  <c r="M7" i="1"/>
  <c r="N7" i="1" s="1"/>
  <c r="I7" i="1"/>
  <c r="J7" i="1" s="1"/>
  <c r="G7" i="1"/>
  <c r="H7" i="1" s="1"/>
  <c r="E7" i="1"/>
  <c r="F7" i="1" s="1"/>
  <c r="A7" i="1"/>
  <c r="A14" i="12"/>
  <c r="A13" i="12"/>
  <c r="A12" i="12"/>
  <c r="A11" i="12"/>
  <c r="A10" i="12"/>
  <c r="A9" i="12"/>
  <c r="A8" i="12"/>
  <c r="A7" i="12"/>
  <c r="A6" i="12"/>
  <c r="A5" i="12"/>
  <c r="Q4" i="1" s="1"/>
  <c r="O8" i="1"/>
  <c r="P8" i="1" s="1"/>
  <c r="O11" i="1"/>
  <c r="P11" i="1" s="1"/>
  <c r="O6" i="1"/>
  <c r="P6" i="1" s="1"/>
  <c r="O4" i="1"/>
  <c r="P4" i="1" s="1"/>
  <c r="O13" i="1"/>
  <c r="P13" i="1" s="1"/>
  <c r="O12" i="1"/>
  <c r="P12" i="1" s="1"/>
  <c r="O10" i="1"/>
  <c r="P10" i="1" s="1"/>
  <c r="O9" i="1"/>
  <c r="P9" i="1" s="1"/>
  <c r="O3" i="1"/>
  <c r="P3" i="1" s="1"/>
  <c r="O5" i="1"/>
  <c r="P5" i="1" s="1"/>
  <c r="M8" i="1"/>
  <c r="N8" i="1" s="1"/>
  <c r="M11" i="1"/>
  <c r="N11" i="1" s="1"/>
  <c r="M6" i="1"/>
  <c r="N6" i="1" s="1"/>
  <c r="M4" i="1"/>
  <c r="N4" i="1" s="1"/>
  <c r="M13" i="1"/>
  <c r="N13" i="1" s="1"/>
  <c r="M12" i="1"/>
  <c r="N12" i="1" s="1"/>
  <c r="M10" i="1"/>
  <c r="N10" i="1" s="1"/>
  <c r="M9" i="1"/>
  <c r="N9" i="1" s="1"/>
  <c r="M3" i="1"/>
  <c r="N3" i="1" s="1"/>
  <c r="M5" i="1"/>
  <c r="N5" i="1" s="1"/>
  <c r="K3" i="1"/>
  <c r="L3" i="1" s="1"/>
  <c r="I8" i="1"/>
  <c r="J8" i="1" s="1"/>
  <c r="I11" i="1"/>
  <c r="J11" i="1" s="1"/>
  <c r="I6" i="1"/>
  <c r="J6" i="1" s="1"/>
  <c r="I4" i="1"/>
  <c r="J4" i="1" s="1"/>
  <c r="I13" i="1"/>
  <c r="J13" i="1" s="1"/>
  <c r="I12" i="1"/>
  <c r="J12" i="1" s="1"/>
  <c r="I10" i="1"/>
  <c r="J10" i="1" s="1"/>
  <c r="I9" i="1"/>
  <c r="J9" i="1" s="1"/>
  <c r="I3" i="1"/>
  <c r="J3" i="1" s="1"/>
  <c r="I5" i="1"/>
  <c r="J5" i="1" s="1"/>
  <c r="G8" i="1"/>
  <c r="H8" i="1" s="1"/>
  <c r="G11" i="1"/>
  <c r="H11" i="1" s="1"/>
  <c r="G6" i="1"/>
  <c r="H6" i="1" s="1"/>
  <c r="G4" i="1"/>
  <c r="H4" i="1" s="1"/>
  <c r="G13" i="1"/>
  <c r="H13" i="1" s="1"/>
  <c r="G12" i="1"/>
  <c r="H12" i="1" s="1"/>
  <c r="G10" i="1"/>
  <c r="H10" i="1" s="1"/>
  <c r="G9" i="1"/>
  <c r="H9" i="1" s="1"/>
  <c r="G3" i="1"/>
  <c r="H3" i="1" s="1"/>
  <c r="G5" i="1"/>
  <c r="H5" i="1" s="1"/>
  <c r="A8" i="1"/>
  <c r="A11" i="1"/>
  <c r="A6" i="1"/>
  <c r="A4" i="1"/>
  <c r="A13" i="1"/>
  <c r="A12" i="1"/>
  <c r="A10" i="1"/>
  <c r="A9" i="1"/>
  <c r="A3" i="1"/>
  <c r="A5" i="1"/>
  <c r="E6" i="1"/>
  <c r="F6" i="1" s="1"/>
  <c r="E4" i="1"/>
  <c r="F4" i="1" s="1"/>
  <c r="E11" i="1"/>
  <c r="F11" i="1" s="1"/>
  <c r="E8" i="1"/>
  <c r="F8" i="1" s="1"/>
  <c r="E10" i="1"/>
  <c r="F10" i="1" s="1"/>
  <c r="E9" i="1"/>
  <c r="F9" i="1" s="1"/>
  <c r="E12" i="1"/>
  <c r="F12" i="1" s="1"/>
  <c r="E13" i="1"/>
  <c r="F13" i="1" s="1"/>
  <c r="F3" i="1"/>
  <c r="D7" i="1" l="1"/>
  <c r="D3" i="1"/>
  <c r="D8" i="1"/>
  <c r="D4" i="1"/>
  <c r="D12" i="1"/>
  <c r="D13" i="1"/>
  <c r="D9" i="1" l="1"/>
  <c r="D11" i="1"/>
  <c r="D10" i="1"/>
  <c r="D6" i="1"/>
  <c r="D5" i="1"/>
</calcChain>
</file>

<file path=xl/sharedStrings.xml><?xml version="1.0" encoding="utf-8"?>
<sst xmlns="http://schemas.openxmlformats.org/spreadsheetml/2006/main" count="112" uniqueCount="44">
  <si>
    <t>L.P.</t>
  </si>
  <si>
    <t>IMIĘ NAZWISKO</t>
  </si>
  <si>
    <t>KLUB</t>
  </si>
  <si>
    <t>PUNKTY</t>
  </si>
  <si>
    <t>MPW</t>
  </si>
  <si>
    <t>GP I</t>
  </si>
  <si>
    <t>GP II</t>
  </si>
  <si>
    <t>GP III</t>
  </si>
  <si>
    <t>GP IV</t>
  </si>
  <si>
    <t>GP V</t>
  </si>
  <si>
    <t>EU</t>
  </si>
  <si>
    <t>M</t>
  </si>
  <si>
    <t>P</t>
  </si>
  <si>
    <t>FURMANIAK Andrzej</t>
  </si>
  <si>
    <t>WYLĘGAŁA Jerzy</t>
  </si>
  <si>
    <t>BORKOWSKI Andrzej</t>
  </si>
  <si>
    <t>WROŃSKI Stanisław</t>
  </si>
  <si>
    <t>miejsce i data:</t>
  </si>
  <si>
    <t>GDAŃSK 11-12.12.2021</t>
  </si>
  <si>
    <t>https://www.fencingtimelive.com/tournaments/eventSchedule/B06361F2B31C4ADAA2CBD17E7991E7EE?fbclid=IwAR2CmZahI2lsyx2pdNyW3vSstaL43zO9Q3vW5KI1P5wm8SRcr0wZIN7K_8A#today</t>
  </si>
  <si>
    <t>POINTS</t>
  </si>
  <si>
    <t>Place</t>
  </si>
  <si>
    <t>Name</t>
  </si>
  <si>
    <t>Club(s)</t>
  </si>
  <si>
    <t>Division</t>
  </si>
  <si>
    <t>Country</t>
  </si>
  <si>
    <t>POL</t>
  </si>
  <si>
    <t>WKS KOLEJARZ WROCŁAW.</t>
  </si>
  <si>
    <t>LESZNO</t>
  </si>
  <si>
    <t>WARSZAWA 13-14.03.2021</t>
  </si>
  <si>
    <t>http://79.163.66.117/spws/etapy.php?marek=123&amp;_turid=493</t>
  </si>
  <si>
    <t>Furmaniak Andrzej</t>
  </si>
  <si>
    <t>Borkowski Andrzej</t>
  </si>
  <si>
    <t>LESZNO 23-24.10.2021</t>
  </si>
  <si>
    <t>https://www.fencingtimelive.com/events/results/99E79B77189242A6A440212EC2EAE5C7</t>
  </si>
  <si>
    <t>AZS AWF POZNAŃ</t>
  </si>
  <si>
    <t>KATOWICE 19-20.06.2021</t>
  </si>
  <si>
    <t>https://www.fencingtimelive.com/events/results/78A85DD94DD7410487E363BF4301C9F5</t>
  </si>
  <si>
    <t>AZS AWF Poznań</t>
  </si>
  <si>
    <t>TORUŃ 27-28.12.2021</t>
  </si>
  <si>
    <t>http://79.163.66.117/spws/etapy.php?_etaid=902</t>
  </si>
  <si>
    <t>Wroński Stanisław</t>
  </si>
  <si>
    <t>4 (70-79)</t>
  </si>
  <si>
    <t>https://www.veteransfencing.eu/fencing/rankings/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</si>
</sst>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2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0" fontId="5" fillId="0" borderId="0" xfId="3"/>
    <xf numFmtId="0" fontId="5" fillId="0" borderId="0" xfId="4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Akcent 1" xfId="1" builtinId="29"/>
    <cellStyle name="Akcent 3" xfId="2" builtinId="37"/>
    <cellStyle name="Hiperłącze" xfId="3" builtinId="8"/>
    <cellStyle name="Hyperlink" xfId="4" xr:uid="{00000000-000B-0000-0000-000008000000}"/>
    <cellStyle name="Normalny" xfId="0" builtinId="0"/>
  </cellStyles>
  <dxfs count="8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499984740745262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tournaments/eventSchedule/B06361F2B31C4ADAA2CBD17E7991E7EE?fbclid=IwAR2CmZahI2lsyx2pdNyW3vSstaL43zO9Q3vW5KI1P5wm8SRcr0wZIN7K_8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marek=123&amp;_turid=49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99E79B77189242A6A440212EC2EAE5C7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78A85DD94DD7410487E363BF4301C9F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_etaid=90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D5" sqref="D5"/>
    </sheetView>
  </sheetViews>
  <sheetFormatPr defaultColWidth="11.5546875" defaultRowHeight="13.2" x14ac:dyDescent="0.25"/>
  <cols>
    <col min="1" max="1" width="6" customWidth="1"/>
    <col min="2" max="2" width="29.33203125" customWidth="1"/>
    <col min="3" max="3" width="13.88671875" customWidth="1"/>
    <col min="5" max="5" width="9.5546875" bestFit="1" customWidth="1"/>
    <col min="6" max="16" width="6" customWidth="1"/>
    <col min="17" max="17" width="9.33203125" customWidth="1"/>
  </cols>
  <sheetData>
    <row r="1" spans="1:17" ht="24.7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4" t="s">
        <v>4</v>
      </c>
      <c r="F1" s="24"/>
      <c r="G1" s="24" t="s">
        <v>5</v>
      </c>
      <c r="H1" s="24"/>
      <c r="I1" s="24" t="s">
        <v>6</v>
      </c>
      <c r="J1" s="24"/>
      <c r="K1" s="25" t="s">
        <v>7</v>
      </c>
      <c r="L1" s="24"/>
      <c r="M1" s="24" t="s">
        <v>8</v>
      </c>
      <c r="N1" s="24"/>
      <c r="O1" s="24" t="s">
        <v>9</v>
      </c>
      <c r="P1" s="24"/>
      <c r="Q1" s="10" t="s">
        <v>10</v>
      </c>
    </row>
    <row r="2" spans="1:17" ht="18" customHeight="1" x14ac:dyDescent="0.25">
      <c r="A2" s="27"/>
      <c r="B2" s="27"/>
      <c r="C2" s="27"/>
      <c r="D2" s="27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12</v>
      </c>
    </row>
    <row r="3" spans="1:17" ht="14.85" customHeight="1" x14ac:dyDescent="0.25">
      <c r="A3" s="2">
        <f>ROW()-2</f>
        <v>1</v>
      </c>
      <c r="B3" s="6" t="s">
        <v>13</v>
      </c>
      <c r="C3" s="3"/>
      <c r="D3" s="4">
        <f>SUM(F3,H3,J3,L3,N3,P3,Q3)-MIN(H3,J3,L3,N3,P3)</f>
        <v>405</v>
      </c>
      <c r="E3" s="5">
        <f>_xlfn.XLOOKUP(B3,MP!C$5:C$14,MP!B$5:B$14,"")</f>
        <v>1</v>
      </c>
      <c r="F3" s="5">
        <f>_xlfn.XLOOKUP(E3,MP!B$5:B$14,MP!A$5:A$14,0)</f>
        <v>95</v>
      </c>
      <c r="G3" s="5" t="str">
        <f>_xlfn.XLOOKUP($B3,'GP1'!$C$5:$C$14,'GP1'!$B$5:$B$14,"")</f>
        <v/>
      </c>
      <c r="H3" s="5">
        <f>_xlfn.XLOOKUP(G3,'GP1'!$B$5:$B$14,'GP1'!$A$5:$A$14,0)</f>
        <v>0</v>
      </c>
      <c r="I3" s="5">
        <f>_xlfn.XLOOKUP($B3,'GP2'!$C$5:$C$14,'GP2'!$B$5:$B$14,"")</f>
        <v>1</v>
      </c>
      <c r="J3" s="5">
        <f>_xlfn.XLOOKUP(I3,'GP2'!$B$5:$B$14,'GP2'!$A$5:$A$14,0)</f>
        <v>79</v>
      </c>
      <c r="K3" s="5">
        <f>_xlfn.XLOOKUP($B3,'GP3'!$C$5:$C$14,'GP3'!$B$5:$B$14,"")</f>
        <v>1</v>
      </c>
      <c r="L3" s="5">
        <f>_xlfn.XLOOKUP(K3,'GP3'!$B$5:$B$14,'GP3'!$A$5:$A$14,0)</f>
        <v>79</v>
      </c>
      <c r="M3" s="5">
        <f>_xlfn.XLOOKUP($B3,'GP4'!$C$5:$C$14,'GP4'!$B$5:$B$14,"")</f>
        <v>1</v>
      </c>
      <c r="N3" s="5">
        <f>_xlfn.XLOOKUP(M3,'GP4'!$B$5:$B$14,'GP4'!$A$5:$A$14,0)</f>
        <v>79</v>
      </c>
      <c r="O3" s="5">
        <f>_xlfn.XLOOKUP($B3,'GP5'!$C$5:$C$14,'GP5'!$B$5:$B$14,"")</f>
        <v>2</v>
      </c>
      <c r="P3" s="5">
        <f>_xlfn.XLOOKUP(O3,'GP5'!$B$5:$B$14,'GP5'!$A$5:$A$14,0)</f>
        <v>73</v>
      </c>
      <c r="Q3" s="21">
        <f>_xlfn.XLOOKUP($B3,EU!$B$5:$B$20,EU!$A$5:$A$20,0)</f>
        <v>0</v>
      </c>
    </row>
    <row r="4" spans="1:17" ht="14.85" customHeight="1" x14ac:dyDescent="0.25">
      <c r="A4" s="2">
        <f>ROW()-2</f>
        <v>2</v>
      </c>
      <c r="B4" s="6" t="s">
        <v>14</v>
      </c>
      <c r="C4" s="5"/>
      <c r="D4" s="4">
        <f>SUM(F4,H4,J4,L4,N4,P4,Q4)-MIN(H4,J4,L4,N4,P4)</f>
        <v>276.94</v>
      </c>
      <c r="E4" s="5">
        <f>_xlfn.XLOOKUP(B4,MP!C$5:C$14,MP!B$5:B$14,"")</f>
        <v>2</v>
      </c>
      <c r="F4" s="5">
        <f>_xlfn.XLOOKUP(E4,MP!B$5:B$14,MP!A$5:A$14,0)</f>
        <v>88</v>
      </c>
      <c r="G4" s="5">
        <f>_xlfn.XLOOKUP($B4,'GP1'!$C$5:$C$14,'GP1'!$B$5:$B$14,"")</f>
        <v>1</v>
      </c>
      <c r="H4" s="5">
        <f>_xlfn.XLOOKUP(G4,'GP1'!$B$5:$B$14,'GP1'!$A$5:$A$14,0)</f>
        <v>79</v>
      </c>
      <c r="I4" s="5" t="str">
        <f>_xlfn.XLOOKUP($B4,'GP2'!$C$5:$C$14,'GP2'!$B$5:$B$14,"")</f>
        <v/>
      </c>
      <c r="J4" s="5">
        <f>_xlfn.XLOOKUP(I4,'GP2'!$B$5:$B$14,'GP2'!$A$5:$A$14,0)</f>
        <v>0</v>
      </c>
      <c r="K4" s="5">
        <f>_xlfn.XLOOKUP($B4,'GP3'!$C$5:$C$14,'GP3'!$B$5:$B$14,"")</f>
        <v>2</v>
      </c>
      <c r="L4" s="5">
        <f>_xlfn.XLOOKUP(K4,'GP3'!$B$5:$B$14,'GP3'!$A$5:$A$14,0)</f>
        <v>73</v>
      </c>
      <c r="M4" s="5" t="str">
        <f>_xlfn.XLOOKUP($B4,'GP4'!$C$5:$C$14,'GP4'!$B$5:$B$14,"")</f>
        <v/>
      </c>
      <c r="N4" s="5">
        <f>_xlfn.XLOOKUP(M4,'GP4'!$B$5:$B$14,'GP4'!$A$5:$A$14,0)</f>
        <v>0</v>
      </c>
      <c r="O4" s="5" t="str">
        <f>_xlfn.XLOOKUP($B4,'GP5'!$C$5:$C$14,'GP5'!$B$5:$B$14,"")</f>
        <v/>
      </c>
      <c r="P4" s="5">
        <f>_xlfn.XLOOKUP(O4,'GP5'!$B$5:$B$14,'GP5'!$A$5:$A$14,0)</f>
        <v>0</v>
      </c>
      <c r="Q4" s="21">
        <f>_xlfn.XLOOKUP($B4,EU!$B$5:$B$20,EU!$A$5:$A$20,0)</f>
        <v>36.94</v>
      </c>
    </row>
    <row r="5" spans="1:17" ht="15.75" customHeight="1" x14ac:dyDescent="0.25">
      <c r="A5" s="2">
        <f>ROW()-2</f>
        <v>3</v>
      </c>
      <c r="B5" s="6" t="s">
        <v>16</v>
      </c>
      <c r="C5" s="11"/>
      <c r="D5" s="4">
        <f>SUM(F5,H5,J5,L5,N5,P5,Q5)-MIN(H5,J5,L5,N5,P5)</f>
        <v>79</v>
      </c>
      <c r="E5" s="5" t="str">
        <f>_xlfn.XLOOKUP(B5,MP!C$5:C$14,MP!B$5:B$14,"")</f>
        <v/>
      </c>
      <c r="F5" s="5">
        <f>_xlfn.XLOOKUP(E5,MP!B$5:B$14,MP!A$5:A$14,0)</f>
        <v>0</v>
      </c>
      <c r="G5" s="5" t="str">
        <f>_xlfn.XLOOKUP($B5,'GP1'!$C$5:$C$14,'GP1'!$B$5:$B$14,"")</f>
        <v/>
      </c>
      <c r="H5" s="5">
        <f>_xlfn.XLOOKUP(G5,'GP1'!$B$5:$B$14,'GP1'!$A$5:$A$14,0)</f>
        <v>0</v>
      </c>
      <c r="I5" s="5" t="str">
        <f>_xlfn.XLOOKUP($B5,'GP2'!$C$5:$C$14,'GP2'!$B$5:$B$14,"")</f>
        <v/>
      </c>
      <c r="J5" s="5">
        <f>_xlfn.XLOOKUP(I5,'GP2'!$B$5:$B$14,'GP2'!$A$5:$A$14,0)</f>
        <v>0</v>
      </c>
      <c r="K5" s="5" t="str">
        <f>_xlfn.XLOOKUP($B5,'GP3'!$C$5:$C$14,'GP3'!$B$5:$B$14,"")</f>
        <v/>
      </c>
      <c r="L5" s="5">
        <f>_xlfn.XLOOKUP(K5,'GP3'!$B$5:$B$14,'GP3'!$A$5:$A$14,0)</f>
        <v>0</v>
      </c>
      <c r="M5" s="5" t="str">
        <f>_xlfn.XLOOKUP($B5,'GP4'!$C$5:$C$14,'GP4'!$B$5:$B$14,"")</f>
        <v/>
      </c>
      <c r="N5" s="5">
        <f>_xlfn.XLOOKUP(M5,'GP4'!$B$5:$B$14,'GP4'!$A$5:$A$14,0)</f>
        <v>0</v>
      </c>
      <c r="O5" s="5">
        <f>_xlfn.XLOOKUP($B5,'GP5'!$C$5:$C$14,'GP5'!$B$5:$B$14,"")</f>
        <v>1</v>
      </c>
      <c r="P5" s="5">
        <f>_xlfn.XLOOKUP(O5,'GP5'!$B$5:$B$14,'GP5'!$A$5:$A$14,0)</f>
        <v>79</v>
      </c>
      <c r="Q5" s="21">
        <f>_xlfn.XLOOKUP($B5,EU!$B$5:$B$20,EU!$A$5:$A$20,0)</f>
        <v>0</v>
      </c>
    </row>
    <row r="6" spans="1:17" ht="14.85" customHeight="1" x14ac:dyDescent="0.25">
      <c r="A6" s="2">
        <f>ROW()-2</f>
        <v>4</v>
      </c>
      <c r="B6" s="6" t="s">
        <v>15</v>
      </c>
      <c r="C6" s="3"/>
      <c r="D6" s="4">
        <f>SUM(F6,H6,J6,L6,N6,P6,Q6)-MIN(H6,J6,L6,N6,P6)</f>
        <v>73</v>
      </c>
      <c r="E6" s="5" t="str">
        <f>_xlfn.XLOOKUP(B6,MP!C$5:C$14,MP!B$5:B$14,"")</f>
        <v/>
      </c>
      <c r="F6" s="5">
        <f>_xlfn.XLOOKUP(E6,MP!B$5:B$14,MP!A$5:A$14,0)</f>
        <v>0</v>
      </c>
      <c r="G6" s="5" t="str">
        <f>_xlfn.XLOOKUP($B6,'GP1'!$C$5:$C$14,'GP1'!$B$5:$B$14,"")</f>
        <v/>
      </c>
      <c r="H6" s="5">
        <f>_xlfn.XLOOKUP(G6,'GP1'!$B$5:$B$14,'GP1'!$A$5:$A$14,0)</f>
        <v>0</v>
      </c>
      <c r="I6" s="5">
        <f>_xlfn.XLOOKUP($B6,'GP2'!$C$5:$C$14,'GP2'!$B$5:$B$14,"")</f>
        <v>2</v>
      </c>
      <c r="J6" s="5">
        <f>_xlfn.XLOOKUP(I6,'GP2'!$B$5:$B$14,'GP2'!$A$5:$A$14,0)</f>
        <v>73</v>
      </c>
      <c r="K6" s="5" t="str">
        <f>_xlfn.XLOOKUP($B6,'GP3'!$C$5:$C$14,'GP3'!$B$5:$B$14,"")</f>
        <v/>
      </c>
      <c r="L6" s="5">
        <f>_xlfn.XLOOKUP(K6,'GP3'!$B$5:$B$14,'GP3'!$A$5:$A$14,0)</f>
        <v>0</v>
      </c>
      <c r="M6" s="5" t="str">
        <f>_xlfn.XLOOKUP($B6,'GP4'!$C$5:$C$14,'GP4'!$B$5:$B$14,"")</f>
        <v/>
      </c>
      <c r="N6" s="5">
        <f>_xlfn.XLOOKUP(M6,'GP4'!$B$5:$B$14,'GP4'!$A$5:$A$14,0)</f>
        <v>0</v>
      </c>
      <c r="O6" s="5" t="str">
        <f>_xlfn.XLOOKUP($B6,'GP5'!$C$5:$C$14,'GP5'!$B$5:$B$14,"")</f>
        <v/>
      </c>
      <c r="P6" s="5">
        <f>_xlfn.XLOOKUP(O6,'GP5'!$B$5:$B$14,'GP5'!$A$5:$A$14,0)</f>
        <v>0</v>
      </c>
      <c r="Q6" s="21">
        <f>_xlfn.XLOOKUP($B6,EU!$B$5:$B$20,EU!$A$5:$A$20,0)</f>
        <v>0</v>
      </c>
    </row>
    <row r="7" spans="1:17" ht="14.85" customHeight="1" x14ac:dyDescent="0.25">
      <c r="A7" s="2">
        <f>ROW()-2</f>
        <v>5</v>
      </c>
      <c r="B7" s="6"/>
      <c r="C7" s="3"/>
      <c r="D7" s="4">
        <f>SUM(F7,H7,J7,L7,N7,P7,Q7)-MIN(H7,J7,L7,N7,P7)</f>
        <v>0</v>
      </c>
      <c r="E7" s="5">
        <f>_xlfn.XLOOKUP(B7,MP!C$5:C$14,MP!B$5:B$14,"")</f>
        <v>0</v>
      </c>
      <c r="F7" s="5">
        <f>_xlfn.XLOOKUP(E7,MP!B$5:B$14,MP!A$5:A$14,0)</f>
        <v>0</v>
      </c>
      <c r="G7" s="5">
        <f>_xlfn.XLOOKUP($B7,'GP1'!$C$5:$C$14,'GP1'!$B$5:$B$14,"")</f>
        <v>0</v>
      </c>
      <c r="H7" s="5">
        <f>_xlfn.XLOOKUP(G7,'GP1'!$B$5:$B$14,'GP1'!$A$5:$A$14,0)</f>
        <v>0</v>
      </c>
      <c r="I7" s="5">
        <f>_xlfn.XLOOKUP($B7,'GP2'!$C$5:$C$14,'GP2'!$B$5:$B$14,"")</f>
        <v>0</v>
      </c>
      <c r="J7" s="5">
        <f>_xlfn.XLOOKUP(I7,'GP2'!$B$5:$B$14,'GP2'!$A$5:$A$14,0)</f>
        <v>0</v>
      </c>
      <c r="K7" s="5">
        <f>_xlfn.XLOOKUP($B7,'GP3'!$C$5:$C$14,'GP3'!$B$5:$B$14,"")</f>
        <v>0</v>
      </c>
      <c r="L7" s="5">
        <f>_xlfn.XLOOKUP(K7,'GP3'!$B$5:$B$14,'GP3'!$A$5:$A$14,0)</f>
        <v>0</v>
      </c>
      <c r="M7" s="5">
        <f>_xlfn.XLOOKUP($B7,'GP4'!$C$5:$C$14,'GP4'!$B$5:$B$14,"")</f>
        <v>0</v>
      </c>
      <c r="N7" s="5">
        <f>_xlfn.XLOOKUP(M7,'GP4'!$B$5:$B$14,'GP4'!$A$5:$A$14,0)</f>
        <v>0</v>
      </c>
      <c r="O7" s="5">
        <f>_xlfn.XLOOKUP($B7,'GP5'!$C$5:$C$14,'GP5'!$B$5:$B$14,"")</f>
        <v>0</v>
      </c>
      <c r="P7" s="5">
        <f>_xlfn.XLOOKUP(O7,'GP5'!$B$5:$B$14,'GP5'!$A$5:$A$14,0)</f>
        <v>0</v>
      </c>
      <c r="Q7" s="21">
        <f>_xlfn.XLOOKUP($B7,EU!$B$5:$B$20,EU!$A$5:$A$20,0)</f>
        <v>0</v>
      </c>
    </row>
    <row r="8" spans="1:17" ht="14.85" customHeight="1" x14ac:dyDescent="0.25">
      <c r="A8" s="2">
        <f>ROW()-2</f>
        <v>6</v>
      </c>
      <c r="B8" s="6"/>
      <c r="C8" s="3"/>
      <c r="D8" s="4">
        <f>SUM(F8,H8,J8,L8,N8,P8,Q8)-MIN(H8,J8,L8,N8,P8)</f>
        <v>0</v>
      </c>
      <c r="E8" s="5">
        <f>_xlfn.XLOOKUP(B8,MP!C$5:C$14,MP!B$5:B$14,"")</f>
        <v>0</v>
      </c>
      <c r="F8" s="5">
        <f>_xlfn.XLOOKUP(E8,MP!B$5:B$14,MP!A$5:A$14,0)</f>
        <v>0</v>
      </c>
      <c r="G8" s="5">
        <f>_xlfn.XLOOKUP($B8,'GP1'!$C$5:$C$14,'GP1'!$B$5:$B$14,"")</f>
        <v>0</v>
      </c>
      <c r="H8" s="5">
        <f>_xlfn.XLOOKUP(G8,'GP1'!$B$5:$B$14,'GP1'!$A$5:$A$14,0)</f>
        <v>0</v>
      </c>
      <c r="I8" s="5">
        <f>_xlfn.XLOOKUP($B8,'GP2'!$C$5:$C$14,'GP2'!$B$5:$B$14,"")</f>
        <v>0</v>
      </c>
      <c r="J8" s="5">
        <f>_xlfn.XLOOKUP(I8,'GP2'!$B$5:$B$14,'GP2'!$A$5:$A$14,0)</f>
        <v>0</v>
      </c>
      <c r="K8" s="5">
        <f>_xlfn.XLOOKUP($B8,'GP3'!$C$5:$C$14,'GP3'!$B$5:$B$14,"")</f>
        <v>0</v>
      </c>
      <c r="L8" s="5">
        <f>_xlfn.XLOOKUP(K8,'GP3'!$B$5:$B$14,'GP3'!$A$5:$A$14,0)</f>
        <v>0</v>
      </c>
      <c r="M8" s="5">
        <f>_xlfn.XLOOKUP($B8,'GP4'!$C$5:$C$14,'GP4'!$B$5:$B$14,"")</f>
        <v>0</v>
      </c>
      <c r="N8" s="5">
        <f>_xlfn.XLOOKUP(M8,'GP4'!$B$5:$B$14,'GP4'!$A$5:$A$14,0)</f>
        <v>0</v>
      </c>
      <c r="O8" s="5">
        <f>_xlfn.XLOOKUP($B8,'GP5'!$C$5:$C$14,'GP5'!$B$5:$B$14,"")</f>
        <v>0</v>
      </c>
      <c r="P8" s="5">
        <f>_xlfn.XLOOKUP(O8,'GP5'!$B$5:$B$14,'GP5'!$A$5:$A$14,0)</f>
        <v>0</v>
      </c>
      <c r="Q8" s="21">
        <f>_xlfn.XLOOKUP($B8,EU!$B$5:$B$20,EU!$A$5:$A$20,0)</f>
        <v>0</v>
      </c>
    </row>
    <row r="9" spans="1:17" ht="14.85" customHeight="1" x14ac:dyDescent="0.25">
      <c r="A9" s="2">
        <f>ROW()-2</f>
        <v>7</v>
      </c>
      <c r="B9" s="6"/>
      <c r="C9" s="3"/>
      <c r="D9" s="4">
        <f>SUM(F9,H9,J9,L9,N9,P9,Q9)-MIN(H9,J9,L9,N9,P9)</f>
        <v>0</v>
      </c>
      <c r="E9" s="5">
        <f>_xlfn.XLOOKUP(B9,MP!C$5:C$14,MP!B$5:B$14,"")</f>
        <v>0</v>
      </c>
      <c r="F9" s="5">
        <f>_xlfn.XLOOKUP(E9,MP!B$5:B$14,MP!A$5:A$14,0)</f>
        <v>0</v>
      </c>
      <c r="G9" s="5">
        <f>_xlfn.XLOOKUP($B9,'GP1'!$C$5:$C$14,'GP1'!$B$5:$B$14,"")</f>
        <v>0</v>
      </c>
      <c r="H9" s="5">
        <f>_xlfn.XLOOKUP(G9,'GP1'!$B$5:$B$14,'GP1'!$A$5:$A$14,0)</f>
        <v>0</v>
      </c>
      <c r="I9" s="5">
        <f>_xlfn.XLOOKUP($B9,'GP2'!$C$5:$C$14,'GP2'!$B$5:$B$14,"")</f>
        <v>0</v>
      </c>
      <c r="J9" s="5">
        <f>_xlfn.XLOOKUP(I9,'GP2'!$B$5:$B$14,'GP2'!$A$5:$A$14,0)</f>
        <v>0</v>
      </c>
      <c r="K9" s="5">
        <f>_xlfn.XLOOKUP($B9,'GP3'!$C$5:$C$14,'GP3'!$B$5:$B$14,"")</f>
        <v>0</v>
      </c>
      <c r="L9" s="5">
        <f>_xlfn.XLOOKUP(K9,'GP3'!$B$5:$B$14,'GP3'!$A$5:$A$14,0)</f>
        <v>0</v>
      </c>
      <c r="M9" s="5">
        <f>_xlfn.XLOOKUP($B9,'GP4'!$C$5:$C$14,'GP4'!$B$5:$B$14,"")</f>
        <v>0</v>
      </c>
      <c r="N9" s="5">
        <f>_xlfn.XLOOKUP(M9,'GP4'!$B$5:$B$14,'GP4'!$A$5:$A$14,0)</f>
        <v>0</v>
      </c>
      <c r="O9" s="5">
        <f>_xlfn.XLOOKUP($B9,'GP5'!$C$5:$C$14,'GP5'!$B$5:$B$14,"")</f>
        <v>0</v>
      </c>
      <c r="P9" s="5">
        <f>_xlfn.XLOOKUP(O9,'GP5'!$B$5:$B$14,'GP5'!$A$5:$A$14,0)</f>
        <v>0</v>
      </c>
      <c r="Q9" s="21">
        <f>_xlfn.XLOOKUP($B9,EU!$B$5:$B$20,EU!$A$5:$A$20,0)</f>
        <v>0</v>
      </c>
    </row>
    <row r="10" spans="1:17" ht="14.85" customHeight="1" x14ac:dyDescent="0.25">
      <c r="A10" s="2">
        <f>ROW()-2</f>
        <v>8</v>
      </c>
      <c r="B10" s="6"/>
      <c r="C10" s="3"/>
      <c r="D10" s="4">
        <f>SUM(F10,H10,J10,L10,N10,P10,Q10)-MIN(H10,J10,L10,N10,P10)</f>
        <v>0</v>
      </c>
      <c r="E10" s="5">
        <f>_xlfn.XLOOKUP(B10,MP!C$5:C$14,MP!B$5:B$14,"")</f>
        <v>0</v>
      </c>
      <c r="F10" s="5">
        <f>_xlfn.XLOOKUP(E10,MP!B$5:B$14,MP!A$5:A$14,0)</f>
        <v>0</v>
      </c>
      <c r="G10" s="5">
        <f>_xlfn.XLOOKUP($B10,'GP1'!$C$5:$C$14,'GP1'!$B$5:$B$14,"")</f>
        <v>0</v>
      </c>
      <c r="H10" s="5">
        <f>_xlfn.XLOOKUP(G10,'GP1'!$B$5:$B$14,'GP1'!$A$5:$A$14,0)</f>
        <v>0</v>
      </c>
      <c r="I10" s="5">
        <f>_xlfn.XLOOKUP($B10,'GP2'!$C$5:$C$14,'GP2'!$B$5:$B$14,"")</f>
        <v>0</v>
      </c>
      <c r="J10" s="5">
        <f>_xlfn.XLOOKUP(I10,'GP2'!$B$5:$B$14,'GP2'!$A$5:$A$14,0)</f>
        <v>0</v>
      </c>
      <c r="K10" s="5">
        <f>_xlfn.XLOOKUP($B10,'GP3'!$C$5:$C$14,'GP3'!$B$5:$B$14,"")</f>
        <v>0</v>
      </c>
      <c r="L10" s="5">
        <f>_xlfn.XLOOKUP(K10,'GP3'!$B$5:$B$14,'GP3'!$A$5:$A$14,0)</f>
        <v>0</v>
      </c>
      <c r="M10" s="5">
        <f>_xlfn.XLOOKUP($B10,'GP4'!$C$5:$C$14,'GP4'!$B$5:$B$14,"")</f>
        <v>0</v>
      </c>
      <c r="N10" s="5">
        <f>_xlfn.XLOOKUP(M10,'GP4'!$B$5:$B$14,'GP4'!$A$5:$A$14,0)</f>
        <v>0</v>
      </c>
      <c r="O10" s="5">
        <f>_xlfn.XLOOKUP($B10,'GP5'!$C$5:$C$14,'GP5'!$B$5:$B$14,"")</f>
        <v>0</v>
      </c>
      <c r="P10" s="5">
        <f>_xlfn.XLOOKUP(O10,'GP5'!$B$5:$B$14,'GP5'!$A$5:$A$14,0)</f>
        <v>0</v>
      </c>
      <c r="Q10" s="21">
        <f>_xlfn.XLOOKUP($B10,EU!$B$5:$B$20,EU!$A$5:$A$20,0)</f>
        <v>0</v>
      </c>
    </row>
    <row r="11" spans="1:17" ht="14.85" customHeight="1" x14ac:dyDescent="0.25">
      <c r="A11" s="2">
        <f>ROW()-2</f>
        <v>9</v>
      </c>
      <c r="B11" s="6"/>
      <c r="C11" s="3"/>
      <c r="D11" s="4">
        <f>SUM(F11,H11,J11,L11,N11,P11,Q11)-MIN(H11,J11,L11,N11,P11)</f>
        <v>0</v>
      </c>
      <c r="E11" s="5">
        <f>_xlfn.XLOOKUP(B11,MP!C$5:C$14,MP!B$5:B$14,"")</f>
        <v>0</v>
      </c>
      <c r="F11" s="5">
        <f>_xlfn.XLOOKUP(E11,MP!B$5:B$14,MP!A$5:A$14,0)</f>
        <v>0</v>
      </c>
      <c r="G11" s="5">
        <f>_xlfn.XLOOKUP($B11,'GP1'!$C$5:$C$14,'GP1'!$B$5:$B$14,"")</f>
        <v>0</v>
      </c>
      <c r="H11" s="5">
        <f>_xlfn.XLOOKUP(G11,'GP1'!$B$5:$B$14,'GP1'!$A$5:$A$14,0)</f>
        <v>0</v>
      </c>
      <c r="I11" s="5">
        <f>_xlfn.XLOOKUP($B11,'GP2'!$C$5:$C$14,'GP2'!$B$5:$B$14,"")</f>
        <v>0</v>
      </c>
      <c r="J11" s="5">
        <f>_xlfn.XLOOKUP(I11,'GP2'!$B$5:$B$14,'GP2'!$A$5:$A$14,0)</f>
        <v>0</v>
      </c>
      <c r="K11" s="5">
        <f>_xlfn.XLOOKUP($B11,'GP3'!$C$5:$C$14,'GP3'!$B$5:$B$14,"")</f>
        <v>0</v>
      </c>
      <c r="L11" s="5">
        <f>_xlfn.XLOOKUP(K11,'GP3'!$B$5:$B$14,'GP3'!$A$5:$A$14,0)</f>
        <v>0</v>
      </c>
      <c r="M11" s="5">
        <f>_xlfn.XLOOKUP($B11,'GP4'!$C$5:$C$14,'GP4'!$B$5:$B$14,"")</f>
        <v>0</v>
      </c>
      <c r="N11" s="5">
        <f>_xlfn.XLOOKUP(M11,'GP4'!$B$5:$B$14,'GP4'!$A$5:$A$14,0)</f>
        <v>0</v>
      </c>
      <c r="O11" s="5">
        <f>_xlfn.XLOOKUP($B11,'GP5'!$C$5:$C$14,'GP5'!$B$5:$B$14,"")</f>
        <v>0</v>
      </c>
      <c r="P11" s="5">
        <f>_xlfn.XLOOKUP(O11,'GP5'!$B$5:$B$14,'GP5'!$A$5:$A$14,0)</f>
        <v>0</v>
      </c>
      <c r="Q11" s="21">
        <f>_xlfn.XLOOKUP($B11,EU!$B$5:$B$20,EU!$A$5:$A$20,0)</f>
        <v>0</v>
      </c>
    </row>
    <row r="12" spans="1:17" ht="14.85" customHeight="1" x14ac:dyDescent="0.25">
      <c r="A12" s="2">
        <f>ROW()-2</f>
        <v>10</v>
      </c>
      <c r="B12" s="6"/>
      <c r="C12" s="3"/>
      <c r="D12" s="4">
        <f>SUM(F12,H12,J12,L12,N12,P12,Q12)-MIN(H12,J12,L12,N12,P12)</f>
        <v>0</v>
      </c>
      <c r="E12" s="5">
        <f>_xlfn.XLOOKUP(B12,MP!C$5:C$14,MP!B$5:B$14,"")</f>
        <v>0</v>
      </c>
      <c r="F12" s="5">
        <f>_xlfn.XLOOKUP(E12,MP!B$5:B$14,MP!A$5:A$14,0)</f>
        <v>0</v>
      </c>
      <c r="G12" s="5">
        <f>_xlfn.XLOOKUP($B12,'GP1'!$C$5:$C$14,'GP1'!$B$5:$B$14,"")</f>
        <v>0</v>
      </c>
      <c r="H12" s="5">
        <f>_xlfn.XLOOKUP(G12,'GP1'!$B$5:$B$14,'GP1'!$A$5:$A$14,0)</f>
        <v>0</v>
      </c>
      <c r="I12" s="5">
        <f>_xlfn.XLOOKUP($B12,'GP2'!$C$5:$C$14,'GP2'!$B$5:$B$14,"")</f>
        <v>0</v>
      </c>
      <c r="J12" s="5">
        <f>_xlfn.XLOOKUP(I12,'GP2'!$B$5:$B$14,'GP2'!$A$5:$A$14,0)</f>
        <v>0</v>
      </c>
      <c r="K12" s="5">
        <f>_xlfn.XLOOKUP($B12,'GP3'!$C$5:$C$14,'GP3'!$B$5:$B$14,"")</f>
        <v>0</v>
      </c>
      <c r="L12" s="5">
        <f>_xlfn.XLOOKUP(K12,'GP3'!$B$5:$B$14,'GP3'!$A$5:$A$14,0)</f>
        <v>0</v>
      </c>
      <c r="M12" s="5">
        <f>_xlfn.XLOOKUP($B12,'GP4'!$C$5:$C$14,'GP4'!$B$5:$B$14,"")</f>
        <v>0</v>
      </c>
      <c r="N12" s="5">
        <f>_xlfn.XLOOKUP(M12,'GP4'!$B$5:$B$14,'GP4'!$A$5:$A$14,0)</f>
        <v>0</v>
      </c>
      <c r="O12" s="5">
        <f>_xlfn.XLOOKUP($B12,'GP5'!$C$5:$C$14,'GP5'!$B$5:$B$14,"")</f>
        <v>0</v>
      </c>
      <c r="P12" s="5">
        <f>_xlfn.XLOOKUP(O12,'GP5'!$B$5:$B$14,'GP5'!$A$5:$A$14,0)</f>
        <v>0</v>
      </c>
      <c r="Q12" s="21">
        <f>_xlfn.XLOOKUP($B12,EU!$B$5:$B$20,EU!$A$5:$A$20,0)</f>
        <v>0</v>
      </c>
    </row>
    <row r="13" spans="1:17" ht="14.85" customHeight="1" x14ac:dyDescent="0.25">
      <c r="A13" s="2">
        <f>ROW()-2</f>
        <v>11</v>
      </c>
      <c r="B13" s="6"/>
      <c r="C13" s="3"/>
      <c r="D13" s="4">
        <f>SUM(F13,H13,J13,L13,N13,P13,Q13)-MIN(H13,J13,L13,N13,P13)</f>
        <v>0</v>
      </c>
      <c r="E13" s="5">
        <f>_xlfn.XLOOKUP(B13,MP!C$5:C$14,MP!B$5:B$14,"")</f>
        <v>0</v>
      </c>
      <c r="F13" s="5">
        <f>_xlfn.XLOOKUP(E13,MP!B$5:B$14,MP!A$5:A$14,0)</f>
        <v>0</v>
      </c>
      <c r="G13" s="5">
        <f>_xlfn.XLOOKUP($B13,'GP1'!$C$5:$C$14,'GP1'!$B$5:$B$14,"")</f>
        <v>0</v>
      </c>
      <c r="H13" s="5">
        <f>_xlfn.XLOOKUP(G13,'GP1'!$B$5:$B$14,'GP1'!$A$5:$A$14,0)</f>
        <v>0</v>
      </c>
      <c r="I13" s="5">
        <f>_xlfn.XLOOKUP($B13,'GP2'!$C$5:$C$14,'GP2'!$B$5:$B$14,"")</f>
        <v>0</v>
      </c>
      <c r="J13" s="5">
        <f>_xlfn.XLOOKUP(I13,'GP2'!$B$5:$B$14,'GP2'!$A$5:$A$14,0)</f>
        <v>0</v>
      </c>
      <c r="K13" s="5">
        <f>_xlfn.XLOOKUP($B13,'GP3'!$C$5:$C$14,'GP3'!$B$5:$B$14,"")</f>
        <v>0</v>
      </c>
      <c r="L13" s="5">
        <f>_xlfn.XLOOKUP(K13,'GP3'!$B$5:$B$14,'GP3'!$A$5:$A$14,0)</f>
        <v>0</v>
      </c>
      <c r="M13" s="5">
        <f>_xlfn.XLOOKUP($B13,'GP4'!$C$5:$C$14,'GP4'!$B$5:$B$14,"")</f>
        <v>0</v>
      </c>
      <c r="N13" s="5">
        <f>_xlfn.XLOOKUP(M13,'GP4'!$B$5:$B$14,'GP4'!$A$5:$A$14,0)</f>
        <v>0</v>
      </c>
      <c r="O13" s="5">
        <f>_xlfn.XLOOKUP($B13,'GP5'!$C$5:$C$14,'GP5'!$B$5:$B$14,"")</f>
        <v>0</v>
      </c>
      <c r="P13" s="5">
        <f>_xlfn.XLOOKUP(O13,'GP5'!$B$5:$B$14,'GP5'!$A$5:$A$14,0)</f>
        <v>0</v>
      </c>
      <c r="Q13" s="21">
        <f>_xlfn.XLOOKUP($B13,EU!$B$5:$B$20,EU!$A$5:$A$20,0)</f>
        <v>0</v>
      </c>
    </row>
  </sheetData>
  <sheetProtection selectLockedCells="1" selectUnlockedCells="1"/>
  <autoFilter ref="A2:Q2" xr:uid="{00000000-0001-0000-0000-000000000000}">
    <sortState xmlns:xlrd2="http://schemas.microsoft.com/office/spreadsheetml/2017/richdata2" ref="A4:Q13">
      <sortCondition descending="1" ref="D2"/>
    </sortState>
  </autoFilter>
  <mergeCells count="10"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G1:H1"/>
  </mergeCells>
  <conditionalFormatting sqref="A3:A13">
    <cfRule type="cellIs" dxfId="7" priority="13" operator="equal">
      <formula>3</formula>
    </cfRule>
    <cfRule type="cellIs" dxfId="6" priority="18" operator="equal">
      <formula>2</formula>
    </cfRule>
    <cfRule type="cellIs" dxfId="5" priority="19" operator="equal">
      <formula>1</formula>
    </cfRule>
  </conditionalFormatting>
  <conditionalFormatting sqref="A4">
    <cfRule type="cellIs" dxfId="4" priority="14" operator="equal">
      <formula>2</formula>
    </cfRule>
    <cfRule type="cellIs" dxfId="3" priority="15" operator="equal">
      <formula>1</formula>
    </cfRule>
  </conditionalFormatting>
  <conditionalFormatting sqref="A5">
    <cfRule type="cellIs" dxfId="2" priority="10" operator="equal">
      <formula>3</formula>
    </cfRule>
    <cfRule type="cellIs" dxfId="1" priority="11" operator="equal">
      <formula>2</formula>
    </cfRule>
    <cfRule type="cellIs" dxfId="0" priority="12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EB5-52ED-4235-841F-AB6AC2809A75}">
  <sheetPr>
    <tabColor rgb="FF92D050"/>
  </sheetPr>
  <dimension ref="A2:F17"/>
  <sheetViews>
    <sheetView workbookViewId="0">
      <selection activeCell="C18" sqref="C18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17</v>
      </c>
      <c r="B2" s="29"/>
      <c r="C2" s="28" t="s">
        <v>18</v>
      </c>
      <c r="D2" s="28"/>
      <c r="E2" s="18" t="s">
        <v>19</v>
      </c>
    </row>
    <row r="4" spans="1:6" ht="14.4" x14ac:dyDescent="0.3">
      <c r="A4" s="9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</row>
    <row r="5" spans="1:6" x14ac:dyDescent="0.25">
      <c r="A5" s="20">
        <v>95</v>
      </c>
      <c r="B5" s="8">
        <v>1</v>
      </c>
      <c r="C5" t="s">
        <v>13</v>
      </c>
      <c r="F5" t="s">
        <v>26</v>
      </c>
    </row>
    <row r="6" spans="1:6" x14ac:dyDescent="0.25">
      <c r="A6" s="20">
        <v>88</v>
      </c>
      <c r="B6" s="8">
        <v>2</v>
      </c>
      <c r="C6" t="s">
        <v>14</v>
      </c>
      <c r="D6" t="s">
        <v>27</v>
      </c>
      <c r="F6" t="s">
        <v>26</v>
      </c>
    </row>
    <row r="7" spans="1:6" x14ac:dyDescent="0.25">
      <c r="A7" s="20">
        <v>84</v>
      </c>
    </row>
    <row r="8" spans="1:6" x14ac:dyDescent="0.25">
      <c r="A8" s="20">
        <v>79</v>
      </c>
    </row>
    <row r="9" spans="1:6" x14ac:dyDescent="0.25">
      <c r="A9" s="20">
        <v>77</v>
      </c>
    </row>
    <row r="10" spans="1:6" x14ac:dyDescent="0.25">
      <c r="A10" s="20">
        <v>74</v>
      </c>
    </row>
    <row r="11" spans="1:6" x14ac:dyDescent="0.25">
      <c r="A11" s="20">
        <v>72</v>
      </c>
    </row>
    <row r="12" spans="1:6" x14ac:dyDescent="0.25">
      <c r="A12" s="20">
        <v>70</v>
      </c>
    </row>
    <row r="13" spans="1:6" x14ac:dyDescent="0.25">
      <c r="A13" s="20">
        <v>68</v>
      </c>
    </row>
    <row r="14" spans="1:6" x14ac:dyDescent="0.25">
      <c r="A14" s="20">
        <v>66</v>
      </c>
    </row>
    <row r="15" spans="1:6" x14ac:dyDescent="0.25">
      <c r="A15" s="20">
        <v>64</v>
      </c>
    </row>
    <row r="16" spans="1:6" x14ac:dyDescent="0.25">
      <c r="A16" s="20">
        <v>62</v>
      </c>
    </row>
    <row r="17" spans="1:1" x14ac:dyDescent="0.25">
      <c r="A17" s="20">
        <v>60</v>
      </c>
    </row>
  </sheetData>
  <mergeCells count="2">
    <mergeCell ref="C2:D2"/>
    <mergeCell ref="A2:B2"/>
  </mergeCells>
  <hyperlinks>
    <hyperlink ref="E2" r:id="rId1" location="today" xr:uid="{7336F00A-3831-49A6-8FBD-A61E323F5C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117-CDBF-4561-B1B7-094234C31C2A}">
  <sheetPr>
    <tabColor rgb="FF92D050"/>
  </sheetPr>
  <dimension ref="A2:F23"/>
  <sheetViews>
    <sheetView workbookViewId="0">
      <selection activeCell="C27" sqref="C27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17</v>
      </c>
      <c r="B2" s="29"/>
      <c r="C2" s="28" t="s">
        <v>28</v>
      </c>
      <c r="D2" s="28"/>
    </row>
    <row r="4" spans="1:6" ht="14.4" x14ac:dyDescent="0.3">
      <c r="A4" s="9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</row>
    <row r="5" spans="1:6" x14ac:dyDescent="0.25">
      <c r="A5" s="20">
        <v>79</v>
      </c>
      <c r="B5" s="8">
        <v>1</v>
      </c>
      <c r="C5" s="23" t="s">
        <v>14</v>
      </c>
    </row>
    <row r="6" spans="1:6" x14ac:dyDescent="0.25">
      <c r="A6" s="20">
        <v>73</v>
      </c>
      <c r="C6" s="23"/>
    </row>
    <row r="7" spans="1:6" x14ac:dyDescent="0.25">
      <c r="A7" s="20">
        <v>70</v>
      </c>
      <c r="C7" s="23"/>
    </row>
    <row r="8" spans="1:6" x14ac:dyDescent="0.25">
      <c r="A8" s="20">
        <v>66</v>
      </c>
      <c r="C8" s="23"/>
    </row>
    <row r="9" spans="1:6" x14ac:dyDescent="0.25">
      <c r="A9" s="20">
        <v>64</v>
      </c>
      <c r="C9" s="23"/>
    </row>
    <row r="10" spans="1:6" x14ac:dyDescent="0.25">
      <c r="A10" s="20">
        <v>62</v>
      </c>
      <c r="C10" s="23"/>
    </row>
    <row r="11" spans="1:6" x14ac:dyDescent="0.25">
      <c r="A11" s="20">
        <v>60</v>
      </c>
      <c r="C11" s="23"/>
    </row>
    <row r="12" spans="1:6" x14ac:dyDescent="0.25">
      <c r="A12" s="20">
        <v>58</v>
      </c>
      <c r="C12" s="23"/>
    </row>
    <row r="13" spans="1:6" x14ac:dyDescent="0.25">
      <c r="A13" s="20">
        <v>56</v>
      </c>
      <c r="C13" s="23"/>
    </row>
    <row r="14" spans="1:6" x14ac:dyDescent="0.25">
      <c r="A14" s="20">
        <v>55</v>
      </c>
      <c r="C14" s="23"/>
    </row>
    <row r="15" spans="1:6" x14ac:dyDescent="0.25">
      <c r="A15" s="20">
        <v>54</v>
      </c>
      <c r="C15" s="23"/>
    </row>
    <row r="16" spans="1:6" x14ac:dyDescent="0.25">
      <c r="A16" s="20">
        <v>53</v>
      </c>
      <c r="C16" s="23"/>
    </row>
    <row r="17" spans="1:3" x14ac:dyDescent="0.25">
      <c r="A17" s="20">
        <v>52</v>
      </c>
      <c r="C17" s="23"/>
    </row>
    <row r="18" spans="1:3" x14ac:dyDescent="0.25">
      <c r="A18" s="20">
        <v>51</v>
      </c>
      <c r="C18" s="23"/>
    </row>
    <row r="19" spans="1:3" x14ac:dyDescent="0.25">
      <c r="C19" s="23"/>
    </row>
    <row r="20" spans="1:3" x14ac:dyDescent="0.25">
      <c r="C20" s="23"/>
    </row>
    <row r="21" spans="1:3" x14ac:dyDescent="0.25">
      <c r="C21" s="23"/>
    </row>
    <row r="22" spans="1:3" x14ac:dyDescent="0.25">
      <c r="C22" s="23"/>
    </row>
    <row r="23" spans="1:3" x14ac:dyDescent="0.25">
      <c r="C23" s="23"/>
    </row>
  </sheetData>
  <mergeCells count="2">
    <mergeCell ref="A2:B2"/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9D1-67E9-4D21-ADD8-F30BB071E51F}">
  <sheetPr>
    <tabColor rgb="FF92D050"/>
  </sheetPr>
  <dimension ref="A2:F18"/>
  <sheetViews>
    <sheetView workbookViewId="0">
      <selection activeCell="E2" sqref="E2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17</v>
      </c>
      <c r="B2" s="29"/>
      <c r="C2" s="28" t="s">
        <v>29</v>
      </c>
      <c r="D2" s="28"/>
      <c r="E2" s="19" t="s">
        <v>30</v>
      </c>
    </row>
    <row r="4" spans="1:6" ht="14.4" x14ac:dyDescent="0.3">
      <c r="A4" s="9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</row>
    <row r="5" spans="1:6" x14ac:dyDescent="0.25">
      <c r="A5" s="20">
        <v>79</v>
      </c>
      <c r="B5" s="13">
        <v>1</v>
      </c>
      <c r="C5" t="s">
        <v>31</v>
      </c>
      <c r="D5" t="s">
        <v>26</v>
      </c>
    </row>
    <row r="6" spans="1:6" x14ac:dyDescent="0.25">
      <c r="A6" s="20">
        <v>73</v>
      </c>
      <c r="B6" s="13">
        <v>2</v>
      </c>
      <c r="C6" t="s">
        <v>32</v>
      </c>
      <c r="D6" t="s">
        <v>26</v>
      </c>
    </row>
    <row r="7" spans="1:6" x14ac:dyDescent="0.25">
      <c r="A7" s="20">
        <v>70</v>
      </c>
      <c r="B7" s="13"/>
      <c r="C7" s="13"/>
      <c r="D7" s="13"/>
      <c r="E7" s="13"/>
      <c r="F7" s="13"/>
    </row>
    <row r="8" spans="1:6" x14ac:dyDescent="0.25">
      <c r="A8" s="20">
        <v>66</v>
      </c>
      <c r="B8" s="13"/>
      <c r="C8" s="13"/>
      <c r="D8" s="13"/>
      <c r="E8" s="13"/>
      <c r="F8" s="13"/>
    </row>
    <row r="9" spans="1:6" x14ac:dyDescent="0.25">
      <c r="A9" s="20">
        <v>64</v>
      </c>
      <c r="B9" s="13"/>
      <c r="C9" s="13"/>
      <c r="D9" s="13"/>
      <c r="E9" s="13"/>
      <c r="F9" s="13"/>
    </row>
    <row r="10" spans="1:6" x14ac:dyDescent="0.25">
      <c r="A10" s="20">
        <v>62</v>
      </c>
      <c r="B10" s="13"/>
      <c r="C10" s="13"/>
      <c r="D10" s="13"/>
      <c r="E10" s="13"/>
      <c r="F10" s="13"/>
    </row>
    <row r="11" spans="1:6" x14ac:dyDescent="0.25">
      <c r="A11" s="20">
        <v>60</v>
      </c>
    </row>
    <row r="12" spans="1:6" x14ac:dyDescent="0.25">
      <c r="A12" s="20">
        <v>58</v>
      </c>
    </row>
    <row r="13" spans="1:6" x14ac:dyDescent="0.25">
      <c r="A13" s="20">
        <v>56</v>
      </c>
    </row>
    <row r="14" spans="1:6" x14ac:dyDescent="0.25">
      <c r="A14" s="20">
        <v>55</v>
      </c>
    </row>
    <row r="15" spans="1:6" x14ac:dyDescent="0.25">
      <c r="A15" s="20">
        <v>54</v>
      </c>
    </row>
    <row r="16" spans="1:6" x14ac:dyDescent="0.25">
      <c r="A16" s="20">
        <v>53</v>
      </c>
    </row>
    <row r="17" spans="1:1" x14ac:dyDescent="0.25">
      <c r="A17" s="20">
        <v>52</v>
      </c>
    </row>
    <row r="18" spans="1:1" x14ac:dyDescent="0.25">
      <c r="A18" s="20">
        <v>51</v>
      </c>
    </row>
  </sheetData>
  <mergeCells count="2">
    <mergeCell ref="A2:B2"/>
    <mergeCell ref="C2:D2"/>
  </mergeCells>
  <hyperlinks>
    <hyperlink ref="E2" r:id="rId1" xr:uid="{85D1297C-3D41-47BA-A2B3-AFEFD48EF87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8B-5BEA-45E8-8F23-648702ABE151}">
  <sheetPr>
    <tabColor rgb="FF92D050"/>
  </sheetPr>
  <dimension ref="A2:F18"/>
  <sheetViews>
    <sheetView workbookViewId="0">
      <selection activeCell="C6" sqref="C6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17</v>
      </c>
      <c r="B2" s="29"/>
      <c r="C2" s="30" t="s">
        <v>33</v>
      </c>
      <c r="D2" s="30"/>
      <c r="E2" s="19" t="s">
        <v>34</v>
      </c>
    </row>
    <row r="4" spans="1:6" ht="14.4" x14ac:dyDescent="0.3">
      <c r="A4" s="9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</row>
    <row r="5" spans="1:6" x14ac:dyDescent="0.25">
      <c r="A5" s="20">
        <v>79</v>
      </c>
      <c r="B5">
        <v>1</v>
      </c>
      <c r="C5" t="s">
        <v>13</v>
      </c>
      <c r="D5" t="s">
        <v>35</v>
      </c>
      <c r="F5" t="s">
        <v>26</v>
      </c>
    </row>
    <row r="6" spans="1:6" x14ac:dyDescent="0.25">
      <c r="A6" s="20">
        <v>73</v>
      </c>
      <c r="B6">
        <v>2</v>
      </c>
      <c r="C6" t="s">
        <v>14</v>
      </c>
      <c r="D6" t="s">
        <v>27</v>
      </c>
      <c r="F6" t="s">
        <v>26</v>
      </c>
    </row>
    <row r="7" spans="1:6" x14ac:dyDescent="0.25">
      <c r="A7" s="20">
        <v>70</v>
      </c>
      <c r="C7" s="13"/>
      <c r="D7" s="13"/>
      <c r="E7" s="13"/>
      <c r="F7" s="13"/>
    </row>
    <row r="8" spans="1:6" x14ac:dyDescent="0.25">
      <c r="A8" s="20">
        <v>66</v>
      </c>
      <c r="C8" s="13"/>
      <c r="D8" s="13"/>
      <c r="E8" s="13"/>
      <c r="F8" s="13"/>
    </row>
    <row r="9" spans="1:6" x14ac:dyDescent="0.25">
      <c r="A9" s="20">
        <v>64</v>
      </c>
      <c r="C9" s="13"/>
      <c r="D9" s="13"/>
      <c r="E9" s="13"/>
      <c r="F9" s="13"/>
    </row>
    <row r="10" spans="1:6" x14ac:dyDescent="0.25">
      <c r="A10" s="20">
        <v>62</v>
      </c>
    </row>
    <row r="11" spans="1:6" x14ac:dyDescent="0.25">
      <c r="A11" s="20">
        <v>60</v>
      </c>
    </row>
    <row r="12" spans="1:6" x14ac:dyDescent="0.25">
      <c r="A12" s="20">
        <v>58</v>
      </c>
    </row>
    <row r="13" spans="1:6" x14ac:dyDescent="0.25">
      <c r="A13" s="20">
        <v>56</v>
      </c>
    </row>
    <row r="14" spans="1:6" x14ac:dyDescent="0.25">
      <c r="A14" s="20">
        <v>55</v>
      </c>
    </row>
    <row r="15" spans="1:6" x14ac:dyDescent="0.25">
      <c r="A15" s="20">
        <v>54</v>
      </c>
    </row>
    <row r="16" spans="1:6" x14ac:dyDescent="0.25">
      <c r="A16" s="20">
        <v>53</v>
      </c>
    </row>
    <row r="17" spans="1:1" x14ac:dyDescent="0.25">
      <c r="A17" s="20">
        <v>52</v>
      </c>
    </row>
    <row r="18" spans="1:1" x14ac:dyDescent="0.25">
      <c r="A18" s="20">
        <v>51</v>
      </c>
    </row>
  </sheetData>
  <mergeCells count="2">
    <mergeCell ref="A2:B2"/>
    <mergeCell ref="C2:D2"/>
  </mergeCells>
  <hyperlinks>
    <hyperlink ref="E2" r:id="rId1" xr:uid="{8FE3D67B-1CBB-40CA-BF7B-B9672CE81EF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9E1C-39DB-4FC9-B6A2-9073F44F2176}">
  <sheetPr>
    <tabColor rgb="FF92D050"/>
  </sheetPr>
  <dimension ref="A2:F18"/>
  <sheetViews>
    <sheetView workbookViewId="0">
      <selection activeCell="E2" sqref="E2"/>
    </sheetView>
  </sheetViews>
  <sheetFormatPr defaultRowHeight="13.2" x14ac:dyDescent="0.25"/>
  <cols>
    <col min="2" max="2" width="5.5546875" style="20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17</v>
      </c>
      <c r="B2" s="29"/>
      <c r="C2" s="28" t="s">
        <v>36</v>
      </c>
      <c r="D2" s="28"/>
      <c r="E2" s="19" t="s">
        <v>37</v>
      </c>
    </row>
    <row r="4" spans="1:6" ht="14.4" x14ac:dyDescent="0.3">
      <c r="A4" s="9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</row>
    <row r="5" spans="1:6" x14ac:dyDescent="0.25">
      <c r="A5" s="20">
        <v>79</v>
      </c>
      <c r="B5" s="22">
        <v>1</v>
      </c>
      <c r="C5" s="13" t="s">
        <v>13</v>
      </c>
      <c r="D5" s="13" t="s">
        <v>38</v>
      </c>
      <c r="E5" s="13" t="s">
        <v>26</v>
      </c>
    </row>
    <row r="6" spans="1:6" x14ac:dyDescent="0.25">
      <c r="A6" s="20">
        <v>73</v>
      </c>
      <c r="B6" s="22"/>
      <c r="C6" s="13"/>
      <c r="D6" s="13"/>
      <c r="E6" s="13"/>
    </row>
    <row r="7" spans="1:6" x14ac:dyDescent="0.25">
      <c r="A7" s="20">
        <v>70</v>
      </c>
      <c r="B7" s="22"/>
      <c r="C7" s="13"/>
      <c r="D7" s="13"/>
      <c r="E7" s="13"/>
    </row>
    <row r="8" spans="1:6" x14ac:dyDescent="0.25">
      <c r="A8" s="20">
        <v>66</v>
      </c>
      <c r="B8" s="22"/>
      <c r="C8" s="13"/>
      <c r="D8" s="13"/>
      <c r="E8" s="13"/>
    </row>
    <row r="9" spans="1:6" x14ac:dyDescent="0.25">
      <c r="A9" s="20">
        <v>64</v>
      </c>
      <c r="B9" s="22"/>
      <c r="C9" s="13"/>
      <c r="D9" s="13"/>
      <c r="E9" s="13"/>
    </row>
    <row r="10" spans="1:6" x14ac:dyDescent="0.25">
      <c r="A10" s="20">
        <v>62</v>
      </c>
      <c r="B10" s="22"/>
      <c r="C10" s="13"/>
      <c r="D10" s="13"/>
      <c r="E10" s="13"/>
    </row>
    <row r="11" spans="1:6" x14ac:dyDescent="0.25">
      <c r="A11" s="20">
        <v>60</v>
      </c>
    </row>
    <row r="12" spans="1:6" x14ac:dyDescent="0.25">
      <c r="A12" s="20">
        <v>58</v>
      </c>
    </row>
    <row r="13" spans="1:6" x14ac:dyDescent="0.25">
      <c r="A13" s="20">
        <v>56</v>
      </c>
    </row>
    <row r="14" spans="1:6" x14ac:dyDescent="0.25">
      <c r="A14" s="20">
        <v>55</v>
      </c>
    </row>
    <row r="15" spans="1:6" x14ac:dyDescent="0.25">
      <c r="A15" s="20">
        <v>54</v>
      </c>
    </row>
    <row r="16" spans="1:6" x14ac:dyDescent="0.25">
      <c r="A16" s="20">
        <v>53</v>
      </c>
    </row>
    <row r="17" spans="1:1" x14ac:dyDescent="0.25">
      <c r="A17" s="20">
        <v>52</v>
      </c>
    </row>
    <row r="18" spans="1:1" x14ac:dyDescent="0.25">
      <c r="A18" s="20">
        <v>51</v>
      </c>
    </row>
  </sheetData>
  <mergeCells count="2">
    <mergeCell ref="A2:B2"/>
    <mergeCell ref="C2:D2"/>
  </mergeCells>
  <hyperlinks>
    <hyperlink ref="E2" r:id="rId1" xr:uid="{5B1AAC21-9312-4EF7-ACFD-97478C4C8F0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FA2-B886-4220-83E9-6EEBE9FA0FBD}">
  <sheetPr>
    <tabColor rgb="FF92D050"/>
  </sheetPr>
  <dimension ref="A2:F18"/>
  <sheetViews>
    <sheetView workbookViewId="0">
      <selection activeCell="C5" sqref="C5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17</v>
      </c>
      <c r="B2" s="29"/>
      <c r="C2" s="28" t="s">
        <v>39</v>
      </c>
      <c r="D2" s="28"/>
      <c r="E2" s="19" t="s">
        <v>40</v>
      </c>
    </row>
    <row r="4" spans="1:6" ht="14.4" x14ac:dyDescent="0.3">
      <c r="A4" s="9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</row>
    <row r="5" spans="1:6" x14ac:dyDescent="0.25">
      <c r="A5" s="20">
        <v>79</v>
      </c>
      <c r="B5">
        <v>1</v>
      </c>
      <c r="C5" t="s">
        <v>41</v>
      </c>
      <c r="D5" t="s">
        <v>26</v>
      </c>
      <c r="E5" t="s">
        <v>42</v>
      </c>
    </row>
    <row r="6" spans="1:6" x14ac:dyDescent="0.25">
      <c r="A6" s="20">
        <v>73</v>
      </c>
      <c r="B6">
        <v>2</v>
      </c>
      <c r="C6" t="s">
        <v>31</v>
      </c>
      <c r="D6" t="s">
        <v>26</v>
      </c>
      <c r="E6" t="s">
        <v>42</v>
      </c>
    </row>
    <row r="7" spans="1:6" x14ac:dyDescent="0.25">
      <c r="A7" s="20">
        <v>70</v>
      </c>
    </row>
    <row r="8" spans="1:6" x14ac:dyDescent="0.25">
      <c r="A8" s="20">
        <v>66</v>
      </c>
    </row>
    <row r="9" spans="1:6" x14ac:dyDescent="0.25">
      <c r="A9" s="20">
        <v>64</v>
      </c>
    </row>
    <row r="10" spans="1:6" x14ac:dyDescent="0.25">
      <c r="A10" s="20">
        <v>62</v>
      </c>
    </row>
    <row r="11" spans="1:6" x14ac:dyDescent="0.25">
      <c r="A11" s="20">
        <v>60</v>
      </c>
    </row>
    <row r="12" spans="1:6" x14ac:dyDescent="0.25">
      <c r="A12" s="20">
        <v>58</v>
      </c>
    </row>
    <row r="13" spans="1:6" x14ac:dyDescent="0.25">
      <c r="A13" s="20">
        <v>56</v>
      </c>
    </row>
    <row r="14" spans="1:6" x14ac:dyDescent="0.25">
      <c r="A14" s="20">
        <v>55</v>
      </c>
    </row>
    <row r="15" spans="1:6" x14ac:dyDescent="0.25">
      <c r="A15" s="20">
        <v>54</v>
      </c>
    </row>
    <row r="16" spans="1:6" x14ac:dyDescent="0.25">
      <c r="A16" s="20">
        <v>53</v>
      </c>
    </row>
    <row r="17" spans="1:1" x14ac:dyDescent="0.25">
      <c r="A17" s="20">
        <v>52</v>
      </c>
    </row>
    <row r="18" spans="1:1" x14ac:dyDescent="0.25">
      <c r="A18" s="20">
        <v>51</v>
      </c>
    </row>
  </sheetData>
  <mergeCells count="2">
    <mergeCell ref="A2:B2"/>
    <mergeCell ref="C2:D2"/>
  </mergeCells>
  <hyperlinks>
    <hyperlink ref="E2" r:id="rId1" xr:uid="{F15D65E7-DEC6-4D8B-89FD-F5071375C6A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F344-7173-43DE-8914-FBE17AC54547}">
  <sheetPr>
    <tabColor rgb="FF92D050"/>
  </sheetPr>
  <dimension ref="A2:D14"/>
  <sheetViews>
    <sheetView workbookViewId="0">
      <selection activeCell="C13" sqref="C13"/>
    </sheetView>
  </sheetViews>
  <sheetFormatPr defaultRowHeight="13.2" x14ac:dyDescent="0.25"/>
  <cols>
    <col min="1" max="1" width="13.44140625" customWidth="1"/>
    <col min="2" max="2" width="24.33203125" bestFit="1" customWidth="1"/>
    <col min="3" max="3" width="7.109375" bestFit="1" customWidth="1"/>
  </cols>
  <sheetData>
    <row r="2" spans="1:4" x14ac:dyDescent="0.25">
      <c r="A2" s="12" t="s">
        <v>17</v>
      </c>
      <c r="B2" s="16">
        <v>44551</v>
      </c>
      <c r="C2" s="15" t="s">
        <v>43</v>
      </c>
    </row>
    <row r="4" spans="1:4" ht="14.4" x14ac:dyDescent="0.3">
      <c r="A4" s="9" t="s">
        <v>20</v>
      </c>
      <c r="B4" s="7" t="s">
        <v>22</v>
      </c>
      <c r="C4" s="7" t="s">
        <v>20</v>
      </c>
    </row>
    <row r="5" spans="1:4" x14ac:dyDescent="0.25">
      <c r="A5">
        <f>C5*2</f>
        <v>36.94</v>
      </c>
      <c r="B5" t="s">
        <v>14</v>
      </c>
      <c r="C5" s="14">
        <v>18.47</v>
      </c>
      <c r="D5" s="13"/>
    </row>
    <row r="6" spans="1:4" x14ac:dyDescent="0.25">
      <c r="A6">
        <f t="shared" ref="A6:A14" si="0">C6*2</f>
        <v>0</v>
      </c>
      <c r="C6" s="17"/>
      <c r="D6" s="13"/>
    </row>
    <row r="7" spans="1:4" x14ac:dyDescent="0.25">
      <c r="A7">
        <f t="shared" si="0"/>
        <v>0</v>
      </c>
    </row>
    <row r="8" spans="1:4" x14ac:dyDescent="0.25">
      <c r="A8">
        <f t="shared" si="0"/>
        <v>0</v>
      </c>
    </row>
    <row r="9" spans="1:4" x14ac:dyDescent="0.25">
      <c r="A9">
        <f t="shared" si="0"/>
        <v>0</v>
      </c>
    </row>
    <row r="10" spans="1:4" x14ac:dyDescent="0.25">
      <c r="A10">
        <f t="shared" si="0"/>
        <v>0</v>
      </c>
    </row>
    <row r="11" spans="1:4" x14ac:dyDescent="0.25">
      <c r="A11">
        <f t="shared" si="0"/>
        <v>0</v>
      </c>
    </row>
    <row r="12" spans="1:4" x14ac:dyDescent="0.25">
      <c r="A12">
        <f t="shared" si="0"/>
        <v>0</v>
      </c>
    </row>
    <row r="13" spans="1:4" x14ac:dyDescent="0.25">
      <c r="A13">
        <f t="shared" si="0"/>
        <v>0</v>
      </c>
    </row>
    <row r="14" spans="1:4" x14ac:dyDescent="0.25">
      <c r="A14">
        <f t="shared" si="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Ranking</vt:lpstr>
      <vt:lpstr>MP</vt:lpstr>
      <vt:lpstr>GP1</vt:lpstr>
      <vt:lpstr>GP2</vt:lpstr>
      <vt:lpstr>GP3</vt:lpstr>
      <vt:lpstr>GP4</vt:lpstr>
      <vt:lpstr>GP5</vt:lpstr>
      <vt:lpstr>EU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2021-12-27T22:07:15Z</dcterms:modified>
  <cp:category/>
  <cp:contentStatus/>
</cp:coreProperties>
</file>