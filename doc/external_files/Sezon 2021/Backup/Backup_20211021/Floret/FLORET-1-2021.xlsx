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ARCHIWUM/Sezon 2021/Backup/Backup_20211021/Floret/"/>
    </mc:Choice>
  </mc:AlternateContent>
  <xr:revisionPtr revIDLastSave="1" documentId="8_{D93D6D08-C713-4999-8A2D-54D955A2DC4C}" xr6:coauthVersionLast="47" xr6:coauthVersionMax="47" xr10:uidLastSave="{F1EC42A3-A3F0-4D09-B9C9-512CE7FD4601}"/>
  <bookViews>
    <workbookView xWindow="-108" yWindow="-108" windowWidth="23256" windowHeight="12720" tabRatio="956" xr2:uid="{00000000-000D-0000-FFFF-FFFF00000000}"/>
  </bookViews>
  <sheets>
    <sheet name="Arkusz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D3" i="1" s="1"/>
  <c r="D4" i="1"/>
  <c r="D5" i="1"/>
  <c r="D6" i="1"/>
  <c r="D7" i="1"/>
  <c r="D8" i="1"/>
  <c r="D9" i="1"/>
  <c r="D10" i="1"/>
  <c r="D11" i="1"/>
  <c r="D12" i="1"/>
  <c r="D13" i="1"/>
</calcChain>
</file>

<file path=xl/sharedStrings.xml><?xml version="1.0" encoding="utf-8"?>
<sst xmlns="http://schemas.openxmlformats.org/spreadsheetml/2006/main" count="37" uniqueCount="25">
  <si>
    <t>L.P.</t>
  </si>
  <si>
    <t>IMIĘ NAZWISKO</t>
  </si>
  <si>
    <t>KLUB</t>
  </si>
  <si>
    <t>PUNKTY</t>
  </si>
  <si>
    <t>MPW*</t>
  </si>
  <si>
    <t>GP I</t>
  </si>
  <si>
    <t>GP II</t>
  </si>
  <si>
    <t>GP III*</t>
  </si>
  <si>
    <t>GP IV</t>
  </si>
  <si>
    <t>GP V*</t>
  </si>
  <si>
    <t>EU</t>
  </si>
  <si>
    <t>M</t>
  </si>
  <si>
    <t>P</t>
  </si>
  <si>
    <t>KS Wrocławianie</t>
  </si>
  <si>
    <t>HAŚKO Sergiusz</t>
  </si>
  <si>
    <t>BAZAK Jacek</t>
  </si>
  <si>
    <t>JADCZUK Wojciech</t>
  </si>
  <si>
    <t>SURMA Piotr</t>
  </si>
  <si>
    <t>KWIATKOWSKI Michał</t>
  </si>
  <si>
    <t>OWCZAREK Hubert</t>
  </si>
  <si>
    <t>PAKUŁA Łukasz</t>
  </si>
  <si>
    <t>SZOPA Mariusz</t>
  </si>
  <si>
    <t>DUDEK Mariusz</t>
  </si>
  <si>
    <t>LOTYCZ Marcin</t>
  </si>
  <si>
    <t>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</si>
</sst>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  <charset val="238"/>
    </font>
    <font>
      <b/>
      <sz val="11"/>
      <name val="Arial"/>
      <family val="2"/>
      <charset val="238"/>
    </font>
    <font>
      <sz val="9"/>
      <name val="Arial"/>
      <family val="2"/>
      <charset val="238"/>
    </font>
    <font>
      <sz val="11"/>
      <name val="Arial"/>
      <family val="2"/>
      <charset val="238"/>
    </font>
    <font>
      <sz val="11"/>
      <color indexed="10"/>
      <name val="Arial"/>
      <family val="2"/>
      <charset val="238"/>
    </font>
    <font>
      <sz val="11"/>
      <color indexed="8"/>
      <name val="Arial"/>
      <family val="2"/>
      <charset val="238"/>
    </font>
    <font>
      <sz val="11"/>
      <color indexed="53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42"/>
      </patternFill>
    </fill>
    <fill>
      <patternFill patternType="solid">
        <fgColor indexed="43"/>
        <bgColor indexed="26"/>
      </patternFill>
    </fill>
    <fill>
      <patternFill patternType="solid">
        <fgColor indexed="52"/>
        <bgColor indexed="5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6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0" fillId="0" borderId="2" xfId="0" applyBorder="1"/>
    <xf numFmtId="1" fontId="1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E181E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3333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A14" sqref="A14"/>
    </sheetView>
  </sheetViews>
  <sheetFormatPr defaultColWidth="11.5546875" defaultRowHeight="13.2" x14ac:dyDescent="0.25"/>
  <cols>
    <col min="1" max="1" width="8" customWidth="1"/>
    <col min="2" max="2" width="21.6640625" customWidth="1"/>
    <col min="3" max="3" width="14.88671875" customWidth="1"/>
    <col min="5" max="16" width="6" customWidth="1"/>
    <col min="17" max="18" width="6.109375" customWidth="1"/>
  </cols>
  <sheetData>
    <row r="1" spans="1:18" ht="14.85" customHeight="1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/>
      <c r="G1" s="19" t="s">
        <v>5</v>
      </c>
      <c r="H1" s="19"/>
      <c r="I1" s="19" t="s">
        <v>6</v>
      </c>
      <c r="J1" s="19"/>
      <c r="K1" s="19" t="s">
        <v>7</v>
      </c>
      <c r="L1" s="19"/>
      <c r="M1" s="19" t="s">
        <v>8</v>
      </c>
      <c r="N1" s="19"/>
      <c r="O1" s="19" t="s">
        <v>9</v>
      </c>
      <c r="P1" s="19"/>
      <c r="Q1" s="19" t="s">
        <v>10</v>
      </c>
      <c r="R1" s="19"/>
    </row>
    <row r="2" spans="1:18" ht="14.85" customHeight="1" x14ac:dyDescent="0.25">
      <c r="A2" s="19"/>
      <c r="B2" s="19"/>
      <c r="C2" s="19"/>
      <c r="D2" s="19"/>
      <c r="E2" s="1" t="s">
        <v>11</v>
      </c>
      <c r="F2" s="1" t="s">
        <v>12</v>
      </c>
      <c r="G2" s="1" t="s">
        <v>11</v>
      </c>
      <c r="H2" s="1" t="s">
        <v>12</v>
      </c>
      <c r="I2" s="1" t="s">
        <v>11</v>
      </c>
      <c r="J2" s="1" t="s">
        <v>12</v>
      </c>
      <c r="K2" s="1" t="s">
        <v>11</v>
      </c>
      <c r="L2" s="1" t="s">
        <v>12</v>
      </c>
      <c r="M2" s="1" t="s">
        <v>11</v>
      </c>
      <c r="N2" s="1" t="s">
        <v>12</v>
      </c>
      <c r="O2" s="1" t="s">
        <v>11</v>
      </c>
      <c r="P2" s="1" t="s">
        <v>12</v>
      </c>
      <c r="Q2" s="1" t="s">
        <v>11</v>
      </c>
      <c r="R2" s="1" t="s">
        <v>12</v>
      </c>
    </row>
    <row r="3" spans="1:18" ht="15.6" customHeight="1" x14ac:dyDescent="0.25">
      <c r="A3" s="2">
        <v>1</v>
      </c>
      <c r="B3" s="3" t="s">
        <v>24</v>
      </c>
      <c r="C3" s="4" t="s">
        <v>13</v>
      </c>
      <c r="D3" s="5">
        <f>F3+H3+J3+N3+P3+R3</f>
        <v>720.26</v>
      </c>
      <c r="E3" s="6">
        <v>1</v>
      </c>
      <c r="F3" s="6">
        <v>95</v>
      </c>
      <c r="G3" s="6">
        <v>1</v>
      </c>
      <c r="H3" s="6">
        <v>79</v>
      </c>
      <c r="I3" s="6">
        <v>1</v>
      </c>
      <c r="J3" s="6">
        <v>79</v>
      </c>
      <c r="K3" s="7">
        <v>1</v>
      </c>
      <c r="L3" s="7">
        <v>79</v>
      </c>
      <c r="M3" s="6">
        <v>1</v>
      </c>
      <c r="N3" s="6">
        <v>79</v>
      </c>
      <c r="O3" s="8">
        <v>1</v>
      </c>
      <c r="P3" s="8">
        <v>79</v>
      </c>
      <c r="Q3" s="9">
        <v>10</v>
      </c>
      <c r="R3" s="9">
        <f>154.63*2</f>
        <v>309.26</v>
      </c>
    </row>
    <row r="4" spans="1:18" ht="14.85" customHeight="1" x14ac:dyDescent="0.25">
      <c r="A4" s="2">
        <v>2</v>
      </c>
      <c r="B4" s="10" t="s">
        <v>14</v>
      </c>
      <c r="C4" s="4"/>
      <c r="D4" s="5">
        <f>SUM(F4+J4+P4+L4+R4+N4)</f>
        <v>370</v>
      </c>
      <c r="E4" s="6">
        <v>3</v>
      </c>
      <c r="F4" s="6">
        <v>84</v>
      </c>
      <c r="G4" s="11">
        <v>3</v>
      </c>
      <c r="H4" s="11">
        <v>70</v>
      </c>
      <c r="I4" s="6">
        <v>3</v>
      </c>
      <c r="J4" s="6">
        <v>70</v>
      </c>
      <c r="K4" s="6">
        <v>2</v>
      </c>
      <c r="L4" s="6">
        <v>73</v>
      </c>
      <c r="M4" s="6">
        <v>3</v>
      </c>
      <c r="N4" s="6">
        <v>70</v>
      </c>
      <c r="O4" s="6">
        <v>2</v>
      </c>
      <c r="P4" s="6">
        <v>73</v>
      </c>
      <c r="Q4" s="12"/>
      <c r="R4" s="12"/>
    </row>
    <row r="5" spans="1:18" ht="14.85" customHeight="1" x14ac:dyDescent="0.25">
      <c r="A5" s="2">
        <v>3</v>
      </c>
      <c r="B5" s="13" t="s">
        <v>15</v>
      </c>
      <c r="C5" s="4"/>
      <c r="D5" s="5">
        <f>SUM(F5+H5+J5+N5+P5+L5+R5)</f>
        <v>229</v>
      </c>
      <c r="E5" s="6">
        <v>2</v>
      </c>
      <c r="F5" s="6">
        <v>88</v>
      </c>
      <c r="G5" s="6">
        <v>2</v>
      </c>
      <c r="H5" s="6">
        <v>73</v>
      </c>
      <c r="I5" s="6">
        <v>4</v>
      </c>
      <c r="J5" s="6">
        <v>68</v>
      </c>
      <c r="K5" s="6"/>
      <c r="L5" s="6"/>
      <c r="M5" s="6"/>
      <c r="N5" s="6"/>
      <c r="O5" s="6"/>
      <c r="P5" s="6"/>
      <c r="Q5" s="12"/>
      <c r="R5" s="12"/>
    </row>
    <row r="6" spans="1:18" ht="13.8" x14ac:dyDescent="0.25">
      <c r="A6" s="2">
        <v>4</v>
      </c>
      <c r="B6" s="14" t="s">
        <v>16</v>
      </c>
      <c r="C6" s="14"/>
      <c r="D6" s="15">
        <f t="shared" ref="D6:D13" si="0">SUM(F6+H6+J6+L6+N6+P6)</f>
        <v>146</v>
      </c>
      <c r="E6" s="16"/>
      <c r="F6" s="16"/>
      <c r="G6" s="16"/>
      <c r="H6" s="16"/>
      <c r="I6" s="16">
        <v>2</v>
      </c>
      <c r="J6" s="16">
        <v>73</v>
      </c>
      <c r="K6" s="16"/>
      <c r="L6" s="16"/>
      <c r="M6" s="16">
        <v>2</v>
      </c>
      <c r="N6" s="16">
        <v>73</v>
      </c>
      <c r="O6" s="16"/>
      <c r="P6" s="16"/>
      <c r="Q6" s="17"/>
      <c r="R6" s="17"/>
    </row>
    <row r="7" spans="1:18" ht="14.85" customHeight="1" x14ac:dyDescent="0.25">
      <c r="A7" s="2">
        <v>5</v>
      </c>
      <c r="B7" s="18" t="s">
        <v>17</v>
      </c>
      <c r="C7" s="2"/>
      <c r="D7" s="5">
        <f t="shared" si="0"/>
        <v>134</v>
      </c>
      <c r="E7" s="6"/>
      <c r="F7" s="6"/>
      <c r="G7" s="6"/>
      <c r="H7" s="6"/>
      <c r="I7" s="6"/>
      <c r="J7" s="6"/>
      <c r="K7" s="6">
        <v>3</v>
      </c>
      <c r="L7" s="6">
        <v>70</v>
      </c>
      <c r="M7" s="6"/>
      <c r="N7" s="6"/>
      <c r="O7" s="6">
        <v>6</v>
      </c>
      <c r="P7" s="6">
        <v>64</v>
      </c>
      <c r="Q7" s="12"/>
      <c r="R7" s="12"/>
    </row>
    <row r="8" spans="1:18" ht="14.85" customHeight="1" x14ac:dyDescent="0.25">
      <c r="A8" s="2">
        <v>6</v>
      </c>
      <c r="B8" s="18" t="s">
        <v>18</v>
      </c>
      <c r="C8" s="2"/>
      <c r="D8" s="5">
        <f t="shared" si="0"/>
        <v>130</v>
      </c>
      <c r="E8" s="6"/>
      <c r="F8" s="6"/>
      <c r="G8" s="6"/>
      <c r="H8" s="6"/>
      <c r="I8" s="6"/>
      <c r="J8" s="6"/>
      <c r="K8" s="6">
        <v>4</v>
      </c>
      <c r="L8" s="6">
        <v>68</v>
      </c>
      <c r="M8" s="6"/>
      <c r="N8" s="6"/>
      <c r="O8" s="6">
        <v>7</v>
      </c>
      <c r="P8" s="6">
        <v>62</v>
      </c>
      <c r="Q8" s="12"/>
      <c r="R8" s="12"/>
    </row>
    <row r="9" spans="1:18" ht="13.8" x14ac:dyDescent="0.25">
      <c r="A9" s="2">
        <v>7</v>
      </c>
      <c r="B9" s="14" t="s">
        <v>19</v>
      </c>
      <c r="C9" s="14"/>
      <c r="D9" s="15">
        <f t="shared" si="0"/>
        <v>70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>
        <v>3</v>
      </c>
      <c r="P9" s="16">
        <v>70</v>
      </c>
      <c r="Q9" s="17"/>
      <c r="R9" s="17"/>
    </row>
    <row r="10" spans="1:18" ht="13.8" x14ac:dyDescent="0.25">
      <c r="A10" s="2">
        <v>8</v>
      </c>
      <c r="B10" s="14" t="s">
        <v>20</v>
      </c>
      <c r="C10" s="14"/>
      <c r="D10" s="15">
        <f t="shared" si="0"/>
        <v>68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>
        <v>4</v>
      </c>
      <c r="P10" s="16">
        <v>68</v>
      </c>
      <c r="Q10" s="17"/>
      <c r="R10" s="17"/>
    </row>
    <row r="11" spans="1:18" ht="13.8" x14ac:dyDescent="0.25">
      <c r="A11" s="2">
        <v>9</v>
      </c>
      <c r="B11" s="14" t="s">
        <v>21</v>
      </c>
      <c r="C11" s="14"/>
      <c r="D11" s="15">
        <f t="shared" si="0"/>
        <v>66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>
        <v>5</v>
      </c>
      <c r="P11" s="16">
        <v>66</v>
      </c>
      <c r="Q11" s="17"/>
      <c r="R11" s="17"/>
    </row>
    <row r="12" spans="1:18" ht="13.8" x14ac:dyDescent="0.25">
      <c r="A12" s="2">
        <v>9</v>
      </c>
      <c r="B12" s="14" t="s">
        <v>22</v>
      </c>
      <c r="C12" s="14"/>
      <c r="D12" s="15">
        <f t="shared" si="0"/>
        <v>66</v>
      </c>
      <c r="E12" s="16"/>
      <c r="F12" s="16"/>
      <c r="G12" s="16"/>
      <c r="H12" s="16"/>
      <c r="I12" s="16">
        <v>5</v>
      </c>
      <c r="J12" s="16">
        <v>66</v>
      </c>
      <c r="K12" s="16"/>
      <c r="L12" s="16"/>
      <c r="M12" s="16"/>
      <c r="N12" s="16"/>
      <c r="O12" s="16"/>
      <c r="P12" s="16"/>
      <c r="Q12" s="17"/>
      <c r="R12" s="17"/>
    </row>
    <row r="13" spans="1:18" ht="13.8" x14ac:dyDescent="0.25">
      <c r="A13" s="2">
        <v>11</v>
      </c>
      <c r="B13" s="14" t="s">
        <v>23</v>
      </c>
      <c r="C13" s="14"/>
      <c r="D13" s="15">
        <f t="shared" si="0"/>
        <v>60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>
        <v>8</v>
      </c>
      <c r="P13" s="16">
        <v>60</v>
      </c>
      <c r="Q13" s="17"/>
      <c r="R13" s="17"/>
    </row>
  </sheetData>
  <sheetProtection selectLockedCells="1" selectUnlockedCells="1"/>
  <mergeCells count="11">
    <mergeCell ref="I1:J1"/>
    <mergeCell ref="K1:L1"/>
    <mergeCell ref="M1:N1"/>
    <mergeCell ref="O1:P1"/>
    <mergeCell ref="Q1:R1"/>
    <mergeCell ref="G1:H1"/>
    <mergeCell ref="A1:A2"/>
    <mergeCell ref="B1:B2"/>
    <mergeCell ref="C1:C2"/>
    <mergeCell ref="D1:D2"/>
    <mergeCell ref="E1:F1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alignWithMargins="0">
    <oddHeader>&amp;C&amp;A</oddHeader>
    <oddFooter>&amp;CStrona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Sadowska</cp:lastModifiedBy>
  <cp:revision/>
  <dcterms:created xsi:type="dcterms:W3CDTF">2021-10-21T08:25:42Z</dcterms:created>
  <dcterms:modified xsi:type="dcterms:W3CDTF">2022-03-19T21:45:00Z</dcterms:modified>
  <cp:category/>
  <cp:contentStatus/>
</cp:coreProperties>
</file>