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3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b9d\AC\Temp\"/>
    </mc:Choice>
  </mc:AlternateContent>
  <xr:revisionPtr revIDLastSave="0" documentId="8_{0F30A1D5-6AB1-408C-A32C-C3051CEBD443}" xr6:coauthVersionLast="47" xr6:coauthVersionMax="47" xr10:uidLastSave="{00000000-0000-0000-0000-000000000000}"/>
  <bookViews>
    <workbookView xWindow="-60" yWindow="-60" windowWidth="15480" windowHeight="11640" tabRatio="956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D3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/>
</calcChain>
</file>

<file path=xl/sharedStrings.xml><?xml version="1.0" encoding="utf-8"?>
<sst xmlns="http://schemas.openxmlformats.org/spreadsheetml/2006/main" count="35" uniqueCount="23">
  <si>
    <t>L.P.</t>
  </si>
  <si>
    <t>IMIĘ NAZWISKO</t>
  </si>
  <si>
    <t>KLUB</t>
  </si>
  <si>
    <t>PUNKTY</t>
  </si>
  <si>
    <t>MPW*</t>
  </si>
  <si>
    <t>GP I</t>
  </si>
  <si>
    <t>GP II</t>
  </si>
  <si>
    <t>GP III*</t>
  </si>
  <si>
    <t>GP IV</t>
  </si>
  <si>
    <t>GP V*</t>
  </si>
  <si>
    <t>EU</t>
  </si>
  <si>
    <t>M</t>
  </si>
  <si>
    <t>P</t>
  </si>
  <si>
    <t>GANSZCZYK Anna</t>
  </si>
  <si>
    <t>WASILCZUK Beata</t>
  </si>
  <si>
    <t>KAMIŃSKA Gabriela</t>
  </si>
  <si>
    <t>WALECKA Wanda</t>
  </si>
  <si>
    <t>SOSNOWSKA Aniela</t>
  </si>
  <si>
    <t>DĄBROWSKA-MANDRELA Diana</t>
  </si>
  <si>
    <t>KOWALSKA Milena</t>
  </si>
  <si>
    <t>BEDNARSKA Halina</t>
  </si>
  <si>
    <t>PILARSKA Barbara</t>
  </si>
  <si>
    <t>NEYMAN Paulina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</si>
</sst>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238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0"/>
      <color indexed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52"/>
        <bgColor indexed="5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3" fillId="0" borderId="1" xfId="0" applyFont="1" applyBorder="1" applyAlignment="1">
      <alignment horizontal="left"/>
    </xf>
    <xf numFmtId="1" fontId="0" fillId="0" borderId="2" xfId="0" applyNumberFormat="1" applyBorder="1"/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A17" sqref="A17"/>
    </sheetView>
  </sheetViews>
  <sheetFormatPr defaultColWidth="11.5703125" defaultRowHeight="12.75"/>
  <cols>
    <col min="1" max="1" width="6" customWidth="1"/>
    <col min="2" max="2" width="29.28515625" customWidth="1"/>
    <col min="3" max="3" width="13.85546875" customWidth="1"/>
    <col min="5" max="16" width="6" customWidth="1"/>
    <col min="17" max="17" width="7.140625" customWidth="1"/>
    <col min="18" max="18" width="5.85546875" customWidth="1"/>
  </cols>
  <sheetData>
    <row r="1" spans="1:18" ht="14.8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/>
      <c r="G1" s="19" t="s">
        <v>5</v>
      </c>
      <c r="H1" s="19"/>
      <c r="I1" s="19" t="s">
        <v>6</v>
      </c>
      <c r="J1" s="19"/>
      <c r="K1" s="19" t="s">
        <v>7</v>
      </c>
      <c r="L1" s="19"/>
      <c r="M1" s="19" t="s">
        <v>8</v>
      </c>
      <c r="N1" s="19"/>
      <c r="O1" s="19" t="s">
        <v>9</v>
      </c>
      <c r="P1" s="19"/>
      <c r="Q1" s="19" t="s">
        <v>10</v>
      </c>
      <c r="R1" s="19"/>
    </row>
    <row r="2" spans="1:18" ht="14.85" customHeight="1">
      <c r="A2" s="19"/>
      <c r="B2" s="19"/>
      <c r="C2" s="19"/>
      <c r="D2" s="19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>
      <c r="A3" s="2">
        <v>1</v>
      </c>
      <c r="B3" s="3" t="s">
        <v>13</v>
      </c>
      <c r="C3" s="4"/>
      <c r="D3" s="5">
        <f>SUM(F3+H3+L3+P3+N3+R3)</f>
        <v>396.02</v>
      </c>
      <c r="E3" s="6">
        <v>2</v>
      </c>
      <c r="F3" s="6">
        <v>88</v>
      </c>
      <c r="G3" s="6">
        <v>3</v>
      </c>
      <c r="H3" s="6">
        <v>70</v>
      </c>
      <c r="I3" s="7">
        <v>4</v>
      </c>
      <c r="J3" s="7">
        <v>66</v>
      </c>
      <c r="K3" s="6">
        <v>4</v>
      </c>
      <c r="L3" s="6">
        <v>66</v>
      </c>
      <c r="M3" s="6">
        <v>4</v>
      </c>
      <c r="N3" s="6">
        <v>66</v>
      </c>
      <c r="O3" s="6">
        <v>2</v>
      </c>
      <c r="P3" s="6">
        <v>73</v>
      </c>
      <c r="Q3" s="8">
        <v>92</v>
      </c>
      <c r="R3" s="8">
        <f>16.51*2</f>
        <v>33.020000000000003</v>
      </c>
    </row>
    <row r="4" spans="1:18" ht="14.85" customHeight="1">
      <c r="A4" s="2">
        <v>2</v>
      </c>
      <c r="B4" s="9" t="s">
        <v>14</v>
      </c>
      <c r="C4" s="4"/>
      <c r="D4" s="5">
        <f>F4+H4+L4+N4+J4+P4</f>
        <v>390</v>
      </c>
      <c r="E4" s="6">
        <v>1</v>
      </c>
      <c r="F4" s="6">
        <v>95</v>
      </c>
      <c r="G4" s="6">
        <v>1</v>
      </c>
      <c r="H4" s="6">
        <v>79</v>
      </c>
      <c r="I4" s="6"/>
      <c r="J4" s="6"/>
      <c r="K4" s="6">
        <v>2</v>
      </c>
      <c r="L4" s="6">
        <v>73</v>
      </c>
      <c r="M4" s="6">
        <v>2</v>
      </c>
      <c r="N4" s="6">
        <v>73</v>
      </c>
      <c r="O4" s="6">
        <v>3</v>
      </c>
      <c r="P4" s="6">
        <v>70</v>
      </c>
      <c r="Q4" s="10"/>
      <c r="R4" s="10"/>
    </row>
    <row r="5" spans="1:18" ht="14.85" customHeight="1">
      <c r="A5" s="2">
        <v>3</v>
      </c>
      <c r="B5" s="11" t="s">
        <v>15</v>
      </c>
      <c r="C5" s="4"/>
      <c r="D5" s="5">
        <f>SUM(F5+H5+J5+L5+P5+N5)</f>
        <v>385</v>
      </c>
      <c r="E5" s="6">
        <v>3</v>
      </c>
      <c r="F5" s="6">
        <v>84</v>
      </c>
      <c r="G5" s="6">
        <v>2</v>
      </c>
      <c r="H5" s="6">
        <v>73</v>
      </c>
      <c r="I5" s="6">
        <v>1</v>
      </c>
      <c r="J5" s="6">
        <v>79</v>
      </c>
      <c r="K5" s="6">
        <v>3</v>
      </c>
      <c r="L5" s="6">
        <v>70</v>
      </c>
      <c r="M5" s="6">
        <v>1</v>
      </c>
      <c r="N5" s="6">
        <v>79</v>
      </c>
      <c r="O5" s="6"/>
      <c r="P5" s="6"/>
      <c r="Q5" s="10"/>
      <c r="R5" s="10"/>
    </row>
    <row r="6" spans="1:18" ht="15.75" customHeight="1">
      <c r="A6" s="2">
        <v>4</v>
      </c>
      <c r="B6" s="12" t="s">
        <v>16</v>
      </c>
      <c r="C6" s="13"/>
      <c r="D6" s="5">
        <f>SUM(F6+H6+L6+N6+P6)</f>
        <v>328</v>
      </c>
      <c r="E6" s="13">
        <v>6</v>
      </c>
      <c r="F6" s="13">
        <v>74</v>
      </c>
      <c r="G6" s="13">
        <v>5</v>
      </c>
      <c r="H6" s="13">
        <v>64</v>
      </c>
      <c r="I6" s="14">
        <v>6</v>
      </c>
      <c r="J6" s="14">
        <v>62</v>
      </c>
      <c r="K6" s="13">
        <v>5</v>
      </c>
      <c r="L6" s="13">
        <v>64</v>
      </c>
      <c r="M6" s="13">
        <v>6</v>
      </c>
      <c r="N6" s="13">
        <v>62</v>
      </c>
      <c r="O6" s="13">
        <v>5</v>
      </c>
      <c r="P6" s="13">
        <v>64</v>
      </c>
      <c r="Q6" s="15"/>
      <c r="R6" s="15"/>
    </row>
    <row r="7" spans="1:18" ht="14.85" customHeight="1">
      <c r="A7" s="2">
        <v>5</v>
      </c>
      <c r="B7" s="16" t="s">
        <v>17</v>
      </c>
      <c r="C7" s="4"/>
      <c r="D7" s="5">
        <f t="shared" ref="D7:D16" si="0">SUM(F7+H7+J7+L7+N7+P7)</f>
        <v>207</v>
      </c>
      <c r="E7" s="6">
        <v>5</v>
      </c>
      <c r="F7" s="6">
        <v>77</v>
      </c>
      <c r="G7" s="6">
        <v>4</v>
      </c>
      <c r="H7" s="6">
        <v>66</v>
      </c>
      <c r="I7" s="6">
        <v>5</v>
      </c>
      <c r="J7" s="6">
        <v>64</v>
      </c>
      <c r="K7" s="6"/>
      <c r="L7" s="6"/>
      <c r="M7" s="6"/>
      <c r="N7" s="6"/>
      <c r="O7" s="6"/>
      <c r="P7" s="6"/>
      <c r="Q7" s="8"/>
      <c r="R7" s="8"/>
    </row>
    <row r="8" spans="1:18" ht="14.85" customHeight="1">
      <c r="A8" s="2">
        <v>6</v>
      </c>
      <c r="B8" s="16" t="s">
        <v>18</v>
      </c>
      <c r="C8" s="4"/>
      <c r="D8" s="5">
        <f t="shared" si="0"/>
        <v>158</v>
      </c>
      <c r="E8" s="6"/>
      <c r="F8" s="6"/>
      <c r="G8" s="6"/>
      <c r="H8" s="6"/>
      <c r="I8" s="6"/>
      <c r="J8" s="6"/>
      <c r="K8" s="6">
        <v>1</v>
      </c>
      <c r="L8" s="6">
        <v>79</v>
      </c>
      <c r="M8" s="6"/>
      <c r="N8" s="6"/>
      <c r="O8" s="6">
        <v>1</v>
      </c>
      <c r="P8" s="6">
        <v>79</v>
      </c>
      <c r="Q8" s="8"/>
      <c r="R8" s="8"/>
    </row>
    <row r="9" spans="1:18" ht="14.85" customHeight="1">
      <c r="A9" s="2">
        <v>7</v>
      </c>
      <c r="B9" s="16" t="s">
        <v>19</v>
      </c>
      <c r="C9" s="4"/>
      <c r="D9" s="5">
        <f t="shared" si="0"/>
        <v>143</v>
      </c>
      <c r="E9" s="6"/>
      <c r="F9" s="6"/>
      <c r="G9" s="6"/>
      <c r="H9" s="6"/>
      <c r="I9" s="6">
        <v>2</v>
      </c>
      <c r="J9" s="6">
        <v>73</v>
      </c>
      <c r="K9" s="6"/>
      <c r="L9" s="6"/>
      <c r="M9" s="6">
        <v>3</v>
      </c>
      <c r="N9" s="6">
        <v>70</v>
      </c>
      <c r="O9" s="6"/>
      <c r="P9" s="6"/>
      <c r="Q9" s="17"/>
      <c r="R9" s="17"/>
    </row>
    <row r="10" spans="1:18" ht="14.85" customHeight="1">
      <c r="A10" s="2">
        <v>8</v>
      </c>
      <c r="B10" s="16" t="s">
        <v>20</v>
      </c>
      <c r="C10" s="4"/>
      <c r="D10" s="5">
        <f t="shared" si="0"/>
        <v>134</v>
      </c>
      <c r="E10" s="6"/>
      <c r="F10" s="6"/>
      <c r="G10" s="6"/>
      <c r="H10" s="6"/>
      <c r="I10" s="6">
        <v>3</v>
      </c>
      <c r="J10" s="6">
        <v>70</v>
      </c>
      <c r="K10" s="6"/>
      <c r="L10" s="6"/>
      <c r="M10" s="6">
        <v>5</v>
      </c>
      <c r="N10" s="6">
        <v>64</v>
      </c>
      <c r="O10" s="6"/>
      <c r="P10" s="6"/>
      <c r="Q10" s="17"/>
      <c r="R10" s="17"/>
    </row>
    <row r="11" spans="1:18" ht="14.85" customHeight="1">
      <c r="A11" s="2">
        <v>9</v>
      </c>
      <c r="B11" s="16" t="s">
        <v>21</v>
      </c>
      <c r="C11" s="4"/>
      <c r="D11" s="5">
        <f t="shared" si="0"/>
        <v>79</v>
      </c>
      <c r="E11" s="6">
        <v>4</v>
      </c>
      <c r="F11" s="6">
        <v>79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17"/>
      <c r="R11" s="17"/>
    </row>
    <row r="12" spans="1:18" ht="14.85" customHeight="1">
      <c r="A12" s="2">
        <v>10</v>
      </c>
      <c r="B12" s="16" t="s">
        <v>22</v>
      </c>
      <c r="C12" s="4"/>
      <c r="D12" s="5">
        <f t="shared" si="0"/>
        <v>66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4</v>
      </c>
      <c r="P12" s="6">
        <v>66</v>
      </c>
      <c r="Q12" s="15"/>
      <c r="R12" s="15"/>
    </row>
    <row r="13" spans="1:18" ht="14.85" customHeight="1">
      <c r="A13" s="2">
        <v>11</v>
      </c>
      <c r="B13" s="4"/>
      <c r="C13" s="4"/>
      <c r="D13" s="5">
        <f t="shared" si="0"/>
        <v>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17"/>
      <c r="R13" s="17"/>
    </row>
    <row r="14" spans="1:18" ht="14.85" customHeight="1">
      <c r="A14" s="2">
        <v>12</v>
      </c>
      <c r="B14" s="4"/>
      <c r="C14" s="4"/>
      <c r="D14" s="5">
        <f t="shared" si="0"/>
        <v>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17"/>
      <c r="R14" s="17"/>
    </row>
    <row r="15" spans="1:18" ht="14.85" customHeight="1">
      <c r="A15" s="2">
        <v>13</v>
      </c>
      <c r="B15" s="4"/>
      <c r="C15" s="4"/>
      <c r="D15" s="5">
        <f t="shared" si="0"/>
        <v>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17"/>
      <c r="R15" s="17"/>
    </row>
    <row r="16" spans="1:18" ht="14.85" customHeight="1">
      <c r="A16" s="2">
        <v>14</v>
      </c>
      <c r="B16" s="4"/>
      <c r="C16" s="4"/>
      <c r="D16" s="5">
        <f t="shared" si="0"/>
        <v>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18"/>
      <c r="R16" s="18"/>
    </row>
  </sheetData>
  <sheetProtection selectLockedCells="1" selectUnlockedCells="1"/>
  <mergeCells count="11">
    <mergeCell ref="G1:H1"/>
    <mergeCell ref="A1:A2"/>
    <mergeCell ref="B1:B2"/>
    <mergeCell ref="C1:C2"/>
    <mergeCell ref="D1:D2"/>
    <mergeCell ref="E1:F1"/>
    <mergeCell ref="I1:J1"/>
    <mergeCell ref="K1:L1"/>
    <mergeCell ref="M1:N1"/>
    <mergeCell ref="O1:P1"/>
    <mergeCell ref="Q1:R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2021-10-21T08:28:04Z</dcterms:modified>
  <cp:category/>
  <cp:contentStatus/>
</cp:coreProperties>
</file>