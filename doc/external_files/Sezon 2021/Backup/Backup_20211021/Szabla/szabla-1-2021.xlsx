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Backup/Backup_20211021/Szabla/"/>
    </mc:Choice>
  </mc:AlternateContent>
  <xr:revisionPtr revIDLastSave="1" documentId="8_{9180A7A4-3762-488C-9D66-A63DEA60426E}" xr6:coauthVersionLast="47" xr6:coauthVersionMax="47" xr10:uidLastSave="{1BA95F03-FE4D-40D3-B668-8C7DE3EB3465}"/>
  <bookViews>
    <workbookView xWindow="-108" yWindow="-108" windowWidth="23256" windowHeight="1272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R4" i="1"/>
  <c r="D4" i="1" s="1"/>
  <c r="D5" i="1"/>
  <c r="D6" i="1"/>
  <c r="R7" i="1"/>
  <c r="D7" i="1" s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<sst xmlns="http://schemas.openxmlformats.org/spreadsheetml/2006/main" count="37" uniqueCount="25">
  <si>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</si>
  <si>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</si>
  <si>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</si>
  <si>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</si>
  <si>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</si>
  <si>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</si>
  <si>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</si>
  <si>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</si>
  <si>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</si>
  <si>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</si>
  <si>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</si>
  <si>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</si>
  <si>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</si>
  <si>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GANSZCZYK Marcin</t>
  </si>
  <si>
    <t>WINGROWICZ Mariusz</t>
  </si>
  <si>
    <t>RUDY Andrzej</t>
  </si>
  <si>
    <t>JAROSZEK Zbigniew</t>
  </si>
  <si>
    <t>SZYMAŃSKI Adam</t>
  </si>
  <si>
    <t>BAZAK Jacek</t>
  </si>
  <si>
    <t>KROCHMALSKI Jakub</t>
  </si>
  <si>
    <t>PIGUŁA Tomasz</t>
  </si>
  <si>
    <t>ZAWROTNIAK Przemysław</t>
  </si>
  <si>
    <t>RUTECKI Paweł</t>
  </si>
  <si>
    <t>PIGUŁA Darek</t>
  </si>
  <si>
    <t>TK Tomasz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</si>
</sst>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  <font>
      <sz val="11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1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B3" sqref="B3"/>
    </sheetView>
  </sheetViews>
  <sheetFormatPr defaultColWidth="11.5546875" defaultRowHeight="13.2" x14ac:dyDescent="0.25"/>
  <cols>
    <col min="1" max="1" width="7.5546875" customWidth="1"/>
    <col min="2" max="2" width="24.33203125" customWidth="1"/>
    <col min="3" max="3" width="13.88671875" customWidth="1"/>
    <col min="5" max="16" width="6" customWidth="1"/>
    <col min="17" max="18" width="6.109375" customWidth="1"/>
  </cols>
  <sheetData>
    <row r="1" spans="1:18" ht="14.8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/>
      <c r="G1" s="25" t="s">
        <v>5</v>
      </c>
      <c r="H1" s="25"/>
      <c r="I1" s="25" t="s">
        <v>6</v>
      </c>
      <c r="J1" s="25"/>
      <c r="K1" s="25" t="s">
        <v>7</v>
      </c>
      <c r="L1" s="25"/>
      <c r="M1" s="25" t="s">
        <v>8</v>
      </c>
      <c r="N1" s="25"/>
      <c r="O1" s="25" t="s">
        <v>9</v>
      </c>
      <c r="P1" s="25"/>
      <c r="Q1" s="25" t="s">
        <v>10</v>
      </c>
      <c r="R1" s="25"/>
    </row>
    <row r="2" spans="1:18" ht="14.85" customHeight="1" x14ac:dyDescent="0.25">
      <c r="A2" s="25"/>
      <c r="B2" s="25"/>
      <c r="C2" s="25"/>
      <c r="D2" s="25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 x14ac:dyDescent="0.25">
      <c r="A3" s="2">
        <v>1</v>
      </c>
      <c r="B3" s="3" t="s">
        <v>24</v>
      </c>
      <c r="C3" s="4"/>
      <c r="D3" s="5">
        <f>F3+L3+N3+J3+H3+R3</f>
        <v>737.36</v>
      </c>
      <c r="E3" s="6">
        <v>1</v>
      </c>
      <c r="F3" s="6">
        <v>95</v>
      </c>
      <c r="G3" s="6">
        <v>1</v>
      </c>
      <c r="H3" s="6">
        <v>79</v>
      </c>
      <c r="I3" s="6">
        <v>1</v>
      </c>
      <c r="J3" s="6">
        <v>79</v>
      </c>
      <c r="K3" s="6">
        <v>1</v>
      </c>
      <c r="L3" s="6">
        <v>79</v>
      </c>
      <c r="M3" s="6">
        <v>2</v>
      </c>
      <c r="N3" s="6">
        <v>73</v>
      </c>
      <c r="O3" s="7">
        <v>3</v>
      </c>
      <c r="P3" s="7">
        <v>70</v>
      </c>
      <c r="Q3" s="8">
        <v>3</v>
      </c>
      <c r="R3" s="8">
        <f>166.18*2</f>
        <v>332.36</v>
      </c>
    </row>
    <row r="4" spans="1:18" ht="14.85" customHeight="1" x14ac:dyDescent="0.25">
      <c r="A4" s="2">
        <v>2</v>
      </c>
      <c r="B4" s="9" t="s">
        <v>13</v>
      </c>
      <c r="C4" s="4"/>
      <c r="D4" s="5">
        <f>SUM(F4+N4+P4+L4+R4+J4)</f>
        <v>459.86</v>
      </c>
      <c r="E4" s="6">
        <v>2</v>
      </c>
      <c r="F4" s="6">
        <v>88</v>
      </c>
      <c r="G4" s="7">
        <v>3</v>
      </c>
      <c r="H4" s="7">
        <v>70</v>
      </c>
      <c r="I4" s="6">
        <v>2</v>
      </c>
      <c r="J4" s="6">
        <v>73</v>
      </c>
      <c r="K4" s="6">
        <v>2</v>
      </c>
      <c r="L4" s="6">
        <v>73</v>
      </c>
      <c r="M4" s="6">
        <v>1</v>
      </c>
      <c r="N4" s="6">
        <v>79</v>
      </c>
      <c r="O4" s="6">
        <v>2</v>
      </c>
      <c r="P4" s="6">
        <v>73</v>
      </c>
      <c r="Q4" s="10">
        <v>24</v>
      </c>
      <c r="R4" s="10">
        <f>36.93*2</f>
        <v>73.86</v>
      </c>
    </row>
    <row r="5" spans="1:18" ht="14.85" customHeight="1" x14ac:dyDescent="0.25">
      <c r="A5" s="2">
        <v>3</v>
      </c>
      <c r="B5" s="11" t="s">
        <v>14</v>
      </c>
      <c r="C5" s="12"/>
      <c r="D5" s="13">
        <f>SUM(F5+H5+L5+N5+P5+R5+J4)</f>
        <v>342</v>
      </c>
      <c r="E5" s="14">
        <v>4</v>
      </c>
      <c r="F5" s="14">
        <v>79</v>
      </c>
      <c r="G5" s="14"/>
      <c r="H5" s="14"/>
      <c r="I5" s="14">
        <v>5</v>
      </c>
      <c r="J5" s="14">
        <v>66</v>
      </c>
      <c r="K5" s="14">
        <v>9</v>
      </c>
      <c r="L5" s="14">
        <v>58</v>
      </c>
      <c r="M5" s="14">
        <v>5</v>
      </c>
      <c r="N5" s="14">
        <v>66</v>
      </c>
      <c r="O5" s="14">
        <v>5</v>
      </c>
      <c r="P5" s="14">
        <v>66</v>
      </c>
      <c r="Q5" s="15"/>
      <c r="R5" s="15"/>
    </row>
    <row r="6" spans="1:18" ht="14.85" customHeight="1" x14ac:dyDescent="0.25">
      <c r="A6" s="2">
        <v>4</v>
      </c>
      <c r="B6" t="s">
        <v>15</v>
      </c>
      <c r="C6" s="16"/>
      <c r="D6" s="13">
        <f>SUM(F6+H6+J6+L6+N6+P6+R6)</f>
        <v>295</v>
      </c>
      <c r="E6" s="17">
        <v>3</v>
      </c>
      <c r="F6" s="17">
        <v>84</v>
      </c>
      <c r="G6" s="17">
        <v>2</v>
      </c>
      <c r="H6" s="17">
        <v>73</v>
      </c>
      <c r="I6" s="17">
        <v>3</v>
      </c>
      <c r="J6" s="17">
        <v>70</v>
      </c>
      <c r="K6" s="17"/>
      <c r="L6" s="17"/>
      <c r="M6" s="17">
        <v>4</v>
      </c>
      <c r="N6" s="17">
        <v>68</v>
      </c>
      <c r="O6" s="17"/>
      <c r="P6" s="17"/>
      <c r="Q6" s="18"/>
      <c r="R6" s="18"/>
    </row>
    <row r="7" spans="1:18" ht="14.85" customHeight="1" x14ac:dyDescent="0.25">
      <c r="A7" s="2">
        <v>5</v>
      </c>
      <c r="B7" s="19" t="s">
        <v>16</v>
      </c>
      <c r="C7" s="20"/>
      <c r="D7" s="5">
        <f>SUM(F7+H7+L7+N7+P7+R7+J7)</f>
        <v>289.60000000000002</v>
      </c>
      <c r="E7" s="21"/>
      <c r="F7" s="21"/>
      <c r="G7" s="21"/>
      <c r="H7" s="21"/>
      <c r="I7" s="21">
        <v>6</v>
      </c>
      <c r="J7" s="21">
        <v>64</v>
      </c>
      <c r="K7" s="21">
        <v>5</v>
      </c>
      <c r="L7" s="21">
        <v>66</v>
      </c>
      <c r="M7" s="21">
        <v>6</v>
      </c>
      <c r="N7" s="21">
        <v>64</v>
      </c>
      <c r="O7" s="21">
        <v>6</v>
      </c>
      <c r="P7" s="21">
        <v>64</v>
      </c>
      <c r="Q7" s="22">
        <v>71</v>
      </c>
      <c r="R7" s="22">
        <f>15.8*2</f>
        <v>31.6</v>
      </c>
    </row>
    <row r="8" spans="1:18" ht="14.85" customHeight="1" x14ac:dyDescent="0.25">
      <c r="A8" s="2">
        <v>6</v>
      </c>
      <c r="B8" s="23" t="s">
        <v>17</v>
      </c>
      <c r="C8" s="4"/>
      <c r="D8" s="5">
        <f>SUM(F8+H8+L8+N8+J8+P8)</f>
        <v>178</v>
      </c>
      <c r="E8" s="6"/>
      <c r="F8" s="6"/>
      <c r="G8" s="6"/>
      <c r="H8" s="6"/>
      <c r="I8" s="6"/>
      <c r="J8" s="6"/>
      <c r="K8" s="6">
        <v>8</v>
      </c>
      <c r="L8" s="6">
        <v>60</v>
      </c>
      <c r="M8" s="6">
        <v>8</v>
      </c>
      <c r="N8" s="6">
        <v>60</v>
      </c>
      <c r="O8" s="6">
        <v>9</v>
      </c>
      <c r="P8" s="6">
        <v>58</v>
      </c>
      <c r="Q8" s="24"/>
      <c r="R8" s="24"/>
    </row>
    <row r="9" spans="1:18" ht="14.85" customHeight="1" x14ac:dyDescent="0.25">
      <c r="A9" s="2">
        <v>7</v>
      </c>
      <c r="B9" s="16" t="s">
        <v>18</v>
      </c>
      <c r="C9" s="16"/>
      <c r="D9" s="13">
        <f t="shared" ref="D9:D14" si="0">SUM(F9+H9+J9+L9+N9+P9+R9)</f>
        <v>136</v>
      </c>
      <c r="E9" s="17"/>
      <c r="F9" s="17"/>
      <c r="G9" s="17">
        <v>4</v>
      </c>
      <c r="H9" s="17">
        <v>68</v>
      </c>
      <c r="I9" s="17">
        <v>4</v>
      </c>
      <c r="J9" s="17">
        <v>68</v>
      </c>
      <c r="K9" s="17"/>
      <c r="L9" s="17"/>
      <c r="M9" s="17"/>
      <c r="N9" s="17"/>
      <c r="O9" s="17"/>
      <c r="P9" s="17"/>
      <c r="Q9" s="18"/>
      <c r="R9" s="18"/>
    </row>
    <row r="10" spans="1:18" ht="14.85" customHeight="1" x14ac:dyDescent="0.25">
      <c r="A10" s="2">
        <v>8</v>
      </c>
      <c r="B10" s="16" t="s">
        <v>19</v>
      </c>
      <c r="C10" s="16"/>
      <c r="D10" s="13">
        <f t="shared" si="0"/>
        <v>70</v>
      </c>
      <c r="E10" s="17"/>
      <c r="F10" s="17"/>
      <c r="G10" s="17"/>
      <c r="H10" s="17"/>
      <c r="I10" s="17"/>
      <c r="J10" s="17"/>
      <c r="K10" s="17"/>
      <c r="L10" s="17"/>
      <c r="M10" s="17">
        <v>3</v>
      </c>
      <c r="N10" s="17">
        <v>70</v>
      </c>
      <c r="O10" s="17"/>
      <c r="P10" s="17"/>
      <c r="Q10" s="18"/>
      <c r="R10" s="18"/>
    </row>
    <row r="11" spans="1:18" ht="14.85" customHeight="1" x14ac:dyDescent="0.25">
      <c r="A11" s="2">
        <v>9</v>
      </c>
      <c r="B11" s="16" t="s">
        <v>20</v>
      </c>
      <c r="C11" s="16"/>
      <c r="D11" s="13">
        <f t="shared" si="0"/>
        <v>68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v>4</v>
      </c>
      <c r="P11" s="17">
        <v>68</v>
      </c>
      <c r="Q11" s="18"/>
      <c r="R11" s="18"/>
    </row>
    <row r="12" spans="1:18" ht="14.85" customHeight="1" x14ac:dyDescent="0.25">
      <c r="A12" s="2">
        <v>10</v>
      </c>
      <c r="B12" s="16" t="s">
        <v>21</v>
      </c>
      <c r="C12" s="16"/>
      <c r="D12" s="13">
        <f t="shared" si="0"/>
        <v>62</v>
      </c>
      <c r="E12" s="17"/>
      <c r="F12" s="17"/>
      <c r="G12" s="17"/>
      <c r="H12" s="17"/>
      <c r="I12" s="17"/>
      <c r="J12" s="17"/>
      <c r="K12" s="17"/>
      <c r="L12" s="17"/>
      <c r="M12" s="17">
        <v>7</v>
      </c>
      <c r="N12" s="17">
        <v>62</v>
      </c>
      <c r="O12" s="17"/>
      <c r="P12" s="17"/>
      <c r="Q12" s="18"/>
      <c r="R12" s="18"/>
    </row>
    <row r="13" spans="1:18" ht="13.8" x14ac:dyDescent="0.25">
      <c r="A13" s="2">
        <v>11</v>
      </c>
      <c r="B13" s="16" t="s">
        <v>22</v>
      </c>
      <c r="C13" s="16"/>
      <c r="D13" s="13">
        <f t="shared" si="0"/>
        <v>60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8</v>
      </c>
      <c r="P13" s="17">
        <v>60</v>
      </c>
      <c r="Q13" s="18"/>
      <c r="R13" s="18"/>
    </row>
    <row r="14" spans="1:18" ht="14.85" customHeight="1" x14ac:dyDescent="0.25">
      <c r="A14" s="2">
        <v>12</v>
      </c>
      <c r="B14" s="16" t="s">
        <v>23</v>
      </c>
      <c r="C14" s="16"/>
      <c r="D14" s="13">
        <f t="shared" si="0"/>
        <v>56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v>10</v>
      </c>
      <c r="P14" s="17">
        <v>56</v>
      </c>
      <c r="Q14" s="18"/>
      <c r="R14" s="18"/>
    </row>
    <row r="15" spans="1:18" ht="14.85" customHeight="1" x14ac:dyDescent="0.25"/>
    <row r="16" spans="1:18" ht="14.85" customHeight="1" x14ac:dyDescent="0.25"/>
    <row r="17" ht="14.85" customHeight="1" x14ac:dyDescent="0.25"/>
    <row r="18" ht="14.85" customHeight="1" x14ac:dyDescent="0.25"/>
    <row r="19" ht="14.85" customHeight="1" x14ac:dyDescent="0.25"/>
    <row r="20" ht="14.85" customHeight="1" x14ac:dyDescent="0.25"/>
    <row r="21" ht="14.85" customHeight="1" x14ac:dyDescent="0.25"/>
    <row r="22" ht="14.85" customHeight="1" x14ac:dyDescent="0.25"/>
    <row r="23" ht="14.85" customHeight="1" x14ac:dyDescent="0.25"/>
    <row r="24" ht="14.85" customHeight="1" x14ac:dyDescent="0.25"/>
    <row r="25" ht="14.85" customHeight="1" x14ac:dyDescent="0.25"/>
    <row r="26" ht="14.85" customHeight="1" x14ac:dyDescent="0.25"/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2021-10-21T08:26:50Z</dcterms:created>
  <dcterms:modified xsi:type="dcterms:W3CDTF">2022-03-19T21:45:32Z</dcterms:modified>
  <cp:category/>
  <cp:contentStatus/>
</cp:coreProperties>
</file>