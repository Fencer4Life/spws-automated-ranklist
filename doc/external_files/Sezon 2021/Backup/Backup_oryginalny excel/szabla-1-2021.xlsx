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Backup/Backup_oryginalny excel/"/>
    </mc:Choice>
  </mc:AlternateContent>
  <xr:revisionPtr revIDLastSave="84" documentId="8_{9180A7A4-3762-488C-9D66-A63DEA60426E}" xr6:coauthVersionLast="47" xr6:coauthVersionMax="47" xr10:uidLastSave="{CDA232FC-C647-469A-BDE7-476046364507}"/>
  <bookViews>
    <workbookView xWindow="-108" yWindow="-108" windowWidth="23256" windowHeight="1272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R8" i="1"/>
  <c r="R4" i="1"/>
  <c r="D6" i="1"/>
  <c r="R3" i="1"/>
  <c r="D3" i="1" s="1"/>
  <c r="D4" i="1"/>
  <c r="D5" i="1"/>
  <c r="R9" i="1"/>
  <c r="D9" i="1" s="1"/>
  <c r="D11" i="1"/>
  <c r="D8" i="1"/>
  <c r="D7" i="1"/>
  <c r="D10" i="1"/>
</calcChain>
</file>

<file path=xl/sharedStrings.xml><?xml version="1.0" encoding="utf-8"?>
<sst xmlns="http://schemas.openxmlformats.org/spreadsheetml/2006/main" count="36" uniqueCount="24">
  <si>
    <t>L.P.</t>
  </si>
  <si>
    <t>IMIĘ NAZWISKO</t>
  </si>
  <si>
    <t>KLUB</t>
  </si>
  <si>
    <t>PUNKTY</t>
  </si>
  <si>
    <t>MPW</t>
  </si>
  <si>
    <t>GP I</t>
  </si>
  <si>
    <t>GP II</t>
  </si>
  <si>
    <t xml:space="preserve">GP III
(Leszno) </t>
  </si>
  <si>
    <t>GP IV</t>
  </si>
  <si>
    <t>GP V</t>
  </si>
  <si>
    <t>EU</t>
  </si>
  <si>
    <t>M</t>
  </si>
  <si>
    <t>P</t>
  </si>
  <si>
    <t>GANSZCZYK Marcin</t>
  </si>
  <si>
    <t>RUDY Andrzej</t>
  </si>
  <si>
    <t>WINGROWICZ Mariusz</t>
  </si>
  <si>
    <t>KROCHMALSKI Jakub</t>
  </si>
  <si>
    <t>BAZAK Jacek</t>
  </si>
  <si>
    <t>JAROSZEK Zbigniew</t>
  </si>
  <si>
    <t>MARASEK Tomasz</t>
  </si>
  <si>
    <t>SZYMAŃSKI Adam</t>
  </si>
  <si>
    <t>KOŁUCKI Michał</t>
  </si>
  <si>
    <t>ZAWROTNIAK Przemysław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</si>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</sst>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sz val="11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1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B8" sqref="B8"/>
    </sheetView>
  </sheetViews>
  <sheetFormatPr defaultColWidth="11.5546875" defaultRowHeight="13.2" x14ac:dyDescent="0.25"/>
  <cols>
    <col min="1" max="1" width="7.5546875" customWidth="1"/>
    <col min="2" max="2" width="24.33203125" customWidth="1"/>
    <col min="3" max="3" width="13.88671875" customWidth="1"/>
    <col min="5" max="16" width="6" customWidth="1"/>
    <col min="17" max="18" width="6.109375" customWidth="1"/>
  </cols>
  <sheetData>
    <row r="1" spans="1:18" ht="26.2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/>
      <c r="G1" s="25" t="s">
        <v>5</v>
      </c>
      <c r="H1" s="25"/>
      <c r="I1" s="25" t="s">
        <v>6</v>
      </c>
      <c r="J1" s="25"/>
      <c r="K1" s="26" t="s">
        <v>7</v>
      </c>
      <c r="L1" s="25"/>
      <c r="M1" s="25" t="s">
        <v>8</v>
      </c>
      <c r="N1" s="25"/>
      <c r="O1" s="25" t="s">
        <v>9</v>
      </c>
      <c r="P1" s="25"/>
      <c r="Q1" s="25" t="s">
        <v>10</v>
      </c>
      <c r="R1" s="25"/>
    </row>
    <row r="2" spans="1:18" ht="14.85" customHeight="1" x14ac:dyDescent="0.25">
      <c r="A2" s="25"/>
      <c r="B2" s="25"/>
      <c r="C2" s="25"/>
      <c r="D2" s="2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 x14ac:dyDescent="0.25">
      <c r="A3" s="2">
        <v>1</v>
      </c>
      <c r="B3" s="3" t="s">
        <v>23</v>
      </c>
      <c r="C3" s="4"/>
      <c r="D3" s="5">
        <f>F3+L3+N3+J3+H3+R3</f>
        <v>720.36</v>
      </c>
      <c r="E3" s="6">
        <v>3</v>
      </c>
      <c r="F3" s="6">
        <v>84</v>
      </c>
      <c r="G3" s="6">
        <v>1</v>
      </c>
      <c r="H3" s="6">
        <v>79</v>
      </c>
      <c r="I3" s="6">
        <v>1</v>
      </c>
      <c r="J3" s="6">
        <v>79</v>
      </c>
      <c r="K3" s="6">
        <v>2</v>
      </c>
      <c r="L3" s="6">
        <v>73</v>
      </c>
      <c r="M3" s="6">
        <v>2</v>
      </c>
      <c r="N3" s="6">
        <v>73</v>
      </c>
      <c r="O3" s="7">
        <v>2</v>
      </c>
      <c r="P3" s="7">
        <v>73</v>
      </c>
      <c r="Q3" s="8">
        <v>4</v>
      </c>
      <c r="R3" s="8">
        <f>166.18*2</f>
        <v>332.36</v>
      </c>
    </row>
    <row r="4" spans="1:18" ht="14.85" customHeight="1" x14ac:dyDescent="0.25">
      <c r="A4" s="2">
        <v>2</v>
      </c>
      <c r="B4" s="9" t="s">
        <v>13</v>
      </c>
      <c r="C4" s="4"/>
      <c r="D4" s="5">
        <f>SUM(F4+N4+P4+L4+R4+J4)</f>
        <v>587.29999999999995</v>
      </c>
      <c r="E4" s="6">
        <v>1</v>
      </c>
      <c r="F4" s="6">
        <v>95</v>
      </c>
      <c r="G4" s="7">
        <v>3</v>
      </c>
      <c r="H4" s="7">
        <v>70</v>
      </c>
      <c r="I4" s="6">
        <v>2</v>
      </c>
      <c r="J4" s="6">
        <v>73</v>
      </c>
      <c r="K4" s="6">
        <v>1</v>
      </c>
      <c r="L4" s="6">
        <v>79</v>
      </c>
      <c r="M4" s="6">
        <v>1</v>
      </c>
      <c r="N4" s="6">
        <v>79</v>
      </c>
      <c r="O4" s="6">
        <v>1</v>
      </c>
      <c r="P4" s="6">
        <v>79</v>
      </c>
      <c r="Q4" s="10">
        <v>9</v>
      </c>
      <c r="R4" s="10">
        <f>91.15*2</f>
        <v>182.3</v>
      </c>
    </row>
    <row r="5" spans="1:18" ht="14.85" customHeight="1" x14ac:dyDescent="0.25">
      <c r="A5" s="2">
        <v>3</v>
      </c>
      <c r="B5" s="11" t="s">
        <v>14</v>
      </c>
      <c r="C5" s="16"/>
      <c r="D5" s="13">
        <f>SUM(F5+H5+J5+L5+N5+P5+R5)</f>
        <v>355</v>
      </c>
      <c r="E5" s="17">
        <v>6</v>
      </c>
      <c r="F5" s="17">
        <v>74</v>
      </c>
      <c r="G5" s="17">
        <v>2</v>
      </c>
      <c r="H5" s="17">
        <v>73</v>
      </c>
      <c r="I5" s="17">
        <v>3</v>
      </c>
      <c r="J5" s="17">
        <v>70</v>
      </c>
      <c r="K5" s="17">
        <v>3</v>
      </c>
      <c r="L5" s="17">
        <v>70</v>
      </c>
      <c r="M5" s="17">
        <v>4</v>
      </c>
      <c r="N5" s="17">
        <v>68</v>
      </c>
      <c r="O5" s="17"/>
      <c r="P5" s="17"/>
      <c r="Q5" s="18"/>
      <c r="R5" s="18"/>
    </row>
    <row r="6" spans="1:18" ht="14.85" customHeight="1" x14ac:dyDescent="0.25">
      <c r="A6" s="2">
        <v>4</v>
      </c>
      <c r="B6" s="19" t="s">
        <v>15</v>
      </c>
      <c r="C6" s="12"/>
      <c r="D6" s="13">
        <f>SUM(F6+H6+L6+N6+P6+R6+J4)</f>
        <v>354</v>
      </c>
      <c r="E6" s="14">
        <v>4</v>
      </c>
      <c r="F6" s="14">
        <v>79</v>
      </c>
      <c r="G6" s="14"/>
      <c r="H6" s="14"/>
      <c r="I6" s="14">
        <v>5</v>
      </c>
      <c r="J6" s="14">
        <v>66</v>
      </c>
      <c r="K6" s="14">
        <v>4</v>
      </c>
      <c r="L6" s="14">
        <v>68</v>
      </c>
      <c r="M6" s="14">
        <v>5</v>
      </c>
      <c r="N6" s="14">
        <v>66</v>
      </c>
      <c r="O6" s="14">
        <v>4</v>
      </c>
      <c r="P6" s="14">
        <v>68</v>
      </c>
      <c r="Q6" s="15"/>
      <c r="R6" s="15"/>
    </row>
    <row r="7" spans="1:18" ht="14.85" customHeight="1" x14ac:dyDescent="0.25">
      <c r="A7" s="2">
        <v>5</v>
      </c>
      <c r="B7" s="16" t="s">
        <v>16</v>
      </c>
      <c r="C7" s="16"/>
      <c r="D7" s="13">
        <f>SUM(F7+H7+J7+L7+N7+P7+R7)</f>
        <v>228</v>
      </c>
      <c r="E7" s="17">
        <v>2</v>
      </c>
      <c r="F7" s="17">
        <v>88</v>
      </c>
      <c r="G7" s="17"/>
      <c r="H7" s="17"/>
      <c r="I7" s="17"/>
      <c r="J7" s="17"/>
      <c r="K7" s="17"/>
      <c r="L7" s="17"/>
      <c r="M7" s="17">
        <v>3</v>
      </c>
      <c r="N7" s="17">
        <v>70</v>
      </c>
      <c r="O7" s="17">
        <v>3</v>
      </c>
      <c r="P7" s="17">
        <v>70</v>
      </c>
      <c r="Q7" s="18"/>
      <c r="R7" s="18"/>
    </row>
    <row r="8" spans="1:18" ht="14.85" customHeight="1" x14ac:dyDescent="0.25">
      <c r="A8" s="2">
        <v>6</v>
      </c>
      <c r="B8" s="16" t="s">
        <v>17</v>
      </c>
      <c r="C8" s="16"/>
      <c r="D8" s="13">
        <f>SUM(F8+H8+J8+L8+N8+P8+R8)</f>
        <v>190.22</v>
      </c>
      <c r="E8" s="17"/>
      <c r="F8" s="17"/>
      <c r="G8" s="17">
        <v>4</v>
      </c>
      <c r="H8" s="17">
        <v>68</v>
      </c>
      <c r="I8" s="17">
        <v>4</v>
      </c>
      <c r="J8" s="17">
        <v>68</v>
      </c>
      <c r="K8" s="17"/>
      <c r="L8" s="17"/>
      <c r="M8" s="17"/>
      <c r="N8" s="17"/>
      <c r="O8" s="17"/>
      <c r="P8" s="17"/>
      <c r="Q8" s="18">
        <v>28</v>
      </c>
      <c r="R8" s="18">
        <f>27.11*2</f>
        <v>54.22</v>
      </c>
    </row>
    <row r="9" spans="1:18" ht="14.85" customHeight="1" x14ac:dyDescent="0.25">
      <c r="A9" s="2">
        <v>7</v>
      </c>
      <c r="B9" s="19" t="s">
        <v>18</v>
      </c>
      <c r="C9" s="20"/>
      <c r="D9" s="5">
        <f>SUM(F9+H9+L9+N9+P9+R9+J9)</f>
        <v>159.6</v>
      </c>
      <c r="E9" s="21"/>
      <c r="F9" s="21"/>
      <c r="G9" s="21"/>
      <c r="H9" s="21"/>
      <c r="I9" s="21">
        <v>6</v>
      </c>
      <c r="J9" s="21">
        <v>64</v>
      </c>
      <c r="K9" s="21"/>
      <c r="L9" s="21"/>
      <c r="M9" s="21">
        <v>6</v>
      </c>
      <c r="N9" s="21">
        <v>64</v>
      </c>
      <c r="O9" s="21"/>
      <c r="P9" s="21"/>
      <c r="Q9" s="22">
        <v>71</v>
      </c>
      <c r="R9" s="22">
        <f>15.8*2</f>
        <v>31.6</v>
      </c>
    </row>
    <row r="10" spans="1:18" ht="14.85" customHeight="1" x14ac:dyDescent="0.25">
      <c r="A10" s="2">
        <v>8</v>
      </c>
      <c r="B10" s="16" t="s">
        <v>19</v>
      </c>
      <c r="C10" s="16"/>
      <c r="D10" s="13">
        <f>SUM(F10+H10+J10+L10+N10+P10+R10)</f>
        <v>138</v>
      </c>
      <c r="E10" s="17">
        <v>7</v>
      </c>
      <c r="F10" s="17">
        <v>72</v>
      </c>
      <c r="G10" s="17"/>
      <c r="H10" s="17"/>
      <c r="I10" s="17"/>
      <c r="J10" s="17"/>
      <c r="K10" s="17"/>
      <c r="L10" s="17"/>
      <c r="M10" s="17"/>
      <c r="N10" s="17"/>
      <c r="O10" s="17">
        <v>5</v>
      </c>
      <c r="P10" s="17">
        <v>66</v>
      </c>
      <c r="Q10" s="18"/>
      <c r="R10" s="18"/>
    </row>
    <row r="11" spans="1:18" ht="14.85" customHeight="1" x14ac:dyDescent="0.25">
      <c r="A11" s="2">
        <v>9</v>
      </c>
      <c r="B11" s="23" t="s">
        <v>20</v>
      </c>
      <c r="C11" s="4"/>
      <c r="D11" s="5">
        <f>SUM(F11+H11+L11+N11+J11+P11)</f>
        <v>126</v>
      </c>
      <c r="E11" s="6"/>
      <c r="F11" s="6"/>
      <c r="G11" s="6"/>
      <c r="H11" s="6"/>
      <c r="I11" s="6"/>
      <c r="J11" s="6"/>
      <c r="K11" s="6">
        <v>5</v>
      </c>
      <c r="L11" s="6">
        <v>66</v>
      </c>
      <c r="M11" s="6">
        <v>8</v>
      </c>
      <c r="N11" s="6">
        <v>60</v>
      </c>
      <c r="O11" s="6"/>
      <c r="P11" s="6"/>
      <c r="Q11" s="24"/>
      <c r="R11" s="24"/>
    </row>
    <row r="12" spans="1:18" ht="14.85" customHeight="1" x14ac:dyDescent="0.25">
      <c r="A12" s="2">
        <v>10</v>
      </c>
      <c r="B12" s="16" t="s">
        <v>21</v>
      </c>
      <c r="C12" s="16"/>
      <c r="D12" s="13">
        <f t="shared" ref="D12:D13" si="0">SUM(F12+H12+J12+L12+N12+P12+R12)</f>
        <v>77</v>
      </c>
      <c r="E12" s="17">
        <v>5</v>
      </c>
      <c r="F12" s="17">
        <v>77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</row>
    <row r="13" spans="1:18" ht="14.85" customHeight="1" x14ac:dyDescent="0.25">
      <c r="A13" s="2">
        <v>11</v>
      </c>
      <c r="B13" s="16" t="s">
        <v>22</v>
      </c>
      <c r="C13" s="16"/>
      <c r="D13" s="13">
        <f t="shared" si="0"/>
        <v>62</v>
      </c>
      <c r="E13" s="17"/>
      <c r="F13" s="17"/>
      <c r="G13" s="17"/>
      <c r="H13" s="17"/>
      <c r="I13" s="17"/>
      <c r="J13" s="17"/>
      <c r="K13" s="17"/>
      <c r="L13" s="17"/>
      <c r="M13" s="17">
        <v>7</v>
      </c>
      <c r="N13" s="17">
        <v>62</v>
      </c>
      <c r="O13" s="17"/>
      <c r="P13" s="17"/>
      <c r="Q13" s="18"/>
      <c r="R13" s="18"/>
    </row>
    <row r="14" spans="1:18" ht="14.85" customHeight="1" x14ac:dyDescent="0.25"/>
    <row r="15" spans="1:18" ht="14.85" customHeight="1" x14ac:dyDescent="0.25"/>
    <row r="16" spans="1:18" ht="14.85" customHeight="1" x14ac:dyDescent="0.25"/>
    <row r="17" ht="14.85" customHeight="1" x14ac:dyDescent="0.25"/>
    <row r="18" ht="14.85" customHeight="1" x14ac:dyDescent="0.25"/>
    <row r="19" ht="14.85" customHeight="1" x14ac:dyDescent="0.25"/>
    <row r="20" ht="14.85" customHeight="1" x14ac:dyDescent="0.25"/>
    <row r="21" ht="14.85" customHeight="1" x14ac:dyDescent="0.25"/>
    <row r="22" ht="14.85" customHeight="1" x14ac:dyDescent="0.25"/>
    <row r="23" ht="14.85" customHeight="1" x14ac:dyDescent="0.25"/>
    <row r="24" ht="14.85" customHeight="1" x14ac:dyDescent="0.25"/>
    <row r="25" ht="14.85" customHeight="1" x14ac:dyDescent="0.25"/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2021-10-21T08:26:50Z</dcterms:created>
  <dcterms:modified xsi:type="dcterms:W3CDTF">2022-03-19T22:23:33Z</dcterms:modified>
  <cp:category/>
  <cp:contentStatus/>
</cp:coreProperties>
</file>