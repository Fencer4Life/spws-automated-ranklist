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36\AC\Temp\"/>
    </mc:Choice>
  </mc:AlternateContent>
  <xr:revisionPtr revIDLastSave="105" documentId="8_{F6517D1C-8EB5-49A5-8F9E-765C1357B880}" xr6:coauthVersionLast="47" xr6:coauthVersionMax="47" xr10:uidLastSave="{FAF31858-62B0-489A-9342-91978301FB9F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7" i="1"/>
  <c r="R5" i="1"/>
  <c r="D5" i="1" s="1"/>
  <c r="R4" i="1"/>
  <c r="D9" i="1"/>
  <c r="D11" i="1"/>
  <c r="D8" i="1"/>
  <c r="D4" i="1"/>
  <c r="R3" i="1"/>
  <c r="D3" i="1" s="1"/>
  <c r="D6" i="1"/>
  <c r="D10" i="1"/>
  <c r="D13" i="1"/>
  <c r="D15" i="1"/>
  <c r="D14" i="1"/>
  <c r="D16" i="1"/>
</calcChain>
</file>

<file path=xl/sharedStrings.xml><?xml version="1.0" encoding="utf-8"?>
<sst xmlns="http://schemas.openxmlformats.org/spreadsheetml/2006/main" count="39" uniqueCount="27">
  <si>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</si>
  <si>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</si>
  <si>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</si>
  <si>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</si>
  <si>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</si>
  <si>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</si>
  <si>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</si>
  <si>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</si>
  <si>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</si>
  <si>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</si>
  <si>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</si>
  <si>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</si>
  <si>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</si>
  <si>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HERONIMEK Leszek</t>
  </si>
  <si>
    <t>SZCZĘSNY Jacek</t>
  </si>
  <si>
    <t>ĆWIORO Krzysztof</t>
  </si>
  <si>
    <t>ADAMCZEWSKI Wojciech</t>
  </si>
  <si>
    <t>KIERSZNICKI Ryszard</t>
  </si>
  <si>
    <t>POKRZYWA Mariusz</t>
  </si>
  <si>
    <t>JUSZKIEWICZ Piotr</t>
  </si>
  <si>
    <t>GRODNER Michał</t>
  </si>
  <si>
    <t>POPRAWA Mariusz</t>
  </si>
  <si>
    <t>KRAWCZYK Paweł</t>
  </si>
  <si>
    <t>AUGUSTOWSKI Waldemar</t>
  </si>
  <si>
    <t>MAŁASIŃSKI Adam</t>
  </si>
  <si>
    <t>ŻYCZKOWSKI Adam</t>
  </si>
  <si>
    <t>WALOCHA Mirosław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</si>
</sst>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8"/>
      <name val="Arial"/>
      <family val="2"/>
      <charset val="238"/>
    </font>
    <font>
      <sz val="11"/>
      <color indexed="10"/>
      <name val="Arial"/>
      <family val="2"/>
      <charset val="238"/>
    </font>
    <font>
      <sz val="11"/>
      <color rgb="FFFF0000"/>
      <name val="Arial"/>
      <family val="2"/>
      <charset val="238"/>
    </font>
    <font>
      <sz val="11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7" sqref="A17"/>
    </sheetView>
  </sheetViews>
  <sheetFormatPr defaultColWidth="11.5703125" defaultRowHeight="12.75"/>
  <cols>
    <col min="1" max="1" width="6.140625" customWidth="1"/>
    <col min="2" max="2" width="26.140625" customWidth="1"/>
    <col min="3" max="3" width="13.85546875" customWidth="1"/>
    <col min="5" max="16" width="6" customWidth="1"/>
    <col min="17" max="18" width="6.140625" customWidth="1"/>
  </cols>
  <sheetData>
    <row r="1" spans="1:18" ht="27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/>
      <c r="G1" s="23" t="s">
        <v>5</v>
      </c>
      <c r="H1" s="23"/>
      <c r="I1" s="23" t="s">
        <v>6</v>
      </c>
      <c r="J1" s="23"/>
      <c r="K1" s="24" t="s">
        <v>7</v>
      </c>
      <c r="L1" s="23"/>
      <c r="M1" s="23" t="s">
        <v>8</v>
      </c>
      <c r="N1" s="23"/>
      <c r="O1" s="23" t="s">
        <v>9</v>
      </c>
      <c r="P1" s="23"/>
      <c r="Q1" s="23" t="s">
        <v>10</v>
      </c>
      <c r="R1" s="23"/>
    </row>
    <row r="2" spans="1:18" ht="14.85" customHeight="1">
      <c r="A2" s="23"/>
      <c r="B2" s="23"/>
      <c r="C2" s="23"/>
      <c r="D2" s="23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19" t="s">
        <v>13</v>
      </c>
      <c r="C3" s="3"/>
      <c r="D3" s="4">
        <f>SUM(F3+H3+J3+L3+P3+R3)</f>
        <v>647.83999999999992</v>
      </c>
      <c r="E3" s="5">
        <v>3</v>
      </c>
      <c r="F3" s="5">
        <v>84</v>
      </c>
      <c r="G3" s="5">
        <v>2</v>
      </c>
      <c r="H3" s="5">
        <v>73</v>
      </c>
      <c r="I3" s="5">
        <v>1</v>
      </c>
      <c r="J3" s="5">
        <v>79</v>
      </c>
      <c r="K3" s="5">
        <v>1</v>
      </c>
      <c r="L3" s="5">
        <v>79</v>
      </c>
      <c r="M3" s="17">
        <v>4</v>
      </c>
      <c r="N3" s="17">
        <v>66</v>
      </c>
      <c r="O3" s="5">
        <v>3</v>
      </c>
      <c r="P3" s="5">
        <v>70</v>
      </c>
      <c r="Q3" s="6">
        <v>15</v>
      </c>
      <c r="R3" s="6">
        <f>131.42*2</f>
        <v>262.83999999999997</v>
      </c>
    </row>
    <row r="4" spans="1:18" ht="14.85" customHeight="1">
      <c r="A4" s="2">
        <v>2</v>
      </c>
      <c r="B4" s="20" t="s">
        <v>14</v>
      </c>
      <c r="C4" s="3"/>
      <c r="D4" s="4">
        <f>SUM(F4+H4+L4+N4+P4+R4+J4)</f>
        <v>612.33999999999992</v>
      </c>
      <c r="E4" s="5">
        <v>1</v>
      </c>
      <c r="F4" s="5">
        <v>95</v>
      </c>
      <c r="G4" s="5"/>
      <c r="H4" s="5"/>
      <c r="I4" s="5"/>
      <c r="J4" s="5"/>
      <c r="K4" s="5">
        <v>2</v>
      </c>
      <c r="L4" s="5">
        <v>73</v>
      </c>
      <c r="M4" s="5">
        <v>2</v>
      </c>
      <c r="N4" s="5">
        <v>73</v>
      </c>
      <c r="O4" s="7">
        <v>2</v>
      </c>
      <c r="P4" s="7">
        <v>73</v>
      </c>
      <c r="Q4" s="8">
        <v>11</v>
      </c>
      <c r="R4" s="8">
        <f>149.17*2</f>
        <v>298.33999999999997</v>
      </c>
    </row>
    <row r="5" spans="1:18" ht="14.85" customHeight="1">
      <c r="A5" s="2">
        <v>3</v>
      </c>
      <c r="B5" s="21" t="s">
        <v>15</v>
      </c>
      <c r="C5" s="3"/>
      <c r="D5" s="4">
        <f>SUM(F5+H5+J5+L5+N5+P5+R5)</f>
        <v>414.36</v>
      </c>
      <c r="E5" s="5">
        <v>2</v>
      </c>
      <c r="F5" s="5">
        <v>88</v>
      </c>
      <c r="G5" s="5">
        <v>3</v>
      </c>
      <c r="H5" s="5">
        <v>70</v>
      </c>
      <c r="I5" s="5"/>
      <c r="J5" s="5"/>
      <c r="K5" s="5">
        <v>3</v>
      </c>
      <c r="L5" s="5">
        <v>70</v>
      </c>
      <c r="M5" s="5">
        <v>5</v>
      </c>
      <c r="N5" s="5">
        <v>64</v>
      </c>
      <c r="O5" s="5">
        <v>1</v>
      </c>
      <c r="P5" s="5">
        <v>79</v>
      </c>
      <c r="Q5" s="6">
        <v>107</v>
      </c>
      <c r="R5" s="6">
        <f>21.68*2</f>
        <v>43.36</v>
      </c>
    </row>
    <row r="6" spans="1:18" ht="14.85" customHeight="1">
      <c r="A6" s="2">
        <v>4</v>
      </c>
      <c r="B6" s="10" t="s">
        <v>16</v>
      </c>
      <c r="C6" s="3"/>
      <c r="D6" s="4">
        <f>SUM(F6+J6+L6+N6+P6+H6)</f>
        <v>331</v>
      </c>
      <c r="E6" s="5">
        <v>5</v>
      </c>
      <c r="F6" s="5">
        <v>77</v>
      </c>
      <c r="G6" s="5"/>
      <c r="H6" s="5"/>
      <c r="I6" s="5">
        <v>6</v>
      </c>
      <c r="J6" s="5">
        <v>62</v>
      </c>
      <c r="K6" s="5">
        <v>4</v>
      </c>
      <c r="L6" s="5">
        <v>66</v>
      </c>
      <c r="M6" s="5">
        <v>7</v>
      </c>
      <c r="N6" s="5">
        <v>60</v>
      </c>
      <c r="O6" s="5">
        <v>4</v>
      </c>
      <c r="P6" s="5">
        <v>66</v>
      </c>
      <c r="Q6" s="9"/>
      <c r="R6" s="9"/>
    </row>
    <row r="7" spans="1:18" ht="14.85" customHeight="1">
      <c r="A7" s="2">
        <v>5</v>
      </c>
      <c r="B7" s="10" t="s">
        <v>17</v>
      </c>
      <c r="C7" s="3"/>
      <c r="D7" s="4">
        <f>SUM(F7+P7+J7+L7+H7+N7)</f>
        <v>323</v>
      </c>
      <c r="E7" s="5">
        <v>6</v>
      </c>
      <c r="F7" s="5">
        <v>74</v>
      </c>
      <c r="G7" s="5">
        <v>4</v>
      </c>
      <c r="H7" s="5">
        <v>66</v>
      </c>
      <c r="I7" s="5">
        <v>5</v>
      </c>
      <c r="J7" s="5">
        <v>64</v>
      </c>
      <c r="K7" s="5">
        <v>5</v>
      </c>
      <c r="L7" s="5">
        <v>64</v>
      </c>
      <c r="M7" s="18">
        <v>10</v>
      </c>
      <c r="N7" s="18">
        <v>55</v>
      </c>
      <c r="O7" s="5"/>
      <c r="P7" s="5"/>
      <c r="Q7" s="11"/>
      <c r="R7" s="11"/>
    </row>
    <row r="8" spans="1:18" ht="14.85" customHeight="1">
      <c r="A8" s="2">
        <v>6</v>
      </c>
      <c r="B8" s="22" t="s">
        <v>18</v>
      </c>
      <c r="C8" s="3"/>
      <c r="D8" s="4">
        <f>SUM(F8+H8+L8+N8+P8+J8+R8)</f>
        <v>310</v>
      </c>
      <c r="E8" s="5">
        <v>4</v>
      </c>
      <c r="F8" s="5">
        <v>79</v>
      </c>
      <c r="G8" s="5">
        <v>1</v>
      </c>
      <c r="H8" s="5">
        <v>79</v>
      </c>
      <c r="I8" s="5">
        <v>2</v>
      </c>
      <c r="J8" s="5">
        <v>73</v>
      </c>
      <c r="K8" s="5"/>
      <c r="L8" s="5"/>
      <c r="M8" s="5">
        <v>1</v>
      </c>
      <c r="N8" s="5">
        <v>79</v>
      </c>
      <c r="O8" s="5"/>
      <c r="P8" s="5"/>
      <c r="Q8" s="9"/>
      <c r="R8" s="9"/>
    </row>
    <row r="9" spans="1:18" ht="14.1" customHeight="1">
      <c r="A9" s="2">
        <v>7</v>
      </c>
      <c r="B9" s="12" t="s">
        <v>19</v>
      </c>
      <c r="C9" s="13"/>
      <c r="D9" s="4">
        <f>SUM(F9+H9+J9+L9+N9+P9)</f>
        <v>188</v>
      </c>
      <c r="E9" s="14">
        <v>9</v>
      </c>
      <c r="F9" s="14">
        <v>68</v>
      </c>
      <c r="G9" s="14">
        <v>5</v>
      </c>
      <c r="H9" s="14">
        <v>64</v>
      </c>
      <c r="I9" s="14"/>
      <c r="J9" s="14"/>
      <c r="K9" s="14"/>
      <c r="L9" s="14"/>
      <c r="M9" s="14">
        <v>9</v>
      </c>
      <c r="N9" s="14">
        <v>56</v>
      </c>
      <c r="O9" s="14"/>
      <c r="P9" s="14"/>
      <c r="Q9" s="15"/>
      <c r="R9" s="15"/>
    </row>
    <row r="10" spans="1:18" ht="14.85" customHeight="1">
      <c r="A10" s="2">
        <v>8</v>
      </c>
      <c r="B10" s="10" t="s">
        <v>20</v>
      </c>
      <c r="C10" s="3"/>
      <c r="D10" s="4">
        <f>SUM(F10+H10+J10+L10+N10+P10)</f>
        <v>140</v>
      </c>
      <c r="E10" s="5">
        <v>8</v>
      </c>
      <c r="F10" s="5">
        <v>70</v>
      </c>
      <c r="G10" s="5"/>
      <c r="H10" s="5"/>
      <c r="I10" s="5">
        <v>3</v>
      </c>
      <c r="J10" s="5">
        <v>70</v>
      </c>
      <c r="K10" s="5"/>
      <c r="L10" s="5"/>
      <c r="M10" s="5"/>
      <c r="N10" s="5"/>
      <c r="O10" s="5"/>
      <c r="P10" s="5"/>
      <c r="Q10" s="16"/>
      <c r="R10" s="16"/>
    </row>
    <row r="11" spans="1:18" ht="14.85" customHeight="1">
      <c r="A11" s="2">
        <v>9</v>
      </c>
      <c r="B11" s="10" t="s">
        <v>21</v>
      </c>
      <c r="C11" s="3"/>
      <c r="D11" s="4">
        <f>SUM(F11+H11+J11+L11+N11+P11)</f>
        <v>124</v>
      </c>
      <c r="E11" s="5"/>
      <c r="F11" s="5"/>
      <c r="G11" s="5"/>
      <c r="H11" s="5"/>
      <c r="I11" s="5">
        <v>4</v>
      </c>
      <c r="J11" s="5">
        <v>66</v>
      </c>
      <c r="K11" s="5"/>
      <c r="L11" s="5"/>
      <c r="M11" s="5">
        <v>8</v>
      </c>
      <c r="N11" s="5">
        <v>58</v>
      </c>
      <c r="O11" s="5"/>
      <c r="P11" s="5"/>
      <c r="Q11" s="6"/>
      <c r="R11" s="6"/>
    </row>
    <row r="12" spans="1:18" ht="14.85" customHeight="1">
      <c r="A12" s="2">
        <v>10</v>
      </c>
      <c r="B12" s="10" t="s">
        <v>22</v>
      </c>
      <c r="C12" s="3"/>
      <c r="D12" s="4">
        <f>SUM(F12+H12+J12+L12+N12+P12)</f>
        <v>72</v>
      </c>
      <c r="E12" s="5">
        <v>7</v>
      </c>
      <c r="F12" s="5">
        <v>72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9"/>
      <c r="R12" s="9"/>
    </row>
    <row r="13" spans="1:18" ht="14.85" customHeight="1">
      <c r="A13" s="2">
        <v>11</v>
      </c>
      <c r="B13" s="10" t="s">
        <v>23</v>
      </c>
      <c r="C13" s="3"/>
      <c r="D13" s="4">
        <f t="shared" ref="D13" si="0">SUM(F13+H13+J13+L13+N13+P13)</f>
        <v>70</v>
      </c>
      <c r="E13" s="5"/>
      <c r="F13" s="5"/>
      <c r="G13" s="5"/>
      <c r="H13" s="5"/>
      <c r="I13" s="5"/>
      <c r="J13" s="5"/>
      <c r="K13" s="5"/>
      <c r="L13" s="5"/>
      <c r="M13" s="5">
        <v>3</v>
      </c>
      <c r="N13" s="5">
        <v>70</v>
      </c>
      <c r="O13" s="5"/>
      <c r="P13" s="5"/>
      <c r="Q13" s="16"/>
      <c r="R13" s="16"/>
    </row>
    <row r="14" spans="1:18" ht="14.85" customHeight="1">
      <c r="A14" s="2">
        <v>12</v>
      </c>
      <c r="B14" s="10" t="s">
        <v>24</v>
      </c>
      <c r="C14" s="3"/>
      <c r="D14" s="4">
        <f>SUM(F14+H14+J14+L14+N14+P14)</f>
        <v>62</v>
      </c>
      <c r="E14" s="5"/>
      <c r="F14" s="5"/>
      <c r="G14" s="5"/>
      <c r="H14" s="5"/>
      <c r="I14" s="5"/>
      <c r="J14" s="5"/>
      <c r="K14" s="5"/>
      <c r="L14" s="5"/>
      <c r="M14" s="5">
        <v>6</v>
      </c>
      <c r="N14" s="5">
        <v>62</v>
      </c>
      <c r="O14" s="5"/>
      <c r="P14" s="5"/>
      <c r="Q14" s="9"/>
      <c r="R14" s="9"/>
    </row>
    <row r="15" spans="1:18" ht="14.85" customHeight="1">
      <c r="A15" s="2">
        <v>13</v>
      </c>
      <c r="B15" s="10" t="s">
        <v>25</v>
      </c>
      <c r="C15" s="3"/>
      <c r="D15" s="4">
        <f>SUM(F15+H15+J15+L15+N15+P15)</f>
        <v>60</v>
      </c>
      <c r="E15" s="5"/>
      <c r="F15" s="5"/>
      <c r="G15" s="5"/>
      <c r="H15" s="5"/>
      <c r="I15" s="5">
        <v>7</v>
      </c>
      <c r="J15" s="5">
        <v>60</v>
      </c>
      <c r="K15" s="5"/>
      <c r="L15" s="5"/>
      <c r="M15" s="5"/>
      <c r="N15" s="5"/>
      <c r="O15" s="5"/>
      <c r="P15" s="5"/>
      <c r="Q15" s="6"/>
      <c r="R15" s="6"/>
    </row>
    <row r="16" spans="1:18" ht="14.85" customHeight="1">
      <c r="A16" s="2">
        <v>14</v>
      </c>
      <c r="B16" s="10" t="s">
        <v>26</v>
      </c>
      <c r="C16" s="3"/>
      <c r="D16" s="4">
        <f>SUM(F16+H16+J16+L16+N16+P16)</f>
        <v>54</v>
      </c>
      <c r="E16" s="5"/>
      <c r="F16" s="5"/>
      <c r="G16" s="5"/>
      <c r="H16" s="5"/>
      <c r="I16" s="5"/>
      <c r="J16" s="5"/>
      <c r="K16" s="5"/>
      <c r="L16" s="5"/>
      <c r="M16" s="5">
        <v>11</v>
      </c>
      <c r="N16" s="5">
        <v>54</v>
      </c>
      <c r="O16" s="5"/>
      <c r="P16" s="5"/>
      <c r="Q16" s="9"/>
      <c r="R16" s="9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2021-10-21T08:27:42Z</dcterms:created>
  <dcterms:modified xsi:type="dcterms:W3CDTF">2021-12-22T11:01:03Z</dcterms:modified>
  <cp:category/>
  <cp:contentStatus/>
</cp:coreProperties>
</file>