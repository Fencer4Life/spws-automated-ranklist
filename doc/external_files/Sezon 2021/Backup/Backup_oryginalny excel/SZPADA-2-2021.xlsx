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4d5\AC\Temp\"/>
    </mc:Choice>
  </mc:AlternateContent>
  <xr:revisionPtr revIDLastSave="97" documentId="8_{DC1E6A90-1A9D-412A-A9EC-FD605CA64698}" xr6:coauthVersionLast="47" xr6:coauthVersionMax="47" xr10:uidLastSave="{74355C8D-ABE4-4CEE-9C02-B14E207136A2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D4" i="1" s="1"/>
  <c r="R9" i="1"/>
  <c r="D9" i="1" s="1"/>
  <c r="R7" i="1"/>
  <c r="R6" i="1"/>
  <c r="R5" i="1"/>
  <c r="D5" i="1" s="1"/>
  <c r="R3" i="1"/>
  <c r="D3" i="1"/>
  <c r="D6" i="1"/>
  <c r="D7" i="1"/>
  <c r="D10" i="1"/>
  <c r="D8" i="1"/>
  <c r="R13" i="1"/>
  <c r="D13" i="1" s="1"/>
  <c r="D11" i="1"/>
  <c r="D12" i="1"/>
</calcChain>
</file>

<file path=xl/sharedStrings.xml><?xml version="1.0" encoding="utf-8"?>
<sst xmlns="http://schemas.openxmlformats.org/spreadsheetml/2006/main" count="36" uniqueCount="24">
  <si>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</si>
  <si>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</si>
  <si>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</si>
  <si>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</si>
  <si>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</si>
  <si>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</si>
  <si>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</si>
  <si>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</si>
  <si>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</si>
  <si>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</si>
  <si>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</si>
  <si>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</si>
  <si>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</si>
  <si>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ZIELIŃSKI Dariusz</t>
  </si>
  <si>
    <t>KRZEMIŃSKI Mariusz</t>
  </si>
  <si>
    <t>ATANASSOW Aleksander</t>
  </si>
  <si>
    <t>ZAWALICH Leszek</t>
  </si>
  <si>
    <t>DRAPELLA Maciej</t>
  </si>
  <si>
    <t>KOSTRZEWA Ireneusz</t>
  </si>
  <si>
    <t>KOTERSKI Paweł</t>
  </si>
  <si>
    <t>OLSZEWSKI Mikołaj</t>
  </si>
  <si>
    <t>BARAŃSKI Wacek</t>
  </si>
  <si>
    <t>GĄSIOROWSKI Maciej</t>
  </si>
  <si>
    <t>WĘCŁAWSKI Mirosław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</si>
</sst>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1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A10" sqref="A10"/>
    </sheetView>
  </sheetViews>
  <sheetFormatPr defaultColWidth="11.5703125" defaultRowHeight="12.75"/>
  <cols>
    <col min="1" max="1" width="6.2851562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25.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/>
      <c r="G1" s="18" t="s">
        <v>5</v>
      </c>
      <c r="H1" s="18"/>
      <c r="I1" s="18" t="s">
        <v>6</v>
      </c>
      <c r="J1" s="18"/>
      <c r="K1" s="19" t="s">
        <v>7</v>
      </c>
      <c r="L1" s="18"/>
      <c r="M1" s="18" t="s">
        <v>8</v>
      </c>
      <c r="N1" s="18"/>
      <c r="O1" s="18" t="s">
        <v>9</v>
      </c>
      <c r="P1" s="18"/>
      <c r="Q1" s="18" t="s">
        <v>10</v>
      </c>
      <c r="R1" s="18"/>
    </row>
    <row r="2" spans="1:18" ht="14.85" customHeight="1">
      <c r="A2" s="18"/>
      <c r="B2" s="18"/>
      <c r="C2" s="18"/>
      <c r="D2" s="18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15" t="s">
        <v>13</v>
      </c>
      <c r="C3" s="5"/>
      <c r="D3" s="3">
        <f>SUM(F3+J3+L3+N3+P3+R3+H3)</f>
        <v>967.12</v>
      </c>
      <c r="E3" s="5">
        <v>3</v>
      </c>
      <c r="F3" s="5">
        <v>84</v>
      </c>
      <c r="G3" s="5">
        <v>1</v>
      </c>
      <c r="H3" s="5">
        <v>79</v>
      </c>
      <c r="I3" s="5">
        <v>2</v>
      </c>
      <c r="J3" s="5">
        <v>73</v>
      </c>
      <c r="K3" s="5">
        <v>5</v>
      </c>
      <c r="L3" s="5">
        <v>64</v>
      </c>
      <c r="M3" s="5">
        <v>2</v>
      </c>
      <c r="N3" s="5">
        <v>73</v>
      </c>
      <c r="O3" s="5"/>
      <c r="P3" s="5"/>
      <c r="Q3" s="5">
        <v>1</v>
      </c>
      <c r="R3" s="6">
        <f>297.06*2</f>
        <v>594.12</v>
      </c>
    </row>
    <row r="4" spans="1:18" ht="14.85" customHeight="1">
      <c r="A4" s="2">
        <v>2</v>
      </c>
      <c r="B4" s="13" t="s">
        <v>14</v>
      </c>
      <c r="C4" s="5"/>
      <c r="D4" s="3">
        <f>SUM(F4+H4+L4+N4+P4+R4+J4)</f>
        <v>934.78</v>
      </c>
      <c r="E4" s="5">
        <v>5</v>
      </c>
      <c r="F4" s="5">
        <v>77</v>
      </c>
      <c r="G4" s="5">
        <v>4</v>
      </c>
      <c r="H4" s="5">
        <v>66</v>
      </c>
      <c r="I4" s="16">
        <v>5</v>
      </c>
      <c r="J4" s="16">
        <v>64</v>
      </c>
      <c r="K4" s="5">
        <v>2</v>
      </c>
      <c r="L4" s="5">
        <v>73</v>
      </c>
      <c r="M4" s="5">
        <v>3</v>
      </c>
      <c r="N4" s="5">
        <v>70</v>
      </c>
      <c r="O4" s="5"/>
      <c r="P4" s="5"/>
      <c r="Q4" s="5">
        <v>1</v>
      </c>
      <c r="R4" s="6">
        <f>292.39*2</f>
        <v>584.78</v>
      </c>
    </row>
    <row r="5" spans="1:18" ht="14.85" customHeight="1">
      <c r="A5" s="2">
        <v>3</v>
      </c>
      <c r="B5" s="14" t="s">
        <v>15</v>
      </c>
      <c r="C5" s="5"/>
      <c r="D5" s="3">
        <f>SUM(F5+J5+N5+P5+L5+R5)</f>
        <v>876.62</v>
      </c>
      <c r="E5" s="5">
        <v>2</v>
      </c>
      <c r="F5" s="5">
        <v>88</v>
      </c>
      <c r="G5" s="17">
        <v>2</v>
      </c>
      <c r="H5" s="17">
        <v>73</v>
      </c>
      <c r="I5" s="5">
        <v>1</v>
      </c>
      <c r="J5" s="5">
        <v>79</v>
      </c>
      <c r="K5" s="5">
        <v>1</v>
      </c>
      <c r="L5" s="5">
        <v>79</v>
      </c>
      <c r="M5" s="5">
        <v>1</v>
      </c>
      <c r="N5" s="5">
        <v>79</v>
      </c>
      <c r="O5" s="5">
        <v>1</v>
      </c>
      <c r="P5" s="5">
        <v>79</v>
      </c>
      <c r="Q5" s="5">
        <v>3</v>
      </c>
      <c r="R5" s="6">
        <f>236.31*2</f>
        <v>472.62</v>
      </c>
    </row>
    <row r="6" spans="1:18" ht="14.85" customHeight="1">
      <c r="A6" s="2">
        <v>4</v>
      </c>
      <c r="B6" s="12" t="s">
        <v>16</v>
      </c>
      <c r="C6" s="8"/>
      <c r="D6" s="9">
        <f>SUM(F6+H6+L6+N6+P6+R6)</f>
        <v>540.79999999999995</v>
      </c>
      <c r="E6" s="10">
        <v>6</v>
      </c>
      <c r="F6" s="10">
        <v>74</v>
      </c>
      <c r="G6" s="10">
        <v>5</v>
      </c>
      <c r="H6" s="10">
        <v>64</v>
      </c>
      <c r="I6" s="4">
        <v>8</v>
      </c>
      <c r="J6" s="4">
        <v>58</v>
      </c>
      <c r="K6" s="10">
        <v>3</v>
      </c>
      <c r="L6" s="10">
        <v>70</v>
      </c>
      <c r="M6" s="10">
        <v>6</v>
      </c>
      <c r="N6" s="10">
        <v>62</v>
      </c>
      <c r="O6" s="10">
        <v>3</v>
      </c>
      <c r="P6" s="10">
        <v>70</v>
      </c>
      <c r="Q6" s="10">
        <v>24</v>
      </c>
      <c r="R6" s="11">
        <f>100.4*2</f>
        <v>200.8</v>
      </c>
    </row>
    <row r="7" spans="1:18" ht="14.85" customHeight="1">
      <c r="A7" s="2">
        <v>5</v>
      </c>
      <c r="B7" s="12" t="s">
        <v>17</v>
      </c>
      <c r="C7" s="5"/>
      <c r="D7" s="3">
        <f>SUM(F7+J7+H7+N7+P7+R7)</f>
        <v>454.26</v>
      </c>
      <c r="E7" s="5">
        <v>4</v>
      </c>
      <c r="F7" s="5">
        <v>79</v>
      </c>
      <c r="G7" s="5">
        <v>3</v>
      </c>
      <c r="H7" s="5">
        <v>70</v>
      </c>
      <c r="I7" s="5">
        <v>4</v>
      </c>
      <c r="J7" s="5">
        <v>66</v>
      </c>
      <c r="K7" s="7">
        <v>6</v>
      </c>
      <c r="L7" s="7">
        <v>62</v>
      </c>
      <c r="M7" s="5">
        <v>4</v>
      </c>
      <c r="N7" s="5">
        <v>66</v>
      </c>
      <c r="O7" s="5">
        <v>2</v>
      </c>
      <c r="P7" s="5">
        <v>73</v>
      </c>
      <c r="Q7" s="5">
        <v>65</v>
      </c>
      <c r="R7" s="6">
        <f>50.13*2</f>
        <v>100.26</v>
      </c>
    </row>
    <row r="8" spans="1:18" ht="14.85" customHeight="1">
      <c r="A8" s="2">
        <v>6</v>
      </c>
      <c r="B8" s="12" t="s">
        <v>18</v>
      </c>
      <c r="C8" s="8"/>
      <c r="D8" s="9">
        <f>SUM(F8+H8+J8+L8+N8+P8)</f>
        <v>355</v>
      </c>
      <c r="E8" s="10">
        <v>1</v>
      </c>
      <c r="F8" s="10">
        <v>95</v>
      </c>
      <c r="G8" s="10"/>
      <c r="H8" s="10"/>
      <c r="I8" s="10">
        <v>3</v>
      </c>
      <c r="J8" s="10">
        <v>70</v>
      </c>
      <c r="K8" s="10">
        <v>7</v>
      </c>
      <c r="L8" s="10">
        <v>60</v>
      </c>
      <c r="M8" s="10">
        <v>5</v>
      </c>
      <c r="N8" s="10">
        <v>64</v>
      </c>
      <c r="O8" s="10">
        <v>4</v>
      </c>
      <c r="P8" s="10">
        <v>66</v>
      </c>
      <c r="Q8" s="10"/>
      <c r="R8" s="11"/>
    </row>
    <row r="9" spans="1:18" ht="14.85" customHeight="1">
      <c r="A9" s="2">
        <v>7</v>
      </c>
      <c r="B9" s="12" t="s">
        <v>19</v>
      </c>
      <c r="C9" s="8"/>
      <c r="D9" s="9">
        <f>SUM(F9+H9+J9+L9+N9+P9+R9)</f>
        <v>331.76</v>
      </c>
      <c r="E9" s="10">
        <v>7</v>
      </c>
      <c r="F9" s="10">
        <v>72</v>
      </c>
      <c r="G9" s="10">
        <v>6</v>
      </c>
      <c r="H9" s="10">
        <v>62</v>
      </c>
      <c r="I9" s="10">
        <v>7</v>
      </c>
      <c r="J9" s="10">
        <v>60</v>
      </c>
      <c r="K9" s="10">
        <v>4</v>
      </c>
      <c r="L9" s="10">
        <v>66</v>
      </c>
      <c r="M9" s="10">
        <v>9</v>
      </c>
      <c r="N9" s="10">
        <v>56</v>
      </c>
      <c r="O9" s="10"/>
      <c r="P9" s="10"/>
      <c r="Q9" s="10">
        <v>219</v>
      </c>
      <c r="R9" s="11">
        <f>7.88*2</f>
        <v>15.76</v>
      </c>
    </row>
    <row r="10" spans="1:18" ht="14.85" customHeight="1">
      <c r="A10" s="2">
        <v>8</v>
      </c>
      <c r="B10" s="12" t="s">
        <v>20</v>
      </c>
      <c r="C10" s="8"/>
      <c r="D10" s="9">
        <f>SUM(F10+H10+J10+L10+N10+P10)</f>
        <v>62</v>
      </c>
      <c r="E10" s="10"/>
      <c r="F10" s="10"/>
      <c r="G10" s="10"/>
      <c r="H10" s="10"/>
      <c r="I10" s="10">
        <v>6</v>
      </c>
      <c r="J10" s="10">
        <v>62</v>
      </c>
      <c r="K10" s="10"/>
      <c r="L10" s="10"/>
      <c r="M10" s="10"/>
      <c r="N10" s="10"/>
      <c r="O10" s="10"/>
      <c r="P10" s="10"/>
      <c r="Q10" s="10"/>
      <c r="R10" s="11"/>
    </row>
    <row r="11" spans="1:18" ht="14.85" customHeight="1">
      <c r="A11" s="2">
        <v>9</v>
      </c>
      <c r="B11" s="12" t="s">
        <v>21</v>
      </c>
      <c r="C11" s="8"/>
      <c r="D11" s="9">
        <f>SUM(F11+H11+J11+L11+N11+P11)</f>
        <v>58</v>
      </c>
      <c r="E11" s="10"/>
      <c r="F11" s="10"/>
      <c r="G11" s="10"/>
      <c r="H11" s="10"/>
      <c r="I11" s="10"/>
      <c r="J11" s="10"/>
      <c r="K11" s="10"/>
      <c r="L11" s="10"/>
      <c r="M11" s="10">
        <v>8</v>
      </c>
      <c r="N11" s="10">
        <v>58</v>
      </c>
      <c r="O11" s="10"/>
      <c r="P11" s="10"/>
      <c r="Q11" s="10"/>
      <c r="R11" s="11"/>
    </row>
    <row r="12" spans="1:18" ht="14.85" customHeight="1">
      <c r="A12" s="2">
        <v>10</v>
      </c>
      <c r="B12" s="12" t="s">
        <v>22</v>
      </c>
      <c r="C12" s="8"/>
      <c r="D12" s="9">
        <f>SUM(F12+H12+J12+L12+N12+P12)</f>
        <v>55</v>
      </c>
      <c r="E12" s="10"/>
      <c r="F12" s="10"/>
      <c r="G12" s="10"/>
      <c r="H12" s="10"/>
      <c r="I12" s="10"/>
      <c r="J12" s="10"/>
      <c r="K12" s="10"/>
      <c r="L12" s="10"/>
      <c r="M12" s="10">
        <v>10</v>
      </c>
      <c r="N12" s="10">
        <v>55</v>
      </c>
      <c r="O12" s="10"/>
      <c r="P12" s="10"/>
      <c r="Q12" s="10"/>
      <c r="R12" s="11"/>
    </row>
    <row r="13" spans="1:18" ht="14.85" customHeight="1">
      <c r="A13" s="2">
        <v>11</v>
      </c>
      <c r="B13" s="12" t="s">
        <v>23</v>
      </c>
      <c r="C13" s="8"/>
      <c r="D13" s="9">
        <f>SUM(F13+H13+J13+L13+N13+P13+R13)</f>
        <v>45.26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151</v>
      </c>
      <c r="R13" s="11">
        <f>22.63*2</f>
        <v>45.26</v>
      </c>
    </row>
    <row r="14" spans="1:18" ht="14.85" customHeight="1"/>
    <row r="16" spans="1:18" ht="14.85" customHeight="1"/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2021-10-21T08:27:42Z</dcterms:created>
  <dcterms:modified xsi:type="dcterms:W3CDTF">2021-12-22T10:55:03Z</dcterms:modified>
  <cp:category/>
  <cp:contentStatus/>
</cp:coreProperties>
</file>