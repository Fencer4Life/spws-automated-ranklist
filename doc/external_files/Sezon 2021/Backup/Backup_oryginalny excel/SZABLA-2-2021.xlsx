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0f2\AC\Temp\"/>
    </mc:Choice>
  </mc:AlternateContent>
  <xr:revisionPtr revIDLastSave="106" documentId="8_{8C950C1C-60DE-4095-8468-A57FEEBECF87}" xr6:coauthVersionLast="47" xr6:coauthVersionMax="47" xr10:uidLastSave="{12FF5197-5918-44A4-B302-5890FDC7FABF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" i="1" l="1"/>
  <c r="D11" i="1" s="1"/>
  <c r="R9" i="1"/>
  <c r="R4" i="1"/>
  <c r="D4" i="1" s="1"/>
  <c r="R3" i="1"/>
  <c r="D5" i="1"/>
  <c r="R7" i="1"/>
  <c r="D7" i="1" s="1"/>
  <c r="D3" i="1"/>
  <c r="D6" i="1"/>
  <c r="D10" i="1"/>
  <c r="D9" i="1"/>
  <c r="D8" i="1"/>
  <c r="R12" i="1"/>
  <c r="D12" i="1" s="1"/>
</calcChain>
</file>

<file path=xl/sharedStrings.xml><?xml version="1.0" encoding="utf-8"?>
<sst xmlns="http://schemas.openxmlformats.org/spreadsheetml/2006/main" count="35" uniqueCount="23">
  <si>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</si>
  <si>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</si>
  <si>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</si>
  <si>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</si>
  <si>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</si>
  <si>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</si>
  <si>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</si>
  <si>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</si>
  <si>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</si>
  <si>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</si>
  <si>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</si>
  <si>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</si>
  <si>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</si>
  <si>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NOWICKI Robert</t>
  </si>
  <si>
    <t>MAZIK Aleksander</t>
  </si>
  <si>
    <t>GAJDA Leszek</t>
  </si>
  <si>
    <t>GAJDA Zbigniew</t>
  </si>
  <si>
    <t>MUTWIL Marcin</t>
  </si>
  <si>
    <t>ZABŁOCKI Michał</t>
  </si>
  <si>
    <t>TRZENSIOK Bernard</t>
  </si>
  <si>
    <t>BARAŃSKI Wiesław</t>
  </si>
  <si>
    <t>JAROSZEK Zbigniew</t>
  </si>
  <si>
    <t>JASIŃSKI Tomasz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</si>
</sst>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0"/>
      <color indexed="10"/>
      <name val="Arial"/>
      <family val="2"/>
      <charset val="238"/>
    </font>
    <font>
      <sz val="11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FF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0" fillId="5" borderId="2" xfId="0" applyFill="1" applyBorder="1"/>
    <xf numFmtId="0" fontId="8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B6" sqref="B6"/>
    </sheetView>
  </sheetViews>
  <sheetFormatPr defaultColWidth="11.5703125" defaultRowHeight="12.75"/>
  <cols>
    <col min="1" max="1" width="7.5703125" customWidth="1"/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23.25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/>
      <c r="G1" s="23" t="s">
        <v>5</v>
      </c>
      <c r="H1" s="23"/>
      <c r="I1" s="23" t="s">
        <v>6</v>
      </c>
      <c r="J1" s="23"/>
      <c r="K1" s="24" t="s">
        <v>7</v>
      </c>
      <c r="L1" s="23"/>
      <c r="M1" s="23" t="s">
        <v>8</v>
      </c>
      <c r="N1" s="23"/>
      <c r="O1" s="23" t="s">
        <v>9</v>
      </c>
      <c r="P1" s="23"/>
      <c r="Q1" s="23" t="s">
        <v>10</v>
      </c>
      <c r="R1" s="23"/>
    </row>
    <row r="2" spans="1:18" ht="14.85" customHeight="1">
      <c r="A2" s="23"/>
      <c r="B2" s="23"/>
      <c r="C2" s="23"/>
      <c r="D2" s="23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19" t="s">
        <v>13</v>
      </c>
      <c r="C3" s="3"/>
      <c r="D3" s="8">
        <f>SUM(F3+J3+N3+P3+H3+R3+L3)</f>
        <v>513.34</v>
      </c>
      <c r="E3" s="5">
        <v>1</v>
      </c>
      <c r="F3" s="5">
        <v>95</v>
      </c>
      <c r="G3" s="5"/>
      <c r="H3" s="5"/>
      <c r="I3" s="5"/>
      <c r="J3" s="5"/>
      <c r="K3" s="5">
        <v>1</v>
      </c>
      <c r="L3" s="5">
        <v>79</v>
      </c>
      <c r="M3" s="5">
        <v>1</v>
      </c>
      <c r="N3" s="5">
        <v>79</v>
      </c>
      <c r="O3" s="5">
        <v>1</v>
      </c>
      <c r="P3" s="5">
        <v>79</v>
      </c>
      <c r="Q3" s="6">
        <v>11</v>
      </c>
      <c r="R3" s="6">
        <f>90.67*2</f>
        <v>181.34</v>
      </c>
    </row>
    <row r="4" spans="1:18" ht="14.85" customHeight="1">
      <c r="A4" s="2">
        <v>2</v>
      </c>
      <c r="B4" s="7" t="s">
        <v>14</v>
      </c>
      <c r="C4" s="3"/>
      <c r="D4" s="8">
        <f>SUM(F4+N4+L4+H4+P4+R4)</f>
        <v>469.78</v>
      </c>
      <c r="E4" s="5">
        <v>4</v>
      </c>
      <c r="F4" s="5">
        <v>79</v>
      </c>
      <c r="G4" s="5">
        <v>2</v>
      </c>
      <c r="H4" s="5">
        <v>73</v>
      </c>
      <c r="I4" s="20">
        <v>5</v>
      </c>
      <c r="J4" s="20">
        <v>66</v>
      </c>
      <c r="K4" s="5">
        <v>4</v>
      </c>
      <c r="L4" s="5">
        <v>68</v>
      </c>
      <c r="M4" s="5">
        <v>5</v>
      </c>
      <c r="N4" s="5">
        <v>66</v>
      </c>
      <c r="O4" s="5">
        <v>4</v>
      </c>
      <c r="P4" s="5">
        <v>68</v>
      </c>
      <c r="Q4" s="6">
        <v>27</v>
      </c>
      <c r="R4" s="6">
        <f>57.89*2</f>
        <v>115.78</v>
      </c>
    </row>
    <row r="5" spans="1:18" ht="14.85" customHeight="1">
      <c r="A5" s="2">
        <v>3</v>
      </c>
      <c r="B5" s="21" t="s">
        <v>15</v>
      </c>
      <c r="C5" s="9"/>
      <c r="D5" s="4">
        <f>SUM(F5+H5+N5+P5+J5)</f>
        <v>376</v>
      </c>
      <c r="E5" s="10">
        <v>3</v>
      </c>
      <c r="F5" s="10">
        <v>84</v>
      </c>
      <c r="G5" s="17">
        <v>3</v>
      </c>
      <c r="H5" s="17">
        <v>70</v>
      </c>
      <c r="I5" s="10">
        <v>1</v>
      </c>
      <c r="J5" s="10">
        <v>79</v>
      </c>
      <c r="K5" s="18">
        <v>5</v>
      </c>
      <c r="L5" s="18">
        <v>66</v>
      </c>
      <c r="M5" s="10">
        <v>3</v>
      </c>
      <c r="N5" s="10">
        <v>70</v>
      </c>
      <c r="O5" s="10">
        <v>2</v>
      </c>
      <c r="P5" s="10">
        <v>73</v>
      </c>
      <c r="Q5" s="12"/>
      <c r="R5" s="12"/>
    </row>
    <row r="6" spans="1:18" ht="14.85" customHeight="1">
      <c r="A6" s="2">
        <v>4</v>
      </c>
      <c r="B6" s="9" t="s">
        <v>16</v>
      </c>
      <c r="C6" s="9"/>
      <c r="D6" s="4">
        <f>SUM(F6+J6+L6+P6+H6)</f>
        <v>278</v>
      </c>
      <c r="E6" s="10"/>
      <c r="F6" s="10"/>
      <c r="G6" s="10">
        <v>4</v>
      </c>
      <c r="H6" s="10">
        <v>68</v>
      </c>
      <c r="I6" s="10">
        <v>3</v>
      </c>
      <c r="J6" s="10">
        <v>70</v>
      </c>
      <c r="K6" s="10">
        <v>3</v>
      </c>
      <c r="L6" s="10">
        <v>70</v>
      </c>
      <c r="M6" s="11">
        <v>6</v>
      </c>
      <c r="N6" s="11">
        <v>64</v>
      </c>
      <c r="O6" s="10">
        <v>3</v>
      </c>
      <c r="P6" s="10">
        <v>70</v>
      </c>
      <c r="Q6" s="12"/>
      <c r="R6" s="12"/>
    </row>
    <row r="7" spans="1:18" ht="14.85" customHeight="1">
      <c r="A7" s="2">
        <v>5</v>
      </c>
      <c r="B7" s="22" t="s">
        <v>17</v>
      </c>
      <c r="C7" s="3"/>
      <c r="D7" s="4">
        <f>SUM(F7+H7+J7+L7+N7+P7+R7)</f>
        <v>261.2</v>
      </c>
      <c r="E7" s="5"/>
      <c r="F7" s="5"/>
      <c r="G7" s="5">
        <v>1</v>
      </c>
      <c r="H7" s="5">
        <v>79</v>
      </c>
      <c r="I7" s="5">
        <v>2</v>
      </c>
      <c r="J7" s="5">
        <v>73</v>
      </c>
      <c r="K7" s="5"/>
      <c r="L7" s="5"/>
      <c r="M7" s="5">
        <v>4</v>
      </c>
      <c r="N7" s="5">
        <v>68</v>
      </c>
      <c r="O7" s="16"/>
      <c r="P7" s="16"/>
      <c r="Q7" s="6">
        <v>58</v>
      </c>
      <c r="R7" s="6">
        <f>20.6*2</f>
        <v>41.2</v>
      </c>
    </row>
    <row r="8" spans="1:18" ht="14.85" customHeight="1">
      <c r="A8" s="2">
        <v>6</v>
      </c>
      <c r="B8" s="9" t="s">
        <v>18</v>
      </c>
      <c r="C8" s="9"/>
      <c r="D8" s="4">
        <f>SUM(F8+H8+J8+L8+N8+P8)</f>
        <v>234</v>
      </c>
      <c r="E8" s="10">
        <v>2</v>
      </c>
      <c r="F8" s="10">
        <v>88</v>
      </c>
      <c r="G8" s="10"/>
      <c r="H8" s="10"/>
      <c r="I8" s="10"/>
      <c r="J8" s="10"/>
      <c r="K8" s="10">
        <v>2</v>
      </c>
      <c r="L8" s="10">
        <v>73</v>
      </c>
      <c r="M8" s="10">
        <v>2</v>
      </c>
      <c r="N8" s="10">
        <v>73</v>
      </c>
      <c r="O8" s="10"/>
      <c r="P8" s="10"/>
      <c r="Q8" s="12"/>
      <c r="R8" s="12"/>
    </row>
    <row r="9" spans="1:18" ht="14.85" customHeight="1">
      <c r="A9" s="2">
        <v>7</v>
      </c>
      <c r="B9" s="9" t="s">
        <v>19</v>
      </c>
      <c r="C9" s="9"/>
      <c r="D9" s="4">
        <f>SUM(F9+H9+J9+L9+N9+P9)</f>
        <v>194</v>
      </c>
      <c r="E9" s="10"/>
      <c r="F9" s="10"/>
      <c r="G9" s="10"/>
      <c r="H9" s="10"/>
      <c r="I9" s="10">
        <v>4</v>
      </c>
      <c r="J9" s="10">
        <v>68</v>
      </c>
      <c r="K9" s="10">
        <v>6</v>
      </c>
      <c r="L9" s="10">
        <v>64</v>
      </c>
      <c r="M9" s="10">
        <v>7</v>
      </c>
      <c r="N9" s="10">
        <v>62</v>
      </c>
      <c r="O9" s="10"/>
      <c r="P9" s="10"/>
      <c r="Q9" s="12">
        <v>45</v>
      </c>
      <c r="R9" s="12">
        <f>35.39*2</f>
        <v>70.78</v>
      </c>
    </row>
    <row r="10" spans="1:18" ht="14.85" customHeight="1">
      <c r="A10" s="2">
        <v>8</v>
      </c>
      <c r="B10" s="13" t="s">
        <v>20</v>
      </c>
      <c r="C10" s="3"/>
      <c r="D10" s="8">
        <f>SUM(F10+H10+L10+N10+P10+J10)</f>
        <v>60</v>
      </c>
      <c r="E10" s="5"/>
      <c r="F10" s="5"/>
      <c r="G10" s="5"/>
      <c r="H10" s="5"/>
      <c r="I10" s="5"/>
      <c r="J10" s="5"/>
      <c r="K10" s="5"/>
      <c r="L10" s="5"/>
      <c r="M10" s="5">
        <v>8</v>
      </c>
      <c r="N10" s="5">
        <v>60</v>
      </c>
      <c r="O10" s="5"/>
      <c r="P10" s="5"/>
      <c r="Q10" s="6"/>
      <c r="R10" s="6"/>
    </row>
    <row r="11" spans="1:18" ht="15">
      <c r="A11" s="2">
        <v>9</v>
      </c>
      <c r="B11" s="9" t="s">
        <v>21</v>
      </c>
      <c r="C11" s="9"/>
      <c r="D11" s="8">
        <f>SUM(F11+J11+L11+P11+H11+N11+R11)</f>
        <v>31.6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5">
        <v>74</v>
      </c>
      <c r="R11" s="15">
        <f>15.8*2</f>
        <v>31.6</v>
      </c>
    </row>
    <row r="12" spans="1:18" ht="14.85" customHeight="1">
      <c r="A12" s="2">
        <v>10</v>
      </c>
      <c r="B12" s="13" t="s">
        <v>22</v>
      </c>
      <c r="C12" s="3"/>
      <c r="D12" s="8">
        <f>SUM(F12+J12+L12+P12+H12+N12+R12)</f>
        <v>3.9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>
        <v>94</v>
      </c>
      <c r="R12" s="6">
        <f>1.95*2</f>
        <v>3.9</v>
      </c>
    </row>
    <row r="13" spans="1:18" ht="14.85" customHeight="1"/>
    <row r="14" spans="1:18" ht="14.85" customHeight="1"/>
    <row r="15" spans="1:18" ht="14.85" customHeight="1"/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2021-10-21T08:26:51Z</dcterms:created>
  <dcterms:modified xsi:type="dcterms:W3CDTF">2022-01-08T12:12:16Z</dcterms:modified>
  <cp:category/>
  <cp:contentStatus/>
</cp:coreProperties>
</file>