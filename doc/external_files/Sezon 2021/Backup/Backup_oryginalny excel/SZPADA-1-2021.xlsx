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144\AC\Temp\"/>
    </mc:Choice>
  </mc:AlternateContent>
  <xr:revisionPtr revIDLastSave="254" documentId="8_{D980A319-57FC-47A3-9A55-453682CE4214}" xr6:coauthVersionLast="47" xr6:coauthVersionMax="47" xr10:uidLastSave="{2C2EBEFE-9FD8-484D-9D26-90E227D62A66}"/>
  <bookViews>
    <workbookView xWindow="-60" yWindow="-60" windowWidth="15480" windowHeight="11640" tabRatio="94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1" l="1"/>
  <c r="D7" i="1"/>
  <c r="D8" i="1"/>
  <c r="D5" i="1"/>
  <c r="D4" i="1"/>
  <c r="R19" i="1"/>
  <c r="D19" i="1" s="1"/>
  <c r="R16" i="1"/>
  <c r="R3" i="1"/>
  <c r="D3" i="1" s="1"/>
  <c r="D6" i="1"/>
  <c r="D13" i="1"/>
  <c r="D22" i="1"/>
  <c r="D18" i="1"/>
  <c r="D21" i="1"/>
  <c r="D14" i="1"/>
  <c r="D9" i="1"/>
  <c r="D20" i="1"/>
  <c r="R11" i="1"/>
  <c r="D11" i="1" s="1"/>
  <c r="D16" i="1"/>
  <c r="D12" i="1"/>
  <c r="D15" i="1"/>
  <c r="D17" i="1"/>
</calcChain>
</file>

<file path=xl/sharedStrings.xml><?xml version="1.0" encoding="utf-8"?>
<sst xmlns="http://schemas.openxmlformats.org/spreadsheetml/2006/main" count="45" uniqueCount="33">
  <si>
    <t>L.P.</t>
  </si>
  <si>
    <t>IMIĘ NAZWISKO</t>
  </si>
  <si>
    <t>KLUB</t>
  </si>
  <si>
    <t>PUNKTY</t>
  </si>
  <si>
    <t>MPW</t>
  </si>
  <si>
    <t>GP I</t>
  </si>
  <si>
    <t>GP II</t>
  </si>
  <si>
    <t>GP III 
(Leszno)</t>
  </si>
  <si>
    <t>GP IV</t>
  </si>
  <si>
    <t>GP V</t>
  </si>
  <si>
    <t>EU</t>
  </si>
  <si>
    <t>M</t>
  </si>
  <si>
    <t>P</t>
  </si>
  <si>
    <t>KORONA-TRZEBSKI Przemysław</t>
  </si>
  <si>
    <t>MANDRELA Jarosław</t>
  </si>
  <si>
    <t xml:space="preserve">HAŚKO Sergiusz </t>
  </si>
  <si>
    <t>SZCZERBOWSKI Lech</t>
  </si>
  <si>
    <t>DUDEK Mariusz</t>
  </si>
  <si>
    <t>FORAJTER Roman</t>
  </si>
  <si>
    <t>PILUTKIEWICZ Igor</t>
  </si>
  <si>
    <t>KOWALSKI Tomasz</t>
  </si>
  <si>
    <t>TK</t>
  </si>
  <si>
    <t>CYGAŃSKI Tomasz</t>
  </si>
  <si>
    <t>RUDZIŃSKI Wojciech</t>
  </si>
  <si>
    <t>OWCZAREK Hubert</t>
  </si>
  <si>
    <t>SĘKOWSKI Maciej</t>
  </si>
  <si>
    <t>SAMSONOWICZ Maciej</t>
  </si>
  <si>
    <t>JADCZUK Wojciech</t>
  </si>
  <si>
    <t>KOZIEJOWSKI Sebastian</t>
  </si>
  <si>
    <t>JASZCZAK Piotr</t>
  </si>
  <si>
    <t>BUDNIK Robert</t>
  </si>
  <si>
    <t>DROBCZYK Paweł</t>
  </si>
  <si>
    <t>NIECZKOWSKI Tomasz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</si>
</sst>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0" fillId="6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selection activeCell="B9" sqref="B9"/>
    </sheetView>
  </sheetViews>
  <sheetFormatPr defaultColWidth="11.5703125" defaultRowHeight="12.75"/>
  <cols>
    <col min="2" max="2" width="29.5703125" customWidth="1"/>
    <col min="3" max="3" width="13.85546875" customWidth="1"/>
    <col min="5" max="16" width="6" customWidth="1"/>
    <col min="17" max="18" width="6.140625" customWidth="1"/>
  </cols>
  <sheetData>
    <row r="1" spans="1:18" ht="26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/>
      <c r="G1" s="24" t="s">
        <v>5</v>
      </c>
      <c r="H1" s="24"/>
      <c r="I1" s="24" t="s">
        <v>6</v>
      </c>
      <c r="J1" s="24"/>
      <c r="K1" s="25" t="s">
        <v>7</v>
      </c>
      <c r="L1" s="24"/>
      <c r="M1" s="24" t="s">
        <v>8</v>
      </c>
      <c r="N1" s="24"/>
      <c r="O1" s="24" t="s">
        <v>9</v>
      </c>
      <c r="P1" s="24"/>
      <c r="Q1" s="24" t="s">
        <v>10</v>
      </c>
      <c r="R1" s="24"/>
    </row>
    <row r="2" spans="1:18" ht="14.85" customHeight="1">
      <c r="A2" s="24"/>
      <c r="B2" s="24"/>
      <c r="C2" s="24"/>
      <c r="D2" s="24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20" t="s">
        <v>13</v>
      </c>
      <c r="C3" s="3"/>
      <c r="D3" s="4">
        <f>F3+J3+L3+P3+N3+R3</f>
        <v>441.38</v>
      </c>
      <c r="E3" s="5">
        <v>2</v>
      </c>
      <c r="F3" s="5">
        <v>88</v>
      </c>
      <c r="G3" s="17">
        <v>2</v>
      </c>
      <c r="H3" s="17">
        <v>73</v>
      </c>
      <c r="I3" s="5">
        <v>1</v>
      </c>
      <c r="J3" s="5">
        <v>79</v>
      </c>
      <c r="K3" s="5">
        <v>2</v>
      </c>
      <c r="L3" s="5">
        <v>73</v>
      </c>
      <c r="M3" s="5">
        <v>1</v>
      </c>
      <c r="N3" s="5">
        <v>79</v>
      </c>
      <c r="O3" s="5">
        <v>1</v>
      </c>
      <c r="P3" s="5">
        <v>79</v>
      </c>
      <c r="Q3" s="5">
        <v>90</v>
      </c>
      <c r="R3" s="6">
        <f>21.69*2</f>
        <v>43.38</v>
      </c>
    </row>
    <row r="4" spans="1:18" ht="14.85" customHeight="1">
      <c r="A4" s="2">
        <v>2</v>
      </c>
      <c r="B4" s="21" t="s">
        <v>14</v>
      </c>
      <c r="C4" s="3"/>
      <c r="D4" s="4">
        <f>SUM(F4+H4+J4+L4+N4)</f>
        <v>387</v>
      </c>
      <c r="E4" s="5">
        <v>1</v>
      </c>
      <c r="F4" s="5">
        <v>95</v>
      </c>
      <c r="G4" s="18">
        <v>1</v>
      </c>
      <c r="H4" s="18">
        <v>79</v>
      </c>
      <c r="I4" s="5">
        <v>5</v>
      </c>
      <c r="J4" s="5">
        <v>64</v>
      </c>
      <c r="K4" s="5">
        <v>1</v>
      </c>
      <c r="L4" s="5">
        <v>79</v>
      </c>
      <c r="M4" s="5">
        <v>3</v>
      </c>
      <c r="N4" s="5">
        <v>70</v>
      </c>
      <c r="O4" s="5"/>
      <c r="P4" s="5"/>
      <c r="Q4" s="5"/>
      <c r="R4" s="6"/>
    </row>
    <row r="5" spans="1:18" ht="14.85" customHeight="1">
      <c r="A5" s="2">
        <v>3</v>
      </c>
      <c r="B5" s="22" t="s">
        <v>15</v>
      </c>
      <c r="C5" s="13"/>
      <c r="D5" s="11">
        <f>F5+J5+L5+P5+R5+N5</f>
        <v>356</v>
      </c>
      <c r="E5" s="8">
        <v>8</v>
      </c>
      <c r="F5" s="8">
        <v>70</v>
      </c>
      <c r="G5" s="16">
        <v>6</v>
      </c>
      <c r="H5" s="16">
        <v>62</v>
      </c>
      <c r="I5" s="14">
        <v>3</v>
      </c>
      <c r="J5" s="14">
        <v>70</v>
      </c>
      <c r="K5" s="8">
        <v>3</v>
      </c>
      <c r="L5" s="8">
        <v>70</v>
      </c>
      <c r="M5" s="8">
        <v>2</v>
      </c>
      <c r="N5" s="8">
        <v>73</v>
      </c>
      <c r="O5" s="8">
        <v>2</v>
      </c>
      <c r="P5" s="8">
        <v>73</v>
      </c>
      <c r="Q5" s="8"/>
      <c r="R5" s="10"/>
    </row>
    <row r="6" spans="1:18" ht="14.85" customHeight="1">
      <c r="A6" s="2">
        <v>4</v>
      </c>
      <c r="B6" s="15" t="s">
        <v>16</v>
      </c>
      <c r="C6" s="3"/>
      <c r="D6" s="4">
        <f>SUM(F6+H6+J6+L6+N6+P6)</f>
        <v>316</v>
      </c>
      <c r="E6" s="5">
        <v>10</v>
      </c>
      <c r="F6" s="5">
        <v>66</v>
      </c>
      <c r="G6" s="5">
        <v>8</v>
      </c>
      <c r="H6" s="5">
        <v>58</v>
      </c>
      <c r="I6" s="5">
        <v>8</v>
      </c>
      <c r="J6" s="5">
        <v>58</v>
      </c>
      <c r="K6" s="5">
        <v>5</v>
      </c>
      <c r="L6" s="5">
        <v>64</v>
      </c>
      <c r="M6" s="5"/>
      <c r="N6" s="5"/>
      <c r="O6" s="5">
        <v>3</v>
      </c>
      <c r="P6" s="5">
        <v>70</v>
      </c>
      <c r="Q6" s="5"/>
      <c r="R6" s="6"/>
    </row>
    <row r="7" spans="1:18" ht="14.85" customHeight="1">
      <c r="A7" s="2">
        <v>5</v>
      </c>
      <c r="B7" s="15" t="s">
        <v>17</v>
      </c>
      <c r="C7" s="3"/>
      <c r="D7" s="4">
        <f>SUM(F7+J7+L7+N7+P7)</f>
        <v>306</v>
      </c>
      <c r="E7" s="5">
        <v>12</v>
      </c>
      <c r="F7" s="5">
        <v>62</v>
      </c>
      <c r="G7" s="17">
        <v>12</v>
      </c>
      <c r="H7" s="17">
        <v>54</v>
      </c>
      <c r="I7" s="5">
        <v>9</v>
      </c>
      <c r="J7" s="5">
        <v>56</v>
      </c>
      <c r="K7" s="5">
        <v>8</v>
      </c>
      <c r="L7" s="5">
        <v>58</v>
      </c>
      <c r="M7" s="5">
        <v>5</v>
      </c>
      <c r="N7" s="5">
        <v>64</v>
      </c>
      <c r="O7" s="5">
        <v>4</v>
      </c>
      <c r="P7" s="5">
        <v>66</v>
      </c>
      <c r="Q7" s="5"/>
      <c r="R7" s="6"/>
    </row>
    <row r="8" spans="1:18" ht="14.85" customHeight="1">
      <c r="A8" s="2">
        <v>6</v>
      </c>
      <c r="B8" s="12" t="s">
        <v>18</v>
      </c>
      <c r="C8" s="13"/>
      <c r="D8" s="11">
        <f>SUM(F8+J8+L8+N8+P8+H8)</f>
        <v>296</v>
      </c>
      <c r="E8" s="8">
        <v>11</v>
      </c>
      <c r="F8" s="8">
        <v>64</v>
      </c>
      <c r="G8" s="19">
        <v>10</v>
      </c>
      <c r="H8" s="19">
        <v>55</v>
      </c>
      <c r="I8" s="14">
        <v>10</v>
      </c>
      <c r="J8" s="14">
        <v>55</v>
      </c>
      <c r="K8" s="8">
        <v>7</v>
      </c>
      <c r="L8" s="8">
        <v>60</v>
      </c>
      <c r="M8" s="8">
        <v>6</v>
      </c>
      <c r="N8" s="8">
        <v>62</v>
      </c>
      <c r="O8" s="8"/>
      <c r="P8" s="8"/>
      <c r="Q8" s="8"/>
      <c r="R8" s="10"/>
    </row>
    <row r="9" spans="1:18" ht="14.85" customHeight="1">
      <c r="A9" s="2">
        <v>7</v>
      </c>
      <c r="B9" s="7" t="s">
        <v>19</v>
      </c>
      <c r="C9" s="7"/>
      <c r="D9" s="11">
        <f>F9+H9+J9+L9+P9+N9</f>
        <v>268</v>
      </c>
      <c r="E9" s="8">
        <v>7</v>
      </c>
      <c r="F9" s="8">
        <v>72</v>
      </c>
      <c r="G9" s="8">
        <v>5</v>
      </c>
      <c r="H9" s="8">
        <v>64</v>
      </c>
      <c r="I9" s="8">
        <v>4</v>
      </c>
      <c r="J9" s="8">
        <v>66</v>
      </c>
      <c r="K9" s="8"/>
      <c r="L9" s="8"/>
      <c r="M9" s="8">
        <v>4</v>
      </c>
      <c r="N9" s="8">
        <v>66</v>
      </c>
      <c r="O9" s="8"/>
      <c r="P9" s="8"/>
      <c r="Q9" s="8"/>
      <c r="R9" s="10"/>
    </row>
    <row r="10" spans="1:18" ht="14.85" customHeight="1">
      <c r="A10" s="2">
        <v>8</v>
      </c>
      <c r="B10" s="7" t="s">
        <v>20</v>
      </c>
      <c r="C10" s="7"/>
      <c r="D10" s="11">
        <f>F10+J10+L10+P10+N10+H10</f>
        <v>222</v>
      </c>
      <c r="E10" s="8"/>
      <c r="F10" s="8"/>
      <c r="G10" s="19">
        <v>14</v>
      </c>
      <c r="H10" s="19">
        <v>52</v>
      </c>
      <c r="I10" s="8">
        <v>11</v>
      </c>
      <c r="J10" s="8">
        <v>54</v>
      </c>
      <c r="K10" s="8">
        <v>9</v>
      </c>
      <c r="L10" s="8">
        <v>56</v>
      </c>
      <c r="M10" s="8">
        <v>7</v>
      </c>
      <c r="N10" s="8">
        <v>60</v>
      </c>
      <c r="O10" s="8"/>
      <c r="P10" s="8"/>
      <c r="Q10" s="8"/>
      <c r="R10" s="10"/>
    </row>
    <row r="11" spans="1:18" ht="14.85" customHeight="1">
      <c r="A11" s="2">
        <v>9</v>
      </c>
      <c r="B11" s="23" t="s">
        <v>21</v>
      </c>
      <c r="C11" s="7"/>
      <c r="D11" s="4">
        <f>SUM(F11+H11+J11+L11+P11+R11+N11)</f>
        <v>188.12</v>
      </c>
      <c r="E11" s="8"/>
      <c r="F11" s="8"/>
      <c r="G11" s="8">
        <v>4</v>
      </c>
      <c r="H11" s="8">
        <v>66</v>
      </c>
      <c r="I11" s="8">
        <v>2</v>
      </c>
      <c r="J11" s="8">
        <v>73</v>
      </c>
      <c r="K11" s="8"/>
      <c r="L11" s="8"/>
      <c r="M11" s="8"/>
      <c r="N11" s="8"/>
      <c r="O11" s="9"/>
      <c r="P11" s="9"/>
      <c r="Q11" s="8">
        <v>74</v>
      </c>
      <c r="R11" s="10">
        <f>24.56*2</f>
        <v>49.12</v>
      </c>
    </row>
    <row r="12" spans="1:18" ht="14.85" customHeight="1">
      <c r="A12" s="2">
        <v>12</v>
      </c>
      <c r="B12" s="7" t="s">
        <v>22</v>
      </c>
      <c r="C12" s="7"/>
      <c r="D12" s="11">
        <f>F12+H12+J12+L12+P12+N12</f>
        <v>147</v>
      </c>
      <c r="E12" s="8">
        <v>5</v>
      </c>
      <c r="F12" s="8">
        <v>77</v>
      </c>
      <c r="G12" s="8">
        <v>3</v>
      </c>
      <c r="H12" s="8">
        <v>70</v>
      </c>
      <c r="I12" s="8"/>
      <c r="J12" s="8"/>
      <c r="K12" s="8"/>
      <c r="L12" s="8"/>
      <c r="M12" s="8"/>
      <c r="N12" s="8"/>
      <c r="O12" s="8"/>
      <c r="P12" s="8"/>
      <c r="Q12" s="8"/>
      <c r="R12" s="10"/>
    </row>
    <row r="13" spans="1:18" ht="14.85" customHeight="1">
      <c r="A13" s="2">
        <v>10</v>
      </c>
      <c r="B13" s="7" t="s">
        <v>23</v>
      </c>
      <c r="C13" s="7"/>
      <c r="D13" s="11">
        <f>F13+H13+J13+L13+P13+N13</f>
        <v>120</v>
      </c>
      <c r="E13" s="8"/>
      <c r="F13" s="8"/>
      <c r="G13" s="8">
        <v>7</v>
      </c>
      <c r="H13" s="8">
        <v>60</v>
      </c>
      <c r="I13" s="8">
        <v>7</v>
      </c>
      <c r="J13" s="8">
        <v>60</v>
      </c>
      <c r="K13" s="8"/>
      <c r="L13" s="8"/>
      <c r="M13" s="8"/>
      <c r="N13" s="8"/>
      <c r="O13" s="8"/>
      <c r="P13" s="8"/>
      <c r="Q13" s="8"/>
      <c r="R13" s="10"/>
    </row>
    <row r="14" spans="1:18" ht="14.85" customHeight="1">
      <c r="A14" s="2">
        <v>11</v>
      </c>
      <c r="B14" s="7" t="s">
        <v>24</v>
      </c>
      <c r="C14" s="7"/>
      <c r="D14" s="11">
        <f>F14+H14+J14+L14+P14+N14</f>
        <v>116</v>
      </c>
      <c r="E14" s="8"/>
      <c r="F14" s="8"/>
      <c r="G14" s="8">
        <v>11</v>
      </c>
      <c r="H14" s="8">
        <v>54</v>
      </c>
      <c r="I14" s="8">
        <v>6</v>
      </c>
      <c r="J14" s="8">
        <v>62</v>
      </c>
      <c r="K14" s="8"/>
      <c r="L14" s="8"/>
      <c r="M14" s="8"/>
      <c r="N14" s="8"/>
      <c r="O14" s="8"/>
      <c r="P14" s="8"/>
      <c r="Q14" s="8"/>
      <c r="R14" s="10"/>
    </row>
    <row r="15" spans="1:18" ht="14.85" customHeight="1">
      <c r="A15" s="2">
        <v>13</v>
      </c>
      <c r="B15" s="7" t="s">
        <v>25</v>
      </c>
      <c r="C15" s="7"/>
      <c r="D15" s="11">
        <f>F15+H15+J15+L15+P15+N15</f>
        <v>84</v>
      </c>
      <c r="E15" s="8">
        <v>3</v>
      </c>
      <c r="F15" s="8">
        <v>84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0"/>
    </row>
    <row r="16" spans="1:18" ht="14.85" customHeight="1">
      <c r="A16" s="2">
        <v>14</v>
      </c>
      <c r="B16" s="7" t="s">
        <v>26</v>
      </c>
      <c r="C16" s="7"/>
      <c r="D16" s="11">
        <f>SUM(F16+H16+J16+L16+N16+P16+R16)</f>
        <v>79.900000000000006</v>
      </c>
      <c r="E16" s="8">
        <v>9</v>
      </c>
      <c r="F16" s="8">
        <v>68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>
        <v>118</v>
      </c>
      <c r="R16" s="10">
        <f>5.95*2</f>
        <v>11.9</v>
      </c>
    </row>
    <row r="17" spans="1:18" ht="14.85" customHeight="1">
      <c r="A17" s="2">
        <v>15</v>
      </c>
      <c r="B17" s="7" t="s">
        <v>27</v>
      </c>
      <c r="C17" s="7"/>
      <c r="D17" s="11">
        <f>F17+H17+J17+L17+P17+N17</f>
        <v>79</v>
      </c>
      <c r="E17" s="8">
        <v>4</v>
      </c>
      <c r="F17" s="8">
        <v>79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0"/>
    </row>
    <row r="18" spans="1:18" ht="14.85" customHeight="1">
      <c r="A18" s="2">
        <v>16</v>
      </c>
      <c r="B18" s="7" t="s">
        <v>28</v>
      </c>
      <c r="C18" s="7"/>
      <c r="D18" s="11">
        <f>F18+H18+J18+L18+P18+N18</f>
        <v>74</v>
      </c>
      <c r="E18" s="8">
        <v>6</v>
      </c>
      <c r="F18" s="8">
        <v>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0"/>
    </row>
    <row r="19" spans="1:18" ht="14.85" customHeight="1">
      <c r="A19" s="2">
        <v>17</v>
      </c>
      <c r="B19" s="7" t="s">
        <v>29</v>
      </c>
      <c r="C19" s="7"/>
      <c r="D19" s="11">
        <f>F19+H19+J19+L19+P19+N19+R19</f>
        <v>70.88</v>
      </c>
      <c r="E19" s="8">
        <v>13</v>
      </c>
      <c r="F19" s="8">
        <v>60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>
        <v>124</v>
      </c>
      <c r="R19" s="10">
        <f>5.44*2</f>
        <v>10.88</v>
      </c>
    </row>
    <row r="20" spans="1:18" ht="14.85" customHeight="1">
      <c r="A20" s="2">
        <v>18</v>
      </c>
      <c r="B20" s="15" t="s">
        <v>30</v>
      </c>
      <c r="C20" s="3"/>
      <c r="D20" s="4">
        <f t="shared" ref="D20" si="0">SUM(F20+H20+J20+L20+N20+P20)</f>
        <v>62</v>
      </c>
      <c r="E20" s="5"/>
      <c r="F20" s="5"/>
      <c r="G20" s="5"/>
      <c r="H20" s="5"/>
      <c r="I20" s="5"/>
      <c r="J20" s="5"/>
      <c r="K20" s="5">
        <v>6</v>
      </c>
      <c r="L20" s="5">
        <v>62</v>
      </c>
      <c r="M20" s="5"/>
      <c r="N20" s="5"/>
      <c r="O20" s="5"/>
      <c r="P20" s="5"/>
      <c r="Q20" s="5"/>
      <c r="R20" s="6"/>
    </row>
    <row r="21" spans="1:18" ht="14.85" customHeight="1">
      <c r="A21" s="2">
        <v>19</v>
      </c>
      <c r="B21" s="7" t="s">
        <v>31</v>
      </c>
      <c r="C21" s="7"/>
      <c r="D21" s="11">
        <f>F21+H21+J21+L21+P21+N21</f>
        <v>56</v>
      </c>
      <c r="E21" s="8"/>
      <c r="F21" s="8"/>
      <c r="G21" s="8">
        <v>9</v>
      </c>
      <c r="H21" s="8">
        <v>56</v>
      </c>
      <c r="I21" s="8"/>
      <c r="J21" s="8"/>
      <c r="K21" s="8"/>
      <c r="L21" s="8"/>
      <c r="M21" s="8"/>
      <c r="N21" s="8"/>
      <c r="O21" s="8"/>
      <c r="P21" s="8"/>
      <c r="Q21" s="8"/>
      <c r="R21" s="10"/>
    </row>
    <row r="22" spans="1:18" ht="14.85" customHeight="1">
      <c r="A22" s="2">
        <v>20</v>
      </c>
      <c r="B22" s="7" t="s">
        <v>32</v>
      </c>
      <c r="C22" s="7"/>
      <c r="D22" s="11">
        <f>F22+H22+J22+L22+P22+N22</f>
        <v>53</v>
      </c>
      <c r="E22" s="8"/>
      <c r="F22" s="8"/>
      <c r="G22" s="8">
        <v>13</v>
      </c>
      <c r="H22" s="8">
        <v>53</v>
      </c>
      <c r="I22" s="8"/>
      <c r="J22" s="8"/>
      <c r="K22" s="8"/>
      <c r="L22" s="8"/>
      <c r="M22" s="8"/>
      <c r="N22" s="8"/>
      <c r="O22" s="8"/>
      <c r="P22" s="8"/>
      <c r="Q22" s="8"/>
      <c r="R22" s="10"/>
    </row>
    <row r="30" spans="1:18" ht="14.85" customHeight="1"/>
    <row r="31" spans="1:18" ht="14.85" customHeight="1"/>
    <row r="32" spans="1:18" ht="14.85" customHeight="1"/>
    <row r="33" ht="14.85" customHeight="1"/>
    <row r="34" ht="14.85" customHeight="1"/>
    <row r="35" ht="14.85" customHeight="1"/>
    <row r="36" ht="14.85" customHeight="1"/>
    <row r="37" ht="14.85" customHeight="1"/>
    <row r="38" ht="14.85" customHeight="1"/>
    <row r="39" ht="14.85" customHeight="1"/>
    <row r="40" ht="14.85" customHeight="1"/>
    <row r="41" ht="14.85" customHeight="1"/>
    <row r="42" ht="14.85" customHeight="1"/>
    <row r="43" ht="14.85" customHeight="1"/>
    <row r="44" ht="14.85" customHeight="1"/>
    <row r="45" ht="14.85" customHeight="1"/>
    <row r="46" ht="14.85" customHeight="1"/>
    <row r="47" ht="14.85" customHeight="1"/>
    <row r="48" ht="14.85" customHeight="1"/>
    <row r="49" ht="14.85" customHeight="1"/>
    <row r="50" ht="14.85" customHeight="1"/>
    <row r="51" ht="14.85" customHeight="1"/>
    <row r="52" ht="14.85" customHeight="1"/>
    <row r="53" ht="14.85" customHeight="1"/>
    <row r="54" ht="14.85" customHeight="1"/>
    <row r="55" ht="14.85" customHeight="1"/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2021-10-21T08:27:37Z</dcterms:created>
  <dcterms:modified xsi:type="dcterms:W3CDTF">2022-03-19T21:32:19Z</dcterms:modified>
  <cp:category/>
  <cp:contentStatus/>
</cp:coreProperties>
</file>